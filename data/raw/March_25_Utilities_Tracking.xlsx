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8_{2007C866-1740-4160-A158-D08006F05D2A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March.'25" sheetId="27" r:id="rId1"/>
    <sheet name="Utility Analysis March. 2025" sheetId="23" r:id="rId2"/>
    <sheet name="Steam Mass Flow " sheetId="113" r:id="rId3"/>
    <sheet name="CO2" sheetId="28" r:id="rId4"/>
    <sheet name="Fuel " sheetId="29" r:id="rId5"/>
    <sheet name="Water " sheetId="31" r:id="rId6"/>
    <sheet name="Elec.March'25" sheetId="30" r:id="rId7"/>
    <sheet name="PROD.FIG. " sheetId="32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6" hidden="1">'Elec.March''25'!$B$7:$B$37</definedName>
    <definedName name="_2__123Graph_CCHART_8" localSheetId="6" hidden="1">'Elec.March''25'!$C$7:$C$37</definedName>
    <definedName name="_xlnm.Print_Area" localSheetId="9">'Daily KPIs'!$A$1:$AJ$121</definedName>
    <definedName name="_xlnm.Print_Area" localSheetId="8" xml:space="preserve">                                                              'Daily KPIs CO2'!$A$1:$AI$96</definedName>
    <definedName name="_xlnm.Print_Area" localSheetId="0">'Entries March.''25'!$A$1:$AI$39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79" i="110" l="1"/>
  <c r="AH92" i="110"/>
  <c r="AH91" i="110"/>
  <c r="AC9" i="110"/>
  <c r="AB9" i="110"/>
  <c r="AA9" i="110"/>
  <c r="Z9" i="110"/>
  <c r="Y9" i="110"/>
  <c r="X9" i="110"/>
  <c r="W9" i="110"/>
  <c r="V9" i="110"/>
  <c r="U9" i="110"/>
  <c r="Q9" i="110"/>
  <c r="P9" i="110"/>
  <c r="O9" i="110"/>
  <c r="N9" i="110"/>
  <c r="M9" i="110"/>
  <c r="L9" i="110"/>
  <c r="K9" i="110"/>
  <c r="J9" i="110"/>
  <c r="I9" i="110"/>
  <c r="H9" i="110"/>
  <c r="G9" i="110"/>
  <c r="F9" i="110"/>
  <c r="E9" i="110"/>
  <c r="D9" i="110"/>
  <c r="AF8" i="110"/>
  <c r="AF9" i="110" s="1"/>
  <c r="AD8" i="110"/>
  <c r="AD9" i="110" s="1"/>
  <c r="AA8" i="110"/>
  <c r="Z8" i="110"/>
  <c r="T8" i="110"/>
  <c r="T9" i="110" s="1"/>
  <c r="S8" i="110"/>
  <c r="S9" i="110" s="1"/>
  <c r="R8" i="110"/>
  <c r="R9" i="110" s="1"/>
  <c r="O8" i="110"/>
  <c r="L8" i="110"/>
  <c r="G8" i="110"/>
  <c r="F8" i="110"/>
  <c r="E8" i="110"/>
  <c r="D8" i="110"/>
  <c r="AD91" i="110" l="1"/>
  <c r="AD88" i="110"/>
  <c r="AH25" i="110"/>
  <c r="AH12" i="110"/>
  <c r="AF76" i="110"/>
  <c r="AE76" i="110"/>
  <c r="AD76" i="110"/>
  <c r="AB14" i="110"/>
  <c r="AA14" i="110"/>
  <c r="Z74" i="110"/>
  <c r="T74" i="110"/>
  <c r="R14" i="110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D33" i="23" s="1"/>
  <c r="C34" i="23"/>
  <c r="C35" i="23"/>
  <c r="C36" i="23"/>
  <c r="C37" i="23"/>
  <c r="C38" i="23"/>
  <c r="C39" i="23"/>
  <c r="C40" i="23"/>
  <c r="C10" i="23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7" i="30"/>
  <c r="D7" i="30" s="1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7" i="30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D12" i="23"/>
  <c r="B10" i="23"/>
  <c r="AF90" i="110" l="1"/>
  <c r="D17" i="23"/>
  <c r="D19" i="23"/>
  <c r="D18" i="23"/>
  <c r="D32" i="23"/>
  <c r="D35" i="23"/>
  <c r="D14" i="23"/>
  <c r="B43" i="23"/>
  <c r="D34" i="23"/>
  <c r="D13" i="23"/>
  <c r="D36" i="23"/>
  <c r="D16" i="23"/>
  <c r="D15" i="23"/>
  <c r="B38" i="30"/>
  <c r="D40" i="23"/>
  <c r="D20" i="23"/>
  <c r="D11" i="23"/>
  <c r="D10" i="23"/>
  <c r="D39" i="23"/>
  <c r="D21" i="23"/>
  <c r="D38" i="23"/>
  <c r="D31" i="23"/>
  <c r="D37" i="23"/>
  <c r="C38" i="30"/>
  <c r="D30" i="23"/>
  <c r="D29" i="23"/>
  <c r="D28" i="23"/>
  <c r="D27" i="23"/>
  <c r="D26" i="23"/>
  <c r="D25" i="23"/>
  <c r="D24" i="23"/>
  <c r="D23" i="23"/>
  <c r="D22" i="23"/>
  <c r="C43" i="23"/>
  <c r="N14" i="110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H7" i="31"/>
  <c r="S47" i="111"/>
  <c r="T47" i="111"/>
  <c r="U47" i="111"/>
  <c r="D43" i="23" l="1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B35" i="113"/>
  <c r="B5" i="113"/>
  <c r="L43" i="23"/>
  <c r="H14" i="110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F14" i="110"/>
  <c r="E14" i="110"/>
  <c r="AH14" i="110" s="1"/>
  <c r="F74" i="110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7" i="29"/>
  <c r="E74" i="110" l="1"/>
  <c r="AH74" i="110" s="1"/>
  <c r="AH8" i="110" l="1"/>
  <c r="C7" i="28" a="1"/>
  <c r="C7" i="28" s="1"/>
  <c r="C38" i="28" s="1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5" i="32" l="1" a="1"/>
  <c r="H5" i="32" s="1"/>
  <c r="H36" i="32" s="1"/>
  <c r="AH9" i="110"/>
  <c r="AA93" i="111"/>
  <c r="AB93" i="111"/>
  <c r="AB63" i="111" s="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8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A63" i="111"/>
  <c r="AC63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H7" i="111"/>
  <c r="I7" i="111"/>
  <c r="J7" i="111"/>
  <c r="K7" i="111"/>
  <c r="L7" i="111"/>
  <c r="M7" i="111"/>
  <c r="N7" i="111"/>
  <c r="O7" i="111"/>
  <c r="P7" i="111"/>
  <c r="Q7" i="111"/>
  <c r="R7" i="111"/>
  <c r="S7" i="111"/>
  <c r="T7" i="111"/>
  <c r="U7" i="111"/>
  <c r="V7" i="111"/>
  <c r="W7" i="111"/>
  <c r="X7" i="111"/>
  <c r="Y7" i="111"/>
  <c r="Z7" i="111"/>
  <c r="AA7" i="111"/>
  <c r="AB7" i="111"/>
  <c r="AC7" i="111"/>
  <c r="AD7" i="111"/>
  <c r="AE7" i="111"/>
  <c r="AF7" i="111"/>
  <c r="D7" i="111"/>
  <c r="E7" i="111"/>
  <c r="F7" i="111"/>
  <c r="G7" i="111"/>
  <c r="AF78" i="110"/>
  <c r="AE49" i="111"/>
  <c r="AF49" i="111"/>
  <c r="AD79" i="111" l="1"/>
  <c r="AE79" i="111"/>
  <c r="AD78" i="111"/>
  <c r="AE78" i="111"/>
  <c r="AA7" i="31" l="1" a="1"/>
  <c r="AA7" i="31" s="1"/>
  <c r="AA38" i="31" s="1"/>
  <c r="E8" i="29"/>
  <c r="I8" i="29" s="1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E37" i="29"/>
  <c r="I37" i="29" s="1"/>
  <c r="C8" i="29"/>
  <c r="H8" i="29" s="1"/>
  <c r="C9" i="29"/>
  <c r="H9" i="29" s="1"/>
  <c r="C10" i="29"/>
  <c r="H10" i="29" s="1"/>
  <c r="C11" i="29"/>
  <c r="H11" i="29" s="1"/>
  <c r="C12" i="29"/>
  <c r="H12" i="29" s="1"/>
  <c r="C13" i="29"/>
  <c r="C14" i="29"/>
  <c r="C15" i="29"/>
  <c r="H15" i="29" s="1"/>
  <c r="C16" i="29"/>
  <c r="C17" i="29"/>
  <c r="C18" i="29"/>
  <c r="C19" i="29"/>
  <c r="C20" i="29"/>
  <c r="C21" i="29"/>
  <c r="H21" i="29" s="1"/>
  <c r="C22" i="29"/>
  <c r="C23" i="29"/>
  <c r="C24" i="29"/>
  <c r="C25" i="29"/>
  <c r="H25" i="29" s="1"/>
  <c r="C26" i="29"/>
  <c r="C27" i="29"/>
  <c r="H27" i="29" s="1"/>
  <c r="C28" i="29"/>
  <c r="H28" i="29" s="1"/>
  <c r="C29" i="29"/>
  <c r="H29" i="29" s="1"/>
  <c r="C30" i="29"/>
  <c r="H30" i="29" s="1"/>
  <c r="C31" i="29"/>
  <c r="H31" i="29" s="1"/>
  <c r="C32" i="29"/>
  <c r="H32" i="29" s="1"/>
  <c r="C33" i="29"/>
  <c r="H33" i="29" s="1"/>
  <c r="C34" i="29"/>
  <c r="H34" i="29" s="1"/>
  <c r="C35" i="29"/>
  <c r="H35" i="29" s="1"/>
  <c r="C36" i="29"/>
  <c r="H36" i="29" s="1"/>
  <c r="C37" i="29"/>
  <c r="H37" i="29" s="1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B37" i="29"/>
  <c r="L7" i="29" a="1"/>
  <c r="L7" i="29" s="1"/>
  <c r="L38" i="29" s="1"/>
  <c r="D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U37" i="31"/>
  <c r="V37" i="31"/>
  <c r="W37" i="31"/>
  <c r="X37" i="31"/>
  <c r="Y37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H37" i="31"/>
  <c r="I37" i="31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T23" i="31" s="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T28" i="31" s="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J37" i="31"/>
  <c r="K37" i="31"/>
  <c r="L37" i="31"/>
  <c r="M37" i="31"/>
  <c r="N37" i="31"/>
  <c r="O37" i="31"/>
  <c r="P37" i="31"/>
  <c r="Q37" i="31"/>
  <c r="R37" i="31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D24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AD16" i="111" s="1"/>
  <c r="E31" i="31"/>
  <c r="AD17" i="111" s="1"/>
  <c r="F31" i="31"/>
  <c r="D32" i="31"/>
  <c r="AE16" i="111" s="1"/>
  <c r="E32" i="31"/>
  <c r="AE17" i="111" s="1"/>
  <c r="F32" i="31"/>
  <c r="D33" i="31"/>
  <c r="AF16" i="111" s="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D37" i="31"/>
  <c r="E37" i="31"/>
  <c r="F3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AD18" i="111" s="1"/>
  <c r="C32" i="31"/>
  <c r="AE15" i="111" s="1"/>
  <c r="C33" i="31"/>
  <c r="AF15" i="111" s="1"/>
  <c r="C34" i="31"/>
  <c r="C35" i="31"/>
  <c r="C36" i="31"/>
  <c r="C37" i="31"/>
  <c r="B8" i="28"/>
  <c r="G11" i="23" s="1"/>
  <c r="G12" i="23"/>
  <c r="G13" i="23"/>
  <c r="G14" i="23"/>
  <c r="G15" i="23"/>
  <c r="G16" i="23"/>
  <c r="G17" i="23"/>
  <c r="G18" i="23"/>
  <c r="G19" i="23"/>
  <c r="G21" i="23"/>
  <c r="B23" i="28"/>
  <c r="G26" i="23" s="1"/>
  <c r="B24" i="28"/>
  <c r="G27" i="23" s="1"/>
  <c r="B25" i="28"/>
  <c r="G28" i="23" s="1"/>
  <c r="B26" i="28"/>
  <c r="G29" i="23" s="1"/>
  <c r="B27" i="28"/>
  <c r="G30" i="23" s="1"/>
  <c r="B28" i="28"/>
  <c r="G31" i="23" s="1"/>
  <c r="B29" i="28"/>
  <c r="G32" i="23" s="1"/>
  <c r="B30" i="28"/>
  <c r="G33" i="23" s="1"/>
  <c r="B31" i="28"/>
  <c r="G34" i="23" s="1"/>
  <c r="B32" i="28"/>
  <c r="G35" i="23" s="1"/>
  <c r="B33" i="28"/>
  <c r="G36" i="23" s="1"/>
  <c r="B34" i="28"/>
  <c r="G37" i="23" s="1"/>
  <c r="B35" i="28"/>
  <c r="G38" i="23" s="1"/>
  <c r="B36" i="28"/>
  <c r="G39" i="23" s="1"/>
  <c r="B37" i="28"/>
  <c r="G40" i="23" s="1"/>
  <c r="G20" i="23"/>
  <c r="G22" i="23"/>
  <c r="G23" i="23"/>
  <c r="G24" i="23"/>
  <c r="G25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AC76" i="110"/>
  <c r="AC49" i="111" s="1"/>
  <c r="AB76" i="110"/>
  <c r="AB49" i="111" s="1"/>
  <c r="AA76" i="110"/>
  <c r="AA49" i="111" s="1"/>
  <c r="Z76" i="110"/>
  <c r="Z49" i="111" s="1"/>
  <c r="Y76" i="110"/>
  <c r="Y49" i="111" s="1"/>
  <c r="X76" i="110"/>
  <c r="X49" i="111" s="1"/>
  <c r="W76" i="110"/>
  <c r="W49" i="111" s="1"/>
  <c r="V76" i="110"/>
  <c r="V49" i="111" s="1"/>
  <c r="U76" i="110"/>
  <c r="U49" i="111" s="1"/>
  <c r="T76" i="110"/>
  <c r="T49" i="111" s="1"/>
  <c r="S76" i="110"/>
  <c r="R76" i="110"/>
  <c r="Q76" i="110"/>
  <c r="P76" i="110"/>
  <c r="O76" i="110"/>
  <c r="N76" i="110"/>
  <c r="M76" i="110"/>
  <c r="L76" i="110"/>
  <c r="K76" i="110"/>
  <c r="J76" i="110"/>
  <c r="I76" i="110"/>
  <c r="B76" i="110"/>
  <c r="T7" i="28"/>
  <c r="W7" i="28"/>
  <c r="Z7" i="28"/>
  <c r="AC7" i="28"/>
  <c r="AF7" i="28"/>
  <c r="AI7" i="28"/>
  <c r="AL7" i="28"/>
  <c r="AO7" i="28"/>
  <c r="AR7" i="28"/>
  <c r="Z30" i="31" l="1"/>
  <c r="Z28" i="31"/>
  <c r="H26" i="29"/>
  <c r="G30" i="31"/>
  <c r="S30" i="31" s="1"/>
  <c r="Z15" i="31"/>
  <c r="T30" i="31"/>
  <c r="H13" i="29"/>
  <c r="B79" i="110" a="1"/>
  <c r="AF92" i="110" s="1"/>
  <c r="D38" i="30"/>
  <c r="G36" i="31"/>
  <c r="S36" i="31" s="1"/>
  <c r="E39" i="23" s="1"/>
  <c r="Z21" i="31"/>
  <c r="Z29" i="31"/>
  <c r="T29" i="31"/>
  <c r="Z37" i="31"/>
  <c r="H24" i="29"/>
  <c r="Z36" i="31"/>
  <c r="Z26" i="31"/>
  <c r="T35" i="31"/>
  <c r="T26" i="31"/>
  <c r="H14" i="29"/>
  <c r="H23" i="29"/>
  <c r="H22" i="29"/>
  <c r="H20" i="29"/>
  <c r="H19" i="29"/>
  <c r="H18" i="29"/>
  <c r="T24" i="31"/>
  <c r="Z24" i="31"/>
  <c r="Z23" i="31"/>
  <c r="T21" i="31"/>
  <c r="T20" i="31"/>
  <c r="T19" i="31"/>
  <c r="Z20" i="31"/>
  <c r="G20" i="31"/>
  <c r="G19" i="31"/>
  <c r="Z19" i="31"/>
  <c r="AB19" i="31" s="1"/>
  <c r="Z17" i="31"/>
  <c r="AB17" i="31" s="1"/>
  <c r="Z18" i="31"/>
  <c r="AB18" i="31" s="1"/>
  <c r="H17" i="29"/>
  <c r="T22" i="31"/>
  <c r="Z14" i="31"/>
  <c r="T37" i="31"/>
  <c r="G26" i="31"/>
  <c r="S26" i="31" s="1"/>
  <c r="T8" i="31"/>
  <c r="G35" i="31"/>
  <c r="S35" i="31" s="1"/>
  <c r="E38" i="23" s="1"/>
  <c r="Z31" i="31"/>
  <c r="G22" i="31"/>
  <c r="S22" i="31" s="1"/>
  <c r="Z34" i="31"/>
  <c r="G25" i="31"/>
  <c r="Z8" i="31"/>
  <c r="G18" i="31"/>
  <c r="S18" i="31" s="1"/>
  <c r="Z35" i="31"/>
  <c r="G27" i="31"/>
  <c r="S27" i="31" s="1"/>
  <c r="G24" i="31"/>
  <c r="S24" i="31" s="1"/>
  <c r="G8" i="31"/>
  <c r="S19" i="31"/>
  <c r="Z25" i="31"/>
  <c r="G23" i="31"/>
  <c r="S23" i="31" s="1"/>
  <c r="Z16" i="31"/>
  <c r="AB16" i="31" s="1"/>
  <c r="T36" i="31"/>
  <c r="T34" i="31"/>
  <c r="T27" i="31"/>
  <c r="T25" i="31"/>
  <c r="T14" i="31"/>
  <c r="G28" i="31"/>
  <c r="S28" i="31" s="1"/>
  <c r="G21" i="31"/>
  <c r="S21" i="31" s="1"/>
  <c r="G34" i="31"/>
  <c r="S34" i="31" s="1"/>
  <c r="Z22" i="31"/>
  <c r="T18" i="31"/>
  <c r="AF25" i="111"/>
  <c r="T17" i="31"/>
  <c r="G17" i="31"/>
  <c r="S17" i="31" s="1"/>
  <c r="H16" i="29"/>
  <c r="G37" i="31"/>
  <c r="S37" i="31" s="1"/>
  <c r="S25" i="31"/>
  <c r="S20" i="31"/>
  <c r="S33" i="31"/>
  <c r="S8" i="31"/>
  <c r="G29" i="31"/>
  <c r="S29" i="31" s="1"/>
  <c r="AD25" i="111"/>
  <c r="Z27" i="31"/>
  <c r="T31" i="31"/>
  <c r="AF36" i="111"/>
  <c r="AF40" i="111"/>
  <c r="Z13" i="31"/>
  <c r="G33" i="31"/>
  <c r="AE96" i="111"/>
  <c r="AE21" i="111" s="1"/>
  <c r="AA96" i="111"/>
  <c r="AB96" i="111"/>
  <c r="AC96" i="111"/>
  <c r="AD96" i="111"/>
  <c r="AD21" i="111" s="1"/>
  <c r="G32" i="31"/>
  <c r="S32" i="31" s="1"/>
  <c r="Z11" i="31"/>
  <c r="AE36" i="111"/>
  <c r="AE40" i="111"/>
  <c r="G31" i="31"/>
  <c r="S31" i="31" s="1"/>
  <c r="AE25" i="111"/>
  <c r="AD36" i="111"/>
  <c r="AD40" i="111"/>
  <c r="T33" i="31"/>
  <c r="Z33" i="31"/>
  <c r="AF18" i="111"/>
  <c r="AE18" i="111"/>
  <c r="T32" i="31"/>
  <c r="Z32" i="31"/>
  <c r="T16" i="31"/>
  <c r="T15" i="31"/>
  <c r="G15" i="31"/>
  <c r="S15" i="31" s="1"/>
  <c r="G16" i="31"/>
  <c r="S16" i="31" s="1"/>
  <c r="G14" i="31"/>
  <c r="S14" i="31" s="1"/>
  <c r="T13" i="31"/>
  <c r="G13" i="31"/>
  <c r="S13" i="31" s="1"/>
  <c r="T12" i="31"/>
  <c r="Z12" i="31"/>
  <c r="AB12" i="31" s="1"/>
  <c r="G12" i="31"/>
  <c r="S12" i="31" s="1"/>
  <c r="T11" i="31"/>
  <c r="G11" i="31"/>
  <c r="S11" i="31" s="1"/>
  <c r="D7" i="28"/>
  <c r="F13" i="28"/>
  <c r="F21" i="28"/>
  <c r="F29" i="28"/>
  <c r="F37" i="28"/>
  <c r="E14" i="28"/>
  <c r="E22" i="28"/>
  <c r="E30" i="28"/>
  <c r="F25" i="28"/>
  <c r="E10" i="28"/>
  <c r="F27" i="28"/>
  <c r="F28" i="28"/>
  <c r="E13" i="28"/>
  <c r="E29" i="28"/>
  <c r="F14" i="28"/>
  <c r="F22" i="28"/>
  <c r="F30" i="28"/>
  <c r="E15" i="28"/>
  <c r="E23" i="28"/>
  <c r="E31" i="28"/>
  <c r="F33" i="28"/>
  <c r="E18" i="28"/>
  <c r="F11" i="28"/>
  <c r="F15" i="28"/>
  <c r="F23" i="28"/>
  <c r="F31" i="28"/>
  <c r="E8" i="28"/>
  <c r="E16" i="28"/>
  <c r="E24" i="28"/>
  <c r="E32" i="28"/>
  <c r="F17" i="28"/>
  <c r="E26" i="28"/>
  <c r="F10" i="28"/>
  <c r="F26" i="28"/>
  <c r="F34" i="28"/>
  <c r="E11" i="28"/>
  <c r="E19" i="28"/>
  <c r="E35" i="28"/>
  <c r="F19" i="28"/>
  <c r="E12" i="28"/>
  <c r="E20" i="28"/>
  <c r="E28" i="28"/>
  <c r="E36" i="28"/>
  <c r="F20" i="28"/>
  <c r="E37" i="28"/>
  <c r="F8" i="28"/>
  <c r="F16" i="28"/>
  <c r="F24" i="28"/>
  <c r="F32" i="28"/>
  <c r="E9" i="28"/>
  <c r="E17" i="28"/>
  <c r="E25" i="28"/>
  <c r="E33" i="28"/>
  <c r="F9" i="28"/>
  <c r="E34" i="28"/>
  <c r="F18" i="28"/>
  <c r="E27" i="28"/>
  <c r="F35" i="28"/>
  <c r="F12" i="28"/>
  <c r="F36" i="28"/>
  <c r="E21" i="28"/>
  <c r="T9" i="31"/>
  <c r="T10" i="31"/>
  <c r="Z10" i="31"/>
  <c r="AB10" i="31" s="1"/>
  <c r="G9" i="31"/>
  <c r="S9" i="31" s="1"/>
  <c r="G10" i="31"/>
  <c r="S10" i="31" s="1"/>
  <c r="Z9" i="31"/>
  <c r="AB9" i="31" s="1"/>
  <c r="M25" i="29"/>
  <c r="M30" i="29"/>
  <c r="AB13" i="31"/>
  <c r="M34" i="29"/>
  <c r="M28" i="29"/>
  <c r="M22" i="29"/>
  <c r="AB35" i="31"/>
  <c r="AB29" i="31"/>
  <c r="AB23" i="31"/>
  <c r="AB11" i="31"/>
  <c r="M31" i="29"/>
  <c r="AB37" i="31"/>
  <c r="AB31" i="31"/>
  <c r="AD29" i="111" s="1"/>
  <c r="AB25" i="31"/>
  <c r="M33" i="29"/>
  <c r="M21" i="29"/>
  <c r="M15" i="29"/>
  <c r="AB34" i="31"/>
  <c r="AB28" i="31"/>
  <c r="AB22" i="31"/>
  <c r="M32" i="29"/>
  <c r="M26" i="29"/>
  <c r="M14" i="29"/>
  <c r="M8" i="29"/>
  <c r="AB33" i="31"/>
  <c r="AF29" i="111" s="1"/>
  <c r="AB27" i="31"/>
  <c r="AB21" i="31"/>
  <c r="AB15" i="31"/>
  <c r="AB32" i="31"/>
  <c r="AE29" i="111" s="1"/>
  <c r="AB26" i="31"/>
  <c r="AB20" i="31"/>
  <c r="AB14" i="31"/>
  <c r="AB8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37" i="30"/>
  <c r="F37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7" i="29"/>
  <c r="M36" i="29"/>
  <c r="M35" i="29"/>
  <c r="M29" i="29"/>
  <c r="AB36" i="31"/>
  <c r="AB30" i="31"/>
  <c r="AB24" i="31"/>
  <c r="B79" i="110" l="1"/>
  <c r="V92" i="110"/>
  <c r="F7" i="28"/>
  <c r="D38" i="28"/>
  <c r="F38" i="28" s="1"/>
  <c r="AE42" i="111"/>
  <c r="AF42" i="111"/>
  <c r="AD42" i="111"/>
  <c r="D90" i="110"/>
  <c r="B7" i="28"/>
  <c r="B38" i="28" s="1"/>
  <c r="B36" i="113"/>
  <c r="B7" i="29"/>
  <c r="B38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B43" i="110" s="1"/>
  <c r="AH43" i="110" s="1"/>
  <c r="H10" i="23"/>
  <c r="H43" i="23" s="1"/>
  <c r="AB9" i="11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C34" i="109" s="1"/>
  <c r="C15" i="109"/>
  <c r="B8" i="109"/>
  <c r="B9" i="109"/>
  <c r="B10" i="109"/>
  <c r="B11" i="109"/>
  <c r="B12" i="109"/>
  <c r="B13" i="109"/>
  <c r="B14" i="109"/>
  <c r="B15" i="109"/>
  <c r="B16" i="109"/>
  <c r="B17" i="109"/>
  <c r="B18" i="109"/>
  <c r="C17" i="109" s="1"/>
  <c r="B19" i="109"/>
  <c r="C18" i="109" s="1"/>
  <c r="B20" i="109"/>
  <c r="C19" i="109" s="1"/>
  <c r="B21" i="109"/>
  <c r="C20" i="109" s="1"/>
  <c r="B22" i="109"/>
  <c r="B23" i="109"/>
  <c r="B24" i="109"/>
  <c r="C23" i="109" s="1"/>
  <c r="B25" i="109"/>
  <c r="C24" i="109" s="1"/>
  <c r="B26" i="109"/>
  <c r="B27" i="109"/>
  <c r="B28" i="109"/>
  <c r="B29" i="109"/>
  <c r="B30" i="109"/>
  <c r="C29" i="109" s="1"/>
  <c r="B31" i="109"/>
  <c r="B32" i="109"/>
  <c r="C31" i="109" s="1"/>
  <c r="B33" i="109"/>
  <c r="C32" i="109" s="1"/>
  <c r="B34" i="109"/>
  <c r="C21" i="109" l="1"/>
  <c r="C28" i="109"/>
  <c r="C33" i="109"/>
  <c r="C13" i="109"/>
  <c r="C30" i="109"/>
  <c r="C10" i="109"/>
  <c r="E38" i="28"/>
  <c r="C27" i="109"/>
  <c r="C26" i="109"/>
  <c r="C25" i="109"/>
  <c r="C16" i="109"/>
  <c r="C12" i="109"/>
  <c r="AB71" i="111"/>
  <c r="AB59" i="111"/>
  <c r="AB69" i="111"/>
  <c r="AB67" i="111"/>
  <c r="AB68" i="111"/>
  <c r="AB80" i="111"/>
  <c r="AB64" i="111"/>
  <c r="AB62" i="111"/>
  <c r="AB74" i="111"/>
  <c r="AB81" i="111"/>
  <c r="AB72" i="111"/>
  <c r="AB82" i="111"/>
  <c r="AB75" i="111"/>
  <c r="AB73" i="111"/>
  <c r="AB84" i="111"/>
  <c r="C11" i="109"/>
  <c r="C9" i="109"/>
  <c r="C22" i="109"/>
  <c r="G9" i="109"/>
  <c r="C14" i="109"/>
  <c r="D9" i="109"/>
  <c r="C8" i="109"/>
  <c r="P38" i="31"/>
  <c r="C39" i="32"/>
  <c r="R7" i="31" l="1"/>
  <c r="M11" i="109"/>
  <c r="B23" i="111" l="1"/>
  <c r="B24" i="111"/>
  <c r="B29" i="110"/>
  <c r="B25" i="111" l="1"/>
  <c r="AD49" i="111"/>
  <c r="H76" i="110"/>
  <c r="G76" i="110"/>
  <c r="F76" i="110"/>
  <c r="E76" i="110"/>
  <c r="D76" i="110"/>
  <c r="C76" i="110"/>
  <c r="AH76" i="110" l="1"/>
  <c r="U95" i="111"/>
  <c r="V95" i="111"/>
  <c r="W94" i="111"/>
  <c r="X94" i="111"/>
  <c r="Y94" i="111"/>
  <c r="Z94" i="111"/>
  <c r="U94" i="111"/>
  <c r="V94" i="111"/>
  <c r="AK91" i="110" l="1"/>
  <c r="AH89" i="110" l="1"/>
  <c r="AK89" i="110" s="1"/>
  <c r="AB7" i="31"/>
  <c r="L20" i="110"/>
  <c r="E7" i="30" l="1"/>
  <c r="E38" i="30" s="1"/>
  <c r="F38" i="30" s="1"/>
  <c r="E7" i="28"/>
  <c r="M7" i="29"/>
  <c r="AC90" i="110"/>
  <c r="F7" i="30" l="1"/>
  <c r="H38" i="28"/>
  <c r="G90" i="110"/>
  <c r="AH90" i="110"/>
  <c r="AK90" i="110" l="1"/>
  <c r="AJ90" i="110"/>
  <c r="T90" i="110"/>
  <c r="V90" i="110" l="1"/>
  <c r="U90" i="110" l="1"/>
  <c r="K90" i="110" l="1"/>
  <c r="L90" i="110" l="1"/>
  <c r="L56" i="110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C39" i="110"/>
  <c r="F39" i="110"/>
  <c r="F57" i="110" s="1"/>
  <c r="E31" i="111"/>
  <c r="F31" i="111"/>
  <c r="M90" i="110"/>
  <c r="AB56" i="110"/>
  <c r="AF56" i="110"/>
  <c r="J90" i="110"/>
  <c r="AC23" i="111"/>
  <c r="AF83" i="110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O83" i="110"/>
  <c r="P83" i="110"/>
  <c r="Q83" i="110"/>
  <c r="R83" i="110"/>
  <c r="S83" i="110"/>
  <c r="T83" i="110"/>
  <c r="U83" i="110"/>
  <c r="V83" i="110"/>
  <c r="W83" i="110"/>
  <c r="X83" i="110"/>
  <c r="Y83" i="110"/>
  <c r="Z83" i="110"/>
  <c r="AA83" i="110"/>
  <c r="AB83" i="110"/>
  <c r="AC83" i="110"/>
  <c r="AD83" i="110"/>
  <c r="AD90" i="110"/>
  <c r="AF37" i="110"/>
  <c r="AH75" i="110"/>
  <c r="AH77" i="110"/>
  <c r="AH93" i="110" s="1"/>
  <c r="AK93" i="110" s="1"/>
  <c r="AC91" i="110"/>
  <c r="AB90" i="110"/>
  <c r="AB91" i="110"/>
  <c r="I10" i="111"/>
  <c r="AI69" i="110"/>
  <c r="AI68" i="110"/>
  <c r="AJ67" i="110"/>
  <c r="AJ66" i="110"/>
  <c r="AD56" i="110"/>
  <c r="AC56" i="110"/>
  <c r="W56" i="110"/>
  <c r="E18" i="23"/>
  <c r="F24" i="111"/>
  <c r="G29" i="110"/>
  <c r="H29" i="110"/>
  <c r="K24" i="111"/>
  <c r="AB10" i="111"/>
  <c r="AC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O7" i="31"/>
  <c r="D42" i="110"/>
  <c r="Z78" i="110"/>
  <c r="Y78" i="110"/>
  <c r="G27" i="109"/>
  <c r="D27" i="109" s="1"/>
  <c r="AC78" i="110"/>
  <c r="AB78" i="110"/>
  <c r="AA78" i="110"/>
  <c r="X78" i="110"/>
  <c r="W78" i="110"/>
  <c r="V78" i="110"/>
  <c r="U78" i="110"/>
  <c r="T78" i="110"/>
  <c r="S78" i="110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S9" i="111"/>
  <c r="S74" i="111" s="1"/>
  <c r="B7" i="111"/>
  <c r="F7" i="3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AF71" i="110"/>
  <c r="I24" i="111"/>
  <c r="AB37" i="111"/>
  <c r="AD45" i="110"/>
  <c r="AD31" i="110" s="1"/>
  <c r="AA37" i="111"/>
  <c r="G40" i="110"/>
  <c r="G36" i="111"/>
  <c r="AG27" i="111"/>
  <c r="Y98" i="110"/>
  <c r="X98" i="110"/>
  <c r="S93" i="111"/>
  <c r="R93" i="111"/>
  <c r="R28" i="111"/>
  <c r="Q95" i="111"/>
  <c r="K93" i="111"/>
  <c r="J95" i="111"/>
  <c r="E95" i="111"/>
  <c r="L114" i="110"/>
  <c r="M114" i="110"/>
  <c r="N114" i="110"/>
  <c r="O52" i="111"/>
  <c r="R114" i="110"/>
  <c r="W114" i="110"/>
  <c r="X114" i="110"/>
  <c r="AA114" i="110"/>
  <c r="C115" i="110"/>
  <c r="E52" i="111"/>
  <c r="E101" i="111" s="1"/>
  <c r="F52" i="111"/>
  <c r="G52" i="111"/>
  <c r="G101" i="111" s="1"/>
  <c r="H52" i="111"/>
  <c r="H101" i="111" s="1"/>
  <c r="J114" i="110"/>
  <c r="K52" i="111"/>
  <c r="K101" i="111" s="1"/>
  <c r="AF94" i="111"/>
  <c r="Z104" i="110"/>
  <c r="Y104" i="110"/>
  <c r="AA104" i="110"/>
  <c r="AB104" i="110"/>
  <c r="AC104" i="110"/>
  <c r="AD104" i="110"/>
  <c r="AE104" i="110"/>
  <c r="AF104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F54" i="110" s="1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M14" i="23"/>
  <c r="M29" i="23"/>
  <c r="P31" i="23"/>
  <c r="O32" i="23"/>
  <c r="P33" i="23"/>
  <c r="O13" i="23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Q30" i="110" s="1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AF20" i="110"/>
  <c r="AF47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E37" i="23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AF40" i="110"/>
  <c r="AF58" i="110" s="1"/>
  <c r="AF41" i="110"/>
  <c r="AF61" i="110"/>
  <c r="AF98" i="110"/>
  <c r="AF101" i="110"/>
  <c r="AF103" i="110" s="1"/>
  <c r="G28" i="111"/>
  <c r="AC61" i="110"/>
  <c r="I29" i="28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C35" i="111"/>
  <c r="L93" i="111"/>
  <c r="T93" i="111"/>
  <c r="V93" i="111"/>
  <c r="W93" i="111"/>
  <c r="X93" i="111"/>
  <c r="Y93" i="111"/>
  <c r="Y63" i="111" s="1"/>
  <c r="Z93" i="111"/>
  <c r="Z63" i="111" s="1"/>
  <c r="AF93" i="111"/>
  <c r="AF63" i="111" s="1"/>
  <c r="B93" i="111"/>
  <c r="I11" i="28"/>
  <c r="I15" i="28"/>
  <c r="I16" i="28"/>
  <c r="I17" i="28"/>
  <c r="I26" i="28"/>
  <c r="I33" i="28"/>
  <c r="C23" i="111"/>
  <c r="H28" i="110"/>
  <c r="I37" i="111"/>
  <c r="J23" i="111"/>
  <c r="J24" i="111"/>
  <c r="A31" i="110"/>
  <c r="A30" i="110"/>
  <c r="AH49" i="110"/>
  <c r="F10" i="23"/>
  <c r="F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P82" i="110" s="1"/>
  <c r="D22" i="29"/>
  <c r="K22" i="29" s="1"/>
  <c r="Q54" i="111" s="1"/>
  <c r="D23" i="29"/>
  <c r="K23" i="29" s="1"/>
  <c r="M23" i="29" s="1"/>
  <c r="D25" i="29"/>
  <c r="K25" i="29" s="1"/>
  <c r="T82" i="110" s="1"/>
  <c r="D26" i="29"/>
  <c r="K26" i="29" s="1"/>
  <c r="U82" i="110" s="1"/>
  <c r="U94" i="110" s="1"/>
  <c r="D27" i="29"/>
  <c r="K27" i="29" s="1"/>
  <c r="M27" i="29" s="1"/>
  <c r="D28" i="29"/>
  <c r="K28" i="29" s="1"/>
  <c r="W82" i="110" s="1"/>
  <c r="W94" i="110" s="1"/>
  <c r="D29" i="29"/>
  <c r="K29" i="29" s="1"/>
  <c r="X82" i="110" s="1"/>
  <c r="X94" i="110" s="1"/>
  <c r="D30" i="29"/>
  <c r="K30" i="29" s="1"/>
  <c r="D31" i="29"/>
  <c r="K31" i="29" s="1"/>
  <c r="D32" i="29"/>
  <c r="K32" i="29" s="1"/>
  <c r="D33" i="29"/>
  <c r="K33" i="29" s="1"/>
  <c r="D34" i="29"/>
  <c r="K34" i="29" s="1"/>
  <c r="D37" i="29"/>
  <c r="K37" i="29" s="1"/>
  <c r="AF82" i="110" s="1"/>
  <c r="AF94" i="110" s="1"/>
  <c r="M86" i="111"/>
  <c r="M70" i="111" s="1"/>
  <c r="AH35" i="110"/>
  <c r="AJ33" i="111"/>
  <c r="U101" i="110"/>
  <c r="U103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40" i="111"/>
  <c r="P61" i="110"/>
  <c r="P36" i="111"/>
  <c r="P40" i="111"/>
  <c r="C7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8" i="110"/>
  <c r="H7" i="28"/>
  <c r="L7" i="28"/>
  <c r="M7" i="28"/>
  <c r="N7" i="28"/>
  <c r="O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U7" i="28"/>
  <c r="AU8" i="28"/>
  <c r="AU9" i="28"/>
  <c r="AU10" i="28"/>
  <c r="AU11" i="28"/>
  <c r="AU12" i="28"/>
  <c r="AU13" i="28"/>
  <c r="AU14" i="28"/>
  <c r="AU15" i="28"/>
  <c r="AU16" i="28"/>
  <c r="AU17" i="28"/>
  <c r="AU18" i="28"/>
  <c r="AU19" i="28"/>
  <c r="AU20" i="28"/>
  <c r="AU21" i="28"/>
  <c r="AU22" i="28"/>
  <c r="AU23" i="28"/>
  <c r="AU24" i="28"/>
  <c r="AU25" i="28"/>
  <c r="AU26" i="28"/>
  <c r="AU27" i="28"/>
  <c r="AU28" i="28"/>
  <c r="AU29" i="28"/>
  <c r="AX7" i="28"/>
  <c r="BA7" i="28"/>
  <c r="BD7" i="28"/>
  <c r="BG7" i="28"/>
  <c r="BJ7" i="28"/>
  <c r="BM7" i="28"/>
  <c r="BP7" i="28"/>
  <c r="BS7" i="28"/>
  <c r="BS8" i="28"/>
  <c r="BS9" i="28"/>
  <c r="BS10" i="28"/>
  <c r="BS11" i="28"/>
  <c r="BS12" i="28"/>
  <c r="BS13" i="28"/>
  <c r="BS14" i="28"/>
  <c r="BS15" i="28"/>
  <c r="BS16" i="28"/>
  <c r="BS17" i="28"/>
  <c r="BS18" i="28"/>
  <c r="BS19" i="28"/>
  <c r="BS20" i="28"/>
  <c r="BS21" i="28"/>
  <c r="BS22" i="28"/>
  <c r="BS23" i="28"/>
  <c r="BS24" i="28"/>
  <c r="BS25" i="28"/>
  <c r="BS26" i="28"/>
  <c r="BS27" i="28"/>
  <c r="BS28" i="28"/>
  <c r="BS29" i="28"/>
  <c r="BV7" i="28"/>
  <c r="BY7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E7" i="28"/>
  <c r="CH7" i="28"/>
  <c r="CK7" i="28"/>
  <c r="CN7" i="28"/>
  <c r="CQ7" i="28"/>
  <c r="CQ8" i="28"/>
  <c r="CQ9" i="28"/>
  <c r="CQ10" i="28"/>
  <c r="CQ11" i="28"/>
  <c r="CQ12" i="28"/>
  <c r="CQ13" i="28"/>
  <c r="CQ14" i="28"/>
  <c r="CQ15" i="28"/>
  <c r="CQ16" i="28"/>
  <c r="CQ17" i="28"/>
  <c r="CQ18" i="28"/>
  <c r="CQ19" i="28"/>
  <c r="CQ20" i="28"/>
  <c r="CQ21" i="28"/>
  <c r="CQ22" i="28"/>
  <c r="CQ23" i="28"/>
  <c r="CQ24" i="28"/>
  <c r="CQ25" i="28"/>
  <c r="CQ26" i="28"/>
  <c r="CQ27" i="28"/>
  <c r="CQ28" i="28"/>
  <c r="CQ29" i="28"/>
  <c r="CT7" i="28"/>
  <c r="CW7" i="28"/>
  <c r="CZ7" i="28"/>
  <c r="H8" i="28"/>
  <c r="L8" i="28"/>
  <c r="M8" i="28"/>
  <c r="N8" i="28"/>
  <c r="O8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Z8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AC8" i="28"/>
  <c r="AF8" i="28"/>
  <c r="AI8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X8" i="28"/>
  <c r="BA8" i="28"/>
  <c r="BD8" i="28"/>
  <c r="BG8" i="28"/>
  <c r="BJ8" i="28"/>
  <c r="BM8" i="28"/>
  <c r="BP8" i="28"/>
  <c r="BV8" i="28"/>
  <c r="BV9" i="28"/>
  <c r="BV10" i="28"/>
  <c r="BV11" i="28"/>
  <c r="BV12" i="28"/>
  <c r="BV13" i="28"/>
  <c r="BV14" i="28"/>
  <c r="BV15" i="28"/>
  <c r="BV16" i="28"/>
  <c r="BV17" i="28"/>
  <c r="BV18" i="28"/>
  <c r="BV19" i="28"/>
  <c r="BV20" i="28"/>
  <c r="BV21" i="28"/>
  <c r="BV22" i="28"/>
  <c r="BV23" i="28"/>
  <c r="BV24" i="28"/>
  <c r="BV25" i="28"/>
  <c r="BV26" i="28"/>
  <c r="BV27" i="28"/>
  <c r="BV28" i="28"/>
  <c r="BV29" i="28"/>
  <c r="BY8" i="28"/>
  <c r="CE8" i="28"/>
  <c r="CH8" i="28"/>
  <c r="CH9" i="28"/>
  <c r="CH10" i="28"/>
  <c r="CH11" i="28"/>
  <c r="CH12" i="28"/>
  <c r="CH13" i="28"/>
  <c r="CH14" i="28"/>
  <c r="CH15" i="28"/>
  <c r="CH16" i="28"/>
  <c r="CH17" i="28"/>
  <c r="CH18" i="28"/>
  <c r="CH19" i="28"/>
  <c r="CH20" i="28"/>
  <c r="CH21" i="28"/>
  <c r="CH22" i="28"/>
  <c r="CH23" i="28"/>
  <c r="CH24" i="28"/>
  <c r="CH25" i="28"/>
  <c r="CH26" i="28"/>
  <c r="CH27" i="28"/>
  <c r="CH28" i="28"/>
  <c r="CH29" i="28"/>
  <c r="CK8" i="28"/>
  <c r="CN8" i="28"/>
  <c r="CT8" i="28"/>
  <c r="CW8" i="28"/>
  <c r="CZ8" i="28"/>
  <c r="H9" i="28"/>
  <c r="L9" i="28"/>
  <c r="M9" i="28"/>
  <c r="N9" i="28"/>
  <c r="O9" i="28"/>
  <c r="AC9" i="28"/>
  <c r="AF9" i="28"/>
  <c r="AI9" i="28"/>
  <c r="AX9" i="28"/>
  <c r="BA9" i="28"/>
  <c r="BD9" i="28"/>
  <c r="BG9" i="28"/>
  <c r="BJ9" i="28"/>
  <c r="BM9" i="28"/>
  <c r="BM10" i="28"/>
  <c r="BM11" i="28"/>
  <c r="BM12" i="28"/>
  <c r="BM13" i="28"/>
  <c r="BM14" i="28"/>
  <c r="BM15" i="28"/>
  <c r="BM16" i="28"/>
  <c r="BM17" i="28"/>
  <c r="BM18" i="28"/>
  <c r="BM19" i="28"/>
  <c r="BM20" i="28"/>
  <c r="BM21" i="28"/>
  <c r="BM22" i="28"/>
  <c r="BM23" i="28"/>
  <c r="BM24" i="28"/>
  <c r="BM25" i="28"/>
  <c r="BM26" i="28"/>
  <c r="BM27" i="28"/>
  <c r="BM28" i="28"/>
  <c r="BM29" i="28"/>
  <c r="BP9" i="28"/>
  <c r="BY9" i="28"/>
  <c r="CE9" i="28"/>
  <c r="CK9" i="28"/>
  <c r="CK10" i="28"/>
  <c r="CK11" i="28"/>
  <c r="CK12" i="28"/>
  <c r="CK13" i="28"/>
  <c r="CK14" i="28"/>
  <c r="CK15" i="28"/>
  <c r="CK16" i="28"/>
  <c r="CK17" i="28"/>
  <c r="CK18" i="28"/>
  <c r="CK19" i="28"/>
  <c r="CK20" i="28"/>
  <c r="CK21" i="28"/>
  <c r="CK22" i="28"/>
  <c r="CK23" i="28"/>
  <c r="CK24" i="28"/>
  <c r="CK25" i="28"/>
  <c r="CK26" i="28"/>
  <c r="CK27" i="28"/>
  <c r="CK28" i="28"/>
  <c r="CK29" i="28"/>
  <c r="CN9" i="28"/>
  <c r="CT9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Z9" i="28"/>
  <c r="H10" i="28"/>
  <c r="L10" i="28"/>
  <c r="M10" i="28"/>
  <c r="N10" i="28"/>
  <c r="O10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F10" i="28"/>
  <c r="AI10" i="28"/>
  <c r="AX10" i="28"/>
  <c r="BA10" i="28"/>
  <c r="BD10" i="28"/>
  <c r="BG10" i="28"/>
  <c r="BJ10" i="28"/>
  <c r="BP10" i="28"/>
  <c r="BY10" i="28"/>
  <c r="CE10" i="28"/>
  <c r="CN10" i="28"/>
  <c r="CN11" i="28"/>
  <c r="CN12" i="28"/>
  <c r="CN13" i="28"/>
  <c r="CN14" i="28"/>
  <c r="CN15" i="28"/>
  <c r="CN16" i="28"/>
  <c r="CN17" i="28"/>
  <c r="CN18" i="28"/>
  <c r="CN19" i="28"/>
  <c r="CN20" i="28"/>
  <c r="CN21" i="28"/>
  <c r="CN22" i="28"/>
  <c r="CN23" i="28"/>
  <c r="CN24" i="28"/>
  <c r="CN25" i="28"/>
  <c r="CN26" i="28"/>
  <c r="CN27" i="28"/>
  <c r="CN28" i="28"/>
  <c r="CN29" i="28"/>
  <c r="CT10" i="28"/>
  <c r="CZ10" i="28"/>
  <c r="H11" i="28"/>
  <c r="L11" i="28"/>
  <c r="M11" i="28"/>
  <c r="N11" i="28"/>
  <c r="O11" i="28"/>
  <c r="AF11" i="28"/>
  <c r="AI11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BA11" i="28"/>
  <c r="BD11" i="28"/>
  <c r="BG11" i="28"/>
  <c r="BJ11" i="28"/>
  <c r="BP11" i="28"/>
  <c r="BY11" i="28"/>
  <c r="BY12" i="28"/>
  <c r="BY13" i="28"/>
  <c r="BY14" i="28"/>
  <c r="BY15" i="28"/>
  <c r="BY16" i="28"/>
  <c r="BY17" i="28"/>
  <c r="BY18" i="28"/>
  <c r="BY19" i="28"/>
  <c r="BY20" i="28"/>
  <c r="BY21" i="28"/>
  <c r="BY22" i="28"/>
  <c r="BY23" i="28"/>
  <c r="BY24" i="28"/>
  <c r="BY25" i="28"/>
  <c r="BY26" i="28"/>
  <c r="BY27" i="28"/>
  <c r="BY28" i="28"/>
  <c r="BY29" i="28"/>
  <c r="CE11" i="28"/>
  <c r="CT11" i="28"/>
  <c r="CZ11" i="28"/>
  <c r="H12" i="28"/>
  <c r="L12" i="28"/>
  <c r="M12" i="28"/>
  <c r="N12" i="28"/>
  <c r="O12" i="28"/>
  <c r="AF12" i="28"/>
  <c r="AI12" i="28"/>
  <c r="BA12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G12" i="28"/>
  <c r="BJ12" i="28"/>
  <c r="BP12" i="28"/>
  <c r="CE12" i="28"/>
  <c r="CT12" i="28"/>
  <c r="CZ12" i="28"/>
  <c r="H13" i="28"/>
  <c r="L13" i="28"/>
  <c r="M13" i="28"/>
  <c r="N13" i="28"/>
  <c r="O13" i="28"/>
  <c r="AF13" i="28"/>
  <c r="AI13" i="28"/>
  <c r="BA13" i="28"/>
  <c r="BA14" i="28"/>
  <c r="BA15" i="28"/>
  <c r="BA16" i="28"/>
  <c r="BA17" i="28"/>
  <c r="BA18" i="28"/>
  <c r="BA19" i="28"/>
  <c r="BA20" i="28"/>
  <c r="BA21" i="28"/>
  <c r="BA22" i="28"/>
  <c r="BA23" i="28"/>
  <c r="BA24" i="28"/>
  <c r="BA25" i="28"/>
  <c r="BA26" i="28"/>
  <c r="BA27" i="28"/>
  <c r="BA28" i="28"/>
  <c r="BA29" i="28"/>
  <c r="BG13" i="28"/>
  <c r="BJ13" i="28"/>
  <c r="BP13" i="28"/>
  <c r="CE13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Z13" i="28"/>
  <c r="H14" i="28"/>
  <c r="L14" i="28"/>
  <c r="M14" i="28"/>
  <c r="N14" i="28"/>
  <c r="O14" i="28"/>
  <c r="AF14" i="28"/>
  <c r="AI14" i="28"/>
  <c r="BG14" i="28"/>
  <c r="BJ14" i="28"/>
  <c r="BP14" i="28"/>
  <c r="CE14" i="28"/>
  <c r="CZ14" i="28"/>
  <c r="H15" i="28"/>
  <c r="L15" i="28"/>
  <c r="M15" i="28"/>
  <c r="N15" i="28"/>
  <c r="O15" i="28"/>
  <c r="AF15" i="28"/>
  <c r="AI15" i="28"/>
  <c r="BG15" i="28"/>
  <c r="BJ15" i="28"/>
  <c r="BP15" i="28"/>
  <c r="CE15" i="28"/>
  <c r="CZ15" i="28"/>
  <c r="H16" i="28"/>
  <c r="L16" i="28"/>
  <c r="M16" i="28"/>
  <c r="N16" i="28"/>
  <c r="O16" i="28"/>
  <c r="AF16" i="28"/>
  <c r="AI16" i="28"/>
  <c r="BG16" i="28"/>
  <c r="BJ16" i="28"/>
  <c r="BP16" i="28"/>
  <c r="CE16" i="28"/>
  <c r="CZ16" i="28"/>
  <c r="H17" i="28"/>
  <c r="L17" i="28"/>
  <c r="M17" i="28"/>
  <c r="N17" i="28"/>
  <c r="O17" i="28"/>
  <c r="AF17" i="28"/>
  <c r="AI17" i="28"/>
  <c r="BG17" i="28"/>
  <c r="BJ17" i="28"/>
  <c r="BP17" i="28"/>
  <c r="CE17" i="28"/>
  <c r="CZ17" i="28"/>
  <c r="H18" i="28"/>
  <c r="L18" i="28"/>
  <c r="M18" i="28"/>
  <c r="N18" i="28"/>
  <c r="O18" i="28"/>
  <c r="AF18" i="28"/>
  <c r="AI18" i="28"/>
  <c r="BG18" i="28"/>
  <c r="BJ18" i="28"/>
  <c r="BP18" i="28"/>
  <c r="CE18" i="28"/>
  <c r="CZ18" i="28"/>
  <c r="H19" i="28"/>
  <c r="L19" i="28"/>
  <c r="M19" i="28"/>
  <c r="N19" i="28"/>
  <c r="O19" i="28"/>
  <c r="AF19" i="28"/>
  <c r="AI19" i="28"/>
  <c r="BG19" i="28"/>
  <c r="BJ19" i="28"/>
  <c r="BP19" i="28"/>
  <c r="CE19" i="28"/>
  <c r="CZ19" i="28"/>
  <c r="H20" i="28"/>
  <c r="L20" i="28"/>
  <c r="M20" i="28"/>
  <c r="N20" i="28"/>
  <c r="O20" i="28"/>
  <c r="AF20" i="28"/>
  <c r="AI20" i="28"/>
  <c r="BG20" i="28"/>
  <c r="BJ20" i="28"/>
  <c r="BP20" i="28"/>
  <c r="CE20" i="28"/>
  <c r="CZ20" i="28"/>
  <c r="H21" i="28"/>
  <c r="L21" i="28"/>
  <c r="M21" i="28"/>
  <c r="N21" i="28"/>
  <c r="O21" i="28"/>
  <c r="AF21" i="28"/>
  <c r="AI21" i="28"/>
  <c r="BG21" i="28"/>
  <c r="BJ21" i="28"/>
  <c r="BP21" i="28"/>
  <c r="BP22" i="28"/>
  <c r="BP23" i="28"/>
  <c r="BP24" i="28"/>
  <c r="BP25" i="28"/>
  <c r="BP26" i="28"/>
  <c r="BP27" i="28"/>
  <c r="BP28" i="28"/>
  <c r="BP29" i="28"/>
  <c r="CE21" i="28"/>
  <c r="CZ21" i="28"/>
  <c r="H22" i="28"/>
  <c r="L22" i="28"/>
  <c r="M22" i="28"/>
  <c r="N22" i="28"/>
  <c r="O22" i="28"/>
  <c r="AF22" i="28"/>
  <c r="AI22" i="28"/>
  <c r="BG22" i="28"/>
  <c r="BJ22" i="28"/>
  <c r="CE22" i="28"/>
  <c r="CZ22" i="28"/>
  <c r="H23" i="28"/>
  <c r="L23" i="28"/>
  <c r="M23" i="28"/>
  <c r="N23" i="28"/>
  <c r="O23" i="28"/>
  <c r="AF23" i="28"/>
  <c r="AI23" i="28"/>
  <c r="BG23" i="28"/>
  <c r="BJ23" i="28"/>
  <c r="CE23" i="28"/>
  <c r="CZ23" i="28"/>
  <c r="H24" i="28"/>
  <c r="L24" i="28"/>
  <c r="M24" i="28"/>
  <c r="N24" i="28"/>
  <c r="O24" i="28"/>
  <c r="AF24" i="28"/>
  <c r="AI24" i="28"/>
  <c r="BG24" i="28"/>
  <c r="BJ24" i="28"/>
  <c r="CE24" i="28"/>
  <c r="CZ24" i="28"/>
  <c r="H25" i="28"/>
  <c r="L25" i="28"/>
  <c r="M25" i="28"/>
  <c r="N25" i="28"/>
  <c r="O25" i="28"/>
  <c r="AF25" i="28"/>
  <c r="AI25" i="28"/>
  <c r="BG25" i="28"/>
  <c r="BJ25" i="28"/>
  <c r="CE25" i="28"/>
  <c r="CZ25" i="28"/>
  <c r="H26" i="28"/>
  <c r="L26" i="28"/>
  <c r="M26" i="28"/>
  <c r="N26" i="28"/>
  <c r="O26" i="28"/>
  <c r="AF26" i="28"/>
  <c r="AI26" i="28"/>
  <c r="BG26" i="28"/>
  <c r="BJ26" i="28"/>
  <c r="CE26" i="28"/>
  <c r="CZ26" i="28"/>
  <c r="H27" i="28"/>
  <c r="L27" i="28"/>
  <c r="M27" i="28"/>
  <c r="N27" i="28"/>
  <c r="O27" i="28"/>
  <c r="AF27" i="28"/>
  <c r="AI27" i="28"/>
  <c r="BG27" i="28"/>
  <c r="BJ27" i="28"/>
  <c r="CE27" i="28"/>
  <c r="CZ27" i="28"/>
  <c r="H28" i="28"/>
  <c r="L28" i="28"/>
  <c r="M28" i="28"/>
  <c r="N28" i="28"/>
  <c r="O28" i="28"/>
  <c r="AF28" i="28"/>
  <c r="AI28" i="28"/>
  <c r="BG28" i="28"/>
  <c r="BJ28" i="28"/>
  <c r="CE28" i="28"/>
  <c r="CZ28" i="28"/>
  <c r="H29" i="28"/>
  <c r="L29" i="28"/>
  <c r="M29" i="28"/>
  <c r="N29" i="28"/>
  <c r="O29" i="28"/>
  <c r="AF29" i="28"/>
  <c r="AI29" i="28"/>
  <c r="BG29" i="28"/>
  <c r="BJ29" i="28"/>
  <c r="CE29" i="28"/>
  <c r="CZ29" i="28"/>
  <c r="H30" i="28"/>
  <c r="L30" i="28"/>
  <c r="M30" i="28"/>
  <c r="N30" i="28"/>
  <c r="O30" i="28"/>
  <c r="T30" i="28"/>
  <c r="W30" i="28"/>
  <c r="Z30" i="28"/>
  <c r="AC30" i="28"/>
  <c r="AF30" i="28"/>
  <c r="AI30" i="28"/>
  <c r="AL30" i="28"/>
  <c r="AO30" i="28"/>
  <c r="AR30" i="28"/>
  <c r="AU30" i="28"/>
  <c r="AX30" i="28"/>
  <c r="BA30" i="28"/>
  <c r="BD30" i="28"/>
  <c r="BG30" i="28"/>
  <c r="BJ30" i="28"/>
  <c r="BM30" i="28"/>
  <c r="BP30" i="28"/>
  <c r="BS30" i="28"/>
  <c r="BV30" i="28"/>
  <c r="BY30" i="28"/>
  <c r="CB30" i="28"/>
  <c r="CE30" i="28"/>
  <c r="CH30" i="28"/>
  <c r="CK30" i="28"/>
  <c r="CN30" i="28"/>
  <c r="CQ30" i="28"/>
  <c r="CT30" i="28"/>
  <c r="CW30" i="28"/>
  <c r="CZ30" i="28"/>
  <c r="H31" i="28"/>
  <c r="L31" i="28"/>
  <c r="M31" i="28"/>
  <c r="N31" i="28"/>
  <c r="O31" i="28"/>
  <c r="H32" i="28"/>
  <c r="L32" i="28"/>
  <c r="M32" i="28"/>
  <c r="N32" i="28"/>
  <c r="O32" i="28"/>
  <c r="H33" i="28"/>
  <c r="L33" i="28"/>
  <c r="M33" i="28"/>
  <c r="N33" i="28"/>
  <c r="O33" i="28"/>
  <c r="H34" i="28"/>
  <c r="L34" i="28"/>
  <c r="M34" i="28"/>
  <c r="N34" i="28"/>
  <c r="O34" i="28"/>
  <c r="B6" i="29"/>
  <c r="D7" i="29"/>
  <c r="K7" i="29" s="1"/>
  <c r="C7" i="29"/>
  <c r="C38" i="29" s="1"/>
  <c r="H38" i="29" s="1"/>
  <c r="E7" i="29"/>
  <c r="I7" i="29" s="1"/>
  <c r="D8" i="29"/>
  <c r="K8" i="29" s="1"/>
  <c r="C82" i="110" s="1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I82" i="110" s="1"/>
  <c r="D15" i="29"/>
  <c r="K15" i="29" s="1"/>
  <c r="J54" i="111" s="1"/>
  <c r="D16" i="29"/>
  <c r="K16" i="29" s="1"/>
  <c r="M16" i="29" s="1"/>
  <c r="D17" i="29"/>
  <c r="K17" i="29" s="1"/>
  <c r="I10" i="23"/>
  <c r="J10" i="23"/>
  <c r="J43" i="23" s="1"/>
  <c r="K10" i="23"/>
  <c r="K43" i="23" s="1"/>
  <c r="O26" i="23"/>
  <c r="O1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H97" i="110"/>
  <c r="F93" i="111"/>
  <c r="AH102" i="110"/>
  <c r="AF9" i="111"/>
  <c r="W9" i="111"/>
  <c r="W74" i="111" s="1"/>
  <c r="J93" i="111"/>
  <c r="L9" i="111"/>
  <c r="AI70" i="111"/>
  <c r="O29" i="23"/>
  <c r="P40" i="23"/>
  <c r="Q89" i="111"/>
  <c r="AF59" i="110"/>
  <c r="Q15" i="110"/>
  <c r="AB16" i="111"/>
  <c r="AF91" i="110"/>
  <c r="P49" i="111"/>
  <c r="AD46" i="110"/>
  <c r="AD65" i="110" s="1"/>
  <c r="M49" i="111"/>
  <c r="Q49" i="111"/>
  <c r="I49" i="111"/>
  <c r="AJ64" i="110"/>
  <c r="H8" i="111"/>
  <c r="H90" i="110"/>
  <c r="H91" i="110"/>
  <c r="H56" i="110"/>
  <c r="H9" i="111"/>
  <c r="H74" i="111" s="1"/>
  <c r="C95" i="111"/>
  <c r="L91" i="110"/>
  <c r="O56" i="110"/>
  <c r="AA9" i="111"/>
  <c r="AA90" i="110"/>
  <c r="Z9" i="111"/>
  <c r="Z90" i="110"/>
  <c r="O9" i="111"/>
  <c r="Z56" i="110"/>
  <c r="Z91" i="110"/>
  <c r="U56" i="110"/>
  <c r="U9" i="111"/>
  <c r="U91" i="110"/>
  <c r="M9" i="111"/>
  <c r="M56" i="110"/>
  <c r="M91" i="110"/>
  <c r="AC9" i="111"/>
  <c r="AJ8" i="110"/>
  <c r="W90" i="110"/>
  <c r="V9" i="111"/>
  <c r="V91" i="110"/>
  <c r="V56" i="110"/>
  <c r="S90" i="110"/>
  <c r="R90" i="110"/>
  <c r="R56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90" i="110"/>
  <c r="I9" i="111"/>
  <c r="I74" i="111" s="1"/>
  <c r="Q90" i="110"/>
  <c r="I91" i="110"/>
  <c r="S91" i="110"/>
  <c r="Q60" i="110"/>
  <c r="I90" i="110"/>
  <c r="AA56" i="110"/>
  <c r="Y56" i="110"/>
  <c r="Y91" i="110"/>
  <c r="Q61" i="110"/>
  <c r="Q91" i="110"/>
  <c r="I61" i="110"/>
  <c r="Q9" i="111"/>
  <c r="Q56" i="110"/>
  <c r="X92" i="110"/>
  <c r="AC60" i="110"/>
  <c r="G47" i="110"/>
  <c r="G19" i="109"/>
  <c r="D19" i="109" s="1"/>
  <c r="G20" i="109"/>
  <c r="D20" i="109" s="1"/>
  <c r="AE37" i="110"/>
  <c r="I37" i="110"/>
  <c r="AE62" i="110"/>
  <c r="AE91" i="110"/>
  <c r="AE56" i="110"/>
  <c r="AE90" i="110"/>
  <c r="B78" i="110" l="1"/>
  <c r="AG47" i="111"/>
  <c r="S54" i="111"/>
  <c r="M24" i="29"/>
  <c r="G89" i="111"/>
  <c r="AG87" i="111"/>
  <c r="AG89" i="111" s="1"/>
  <c r="M10" i="23"/>
  <c r="I43" i="23"/>
  <c r="M82" i="110"/>
  <c r="M94" i="110" s="1"/>
  <c r="M18" i="29"/>
  <c r="N82" i="110"/>
  <c r="N94" i="110" s="1"/>
  <c r="M19" i="29"/>
  <c r="L82" i="110"/>
  <c r="L94" i="110" s="1"/>
  <c r="M17" i="29"/>
  <c r="B70" i="111"/>
  <c r="AG86" i="111"/>
  <c r="K38" i="29"/>
  <c r="M38" i="29" s="1"/>
  <c r="O38" i="29" s="1"/>
  <c r="H7" i="29"/>
  <c r="B82" i="110"/>
  <c r="Z7" i="31"/>
  <c r="Z38" i="31" s="1"/>
  <c r="D82" i="110"/>
  <c r="D94" i="110" s="1"/>
  <c r="AF54" i="111"/>
  <c r="U54" i="111"/>
  <c r="T54" i="111"/>
  <c r="AE54" i="111"/>
  <c r="AC54" i="111"/>
  <c r="V54" i="111"/>
  <c r="W54" i="111"/>
  <c r="Y54" i="111"/>
  <c r="Z54" i="111"/>
  <c r="AA54" i="111"/>
  <c r="AD54" i="111"/>
  <c r="X54" i="111"/>
  <c r="AB54" i="111"/>
  <c r="B114" i="110"/>
  <c r="E82" i="110"/>
  <c r="E94" i="110" s="1"/>
  <c r="H82" i="110"/>
  <c r="H94" i="110" s="1"/>
  <c r="F54" i="111"/>
  <c r="AG8" i="111"/>
  <c r="AI8" i="111" s="1"/>
  <c r="AC68" i="111"/>
  <c r="AC73" i="111"/>
  <c r="AC84" i="111"/>
  <c r="AC64" i="111"/>
  <c r="AC62" i="111"/>
  <c r="AC81" i="111"/>
  <c r="AC82" i="111"/>
  <c r="AC75" i="111"/>
  <c r="AC80" i="111"/>
  <c r="AC71" i="111"/>
  <c r="AC69" i="111"/>
  <c r="AC74" i="111"/>
  <c r="AC67" i="111"/>
  <c r="AC72" i="111"/>
  <c r="AC59" i="111"/>
  <c r="Y64" i="111"/>
  <c r="Y71" i="111"/>
  <c r="Y69" i="111"/>
  <c r="Y67" i="111"/>
  <c r="Y72" i="111"/>
  <c r="Y75" i="111"/>
  <c r="Y68" i="111"/>
  <c r="Y62" i="111"/>
  <c r="Y74" i="111"/>
  <c r="Y73" i="111"/>
  <c r="AA80" i="111"/>
  <c r="AA71" i="111"/>
  <c r="AA59" i="111"/>
  <c r="AA62" i="111"/>
  <c r="AA69" i="111"/>
  <c r="AA74" i="111"/>
  <c r="AA81" i="111"/>
  <c r="AA67" i="111"/>
  <c r="AA72" i="111"/>
  <c r="AA68" i="111"/>
  <c r="AA73" i="111"/>
  <c r="AA82" i="111"/>
  <c r="AA75" i="111"/>
  <c r="AA84" i="111"/>
  <c r="AA64" i="111"/>
  <c r="AF68" i="111"/>
  <c r="AF84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2" i="111"/>
  <c r="Z69" i="111"/>
  <c r="Z74" i="111"/>
  <c r="Z75" i="111"/>
  <c r="Z68" i="111"/>
  <c r="Z73" i="111"/>
  <c r="Z64" i="111"/>
  <c r="Z71" i="111"/>
  <c r="Z72" i="111"/>
  <c r="Z67" i="111"/>
  <c r="M26" i="23"/>
  <c r="O24" i="23"/>
  <c r="O23" i="23"/>
  <c r="N40" i="23"/>
  <c r="P39" i="23"/>
  <c r="M28" i="23"/>
  <c r="O27" i="23"/>
  <c r="O22" i="23"/>
  <c r="M21" i="23"/>
  <c r="M20" i="23"/>
  <c r="M37" i="23"/>
  <c r="O25" i="23"/>
  <c r="M40" i="23"/>
  <c r="P36" i="23"/>
  <c r="M18" i="23"/>
  <c r="N11" i="23"/>
  <c r="O40" i="23"/>
  <c r="O35" i="23"/>
  <c r="P17" i="23"/>
  <c r="P34" i="23"/>
  <c r="M16" i="23"/>
  <c r="M38" i="23"/>
  <c r="O12" i="23"/>
  <c r="M15" i="23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2" i="110"/>
  <c r="X15" i="111"/>
  <c r="N38" i="109"/>
  <c r="G19" i="110"/>
  <c r="L19" i="110"/>
  <c r="L26" i="110" s="1"/>
  <c r="D38" i="29"/>
  <c r="M38" i="109"/>
  <c r="J38" i="109"/>
  <c r="G7" i="31"/>
  <c r="C15" i="111"/>
  <c r="B37" i="111"/>
  <c r="Q38" i="31"/>
  <c r="E38" i="29"/>
  <c r="D19" i="110"/>
  <c r="B15" i="111"/>
  <c r="C38" i="109"/>
  <c r="T7" i="31"/>
  <c r="T38" i="31" s="1"/>
  <c r="T31" i="28"/>
  <c r="BG31" i="28"/>
  <c r="AL31" i="28"/>
  <c r="AX31" i="28"/>
  <c r="AO31" i="28"/>
  <c r="CQ31" i="28"/>
  <c r="Z31" i="28"/>
  <c r="CE31" i="28"/>
  <c r="BY31" i="28"/>
  <c r="BV31" i="28"/>
  <c r="AC31" i="28"/>
  <c r="CN31" i="28"/>
  <c r="BS31" i="28"/>
  <c r="CW31" i="28"/>
  <c r="AI31" i="28"/>
  <c r="BP31" i="28"/>
  <c r="AU31" i="28"/>
  <c r="CB31" i="28"/>
  <c r="CH31" i="28"/>
  <c r="W31" i="28"/>
  <c r="BD31" i="28"/>
  <c r="AF31" i="28"/>
  <c r="BM31" i="28"/>
  <c r="CT31" i="28"/>
  <c r="AR31" i="28"/>
  <c r="CK31" i="28"/>
  <c r="BA31" i="28"/>
  <c r="CZ31" i="28"/>
  <c r="BJ31" i="28"/>
  <c r="Q52" i="111"/>
  <c r="Q101" i="111" s="1"/>
  <c r="Q114" i="110"/>
  <c r="P28" i="23"/>
  <c r="P29" i="23"/>
  <c r="M24" i="23"/>
  <c r="N24" i="23"/>
  <c r="M27" i="23"/>
  <c r="P26" i="23"/>
  <c r="P27" i="23"/>
  <c r="N25" i="23"/>
  <c r="P24" i="23"/>
  <c r="M25" i="23"/>
  <c r="P25" i="23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O28" i="23"/>
  <c r="M32" i="23"/>
  <c r="M30" i="23"/>
  <c r="P32" i="23"/>
  <c r="O39" i="23"/>
  <c r="P12" i="23"/>
  <c r="N39" i="23"/>
  <c r="P38" i="23"/>
  <c r="M39" i="23"/>
  <c r="M33" i="23"/>
  <c r="N32" i="23"/>
  <c r="O33" i="23"/>
  <c r="O38" i="23"/>
  <c r="P18" i="23"/>
  <c r="M12" i="23"/>
  <c r="O19" i="23"/>
  <c r="P30" i="23"/>
  <c r="O16" i="23"/>
  <c r="M34" i="23"/>
  <c r="N31" i="23"/>
  <c r="N16" i="23"/>
  <c r="O34" i="23"/>
  <c r="P16" i="23"/>
  <c r="M31" i="23"/>
  <c r="N38" i="23"/>
  <c r="O36" i="23"/>
  <c r="P37" i="23"/>
  <c r="P19" i="23"/>
  <c r="O31" i="23"/>
  <c r="N37" i="23"/>
  <c r="O10" i="23"/>
  <c r="P10" i="23"/>
  <c r="O15" i="23"/>
  <c r="O37" i="23"/>
  <c r="O17" i="23"/>
  <c r="P22" i="23"/>
  <c r="N17" i="23"/>
  <c r="P14" i="23"/>
  <c r="P13" i="23"/>
  <c r="M13" i="23"/>
  <c r="M11" i="23"/>
  <c r="P11" i="23"/>
  <c r="O21" i="23"/>
  <c r="P20" i="23"/>
  <c r="M22" i="23"/>
  <c r="O20" i="23"/>
  <c r="M35" i="23"/>
  <c r="M23" i="23"/>
  <c r="P35" i="23"/>
  <c r="M17" i="23"/>
  <c r="O14" i="23"/>
  <c r="M19" i="23"/>
  <c r="O18" i="23"/>
  <c r="M36" i="23"/>
  <c r="P15" i="23"/>
  <c r="P23" i="23"/>
  <c r="N18" i="23"/>
  <c r="P21" i="23"/>
  <c r="O30" i="23"/>
  <c r="O11" i="23"/>
  <c r="N10" i="23"/>
  <c r="C21" i="110"/>
  <c r="E11" i="23"/>
  <c r="X17" i="111"/>
  <c r="E32" i="23"/>
  <c r="I29" i="110"/>
  <c r="Z21" i="110"/>
  <c r="Z22" i="110" s="1"/>
  <c r="Z88" i="110" s="1"/>
  <c r="E34" i="23"/>
  <c r="S17" i="111"/>
  <c r="E27" i="23"/>
  <c r="R23" i="111"/>
  <c r="R21" i="110"/>
  <c r="Q23" i="111"/>
  <c r="B96" i="111"/>
  <c r="F38" i="31"/>
  <c r="V21" i="110"/>
  <c r="F21" i="110"/>
  <c r="H42" i="110"/>
  <c r="H60" i="110" s="1"/>
  <c r="H69" i="110" s="1"/>
  <c r="B20" i="110"/>
  <c r="D38" i="31"/>
  <c r="C29" i="110"/>
  <c r="AH29" i="110" s="1"/>
  <c r="H38" i="31"/>
  <c r="Q17" i="111"/>
  <c r="E25" i="23"/>
  <c r="Y28" i="110"/>
  <c r="E33" i="23"/>
  <c r="L17" i="111"/>
  <c r="Z28" i="110"/>
  <c r="I21" i="110"/>
  <c r="E17" i="23"/>
  <c r="AB28" i="110"/>
  <c r="X23" i="111"/>
  <c r="X25" i="111" s="1"/>
  <c r="X26" i="111" s="1"/>
  <c r="P21" i="110"/>
  <c r="E24" i="23"/>
  <c r="O23" i="111"/>
  <c r="G21" i="110"/>
  <c r="E17" i="111"/>
  <c r="B83" i="110"/>
  <c r="AE83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E31" i="23"/>
  <c r="AA21" i="110"/>
  <c r="E35" i="23"/>
  <c r="N28" i="110"/>
  <c r="C54" i="111"/>
  <c r="H17" i="111"/>
  <c r="E16" i="23"/>
  <c r="K23" i="111"/>
  <c r="K25" i="111" s="1"/>
  <c r="K26" i="111" s="1"/>
  <c r="G42" i="110"/>
  <c r="G60" i="110" s="1"/>
  <c r="U17" i="111"/>
  <c r="M17" i="111"/>
  <c r="G28" i="109"/>
  <c r="S63" i="110"/>
  <c r="O71" i="111"/>
  <c r="O82" i="110"/>
  <c r="K45" i="110"/>
  <c r="K31" i="110" s="1"/>
  <c r="K29" i="110"/>
  <c r="Z28" i="11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F19" i="110"/>
  <c r="AF26" i="110" s="1"/>
  <c r="AA30" i="110"/>
  <c r="O44" i="110"/>
  <c r="O62" i="110" s="1"/>
  <c r="I39" i="110"/>
  <c r="I57" i="110" s="1"/>
  <c r="I30" i="28"/>
  <c r="E33" i="111"/>
  <c r="J40" i="111"/>
  <c r="Q82" i="111"/>
  <c r="N92" i="110"/>
  <c r="AE114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2" i="110"/>
  <c r="AC34" i="111"/>
  <c r="AA34" i="111"/>
  <c r="V29" i="111"/>
  <c r="V64" i="111" s="1"/>
  <c r="U96" i="111"/>
  <c r="Q28" i="110"/>
  <c r="Q37" i="111"/>
  <c r="K23" i="109"/>
  <c r="H39" i="110"/>
  <c r="H57" i="110" s="1"/>
  <c r="O36" i="110"/>
  <c r="O30" i="110" s="1"/>
  <c r="C36" i="110"/>
  <c r="C30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F114" i="110"/>
  <c r="AC47" i="110"/>
  <c r="X40" i="111"/>
  <c r="T37" i="110"/>
  <c r="R47" i="110"/>
  <c r="Q92" i="110"/>
  <c r="B65" i="110"/>
  <c r="I21" i="28"/>
  <c r="Q16" i="111"/>
  <c r="N23" i="111"/>
  <c r="N52" i="111"/>
  <c r="N101" i="111" s="1"/>
  <c r="P34" i="111"/>
  <c r="S34" i="111"/>
  <c r="S69" i="111" s="1"/>
  <c r="I45" i="110"/>
  <c r="I31" i="110" s="1"/>
  <c r="D63" i="110"/>
  <c r="D37" i="111"/>
  <c r="C37" i="110"/>
  <c r="O47" i="110"/>
  <c r="Z32" i="111"/>
  <c r="J15" i="111"/>
  <c r="M20" i="110"/>
  <c r="I32" i="28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I34" i="28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54" i="111"/>
  <c r="H84" i="111" s="1"/>
  <c r="G39" i="111"/>
  <c r="G75" i="111" s="1"/>
  <c r="AF29" i="110"/>
  <c r="AF42" i="110"/>
  <c r="AF60" i="110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D31" i="111"/>
  <c r="O27" i="109"/>
  <c r="R27" i="109" s="1"/>
  <c r="J29" i="111"/>
  <c r="L92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I24" i="28"/>
  <c r="X29" i="110"/>
  <c r="E47" i="110"/>
  <c r="W39" i="111"/>
  <c r="W75" i="111" s="1"/>
  <c r="Y31" i="111"/>
  <c r="AB40" i="111"/>
  <c r="AA32" i="111"/>
  <c r="Q34" i="111"/>
  <c r="I20" i="28"/>
  <c r="R36" i="111"/>
  <c r="R72" i="111" s="1"/>
  <c r="X44" i="110"/>
  <c r="X62" i="110" s="1"/>
  <c r="M34" i="111"/>
  <c r="M69" i="111" s="1"/>
  <c r="N24" i="111"/>
  <c r="H46" i="110"/>
  <c r="H65" i="110" s="1"/>
  <c r="I25" i="28"/>
  <c r="U36" i="110"/>
  <c r="U15" i="111"/>
  <c r="N42" i="110"/>
  <c r="N60" i="110" s="1"/>
  <c r="AF39" i="110"/>
  <c r="AF57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X31" i="111"/>
  <c r="Z29" i="11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AF45" i="110"/>
  <c r="AF31" i="110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4" i="28"/>
  <c r="I16" i="111"/>
  <c r="V17" i="111"/>
  <c r="I8" i="28"/>
  <c r="K20" i="109"/>
  <c r="X33" i="111"/>
  <c r="X68" i="111" s="1"/>
  <c r="W84" i="11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I10" i="28"/>
  <c r="I13" i="28"/>
  <c r="H16" i="111"/>
  <c r="H41" i="110"/>
  <c r="H59" i="110" s="1"/>
  <c r="D9" i="111"/>
  <c r="B56" i="110"/>
  <c r="B91" i="110"/>
  <c r="B61" i="110"/>
  <c r="AG49" i="111"/>
  <c r="R71" i="111"/>
  <c r="B90" i="110"/>
  <c r="B59" i="110"/>
  <c r="O67" i="111"/>
  <c r="M80" i="111"/>
  <c r="M74" i="111"/>
  <c r="K13" i="109"/>
  <c r="I10" i="109"/>
  <c r="C52" i="111"/>
  <c r="C101" i="111" s="1"/>
  <c r="B36" i="110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2" i="110"/>
  <c r="S52" i="111"/>
  <c r="S101" i="111" s="1"/>
  <c r="K81" i="111"/>
  <c r="AF44" i="110"/>
  <c r="AF62" i="110" s="1"/>
  <c r="AB71" i="110"/>
  <c r="AC24" i="111"/>
  <c r="AC25" i="111" s="1"/>
  <c r="AC26" i="111" s="1"/>
  <c r="AB29" i="110"/>
  <c r="AB29" i="111"/>
  <c r="AB15" i="111"/>
  <c r="AB21" i="111" s="1"/>
  <c r="AD36" i="110"/>
  <c r="AD15" i="110" s="1"/>
  <c r="AD40" i="110"/>
  <c r="G32" i="109"/>
  <c r="D32" i="109" s="1"/>
  <c r="Z37" i="111"/>
  <c r="Z42" i="110"/>
  <c r="Z60" i="110" s="1"/>
  <c r="Z69" i="110" s="1"/>
  <c r="AA24" i="111"/>
  <c r="Z29" i="110"/>
  <c r="AA82" i="110"/>
  <c r="AA94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2" i="110"/>
  <c r="S94" i="110" s="1"/>
  <c r="O45" i="110"/>
  <c r="P54" i="111"/>
  <c r="P84" i="111" s="1"/>
  <c r="P94" i="110"/>
  <c r="M45" i="110"/>
  <c r="M63" i="110" s="1"/>
  <c r="N54" i="111"/>
  <c r="N84" i="111" s="1"/>
  <c r="M92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2" i="110"/>
  <c r="K94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D36" i="110"/>
  <c r="D54" i="110" s="1"/>
  <c r="J40" i="110"/>
  <c r="I27" i="28"/>
  <c r="I7" i="28"/>
  <c r="B21" i="110"/>
  <c r="B17" i="111"/>
  <c r="K10" i="109"/>
  <c r="C40" i="110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L30" i="110" s="1"/>
  <c r="Y32" i="11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S54" i="110" s="1"/>
  <c r="Y45" i="110"/>
  <c r="P32" i="111"/>
  <c r="AD71" i="110"/>
  <c r="K42" i="110"/>
  <c r="K60" i="110" s="1"/>
  <c r="AC37" i="111"/>
  <c r="H23" i="111"/>
  <c r="J96" i="111"/>
  <c r="Z15" i="111"/>
  <c r="AB34" i="11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I23" i="28"/>
  <c r="O33" i="111"/>
  <c r="O68" i="111" s="1"/>
  <c r="J25" i="111"/>
  <c r="M40" i="111"/>
  <c r="G10" i="23"/>
  <c r="G43" i="23" s="1"/>
  <c r="O96" i="111"/>
  <c r="G24" i="111"/>
  <c r="I19" i="28"/>
  <c r="M21" i="110"/>
  <c r="U40" i="110"/>
  <c r="Q21" i="110"/>
  <c r="Z36" i="111"/>
  <c r="L28" i="110"/>
  <c r="T40" i="111"/>
  <c r="T47" i="110"/>
  <c r="N20" i="110"/>
  <c r="P33" i="111"/>
  <c r="P68" i="111" s="1"/>
  <c r="Y39" i="11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2" i="110"/>
  <c r="AB94" i="110" s="1"/>
  <c r="X84" i="111"/>
  <c r="AH101" i="110"/>
  <c r="AH103" i="110" s="1"/>
  <c r="J82" i="110"/>
  <c r="D52" i="111"/>
  <c r="D101" i="111" s="1"/>
  <c r="L54" i="111"/>
  <c r="L84" i="111" s="1"/>
  <c r="G63" i="111"/>
  <c r="D58" i="110"/>
  <c r="F80" i="111"/>
  <c r="F68" i="111"/>
  <c r="D60" i="110"/>
  <c r="D91" i="110"/>
  <c r="D61" i="110"/>
  <c r="F74" i="111"/>
  <c r="R80" i="111"/>
  <c r="U69" i="111"/>
  <c r="B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8" i="110" s="1"/>
  <c r="AD41" i="110"/>
  <c r="AD59" i="110" s="1"/>
  <c r="AC82" i="110"/>
  <c r="AC94" i="110" s="1"/>
  <c r="Y24" i="111"/>
  <c r="Z96" i="111"/>
  <c r="Z33" i="111"/>
  <c r="Z45" i="110"/>
  <c r="Z82" i="110"/>
  <c r="Z94" i="110" s="1"/>
  <c r="X21" i="110"/>
  <c r="X80" i="111"/>
  <c r="X75" i="111"/>
  <c r="W92" i="110"/>
  <c r="K28" i="109"/>
  <c r="V82" i="110"/>
  <c r="V94" i="110" s="1"/>
  <c r="V39" i="111"/>
  <c r="V75" i="111" s="1"/>
  <c r="V16" i="111"/>
  <c r="W32" i="111"/>
  <c r="V24" i="111"/>
  <c r="U84" i="111"/>
  <c r="U39" i="111"/>
  <c r="U75" i="111" s="1"/>
  <c r="V84" i="111"/>
  <c r="P31" i="110"/>
  <c r="P63" i="110"/>
  <c r="G16" i="109"/>
  <c r="H67" i="111"/>
  <c r="H75" i="111"/>
  <c r="H68" i="111"/>
  <c r="I64" i="111"/>
  <c r="H66" i="111"/>
  <c r="I80" i="111"/>
  <c r="H80" i="111"/>
  <c r="H73" i="111"/>
  <c r="H81" i="111"/>
  <c r="H82" i="111"/>
  <c r="H71" i="111"/>
  <c r="G54" i="111"/>
  <c r="G84" i="111" s="1"/>
  <c r="G82" i="110"/>
  <c r="G94" i="110" s="1"/>
  <c r="C28" i="110"/>
  <c r="C37" i="111"/>
  <c r="C96" i="111"/>
  <c r="C110" i="110"/>
  <c r="AH110" i="110" s="1"/>
  <c r="B71" i="110"/>
  <c r="G7" i="109"/>
  <c r="D7" i="109" s="1"/>
  <c r="C20" i="110"/>
  <c r="B94" i="110"/>
  <c r="C90" i="110"/>
  <c r="C9" i="111"/>
  <c r="C64" i="111" s="1"/>
  <c r="C94" i="110"/>
  <c r="X62" i="111"/>
  <c r="C59" i="110"/>
  <c r="C63" i="110"/>
  <c r="L67" i="111"/>
  <c r="C61" i="110"/>
  <c r="L71" i="111"/>
  <c r="C58" i="110"/>
  <c r="C65" i="110"/>
  <c r="Q81" i="111"/>
  <c r="I81" i="111"/>
  <c r="X72" i="111"/>
  <c r="X74" i="111"/>
  <c r="X71" i="111"/>
  <c r="C57" i="110"/>
  <c r="C54" i="110"/>
  <c r="D62" i="110"/>
  <c r="Q62" i="111"/>
  <c r="Q80" i="111"/>
  <c r="I75" i="111"/>
  <c r="X81" i="111"/>
  <c r="L74" i="111"/>
  <c r="AD69" i="110"/>
  <c r="C91" i="110"/>
  <c r="C92" i="110"/>
  <c r="Q69" i="111"/>
  <c r="Q73" i="111"/>
  <c r="X67" i="111"/>
  <c r="N28" i="111"/>
  <c r="N62" i="111" s="1"/>
  <c r="N36" i="110"/>
  <c r="Q40" i="110"/>
  <c r="Q32" i="111"/>
  <c r="Q67" i="111" s="1"/>
  <c r="AC29" i="11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AF36" i="110"/>
  <c r="V28" i="110"/>
  <c r="V23" i="111"/>
  <c r="Q36" i="111"/>
  <c r="Q44" i="110"/>
  <c r="Q62" i="110" s="1"/>
  <c r="Q69" i="110" s="1"/>
  <c r="R32" i="111"/>
  <c r="R67" i="111" s="1"/>
  <c r="AF28" i="110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E38" i="3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E40" i="23"/>
  <c r="AF21" i="110"/>
  <c r="C42" i="110"/>
  <c r="C60" i="110" s="1"/>
  <c r="C34" i="111"/>
  <c r="L39" i="111"/>
  <c r="L75" i="111" s="1"/>
  <c r="Z47" i="110"/>
  <c r="H36" i="110"/>
  <c r="H30" i="110" s="1"/>
  <c r="H32" i="110" s="1"/>
  <c r="H34" i="110" s="1"/>
  <c r="V47" i="110"/>
  <c r="AF46" i="110"/>
  <c r="AF65" i="110" s="1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I31" i="28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54" i="110" s="1"/>
  <c r="E28" i="111"/>
  <c r="E63" i="111" s="1"/>
  <c r="AA28" i="111"/>
  <c r="G15" i="109"/>
  <c r="D15" i="109" s="1"/>
  <c r="AF63" i="110"/>
  <c r="Y33" i="111"/>
  <c r="Y41" i="110"/>
  <c r="Y59" i="110" s="1"/>
  <c r="I12" i="28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4" i="110"/>
  <c r="I12" i="109"/>
  <c r="B28" i="111"/>
  <c r="B63" i="111" s="1"/>
  <c r="P63" i="111"/>
  <c r="L36" i="111"/>
  <c r="L72" i="111" s="1"/>
  <c r="K19" i="109"/>
  <c r="Z26" i="110"/>
  <c r="I30" i="109"/>
  <c r="Y84" i="111"/>
  <c r="Y82" i="110"/>
  <c r="Y94" i="110" s="1"/>
  <c r="W63" i="111"/>
  <c r="W72" i="111"/>
  <c r="W80" i="111"/>
  <c r="W67" i="111"/>
  <c r="W71" i="111"/>
  <c r="W81" i="111"/>
  <c r="W62" i="111"/>
  <c r="G24" i="109"/>
  <c r="D24" i="109" s="1"/>
  <c r="R69" i="110"/>
  <c r="R63" i="111"/>
  <c r="G18" i="109"/>
  <c r="F15" i="110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4" i="110"/>
  <c r="F82" i="110"/>
  <c r="F94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4" i="110"/>
  <c r="T9" i="111"/>
  <c r="J9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P67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2" i="110"/>
  <c r="J94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28"/>
  <c r="I9" i="28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I18" i="28"/>
  <c r="T19" i="110"/>
  <c r="T15" i="111"/>
  <c r="U23" i="111"/>
  <c r="U25" i="111" s="1"/>
  <c r="U26" i="111" s="1"/>
  <c r="U28" i="110"/>
  <c r="AB41" i="110"/>
  <c r="AB59" i="110" s="1"/>
  <c r="AB33" i="111"/>
  <c r="I44" i="110"/>
  <c r="AB17" i="111"/>
  <c r="AB21" i="110"/>
  <c r="W29" i="110"/>
  <c r="W24" i="111"/>
  <c r="S36" i="111"/>
  <c r="S72" i="111" s="1"/>
  <c r="AE28" i="110"/>
  <c r="K33" i="109"/>
  <c r="K34" i="109"/>
  <c r="AC36" i="111"/>
  <c r="AC44" i="110"/>
  <c r="AC62" i="110" s="1"/>
  <c r="AC69" i="110" s="1"/>
  <c r="I22" i="28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2" i="110"/>
  <c r="T114" i="110"/>
  <c r="I92" i="110"/>
  <c r="I114" i="110"/>
  <c r="Z92" i="110"/>
  <c r="Z114" i="110"/>
  <c r="I94" i="110"/>
  <c r="J52" i="111"/>
  <c r="J101" i="111" s="1"/>
  <c r="Q82" i="110"/>
  <c r="Q94" i="110" s="1"/>
  <c r="AD82" i="110"/>
  <c r="AD94" i="110" s="1"/>
  <c r="B54" i="111"/>
  <c r="G80" i="111"/>
  <c r="AE82" i="110"/>
  <c r="AE94" i="110" s="1"/>
  <c r="S80" i="111"/>
  <c r="R54" i="111"/>
  <c r="R84" i="111" s="1"/>
  <c r="AA92" i="110"/>
  <c r="R82" i="110"/>
  <c r="R94" i="110" s="1"/>
  <c r="Q84" i="111"/>
  <c r="Q66" i="111"/>
  <c r="Q72" i="111"/>
  <c r="G81" i="111"/>
  <c r="G62" i="111"/>
  <c r="G82" i="111"/>
  <c r="G74" i="111"/>
  <c r="G72" i="111"/>
  <c r="G71" i="111"/>
  <c r="E56" i="110"/>
  <c r="E91" i="110"/>
  <c r="E61" i="110"/>
  <c r="E90" i="110"/>
  <c r="E9" i="111"/>
  <c r="Z84" i="111"/>
  <c r="Z81" i="111"/>
  <c r="Z80" i="111"/>
  <c r="Y81" i="111"/>
  <c r="U71" i="111"/>
  <c r="G21" i="109"/>
  <c r="D21" i="109" s="1"/>
  <c r="R62" i="111"/>
  <c r="AE78" i="110"/>
  <c r="P62" i="110"/>
  <c r="P69" i="111"/>
  <c r="P80" i="111"/>
  <c r="P62" i="111"/>
  <c r="P72" i="111"/>
  <c r="P74" i="111"/>
  <c r="N38" i="31"/>
  <c r="O57" i="110"/>
  <c r="O60" i="110"/>
  <c r="O59" i="110"/>
  <c r="O114" i="110"/>
  <c r="P52" i="111"/>
  <c r="O101" i="111"/>
  <c r="O82" i="111"/>
  <c r="O94" i="110"/>
  <c r="O54" i="111"/>
  <c r="O61" i="110"/>
  <c r="O91" i="110"/>
  <c r="O72" i="111"/>
  <c r="O65" i="110"/>
  <c r="AH71" i="110" l="1"/>
  <c r="AH41" i="110"/>
  <c r="AH20" i="110"/>
  <c r="AH40" i="110"/>
  <c r="E26" i="110"/>
  <c r="B63" i="110"/>
  <c r="AH45" i="110"/>
  <c r="AH31" i="110" s="1"/>
  <c r="AH82" i="110"/>
  <c r="B54" i="110"/>
  <c r="AH36" i="110"/>
  <c r="AH21" i="110"/>
  <c r="B57" i="110"/>
  <c r="AH39" i="110"/>
  <c r="AH57" i="110" s="1"/>
  <c r="AJ57" i="110" s="1"/>
  <c r="AH19" i="110"/>
  <c r="AH28" i="110"/>
  <c r="AH83" i="110"/>
  <c r="AH37" i="110"/>
  <c r="AH55" i="110" s="1"/>
  <c r="AJ55" i="110" s="1"/>
  <c r="AB26" i="110"/>
  <c r="AF69" i="110"/>
  <c r="H22" i="110"/>
  <c r="H88" i="110" s="1"/>
  <c r="W26" i="110"/>
  <c r="AF79" i="111"/>
  <c r="Q22" i="110"/>
  <c r="Q88" i="110" s="1"/>
  <c r="H26" i="110"/>
  <c r="P43" i="23"/>
  <c r="O43" i="23"/>
  <c r="AF78" i="111"/>
  <c r="L18" i="109"/>
  <c r="E22" i="110"/>
  <c r="E88" i="110" s="1"/>
  <c r="M43" i="23"/>
  <c r="S7" i="31"/>
  <c r="I22" i="110"/>
  <c r="I88" i="110" s="1"/>
  <c r="X21" i="111"/>
  <c r="AG15" i="111"/>
  <c r="I26" i="110"/>
  <c r="AG9" i="111"/>
  <c r="B21" i="111"/>
  <c r="C21" i="111"/>
  <c r="C18" i="111"/>
  <c r="D26" i="110"/>
  <c r="G26" i="110"/>
  <c r="L22" i="110"/>
  <c r="L88" i="110" s="1"/>
  <c r="N14" i="23"/>
  <c r="E14" i="23"/>
  <c r="N36" i="23"/>
  <c r="E36" i="23"/>
  <c r="N26" i="23"/>
  <c r="E26" i="23"/>
  <c r="N20" i="23"/>
  <c r="E20" i="23"/>
  <c r="N23" i="23"/>
  <c r="E23" i="23"/>
  <c r="N12" i="23"/>
  <c r="E12" i="23"/>
  <c r="N13" i="23"/>
  <c r="E13" i="23"/>
  <c r="N21" i="23"/>
  <c r="E21" i="23"/>
  <c r="N22" i="23"/>
  <c r="E22" i="23"/>
  <c r="N15" i="23"/>
  <c r="E15" i="23"/>
  <c r="N30" i="23"/>
  <c r="E30" i="23"/>
  <c r="N28" i="23"/>
  <c r="E28" i="23"/>
  <c r="N29" i="23"/>
  <c r="E29" i="23"/>
  <c r="N19" i="23"/>
  <c r="E19" i="23"/>
  <c r="D18" i="109"/>
  <c r="O18" i="109" s="1"/>
  <c r="R18" i="109" s="1"/>
  <c r="D16" i="109"/>
  <c r="O16" i="109" s="1"/>
  <c r="R16" i="109" s="1"/>
  <c r="R50" i="110"/>
  <c r="AB38" i="31"/>
  <c r="AD38" i="31" s="1"/>
  <c r="D28" i="109"/>
  <c r="O28" i="109" s="1"/>
  <c r="R28" i="109" s="1"/>
  <c r="R82" i="111"/>
  <c r="J22" i="110"/>
  <c r="J88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B22" i="110"/>
  <c r="P22" i="110"/>
  <c r="P88" i="110" s="1"/>
  <c r="D15" i="110"/>
  <c r="T50" i="110"/>
  <c r="B74" i="111"/>
  <c r="K50" i="110"/>
  <c r="Y50" i="110"/>
  <c r="G50" i="110"/>
  <c r="O50" i="110"/>
  <c r="P50" i="110"/>
  <c r="AF50" i="110"/>
  <c r="AE57" i="110"/>
  <c r="AE50" i="110"/>
  <c r="W50" i="110"/>
  <c r="N50" i="110"/>
  <c r="D50" i="110"/>
  <c r="N35" i="23"/>
  <c r="N34" i="23"/>
  <c r="N33" i="23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Q50" i="110"/>
  <c r="I58" i="110"/>
  <c r="I50" i="110"/>
  <c r="E58" i="110"/>
  <c r="E50" i="110"/>
  <c r="AB58" i="110"/>
  <c r="AB50" i="110"/>
  <c r="B58" i="110"/>
  <c r="B50" i="110"/>
  <c r="W18" i="111"/>
  <c r="W59" i="111" s="1"/>
  <c r="N27" i="23"/>
  <c r="R22" i="110"/>
  <c r="R88" i="110" s="1"/>
  <c r="X18" i="111"/>
  <c r="X59" i="111" s="1"/>
  <c r="C32" i="110"/>
  <c r="B26" i="110"/>
  <c r="F22" i="110"/>
  <c r="F88" i="110" s="1"/>
  <c r="AF22" i="110"/>
  <c r="AF88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Y78" i="111"/>
  <c r="O18" i="111"/>
  <c r="O59" i="111" s="1"/>
  <c r="I38" i="109"/>
  <c r="L20" i="109"/>
  <c r="K63" i="110"/>
  <c r="W25" i="111"/>
  <c r="W26" i="111" s="1"/>
  <c r="V63" i="111"/>
  <c r="O15" i="110"/>
  <c r="L25" i="111"/>
  <c r="L26" i="111" s="1"/>
  <c r="G38" i="31"/>
  <c r="Q25" i="111"/>
  <c r="Q26" i="111" s="1"/>
  <c r="L31" i="109"/>
  <c r="Y22" i="110"/>
  <c r="Y88" i="110" s="1"/>
  <c r="H38" i="30"/>
  <c r="P25" i="111"/>
  <c r="P26" i="111" s="1"/>
  <c r="O92" i="110"/>
  <c r="AA22" i="110"/>
  <c r="AA88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C34" i="110"/>
  <c r="L8" i="109"/>
  <c r="O8" i="109"/>
  <c r="R8" i="109" s="1"/>
  <c r="U21" i="111"/>
  <c r="I21" i="111"/>
  <c r="J21" i="111"/>
  <c r="L34" i="109"/>
  <c r="L23" i="109"/>
  <c r="L17" i="109"/>
  <c r="Q32" i="110"/>
  <c r="Q34" i="110" s="1"/>
  <c r="O22" i="110"/>
  <c r="O88" i="110" s="1"/>
  <c r="O12" i="109"/>
  <c r="R12" i="109" s="1"/>
  <c r="L26" i="109"/>
  <c r="N25" i="111"/>
  <c r="N26" i="111" s="1"/>
  <c r="N63" i="111"/>
  <c r="O24" i="109"/>
  <c r="R24" i="109" s="1"/>
  <c r="N82" i="111"/>
  <c r="C22" i="110"/>
  <c r="C88" i="110" s="1"/>
  <c r="Q21" i="111"/>
  <c r="M82" i="111"/>
  <c r="O17" i="109"/>
  <c r="R17" i="109" s="1"/>
  <c r="O9" i="109"/>
  <c r="R9" i="109" s="1"/>
  <c r="L27" i="109"/>
  <c r="B15" i="110"/>
  <c r="X22" i="110"/>
  <c r="X88" i="110" s="1"/>
  <c r="L14" i="109"/>
  <c r="O21" i="111"/>
  <c r="AE31" i="110"/>
  <c r="AE32" i="110" s="1"/>
  <c r="AE34" i="110" s="1"/>
  <c r="AE63" i="110"/>
  <c r="Q63" i="110"/>
  <c r="P21" i="111"/>
  <c r="R21" i="111"/>
  <c r="AB18" i="111"/>
  <c r="Q18" i="111"/>
  <c r="Q59" i="111" s="1"/>
  <c r="H25" i="111"/>
  <c r="H26" i="111" s="1"/>
  <c r="X26" i="110"/>
  <c r="L19" i="109"/>
  <c r="L32" i="109"/>
  <c r="I82" i="111"/>
  <c r="AA26" i="110"/>
  <c r="AA18" i="111"/>
  <c r="U31" i="110"/>
  <c r="U63" i="110"/>
  <c r="O26" i="109"/>
  <c r="R26" i="109" s="1"/>
  <c r="B88" i="110"/>
  <c r="M31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O23" i="109"/>
  <c r="R23" i="109" s="1"/>
  <c r="L54" i="110"/>
  <c r="L15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32" i="110" s="1"/>
  <c r="O34" i="110" s="1"/>
  <c r="O63" i="110"/>
  <c r="G22" i="110"/>
  <c r="G88" i="110" s="1"/>
  <c r="S22" i="110"/>
  <c r="S88" i="110" s="1"/>
  <c r="N22" i="110"/>
  <c r="N88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15" i="110"/>
  <c r="G54" i="110"/>
  <c r="H54" i="110"/>
  <c r="H15" i="110"/>
  <c r="W21" i="111"/>
  <c r="U22" i="110"/>
  <c r="U88" i="110" s="1"/>
  <c r="N31" i="110"/>
  <c r="N63" i="110"/>
  <c r="U18" i="111"/>
  <c r="U59" i="111" s="1"/>
  <c r="O14" i="109"/>
  <c r="R14" i="109" s="1"/>
  <c r="E92" i="110"/>
  <c r="L101" i="111"/>
  <c r="L82" i="111"/>
  <c r="F114" i="110"/>
  <c r="F92" i="110"/>
  <c r="AD30" i="110"/>
  <c r="AD32" i="110" s="1"/>
  <c r="AD34" i="110" s="1"/>
  <c r="AD54" i="110"/>
  <c r="AC31" i="110"/>
  <c r="AC63" i="110"/>
  <c r="AC114" i="110"/>
  <c r="AC92" i="110"/>
  <c r="AC18" i="11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34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R34" i="110" s="1"/>
  <c r="J30" i="110"/>
  <c r="J32" i="110" s="1"/>
  <c r="J34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8" i="110" s="1"/>
  <c r="AB30" i="110"/>
  <c r="AB15" i="110"/>
  <c r="AB54" i="110"/>
  <c r="AB114" i="110"/>
  <c r="AB92" i="110"/>
  <c r="AB31" i="110"/>
  <c r="AB63" i="110"/>
  <c r="AA78" i="111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34" i="110" s="1"/>
  <c r="Z63" i="110"/>
  <c r="Z68" i="110" s="1"/>
  <c r="Y114" i="110"/>
  <c r="Y92" i="110"/>
  <c r="O29" i="109"/>
  <c r="R29" i="109" s="1"/>
  <c r="W22" i="110"/>
  <c r="W88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15" i="110"/>
  <c r="K54" i="110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34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D34" i="110" s="1"/>
  <c r="AG17" i="111"/>
  <c r="B31" i="110"/>
  <c r="C26" i="110"/>
  <c r="L32" i="110"/>
  <c r="L34" i="110" s="1"/>
  <c r="U42" i="111"/>
  <c r="D69" i="110"/>
  <c r="Y26" i="110"/>
  <c r="AD26" i="110"/>
  <c r="AC21" i="111"/>
  <c r="M42" i="111"/>
  <c r="S15" i="110"/>
  <c r="S30" i="110"/>
  <c r="S32" i="110" s="1"/>
  <c r="S34" i="110" s="1"/>
  <c r="C75" i="111"/>
  <c r="C66" i="111"/>
  <c r="C74" i="111"/>
  <c r="C68" i="111"/>
  <c r="C82" i="111"/>
  <c r="C69" i="111"/>
  <c r="H79" i="111"/>
  <c r="AD114" i="110"/>
  <c r="AD92" i="110"/>
  <c r="AH58" i="110"/>
  <c r="AJ58" i="110" s="1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AH59" i="110"/>
  <c r="AJ59" i="110" s="1"/>
  <c r="V82" i="111"/>
  <c r="V114" i="110"/>
  <c r="U82" i="111"/>
  <c r="U114" i="110"/>
  <c r="U92" i="110"/>
  <c r="T31" i="110"/>
  <c r="T63" i="110"/>
  <c r="T71" i="111"/>
  <c r="AG36" i="111"/>
  <c r="N30" i="110"/>
  <c r="N15" i="110"/>
  <c r="N54" i="110"/>
  <c r="N79" i="111"/>
  <c r="O19" i="109"/>
  <c r="R19" i="109" s="1"/>
  <c r="AG31" i="111"/>
  <c r="C69" i="110"/>
  <c r="AH42" i="110"/>
  <c r="AH98" i="110" s="1"/>
  <c r="AJ98" i="110" s="1"/>
  <c r="B69" i="110"/>
  <c r="B62" i="111"/>
  <c r="C72" i="111"/>
  <c r="C59" i="111"/>
  <c r="C26" i="111"/>
  <c r="C71" i="111"/>
  <c r="C84" i="111"/>
  <c r="C62" i="111"/>
  <c r="C67" i="111"/>
  <c r="C42" i="111"/>
  <c r="C68" i="110"/>
  <c r="Q79" i="111"/>
  <c r="L79" i="111"/>
  <c r="X42" i="111"/>
  <c r="X73" i="111"/>
  <c r="X78" i="111" s="1"/>
  <c r="AG37" i="111"/>
  <c r="S79" i="111"/>
  <c r="AB42" i="111"/>
  <c r="Y42" i="111"/>
  <c r="I79" i="111"/>
  <c r="M22" i="110"/>
  <c r="M88" i="110" s="1"/>
  <c r="AF15" i="110"/>
  <c r="AF30" i="110"/>
  <c r="AF32" i="110" s="1"/>
  <c r="AF34" i="110" s="1"/>
  <c r="AF54" i="110"/>
  <c r="AF68" i="110" s="1"/>
  <c r="X31" i="110"/>
  <c r="X63" i="110"/>
  <c r="L33" i="109"/>
  <c r="D18" i="111"/>
  <c r="D59" i="111" s="1"/>
  <c r="P79" i="111"/>
  <c r="L42" i="111"/>
  <c r="T21" i="111"/>
  <c r="AG39" i="111"/>
  <c r="E15" i="110"/>
  <c r="E30" i="110"/>
  <c r="E32" i="110" s="1"/>
  <c r="E34" i="110" s="1"/>
  <c r="AH47" i="110"/>
  <c r="W15" i="110"/>
  <c r="W30" i="110"/>
  <c r="O30" i="109"/>
  <c r="R30" i="109" s="1"/>
  <c r="L29" i="109"/>
  <c r="AD22" i="110"/>
  <c r="X82" i="111"/>
  <c r="AG54" i="111"/>
  <c r="AB22" i="110"/>
  <c r="AB88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K34" i="110" s="1"/>
  <c r="V31" i="110"/>
  <c r="V32" i="110" s="1"/>
  <c r="V34" i="110" s="1"/>
  <c r="V63" i="110"/>
  <c r="S42" i="111"/>
  <c r="U78" i="111"/>
  <c r="O25" i="111"/>
  <c r="O26" i="111" s="1"/>
  <c r="AG16" i="111"/>
  <c r="U62" i="110"/>
  <c r="W42" i="111"/>
  <c r="D22" i="110"/>
  <c r="D88" i="110" s="1"/>
  <c r="AG40" i="111"/>
  <c r="K21" i="111"/>
  <c r="K18" i="111"/>
  <c r="K59" i="111" s="1"/>
  <c r="T22" i="110"/>
  <c r="T88" i="110" s="1"/>
  <c r="T26" i="110"/>
  <c r="I30" i="110"/>
  <c r="I32" i="110" s="1"/>
  <c r="I34" i="110" s="1"/>
  <c r="I54" i="110"/>
  <c r="D42" i="111"/>
  <c r="D68" i="111"/>
  <c r="AC30" i="110"/>
  <c r="AG33" i="111"/>
  <c r="V22" i="110"/>
  <c r="V88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A34" i="110" s="1"/>
  <c r="AG29" i="111"/>
  <c r="B42" i="111"/>
  <c r="N67" i="111"/>
  <c r="N42" i="111"/>
  <c r="K22" i="110"/>
  <c r="K88" i="110" s="1"/>
  <c r="Q42" i="111"/>
  <c r="Q64" i="111"/>
  <c r="Q78" i="111" s="1"/>
  <c r="AG32" i="111"/>
  <c r="E42" i="111"/>
  <c r="T82" i="111"/>
  <c r="T101" i="111"/>
  <c r="G114" i="110"/>
  <c r="G92" i="110"/>
  <c r="D92" i="110"/>
  <c r="D114" i="110"/>
  <c r="G79" i="111"/>
  <c r="AH61" i="110"/>
  <c r="AJ61" i="110" s="1"/>
  <c r="AJ91" i="110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4" i="110"/>
  <c r="P92" i="110"/>
  <c r="P101" i="111"/>
  <c r="P82" i="111"/>
  <c r="P78" i="111"/>
  <c r="O69" i="110"/>
  <c r="O79" i="111"/>
  <c r="O84" i="111"/>
  <c r="AH50" i="110" l="1"/>
  <c r="B68" i="110"/>
  <c r="AH30" i="110"/>
  <c r="AH54" i="110"/>
  <c r="AH22" i="110"/>
  <c r="AH88" i="110" s="1"/>
  <c r="AH26" i="110"/>
  <c r="AG62" i="111"/>
  <c r="AH94" i="110"/>
  <c r="AK94" i="110" s="1"/>
  <c r="AK92" i="110"/>
  <c r="AG81" i="111"/>
  <c r="AI81" i="111" s="1"/>
  <c r="AG80" i="111"/>
  <c r="AI80" i="111" s="1"/>
  <c r="E10" i="23"/>
  <c r="E43" i="23" s="1"/>
  <c r="S38" i="31"/>
  <c r="N43" i="23"/>
  <c r="D38" i="109"/>
  <c r="AE68" i="110"/>
  <c r="AC32" i="110"/>
  <c r="AC34" i="110" s="1"/>
  <c r="B32" i="110"/>
  <c r="AH114" i="110"/>
  <c r="AD68" i="110"/>
  <c r="V68" i="110"/>
  <c r="F68" i="110"/>
  <c r="Q68" i="110"/>
  <c r="E68" i="110"/>
  <c r="Y34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M34" i="110" s="1"/>
  <c r="N78" i="111"/>
  <c r="U32" i="110"/>
  <c r="U34" i="110" s="1"/>
  <c r="X68" i="110"/>
  <c r="X32" i="110"/>
  <c r="X34" i="110" s="1"/>
  <c r="N32" i="110"/>
  <c r="N34" i="110" s="1"/>
  <c r="S78" i="111"/>
  <c r="D79" i="111"/>
  <c r="B34" i="110"/>
  <c r="J68" i="110"/>
  <c r="G32" i="110"/>
  <c r="G34" i="110" s="1"/>
  <c r="AC68" i="110"/>
  <c r="B79" i="111"/>
  <c r="B78" i="111"/>
  <c r="AG25" i="111"/>
  <c r="AB32" i="110"/>
  <c r="AB34" i="110" s="1"/>
  <c r="G68" i="110"/>
  <c r="D68" i="110"/>
  <c r="N68" i="110"/>
  <c r="AB68" i="110"/>
  <c r="T32" i="110"/>
  <c r="T34" i="110" s="1"/>
  <c r="AH60" i="110"/>
  <c r="AJ60" i="110" s="1"/>
  <c r="AJ69" i="110" s="1"/>
  <c r="AC78" i="111"/>
  <c r="T68" i="110"/>
  <c r="T79" i="111"/>
  <c r="W32" i="110"/>
  <c r="W34" i="110" s="1"/>
  <c r="AH63" i="110"/>
  <c r="AJ63" i="110" s="1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AJ54" i="110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J94" i="110" l="1"/>
  <c r="AJ92" i="110"/>
  <c r="AJ88" i="110"/>
  <c r="AH32" i="110"/>
  <c r="AH34" i="110" s="1"/>
  <c r="R34" i="109"/>
  <c r="AH69" i="110"/>
  <c r="AH68" i="110"/>
  <c r="AI69" i="111"/>
  <c r="AI79" i="111" s="1"/>
  <c r="AG79" i="111"/>
  <c r="AI62" i="111"/>
  <c r="AJ68" i="110"/>
  <c r="AK88" i="110" l="1"/>
  <c r="D93" i="111"/>
  <c r="D63" i="111" s="1"/>
  <c r="D78" i="111" s="1"/>
  <c r="C93" i="111" l="1"/>
  <c r="C15" i="110"/>
  <c r="AH15" i="110" l="1"/>
  <c r="AJ15" i="110" s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K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E0A74F4C-4DC0-4831-A16D-2D918C81320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20800Kgs
Mobile aprox 19100 kgs
</t>
        </r>
      </text>
    </comment>
    <comment ref="C74" authorId="1" shapeId="0" xr:uid="{278DBC0A-C745-4EC7-B0EA-F10BFCF7740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Unaccounted CO2 from mobile
FTIU2120688
</t>
        </r>
      </text>
    </comment>
    <comment ref="D74" authorId="1" shapeId="0" xr:uid="{9A4B5FFD-9AE8-417E-82AF-1E030C1A078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20800Kgs
Mobile aprox 20000kgs
</t>
        </r>
      </text>
    </comment>
    <comment ref="E74" authorId="1" shapeId="0" xr:uid="{BE8F9E10-6FFE-4FEA-B62D-C9825878C14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18300 Kgs
Mobile aprox 20000 kgs
</t>
        </r>
      </text>
    </comment>
    <comment ref="F74" authorId="1" shapeId="0" xr:uid="{F23D4DED-2858-4865-BA6F-B8B5F41EF5E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17500 Kgs
Mobile aprox 18700 kgs
</t>
        </r>
      </text>
    </comment>
    <comment ref="G74" authorId="1" shapeId="0" xr:uid="{A82E1494-F366-4752-8B47-4B11F61E13D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(filled to 3600) 2900 kgs 
Tank C 16700 Kgs
Mobile aprox 0 kgs
</t>
        </r>
      </text>
    </comment>
    <comment ref="H74" authorId="1" shapeId="0" xr:uid="{D8FEEFE3-9157-4629-B3D0-0C67FC44AF3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1400 kgs 
Tank C 16700 Kgs
Mobile aprox 0 kgs
</t>
        </r>
      </text>
    </comment>
    <comment ref="I74" authorId="1" shapeId="0" xr:uid="{F525E377-652C-4BAD-B0D5-564EC810B76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0 kgs 
Tank C 16700 Kgs
Mobile aprox 0 kgs
</t>
        </r>
      </text>
    </comment>
    <comment ref="J74" authorId="1" shapeId="0" xr:uid="{45DC6D08-07C0-4587-8302-1BCE49B8CFB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10800 kgs
Tank B 0 kgs 
Tank C 16700 Kgs
Mobile aprox 0 kgs
</t>
        </r>
      </text>
    </comment>
    <comment ref="K74" authorId="1" shapeId="0" xr:uid="{A516BA51-F150-476B-8403-57DC8E9DE0D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10800 kgs
Tank B 0 kgs 
Tank C 16700 Kgs
Mobile aprox 0 kgs
</t>
        </r>
      </text>
    </comment>
    <comment ref="L74" authorId="1" shapeId="0" xr:uid="{6B36FECF-01A2-4D9D-AADF-0BDDEDD2F41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9900 kgs
Tank B 0 kgs 
Tank C 16700 Kgs
Mobile aprox 0 kgs
</t>
        </r>
      </text>
    </comment>
    <comment ref="M74" authorId="1" shapeId="0" xr:uid="{F56BFFD0-24F2-4EC0-B2DB-65CDA45C512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8400 kgs
Tank B 0 kgs 
Tank C 16700 Kgs
Mobile aprox 0 kgs
</t>
        </r>
      </text>
    </comment>
    <comment ref="N74" authorId="1" shapeId="0" xr:uid="{245EEB0D-AFFE-457D-896A-2274DE6733A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7000 kgs
Tank B 0 kgs 
Tank C 16700 Kgs
Mobile aprox 18400 kgs
</t>
        </r>
      </text>
    </comment>
    <comment ref="O74" authorId="1" shapeId="0" xr:uid="{8A67947D-2B3F-4E78-9E3D-34A9BE27510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5500 kgs
Tank B 0 kgs 
Tank C 16700 Kgs
Mobile aprox 18400 kgs
</t>
        </r>
      </text>
    </comment>
    <comment ref="P74" authorId="1" shapeId="0" xr:uid="{82FE423A-FA07-4BBC-B771-9AE0FEE6B9D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4600 kgs
Tank B 4400 kgs 
Tank C 24800Kgs
Mobile aprox 5900 kgs
</t>
        </r>
      </text>
    </comment>
    <comment ref="Q74" authorId="1" shapeId="0" xr:uid="{6C4A482B-5F65-46BB-AE50-70E115BFADB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Unaccounted CO2
Mobile NMHU0000005
</t>
        </r>
      </text>
    </comment>
    <comment ref="R74" authorId="1" shapeId="0" xr:uid="{82789C5E-6D03-4F1F-BB96-B2390FEDB27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4600 kgs
Tank B 4400 kgs 
Tank C 24800Kgs
Mobile aprox 5900 kgs
</t>
        </r>
      </text>
    </comment>
    <comment ref="S74" authorId="1" shapeId="0" xr:uid="{5E8FE4D8-0340-48E0-A19A-040A3A8F7BC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4200 kgs
Tank B 6400 kgs 
Tank C 24800Kgs
Mobile aprox 3900 kgs
</t>
        </r>
      </text>
    </comment>
    <comment ref="T74" authorId="1" shapeId="0" xr:uid="{C5FBEA0B-1616-4874-822A-4EFF3F5C25F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2400 kgs
Tank B 6400 kgs 
Tank C 24800Kgs
Mobile aprox 0 kgs
</t>
        </r>
      </text>
    </comment>
    <comment ref="U74" authorId="1" shapeId="0" xr:uid="{0A8C3128-C6A7-4566-B23E-41E3D67D9BF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5700 kgs 
Tank C 24800Kgs
Mobile aprox 0 kgs
</t>
        </r>
      </text>
    </comment>
    <comment ref="V74" authorId="1" shapeId="0" xr:uid="{D2B833A1-AFA3-4590-99B1-69FA01143F7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4100 kgs 
Tank C 24800Kgs
Mobile aprox 0 kgs
</t>
        </r>
      </text>
    </comment>
    <comment ref="W74" authorId="1" shapeId="0" xr:uid="{B4D8489F-7CC3-4A0B-BBC7-6A6B17BCC0B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3500 kgs 
Tank C 24800Kgs
Mobile aprox 0 kgs
</t>
        </r>
      </text>
    </comment>
    <comment ref="Y74" authorId="1" shapeId="0" xr:uid="{397845E7-E416-4841-9F1F-10DB2D2CE5E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3500 kgs 
Tank C 24800Kgs
Mobile aprox 0 kgs
</t>
        </r>
      </text>
    </comment>
    <comment ref="Z74" authorId="1" shapeId="0" xr:uid="{D3EAB46F-6D33-4FED-AA01-68BC48D9062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2300 kgs 
Tank C 24800Kgs
Mobile aprox 0 kgs
</t>
        </r>
      </text>
    </comment>
    <comment ref="AA74" authorId="1" shapeId="0" xr:uid="{C0FEC8BC-A294-4018-B13C-F8BC983AA53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24000Kgs
Mobile aprox 0 kgs
</t>
        </r>
      </text>
    </comment>
    <comment ref="AB74" authorId="1" shapeId="0" xr:uid="{346BA0BF-BA9A-405C-A197-2544A35F59D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21600Kgs
Mobile aprox 0 kgs
</t>
        </r>
      </text>
    </comment>
    <comment ref="AC74" authorId="1" shapeId="0" xr:uid="{0E90F3C4-C3BA-4C46-97A9-43D6F46D925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19100 Kgs
Mobile aprox 0 kgs
</t>
        </r>
      </text>
    </comment>
    <comment ref="AD74" authorId="1" shapeId="0" xr:uid="{8268CF9D-EA50-4D18-8E59-68EF1DC0AC8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C17500 Kgs
Mobile aprox 0 kgs
</t>
        </r>
      </text>
    </comment>
    <comment ref="AE74" authorId="1" shapeId="0" xr:uid="{589619A0-87BC-4C9B-8125-6FFA15B4F43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C17500 Kgs
Mobile aprox 0 kgs
</t>
        </r>
      </text>
    </comment>
    <comment ref="AF74" authorId="1" shapeId="0" xr:uid="{B7CCB70E-037F-48CC-8A7C-DCE0EDCCBE75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C17500 Kgs
Mobile aprox 0 kgs
</t>
        </r>
      </text>
    </comment>
    <comment ref="AG74" authorId="1" shapeId="0" xr:uid="{5288269C-68FE-47EE-9E20-2DA3A9E840A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C15800 Kgs
Mobile aprox 0 kgs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<sst xmlns="http://schemas.openxmlformats.org/spreadsheetml/2006/main" count="617" uniqueCount="303">
  <si>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</si>
  <si>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</si>
  <si>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</si>
  <si>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</si>
  <si>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</si>
  <si>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</si>
  <si>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</si>
  <si>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</si>
  <si>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</si>
  <si>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</si>
  <si>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</si>
  <si>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</si>
  <si>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</si>
  <si>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</si>
  <si>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</si>
  <si>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</si>
  <si>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</si>
  <si>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</si>
  <si>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</si>
  <si>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</si>
  <si>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</si>
  <si>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</si>
  <si>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</si>
  <si>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</si>
  <si>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</si>
  <si>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</si>
  <si>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</si>
  <si>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</si>
  <si>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</si>
  <si>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</si>
  <si>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</si>
  <si>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</si>
  <si>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</si>
  <si>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</si>
  <si>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</si>
  <si>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</si>
  <si>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</si>
  <si>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</si>
  <si>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</si>
  <si>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</si>
  <si>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</si>
  <si>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</si>
  <si>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</si>
  <si>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</si>
  <si>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</si>
  <si>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</si>
  <si>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</si>
  <si>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</si>
  <si>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</si>
  <si>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</si>
  <si>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</si>
  <si>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</si>
  <si>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</si>
  <si>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</si>
  <si>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</si>
  <si>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</si>
  <si>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</si>
  <si>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</si>
  <si>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</si>
  <si>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</si>
  <si>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</si>
  <si>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</si>
  <si>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</si>
  <si>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</si>
  <si>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</si>
  <si>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</si>
  <si>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</si>
  <si>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</si>
  <si>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</si>
  <si>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</si>
  <si>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</si>
  <si>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</si>
  <si>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</si>
  <si>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</si>
  <si>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</si>
  <si>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</si>
  <si>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</si>
  <si>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</si>
  <si>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</si>
  <si>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</si>
  <si>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</si>
  <si>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</si>
  <si>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</si>
  <si>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</si>
  <si>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</si>
  <si>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</si>
  <si>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</si>
  <si>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</si>
  <si>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</si>
  <si>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</si>
  <si>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</si>
  <si>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</si>
  <si>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</si>
  <si>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</si>
  <si>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</si>
  <si>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</si>
  <si>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</si>
  <si>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</si>
  <si>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</si>
  <si>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</si>
  <si>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</si>
  <si>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</si>
  <si>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</si>
  <si>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</si>
  <si>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</si>
  <si>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</si>
  <si>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</si>
  <si>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</si>
  <si>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</si>
  <si>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</si>
  <si>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</si>
  <si>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</si>
  <si>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</si>
  <si>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</si>
  <si>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</si>
  <si>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</si>
  <si>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</si>
  <si>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</si>
  <si>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</si>
  <si>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</si>
  <si>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</si>
  <si>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</si>
  <si>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</si>
  <si>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</si>
  <si>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</si>
  <si>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</si>
  <si>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</si>
  <si>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</si>
  <si>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</si>
  <si>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</si>
  <si>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</si>
  <si>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</si>
  <si>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</si>
  <si>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</si>
  <si>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</si>
  <si>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</si>
  <si>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</si>
  <si>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</si>
  <si>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</si>
  <si>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</si>
  <si>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</si>
  <si>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</si>
  <si>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</si>
  <si>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</si>
  <si>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</si>
  <si>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</si>
  <si>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</si>
  <si>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</si>
  <si>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</si>
  <si>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</si>
  <si>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</si>
  <si>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</si>
  <si>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</si>
  <si>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</si>
  <si>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</si>
  <si>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</si>
  <si>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</si>
  <si>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</si>
  <si>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</si>
  <si>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</si>
  <si>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</si>
  <si>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</si>
  <si>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</si>
  <si>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</si>
  <si>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</si>
  <si>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</si>
  <si>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</si>
  <si>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</si>
  <si>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</si>
  <si>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</si>
  <si>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</si>
  <si>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</si>
  <si>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</si>
  <si>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</si>
  <si>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</si>
  <si>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</si>
  <si>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</si>
  <si>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</si>
  <si>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</si>
  <si>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</si>
  <si>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</si>
  <si>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</si>
  <si>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</si>
  <si>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</si>
  <si>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</si>
  <si>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</si>
  <si>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</si>
  <si>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</si>
  <si>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</si>
  <si>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</si>
  <si>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</si>
  <si>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</si>
  <si>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</si>
  <si>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</si>
  <si>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</si>
  <si>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</si>
  <si>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</si>
  <si>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</si>
  <si>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</si>
  <si>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</si>
  <si>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</si>
  <si>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</si>
  <si>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</si>
  <si>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</si>
  <si>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</si>
  <si>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</si>
  <si>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</si>
  <si>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</si>
  <si>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</si>
  <si>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</si>
  <si>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</si>
  <si>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</si>
  <si>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</si>
  <si>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</si>
  <si>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</si>
  <si>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</si>
  <si>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</si>
  <si>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</si>
  <si>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</si>
  <si>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</si>
  <si>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</si>
  <si>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</si>
  <si>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</si>
  <si>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</si>
  <si>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</si>
  <si>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</si>
  <si>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</si>
  <si>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</si>
  <si>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</si>
  <si>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</si>
  <si>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</si>
  <si>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</si>
  <si>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</si>
  <si>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</si>
  <si>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</si>
  <si>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</si>
  <si>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</si>
  <si>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</si>
  <si>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</si>
  <si>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</si>
  <si>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</si>
  <si>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</si>
  <si>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</si>
  <si>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</si>
  <si>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</si>
  <si>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</si>
  <si>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</si>
  <si>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</si>
  <si>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</si>
  <si>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</si>
  <si>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</si>
  <si>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</si>
  <si>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</si>
  <si>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</si>
  <si>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</si>
  <si>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</si>
  <si>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</si>
  <si>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</si>
  <si>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t>DAILY WATER CONSUMPTION FOR FEBRUARY 2025</t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</si>
  <si>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</si>
  <si>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</si>
  <si>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</si>
  <si>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</si>
  <si>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</si>
  <si>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</si>
  <si>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</si>
  <si>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</si>
  <si>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</si>
  <si>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</si>
  <si>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</si>
  <si>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</si>
  <si>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CO2 (kg.) (Ex. Vap'r)</t>
  </si>
  <si>
    <t>FILLER Cons. (Kg.)</t>
  </si>
  <si>
    <t>CO2 (Ex. Vap'r) (Kg./HL)</t>
  </si>
  <si>
    <t>CO2 Daily Consumption for MARCH 2025</t>
  </si>
  <si>
    <t>DAILY FUEL CONSUMPTION FOR  MARCH 2025</t>
  </si>
  <si>
    <t>(liters)</t>
  </si>
  <si>
    <t>KPI. Elect (KW-H/Hl)</t>
  </si>
  <si>
    <t>DAILY  ELECTRICITY  CONSUMPTION FOR  MARCH 2025</t>
  </si>
  <si>
    <t>PRODUCTION FOR MARCH 2025</t>
  </si>
  <si>
    <t>Juicy Cool</t>
  </si>
  <si>
    <t xml:space="preserve">Starmalt </t>
  </si>
  <si>
    <t>ST/CB</t>
  </si>
  <si>
    <t>GO/GA/JCool</t>
  </si>
  <si>
    <t>GN/SM/ST</t>
  </si>
  <si>
    <t>Carib/Stag</t>
  </si>
  <si>
    <t>Stag/ Carib</t>
  </si>
  <si>
    <t>Carib</t>
  </si>
  <si>
    <t>Stag</t>
  </si>
  <si>
    <t>ST</t>
  </si>
  <si>
    <t>Carib/ Stag</t>
  </si>
  <si>
    <t>Guinness</t>
  </si>
  <si>
    <t>CB</t>
  </si>
  <si>
    <t>CB/ST/SM</t>
  </si>
  <si>
    <t>SM</t>
  </si>
  <si>
    <t>ELECTRICITY GRENLEC</t>
  </si>
  <si>
    <t>CARIB GENSET</t>
  </si>
  <si>
    <t>ELECTRICITY TOTAL</t>
  </si>
  <si>
    <t>CB/ST</t>
  </si>
  <si>
    <t>Gness</t>
  </si>
  <si>
    <t>Carib/Vmalt</t>
  </si>
  <si>
    <t>Vmalt/Carib</t>
  </si>
  <si>
    <t>VitaMalt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</si>
</sst>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rgb="FF170EC2"/>
      <name val="Arial"/>
      <family val="2"/>
    </font>
    <font>
      <b/>
      <sz val="20"/>
      <color theme="5" tint="-0.249977111117893"/>
      <name val="Arial"/>
      <family val="2"/>
    </font>
    <font>
      <sz val="12"/>
      <color indexed="81"/>
      <name val="Tahoma"/>
      <family val="2"/>
    </font>
    <font>
      <b/>
      <sz val="20"/>
      <color theme="9" tint="-0.249977111117893"/>
      <name val="Arial"/>
      <family val="2"/>
    </font>
    <font>
      <b/>
      <sz val="20"/>
      <color rgb="FF00B050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20"/>
      <color theme="5" tint="-0.499984740745262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sz val="20"/>
      <color rgb="FF0082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58"/>
      </left>
      <right style="thin">
        <color indexed="58"/>
      </right>
      <top/>
      <bottom style="thin">
        <color indexed="5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1" fillId="0" borderId="0" applyFont="0" applyFill="0" applyBorder="0" applyAlignment="0" applyProtection="0"/>
    <xf numFmtId="172" fontId="1" fillId="0" borderId="0"/>
  </cellStyleXfs>
  <cellXfs count="867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20" fillId="4" borderId="0" xfId="3" applyFont="1" applyFill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4" fillId="5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0" fontId="24" fillId="4" borderId="11" xfId="0" applyFont="1" applyFill="1" applyBorder="1" applyAlignment="1">
      <alignment horizontal="center"/>
    </xf>
    <xf numFmtId="0" fontId="23" fillId="4" borderId="21" xfId="0" applyFont="1" applyFill="1" applyBorder="1" applyAlignment="1">
      <alignment horizontal="center"/>
    </xf>
    <xf numFmtId="0" fontId="24" fillId="4" borderId="22" xfId="0" applyFont="1" applyFill="1" applyBorder="1" applyAlignment="1">
      <alignment horizontal="center"/>
    </xf>
    <xf numFmtId="0" fontId="25" fillId="4" borderId="23" xfId="0" applyFont="1" applyFill="1" applyBorder="1" applyAlignment="1">
      <alignment horizontal="center"/>
    </xf>
    <xf numFmtId="0" fontId="23" fillId="4" borderId="24" xfId="0" applyFont="1" applyFill="1" applyBorder="1" applyAlignment="1">
      <alignment horizontal="center"/>
    </xf>
    <xf numFmtId="0" fontId="23" fillId="4" borderId="26" xfId="0" applyFont="1" applyFill="1" applyBorder="1" applyAlignment="1">
      <alignment horizontal="center"/>
    </xf>
    <xf numFmtId="0" fontId="24" fillId="4" borderId="26" xfId="0" applyFont="1" applyFill="1" applyBorder="1" applyAlignment="1">
      <alignment horizontal="center"/>
    </xf>
    <xf numFmtId="0" fontId="24" fillId="4" borderId="21" xfId="0" applyFont="1" applyFill="1" applyBorder="1" applyAlignment="1">
      <alignment horizontal="center"/>
    </xf>
    <xf numFmtId="0" fontId="23" fillId="4" borderId="27" xfId="0" applyFont="1" applyFill="1" applyBorder="1" applyAlignment="1">
      <alignment horizontal="center"/>
    </xf>
    <xf numFmtId="0" fontId="23" fillId="4" borderId="19" xfId="0" applyFont="1" applyFill="1" applyBorder="1" applyAlignment="1">
      <alignment horizontal="center"/>
    </xf>
    <xf numFmtId="0" fontId="23" fillId="4" borderId="28" xfId="0" applyFont="1" applyFill="1" applyBorder="1" applyAlignment="1">
      <alignment horizontal="center"/>
    </xf>
    <xf numFmtId="0" fontId="23" fillId="4" borderId="29" xfId="0" applyFont="1" applyFill="1" applyBorder="1" applyAlignment="1">
      <alignment horizontal="center"/>
    </xf>
    <xf numFmtId="0" fontId="23" fillId="4" borderId="30" xfId="0" applyFont="1" applyFill="1" applyBorder="1" applyAlignment="1">
      <alignment horizontal="center"/>
    </xf>
    <xf numFmtId="0" fontId="23" fillId="4" borderId="31" xfId="0" applyFont="1" applyFill="1" applyBorder="1" applyAlignment="1">
      <alignment horizontal="center"/>
    </xf>
    <xf numFmtId="0" fontId="24" fillId="4" borderId="32" xfId="0" applyFont="1" applyFill="1" applyBorder="1" applyAlignment="1">
      <alignment horizontal="center"/>
    </xf>
    <xf numFmtId="0" fontId="24" fillId="4" borderId="33" xfId="0" applyFont="1" applyFill="1" applyBorder="1" applyAlignment="1">
      <alignment horizontal="center"/>
    </xf>
    <xf numFmtId="0" fontId="24" fillId="4" borderId="34" xfId="0" applyFont="1" applyFill="1" applyBorder="1" applyAlignment="1">
      <alignment horizontal="center"/>
    </xf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20" fillId="4" borderId="32" xfId="3" applyFont="1" applyFill="1" applyBorder="1" applyAlignment="1">
      <alignment horizontal="center"/>
    </xf>
    <xf numFmtId="0" fontId="20" fillId="4" borderId="36" xfId="3" applyFont="1" applyFill="1" applyBorder="1" applyAlignment="1">
      <alignment horizontal="center"/>
    </xf>
    <xf numFmtId="0" fontId="20" fillId="4" borderId="11" xfId="3" applyFont="1" applyFill="1" applyBorder="1" applyAlignment="1">
      <alignment horizontal="center"/>
    </xf>
    <xf numFmtId="0" fontId="20" fillId="4" borderId="2" xfId="3" applyFont="1" applyFill="1" applyBorder="1" applyAlignment="1">
      <alignment horizontal="center"/>
    </xf>
    <xf numFmtId="37" fontId="20" fillId="4" borderId="37" xfId="3" applyNumberFormat="1" applyFont="1" applyFill="1" applyBorder="1" applyAlignment="1">
      <alignment horizontal="center"/>
    </xf>
    <xf numFmtId="0" fontId="28" fillId="0" borderId="0" xfId="3" applyFont="1"/>
    <xf numFmtId="0" fontId="29" fillId="0" borderId="5" xfId="3" applyFont="1" applyBorder="1" applyAlignment="1">
      <alignment horizontal="center"/>
    </xf>
    <xf numFmtId="37" fontId="29" fillId="0" borderId="6" xfId="3" applyNumberFormat="1" applyFont="1" applyBorder="1" applyAlignment="1">
      <alignment horizontal="center"/>
    </xf>
    <xf numFmtId="37" fontId="29" fillId="0" borderId="39" xfId="3" applyNumberFormat="1" applyFont="1" applyBorder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20" fillId="4" borderId="40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15" fillId="0" borderId="41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6" fillId="4" borderId="43" xfId="3" applyFont="1" applyFill="1" applyBorder="1"/>
    <xf numFmtId="0" fontId="19" fillId="0" borderId="5" xfId="3" applyFont="1" applyBorder="1" applyAlignment="1">
      <alignment horizontal="center"/>
    </xf>
    <xf numFmtId="3" fontId="29" fillId="0" borderId="3" xfId="3" applyNumberFormat="1" applyFont="1" applyBorder="1" applyAlignment="1">
      <alignment horizontal="center"/>
    </xf>
    <xf numFmtId="37" fontId="29" fillId="0" borderId="4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0" fontId="29" fillId="0" borderId="4" xfId="3" applyFont="1" applyBorder="1"/>
    <xf numFmtId="2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0" fontId="29" fillId="0" borderId="6" xfId="3" applyFont="1" applyBorder="1"/>
    <xf numFmtId="3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18" fillId="0" borderId="0" xfId="3" applyFont="1"/>
    <xf numFmtId="0" fontId="20" fillId="4" borderId="5" xfId="3" applyFont="1" applyFill="1" applyBorder="1"/>
    <xf numFmtId="0" fontId="27" fillId="4" borderId="5" xfId="3" applyFont="1" applyFill="1" applyBorder="1" applyAlignment="1">
      <alignment horizontal="center"/>
    </xf>
    <xf numFmtId="0" fontId="27" fillId="4" borderId="5" xfId="3" applyFont="1" applyFill="1" applyBorder="1"/>
    <xf numFmtId="0" fontId="20" fillId="4" borderId="5" xfId="3" applyFont="1" applyFill="1" applyBorder="1" applyAlignment="1">
      <alignment horizontal="center"/>
    </xf>
    <xf numFmtId="0" fontId="23" fillId="4" borderId="34" xfId="3" applyFont="1" applyFill="1" applyBorder="1"/>
    <xf numFmtId="3" fontId="7" fillId="0" borderId="0" xfId="3" applyNumberFormat="1" applyAlignment="1">
      <alignment horizontal="left"/>
    </xf>
    <xf numFmtId="0" fontId="35" fillId="0" borderId="0" xfId="3" applyFont="1"/>
    <xf numFmtId="0" fontId="36" fillId="0" borderId="0" xfId="0" applyFont="1"/>
    <xf numFmtId="3" fontId="3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/>
    <xf numFmtId="0" fontId="3" fillId="6" borderId="0" xfId="0" applyFont="1" applyFill="1"/>
    <xf numFmtId="0" fontId="0" fillId="0" borderId="47" xfId="0" applyBorder="1"/>
    <xf numFmtId="0" fontId="0" fillId="0" borderId="23" xfId="0" applyBorder="1"/>
    <xf numFmtId="3" fontId="15" fillId="0" borderId="38" xfId="3" applyNumberFormat="1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9" fillId="0" borderId="0" xfId="0" applyFont="1"/>
    <xf numFmtId="0" fontId="50" fillId="0" borderId="0" xfId="0" applyFont="1"/>
    <xf numFmtId="0" fontId="50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4" fillId="0" borderId="0" xfId="0" applyFont="1" applyAlignment="1">
      <alignment horizontal="center"/>
    </xf>
    <xf numFmtId="0" fontId="54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67" fontId="8" fillId="0" borderId="0" xfId="1" applyNumberFormat="1" applyFont="1" applyAlignment="1">
      <alignment horizontal="center"/>
    </xf>
    <xf numFmtId="17" fontId="54" fillId="0" borderId="0" xfId="0" applyNumberFormat="1" applyFont="1" applyAlignment="1">
      <alignment horizontal="left" wrapText="1"/>
    </xf>
    <xf numFmtId="167" fontId="56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right"/>
    </xf>
    <xf numFmtId="167" fontId="57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center" vertical="center"/>
    </xf>
    <xf numFmtId="0" fontId="59" fillId="0" borderId="0" xfId="0" applyFont="1"/>
    <xf numFmtId="0" fontId="54" fillId="0" borderId="0" xfId="0" applyFont="1"/>
    <xf numFmtId="0" fontId="55" fillId="0" borderId="0" xfId="0" applyFont="1"/>
    <xf numFmtId="0" fontId="8" fillId="0" borderId="36" xfId="0" applyFont="1" applyBorder="1"/>
    <xf numFmtId="0" fontId="62" fillId="0" borderId="0" xfId="0" applyFont="1" applyAlignment="1">
      <alignment horizontal="center"/>
    </xf>
    <xf numFmtId="0" fontId="62" fillId="3" borderId="0" xfId="0" applyFont="1" applyFill="1" applyAlignment="1">
      <alignment horizontal="center"/>
    </xf>
    <xf numFmtId="0" fontId="54" fillId="0" borderId="0" xfId="3" applyFont="1" applyAlignment="1">
      <alignment vertical="center" wrapText="1"/>
    </xf>
    <xf numFmtId="3" fontId="54" fillId="0" borderId="0" xfId="3" applyNumberFormat="1" applyFont="1" applyAlignment="1">
      <alignment horizontal="center"/>
    </xf>
    <xf numFmtId="3" fontId="54" fillId="3" borderId="0" xfId="3" applyNumberFormat="1" applyFont="1" applyFill="1" applyAlignment="1">
      <alignment horizontal="center"/>
    </xf>
    <xf numFmtId="3" fontId="54" fillId="0" borderId="37" xfId="3" applyNumberFormat="1" applyFont="1" applyBorder="1" applyAlignment="1">
      <alignment horizontal="center"/>
    </xf>
    <xf numFmtId="0" fontId="63" fillId="0" borderId="37" xfId="3" applyFont="1" applyBorder="1" applyAlignment="1">
      <alignment horizontal="center"/>
    </xf>
    <xf numFmtId="0" fontId="54" fillId="0" borderId="37" xfId="3" applyFont="1" applyBorder="1" applyAlignment="1">
      <alignment horizontal="center"/>
    </xf>
    <xf numFmtId="0" fontId="54" fillId="3" borderId="37" xfId="3" applyFont="1" applyFill="1" applyBorder="1" applyAlignment="1">
      <alignment horizontal="center"/>
    </xf>
    <xf numFmtId="1" fontId="54" fillId="0" borderId="37" xfId="3" applyNumberFormat="1" applyFont="1" applyBorder="1" applyAlignment="1">
      <alignment horizontal="center"/>
    </xf>
    <xf numFmtId="0" fontId="55" fillId="6" borderId="0" xfId="3" applyFont="1" applyFill="1" applyAlignment="1">
      <alignment vertical="center" wrapText="1"/>
    </xf>
    <xf numFmtId="3" fontId="53" fillId="6" borderId="0" xfId="0" applyNumberFormat="1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4" fillId="0" borderId="0" xfId="3" applyFont="1" applyAlignment="1">
      <alignment horizontal="left" vertical="center" wrapText="1"/>
    </xf>
    <xf numFmtId="0" fontId="54" fillId="0" borderId="37" xfId="3" applyFont="1" applyBorder="1" applyAlignment="1">
      <alignment vertical="center" wrapText="1"/>
    </xf>
    <xf numFmtId="3" fontId="54" fillId="3" borderId="37" xfId="3" applyNumberFormat="1" applyFont="1" applyFill="1" applyBorder="1" applyAlignment="1">
      <alignment horizontal="center"/>
    </xf>
    <xf numFmtId="0" fontId="55" fillId="6" borderId="0" xfId="3" applyFont="1" applyFill="1" applyAlignment="1">
      <alignment horizontal="left" vertical="center" wrapText="1"/>
    </xf>
    <xf numFmtId="164" fontId="54" fillId="0" borderId="0" xfId="0" applyNumberFormat="1" applyFont="1" applyAlignment="1">
      <alignment horizontal="center"/>
    </xf>
    <xf numFmtId="0" fontId="55" fillId="0" borderId="37" xfId="3" applyFont="1" applyBorder="1" applyAlignment="1">
      <alignment vertical="center" wrapText="1"/>
    </xf>
    <xf numFmtId="0" fontId="54" fillId="0" borderId="0" xfId="3" applyFont="1" applyAlignment="1">
      <alignment horizontal="center"/>
    </xf>
    <xf numFmtId="0" fontId="54" fillId="3" borderId="0" xfId="3" applyFont="1" applyFill="1" applyAlignment="1">
      <alignment horizontal="center"/>
    </xf>
    <xf numFmtId="0" fontId="54" fillId="8" borderId="0" xfId="3" applyFont="1" applyFill="1" applyAlignment="1">
      <alignment horizontal="left" vertical="center" wrapText="1"/>
    </xf>
    <xf numFmtId="0" fontId="54" fillId="6" borderId="0" xfId="3" applyFont="1" applyFill="1" applyAlignment="1">
      <alignment vertical="center" wrapText="1"/>
    </xf>
    <xf numFmtId="3" fontId="54" fillId="6" borderId="0" xfId="3" applyNumberFormat="1" applyFont="1" applyFill="1" applyAlignment="1">
      <alignment horizontal="center"/>
    </xf>
    <xf numFmtId="0" fontId="54" fillId="6" borderId="0" xfId="3" applyFont="1" applyFill="1" applyAlignment="1">
      <alignment horizontal="left" vertical="center" wrapText="1"/>
    </xf>
    <xf numFmtId="3" fontId="54" fillId="6" borderId="0" xfId="0" applyNumberFormat="1" applyFont="1" applyFill="1" applyAlignment="1">
      <alignment horizontal="center"/>
    </xf>
    <xf numFmtId="3" fontId="54" fillId="8" borderId="0" xfId="3" applyNumberFormat="1" applyFont="1" applyFill="1" applyAlignment="1">
      <alignment horizontal="center"/>
    </xf>
    <xf numFmtId="0" fontId="54" fillId="2" borderId="0" xfId="3" applyFont="1" applyFill="1" applyAlignment="1">
      <alignment horizontal="left" vertical="center" wrapText="1"/>
    </xf>
    <xf numFmtId="3" fontId="54" fillId="2" borderId="0" xfId="3" applyNumberFormat="1" applyFont="1" applyFill="1" applyAlignment="1">
      <alignment horizontal="center"/>
    </xf>
    <xf numFmtId="0" fontId="55" fillId="6" borderId="0" xfId="0" applyFont="1" applyFill="1"/>
    <xf numFmtId="3" fontId="53" fillId="6" borderId="36" xfId="0" applyNumberFormat="1" applyFont="1" applyFill="1" applyBorder="1" applyAlignment="1">
      <alignment horizontal="center"/>
    </xf>
    <xf numFmtId="0" fontId="55" fillId="0" borderId="0" xfId="3" applyFont="1" applyAlignment="1">
      <alignment horizontal="left" vertical="center" wrapText="1"/>
    </xf>
    <xf numFmtId="3" fontId="58" fillId="0" borderId="0" xfId="0" applyNumberFormat="1" applyFont="1" applyAlignment="1">
      <alignment horizontal="center"/>
    </xf>
    <xf numFmtId="37" fontId="53" fillId="6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37" fontId="53" fillId="6" borderId="0" xfId="3" applyNumberFormat="1" applyFont="1" applyFill="1" applyAlignment="1">
      <alignment horizontal="center"/>
    </xf>
    <xf numFmtId="165" fontId="53" fillId="6" borderId="0" xfId="0" applyNumberFormat="1" applyFont="1" applyFill="1" applyAlignment="1">
      <alignment horizontal="center"/>
    </xf>
    <xf numFmtId="165" fontId="54" fillId="0" borderId="0" xfId="0" applyNumberFormat="1" applyFont="1" applyAlignment="1">
      <alignment horizontal="center"/>
    </xf>
    <xf numFmtId="0" fontId="66" fillId="0" borderId="0" xfId="3" applyFont="1" applyAlignment="1">
      <alignment horizontal="left" vertical="center" wrapText="1"/>
    </xf>
    <xf numFmtId="165" fontId="66" fillId="0" borderId="0" xfId="0" applyNumberFormat="1" applyFont="1" applyAlignment="1">
      <alignment horizontal="center"/>
    </xf>
    <xf numFmtId="165" fontId="54" fillId="2" borderId="0" xfId="0" applyNumberFormat="1" applyFont="1" applyFill="1" applyAlignment="1">
      <alignment horizontal="center"/>
    </xf>
    <xf numFmtId="0" fontId="66" fillId="2" borderId="0" xfId="3" applyFont="1" applyFill="1" applyAlignment="1">
      <alignment horizontal="left" vertical="center" wrapText="1"/>
    </xf>
    <xf numFmtId="165" fontId="66" fillId="2" borderId="0" xfId="0" applyNumberFormat="1" applyFont="1" applyFill="1" applyAlignment="1">
      <alignment horizontal="center"/>
    </xf>
    <xf numFmtId="0" fontId="55" fillId="0" borderId="36" xfId="3" applyFont="1" applyBorder="1" applyAlignment="1">
      <alignment horizontal="left" shrinkToFit="1"/>
    </xf>
    <xf numFmtId="165" fontId="55" fillId="0" borderId="36" xfId="0" applyNumberFormat="1" applyFont="1" applyBorder="1" applyAlignment="1">
      <alignment horizontal="center"/>
    </xf>
    <xf numFmtId="0" fontId="68" fillId="0" borderId="49" xfId="3" applyFont="1" applyBorder="1" applyAlignment="1">
      <alignment horizontal="left" wrapText="1"/>
    </xf>
    <xf numFmtId="164" fontId="69" fillId="0" borderId="49" xfId="0" applyNumberFormat="1" applyFont="1" applyBorder="1" applyAlignment="1">
      <alignment horizontal="center"/>
    </xf>
    <xf numFmtId="164" fontId="53" fillId="6" borderId="0" xfId="0" applyNumberFormat="1" applyFont="1" applyFill="1" applyAlignment="1">
      <alignment horizontal="center"/>
    </xf>
    <xf numFmtId="0" fontId="55" fillId="9" borderId="0" xfId="0" applyFont="1" applyFill="1"/>
    <xf numFmtId="43" fontId="53" fillId="9" borderId="0" xfId="0" applyNumberFormat="1" applyFont="1" applyFill="1"/>
    <xf numFmtId="0" fontId="53" fillId="0" borderId="0" xfId="0" applyFont="1" applyAlignment="1">
      <alignment horizontal="center"/>
    </xf>
    <xf numFmtId="37" fontId="54" fillId="0" borderId="0" xfId="0" applyNumberFormat="1" applyFont="1" applyAlignment="1">
      <alignment horizontal="center"/>
    </xf>
    <xf numFmtId="170" fontId="54" fillId="0" borderId="0" xfId="4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1" fillId="0" borderId="0" xfId="1" applyNumberFormat="1" applyFont="1" applyAlignment="1">
      <alignment horizontal="center"/>
    </xf>
    <xf numFmtId="0" fontId="63" fillId="14" borderId="0" xfId="0" applyFont="1" applyFill="1"/>
    <xf numFmtId="164" fontId="63" fillId="14" borderId="0" xfId="0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9" fillId="14" borderId="0" xfId="3" applyFont="1" applyFill="1" applyAlignment="1">
      <alignment vertical="center" wrapText="1"/>
    </xf>
    <xf numFmtId="165" fontId="69" fillId="14" borderId="0" xfId="0" applyNumberFormat="1" applyFont="1" applyFill="1" applyAlignment="1">
      <alignment horizontal="center"/>
    </xf>
    <xf numFmtId="0" fontId="69" fillId="15" borderId="0" xfId="3" applyFont="1" applyFill="1" applyAlignment="1">
      <alignment horizontal="left" vertical="center" wrapText="1"/>
    </xf>
    <xf numFmtId="165" fontId="69" fillId="15" borderId="0" xfId="0" applyNumberFormat="1" applyFont="1" applyFill="1" applyAlignment="1">
      <alignment horizontal="center"/>
    </xf>
    <xf numFmtId="0" fontId="69" fillId="15" borderId="0" xfId="0" applyFont="1" applyFill="1"/>
    <xf numFmtId="3" fontId="69" fillId="15" borderId="0" xfId="0" applyNumberFormat="1" applyFont="1" applyFill="1" applyAlignment="1">
      <alignment horizontal="center"/>
    </xf>
    <xf numFmtId="0" fontId="54" fillId="14" borderId="0" xfId="0" applyFont="1" applyFill="1"/>
    <xf numFmtId="0" fontId="54" fillId="14" borderId="0" xfId="0" applyFont="1" applyFill="1" applyAlignment="1">
      <alignment horizontal="center"/>
    </xf>
    <xf numFmtId="3" fontId="53" fillId="19" borderId="0" xfId="0" applyNumberFormat="1" applyFont="1" applyFill="1" applyAlignment="1">
      <alignment horizontal="center"/>
    </xf>
    <xf numFmtId="167" fontId="58" fillId="0" borderId="0" xfId="1" applyNumberFormat="1" applyFont="1" applyAlignment="1">
      <alignment horizontal="center"/>
    </xf>
    <xf numFmtId="0" fontId="78" fillId="0" borderId="0" xfId="0" applyFont="1"/>
    <xf numFmtId="0" fontId="77" fillId="0" borderId="0" xfId="0" applyFont="1"/>
    <xf numFmtId="17" fontId="79" fillId="0" borderId="0" xfId="0" applyNumberFormat="1" applyFont="1" applyAlignment="1">
      <alignment horizontal="left" wrapText="1"/>
    </xf>
    <xf numFmtId="0" fontId="79" fillId="0" borderId="0" xfId="0" applyFont="1"/>
    <xf numFmtId="17" fontId="78" fillId="0" borderId="0" xfId="0" applyNumberFormat="1" applyFont="1" applyAlignment="1">
      <alignment horizontal="left" wrapText="1"/>
    </xf>
    <xf numFmtId="0" fontId="81" fillId="0" borderId="0" xfId="0" applyFont="1"/>
    <xf numFmtId="0" fontId="81" fillId="22" borderId="75" xfId="0" applyFont="1" applyFill="1" applyBorder="1"/>
    <xf numFmtId="0" fontId="81" fillId="13" borderId="0" xfId="0" applyFont="1" applyFill="1"/>
    <xf numFmtId="0" fontId="84" fillId="0" borderId="0" xfId="0" applyFont="1"/>
    <xf numFmtId="0" fontId="80" fillId="0" borderId="0" xfId="0" applyFont="1"/>
    <xf numFmtId="0" fontId="85" fillId="16" borderId="0" xfId="3" applyFont="1" applyFill="1" applyAlignment="1">
      <alignment vertical="center" wrapText="1"/>
    </xf>
    <xf numFmtId="0" fontId="78" fillId="16" borderId="0" xfId="0" applyFont="1" applyFill="1"/>
    <xf numFmtId="0" fontId="79" fillId="0" borderId="36" xfId="0" applyFont="1" applyBorder="1"/>
    <xf numFmtId="0" fontId="88" fillId="0" borderId="0" xfId="0" applyFont="1"/>
    <xf numFmtId="0" fontId="78" fillId="0" borderId="0" xfId="3" applyFont="1" applyAlignment="1">
      <alignment vertical="center" wrapText="1"/>
    </xf>
    <xf numFmtId="0" fontId="77" fillId="16" borderId="0" xfId="3" applyFont="1" applyFill="1" applyAlignment="1">
      <alignment vertical="center" wrapText="1"/>
    </xf>
    <xf numFmtId="0" fontId="77" fillId="16" borderId="0" xfId="0" applyFont="1" applyFill="1"/>
    <xf numFmtId="0" fontId="77" fillId="0" borderId="0" xfId="3" applyFont="1" applyAlignment="1">
      <alignment vertical="center" wrapText="1"/>
    </xf>
    <xf numFmtId="0" fontId="78" fillId="0" borderId="0" xfId="3" applyFont="1" applyAlignment="1">
      <alignment horizontal="left" vertical="center" wrapText="1"/>
    </xf>
    <xf numFmtId="0" fontId="78" fillId="0" borderId="70" xfId="3" applyFont="1" applyBorder="1" applyAlignment="1">
      <alignment vertical="center" wrapText="1"/>
    </xf>
    <xf numFmtId="0" fontId="77" fillId="0" borderId="0" xfId="3" applyFont="1" applyAlignment="1">
      <alignment horizontal="left" vertical="center" wrapText="1"/>
    </xf>
    <xf numFmtId="0" fontId="77" fillId="0" borderId="37" xfId="3" applyFont="1" applyBorder="1" applyAlignment="1">
      <alignment vertical="center" wrapText="1"/>
    </xf>
    <xf numFmtId="0" fontId="78" fillId="16" borderId="72" xfId="3" applyFont="1" applyFill="1" applyBorder="1" applyAlignment="1">
      <alignment horizontal="left" vertical="center" wrapText="1"/>
    </xf>
    <xf numFmtId="0" fontId="78" fillId="0" borderId="72" xfId="3" applyFont="1" applyBorder="1" applyAlignment="1">
      <alignment horizontal="left" vertical="center" wrapText="1"/>
    </xf>
    <xf numFmtId="0" fontId="78" fillId="0" borderId="72" xfId="3" applyFont="1" applyBorder="1" applyAlignment="1">
      <alignment vertical="center" wrapText="1"/>
    </xf>
    <xf numFmtId="0" fontId="78" fillId="0" borderId="73" xfId="3" applyFont="1" applyBorder="1" applyAlignment="1">
      <alignment horizontal="left" vertical="center" wrapText="1"/>
    </xf>
    <xf numFmtId="0" fontId="77" fillId="20" borderId="0" xfId="0" applyFont="1" applyFill="1"/>
    <xf numFmtId="3" fontId="84" fillId="0" borderId="0" xfId="0" applyNumberFormat="1" applyFont="1" applyAlignment="1">
      <alignment horizontal="center"/>
    </xf>
    <xf numFmtId="3" fontId="84" fillId="13" borderId="0" xfId="0" applyNumberFormat="1" applyFont="1" applyFill="1" applyAlignment="1">
      <alignment horizontal="center"/>
    </xf>
    <xf numFmtId="0" fontId="78" fillId="0" borderId="74" xfId="3" applyFont="1" applyBorder="1" applyAlignment="1">
      <alignment vertical="center" wrapText="1"/>
    </xf>
    <xf numFmtId="0" fontId="78" fillId="16" borderId="75" xfId="3" applyFont="1" applyFill="1" applyBorder="1" applyAlignment="1">
      <alignment horizontal="left" vertical="center" wrapText="1"/>
    </xf>
    <xf numFmtId="0" fontId="92" fillId="0" borderId="0" xfId="0" applyFont="1"/>
    <xf numFmtId="0" fontId="92" fillId="16" borderId="0" xfId="0" applyFont="1" applyFill="1"/>
    <xf numFmtId="0" fontId="78" fillId="0" borderId="75" xfId="3" applyFont="1" applyBorder="1" applyAlignment="1">
      <alignment vertical="center" wrapText="1"/>
    </xf>
    <xf numFmtId="0" fontId="92" fillId="0" borderId="75" xfId="3" applyFont="1" applyBorder="1" applyAlignment="1">
      <alignment horizontal="left" vertical="center" wrapText="1"/>
    </xf>
    <xf numFmtId="0" fontId="92" fillId="0" borderId="0" xfId="3" applyFont="1" applyAlignment="1">
      <alignment horizontal="left" vertical="center" wrapText="1"/>
    </xf>
    <xf numFmtId="0" fontId="77" fillId="0" borderId="36" xfId="3" applyFont="1" applyBorder="1" applyAlignment="1">
      <alignment horizontal="left" shrinkToFit="1"/>
    </xf>
    <xf numFmtId="0" fontId="94" fillId="0" borderId="49" xfId="3" applyFont="1" applyBorder="1" applyAlignment="1">
      <alignment horizontal="left" wrapText="1"/>
    </xf>
    <xf numFmtId="0" fontId="86" fillId="0" borderId="0" xfId="0" applyFont="1"/>
    <xf numFmtId="0" fontId="86" fillId="16" borderId="0" xfId="3" applyFont="1" applyFill="1" applyAlignment="1">
      <alignment horizontal="left" vertical="center" wrapText="1"/>
    </xf>
    <xf numFmtId="0" fontId="86" fillId="0" borderId="0" xfId="3" applyFont="1" applyAlignment="1">
      <alignment horizontal="left" vertical="center" wrapText="1"/>
    </xf>
    <xf numFmtId="0" fontId="56" fillId="16" borderId="75" xfId="3" applyFont="1" applyFill="1" applyBorder="1" applyAlignment="1">
      <alignment horizontal="left" vertical="center" wrapText="1"/>
    </xf>
    <xf numFmtId="0" fontId="95" fillId="16" borderId="72" xfId="3" applyFont="1" applyFill="1" applyBorder="1" applyAlignment="1">
      <alignment horizontal="left" vertical="center" wrapText="1"/>
    </xf>
    <xf numFmtId="3" fontId="53" fillId="0" borderId="36" xfId="0" applyNumberFormat="1" applyFont="1" applyBorder="1" applyAlignment="1">
      <alignment horizontal="center"/>
    </xf>
    <xf numFmtId="3" fontId="53" fillId="0" borderId="69" xfId="0" applyNumberFormat="1" applyFont="1" applyBorder="1" applyAlignment="1">
      <alignment horizontal="center"/>
    </xf>
    <xf numFmtId="0" fontId="55" fillId="23" borderId="0" xfId="0" applyFont="1" applyFill="1"/>
    <xf numFmtId="0" fontId="1" fillId="23" borderId="0" xfId="0" applyFont="1" applyFill="1"/>
    <xf numFmtId="171" fontId="77" fillId="0" borderId="0" xfId="0" applyNumberFormat="1" applyFont="1"/>
    <xf numFmtId="17" fontId="78" fillId="0" borderId="0" xfId="0" applyNumberFormat="1" applyFont="1" applyAlignment="1">
      <alignment horizontal="center" wrapText="1"/>
    </xf>
    <xf numFmtId="0" fontId="81" fillId="0" borderId="0" xfId="0" applyFont="1" applyAlignment="1">
      <alignment horizontal="center"/>
    </xf>
    <xf numFmtId="0" fontId="77" fillId="21" borderId="69" xfId="3" applyFont="1" applyFill="1" applyBorder="1" applyAlignment="1">
      <alignment horizontal="left" vertical="center" wrapText="1"/>
    </xf>
    <xf numFmtId="0" fontId="77" fillId="21" borderId="0" xfId="0" applyFont="1" applyFill="1"/>
    <xf numFmtId="0" fontId="78" fillId="13" borderId="0" xfId="0" applyFont="1" applyFill="1"/>
    <xf numFmtId="0" fontId="78" fillId="13" borderId="75" xfId="3" applyFont="1" applyFill="1" applyBorder="1" applyAlignment="1">
      <alignment horizontal="left" vertical="center" wrapText="1"/>
    </xf>
    <xf numFmtId="0" fontId="78" fillId="16" borderId="75" xfId="3" applyFont="1" applyFill="1" applyBorder="1" applyAlignment="1">
      <alignment vertical="center" wrapText="1"/>
    </xf>
    <xf numFmtId="0" fontId="77" fillId="25" borderId="0" xfId="3" applyFont="1" applyFill="1" applyAlignment="1">
      <alignment horizontal="left" vertical="center" wrapText="1"/>
    </xf>
    <xf numFmtId="0" fontId="77" fillId="25" borderId="0" xfId="0" applyFont="1" applyFill="1"/>
    <xf numFmtId="0" fontId="78" fillId="25" borderId="0" xfId="0" applyFont="1" applyFill="1"/>
    <xf numFmtId="0" fontId="78" fillId="25" borderId="0" xfId="3" applyFont="1" applyFill="1" applyAlignment="1">
      <alignment vertical="center" wrapText="1"/>
    </xf>
    <xf numFmtId="43" fontId="77" fillId="25" borderId="0" xfId="0" applyNumberFormat="1" applyFont="1" applyFill="1" applyAlignment="1">
      <alignment horizontal="center" vertical="center"/>
    </xf>
    <xf numFmtId="0" fontId="80" fillId="13" borderId="75" xfId="3" applyFont="1" applyFill="1" applyBorder="1" applyAlignment="1">
      <alignment horizontal="left" vertical="center" wrapText="1"/>
    </xf>
    <xf numFmtId="0" fontId="80" fillId="13" borderId="0" xfId="0" applyFont="1" applyFill="1"/>
    <xf numFmtId="0" fontId="92" fillId="16" borderId="0" xfId="3" applyFont="1" applyFill="1" applyAlignment="1">
      <alignment horizontal="left" vertical="center" wrapText="1"/>
    </xf>
    <xf numFmtId="0" fontId="77" fillId="26" borderId="0" xfId="0" applyFont="1" applyFill="1"/>
    <xf numFmtId="0" fontId="78" fillId="26" borderId="0" xfId="0" applyFont="1" applyFill="1"/>
    <xf numFmtId="0" fontId="77" fillId="26" borderId="0" xfId="3" applyFont="1" applyFill="1" applyAlignment="1">
      <alignment horizontal="center" vertical="center" wrapText="1"/>
    </xf>
    <xf numFmtId="0" fontId="78" fillId="17" borderId="71" xfId="3" applyFont="1" applyFill="1" applyBorder="1" applyAlignment="1">
      <alignment vertical="center" wrapText="1"/>
    </xf>
    <xf numFmtId="0" fontId="78" fillId="17" borderId="75" xfId="3" applyFont="1" applyFill="1" applyBorder="1" applyAlignment="1">
      <alignment horizontal="left" vertical="center" wrapText="1"/>
    </xf>
    <xf numFmtId="0" fontId="77" fillId="27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7" fillId="23" borderId="0" xfId="0" applyFont="1" applyFill="1"/>
    <xf numFmtId="0" fontId="78" fillId="23" borderId="0" xfId="0" applyFont="1" applyFill="1"/>
    <xf numFmtId="0" fontId="54" fillId="24" borderId="0" xfId="0" applyFont="1" applyFill="1"/>
    <xf numFmtId="3" fontId="58" fillId="24" borderId="0" xfId="0" applyNumberFormat="1" applyFont="1" applyFill="1" applyAlignment="1">
      <alignment horizontal="center"/>
    </xf>
    <xf numFmtId="0" fontId="1" fillId="24" borderId="0" xfId="0" applyFont="1" applyFill="1"/>
    <xf numFmtId="0" fontId="77" fillId="24" borderId="0" xfId="0" applyFont="1" applyFill="1" applyAlignment="1">
      <alignment vertical="center"/>
    </xf>
    <xf numFmtId="3" fontId="84" fillId="24" borderId="0" xfId="0" applyNumberFormat="1" applyFont="1" applyFill="1" applyAlignment="1">
      <alignment horizontal="center" vertical="center"/>
    </xf>
    <xf numFmtId="3" fontId="77" fillId="24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3" fontId="15" fillId="0" borderId="46" xfId="3" applyNumberFormat="1" applyFont="1" applyBorder="1" applyAlignment="1">
      <alignment horizontal="center" vertical="center"/>
    </xf>
    <xf numFmtId="3" fontId="15" fillId="18" borderId="46" xfId="3" applyNumberFormat="1" applyFont="1" applyFill="1" applyBorder="1" applyAlignment="1">
      <alignment horizontal="center" vertical="center"/>
    </xf>
    <xf numFmtId="3" fontId="15" fillId="17" borderId="46" xfId="3" applyNumberFormat="1" applyFont="1" applyFill="1" applyBorder="1" applyAlignment="1">
      <alignment horizontal="center" vertical="center"/>
    </xf>
    <xf numFmtId="3" fontId="15" fillId="31" borderId="46" xfId="3" applyNumberFormat="1" applyFont="1" applyFill="1" applyBorder="1" applyAlignment="1">
      <alignment horizontal="center" vertical="center"/>
    </xf>
    <xf numFmtId="3" fontId="7" fillId="0" borderId="46" xfId="3" applyNumberFormat="1" applyBorder="1" applyAlignment="1">
      <alignment horizontal="center" vertical="center"/>
    </xf>
    <xf numFmtId="3" fontId="15" fillId="29" borderId="46" xfId="3" applyNumberFormat="1" applyFont="1" applyFill="1" applyBorder="1" applyAlignment="1">
      <alignment horizontal="center" vertical="center"/>
    </xf>
    <xf numFmtId="3" fontId="15" fillId="21" borderId="46" xfId="3" applyNumberFormat="1" applyFont="1" applyFill="1" applyBorder="1" applyAlignment="1">
      <alignment horizontal="center" vertical="center"/>
    </xf>
    <xf numFmtId="3" fontId="15" fillId="24" borderId="46" xfId="3" applyNumberFormat="1" applyFont="1" applyFill="1" applyBorder="1" applyAlignment="1">
      <alignment horizontal="center" vertical="center"/>
    </xf>
    <xf numFmtId="3" fontId="15" fillId="0" borderId="77" xfId="3" applyNumberFormat="1" applyFont="1" applyBorder="1" applyAlignment="1">
      <alignment horizontal="center" vertical="center"/>
    </xf>
    <xf numFmtId="3" fontId="15" fillId="0" borderId="5" xfId="3" applyNumberFormat="1" applyFont="1" applyBorder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167" fontId="56" fillId="16" borderId="0" xfId="1" applyNumberFormat="1" applyFont="1" applyFill="1" applyAlignment="1">
      <alignment horizontal="center" vertical="center"/>
    </xf>
    <xf numFmtId="167" fontId="56" fillId="16" borderId="0" xfId="1" applyNumberFormat="1" applyFont="1" applyFill="1" applyAlignment="1">
      <alignment horizontal="center"/>
    </xf>
    <xf numFmtId="167" fontId="71" fillId="16" borderId="0" xfId="1" applyNumberFormat="1" applyFont="1" applyFill="1" applyAlignment="1">
      <alignment horizontal="center"/>
    </xf>
    <xf numFmtId="3" fontId="54" fillId="16" borderId="0" xfId="3" applyNumberFormat="1" applyFont="1" applyFill="1" applyAlignment="1">
      <alignment horizontal="center"/>
    </xf>
    <xf numFmtId="0" fontId="54" fillId="16" borderId="0" xfId="0" applyFont="1" applyFill="1" applyAlignment="1">
      <alignment horizontal="center"/>
    </xf>
    <xf numFmtId="37" fontId="54" fillId="16" borderId="0" xfId="0" applyNumberFormat="1" applyFont="1" applyFill="1" applyAlignment="1">
      <alignment horizontal="center"/>
    </xf>
    <xf numFmtId="164" fontId="63" fillId="16" borderId="0" xfId="0" applyNumberFormat="1" applyFont="1" applyFill="1" applyAlignment="1">
      <alignment horizontal="center"/>
    </xf>
    <xf numFmtId="0" fontId="63" fillId="1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5" fillId="0" borderId="37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3" fontId="54" fillId="8" borderId="0" xfId="3" applyNumberFormat="1" applyFont="1" applyFill="1" applyAlignment="1">
      <alignment horizontal="center" vertical="center"/>
    </xf>
    <xf numFmtId="3" fontId="55" fillId="2" borderId="0" xfId="0" applyNumberFormat="1" applyFont="1" applyFill="1" applyAlignment="1">
      <alignment horizontal="center" vertical="center"/>
    </xf>
    <xf numFmtId="3" fontId="53" fillId="6" borderId="36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5" fillId="23" borderId="0" xfId="0" applyNumberFormat="1" applyFont="1" applyFill="1" applyAlignment="1">
      <alignment horizontal="center" vertical="center"/>
    </xf>
    <xf numFmtId="3" fontId="56" fillId="23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5" fillId="24" borderId="0" xfId="0" applyNumberFormat="1" applyFont="1" applyFill="1" applyAlignment="1">
      <alignment horizontal="center" vertical="center"/>
    </xf>
    <xf numFmtId="3" fontId="53" fillId="24" borderId="0" xfId="0" applyNumberFormat="1" applyFont="1" applyFill="1" applyAlignment="1">
      <alignment horizontal="center" vertical="center"/>
    </xf>
    <xf numFmtId="3" fontId="65" fillId="6" borderId="0" xfId="0" applyNumberFormat="1" applyFont="1" applyFill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165" fontId="53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5" fillId="0" borderId="0" xfId="1" applyNumberFormat="1" applyFont="1" applyAlignment="1">
      <alignment horizontal="center" vertical="center"/>
    </xf>
    <xf numFmtId="169" fontId="55" fillId="0" borderId="0" xfId="1" applyNumberFormat="1" applyFont="1" applyAlignment="1">
      <alignment horizontal="center" vertical="center"/>
    </xf>
    <xf numFmtId="165" fontId="75" fillId="14" borderId="0" xfId="1" applyNumberFormat="1" applyFont="1" applyFill="1" applyAlignment="1">
      <alignment horizontal="center" vertical="center"/>
    </xf>
    <xf numFmtId="169" fontId="75" fillId="14" borderId="0" xfId="1" applyNumberFormat="1" applyFont="1" applyFill="1" applyAlignment="1">
      <alignment horizontal="center" vertical="center"/>
    </xf>
    <xf numFmtId="165" fontId="67" fillId="0" borderId="0" xfId="1" applyNumberFormat="1" applyFont="1" applyAlignment="1">
      <alignment horizontal="center" vertical="center"/>
    </xf>
    <xf numFmtId="169" fontId="67" fillId="0" borderId="0" xfId="1" applyNumberFormat="1" applyFont="1" applyAlignment="1">
      <alignment horizontal="center" vertical="center"/>
    </xf>
    <xf numFmtId="165" fontId="55" fillId="2" borderId="0" xfId="1" applyNumberFormat="1" applyFont="1" applyFill="1" applyAlignment="1">
      <alignment horizontal="center" vertical="center"/>
    </xf>
    <xf numFmtId="169" fontId="55" fillId="2" borderId="0" xfId="1" applyNumberFormat="1" applyFont="1" applyFill="1" applyAlignment="1">
      <alignment horizontal="center" vertical="center"/>
    </xf>
    <xf numFmtId="165" fontId="67" fillId="2" borderId="0" xfId="1" applyNumberFormat="1" applyFont="1" applyFill="1" applyAlignment="1">
      <alignment horizontal="center" vertical="center"/>
    </xf>
    <xf numFmtId="169" fontId="67" fillId="2" borderId="0" xfId="1" applyNumberFormat="1" applyFont="1" applyFill="1" applyAlignment="1">
      <alignment horizontal="center" vertical="center"/>
    </xf>
    <xf numFmtId="165" fontId="75" fillId="15" borderId="0" xfId="1" applyNumberFormat="1" applyFont="1" applyFill="1" applyAlignment="1">
      <alignment horizontal="center" vertical="center"/>
    </xf>
    <xf numFmtId="169" fontId="75" fillId="15" borderId="0" xfId="1" applyNumberFormat="1" applyFont="1" applyFill="1" applyAlignment="1">
      <alignment horizontal="center" vertical="center"/>
    </xf>
    <xf numFmtId="165" fontId="55" fillId="0" borderId="36" xfId="0" applyNumberFormat="1" applyFont="1" applyBorder="1" applyAlignment="1">
      <alignment horizontal="center" vertical="center"/>
    </xf>
    <xf numFmtId="164" fontId="69" fillId="0" borderId="49" xfId="0" applyNumberFormat="1" applyFont="1" applyBorder="1" applyAlignment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4" fontId="53" fillId="6" borderId="0" xfId="0" applyNumberFormat="1" applyFont="1" applyFill="1" applyAlignment="1">
      <alignment horizontal="center" vertical="center"/>
    </xf>
    <xf numFmtId="165" fontId="53" fillId="3" borderId="0" xfId="0" applyNumberFormat="1" applyFont="1" applyFill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170" fontId="54" fillId="0" borderId="0" xfId="4" applyNumberFormat="1" applyFont="1" applyAlignment="1">
      <alignment horizontal="center" vertical="center"/>
    </xf>
    <xf numFmtId="164" fontId="76" fillId="14" borderId="0" xfId="0" applyNumberFormat="1" applyFont="1" applyFill="1" applyAlignment="1">
      <alignment horizontal="center" vertical="center"/>
    </xf>
    <xf numFmtId="0" fontId="76" fillId="14" borderId="0" xfId="0" applyFont="1" applyFill="1" applyAlignment="1">
      <alignment horizontal="center" vertical="center"/>
    </xf>
    <xf numFmtId="0" fontId="55" fillId="14" borderId="0" xfId="0" applyFont="1" applyFill="1" applyAlignment="1">
      <alignment horizontal="center" vertical="center"/>
    </xf>
    <xf numFmtId="37" fontId="5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4" fillId="0" borderId="37" xfId="0" applyFont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40" fontId="53" fillId="10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0" fontId="53" fillId="6" borderId="0" xfId="0" applyNumberFormat="1" applyFont="1" applyFill="1" applyAlignment="1">
      <alignment horizontal="center" vertical="center"/>
    </xf>
    <xf numFmtId="43" fontId="53" fillId="9" borderId="0" xfId="0" applyNumberFormat="1" applyFont="1" applyFill="1" applyAlignment="1">
      <alignment horizontal="center" vertical="center"/>
    </xf>
    <xf numFmtId="3" fontId="69" fillId="15" borderId="0" xfId="0" applyNumberFormat="1" applyFont="1" applyFill="1" applyAlignment="1">
      <alignment horizontal="center" vertical="center"/>
    </xf>
    <xf numFmtId="0" fontId="63" fillId="14" borderId="0" xfId="0" applyFont="1" applyFill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71" fontId="77" fillId="0" borderId="0" xfId="0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167" fontId="80" fillId="0" borderId="0" xfId="1" applyNumberFormat="1" applyFont="1" applyFill="1" applyAlignment="1">
      <alignment horizontal="center" vertical="center"/>
    </xf>
    <xf numFmtId="3" fontId="77" fillId="2" borderId="0" xfId="0" applyNumberFormat="1" applyFont="1" applyFill="1" applyAlignment="1">
      <alignment horizontal="center" vertical="center"/>
    </xf>
    <xf numFmtId="3" fontId="77" fillId="28" borderId="0" xfId="0" applyNumberFormat="1" applyFont="1" applyFill="1" applyAlignment="1">
      <alignment horizontal="center" vertical="center"/>
    </xf>
    <xf numFmtId="3" fontId="79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167" fontId="80" fillId="0" borderId="0" xfId="1" applyNumberFormat="1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7" fontId="99" fillId="0" borderId="0" xfId="1" applyNumberFormat="1" applyFont="1" applyAlignment="1">
      <alignment horizontal="center" vertical="center"/>
    </xf>
    <xf numFmtId="167" fontId="109" fillId="0" borderId="0" xfId="1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7" fontId="96" fillId="22" borderId="75" xfId="1" applyNumberFormat="1" applyFont="1" applyFill="1" applyBorder="1" applyAlignment="1">
      <alignment horizontal="center" vertical="center"/>
    </xf>
    <xf numFmtId="167" fontId="104" fillId="22" borderId="75" xfId="1" applyNumberFormat="1" applyFont="1" applyFill="1" applyBorder="1" applyAlignment="1">
      <alignment horizontal="center" vertical="center"/>
    </xf>
    <xf numFmtId="0" fontId="83" fillId="22" borderId="75" xfId="0" applyFont="1" applyFill="1" applyBorder="1" applyAlignment="1">
      <alignment horizontal="center" vertical="center"/>
    </xf>
    <xf numFmtId="0" fontId="78" fillId="22" borderId="75" xfId="0" applyFont="1" applyFill="1" applyBorder="1" applyAlignment="1">
      <alignment horizontal="center" vertical="center"/>
    </xf>
    <xf numFmtId="164" fontId="80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65" fontId="86" fillId="16" borderId="0" xfId="0" applyNumberFormat="1" applyFont="1" applyFill="1" applyAlignment="1">
      <alignment horizontal="center" vertical="center"/>
    </xf>
    <xf numFmtId="165" fontId="97" fillId="16" borderId="0" xfId="0" applyNumberFormat="1" applyFont="1" applyFill="1" applyAlignment="1">
      <alignment horizontal="center" vertical="center"/>
    </xf>
    <xf numFmtId="165" fontId="85" fillId="16" borderId="0" xfId="1" applyNumberFormat="1" applyFont="1" applyFill="1" applyAlignment="1">
      <alignment horizontal="center" vertical="center"/>
    </xf>
    <xf numFmtId="169" fontId="100" fillId="16" borderId="0" xfId="1" applyNumberFormat="1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80" fillId="0" borderId="0" xfId="3" applyNumberFormat="1" applyFont="1" applyAlignment="1">
      <alignment horizontal="center" vertical="center"/>
    </xf>
    <xf numFmtId="3" fontId="78" fillId="0" borderId="37" xfId="3" applyNumberFormat="1" applyFont="1" applyBorder="1" applyAlignment="1">
      <alignment horizontal="center" vertical="center"/>
    </xf>
    <xf numFmtId="1" fontId="80" fillId="0" borderId="37" xfId="3" applyNumberFormat="1" applyFont="1" applyBorder="1" applyAlignment="1">
      <alignment horizontal="center" vertical="center"/>
    </xf>
    <xf numFmtId="1" fontId="84" fillId="0" borderId="37" xfId="3" applyNumberFormat="1" applyFont="1" applyBorder="1" applyAlignment="1">
      <alignment horizontal="center" vertical="center"/>
    </xf>
    <xf numFmtId="3" fontId="80" fillId="0" borderId="37" xfId="3" applyNumberFormat="1" applyFont="1" applyBorder="1" applyAlignment="1">
      <alignment horizontal="center" vertical="center"/>
    </xf>
    <xf numFmtId="3" fontId="77" fillId="0" borderId="37" xfId="0" applyNumberFormat="1" applyFont="1" applyBorder="1" applyAlignment="1">
      <alignment horizontal="center" vertical="center"/>
    </xf>
    <xf numFmtId="0" fontId="78" fillId="0" borderId="37" xfId="0" applyFont="1" applyBorder="1" applyAlignment="1">
      <alignment horizontal="center" vertical="center"/>
    </xf>
    <xf numFmtId="3" fontId="77" fillId="16" borderId="0" xfId="0" applyNumberFormat="1" applyFont="1" applyFill="1" applyAlignment="1">
      <alignment horizontal="center" vertical="center"/>
    </xf>
    <xf numFmtId="3" fontId="84" fillId="16" borderId="0" xfId="0" applyNumberFormat="1" applyFont="1" applyFill="1" applyAlignment="1">
      <alignment horizontal="center" vertical="center"/>
    </xf>
    <xf numFmtId="3" fontId="77" fillId="17" borderId="0" xfId="0" applyNumberFormat="1" applyFont="1" applyFill="1" applyAlignment="1">
      <alignment horizontal="center" vertical="center"/>
    </xf>
    <xf numFmtId="0" fontId="77" fillId="16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3" fontId="78" fillId="0" borderId="70" xfId="3" applyNumberFormat="1" applyFont="1" applyBorder="1" applyAlignment="1">
      <alignment horizontal="center" vertical="center"/>
    </xf>
    <xf numFmtId="3" fontId="80" fillId="0" borderId="70" xfId="3" applyNumberFormat="1" applyFont="1" applyBorder="1" applyAlignment="1">
      <alignment horizontal="center" vertical="center"/>
    </xf>
    <xf numFmtId="3" fontId="77" fillId="0" borderId="70" xfId="0" applyNumberFormat="1" applyFont="1" applyBorder="1" applyAlignment="1">
      <alignment horizontal="center" vertical="center"/>
    </xf>
    <xf numFmtId="3" fontId="77" fillId="21" borderId="69" xfId="0" applyNumberFormat="1" applyFont="1" applyFill="1" applyBorder="1" applyAlignment="1">
      <alignment horizontal="center" vertical="center"/>
    </xf>
    <xf numFmtId="3" fontId="84" fillId="21" borderId="69" xfId="0" applyNumberFormat="1" applyFont="1" applyFill="1" applyBorder="1" applyAlignment="1">
      <alignment horizontal="center" vertical="center"/>
    </xf>
    <xf numFmtId="0" fontId="77" fillId="21" borderId="69" xfId="0" applyFont="1" applyFill="1" applyBorder="1" applyAlignment="1">
      <alignment horizontal="center" vertical="center"/>
    </xf>
    <xf numFmtId="0" fontId="77" fillId="21" borderId="0" xfId="0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0" fontId="78" fillId="0" borderId="71" xfId="3" applyFont="1" applyBorder="1" applyAlignment="1">
      <alignment horizontal="center" vertical="center"/>
    </xf>
    <xf numFmtId="3" fontId="78" fillId="0" borderId="71" xfId="3" applyNumberFormat="1" applyFont="1" applyBorder="1" applyAlignment="1">
      <alignment horizontal="center" vertical="center"/>
    </xf>
    <xf numFmtId="0" fontId="80" fillId="0" borderId="71" xfId="3" applyFont="1" applyBorder="1" applyAlignment="1">
      <alignment horizontal="center" vertical="center"/>
    </xf>
    <xf numFmtId="3" fontId="80" fillId="0" borderId="71" xfId="3" applyNumberFormat="1" applyFont="1" applyBorder="1" applyAlignment="1">
      <alignment horizontal="center" vertical="center"/>
    </xf>
    <xf numFmtId="3" fontId="77" fillId="0" borderId="71" xfId="0" applyNumberFormat="1" applyFont="1" applyBorder="1" applyAlignment="1">
      <alignment horizontal="center" vertical="center"/>
    </xf>
    <xf numFmtId="0" fontId="78" fillId="0" borderId="71" xfId="0" applyFont="1" applyBorder="1" applyAlignment="1">
      <alignment horizontal="center" vertical="center"/>
    </xf>
    <xf numFmtId="3" fontId="78" fillId="16" borderId="72" xfId="0" applyNumberFormat="1" applyFont="1" applyFill="1" applyBorder="1" applyAlignment="1">
      <alignment horizontal="center" vertical="center"/>
    </xf>
    <xf numFmtId="3" fontId="80" fillId="16" borderId="72" xfId="0" applyNumberFormat="1" applyFont="1" applyFill="1" applyBorder="1" applyAlignment="1">
      <alignment horizontal="center" vertical="center"/>
    </xf>
    <xf numFmtId="3" fontId="77" fillId="16" borderId="72" xfId="0" applyNumberFormat="1" applyFont="1" applyFill="1" applyBorder="1" applyAlignment="1">
      <alignment horizontal="center" vertical="center"/>
    </xf>
    <xf numFmtId="0" fontId="78" fillId="16" borderId="72" xfId="0" applyFont="1" applyFill="1" applyBorder="1" applyAlignment="1">
      <alignment horizontal="center" vertical="center"/>
    </xf>
    <xf numFmtId="3" fontId="78" fillId="0" borderId="72" xfId="0" applyNumberFormat="1" applyFont="1" applyBorder="1" applyAlignment="1">
      <alignment horizontal="center" vertical="center"/>
    </xf>
    <xf numFmtId="3" fontId="80" fillId="0" borderId="72" xfId="0" applyNumberFormat="1" applyFont="1" applyBorder="1" applyAlignment="1">
      <alignment horizontal="center" vertical="center"/>
    </xf>
    <xf numFmtId="3" fontId="77" fillId="0" borderId="72" xfId="0" applyNumberFormat="1" applyFont="1" applyBorder="1" applyAlignment="1">
      <alignment horizontal="center" vertical="center"/>
    </xf>
    <xf numFmtId="0" fontId="78" fillId="0" borderId="72" xfId="0" applyFont="1" applyBorder="1" applyAlignment="1">
      <alignment horizontal="center" vertical="center"/>
    </xf>
    <xf numFmtId="3" fontId="78" fillId="0" borderId="72" xfId="3" applyNumberFormat="1" applyFont="1" applyBorder="1" applyAlignment="1">
      <alignment horizontal="center" vertical="center"/>
    </xf>
    <xf numFmtId="3" fontId="80" fillId="0" borderId="72" xfId="3" applyNumberFormat="1" applyFont="1" applyBorder="1" applyAlignment="1">
      <alignment horizontal="center" vertical="center"/>
    </xf>
    <xf numFmtId="3" fontId="78" fillId="16" borderId="72" xfId="3" applyNumberFormat="1" applyFont="1" applyFill="1" applyBorder="1" applyAlignment="1">
      <alignment horizontal="center" vertical="center"/>
    </xf>
    <xf numFmtId="3" fontId="80" fillId="16" borderId="72" xfId="3" applyNumberFormat="1" applyFont="1" applyFill="1" applyBorder="1" applyAlignment="1">
      <alignment horizontal="center" vertical="center"/>
    </xf>
    <xf numFmtId="3" fontId="77" fillId="0" borderId="72" xfId="3" applyNumberFormat="1" applyFont="1" applyBorder="1" applyAlignment="1">
      <alignment horizontal="center" vertical="center"/>
    </xf>
    <xf numFmtId="3" fontId="84" fillId="0" borderId="72" xfId="3" applyNumberFormat="1" applyFont="1" applyBorder="1" applyAlignment="1">
      <alignment horizontal="center" vertical="center"/>
    </xf>
    <xf numFmtId="165" fontId="80" fillId="0" borderId="72" xfId="3" applyNumberFormat="1" applyFont="1" applyBorder="1" applyAlignment="1">
      <alignment horizontal="center" vertical="center"/>
    </xf>
    <xf numFmtId="3" fontId="80" fillId="17" borderId="72" xfId="3" applyNumberFormat="1" applyFont="1" applyFill="1" applyBorder="1" applyAlignment="1">
      <alignment horizontal="center" vertical="center"/>
    </xf>
    <xf numFmtId="3" fontId="78" fillId="0" borderId="73" xfId="0" applyNumberFormat="1" applyFont="1" applyBorder="1" applyAlignment="1">
      <alignment horizontal="center" vertical="center"/>
    </xf>
    <xf numFmtId="3" fontId="80" fillId="0" borderId="73" xfId="0" applyNumberFormat="1" applyFont="1" applyBorder="1" applyAlignment="1">
      <alignment horizontal="center" vertical="center"/>
    </xf>
    <xf numFmtId="3" fontId="77" fillId="0" borderId="73" xfId="0" applyNumberFormat="1" applyFont="1" applyBorder="1" applyAlignment="1">
      <alignment horizontal="center" vertical="center"/>
    </xf>
    <xf numFmtId="0" fontId="78" fillId="0" borderId="73" xfId="0" applyFont="1" applyBorder="1" applyAlignment="1">
      <alignment horizontal="center" vertical="center"/>
    </xf>
    <xf numFmtId="3" fontId="77" fillId="0" borderId="36" xfId="0" applyNumberFormat="1" applyFont="1" applyBorder="1" applyAlignment="1">
      <alignment horizontal="center" vertical="center"/>
    </xf>
    <xf numFmtId="165" fontId="78" fillId="0" borderId="74" xfId="0" applyNumberFormat="1" applyFont="1" applyBorder="1" applyAlignment="1">
      <alignment horizontal="center" vertical="center"/>
    </xf>
    <xf numFmtId="165" fontId="77" fillId="27" borderId="74" xfId="1" applyNumberFormat="1" applyFont="1" applyFill="1" applyBorder="1" applyAlignment="1">
      <alignment horizontal="center" vertical="center"/>
    </xf>
    <xf numFmtId="169" fontId="77" fillId="0" borderId="74" xfId="1" applyNumberFormat="1" applyFont="1" applyBorder="1" applyAlignment="1">
      <alignment horizontal="center" vertical="center"/>
    </xf>
    <xf numFmtId="165" fontId="78" fillId="16" borderId="74" xfId="0" applyNumberFormat="1" applyFont="1" applyFill="1" applyBorder="1" applyAlignment="1">
      <alignment horizontal="center" vertical="center"/>
    </xf>
    <xf numFmtId="165" fontId="77" fillId="16" borderId="74" xfId="1" applyNumberFormat="1" applyFont="1" applyFill="1" applyBorder="1" applyAlignment="1">
      <alignment horizontal="center" vertical="center"/>
    </xf>
    <xf numFmtId="165" fontId="77" fillId="16" borderId="75" xfId="1" applyNumberFormat="1" applyFont="1" applyFill="1" applyBorder="1" applyAlignment="1">
      <alignment horizontal="center" vertical="center"/>
    </xf>
    <xf numFmtId="169" fontId="77" fillId="16" borderId="75" xfId="1" applyNumberFormat="1" applyFont="1" applyFill="1" applyBorder="1" applyAlignment="1">
      <alignment horizontal="center" vertical="center"/>
    </xf>
    <xf numFmtId="0" fontId="92" fillId="16" borderId="0" xfId="0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5" fontId="77" fillId="0" borderId="74" xfId="1" applyNumberFormat="1" applyFont="1" applyBorder="1" applyAlignment="1">
      <alignment horizontal="center" vertical="center"/>
    </xf>
    <xf numFmtId="165" fontId="77" fillId="13" borderId="75" xfId="1" applyNumberFormat="1" applyFont="1" applyFill="1" applyBorder="1" applyAlignment="1">
      <alignment horizontal="center" vertical="center"/>
    </xf>
    <xf numFmtId="169" fontId="77" fillId="13" borderId="75" xfId="1" applyNumberFormat="1" applyFont="1" applyFill="1" applyBorder="1" applyAlignment="1">
      <alignment horizontal="center" vertical="center"/>
    </xf>
    <xf numFmtId="0" fontId="78" fillId="13" borderId="0" xfId="0" applyFont="1" applyFill="1" applyAlignment="1">
      <alignment horizontal="center" vertical="center"/>
    </xf>
    <xf numFmtId="165" fontId="84" fillId="13" borderId="75" xfId="1" applyNumberFormat="1" applyFont="1" applyFill="1" applyBorder="1" applyAlignment="1">
      <alignment horizontal="center" vertical="center"/>
    </xf>
    <xf numFmtId="169" fontId="84" fillId="13" borderId="75" xfId="1" applyNumberFormat="1" applyFont="1" applyFill="1" applyBorder="1" applyAlignment="1">
      <alignment horizontal="center" vertical="center"/>
    </xf>
    <xf numFmtId="0" fontId="80" fillId="13" borderId="0" xfId="0" applyFont="1" applyFill="1" applyAlignment="1">
      <alignment horizontal="center" vertical="center"/>
    </xf>
    <xf numFmtId="165" fontId="78" fillId="32" borderId="74" xfId="0" applyNumberFormat="1" applyFont="1" applyFill="1" applyBorder="1" applyAlignment="1">
      <alignment horizontal="center" vertical="center"/>
    </xf>
    <xf numFmtId="165" fontId="77" fillId="0" borderId="74" xfId="1" applyNumberFormat="1" applyFont="1" applyFill="1" applyBorder="1" applyAlignment="1">
      <alignment horizontal="center" vertical="center"/>
    </xf>
    <xf numFmtId="165" fontId="77" fillId="0" borderId="75" xfId="1" applyNumberFormat="1" applyFont="1" applyBorder="1" applyAlignment="1">
      <alignment horizontal="center" vertical="center"/>
    </xf>
    <xf numFmtId="169" fontId="77" fillId="0" borderId="75" xfId="1" applyNumberFormat="1" applyFont="1" applyBorder="1" applyAlignment="1">
      <alignment horizontal="center" vertical="center"/>
    </xf>
    <xf numFmtId="165" fontId="78" fillId="16" borderId="74" xfId="1" applyNumberFormat="1" applyFont="1" applyFill="1" applyBorder="1" applyAlignment="1">
      <alignment horizontal="center" vertical="center"/>
    </xf>
    <xf numFmtId="165" fontId="93" fillId="0" borderId="75" xfId="1" applyNumberFormat="1" applyFont="1" applyBorder="1" applyAlignment="1">
      <alignment horizontal="center" vertical="center"/>
    </xf>
    <xf numFmtId="169" fontId="93" fillId="0" borderId="75" xfId="1" applyNumberFormat="1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" fontId="78" fillId="16" borderId="74" xfId="0" applyNumberFormat="1" applyFont="1" applyFill="1" applyBorder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169" fontId="93" fillId="0" borderId="0" xfId="1" applyNumberFormat="1" applyFont="1" applyAlignment="1">
      <alignment horizontal="center" vertical="center"/>
    </xf>
    <xf numFmtId="165" fontId="92" fillId="16" borderId="0" xfId="0" applyNumberFormat="1" applyFont="1" applyFill="1" applyAlignment="1">
      <alignment horizontal="center" vertical="center"/>
    </xf>
    <xf numFmtId="165" fontId="80" fillId="16" borderId="0" xfId="0" applyNumberFormat="1" applyFont="1" applyFill="1" applyAlignment="1">
      <alignment horizontal="center" vertical="center"/>
    </xf>
    <xf numFmtId="165" fontId="93" fillId="16" borderId="0" xfId="1" applyNumberFormat="1" applyFont="1" applyFill="1" applyAlignment="1">
      <alignment horizontal="center" vertical="center"/>
    </xf>
    <xf numFmtId="169" fontId="93" fillId="16" borderId="0" xfId="1" applyNumberFormat="1" applyFont="1" applyFill="1" applyAlignment="1">
      <alignment horizontal="center" vertical="center"/>
    </xf>
    <xf numFmtId="165" fontId="77" fillId="0" borderId="36" xfId="0" applyNumberFormat="1" applyFont="1" applyBorder="1" applyAlignment="1">
      <alignment horizontal="center" vertical="center"/>
    </xf>
    <xf numFmtId="165" fontId="84" fillId="0" borderId="36" xfId="0" applyNumberFormat="1" applyFont="1" applyBorder="1" applyAlignment="1">
      <alignment horizontal="center" vertical="center"/>
    </xf>
    <xf numFmtId="169" fontId="77" fillId="0" borderId="76" xfId="1" applyNumberFormat="1" applyFont="1" applyBorder="1" applyAlignment="1">
      <alignment horizontal="center" vertical="center"/>
    </xf>
    <xf numFmtId="164" fontId="86" fillId="0" borderId="49" xfId="0" applyNumberFormat="1" applyFont="1" applyBorder="1" applyAlignment="1">
      <alignment horizontal="center" vertical="center"/>
    </xf>
    <xf numFmtId="164" fontId="97" fillId="0" borderId="49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7" fillId="26" borderId="0" xfId="3" applyNumberFormat="1" applyFont="1" applyFill="1" applyAlignment="1">
      <alignment horizontal="center" vertical="center"/>
    </xf>
    <xf numFmtId="3" fontId="84" fillId="26" borderId="0" xfId="3" applyNumberFormat="1" applyFont="1" applyFill="1" applyAlignment="1">
      <alignment horizontal="center" vertical="center"/>
    </xf>
    <xf numFmtId="3" fontId="77" fillId="26" borderId="0" xfId="0" applyNumberFormat="1" applyFont="1" applyFill="1" applyAlignment="1">
      <alignment horizontal="center" vertical="center"/>
    </xf>
    <xf numFmtId="0" fontId="77" fillId="26" borderId="0" xfId="0" applyFont="1" applyFill="1" applyAlignment="1">
      <alignment horizontal="center" vertical="center"/>
    </xf>
    <xf numFmtId="38" fontId="77" fillId="0" borderId="0" xfId="0" applyNumberFormat="1" applyFont="1" applyAlignment="1">
      <alignment horizontal="center" vertical="center"/>
    </xf>
    <xf numFmtId="3" fontId="77" fillId="31" borderId="0" xfId="0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 vertical="center"/>
    </xf>
    <xf numFmtId="3" fontId="84" fillId="17" borderId="0" xfId="0" applyNumberFormat="1" applyFont="1" applyFill="1" applyAlignment="1">
      <alignment horizontal="center" vertical="center"/>
    </xf>
    <xf numFmtId="3" fontId="78" fillId="16" borderId="0" xfId="0" applyNumberFormat="1" applyFont="1" applyFill="1" applyAlignment="1">
      <alignment horizontal="center" vertical="center"/>
    </xf>
    <xf numFmtId="3" fontId="84" fillId="31" borderId="0" xfId="0" applyNumberFormat="1" applyFont="1" applyFill="1" applyAlignment="1">
      <alignment horizontal="center" vertical="center"/>
    </xf>
    <xf numFmtId="3" fontId="84" fillId="15" borderId="0" xfId="0" applyNumberFormat="1" applyFont="1" applyFill="1" applyAlignment="1">
      <alignment horizontal="center" vertical="center"/>
    </xf>
    <xf numFmtId="37" fontId="77" fillId="26" borderId="0" xfId="0" applyNumberFormat="1" applyFont="1" applyFill="1" applyAlignment="1">
      <alignment horizontal="center" vertical="center"/>
    </xf>
    <xf numFmtId="37" fontId="84" fillId="26" borderId="0" xfId="0" applyNumberFormat="1" applyFont="1" applyFill="1" applyAlignment="1">
      <alignment horizontal="center" vertical="center"/>
    </xf>
    <xf numFmtId="0" fontId="78" fillId="26" borderId="0" xfId="0" applyFont="1" applyFill="1" applyAlignment="1">
      <alignment horizontal="center" vertical="center"/>
    </xf>
    <xf numFmtId="37" fontId="105" fillId="26" borderId="0" xfId="0" applyNumberFormat="1" applyFont="1" applyFill="1" applyAlignment="1">
      <alignment horizontal="center" vertical="center"/>
    </xf>
    <xf numFmtId="0" fontId="80" fillId="26" borderId="0" xfId="0" applyFont="1" applyFill="1" applyAlignment="1">
      <alignment horizontal="center" vertical="center"/>
    </xf>
    <xf numFmtId="9" fontId="80" fillId="26" borderId="0" xfId="4" applyFont="1" applyFill="1" applyAlignment="1">
      <alignment horizontal="center" vertical="center"/>
    </xf>
    <xf numFmtId="37" fontId="77" fillId="26" borderId="0" xfId="3" applyNumberFormat="1" applyFont="1" applyFill="1" applyAlignment="1">
      <alignment horizontal="center" vertical="center"/>
    </xf>
    <xf numFmtId="37" fontId="84" fillId="26" borderId="0" xfId="3" applyNumberFormat="1" applyFont="1" applyFill="1" applyAlignment="1">
      <alignment horizontal="center" vertical="center"/>
    </xf>
    <xf numFmtId="3" fontId="84" fillId="26" borderId="0" xfId="0" applyNumberFormat="1" applyFont="1" applyFill="1" applyAlignment="1">
      <alignment horizontal="center" vertical="center"/>
    </xf>
    <xf numFmtId="3" fontId="84" fillId="23" borderId="0" xfId="0" applyNumberFormat="1" applyFont="1" applyFill="1" applyAlignment="1">
      <alignment horizontal="center" vertical="center"/>
    </xf>
    <xf numFmtId="0" fontId="78" fillId="23" borderId="0" xfId="0" applyFont="1" applyFill="1" applyAlignment="1">
      <alignment horizontal="center" vertical="center"/>
    </xf>
    <xf numFmtId="165" fontId="77" fillId="25" borderId="0" xfId="0" applyNumberFormat="1" applyFont="1" applyFill="1" applyAlignment="1">
      <alignment horizontal="center" vertical="center"/>
    </xf>
    <xf numFmtId="165" fontId="77" fillId="27" borderId="0" xfId="0" applyNumberFormat="1" applyFont="1" applyFill="1" applyAlignment="1">
      <alignment horizontal="center" vertical="center"/>
    </xf>
    <xf numFmtId="165" fontId="84" fillId="25" borderId="0" xfId="0" applyNumberFormat="1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164" fontId="98" fillId="25" borderId="0" xfId="0" applyNumberFormat="1" applyFont="1" applyFill="1" applyAlignment="1">
      <alignment horizontal="center" vertical="center"/>
    </xf>
    <xf numFmtId="164" fontId="77" fillId="25" borderId="0" xfId="0" applyNumberFormat="1" applyFont="1" applyFill="1" applyAlignment="1">
      <alignment horizontal="center" vertical="center"/>
    </xf>
    <xf numFmtId="164" fontId="84" fillId="25" borderId="0" xfId="0" applyNumberFormat="1" applyFont="1" applyFill="1" applyAlignment="1">
      <alignment horizontal="center" vertical="center"/>
    </xf>
    <xf numFmtId="0" fontId="84" fillId="25" borderId="0" xfId="0" applyFont="1" applyFill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3" fontId="85" fillId="25" borderId="0" xfId="0" applyNumberFormat="1" applyFont="1" applyFill="1" applyAlignment="1">
      <alignment horizontal="center" vertical="center"/>
    </xf>
    <xf numFmtId="3" fontId="85" fillId="0" borderId="0" xfId="0" applyNumberFormat="1" applyFont="1" applyAlignment="1">
      <alignment horizontal="center" vertical="center"/>
    </xf>
    <xf numFmtId="169" fontId="85" fillId="16" borderId="0" xfId="1" applyNumberFormat="1" applyFont="1" applyFill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165" fontId="97" fillId="0" borderId="0" xfId="0" applyNumberFormat="1" applyFont="1" applyAlignment="1">
      <alignment horizontal="center" vertical="center"/>
    </xf>
    <xf numFmtId="165" fontId="85" fillId="0" borderId="0" xfId="1" applyNumberFormat="1" applyFont="1" applyAlignment="1">
      <alignment horizontal="center" vertical="center"/>
    </xf>
    <xf numFmtId="169" fontId="85" fillId="0" borderId="0" xfId="1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70" fontId="80" fillId="0" borderId="0" xfId="4" applyNumberFormat="1" applyFont="1" applyAlignment="1">
      <alignment horizontal="center" vertical="center"/>
    </xf>
    <xf numFmtId="0" fontId="23" fillId="4" borderId="25" xfId="0" applyFont="1" applyFill="1" applyBorder="1" applyAlignment="1">
      <alignment horizontal="left"/>
    </xf>
    <xf numFmtId="164" fontId="112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4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8" fillId="0" borderId="72" xfId="3" applyNumberFormat="1" applyFont="1" applyBorder="1" applyAlignment="1">
      <alignment horizontal="center" vertical="center"/>
    </xf>
    <xf numFmtId="1" fontId="78" fillId="16" borderId="72" xfId="0" applyNumberFormat="1" applyFont="1" applyFill="1" applyBorder="1" applyAlignment="1">
      <alignment horizontal="center" vertical="center"/>
    </xf>
    <xf numFmtId="1" fontId="80" fillId="16" borderId="72" xfId="0" applyNumberFormat="1" applyFont="1" applyFill="1" applyBorder="1" applyAlignment="1">
      <alignment horizontal="center" vertical="center"/>
    </xf>
    <xf numFmtId="1" fontId="77" fillId="0" borderId="72" xfId="3" applyNumberFormat="1" applyFont="1" applyBorder="1" applyAlignment="1">
      <alignment horizontal="center" vertical="center"/>
    </xf>
    <xf numFmtId="1" fontId="77" fillId="16" borderId="72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4" fillId="0" borderId="0" xfId="3" applyFont="1"/>
    <xf numFmtId="0" fontId="113" fillId="0" borderId="0" xfId="3" applyFont="1" applyAlignment="1">
      <alignment horizontal="center"/>
    </xf>
    <xf numFmtId="3" fontId="113" fillId="0" borderId="0" xfId="3" applyNumberFormat="1" applyFont="1" applyAlignment="1">
      <alignment horizontal="center"/>
    </xf>
    <xf numFmtId="3" fontId="114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16" fillId="0" borderId="0" xfId="3" applyFont="1"/>
    <xf numFmtId="0" fontId="114" fillId="17" borderId="0" xfId="3" applyFont="1" applyFill="1" applyAlignment="1">
      <alignment horizontal="center"/>
    </xf>
    <xf numFmtId="3" fontId="114" fillId="17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3" fillId="4" borderId="5" xfId="3" applyNumberFormat="1" applyFont="1" applyFill="1" applyBorder="1"/>
    <xf numFmtId="0" fontId="23" fillId="4" borderId="5" xfId="3" applyFont="1" applyFill="1" applyBorder="1"/>
    <xf numFmtId="0" fontId="7" fillId="0" borderId="78" xfId="3" applyBorder="1"/>
    <xf numFmtId="0" fontId="20" fillId="4" borderId="79" xfId="3" applyFont="1" applyFill="1" applyBorder="1" applyAlignment="1">
      <alignment horizontal="center"/>
    </xf>
    <xf numFmtId="2" fontId="23" fillId="4" borderId="79" xfId="3" applyNumberFormat="1" applyFont="1" applyFill="1" applyBorder="1"/>
    <xf numFmtId="0" fontId="23" fillId="4" borderId="79" xfId="3" applyFont="1" applyFill="1" applyBorder="1"/>
    <xf numFmtId="3" fontId="23" fillId="4" borderId="80" xfId="3" applyNumberFormat="1" applyFont="1" applyFill="1" applyBorder="1"/>
    <xf numFmtId="0" fontId="7" fillId="0" borderId="81" xfId="3" applyBorder="1"/>
    <xf numFmtId="3" fontId="23" fillId="4" borderId="82" xfId="3" applyNumberFormat="1" applyFont="1" applyFill="1" applyBorder="1"/>
    <xf numFmtId="3" fontId="15" fillId="0" borderId="82" xfId="3" applyNumberFormat="1" applyFont="1" applyBorder="1" applyAlignment="1">
      <alignment horizontal="center"/>
    </xf>
    <xf numFmtId="0" fontId="114" fillId="17" borderId="29" xfId="3" applyFont="1" applyFill="1" applyBorder="1" applyAlignment="1">
      <alignment horizontal="center"/>
    </xf>
    <xf numFmtId="3" fontId="114" fillId="17" borderId="86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9" fillId="0" borderId="5" xfId="3" applyNumberFormat="1" applyFont="1" applyBorder="1" applyAlignment="1">
      <alignment horizontal="center"/>
    </xf>
    <xf numFmtId="37" fontId="29" fillId="0" borderId="84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9" borderId="6" xfId="3" applyFill="1" applyBorder="1" applyAlignment="1">
      <alignment horizontal="center" vertical="center"/>
    </xf>
    <xf numFmtId="0" fontId="7" fillId="19" borderId="6" xfId="3" applyFill="1" applyBorder="1" applyAlignment="1">
      <alignment horizontal="center"/>
    </xf>
    <xf numFmtId="0" fontId="4" fillId="19" borderId="7" xfId="3" applyFont="1" applyFill="1" applyBorder="1"/>
    <xf numFmtId="3" fontId="15" fillId="19" borderId="6" xfId="3" applyNumberFormat="1" applyFont="1" applyFill="1" applyBorder="1" applyAlignment="1">
      <alignment horizontal="center" vertical="center"/>
    </xf>
    <xf numFmtId="3" fontId="15" fillId="19" borderId="6" xfId="3" applyNumberFormat="1" applyFont="1" applyFill="1" applyBorder="1" applyAlignment="1">
      <alignment horizontal="center"/>
    </xf>
    <xf numFmtId="4" fontId="15" fillId="19" borderId="7" xfId="3" applyNumberFormat="1" applyFont="1" applyFill="1" applyBorder="1" applyAlignment="1">
      <alignment horizontal="center"/>
    </xf>
    <xf numFmtId="3" fontId="113" fillId="19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16" fillId="0" borderId="0" xfId="3" applyNumberFormat="1" applyFont="1" applyAlignment="1">
      <alignment horizontal="center" vertical="center"/>
    </xf>
    <xf numFmtId="37" fontId="15" fillId="16" borderId="61" xfId="3" applyNumberFormat="1" applyFont="1" applyFill="1" applyBorder="1" applyAlignment="1">
      <alignment horizontal="center"/>
    </xf>
    <xf numFmtId="2" fontId="15" fillId="16" borderId="3" xfId="3" applyNumberFormat="1" applyFont="1" applyFill="1" applyBorder="1" applyAlignment="1">
      <alignment horizontal="center"/>
    </xf>
    <xf numFmtId="4" fontId="15" fillId="16" borderId="63" xfId="3" applyNumberFormat="1" applyFont="1" applyFill="1" applyBorder="1" applyAlignment="1">
      <alignment horizontal="center"/>
    </xf>
    <xf numFmtId="3" fontId="114" fillId="16" borderId="87" xfId="3" applyNumberFormat="1" applyFont="1" applyFill="1" applyBorder="1" applyAlignment="1">
      <alignment horizontal="center"/>
    </xf>
    <xf numFmtId="4" fontId="114" fillId="16" borderId="88" xfId="3" applyNumberFormat="1" applyFont="1" applyFill="1" applyBorder="1" applyAlignment="1">
      <alignment horizontal="center"/>
    </xf>
    <xf numFmtId="3" fontId="7" fillId="19" borderId="3" xfId="3" applyNumberFormat="1" applyFill="1" applyBorder="1" applyAlignment="1">
      <alignment horizontal="center"/>
    </xf>
    <xf numFmtId="3" fontId="29" fillId="19" borderId="5" xfId="3" applyNumberFormat="1" applyFont="1" applyFill="1" applyBorder="1" applyAlignment="1">
      <alignment horizontal="center"/>
    </xf>
    <xf numFmtId="0" fontId="35" fillId="0" borderId="0" xfId="3" applyFont="1" applyAlignment="1">
      <alignment horizontal="center" vertical="center"/>
    </xf>
    <xf numFmtId="0" fontId="114" fillId="17" borderId="0" xfId="3" applyFont="1" applyFill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0" fillId="0" borderId="0" xfId="0" applyNumberFormat="1"/>
    <xf numFmtId="3" fontId="1" fillId="0" borderId="5" xfId="0" applyNumberFormat="1" applyFont="1" applyBorder="1" applyAlignment="1">
      <alignment horizontal="center"/>
    </xf>
    <xf numFmtId="3" fontId="29" fillId="19" borderId="55" xfId="3" applyNumberFormat="1" applyFont="1" applyFill="1" applyBorder="1" applyAlignment="1">
      <alignment horizontal="center"/>
    </xf>
    <xf numFmtId="3" fontId="117" fillId="0" borderId="5" xfId="3" applyNumberFormat="1" applyFont="1" applyBorder="1" applyAlignment="1">
      <alignment horizontal="center"/>
    </xf>
    <xf numFmtId="4" fontId="113" fillId="16" borderId="5" xfId="3" applyNumberFormat="1" applyFont="1" applyFill="1" applyBorder="1" applyAlignment="1">
      <alignment horizontal="center"/>
    </xf>
    <xf numFmtId="164" fontId="54" fillId="0" borderId="5" xfId="3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7" fillId="17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5" fillId="0" borderId="0" xfId="3" applyNumberFormat="1" applyFont="1" applyAlignment="1">
      <alignment horizontal="center" vertical="center"/>
    </xf>
    <xf numFmtId="1" fontId="28" fillId="0" borderId="0" xfId="3" applyNumberFormat="1" applyFont="1" applyAlignment="1">
      <alignment horizontal="center"/>
    </xf>
    <xf numFmtId="3" fontId="15" fillId="0" borderId="50" xfId="3" applyNumberFormat="1" applyFont="1" applyBorder="1" applyAlignment="1">
      <alignment horizontal="center" vertical="center"/>
    </xf>
    <xf numFmtId="3" fontId="7" fillId="0" borderId="93" xfId="3" applyNumberFormat="1" applyBorder="1" applyAlignment="1">
      <alignment horizontal="center" vertical="center"/>
    </xf>
    <xf numFmtId="3" fontId="15" fillId="29" borderId="93" xfId="3" applyNumberFormat="1" applyFont="1" applyFill="1" applyBorder="1" applyAlignment="1">
      <alignment horizontal="center" vertical="center"/>
    </xf>
    <xf numFmtId="3" fontId="15" fillId="0" borderId="93" xfId="3" applyNumberFormat="1" applyFont="1" applyBorder="1" applyAlignment="1">
      <alignment horizontal="center" vertical="center"/>
    </xf>
    <xf numFmtId="3" fontId="15" fillId="21" borderId="93" xfId="3" applyNumberFormat="1" applyFont="1" applyFill="1" applyBorder="1" applyAlignment="1">
      <alignment horizontal="center" vertical="center"/>
    </xf>
    <xf numFmtId="3" fontId="15" fillId="24" borderId="93" xfId="3" applyNumberFormat="1" applyFont="1" applyFill="1" applyBorder="1" applyAlignment="1">
      <alignment horizontal="center" vertical="center"/>
    </xf>
    <xf numFmtId="3" fontId="15" fillId="17" borderId="93" xfId="3" applyNumberFormat="1" applyFont="1" applyFill="1" applyBorder="1" applyAlignment="1">
      <alignment horizontal="center" vertical="center"/>
    </xf>
    <xf numFmtId="0" fontId="7" fillId="16" borderId="28" xfId="3" applyFill="1" applyBorder="1"/>
    <xf numFmtId="0" fontId="15" fillId="16" borderId="29" xfId="3" applyFont="1" applyFill="1" applyBorder="1" applyAlignment="1">
      <alignment horizontal="center"/>
    </xf>
    <xf numFmtId="164" fontId="112" fillId="16" borderId="29" xfId="0" applyNumberFormat="1" applyFont="1" applyFill="1" applyBorder="1" applyAlignment="1">
      <alignment horizontal="center" vertical="center"/>
    </xf>
    <xf numFmtId="0" fontId="15" fillId="16" borderId="29" xfId="0" applyFont="1" applyFill="1" applyBorder="1" applyAlignment="1">
      <alignment horizontal="center"/>
    </xf>
    <xf numFmtId="167" fontId="96" fillId="0" borderId="75" xfId="1" applyNumberFormat="1" applyFont="1" applyFill="1" applyBorder="1" applyAlignment="1">
      <alignment horizontal="center" vertical="center"/>
    </xf>
    <xf numFmtId="167" fontId="84" fillId="0" borderId="0" xfId="1" applyNumberFormat="1" applyFont="1" applyFill="1" applyAlignment="1">
      <alignment horizontal="center" vertical="center"/>
    </xf>
    <xf numFmtId="167" fontId="82" fillId="0" borderId="0" xfId="1" applyNumberFormat="1" applyFont="1" applyAlignment="1">
      <alignment horizontal="center" vertical="center"/>
    </xf>
    <xf numFmtId="167" fontId="98" fillId="0" borderId="0" xfId="1" applyNumberFormat="1" applyFont="1" applyAlignment="1">
      <alignment horizontal="center" vertical="center"/>
    </xf>
    <xf numFmtId="167" fontId="106" fillId="0" borderId="0" xfId="1" applyNumberFormat="1" applyFont="1" applyFill="1" applyAlignment="1">
      <alignment horizontal="center" vertical="center"/>
    </xf>
    <xf numFmtId="167" fontId="110" fillId="0" borderId="0" xfId="1" applyNumberFormat="1" applyFont="1" applyFill="1" applyAlignment="1">
      <alignment horizontal="center" vertical="center"/>
    </xf>
    <xf numFmtId="167" fontId="99" fillId="0" borderId="0" xfId="1" applyNumberFormat="1" applyFont="1" applyFill="1" applyAlignment="1">
      <alignment horizontal="center" vertical="center"/>
    </xf>
    <xf numFmtId="167" fontId="107" fillId="0" borderId="0" xfId="1" applyNumberFormat="1" applyFont="1" applyFill="1" applyAlignment="1">
      <alignment horizontal="center" vertical="center"/>
    </xf>
    <xf numFmtId="167" fontId="82" fillId="0" borderId="0" xfId="1" applyNumberFormat="1" applyFont="1" applyFill="1" applyAlignment="1">
      <alignment horizontal="center" vertical="center"/>
    </xf>
    <xf numFmtId="167" fontId="111" fillId="0" borderId="0" xfId="1" applyNumberFormat="1" applyFont="1" applyAlignment="1">
      <alignment horizontal="center" vertical="center"/>
    </xf>
    <xf numFmtId="3" fontId="77" fillId="15" borderId="0" xfId="0" applyNumberFormat="1" applyFont="1" applyFill="1" applyAlignment="1">
      <alignment horizontal="center"/>
    </xf>
    <xf numFmtId="37" fontId="120" fillId="17" borderId="39" xfId="3" applyNumberFormat="1" applyFon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5" fillId="16" borderId="63" xfId="3" applyNumberFormat="1" applyFont="1" applyFill="1" applyBorder="1" applyAlignment="1">
      <alignment horizontal="center"/>
    </xf>
    <xf numFmtId="2" fontId="113" fillId="16" borderId="5" xfId="3" applyNumberFormat="1" applyFont="1" applyFill="1" applyBorder="1" applyAlignment="1">
      <alignment horizontal="center"/>
    </xf>
    <xf numFmtId="167" fontId="80" fillId="0" borderId="0" xfId="1" applyNumberFormat="1" applyFont="1" applyAlignment="1">
      <alignment horizontal="center"/>
    </xf>
    <xf numFmtId="1" fontId="7" fillId="0" borderId="0" xfId="3" applyNumberFormat="1"/>
    <xf numFmtId="1" fontId="7" fillId="19" borderId="3" xfId="3" applyNumberFormat="1" applyFill="1" applyBorder="1" applyAlignment="1">
      <alignment horizontal="center"/>
    </xf>
    <xf numFmtId="1" fontId="29" fillId="19" borderId="5" xfId="3" applyNumberFormat="1" applyFont="1" applyFill="1" applyBorder="1" applyAlignment="1">
      <alignment horizontal="center"/>
    </xf>
    <xf numFmtId="3" fontId="77" fillId="31" borderId="0" xfId="0" applyNumberFormat="1" applyFont="1" applyFill="1" applyAlignment="1">
      <alignment horizontal="center"/>
    </xf>
    <xf numFmtId="39" fontId="29" fillId="0" borderId="5" xfId="3" applyNumberFormat="1" applyFont="1" applyBorder="1" applyAlignment="1">
      <alignment horizontal="center"/>
    </xf>
    <xf numFmtId="0" fontId="7" fillId="0" borderId="94" xfId="3" applyBorder="1" applyAlignment="1">
      <alignment horizontal="center"/>
    </xf>
    <xf numFmtId="0" fontId="29" fillId="0" borderId="95" xfId="3" applyFont="1" applyBorder="1" applyAlignment="1">
      <alignment horizontal="center"/>
    </xf>
    <xf numFmtId="1" fontId="15" fillId="19" borderId="5" xfId="3" applyNumberFormat="1" applyFont="1" applyFill="1" applyBorder="1" applyAlignment="1">
      <alignment horizontal="center"/>
    </xf>
    <xf numFmtId="0" fontId="72" fillId="13" borderId="78" xfId="3" applyFont="1" applyFill="1" applyBorder="1" applyAlignment="1">
      <alignment horizontal="center"/>
    </xf>
    <xf numFmtId="0" fontId="72" fillId="13" borderId="79" xfId="3" applyFont="1" applyFill="1" applyBorder="1" applyAlignment="1">
      <alignment horizontal="center"/>
    </xf>
    <xf numFmtId="37" fontId="29" fillId="0" borderId="81" xfId="3" applyNumberFormat="1" applyFont="1" applyBorder="1" applyAlignment="1">
      <alignment horizontal="center"/>
    </xf>
    <xf numFmtId="4" fontId="15" fillId="19" borderId="82" xfId="3" applyNumberFormat="1" applyFont="1" applyFill="1" applyBorder="1" applyAlignment="1">
      <alignment horizontal="center"/>
    </xf>
    <xf numFmtId="37" fontId="30" fillId="0" borderId="83" xfId="3" applyNumberFormat="1" applyFont="1" applyBorder="1" applyAlignment="1">
      <alignment horizontal="center"/>
    </xf>
    <xf numFmtId="0" fontId="30" fillId="0" borderId="84" xfId="3" applyFont="1" applyBorder="1" applyAlignment="1">
      <alignment horizontal="center"/>
    </xf>
    <xf numFmtId="37" fontId="114" fillId="17" borderId="84" xfId="3" applyNumberFormat="1" applyFont="1" applyFill="1" applyBorder="1" applyAlignment="1">
      <alignment horizontal="center"/>
    </xf>
    <xf numFmtId="1" fontId="114" fillId="17" borderId="84" xfId="3" applyNumberFormat="1" applyFont="1" applyFill="1" applyBorder="1" applyAlignment="1">
      <alignment horizontal="center"/>
    </xf>
    <xf numFmtId="4" fontId="114" fillId="19" borderId="85" xfId="3" applyNumberFormat="1" applyFont="1" applyFill="1" applyBorder="1" applyAlignment="1">
      <alignment horizontal="center"/>
    </xf>
    <xf numFmtId="37" fontId="29" fillId="0" borderId="61" xfId="3" applyNumberFormat="1" applyFont="1" applyBorder="1" applyAlignment="1">
      <alignment horizontal="center"/>
    </xf>
    <xf numFmtId="2" fontId="10" fillId="19" borderId="63" xfId="3" applyNumberFormat="1" applyFont="1" applyFill="1" applyBorder="1" applyAlignment="1">
      <alignment horizontal="center"/>
    </xf>
    <xf numFmtId="0" fontId="72" fillId="13" borderId="83" xfId="3" applyFont="1" applyFill="1" applyBorder="1" applyAlignment="1">
      <alignment horizontal="center"/>
    </xf>
    <xf numFmtId="0" fontId="72" fillId="13" borderId="84" xfId="3" applyFont="1" applyFill="1" applyBorder="1" applyAlignment="1">
      <alignment horizontal="center"/>
    </xf>
    <xf numFmtId="167" fontId="121" fillId="0" borderId="0" xfId="1" applyNumberFormat="1" applyFont="1" applyAlignment="1">
      <alignment horizontal="center" vertical="center"/>
    </xf>
    <xf numFmtId="3" fontId="77" fillId="20" borderId="0" xfId="0" applyNumberFormat="1" applyFont="1" applyFill="1" applyAlignment="1">
      <alignment horizontal="center"/>
    </xf>
    <xf numFmtId="3" fontId="98" fillId="15" borderId="0" xfId="0" applyNumberFormat="1" applyFont="1" applyFill="1" applyAlignment="1">
      <alignment horizontal="center"/>
    </xf>
    <xf numFmtId="39" fontId="122" fillId="0" borderId="5" xfId="3" applyNumberFormat="1" applyFont="1" applyBorder="1" applyAlignment="1">
      <alignment horizontal="center"/>
    </xf>
    <xf numFmtId="0" fontId="123" fillId="13" borderId="84" xfId="3" applyFont="1" applyFill="1" applyBorder="1" applyAlignment="1">
      <alignment horizontal="center"/>
    </xf>
    <xf numFmtId="3" fontId="114" fillId="17" borderId="5" xfId="3" applyNumberFormat="1" applyFont="1" applyFill="1" applyBorder="1" applyAlignment="1">
      <alignment horizontal="center"/>
    </xf>
    <xf numFmtId="3" fontId="114" fillId="17" borderId="87" xfId="3" applyNumberFormat="1" applyFont="1" applyFill="1" applyBorder="1" applyAlignment="1">
      <alignment horizontal="center"/>
    </xf>
    <xf numFmtId="3" fontId="77" fillId="21" borderId="0" xfId="0" applyNumberFormat="1" applyFont="1" applyFill="1" applyAlignment="1">
      <alignment horizontal="center"/>
    </xf>
    <xf numFmtId="3" fontId="98" fillId="21" borderId="0" xfId="0" applyNumberFormat="1" applyFont="1" applyFill="1" applyAlignment="1">
      <alignment horizontal="center"/>
    </xf>
    <xf numFmtId="0" fontId="77" fillId="25" borderId="0" xfId="0" applyFont="1" applyFill="1" applyAlignment="1">
      <alignment vertical="center"/>
    </xf>
    <xf numFmtId="0" fontId="78" fillId="25" borderId="0" xfId="0" applyFont="1" applyFill="1" applyAlignment="1">
      <alignment vertical="center"/>
    </xf>
    <xf numFmtId="167" fontId="107" fillId="0" borderId="0" xfId="1" applyNumberFormat="1" applyFont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165" fontId="77" fillId="25" borderId="5" xfId="0" applyNumberFormat="1" applyFont="1" applyFill="1" applyBorder="1" applyAlignment="1">
      <alignment horizontal="center" vertical="center"/>
    </xf>
    <xf numFmtId="169" fontId="77" fillId="25" borderId="5" xfId="0" applyNumberFormat="1" applyFont="1" applyFill="1" applyBorder="1" applyAlignment="1">
      <alignment horizontal="center" vertical="center"/>
    </xf>
    <xf numFmtId="167" fontId="77" fillId="25" borderId="5" xfId="1" applyNumberFormat="1" applyFont="1" applyFill="1" applyBorder="1" applyAlignment="1">
      <alignment horizontal="center" vertical="center"/>
    </xf>
    <xf numFmtId="0" fontId="78" fillId="25" borderId="5" xfId="0" applyFont="1" applyFill="1" applyBorder="1" applyAlignment="1">
      <alignment horizontal="center" vertical="center"/>
    </xf>
    <xf numFmtId="165" fontId="98" fillId="25" borderId="5" xfId="0" applyNumberFormat="1" applyFont="1" applyFill="1" applyBorder="1" applyAlignment="1">
      <alignment horizontal="center" vertical="center"/>
    </xf>
    <xf numFmtId="4" fontId="77" fillId="25" borderId="5" xfId="0" applyNumberFormat="1" applyFont="1" applyFill="1" applyBorder="1" applyAlignment="1">
      <alignment horizontal="center" vertical="center"/>
    </xf>
    <xf numFmtId="164" fontId="77" fillId="25" borderId="5" xfId="0" applyNumberFormat="1" applyFont="1" applyFill="1" applyBorder="1" applyAlignment="1">
      <alignment horizontal="center" vertical="center"/>
    </xf>
    <xf numFmtId="40" fontId="77" fillId="25" borderId="5" xfId="0" applyNumberFormat="1" applyFont="1" applyFill="1" applyBorder="1" applyAlignment="1">
      <alignment horizontal="center" vertical="center"/>
    </xf>
    <xf numFmtId="0" fontId="77" fillId="25" borderId="5" xfId="0" applyFont="1" applyFill="1" applyBorder="1" applyAlignment="1">
      <alignment horizontal="center" vertical="center"/>
    </xf>
    <xf numFmtId="167" fontId="124" fillId="0" borderId="0" xfId="1" applyNumberFormat="1" applyFont="1" applyAlignment="1">
      <alignment horizontal="center" vertical="center"/>
    </xf>
    <xf numFmtId="2" fontId="6" fillId="0" borderId="0" xfId="3" applyNumberFormat="1" applyFont="1"/>
    <xf numFmtId="2" fontId="20" fillId="4" borderId="36" xfId="3" applyNumberFormat="1" applyFont="1" applyFill="1" applyBorder="1" applyAlignment="1">
      <alignment horizontal="center"/>
    </xf>
    <xf numFmtId="2" fontId="20" fillId="4" borderId="0" xfId="3" applyNumberFormat="1" applyFont="1" applyFill="1" applyAlignment="1">
      <alignment horizontal="center"/>
    </xf>
    <xf numFmtId="2" fontId="20" fillId="4" borderId="37" xfId="3" applyNumberFormat="1" applyFont="1" applyFill="1" applyBorder="1" applyAlignment="1">
      <alignment horizontal="center"/>
    </xf>
    <xf numFmtId="3" fontId="7" fillId="34" borderId="5" xfId="0" applyNumberFormat="1" applyFont="1" applyFill="1" applyBorder="1" applyAlignment="1">
      <alignment horizontal="center"/>
    </xf>
    <xf numFmtId="3" fontId="7" fillId="34" borderId="5" xfId="0" quotePrefix="1" applyNumberFormat="1" applyFont="1" applyFill="1" applyBorder="1" applyAlignment="1">
      <alignment horizontal="center"/>
    </xf>
    <xf numFmtId="0" fontId="2" fillId="34" borderId="11" xfId="0" applyFont="1" applyFill="1" applyBorder="1"/>
    <xf numFmtId="0" fontId="2" fillId="34" borderId="34" xfId="0" applyFont="1" applyFill="1" applyBorder="1"/>
    <xf numFmtId="3" fontId="7" fillId="34" borderId="9" xfId="0" applyNumberFormat="1" applyFont="1" applyFill="1" applyBorder="1" applyAlignment="1">
      <alignment horizontal="center"/>
    </xf>
    <xf numFmtId="0" fontId="2" fillId="34" borderId="2" xfId="0" applyFont="1" applyFill="1" applyBorder="1"/>
    <xf numFmtId="0" fontId="2" fillId="34" borderId="35" xfId="0" applyFont="1" applyFill="1" applyBorder="1"/>
    <xf numFmtId="37" fontId="7" fillId="34" borderId="5" xfId="3" applyNumberFormat="1" applyFill="1" applyBorder="1" applyAlignment="1">
      <alignment horizontal="center"/>
    </xf>
    <xf numFmtId="3" fontId="7" fillId="34" borderId="19" xfId="0" applyNumberFormat="1" applyFont="1" applyFill="1" applyBorder="1" applyAlignment="1">
      <alignment horizontal="center"/>
    </xf>
    <xf numFmtId="0" fontId="7" fillId="34" borderId="19" xfId="0" applyFont="1" applyFill="1" applyBorder="1" applyAlignment="1">
      <alignment horizontal="center"/>
    </xf>
    <xf numFmtId="3" fontId="7" fillId="34" borderId="3" xfId="0" applyNumberFormat="1" applyFont="1" applyFill="1" applyBorder="1" applyAlignment="1">
      <alignment horizontal="center"/>
    </xf>
    <xf numFmtId="3" fontId="80" fillId="27" borderId="0" xfId="3" applyNumberFormat="1" applyFont="1" applyFill="1" applyAlignment="1">
      <alignment horizontal="center" vertical="center"/>
    </xf>
    <xf numFmtId="3" fontId="85" fillId="21" borderId="0" xfId="0" applyNumberFormat="1" applyFont="1" applyFill="1" applyAlignment="1">
      <alignment horizontal="center"/>
    </xf>
    <xf numFmtId="3" fontId="77" fillId="14" borderId="0" xfId="0" applyNumberFormat="1" applyFont="1" applyFill="1" applyAlignment="1">
      <alignment horizontal="center"/>
    </xf>
    <xf numFmtId="3" fontId="77" fillId="20" borderId="0" xfId="0" applyNumberFormat="1" applyFont="1" applyFill="1" applyAlignment="1">
      <alignment horizontal="center" vertical="center"/>
    </xf>
    <xf numFmtId="3" fontId="7" fillId="7" borderId="51" xfId="3" applyNumberFormat="1" applyFill="1" applyBorder="1" applyAlignment="1">
      <alignment horizontal="center" vertical="center"/>
    </xf>
    <xf numFmtId="0" fontId="7" fillId="7" borderId="5" xfId="3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4" borderId="12" xfId="3" applyFont="1" applyFill="1" applyBorder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21" fillId="4" borderId="15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/>
    </xf>
    <xf numFmtId="0" fontId="20" fillId="4" borderId="16" xfId="3" applyFont="1" applyFill="1" applyBorder="1" applyAlignment="1">
      <alignment horizontal="center" vertical="center"/>
    </xf>
    <xf numFmtId="0" fontId="20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0" fillId="4" borderId="18" xfId="3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3" fontId="7" fillId="21" borderId="0" xfId="3" applyNumberFormat="1" applyFill="1" applyAlignment="1">
      <alignment horizontal="center" vertical="center"/>
    </xf>
    <xf numFmtId="3" fontId="7" fillId="0" borderId="45" xfId="3" applyNumberFormat="1" applyBorder="1" applyAlignment="1">
      <alignment horizontal="center" vertical="center"/>
    </xf>
    <xf numFmtId="3" fontId="17" fillId="0" borderId="45" xfId="3" applyNumberFormat="1" applyFont="1" applyBorder="1" applyAlignment="1">
      <alignment horizontal="center" vertical="center"/>
    </xf>
    <xf numFmtId="0" fontId="15" fillId="0" borderId="45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3" fontId="115" fillId="0" borderId="46" xfId="3" applyNumberFormat="1" applyFont="1" applyBorder="1" applyAlignment="1">
      <alignment horizontal="center" vertical="center"/>
    </xf>
    <xf numFmtId="3" fontId="7" fillId="21" borderId="46" xfId="3" applyNumberFormat="1" applyFill="1" applyBorder="1" applyAlignment="1">
      <alignment horizontal="center" vertical="center"/>
    </xf>
    <xf numFmtId="0" fontId="7" fillId="27" borderId="0" xfId="3" applyFill="1" applyAlignment="1">
      <alignment horizontal="center" vertical="center"/>
    </xf>
    <xf numFmtId="0" fontId="7" fillId="7" borderId="51" xfId="3" applyFill="1" applyBorder="1" applyAlignment="1">
      <alignment horizontal="center" vertical="center"/>
    </xf>
    <xf numFmtId="3" fontId="15" fillId="17" borderId="5" xfId="3" applyNumberFormat="1" applyFont="1" applyFill="1" applyBorder="1" applyAlignment="1">
      <alignment horizontal="center" vertical="center"/>
    </xf>
    <xf numFmtId="37" fontId="15" fillId="0" borderId="50" xfId="3" applyNumberFormat="1" applyFont="1" applyBorder="1" applyAlignment="1">
      <alignment horizontal="center" vertical="center"/>
    </xf>
    <xf numFmtId="37" fontId="15" fillId="0" borderId="45" xfId="3" applyNumberFormat="1" applyFont="1" applyBorder="1" applyAlignment="1">
      <alignment horizontal="center" vertical="center"/>
    </xf>
    <xf numFmtId="37" fontId="15" fillId="0" borderId="48" xfId="3" applyNumberFormat="1" applyFont="1" applyBorder="1" applyAlignment="1">
      <alignment horizontal="center" vertical="center"/>
    </xf>
    <xf numFmtId="3" fontId="15" fillId="0" borderId="45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1" borderId="0" xfId="3" applyFill="1" applyAlignment="1">
      <alignment horizontal="center" vertical="center"/>
    </xf>
    <xf numFmtId="3" fontId="77" fillId="35" borderId="0" xfId="0" applyNumberFormat="1" applyFont="1" applyFill="1" applyAlignment="1">
      <alignment horizontal="center"/>
    </xf>
    <xf numFmtId="3" fontId="77" fillId="36" borderId="0" xfId="0" applyNumberFormat="1" applyFont="1" applyFill="1" applyAlignment="1">
      <alignment horizontal="center"/>
    </xf>
    <xf numFmtId="3" fontId="77" fillId="0" borderId="69" xfId="0" applyNumberFormat="1" applyFont="1" applyBorder="1" applyAlignment="1">
      <alignment horizontal="center" vertical="center"/>
    </xf>
    <xf numFmtId="165" fontId="84" fillId="0" borderId="69" xfId="0" applyNumberFormat="1" applyFont="1" applyBorder="1" applyAlignment="1">
      <alignment horizontal="center" vertical="center"/>
    </xf>
    <xf numFmtId="37" fontId="84" fillId="27" borderId="0" xfId="0" applyNumberFormat="1" applyFont="1" applyFill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20" fillId="4" borderId="52" xfId="3" applyFont="1" applyFill="1" applyBorder="1" applyAlignment="1">
      <alignment horizontal="center" vertical="center"/>
    </xf>
    <xf numFmtId="0" fontId="20" fillId="4" borderId="34" xfId="3" applyFont="1" applyFill="1" applyBorder="1" applyAlignment="1">
      <alignment horizontal="center" vertical="center"/>
    </xf>
    <xf numFmtId="0" fontId="20" fillId="4" borderId="53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21" borderId="0" xfId="3" applyFont="1" applyFill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52" fillId="11" borderId="55" xfId="3" applyFont="1" applyFill="1" applyBorder="1" applyAlignment="1">
      <alignment horizontal="center" vertical="center" wrapText="1"/>
    </xf>
    <xf numFmtId="0" fontId="52" fillId="11" borderId="9" xfId="3" applyFont="1" applyFill="1" applyBorder="1" applyAlignment="1">
      <alignment horizontal="center" vertical="center" wrapText="1"/>
    </xf>
    <xf numFmtId="0" fontId="9" fillId="12" borderId="11" xfId="3" applyFont="1" applyFill="1" applyBorder="1" applyAlignment="1">
      <alignment horizontal="center" vertical="center"/>
    </xf>
    <xf numFmtId="0" fontId="9" fillId="12" borderId="0" xfId="3" applyFont="1" applyFill="1" applyAlignment="1">
      <alignment horizontal="center" vertical="center"/>
    </xf>
    <xf numFmtId="0" fontId="52" fillId="11" borderId="34" xfId="3" applyFont="1" applyFill="1" applyBorder="1" applyAlignment="1">
      <alignment horizontal="center" vertical="center" wrapText="1"/>
    </xf>
    <xf numFmtId="0" fontId="52" fillId="30" borderId="11" xfId="3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/>
    </xf>
    <xf numFmtId="0" fontId="24" fillId="4" borderId="34" xfId="0" applyFont="1" applyFill="1" applyBorder="1" applyAlignment="1">
      <alignment horizontal="center"/>
    </xf>
    <xf numFmtId="0" fontId="23" fillId="4" borderId="56" xfId="0" applyFont="1" applyFill="1" applyBorder="1" applyAlignment="1">
      <alignment horizontal="center"/>
    </xf>
    <xf numFmtId="0" fontId="23" fillId="4" borderId="57" xfId="0" applyFont="1" applyFill="1" applyBorder="1" applyAlignment="1">
      <alignment horizontal="center"/>
    </xf>
    <xf numFmtId="0" fontId="23" fillId="4" borderId="58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 wrapText="1"/>
    </xf>
    <xf numFmtId="0" fontId="27" fillId="4" borderId="27" xfId="3" applyFont="1" applyFill="1" applyBorder="1" applyAlignment="1">
      <alignment horizontal="center" vertical="center" wrapText="1"/>
    </xf>
    <xf numFmtId="0" fontId="27" fillId="4" borderId="61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vertical="center" wrapText="1"/>
    </xf>
    <xf numFmtId="0" fontId="27" fillId="4" borderId="3" xfId="3" applyFont="1" applyFill="1" applyBorder="1" applyAlignment="1">
      <alignment horizontal="center" vertical="center" wrapText="1"/>
    </xf>
    <xf numFmtId="2" fontId="27" fillId="4" borderId="62" xfId="3" applyNumberFormat="1" applyFont="1" applyFill="1" applyBorder="1" applyAlignment="1">
      <alignment horizontal="center" vertical="center" wrapText="1"/>
    </xf>
    <xf numFmtId="2" fontId="31" fillId="4" borderId="63" xfId="0" applyNumberFormat="1" applyFont="1" applyFill="1" applyBorder="1" applyAlignment="1">
      <alignment horizontal="center" vertical="center" wrapText="1"/>
    </xf>
    <xf numFmtId="0" fontId="27" fillId="4" borderId="62" xfId="3" applyFont="1" applyFill="1" applyBorder="1" applyAlignment="1">
      <alignment horizontal="center" vertical="center" wrapText="1"/>
    </xf>
    <xf numFmtId="0" fontId="31" fillId="4" borderId="63" xfId="0" applyFont="1" applyFill="1" applyBorder="1" applyAlignment="1">
      <alignment horizontal="center" vertical="center" wrapText="1"/>
    </xf>
    <xf numFmtId="3" fontId="74" fillId="19" borderId="78" xfId="3" applyNumberFormat="1" applyFont="1" applyFill="1" applyBorder="1" applyAlignment="1">
      <alignment horizontal="center" vertical="center" wrapText="1"/>
    </xf>
    <xf numFmtId="3" fontId="74" fillId="19" borderId="83" xfId="3" applyNumberFormat="1" applyFont="1" applyFill="1" applyBorder="1" applyAlignment="1">
      <alignment horizontal="center" vertical="center" wrapText="1"/>
    </xf>
    <xf numFmtId="0" fontId="119" fillId="33" borderId="91" xfId="0" applyFont="1" applyFill="1" applyBorder="1" applyAlignment="1">
      <alignment horizontal="center" vertical="center" wrapText="1"/>
    </xf>
    <xf numFmtId="0" fontId="119" fillId="33" borderId="63" xfId="0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4" fillId="19" borderId="79" xfId="3" applyNumberFormat="1" applyFont="1" applyFill="1" applyBorder="1" applyAlignment="1">
      <alignment horizontal="center" wrapText="1"/>
    </xf>
    <xf numFmtId="1" fontId="74" fillId="19" borderId="84" xfId="3" applyNumberFormat="1" applyFont="1" applyFill="1" applyBorder="1" applyAlignment="1">
      <alignment horizontal="center" wrapText="1"/>
    </xf>
    <xf numFmtId="0" fontId="73" fillId="19" borderId="80" xfId="3" applyFont="1" applyFill="1" applyBorder="1" applyAlignment="1">
      <alignment horizontal="center" vertical="center" wrapText="1"/>
    </xf>
    <xf numFmtId="0" fontId="73" fillId="19" borderId="85" xfId="3" applyFont="1" applyFill="1" applyBorder="1" applyAlignment="1">
      <alignment horizontal="center" vertical="center" wrapText="1"/>
    </xf>
    <xf numFmtId="0" fontId="72" fillId="13" borderId="20" xfId="3" applyFont="1" applyFill="1" applyBorder="1" applyAlignment="1">
      <alignment horizontal="center" vertical="center"/>
    </xf>
    <xf numFmtId="0" fontId="72" fillId="13" borderId="23" xfId="3" applyFont="1" applyFill="1" applyBorder="1" applyAlignment="1">
      <alignment horizontal="center" vertical="center"/>
    </xf>
    <xf numFmtId="0" fontId="20" fillId="4" borderId="64" xfId="3" applyFont="1" applyFill="1" applyBorder="1" applyAlignment="1">
      <alignment horizontal="center" vertical="center" wrapText="1"/>
    </xf>
    <xf numFmtId="0" fontId="20" fillId="4" borderId="65" xfId="0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66" xfId="3" applyFont="1" applyFill="1" applyBorder="1" applyAlignment="1">
      <alignment horizontal="center" vertical="center"/>
    </xf>
    <xf numFmtId="0" fontId="20" fillId="4" borderId="42" xfId="3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 wrapText="1"/>
    </xf>
    <xf numFmtId="0" fontId="9" fillId="19" borderId="67" xfId="3" applyFont="1" applyFill="1" applyBorder="1" applyAlignment="1">
      <alignment horizontal="center" vertical="center" wrapText="1"/>
    </xf>
    <xf numFmtId="0" fontId="9" fillId="19" borderId="68" xfId="3" applyFont="1" applyFill="1" applyBorder="1" applyAlignment="1">
      <alignment horizontal="center" vertical="center" wrapText="1"/>
    </xf>
    <xf numFmtId="0" fontId="3" fillId="19" borderId="40" xfId="3" applyFont="1" applyFill="1" applyBorder="1" applyAlignment="1">
      <alignment horizontal="center" vertical="center" wrapText="1"/>
    </xf>
    <xf numFmtId="0" fontId="3" fillId="19" borderId="4" xfId="3" applyFont="1" applyFill="1" applyBorder="1" applyAlignment="1">
      <alignment horizontal="center" vertical="center" wrapText="1"/>
    </xf>
    <xf numFmtId="0" fontId="9" fillId="19" borderId="40" xfId="3" applyFont="1" applyFill="1" applyBorder="1" applyAlignment="1">
      <alignment horizontal="center" vertical="center" wrapText="1"/>
    </xf>
    <xf numFmtId="0" fontId="9" fillId="19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59" xfId="3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20" fillId="16" borderId="27" xfId="3" applyFont="1" applyFill="1" applyBorder="1" applyAlignment="1">
      <alignment horizontal="center" vertical="center" wrapText="1"/>
    </xf>
    <xf numFmtId="0" fontId="20" fillId="16" borderId="89" xfId="3" applyFont="1" applyFill="1" applyBorder="1" applyAlignment="1">
      <alignment horizontal="center" vertical="center" wrapText="1"/>
    </xf>
    <xf numFmtId="0" fontId="20" fillId="16" borderId="28" xfId="3" applyFont="1" applyFill="1" applyBorder="1" applyAlignment="1">
      <alignment horizontal="center" vertical="center" wrapText="1"/>
    </xf>
    <xf numFmtId="0" fontId="27" fillId="16" borderId="19" xfId="3" applyFont="1" applyFill="1" applyBorder="1" applyAlignment="1">
      <alignment horizontal="center" vertical="center" wrapText="1"/>
    </xf>
    <xf numFmtId="0" fontId="27" fillId="16" borderId="9" xfId="3" applyFont="1" applyFill="1" applyBorder="1" applyAlignment="1">
      <alignment horizontal="center" vertical="center" wrapText="1"/>
    </xf>
    <xf numFmtId="0" fontId="27" fillId="16" borderId="29" xfId="3" applyFont="1" applyFill="1" applyBorder="1" applyAlignment="1">
      <alignment horizontal="center" vertical="center" wrapText="1"/>
    </xf>
    <xf numFmtId="0" fontId="23" fillId="16" borderId="62" xfId="3" applyFont="1" applyFill="1" applyBorder="1" applyAlignment="1">
      <alignment horizontal="center" vertical="center"/>
    </xf>
    <xf numFmtId="0" fontId="23" fillId="16" borderId="90" xfId="3" applyFont="1" applyFill="1" applyBorder="1" applyAlignment="1">
      <alignment horizontal="center" vertical="center"/>
    </xf>
    <xf numFmtId="0" fontId="23" fillId="16" borderId="86" xfId="3" applyFont="1" applyFill="1" applyBorder="1" applyAlignment="1">
      <alignment horizontal="center" vertical="center"/>
    </xf>
    <xf numFmtId="164" fontId="7" fillId="0" borderId="92" xfId="3" applyNumberFormat="1" applyBorder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167" fontId="71" fillId="0" borderId="0" xfId="1" applyNumberFormat="1" applyFont="1" applyAlignment="1">
      <alignment horizontal="center"/>
    </xf>
    <xf numFmtId="0" fontId="79" fillId="0" borderId="0" xfId="0" applyFont="1" applyAlignment="1">
      <alignment horizontal="center" vertical="center" wrapText="1"/>
    </xf>
    <xf numFmtId="167" fontId="84" fillId="17" borderId="0" xfId="1" applyNumberFormat="1" applyFont="1" applyFill="1" applyAlignment="1">
      <alignment horizontal="center" vertical="center"/>
    </xf>
    <xf numFmtId="167" fontId="84" fillId="17" borderId="0" xfId="1" applyNumberFormat="1" applyFont="1" applyFill="1" applyAlignment="1">
      <alignment horizontal="center"/>
    </xf>
    <xf numFmtId="167" fontId="109" fillId="17" borderId="0" xfId="1" applyNumberFormat="1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53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FF3300"/>
      <color rgb="FF0000FF"/>
      <color rgb="FFFFFF99"/>
      <color rgb="FFFF5050"/>
      <color rgb="FF170EC2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77</xdr:row>
      <xdr:rowOff>0</xdr:rowOff>
    </xdr:from>
    <xdr:to>
      <xdr:col>37</xdr:col>
      <xdr:colOff>304800</xdr:colOff>
      <xdr:row>78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Z415"/>
  <sheetViews>
    <sheetView showGridLines="0" defaultGridColor="0" topLeftCell="J1" colorId="22" zoomScale="110" zoomScaleNormal="110" zoomScaleSheetLayoutView="80" workbookViewId="0">
      <pane ySplit="4" topLeftCell="A5" activePane="bottomLeft" state="frozen"/>
      <selection pane="bottomLeft" activeCell="N7" sqref="N7"/>
    </sheetView>
  </sheetViews>
  <sheetFormatPr defaultColWidth="16.28515625" defaultRowHeight="15" x14ac:dyDescent="0.2"/>
  <cols>
    <col min="1" max="1" width="8.28515625" style="287" customWidth="1"/>
    <col min="2" max="3" width="25" style="287" customWidth="1"/>
    <col min="4" max="4" width="18.7109375" style="287" customWidth="1"/>
    <col min="5" max="5" width="19.5703125" style="287" customWidth="1"/>
    <col min="6" max="6" width="21.5703125" style="287" customWidth="1"/>
    <col min="7" max="7" width="21.28515625" style="287" customWidth="1"/>
    <col min="8" max="8" width="20.7109375" style="287" customWidth="1"/>
    <col min="9" max="9" width="26.28515625" style="287" customWidth="1"/>
    <col min="10" max="10" width="27.28515625" style="287" customWidth="1"/>
    <col min="11" max="11" width="25.28515625" style="287" customWidth="1"/>
    <col min="12" max="12" width="30.5703125" style="287" customWidth="1"/>
    <col min="13" max="13" width="20.7109375" style="287" customWidth="1"/>
    <col min="14" max="14" width="28.28515625" style="287" customWidth="1"/>
    <col min="15" max="15" width="19.7109375" style="287" customWidth="1"/>
    <col min="16" max="16" width="18.42578125" style="287" customWidth="1"/>
    <col min="17" max="17" width="20.28515625" style="287" customWidth="1"/>
    <col min="18" max="18" width="18.7109375" style="287" customWidth="1"/>
    <col min="19" max="19" width="21" style="287" customWidth="1"/>
    <col min="20" max="20" width="19.28515625" style="287" customWidth="1"/>
    <col min="21" max="21" width="18" style="287" customWidth="1"/>
    <col min="22" max="22" width="19.42578125" style="773" customWidth="1"/>
    <col min="23" max="23" width="15.7109375" style="287" customWidth="1"/>
    <col min="24" max="24" width="17.28515625" style="287" customWidth="1"/>
    <col min="25" max="25" width="19.5703125" style="287" customWidth="1"/>
    <col min="26" max="26" width="17.5703125" style="287" customWidth="1"/>
    <col min="27" max="27" width="19.42578125" style="287" customWidth="1"/>
    <col min="28" max="28" width="15.42578125" style="287" bestFit="1" customWidth="1"/>
    <col min="29" max="29" width="16.7109375" style="287" customWidth="1"/>
    <col min="30" max="30" width="18" style="287" customWidth="1"/>
    <col min="31" max="31" width="16.5703125" style="287" customWidth="1"/>
    <col min="32" max="33" width="19.28515625" style="287" customWidth="1"/>
    <col min="34" max="34" width="14.28515625" style="287" customWidth="1"/>
    <col min="35" max="35" width="16.28515625" style="287"/>
    <col min="36" max="36" width="17.5703125" style="287" bestFit="1" customWidth="1"/>
    <col min="37" max="38" width="16.28515625" style="287"/>
    <col min="39" max="39" width="16.28515625" style="287" customWidth="1"/>
    <col min="40" max="16384" width="16.28515625" style="287"/>
  </cols>
  <sheetData>
    <row r="1" spans="1:52" ht="18" x14ac:dyDescent="0.2">
      <c r="B1" s="779" t="s">
        <v>225</v>
      </c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39"/>
      <c r="O1" s="780" t="str">
        <f>B1</f>
        <v>ENTRIES FOR DAILY CONS. MONITOR</v>
      </c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</row>
    <row r="2" spans="1:52" ht="16.5" thickBot="1" x14ac:dyDescent="0.25">
      <c r="C2" s="740" t="s">
        <v>62</v>
      </c>
      <c r="F2" s="741" t="s">
        <v>62</v>
      </c>
      <c r="G2" s="742"/>
      <c r="O2" s="792" t="s">
        <v>248</v>
      </c>
      <c r="P2" s="792"/>
      <c r="Q2" s="792"/>
      <c r="R2" s="792"/>
      <c r="S2" s="792"/>
      <c r="T2" s="792"/>
      <c r="U2" s="792"/>
      <c r="V2" s="792"/>
    </row>
    <row r="3" spans="1:52" ht="20.100000000000001" customHeight="1" x14ac:dyDescent="0.2">
      <c r="A3" s="743"/>
      <c r="B3" s="744"/>
      <c r="C3" s="745"/>
      <c r="D3" s="745" t="s">
        <v>4</v>
      </c>
      <c r="E3" s="745"/>
      <c r="F3" s="746"/>
      <c r="G3" s="746"/>
      <c r="H3" s="747"/>
      <c r="I3" s="744"/>
      <c r="J3" s="745" t="s">
        <v>22</v>
      </c>
      <c r="K3" s="748"/>
      <c r="L3" s="794" t="s">
        <v>56</v>
      </c>
      <c r="M3" s="795"/>
      <c r="N3" s="796"/>
      <c r="O3" s="788" t="s">
        <v>3</v>
      </c>
      <c r="P3" s="781"/>
      <c r="Q3" s="781"/>
      <c r="R3" s="781"/>
      <c r="S3" s="781"/>
      <c r="T3" s="781"/>
      <c r="U3" s="781"/>
      <c r="V3" s="781"/>
      <c r="W3" s="781"/>
      <c r="X3" s="781"/>
      <c r="Y3" s="781"/>
      <c r="Z3" s="781"/>
      <c r="AA3" s="781"/>
      <c r="AB3" s="781"/>
      <c r="AC3" s="781"/>
      <c r="AD3" s="750"/>
      <c r="AE3" s="751"/>
      <c r="AF3" s="750"/>
      <c r="AG3" s="805" t="s">
        <v>222</v>
      </c>
      <c r="AH3" s="801" t="s">
        <v>220</v>
      </c>
      <c r="AI3" s="801" t="s">
        <v>221</v>
      </c>
      <c r="AJ3" s="806" t="s">
        <v>251</v>
      </c>
      <c r="AK3" s="803" t="s">
        <v>189</v>
      </c>
      <c r="AL3" s="804"/>
      <c r="AM3" s="804"/>
      <c r="AN3" s="804"/>
    </row>
    <row r="4" spans="1:52" ht="20.100000000000001" customHeight="1" x14ac:dyDescent="0.2">
      <c r="A4" s="752"/>
      <c r="B4" s="749" t="s">
        <v>23</v>
      </c>
      <c r="C4" s="750" t="s">
        <v>27</v>
      </c>
      <c r="D4" s="750" t="s">
        <v>25</v>
      </c>
      <c r="E4" s="750" t="s">
        <v>26</v>
      </c>
      <c r="F4" s="750" t="s">
        <v>27</v>
      </c>
      <c r="G4" s="750" t="s">
        <v>24</v>
      </c>
      <c r="H4" s="753" t="s">
        <v>28</v>
      </c>
      <c r="I4" s="749" t="s">
        <v>29</v>
      </c>
      <c r="J4" s="750" t="s">
        <v>30</v>
      </c>
      <c r="K4" s="753" t="s">
        <v>31</v>
      </c>
      <c r="L4" s="749" t="s">
        <v>57</v>
      </c>
      <c r="M4" s="754" t="s">
        <v>58</v>
      </c>
      <c r="N4" s="797" t="s">
        <v>178</v>
      </c>
      <c r="O4" s="785" t="s">
        <v>107</v>
      </c>
      <c r="P4" s="787" t="s">
        <v>108</v>
      </c>
      <c r="Q4" s="787" t="s">
        <v>171</v>
      </c>
      <c r="R4" s="787" t="s">
        <v>182</v>
      </c>
      <c r="S4" s="787" t="s">
        <v>109</v>
      </c>
      <c r="T4" s="787" t="s">
        <v>183</v>
      </c>
      <c r="U4" s="787" t="s">
        <v>110</v>
      </c>
      <c r="V4" s="789" t="s">
        <v>254</v>
      </c>
      <c r="W4" s="787" t="s">
        <v>188</v>
      </c>
      <c r="X4" s="750" t="s">
        <v>103</v>
      </c>
      <c r="Y4" s="750" t="s">
        <v>104</v>
      </c>
      <c r="Z4" s="750" t="s">
        <v>105</v>
      </c>
      <c r="AA4" s="781" t="s">
        <v>75</v>
      </c>
      <c r="AB4" s="783" t="s">
        <v>76</v>
      </c>
      <c r="AC4" s="791" t="s">
        <v>161</v>
      </c>
      <c r="AD4" s="787" t="s">
        <v>165</v>
      </c>
      <c r="AE4" s="787" t="s">
        <v>166</v>
      </c>
      <c r="AF4" s="787" t="s">
        <v>170</v>
      </c>
      <c r="AG4" s="805"/>
      <c r="AH4" s="802"/>
      <c r="AI4" s="802"/>
      <c r="AJ4" s="806"/>
      <c r="AK4" s="287" t="s">
        <v>195</v>
      </c>
      <c r="AL4" s="287" t="s">
        <v>250</v>
      </c>
      <c r="AM4" s="287" t="s">
        <v>194</v>
      </c>
      <c r="AN4" s="287" t="s">
        <v>195</v>
      </c>
    </row>
    <row r="5" spans="1:52" ht="20.100000000000001" customHeight="1" thickBot="1" x14ac:dyDescent="0.25">
      <c r="A5" s="755" t="s">
        <v>7</v>
      </c>
      <c r="B5" s="749" t="s">
        <v>276</v>
      </c>
      <c r="C5" s="750" t="s">
        <v>276</v>
      </c>
      <c r="D5" s="750" t="s">
        <v>32</v>
      </c>
      <c r="E5" s="750" t="s">
        <v>33</v>
      </c>
      <c r="F5" s="750" t="s">
        <v>34</v>
      </c>
      <c r="G5" s="750" t="s">
        <v>34</v>
      </c>
      <c r="H5" s="753" t="s">
        <v>35</v>
      </c>
      <c r="I5" s="749" t="s">
        <v>36</v>
      </c>
      <c r="J5" s="750" t="s">
        <v>36</v>
      </c>
      <c r="K5" s="753" t="s">
        <v>36</v>
      </c>
      <c r="L5" s="749" t="s">
        <v>59</v>
      </c>
      <c r="M5" s="754" t="s">
        <v>59</v>
      </c>
      <c r="N5" s="798"/>
      <c r="O5" s="786"/>
      <c r="P5" s="787"/>
      <c r="Q5" s="787"/>
      <c r="R5" s="787"/>
      <c r="S5" s="790"/>
      <c r="T5" s="790"/>
      <c r="U5" s="790"/>
      <c r="V5" s="789"/>
      <c r="W5" s="799"/>
      <c r="X5" s="750" t="s">
        <v>111</v>
      </c>
      <c r="Y5" s="750" t="s">
        <v>111</v>
      </c>
      <c r="Z5" s="750" t="s">
        <v>111</v>
      </c>
      <c r="AA5" s="782"/>
      <c r="AB5" s="784"/>
      <c r="AC5" s="791"/>
      <c r="AD5" s="787"/>
      <c r="AE5" s="787"/>
      <c r="AF5" s="800"/>
      <c r="AG5" s="805"/>
      <c r="AH5" s="802"/>
      <c r="AI5" s="802"/>
      <c r="AJ5" s="806"/>
      <c r="AK5" s="287" t="s">
        <v>190</v>
      </c>
      <c r="AL5" s="287" t="s">
        <v>191</v>
      </c>
      <c r="AM5" s="287" t="s">
        <v>192</v>
      </c>
      <c r="AN5" s="287" t="s">
        <v>193</v>
      </c>
    </row>
    <row r="6" spans="1:52" ht="18" customHeight="1" x14ac:dyDescent="0.2">
      <c r="A6" s="756" t="s">
        <v>37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92"/>
      <c r="P6" s="288"/>
      <c r="Q6" s="288"/>
      <c r="R6" s="294"/>
      <c r="S6" s="288"/>
      <c r="T6" s="288"/>
      <c r="U6" s="288"/>
      <c r="V6" s="757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758"/>
      <c r="AH6" s="759"/>
      <c r="AI6" s="760"/>
      <c r="AJ6" s="761"/>
    </row>
    <row r="7" spans="1:52" ht="26.1" customHeight="1" x14ac:dyDescent="0.2">
      <c r="A7" s="762">
        <v>1</v>
      </c>
      <c r="B7" s="645">
        <v>7222980</v>
      </c>
      <c r="C7" s="292"/>
      <c r="D7" s="292"/>
      <c r="E7" s="292">
        <v>70</v>
      </c>
      <c r="F7" s="292">
        <v>2790.8</v>
      </c>
      <c r="G7" s="292">
        <v>68209</v>
      </c>
      <c r="H7" s="293"/>
      <c r="I7" s="294">
        <v>312699</v>
      </c>
      <c r="J7" s="292">
        <v>886109</v>
      </c>
      <c r="K7" s="293">
        <v>466400</v>
      </c>
      <c r="L7" s="292"/>
      <c r="M7" s="295"/>
      <c r="N7" s="294">
        <v>709.64</v>
      </c>
      <c r="O7" s="646">
        <v>170538</v>
      </c>
      <c r="P7" s="647">
        <v>8010</v>
      </c>
      <c r="Q7" s="648">
        <v>889883</v>
      </c>
      <c r="R7" s="648"/>
      <c r="S7" s="648">
        <v>35099</v>
      </c>
      <c r="T7" s="648"/>
      <c r="U7" s="648">
        <v>20636</v>
      </c>
      <c r="V7" s="649">
        <v>1285230</v>
      </c>
      <c r="W7" s="648"/>
      <c r="X7" s="650">
        <v>31073</v>
      </c>
      <c r="Y7" s="648">
        <v>29173</v>
      </c>
      <c r="Z7" s="648">
        <v>5490</v>
      </c>
      <c r="AA7" s="648">
        <v>97122</v>
      </c>
      <c r="AB7" s="648"/>
      <c r="AC7" s="648">
        <v>39340</v>
      </c>
      <c r="AD7" s="648">
        <v>258781</v>
      </c>
      <c r="AE7" s="648"/>
      <c r="AF7" s="651"/>
      <c r="AG7" s="292"/>
      <c r="AH7" s="292"/>
      <c r="AI7" s="300"/>
      <c r="AJ7" s="301">
        <v>7266612.9730000002</v>
      </c>
      <c r="AK7" s="737"/>
      <c r="AL7" s="738"/>
      <c r="AM7" s="738"/>
      <c r="AN7" s="738"/>
    </row>
    <row r="8" spans="1:52" ht="26.1" customHeight="1" x14ac:dyDescent="0.2">
      <c r="A8" s="762">
        <v>2</v>
      </c>
      <c r="B8" s="645">
        <v>7223390</v>
      </c>
      <c r="C8" s="292"/>
      <c r="D8" s="292"/>
      <c r="E8" s="292">
        <v>70</v>
      </c>
      <c r="F8" s="292">
        <v>2797.3</v>
      </c>
      <c r="G8" s="292">
        <v>68209</v>
      </c>
      <c r="H8" s="293"/>
      <c r="I8" s="294">
        <v>315005</v>
      </c>
      <c r="J8" s="292">
        <v>888285</v>
      </c>
      <c r="K8" s="293">
        <v>466400</v>
      </c>
      <c r="L8" s="292"/>
      <c r="M8" s="295"/>
      <c r="N8" s="294">
        <v>709.64</v>
      </c>
      <c r="O8" s="296">
        <v>170538</v>
      </c>
      <c r="P8" s="297">
        <v>8196</v>
      </c>
      <c r="Q8" s="292">
        <v>889957</v>
      </c>
      <c r="R8" s="292"/>
      <c r="S8" s="292">
        <v>35100</v>
      </c>
      <c r="T8" s="292"/>
      <c r="U8" s="292">
        <v>20636</v>
      </c>
      <c r="V8" s="298">
        <v>1285426</v>
      </c>
      <c r="W8" s="292"/>
      <c r="X8" s="299">
        <v>31073</v>
      </c>
      <c r="Y8" s="292">
        <v>29209</v>
      </c>
      <c r="Z8" s="292">
        <v>5496</v>
      </c>
      <c r="AA8" s="292">
        <v>97122</v>
      </c>
      <c r="AB8" s="292"/>
      <c r="AC8" s="292">
        <v>39340</v>
      </c>
      <c r="AD8" s="292">
        <v>258781</v>
      </c>
      <c r="AE8" s="292"/>
      <c r="AF8" s="294"/>
      <c r="AG8" s="292"/>
      <c r="AH8" s="292"/>
      <c r="AI8" s="300"/>
      <c r="AJ8" s="301">
        <v>7266612.9730000002</v>
      </c>
      <c r="AK8" s="737"/>
      <c r="AL8" s="738"/>
      <c r="AM8" s="738"/>
      <c r="AN8" s="738"/>
    </row>
    <row r="9" spans="1:52" ht="26.1" customHeight="1" x14ac:dyDescent="0.2">
      <c r="A9" s="762">
        <v>3</v>
      </c>
      <c r="B9" s="645">
        <v>7223930</v>
      </c>
      <c r="C9" s="292"/>
      <c r="D9" s="292"/>
      <c r="E9" s="292">
        <v>70</v>
      </c>
      <c r="F9" s="292">
        <v>2800.2</v>
      </c>
      <c r="G9" s="292">
        <v>68209</v>
      </c>
      <c r="H9" s="293"/>
      <c r="I9" s="294">
        <v>317175</v>
      </c>
      <c r="J9" s="292">
        <v>890331</v>
      </c>
      <c r="K9" s="293">
        <v>466400</v>
      </c>
      <c r="L9" s="292"/>
      <c r="M9" s="295"/>
      <c r="N9" s="294">
        <v>709.64</v>
      </c>
      <c r="O9" s="296">
        <v>170538</v>
      </c>
      <c r="P9" s="297">
        <v>8196</v>
      </c>
      <c r="Q9" s="292">
        <v>889988</v>
      </c>
      <c r="R9" s="292"/>
      <c r="S9" s="292">
        <v>35100</v>
      </c>
      <c r="T9" s="292"/>
      <c r="U9" s="292">
        <v>20636</v>
      </c>
      <c r="V9" s="298">
        <v>1285426</v>
      </c>
      <c r="W9" s="292"/>
      <c r="X9" s="299">
        <v>31073</v>
      </c>
      <c r="Y9" s="292">
        <v>29209</v>
      </c>
      <c r="Z9" s="763">
        <v>5496</v>
      </c>
      <c r="AA9" s="292">
        <v>97122</v>
      </c>
      <c r="AB9" s="292"/>
      <c r="AC9" s="292">
        <v>39340</v>
      </c>
      <c r="AD9" s="292">
        <v>258781</v>
      </c>
      <c r="AE9" s="292"/>
      <c r="AF9" s="294"/>
      <c r="AG9" s="292"/>
      <c r="AH9" s="292"/>
      <c r="AI9" s="300"/>
      <c r="AJ9" s="301">
        <v>7266612.9730000002</v>
      </c>
      <c r="AK9" s="737"/>
      <c r="AL9" s="738"/>
      <c r="AM9" s="738"/>
      <c r="AN9" s="738"/>
    </row>
    <row r="10" spans="1:52" ht="26.1" customHeight="1" x14ac:dyDescent="0.2">
      <c r="A10" s="762">
        <v>4</v>
      </c>
      <c r="B10" s="645">
        <v>7226410</v>
      </c>
      <c r="C10" s="292"/>
      <c r="D10" s="292"/>
      <c r="E10" s="292">
        <v>70</v>
      </c>
      <c r="F10" s="292">
        <v>2818.2</v>
      </c>
      <c r="G10" s="292">
        <v>68209</v>
      </c>
      <c r="H10" s="293"/>
      <c r="I10" s="294">
        <v>321262</v>
      </c>
      <c r="J10" s="292">
        <v>894192</v>
      </c>
      <c r="K10" s="293">
        <v>466400</v>
      </c>
      <c r="L10" s="292"/>
      <c r="M10" s="295"/>
      <c r="N10" s="294">
        <v>709.64</v>
      </c>
      <c r="O10" s="764">
        <v>170917</v>
      </c>
      <c r="P10" s="297">
        <v>8208</v>
      </c>
      <c r="Q10" s="292">
        <v>890095</v>
      </c>
      <c r="R10" s="292"/>
      <c r="S10" s="292">
        <v>35287</v>
      </c>
      <c r="T10" s="292"/>
      <c r="U10" s="292">
        <v>20636</v>
      </c>
      <c r="V10" s="298">
        <v>1285438</v>
      </c>
      <c r="W10" s="292"/>
      <c r="X10" s="299">
        <v>31094</v>
      </c>
      <c r="Y10" s="292">
        <v>29272</v>
      </c>
      <c r="Z10" s="292">
        <v>5505</v>
      </c>
      <c r="AA10" s="292">
        <v>97122</v>
      </c>
      <c r="AB10" s="292"/>
      <c r="AC10" s="292">
        <v>39342</v>
      </c>
      <c r="AD10" s="292">
        <v>258893</v>
      </c>
      <c r="AE10" s="292"/>
      <c r="AF10" s="294"/>
      <c r="AG10" s="292"/>
      <c r="AH10" s="292"/>
      <c r="AI10" s="292"/>
      <c r="AJ10" s="301">
        <v>7266766.5860000001</v>
      </c>
      <c r="AK10" s="292"/>
      <c r="AL10" s="292"/>
      <c r="AM10" s="292"/>
      <c r="AN10" s="292"/>
    </row>
    <row r="11" spans="1:52" ht="26.1" customHeight="1" x14ac:dyDescent="0.2">
      <c r="A11" s="762">
        <v>5</v>
      </c>
      <c r="B11" s="645">
        <v>7229680</v>
      </c>
      <c r="C11" s="292"/>
      <c r="D11" s="292"/>
      <c r="E11" s="292">
        <v>70</v>
      </c>
      <c r="F11" s="292">
        <v>2840.5</v>
      </c>
      <c r="G11" s="292">
        <v>68209</v>
      </c>
      <c r="H11" s="293"/>
      <c r="I11" s="294">
        <v>325655</v>
      </c>
      <c r="J11" s="292">
        <v>898346</v>
      </c>
      <c r="K11" s="293">
        <v>466400</v>
      </c>
      <c r="L11" s="292"/>
      <c r="M11" s="295"/>
      <c r="N11" s="294">
        <v>851.51</v>
      </c>
      <c r="O11" s="296">
        <v>171359</v>
      </c>
      <c r="P11" s="297">
        <v>8208</v>
      </c>
      <c r="Q11" s="292">
        <v>890327</v>
      </c>
      <c r="R11" s="292"/>
      <c r="S11" s="292">
        <v>35499</v>
      </c>
      <c r="T11" s="292"/>
      <c r="U11" s="292">
        <v>20644</v>
      </c>
      <c r="V11" s="298">
        <v>1285439</v>
      </c>
      <c r="W11" s="292"/>
      <c r="X11" s="299">
        <v>31139</v>
      </c>
      <c r="Y11" s="292">
        <v>29355</v>
      </c>
      <c r="Z11" s="292">
        <v>5523</v>
      </c>
      <c r="AA11" s="292">
        <v>97122</v>
      </c>
      <c r="AB11" s="292"/>
      <c r="AC11" s="292">
        <v>39364</v>
      </c>
      <c r="AD11" s="292">
        <v>258947</v>
      </c>
      <c r="AE11" s="292"/>
      <c r="AF11" s="294"/>
      <c r="AG11" s="292"/>
      <c r="AH11" s="292"/>
      <c r="AI11" s="292"/>
      <c r="AJ11" s="292">
        <v>7266891.0530000003</v>
      </c>
      <c r="AK11" s="292"/>
      <c r="AL11" s="292"/>
      <c r="AM11" s="292"/>
      <c r="AN11" s="292"/>
    </row>
    <row r="12" spans="1:52" ht="25.15" customHeight="1" x14ac:dyDescent="0.2">
      <c r="A12" s="762">
        <v>6</v>
      </c>
      <c r="B12" s="645">
        <v>7232720</v>
      </c>
      <c r="C12" s="292"/>
      <c r="D12" s="292"/>
      <c r="E12" s="292">
        <v>70</v>
      </c>
      <c r="F12" s="292">
        <v>2861.3</v>
      </c>
      <c r="G12" s="292">
        <v>68209</v>
      </c>
      <c r="H12" s="293"/>
      <c r="I12" s="294">
        <v>329893</v>
      </c>
      <c r="J12" s="292">
        <v>902349</v>
      </c>
      <c r="K12" s="293">
        <v>466400</v>
      </c>
      <c r="L12" s="292"/>
      <c r="M12" s="295"/>
      <c r="N12" s="294">
        <v>880.47</v>
      </c>
      <c r="O12" s="296">
        <v>171795</v>
      </c>
      <c r="P12" s="297">
        <v>8208</v>
      </c>
      <c r="Q12" s="292">
        <v>890533</v>
      </c>
      <c r="R12" s="292"/>
      <c r="S12" s="292">
        <v>35672</v>
      </c>
      <c r="T12" s="292"/>
      <c r="U12" s="292">
        <v>20644</v>
      </c>
      <c r="V12" s="298">
        <v>1285439</v>
      </c>
      <c r="W12" s="292"/>
      <c r="X12" s="299">
        <v>31209</v>
      </c>
      <c r="Y12" s="292">
        <v>29415</v>
      </c>
      <c r="Z12" s="292">
        <v>5538</v>
      </c>
      <c r="AA12" s="292">
        <v>97122</v>
      </c>
      <c r="AB12" s="292"/>
      <c r="AC12" s="292">
        <v>39379</v>
      </c>
      <c r="AD12" s="292">
        <v>258993</v>
      </c>
      <c r="AE12" s="292"/>
      <c r="AF12" s="294"/>
      <c r="AG12" s="292"/>
      <c r="AH12" s="292"/>
      <c r="AI12" s="292"/>
      <c r="AJ12" s="292">
        <v>7266901.5379999997</v>
      </c>
      <c r="AK12" s="292"/>
      <c r="AL12" s="292"/>
      <c r="AM12" s="292"/>
      <c r="AN12" s="292"/>
    </row>
    <row r="13" spans="1:52" ht="26.25" customHeight="1" x14ac:dyDescent="0.2">
      <c r="A13" s="762">
        <v>7</v>
      </c>
      <c r="B13" s="645">
        <v>7235440</v>
      </c>
      <c r="C13" s="292"/>
      <c r="D13" s="292"/>
      <c r="E13" s="292">
        <v>70</v>
      </c>
      <c r="F13" s="292">
        <v>2881.5</v>
      </c>
      <c r="G13" s="292">
        <v>68209</v>
      </c>
      <c r="H13" s="293"/>
      <c r="I13" s="294">
        <v>334041</v>
      </c>
      <c r="J13" s="292">
        <v>906267</v>
      </c>
      <c r="K13" s="293">
        <v>466400</v>
      </c>
      <c r="L13" s="292"/>
      <c r="M13" s="295"/>
      <c r="N13" s="294">
        <v>915.52</v>
      </c>
      <c r="O13" s="296">
        <v>172053</v>
      </c>
      <c r="P13" s="297">
        <v>8208</v>
      </c>
      <c r="Q13" s="292">
        <v>890734</v>
      </c>
      <c r="R13" s="292"/>
      <c r="S13" s="292">
        <v>35865</v>
      </c>
      <c r="T13" s="292"/>
      <c r="U13" s="292">
        <v>20644</v>
      </c>
      <c r="V13" s="298">
        <v>1285439</v>
      </c>
      <c r="W13" s="292"/>
      <c r="X13" s="299">
        <v>31294</v>
      </c>
      <c r="Y13" s="292">
        <v>29473</v>
      </c>
      <c r="Z13" s="292">
        <v>5556</v>
      </c>
      <c r="AA13" s="292">
        <v>97122</v>
      </c>
      <c r="AB13" s="292"/>
      <c r="AC13" s="292">
        <v>39402</v>
      </c>
      <c r="AD13" s="292">
        <v>259023</v>
      </c>
      <c r="AE13" s="292"/>
      <c r="AF13" s="294"/>
      <c r="AG13" s="292"/>
      <c r="AH13" s="292"/>
      <c r="AI13" s="292"/>
      <c r="AJ13" s="292">
        <v>7267605.1639999999</v>
      </c>
      <c r="AK13" s="292"/>
      <c r="AL13" s="292"/>
      <c r="AM13" s="292"/>
      <c r="AN13" s="292"/>
    </row>
    <row r="14" spans="1:52" ht="27" customHeight="1" x14ac:dyDescent="0.2">
      <c r="A14" s="762">
        <v>8</v>
      </c>
      <c r="B14" s="645">
        <v>7237820</v>
      </c>
      <c r="C14" s="292"/>
      <c r="D14" s="292"/>
      <c r="E14" s="292">
        <v>70</v>
      </c>
      <c r="F14" s="292">
        <v>2899</v>
      </c>
      <c r="G14" s="292">
        <v>68209</v>
      </c>
      <c r="H14" s="293"/>
      <c r="I14" s="294">
        <v>337821</v>
      </c>
      <c r="J14" s="292">
        <v>909835</v>
      </c>
      <c r="K14" s="293">
        <v>466400</v>
      </c>
      <c r="L14" s="292"/>
      <c r="M14" s="295"/>
      <c r="N14" s="294">
        <v>953.19</v>
      </c>
      <c r="O14" s="296">
        <v>172294</v>
      </c>
      <c r="P14" s="297">
        <v>8328</v>
      </c>
      <c r="Q14" s="292">
        <v>890888</v>
      </c>
      <c r="R14" s="292"/>
      <c r="S14" s="292">
        <v>36081</v>
      </c>
      <c r="T14" s="292"/>
      <c r="U14" s="292">
        <v>20644</v>
      </c>
      <c r="V14" s="298">
        <v>1285569</v>
      </c>
      <c r="W14" s="292"/>
      <c r="X14" s="299">
        <v>31315</v>
      </c>
      <c r="Y14" s="292">
        <v>29521</v>
      </c>
      <c r="Z14" s="292">
        <v>5556</v>
      </c>
      <c r="AA14" s="292">
        <v>97122</v>
      </c>
      <c r="AB14" s="292"/>
      <c r="AC14" s="292">
        <v>39415</v>
      </c>
      <c r="AD14" s="292">
        <v>259023</v>
      </c>
      <c r="AE14" s="292"/>
      <c r="AF14" s="294"/>
      <c r="AG14" s="292"/>
      <c r="AH14" s="292"/>
      <c r="AI14" s="292"/>
      <c r="AJ14" s="292">
        <v>7267940.9469999997</v>
      </c>
      <c r="AK14" s="292"/>
      <c r="AL14" s="292"/>
      <c r="AM14" s="292"/>
      <c r="AN14" s="292"/>
    </row>
    <row r="15" spans="1:52" s="765" customFormat="1" ht="26.1" customHeight="1" x14ac:dyDescent="0.2">
      <c r="A15" s="762">
        <v>9</v>
      </c>
      <c r="B15" s="645">
        <v>7238820</v>
      </c>
      <c r="C15" s="292"/>
      <c r="D15" s="292"/>
      <c r="E15" s="292">
        <v>70</v>
      </c>
      <c r="F15" s="292">
        <v>2907.6</v>
      </c>
      <c r="G15" s="292">
        <v>68209</v>
      </c>
      <c r="H15" s="293"/>
      <c r="I15" s="294">
        <v>340200</v>
      </c>
      <c r="J15" s="292">
        <v>912080</v>
      </c>
      <c r="K15" s="293">
        <v>466400</v>
      </c>
      <c r="L15" s="292"/>
      <c r="M15" s="295"/>
      <c r="N15" s="294">
        <v>958.15</v>
      </c>
      <c r="O15" s="296">
        <v>172436</v>
      </c>
      <c r="P15" s="297">
        <v>8409</v>
      </c>
      <c r="Q15" s="292">
        <v>890988</v>
      </c>
      <c r="R15" s="292"/>
      <c r="S15" s="292">
        <v>36152</v>
      </c>
      <c r="T15" s="292"/>
      <c r="U15" s="292">
        <v>20644</v>
      </c>
      <c r="V15" s="298">
        <v>1285651</v>
      </c>
      <c r="W15" s="292"/>
      <c r="X15" s="299">
        <v>31329</v>
      </c>
      <c r="Y15" s="292">
        <v>29546</v>
      </c>
      <c r="Z15" s="292">
        <v>5571</v>
      </c>
      <c r="AA15" s="292">
        <v>97122</v>
      </c>
      <c r="AB15" s="292"/>
      <c r="AC15" s="292">
        <v>39415</v>
      </c>
      <c r="AD15" s="292">
        <v>259023</v>
      </c>
      <c r="AE15" s="292"/>
      <c r="AF15" s="294"/>
      <c r="AG15" s="292"/>
      <c r="AH15" s="292"/>
      <c r="AI15" s="292"/>
      <c r="AJ15" s="292">
        <v>7268276.7309999997</v>
      </c>
      <c r="AK15" s="292"/>
      <c r="AL15" s="292"/>
      <c r="AM15" s="292"/>
      <c r="AN15" s="292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</row>
    <row r="16" spans="1:52" ht="26.1" customHeight="1" x14ac:dyDescent="0.2">
      <c r="A16" s="762">
        <v>10</v>
      </c>
      <c r="B16" s="645">
        <v>7238920</v>
      </c>
      <c r="C16" s="292"/>
      <c r="D16" s="292"/>
      <c r="E16" s="292">
        <v>70</v>
      </c>
      <c r="F16" s="292">
        <v>2908.5</v>
      </c>
      <c r="G16" s="292">
        <v>68209</v>
      </c>
      <c r="H16" s="293"/>
      <c r="I16" s="294">
        <v>342345</v>
      </c>
      <c r="J16" s="292">
        <v>914108</v>
      </c>
      <c r="K16" s="293">
        <v>466400</v>
      </c>
      <c r="L16" s="292"/>
      <c r="M16" s="295"/>
      <c r="N16" s="294">
        <v>958.15</v>
      </c>
      <c r="O16" s="296">
        <v>172513</v>
      </c>
      <c r="P16" s="297">
        <v>8430</v>
      </c>
      <c r="Q16" s="292">
        <v>890998</v>
      </c>
      <c r="R16" s="292"/>
      <c r="S16" s="292">
        <v>36152</v>
      </c>
      <c r="T16" s="292"/>
      <c r="U16" s="292">
        <v>20644</v>
      </c>
      <c r="V16" s="298">
        <v>1285673</v>
      </c>
      <c r="W16" s="292"/>
      <c r="X16" s="299">
        <v>31329</v>
      </c>
      <c r="Y16" s="292">
        <v>29546</v>
      </c>
      <c r="Z16" s="292">
        <v>5572</v>
      </c>
      <c r="AA16" s="292">
        <v>97122</v>
      </c>
      <c r="AB16" s="292"/>
      <c r="AC16" s="292">
        <v>39415</v>
      </c>
      <c r="AD16" s="292">
        <v>259023</v>
      </c>
      <c r="AE16" s="292"/>
      <c r="AF16" s="294"/>
      <c r="AG16" s="292"/>
      <c r="AH16" s="292"/>
      <c r="AI16" s="292"/>
      <c r="AJ16" s="292">
        <v>7268276.7309999997</v>
      </c>
      <c r="AK16" s="292"/>
      <c r="AL16" s="292"/>
      <c r="AM16" s="292"/>
      <c r="AN16" s="292"/>
    </row>
    <row r="17" spans="1:40" ht="26.1" customHeight="1" x14ac:dyDescent="0.2">
      <c r="A17" s="762">
        <v>11</v>
      </c>
      <c r="B17" s="645">
        <v>7242020</v>
      </c>
      <c r="C17" s="292"/>
      <c r="D17" s="292"/>
      <c r="E17" s="292">
        <v>70</v>
      </c>
      <c r="F17" s="292">
        <v>2928</v>
      </c>
      <c r="G17" s="292">
        <v>68209</v>
      </c>
      <c r="H17" s="293"/>
      <c r="I17" s="294">
        <v>346459</v>
      </c>
      <c r="J17" s="292">
        <v>917994</v>
      </c>
      <c r="K17" s="293">
        <v>466400</v>
      </c>
      <c r="L17" s="292"/>
      <c r="M17" s="295"/>
      <c r="N17" s="294">
        <v>978.29</v>
      </c>
      <c r="O17" s="296">
        <v>172578</v>
      </c>
      <c r="P17" s="297">
        <v>8525</v>
      </c>
      <c r="Q17" s="292">
        <v>891163</v>
      </c>
      <c r="R17" s="292"/>
      <c r="S17" s="292">
        <v>36343</v>
      </c>
      <c r="T17" s="292"/>
      <c r="U17" s="292">
        <v>20666</v>
      </c>
      <c r="V17" s="298">
        <v>1285825</v>
      </c>
      <c r="W17" s="292"/>
      <c r="X17" s="299">
        <v>31388</v>
      </c>
      <c r="Y17" s="292">
        <v>29585</v>
      </c>
      <c r="Z17" s="292">
        <v>5598</v>
      </c>
      <c r="AA17" s="292">
        <v>97122</v>
      </c>
      <c r="AB17" s="292"/>
      <c r="AC17" s="292">
        <v>39429</v>
      </c>
      <c r="AD17" s="292">
        <v>259023</v>
      </c>
      <c r="AE17" s="292"/>
      <c r="AF17" s="294"/>
      <c r="AG17" s="292"/>
      <c r="AH17" s="292"/>
      <c r="AI17" s="292"/>
      <c r="AJ17" s="292">
        <v>7268280.5369999995</v>
      </c>
      <c r="AK17" s="292"/>
      <c r="AL17" s="292"/>
      <c r="AM17" s="292"/>
      <c r="AN17" s="292"/>
    </row>
    <row r="18" spans="1:40" ht="26.1" customHeight="1" x14ac:dyDescent="0.2">
      <c r="A18" s="762">
        <v>12</v>
      </c>
      <c r="B18" s="645">
        <v>7245060</v>
      </c>
      <c r="C18" s="292"/>
      <c r="D18" s="292"/>
      <c r="E18" s="292">
        <v>70</v>
      </c>
      <c r="F18" s="292">
        <v>2949.9</v>
      </c>
      <c r="G18" s="292">
        <v>68209</v>
      </c>
      <c r="H18" s="293"/>
      <c r="I18" s="294">
        <v>350745</v>
      </c>
      <c r="J18" s="292">
        <v>922046</v>
      </c>
      <c r="K18" s="293">
        <v>466400</v>
      </c>
      <c r="L18" s="292"/>
      <c r="M18" s="295"/>
      <c r="N18" s="294">
        <v>1003.78</v>
      </c>
      <c r="O18" s="296">
        <v>172826</v>
      </c>
      <c r="P18" s="297">
        <v>8643</v>
      </c>
      <c r="Q18" s="292">
        <v>891285</v>
      </c>
      <c r="R18" s="292"/>
      <c r="S18" s="292">
        <v>36491</v>
      </c>
      <c r="T18" s="292"/>
      <c r="U18" s="292">
        <v>20669</v>
      </c>
      <c r="V18" s="298">
        <v>1285825</v>
      </c>
      <c r="W18" s="292"/>
      <c r="X18" s="299">
        <v>31407</v>
      </c>
      <c r="Y18" s="292">
        <v>29620</v>
      </c>
      <c r="Z18" s="292">
        <v>5634</v>
      </c>
      <c r="AA18" s="292">
        <v>97122</v>
      </c>
      <c r="AB18" s="292"/>
      <c r="AC18" s="292">
        <v>39443</v>
      </c>
      <c r="AD18" s="292">
        <v>259023</v>
      </c>
      <c r="AE18" s="292"/>
      <c r="AF18" s="294"/>
      <c r="AG18" s="292"/>
      <c r="AH18" s="292"/>
      <c r="AI18" s="292"/>
      <c r="AJ18" s="292">
        <v>7268410.9079999998</v>
      </c>
      <c r="AK18" s="292"/>
      <c r="AL18" s="292"/>
      <c r="AM18" s="292"/>
      <c r="AN18" s="292"/>
    </row>
    <row r="19" spans="1:40" ht="26.1" customHeight="1" x14ac:dyDescent="0.2">
      <c r="A19" s="762">
        <v>13</v>
      </c>
      <c r="B19" s="645">
        <v>7247860</v>
      </c>
      <c r="C19" s="292"/>
      <c r="D19" s="292"/>
      <c r="E19" s="292">
        <v>70</v>
      </c>
      <c r="F19" s="292">
        <v>2971.2</v>
      </c>
      <c r="G19" s="292">
        <v>68209</v>
      </c>
      <c r="H19" s="293"/>
      <c r="I19" s="294">
        <v>355102</v>
      </c>
      <c r="J19" s="292">
        <v>926164</v>
      </c>
      <c r="K19" s="293">
        <v>466400</v>
      </c>
      <c r="L19" s="292"/>
      <c r="M19" s="295"/>
      <c r="N19" s="294">
        <v>1020.52</v>
      </c>
      <c r="O19" s="296">
        <v>172958</v>
      </c>
      <c r="P19" s="297">
        <v>8827</v>
      </c>
      <c r="Q19" s="292">
        <v>891439</v>
      </c>
      <c r="R19" s="292"/>
      <c r="S19" s="292">
        <v>36682</v>
      </c>
      <c r="T19" s="292"/>
      <c r="U19" s="292">
        <v>20672</v>
      </c>
      <c r="V19" s="298">
        <v>1285938</v>
      </c>
      <c r="W19" s="292"/>
      <c r="X19" s="299">
        <v>31449</v>
      </c>
      <c r="Y19" s="292">
        <v>29661</v>
      </c>
      <c r="Z19" s="292">
        <v>5672</v>
      </c>
      <c r="AA19" s="292">
        <v>97122</v>
      </c>
      <c r="AB19" s="292"/>
      <c r="AC19" s="292">
        <v>39451</v>
      </c>
      <c r="AD19" s="292">
        <v>259024</v>
      </c>
      <c r="AE19" s="292"/>
      <c r="AF19" s="294"/>
      <c r="AG19" s="292"/>
      <c r="AH19" s="292"/>
      <c r="AI19" s="292"/>
      <c r="AJ19" s="292">
        <v>7268465.7860000003</v>
      </c>
      <c r="AK19" s="292"/>
      <c r="AL19" s="292"/>
      <c r="AM19" s="292"/>
      <c r="AN19" s="292"/>
    </row>
    <row r="20" spans="1:40" ht="26.1" customHeight="1" x14ac:dyDescent="0.2">
      <c r="A20" s="762">
        <v>14</v>
      </c>
      <c r="B20" s="645">
        <v>7250870</v>
      </c>
      <c r="C20" s="292"/>
      <c r="D20" s="292"/>
      <c r="E20" s="292">
        <v>70</v>
      </c>
      <c r="F20" s="292">
        <v>2992.2</v>
      </c>
      <c r="G20" s="292">
        <v>68209</v>
      </c>
      <c r="H20" s="293"/>
      <c r="I20" s="294">
        <v>359136</v>
      </c>
      <c r="J20" s="292">
        <v>929971</v>
      </c>
      <c r="K20" s="293">
        <v>466400</v>
      </c>
      <c r="L20" s="292"/>
      <c r="M20" s="295"/>
      <c r="N20" s="294">
        <v>1053.6099999999999</v>
      </c>
      <c r="O20" s="296">
        <v>172963</v>
      </c>
      <c r="P20" s="297">
        <v>9080</v>
      </c>
      <c r="Q20" s="292">
        <v>891606</v>
      </c>
      <c r="R20" s="292"/>
      <c r="S20" s="292">
        <v>36930</v>
      </c>
      <c r="T20" s="292"/>
      <c r="U20" s="292">
        <v>20672</v>
      </c>
      <c r="V20" s="298">
        <v>1285938</v>
      </c>
      <c r="W20" s="292"/>
      <c r="X20" s="299">
        <v>31495</v>
      </c>
      <c r="Y20" s="292">
        <v>29720</v>
      </c>
      <c r="Z20" s="292">
        <v>5732</v>
      </c>
      <c r="AA20" s="292">
        <v>97122</v>
      </c>
      <c r="AB20" s="292"/>
      <c r="AC20" s="292">
        <v>39465</v>
      </c>
      <c r="AD20" s="292">
        <v>259024</v>
      </c>
      <c r="AE20" s="292"/>
      <c r="AF20" s="294"/>
      <c r="AG20" s="292"/>
      <c r="AH20" s="292"/>
      <c r="AI20" s="292"/>
      <c r="AJ20" s="292">
        <v>7268473.4019999998</v>
      </c>
      <c r="AK20" s="292"/>
      <c r="AL20" s="292"/>
      <c r="AM20" s="292"/>
      <c r="AN20" s="292"/>
    </row>
    <row r="21" spans="1:40" ht="26.1" customHeight="1" x14ac:dyDescent="0.2">
      <c r="A21" s="762">
        <v>15</v>
      </c>
      <c r="B21" s="645">
        <v>7253280</v>
      </c>
      <c r="C21" s="292"/>
      <c r="D21" s="292"/>
      <c r="E21" s="292">
        <v>70</v>
      </c>
      <c r="F21" s="292">
        <v>3010.7</v>
      </c>
      <c r="G21" s="292">
        <v>68209</v>
      </c>
      <c r="H21" s="293"/>
      <c r="I21" s="294">
        <v>363090</v>
      </c>
      <c r="J21" s="292">
        <v>933696</v>
      </c>
      <c r="K21" s="293">
        <v>466400</v>
      </c>
      <c r="L21" s="292"/>
      <c r="M21" s="295"/>
      <c r="N21" s="294">
        <v>1077.48</v>
      </c>
      <c r="O21" s="296">
        <v>173189</v>
      </c>
      <c r="P21" s="297">
        <v>9331</v>
      </c>
      <c r="Q21" s="292">
        <v>891747</v>
      </c>
      <c r="R21" s="292"/>
      <c r="S21" s="292">
        <v>37088</v>
      </c>
      <c r="T21" s="292"/>
      <c r="U21" s="292">
        <v>20672</v>
      </c>
      <c r="V21" s="298">
        <v>1286109</v>
      </c>
      <c r="W21" s="292"/>
      <c r="X21" s="299">
        <v>31532</v>
      </c>
      <c r="Y21" s="292">
        <v>29767</v>
      </c>
      <c r="Z21" s="292">
        <v>5769</v>
      </c>
      <c r="AA21" s="292">
        <v>97122</v>
      </c>
      <c r="AB21" s="292"/>
      <c r="AC21" s="292">
        <v>39476</v>
      </c>
      <c r="AD21" s="292">
        <v>259025</v>
      </c>
      <c r="AE21" s="292"/>
      <c r="AF21" s="294"/>
      <c r="AG21" s="292"/>
      <c r="AH21" s="292"/>
      <c r="AI21" s="292"/>
      <c r="AJ21" s="292">
        <v>7268473.4019999998</v>
      </c>
      <c r="AK21" s="292"/>
      <c r="AL21" s="292"/>
      <c r="AM21" s="292"/>
      <c r="AN21" s="292"/>
    </row>
    <row r="22" spans="1:40" ht="26.1" customHeight="1" x14ac:dyDescent="0.2">
      <c r="A22" s="762">
        <v>16</v>
      </c>
      <c r="B22" s="645">
        <v>7253280</v>
      </c>
      <c r="C22" s="292"/>
      <c r="D22" s="292"/>
      <c r="E22" s="292">
        <v>70</v>
      </c>
      <c r="F22" s="292">
        <v>3010.9</v>
      </c>
      <c r="G22" s="292">
        <v>68209</v>
      </c>
      <c r="H22" s="293"/>
      <c r="I22" s="294">
        <v>365597</v>
      </c>
      <c r="J22" s="292">
        <v>936056</v>
      </c>
      <c r="K22" s="293">
        <v>466400</v>
      </c>
      <c r="L22" s="292"/>
      <c r="M22" s="295"/>
      <c r="N22" s="294">
        <v>1077.48</v>
      </c>
      <c r="O22" s="296">
        <v>173225</v>
      </c>
      <c r="P22" s="297">
        <v>9411</v>
      </c>
      <c r="Q22" s="292">
        <v>891760</v>
      </c>
      <c r="R22" s="292"/>
      <c r="S22" s="292">
        <v>37088</v>
      </c>
      <c r="T22" s="292"/>
      <c r="U22" s="292">
        <v>20672</v>
      </c>
      <c r="V22" s="298">
        <v>1286191</v>
      </c>
      <c r="W22" s="292"/>
      <c r="X22" s="299">
        <v>31532</v>
      </c>
      <c r="Y22" s="292">
        <v>29767</v>
      </c>
      <c r="Z22" s="292">
        <v>5772</v>
      </c>
      <c r="AA22" s="292">
        <v>97122</v>
      </c>
      <c r="AB22" s="292"/>
      <c r="AC22" s="292">
        <v>39476</v>
      </c>
      <c r="AD22" s="292">
        <v>259025</v>
      </c>
      <c r="AE22" s="292"/>
      <c r="AF22" s="294"/>
      <c r="AG22" s="292"/>
      <c r="AH22" s="292"/>
      <c r="AI22" s="292"/>
      <c r="AJ22" s="292">
        <v>7268473.4019999998</v>
      </c>
      <c r="AK22" s="292"/>
      <c r="AL22" s="292"/>
      <c r="AM22" s="292"/>
      <c r="AN22" s="292"/>
    </row>
    <row r="23" spans="1:40" ht="26.1" customHeight="1" x14ac:dyDescent="0.2">
      <c r="A23" s="762">
        <v>17</v>
      </c>
      <c r="B23" s="645">
        <v>7254600</v>
      </c>
      <c r="C23" s="292"/>
      <c r="D23" s="292"/>
      <c r="E23" s="292">
        <v>70</v>
      </c>
      <c r="F23" s="292">
        <v>3018.9</v>
      </c>
      <c r="G23" s="292">
        <v>68209</v>
      </c>
      <c r="H23" s="293"/>
      <c r="I23" s="294">
        <v>368448</v>
      </c>
      <c r="J23" s="292">
        <v>938741</v>
      </c>
      <c r="K23" s="293">
        <v>466400</v>
      </c>
      <c r="L23" s="292"/>
      <c r="M23" s="295"/>
      <c r="N23" s="294">
        <v>1077.48</v>
      </c>
      <c r="O23" s="296">
        <v>173227</v>
      </c>
      <c r="P23" s="297">
        <v>9507</v>
      </c>
      <c r="Q23" s="292">
        <v>891870</v>
      </c>
      <c r="R23" s="292"/>
      <c r="S23" s="292">
        <v>37121</v>
      </c>
      <c r="T23" s="292"/>
      <c r="U23" s="292">
        <v>20672</v>
      </c>
      <c r="V23" s="298">
        <v>1286292</v>
      </c>
      <c r="W23" s="292"/>
      <c r="X23" s="299">
        <v>31548</v>
      </c>
      <c r="Y23" s="292">
        <v>29803</v>
      </c>
      <c r="Z23" s="292">
        <v>5779</v>
      </c>
      <c r="AA23" s="292">
        <v>97122</v>
      </c>
      <c r="AB23" s="292"/>
      <c r="AC23" s="292">
        <v>39476</v>
      </c>
      <c r="AD23" s="292">
        <v>259025</v>
      </c>
      <c r="AE23" s="292"/>
      <c r="AF23" s="294"/>
      <c r="AG23" s="292"/>
      <c r="AH23" s="292"/>
      <c r="AI23" s="292"/>
      <c r="AJ23" s="292">
        <v>7268473.4019999998</v>
      </c>
      <c r="AK23" s="292"/>
      <c r="AL23" s="292"/>
      <c r="AM23" s="292"/>
      <c r="AN23" s="292"/>
    </row>
    <row r="24" spans="1:40" ht="26.1" customHeight="1" x14ac:dyDescent="0.2">
      <c r="A24" s="762">
        <v>18</v>
      </c>
      <c r="B24" s="645">
        <v>7257110</v>
      </c>
      <c r="C24" s="292"/>
      <c r="D24" s="292"/>
      <c r="E24" s="292">
        <v>70</v>
      </c>
      <c r="F24" s="292">
        <v>3037.6</v>
      </c>
      <c r="G24" s="292">
        <v>68209</v>
      </c>
      <c r="H24" s="293"/>
      <c r="I24" s="294">
        <v>372733</v>
      </c>
      <c r="J24" s="292">
        <v>942777</v>
      </c>
      <c r="K24" s="293">
        <v>466400</v>
      </c>
      <c r="L24" s="292"/>
      <c r="M24" s="295"/>
      <c r="N24" s="294">
        <v>1104.3699999999999</v>
      </c>
      <c r="O24" s="296">
        <v>173332</v>
      </c>
      <c r="P24" s="297">
        <v>9640</v>
      </c>
      <c r="Q24" s="292">
        <v>892005</v>
      </c>
      <c r="R24" s="292"/>
      <c r="S24" s="292">
        <v>37282</v>
      </c>
      <c r="T24" s="292"/>
      <c r="U24" s="292">
        <v>20677</v>
      </c>
      <c r="V24" s="298">
        <v>1286433</v>
      </c>
      <c r="W24" s="292"/>
      <c r="X24" s="299">
        <v>31581</v>
      </c>
      <c r="Y24" s="292">
        <v>29835</v>
      </c>
      <c r="Z24" s="292">
        <v>5806</v>
      </c>
      <c r="AA24" s="292">
        <v>97122</v>
      </c>
      <c r="AB24" s="292"/>
      <c r="AC24" s="292">
        <v>39497</v>
      </c>
      <c r="AD24" s="292">
        <v>259025</v>
      </c>
      <c r="AE24" s="292"/>
      <c r="AF24" s="294"/>
      <c r="AG24" s="292"/>
      <c r="AH24" s="292"/>
      <c r="AI24" s="292"/>
      <c r="AJ24" s="292">
        <v>7268473.4019999998</v>
      </c>
      <c r="AK24" s="292"/>
      <c r="AL24" s="292"/>
      <c r="AM24" s="292"/>
      <c r="AN24" s="292"/>
    </row>
    <row r="25" spans="1:40" ht="26.1" customHeight="1" x14ac:dyDescent="0.2">
      <c r="A25" s="762">
        <v>19</v>
      </c>
      <c r="B25" s="645">
        <v>7259600</v>
      </c>
      <c r="C25" s="292"/>
      <c r="D25" s="292"/>
      <c r="E25" s="292">
        <v>60</v>
      </c>
      <c r="F25" s="292">
        <v>3054.3</v>
      </c>
      <c r="G25" s="292">
        <v>68209</v>
      </c>
      <c r="H25" s="293"/>
      <c r="I25" s="294">
        <v>376411</v>
      </c>
      <c r="J25" s="292">
        <v>946249</v>
      </c>
      <c r="K25" s="293">
        <v>468000</v>
      </c>
      <c r="L25" s="292"/>
      <c r="M25" s="295"/>
      <c r="N25" s="294">
        <v>1135.04</v>
      </c>
      <c r="O25" s="296">
        <v>173584</v>
      </c>
      <c r="P25" s="297">
        <v>9678</v>
      </c>
      <c r="Q25" s="292">
        <v>892172</v>
      </c>
      <c r="R25" s="292"/>
      <c r="S25" s="292">
        <v>37426</v>
      </c>
      <c r="T25" s="292"/>
      <c r="U25" s="292">
        <v>20677</v>
      </c>
      <c r="V25" s="298">
        <v>1286463</v>
      </c>
      <c r="W25" s="292"/>
      <c r="X25" s="299">
        <v>31612</v>
      </c>
      <c r="Y25" s="292">
        <v>29896</v>
      </c>
      <c r="Z25" s="292">
        <v>5819</v>
      </c>
      <c r="AA25" s="292">
        <v>97122</v>
      </c>
      <c r="AB25" s="292"/>
      <c r="AC25" s="292">
        <v>39516</v>
      </c>
      <c r="AD25" s="292">
        <v>259025</v>
      </c>
      <c r="AE25" s="292"/>
      <c r="AF25" s="294"/>
      <c r="AG25" s="292"/>
      <c r="AH25" s="292"/>
      <c r="AI25" s="292"/>
      <c r="AJ25" s="292">
        <v>7268492.1849999996</v>
      </c>
      <c r="AK25" s="292"/>
      <c r="AL25" s="292"/>
      <c r="AM25" s="292"/>
      <c r="AN25" s="292"/>
    </row>
    <row r="26" spans="1:40" ht="26.1" customHeight="1" x14ac:dyDescent="0.2">
      <c r="A26" s="762">
        <v>20</v>
      </c>
      <c r="B26" s="645">
        <v>7262811</v>
      </c>
      <c r="C26" s="292"/>
      <c r="D26" s="292"/>
      <c r="E26" s="292">
        <v>60</v>
      </c>
      <c r="F26" s="292">
        <v>3075.8</v>
      </c>
      <c r="G26" s="292">
        <v>68209</v>
      </c>
      <c r="H26" s="293"/>
      <c r="I26" s="294">
        <v>381415</v>
      </c>
      <c r="J26" s="292">
        <v>950967</v>
      </c>
      <c r="K26" s="293">
        <v>468000</v>
      </c>
      <c r="L26" s="292"/>
      <c r="M26" s="295"/>
      <c r="N26" s="294">
        <v>1180.95</v>
      </c>
      <c r="O26" s="296">
        <v>173959</v>
      </c>
      <c r="P26" s="297">
        <v>9762</v>
      </c>
      <c r="Q26" s="292">
        <v>892368</v>
      </c>
      <c r="R26" s="292"/>
      <c r="S26" s="292">
        <v>37668</v>
      </c>
      <c r="T26" s="292"/>
      <c r="U26" s="292">
        <v>20677</v>
      </c>
      <c r="V26" s="298">
        <v>1286553</v>
      </c>
      <c r="W26" s="292"/>
      <c r="X26" s="299">
        <v>31643</v>
      </c>
      <c r="Y26" s="292">
        <v>29969</v>
      </c>
      <c r="Z26" s="292">
        <v>5851</v>
      </c>
      <c r="AA26" s="292">
        <v>97122</v>
      </c>
      <c r="AB26" s="292"/>
      <c r="AC26" s="292">
        <v>39540</v>
      </c>
      <c r="AD26" s="292">
        <v>259025</v>
      </c>
      <c r="AE26" s="292"/>
      <c r="AF26" s="294"/>
      <c r="AG26" s="292"/>
      <c r="AH26" s="292"/>
      <c r="AI26" s="292"/>
      <c r="AJ26" s="292">
        <v>7268492.1849999996</v>
      </c>
      <c r="AK26" s="292"/>
      <c r="AL26" s="292"/>
      <c r="AM26" s="292"/>
      <c r="AN26" s="292"/>
    </row>
    <row r="27" spans="1:40" ht="26.1" customHeight="1" x14ac:dyDescent="0.2">
      <c r="A27" s="762">
        <v>21</v>
      </c>
      <c r="B27" s="645">
        <v>7265830</v>
      </c>
      <c r="C27" s="292"/>
      <c r="D27" s="292"/>
      <c r="E27" s="292">
        <v>60</v>
      </c>
      <c r="F27" s="292">
        <v>3097</v>
      </c>
      <c r="G27" s="292">
        <v>68209</v>
      </c>
      <c r="H27" s="293"/>
      <c r="I27" s="294">
        <v>385993</v>
      </c>
      <c r="J27" s="292">
        <v>952280</v>
      </c>
      <c r="K27" s="293">
        <v>468000</v>
      </c>
      <c r="L27" s="292"/>
      <c r="M27" s="295"/>
      <c r="N27" s="294">
        <v>1213</v>
      </c>
      <c r="O27" s="296">
        <v>174022</v>
      </c>
      <c r="P27" s="297">
        <v>10016</v>
      </c>
      <c r="Q27" s="292">
        <v>892556</v>
      </c>
      <c r="R27" s="292"/>
      <c r="S27" s="292">
        <v>37859</v>
      </c>
      <c r="T27" s="292"/>
      <c r="U27" s="292">
        <v>20677</v>
      </c>
      <c r="V27" s="298">
        <v>1286820</v>
      </c>
      <c r="W27" s="292"/>
      <c r="X27" s="299">
        <v>31686</v>
      </c>
      <c r="Y27" s="292">
        <v>30045</v>
      </c>
      <c r="Z27" s="292">
        <v>5881</v>
      </c>
      <c r="AA27" s="292">
        <v>97122</v>
      </c>
      <c r="AB27" s="292"/>
      <c r="AC27" s="292">
        <v>39563</v>
      </c>
      <c r="AD27" s="292">
        <v>259025</v>
      </c>
      <c r="AE27" s="292"/>
      <c r="AF27" s="294"/>
      <c r="AG27" s="292"/>
      <c r="AH27" s="292"/>
      <c r="AI27" s="292"/>
      <c r="AJ27" s="292">
        <v>7268492</v>
      </c>
      <c r="AK27" s="292"/>
      <c r="AL27" s="292"/>
      <c r="AM27" s="292"/>
      <c r="AN27" s="292"/>
    </row>
    <row r="28" spans="1:40" ht="26.1" customHeight="1" x14ac:dyDescent="0.2">
      <c r="A28" s="762">
        <v>22</v>
      </c>
      <c r="B28" s="645">
        <v>7267100</v>
      </c>
      <c r="C28" s="292"/>
      <c r="D28" s="292"/>
      <c r="E28" s="292">
        <v>60</v>
      </c>
      <c r="F28" s="292">
        <v>3106.8</v>
      </c>
      <c r="G28" s="292">
        <v>68209</v>
      </c>
      <c r="H28" s="293"/>
      <c r="I28" s="294">
        <v>389957</v>
      </c>
      <c r="J28" s="292">
        <v>959012</v>
      </c>
      <c r="K28" s="293">
        <v>468000</v>
      </c>
      <c r="L28" s="292"/>
      <c r="M28" s="295"/>
      <c r="N28" s="294">
        <v>1219.3499999999999</v>
      </c>
      <c r="O28" s="296">
        <v>174058</v>
      </c>
      <c r="P28" s="297">
        <v>10187</v>
      </c>
      <c r="Q28" s="292">
        <v>892670</v>
      </c>
      <c r="R28" s="292"/>
      <c r="S28" s="292">
        <v>37949</v>
      </c>
      <c r="T28" s="292"/>
      <c r="U28" s="292">
        <v>20677</v>
      </c>
      <c r="V28" s="298">
        <v>1287001</v>
      </c>
      <c r="W28" s="292"/>
      <c r="X28" s="299">
        <v>31703</v>
      </c>
      <c r="Y28" s="292">
        <v>30083</v>
      </c>
      <c r="Z28" s="292">
        <v>5890</v>
      </c>
      <c r="AA28" s="292">
        <v>97122</v>
      </c>
      <c r="AB28" s="292"/>
      <c r="AC28" s="292">
        <v>39568</v>
      </c>
      <c r="AD28" s="292">
        <v>259025</v>
      </c>
      <c r="AE28" s="292"/>
      <c r="AF28" s="294"/>
      <c r="AG28" s="292"/>
      <c r="AH28" s="292"/>
      <c r="AI28" s="292"/>
      <c r="AJ28" s="292">
        <v>7268492.1849999996</v>
      </c>
      <c r="AK28" s="292"/>
      <c r="AL28" s="292"/>
      <c r="AM28" s="292"/>
      <c r="AN28" s="292"/>
    </row>
    <row r="29" spans="1:40" ht="26.1" customHeight="1" x14ac:dyDescent="0.2">
      <c r="A29" s="762">
        <v>23</v>
      </c>
      <c r="B29" s="645">
        <v>7267320</v>
      </c>
      <c r="C29" s="292"/>
      <c r="D29" s="292"/>
      <c r="E29" s="292">
        <v>60</v>
      </c>
      <c r="F29" s="292">
        <v>3108.5</v>
      </c>
      <c r="G29" s="292">
        <v>68209</v>
      </c>
      <c r="H29" s="293"/>
      <c r="I29" s="294">
        <v>392305</v>
      </c>
      <c r="J29" s="292">
        <v>961206</v>
      </c>
      <c r="K29" s="293">
        <v>468000</v>
      </c>
      <c r="L29" s="292"/>
      <c r="M29" s="295"/>
      <c r="N29" s="294">
        <v>1219.3499999999999</v>
      </c>
      <c r="O29" s="296">
        <v>174058</v>
      </c>
      <c r="P29" s="297">
        <v>10187</v>
      </c>
      <c r="Q29" s="292">
        <v>892670</v>
      </c>
      <c r="R29" s="292"/>
      <c r="S29" s="292">
        <v>37949</v>
      </c>
      <c r="T29" s="292"/>
      <c r="U29" s="292">
        <v>20677</v>
      </c>
      <c r="V29" s="298">
        <v>1287001</v>
      </c>
      <c r="W29" s="292"/>
      <c r="X29" s="299">
        <v>31703</v>
      </c>
      <c r="Y29" s="292">
        <v>30083</v>
      </c>
      <c r="Z29" s="292">
        <v>5901</v>
      </c>
      <c r="AA29" s="292">
        <v>97122</v>
      </c>
      <c r="AB29" s="292"/>
      <c r="AC29" s="292">
        <v>39568</v>
      </c>
      <c r="AD29" s="292">
        <v>259025</v>
      </c>
      <c r="AE29" s="292"/>
      <c r="AF29" s="294"/>
      <c r="AG29" s="292"/>
      <c r="AH29" s="292"/>
      <c r="AI29" s="292"/>
      <c r="AJ29" s="292">
        <v>7268508.4390000002</v>
      </c>
      <c r="AK29" s="292"/>
      <c r="AL29" s="292"/>
      <c r="AM29" s="292"/>
      <c r="AN29" s="292"/>
    </row>
    <row r="30" spans="1:40" ht="26.1" customHeight="1" x14ac:dyDescent="0.2">
      <c r="A30" s="762">
        <v>24</v>
      </c>
      <c r="B30" s="645">
        <v>7268120</v>
      </c>
      <c r="C30" s="292"/>
      <c r="D30" s="292"/>
      <c r="E30" s="292">
        <v>60</v>
      </c>
      <c r="F30" s="292">
        <v>3122.9</v>
      </c>
      <c r="G30" s="292">
        <v>68209</v>
      </c>
      <c r="H30" s="293"/>
      <c r="I30" s="294">
        <v>394687</v>
      </c>
      <c r="J30" s="292">
        <v>963458</v>
      </c>
      <c r="K30" s="293">
        <v>468000</v>
      </c>
      <c r="L30" s="292"/>
      <c r="M30" s="295"/>
      <c r="N30" s="294">
        <v>1219.3499999999999</v>
      </c>
      <c r="O30" s="296">
        <v>174058</v>
      </c>
      <c r="P30" s="297">
        <v>10321</v>
      </c>
      <c r="Q30" s="292">
        <v>892737</v>
      </c>
      <c r="R30" s="292"/>
      <c r="S30" s="292">
        <v>37949</v>
      </c>
      <c r="T30" s="292"/>
      <c r="U30" s="292">
        <v>20677</v>
      </c>
      <c r="V30" s="298">
        <v>1287142</v>
      </c>
      <c r="W30" s="292"/>
      <c r="X30" s="299">
        <v>31703</v>
      </c>
      <c r="Y30" s="292">
        <v>30116</v>
      </c>
      <c r="Z30" s="292">
        <v>5901</v>
      </c>
      <c r="AA30" s="292">
        <v>97122</v>
      </c>
      <c r="AB30" s="292"/>
      <c r="AC30" s="292">
        <v>39568</v>
      </c>
      <c r="AD30" s="292">
        <v>259025</v>
      </c>
      <c r="AE30" s="292"/>
      <c r="AF30" s="294"/>
      <c r="AG30" s="292"/>
      <c r="AH30" s="292"/>
      <c r="AI30" s="292"/>
      <c r="AJ30" s="292">
        <v>7268509.5279999999</v>
      </c>
      <c r="AK30" s="292"/>
      <c r="AL30" s="292"/>
      <c r="AM30" s="292"/>
      <c r="AN30" s="292"/>
    </row>
    <row r="31" spans="1:40" ht="26.1" customHeight="1" x14ac:dyDescent="0.2">
      <c r="A31" s="762">
        <v>25</v>
      </c>
      <c r="B31" s="645">
        <v>7270870</v>
      </c>
      <c r="C31" s="292"/>
      <c r="D31" s="292"/>
      <c r="E31" s="292">
        <v>60</v>
      </c>
      <c r="F31" s="292">
        <v>3132.7</v>
      </c>
      <c r="G31" s="292">
        <v>68209</v>
      </c>
      <c r="H31" s="293"/>
      <c r="I31" s="294">
        <v>398013</v>
      </c>
      <c r="J31" s="292">
        <v>966588</v>
      </c>
      <c r="K31" s="293">
        <v>468000</v>
      </c>
      <c r="L31" s="292"/>
      <c r="M31" s="295"/>
      <c r="N31" s="294">
        <v>1234.8</v>
      </c>
      <c r="O31" s="296">
        <v>174089</v>
      </c>
      <c r="P31" s="297">
        <v>10528</v>
      </c>
      <c r="Q31" s="292">
        <v>892872</v>
      </c>
      <c r="R31" s="292"/>
      <c r="S31" s="292">
        <v>38098</v>
      </c>
      <c r="T31" s="292"/>
      <c r="U31" s="292">
        <v>20677</v>
      </c>
      <c r="V31" s="298">
        <v>1287362</v>
      </c>
      <c r="W31" s="292"/>
      <c r="X31" s="299">
        <v>31734</v>
      </c>
      <c r="Y31" s="292">
        <v>30176</v>
      </c>
      <c r="Z31" s="292">
        <v>5944</v>
      </c>
      <c r="AA31" s="292">
        <v>97122</v>
      </c>
      <c r="AB31" s="292"/>
      <c r="AC31" s="292">
        <v>39576</v>
      </c>
      <c r="AD31" s="292">
        <v>259025</v>
      </c>
      <c r="AE31" s="292"/>
      <c r="AF31" s="294"/>
      <c r="AG31" s="292"/>
      <c r="AH31" s="292"/>
      <c r="AI31" s="292"/>
      <c r="AJ31" s="292">
        <v>7268509.8839999996</v>
      </c>
      <c r="AK31" s="292"/>
      <c r="AL31" s="292"/>
      <c r="AM31" s="292"/>
      <c r="AN31" s="292"/>
    </row>
    <row r="32" spans="1:40" ht="26.1" customHeight="1" x14ac:dyDescent="0.2">
      <c r="A32" s="762">
        <v>26</v>
      </c>
      <c r="B32" s="645">
        <v>7273970</v>
      </c>
      <c r="C32" s="292"/>
      <c r="D32" s="292"/>
      <c r="E32" s="292">
        <v>60</v>
      </c>
      <c r="F32" s="292">
        <v>3152.9</v>
      </c>
      <c r="G32" s="292">
        <v>68209</v>
      </c>
      <c r="H32" s="293"/>
      <c r="I32" s="294">
        <v>402094</v>
      </c>
      <c r="J32" s="292">
        <v>970434</v>
      </c>
      <c r="K32" s="293">
        <v>468000</v>
      </c>
      <c r="L32" s="292"/>
      <c r="M32" s="295"/>
      <c r="N32" s="294">
        <v>1290.7</v>
      </c>
      <c r="O32" s="296">
        <v>174262</v>
      </c>
      <c r="P32" s="297">
        <v>10651</v>
      </c>
      <c r="Q32" s="292">
        <v>893148</v>
      </c>
      <c r="R32" s="292"/>
      <c r="S32" s="292">
        <v>38258</v>
      </c>
      <c r="T32" s="292"/>
      <c r="U32" s="292">
        <v>20677</v>
      </c>
      <c r="V32" s="298">
        <v>1287486</v>
      </c>
      <c r="W32" s="292"/>
      <c r="X32" s="299">
        <v>31779</v>
      </c>
      <c r="Y32" s="292">
        <v>30319</v>
      </c>
      <c r="Z32" s="292">
        <v>5979</v>
      </c>
      <c r="AA32" s="292">
        <v>97122</v>
      </c>
      <c r="AB32" s="292"/>
      <c r="AC32" s="292">
        <v>39601</v>
      </c>
      <c r="AD32" s="292">
        <v>259025</v>
      </c>
      <c r="AE32" s="292"/>
      <c r="AF32" s="294"/>
      <c r="AG32" s="292"/>
      <c r="AH32" s="292"/>
      <c r="AI32" s="292"/>
      <c r="AJ32" s="292">
        <v>7268509.8839999996</v>
      </c>
      <c r="AK32" s="292"/>
      <c r="AL32" s="292"/>
      <c r="AM32" s="292"/>
      <c r="AN32" s="292"/>
    </row>
    <row r="33" spans="1:47" ht="26.1" customHeight="1" x14ac:dyDescent="0.2">
      <c r="A33" s="762">
        <v>27</v>
      </c>
      <c r="B33" s="645">
        <v>7277170</v>
      </c>
      <c r="C33" s="292"/>
      <c r="D33" s="292"/>
      <c r="E33" s="292">
        <v>60</v>
      </c>
      <c r="F33" s="292">
        <v>3173.1</v>
      </c>
      <c r="G33" s="292">
        <v>68209</v>
      </c>
      <c r="H33" s="293"/>
      <c r="I33" s="294">
        <v>406550</v>
      </c>
      <c r="J33" s="292">
        <v>974630</v>
      </c>
      <c r="K33" s="293">
        <v>468000</v>
      </c>
      <c r="L33" s="292"/>
      <c r="M33" s="295"/>
      <c r="N33" s="294">
        <v>1339.65</v>
      </c>
      <c r="O33" s="296">
        <v>174722</v>
      </c>
      <c r="P33" s="297">
        <v>10807</v>
      </c>
      <c r="Q33" s="292">
        <v>893391</v>
      </c>
      <c r="R33" s="292"/>
      <c r="S33" s="292">
        <v>38524</v>
      </c>
      <c r="T33" s="292"/>
      <c r="U33" s="292">
        <v>20677</v>
      </c>
      <c r="V33" s="298">
        <v>1287651</v>
      </c>
      <c r="W33" s="292"/>
      <c r="X33" s="299">
        <v>31823</v>
      </c>
      <c r="Y33" s="292">
        <v>30427</v>
      </c>
      <c r="Z33" s="292">
        <v>6024</v>
      </c>
      <c r="AA33" s="292">
        <v>97122</v>
      </c>
      <c r="AB33" s="292"/>
      <c r="AC33" s="292">
        <v>39624</v>
      </c>
      <c r="AD33" s="292">
        <v>259021</v>
      </c>
      <c r="AE33" s="292"/>
      <c r="AF33" s="294"/>
      <c r="AG33" s="292"/>
      <c r="AH33" s="292"/>
      <c r="AI33" s="292"/>
      <c r="AJ33" s="292">
        <v>7268510.0460000001</v>
      </c>
      <c r="AK33" s="292"/>
      <c r="AL33" s="292"/>
      <c r="AM33" s="292"/>
      <c r="AN33" s="292"/>
    </row>
    <row r="34" spans="1:47" ht="26.1" customHeight="1" x14ac:dyDescent="0.2">
      <c r="A34" s="762">
        <v>28</v>
      </c>
      <c r="B34" s="645">
        <v>7278032</v>
      </c>
      <c r="C34" s="292"/>
      <c r="D34" s="292"/>
      <c r="E34" s="292">
        <v>60</v>
      </c>
      <c r="F34" s="292">
        <v>3193.5</v>
      </c>
      <c r="G34" s="292">
        <v>68209</v>
      </c>
      <c r="H34" s="293"/>
      <c r="I34" s="294">
        <v>410695</v>
      </c>
      <c r="J34" s="292">
        <v>978536</v>
      </c>
      <c r="K34" s="293">
        <v>468000</v>
      </c>
      <c r="L34" s="292"/>
      <c r="M34" s="295"/>
      <c r="N34" s="294">
        <v>1386.86</v>
      </c>
      <c r="O34" s="296">
        <v>174774</v>
      </c>
      <c r="P34" s="297">
        <v>11089</v>
      </c>
      <c r="Q34" s="292">
        <v>893631</v>
      </c>
      <c r="R34" s="292"/>
      <c r="S34" s="292">
        <v>38742</v>
      </c>
      <c r="T34" s="292"/>
      <c r="U34" s="292">
        <v>20678</v>
      </c>
      <c r="V34" s="298">
        <v>1287945</v>
      </c>
      <c r="W34" s="292"/>
      <c r="X34" s="299">
        <v>31860</v>
      </c>
      <c r="Y34" s="292">
        <v>30522</v>
      </c>
      <c r="Z34" s="292">
        <v>6071</v>
      </c>
      <c r="AA34" s="292">
        <v>97122</v>
      </c>
      <c r="AB34" s="292"/>
      <c r="AC34" s="292">
        <v>39647</v>
      </c>
      <c r="AD34" s="292">
        <v>259025</v>
      </c>
      <c r="AE34" s="292"/>
      <c r="AF34" s="294"/>
      <c r="AG34" s="292"/>
      <c r="AH34" s="292"/>
      <c r="AI34" s="292"/>
      <c r="AJ34" s="292">
        <v>7268510.0460000001</v>
      </c>
      <c r="AK34" s="292"/>
      <c r="AL34" s="292"/>
      <c r="AM34" s="292"/>
      <c r="AN34" s="292"/>
    </row>
    <row r="35" spans="1:47" ht="26.1" customHeight="1" x14ac:dyDescent="0.2">
      <c r="A35" s="762">
        <v>29</v>
      </c>
      <c r="B35" s="645">
        <v>7282490</v>
      </c>
      <c r="C35" s="292"/>
      <c r="D35" s="292"/>
      <c r="E35" s="292">
        <v>60</v>
      </c>
      <c r="F35" s="292">
        <v>3210.9</v>
      </c>
      <c r="G35" s="292">
        <v>68209</v>
      </c>
      <c r="H35" s="293"/>
      <c r="I35" s="294">
        <v>414280</v>
      </c>
      <c r="J35" s="292">
        <v>981911</v>
      </c>
      <c r="K35" s="293">
        <v>468000</v>
      </c>
      <c r="L35" s="292"/>
      <c r="M35" s="295"/>
      <c r="N35" s="294">
        <v>1401.1</v>
      </c>
      <c r="O35" s="296">
        <v>174941</v>
      </c>
      <c r="P35" s="297">
        <v>11364</v>
      </c>
      <c r="Q35" s="292">
        <v>893852</v>
      </c>
      <c r="R35" s="292"/>
      <c r="S35" s="292">
        <v>38899</v>
      </c>
      <c r="T35" s="292"/>
      <c r="U35" s="292">
        <v>20678</v>
      </c>
      <c r="V35" s="298">
        <v>1288242</v>
      </c>
      <c r="W35" s="292"/>
      <c r="X35" s="299">
        <v>31941</v>
      </c>
      <c r="Y35" s="292">
        <v>30583</v>
      </c>
      <c r="Z35" s="292">
        <v>6115</v>
      </c>
      <c r="AA35" s="292">
        <v>97122</v>
      </c>
      <c r="AB35" s="292"/>
      <c r="AC35" s="292">
        <v>39657</v>
      </c>
      <c r="AD35" s="292">
        <v>259026</v>
      </c>
      <c r="AE35" s="292"/>
      <c r="AF35" s="294"/>
      <c r="AG35" s="292"/>
      <c r="AH35" s="292"/>
      <c r="AI35" s="292"/>
      <c r="AJ35" s="292">
        <v>7268510.0460000001</v>
      </c>
      <c r="AK35" s="292"/>
      <c r="AL35" s="292"/>
      <c r="AM35" s="292"/>
      <c r="AN35" s="292"/>
    </row>
    <row r="36" spans="1:47" ht="26.1" customHeight="1" x14ac:dyDescent="0.2">
      <c r="A36" s="762">
        <v>30</v>
      </c>
      <c r="B36" s="645">
        <v>7283070</v>
      </c>
      <c r="C36" s="292"/>
      <c r="D36" s="292"/>
      <c r="E36" s="292">
        <v>60</v>
      </c>
      <c r="F36" s="292">
        <v>3215.6</v>
      </c>
      <c r="G36" s="292">
        <v>68209</v>
      </c>
      <c r="H36" s="293"/>
      <c r="I36" s="294">
        <v>416675</v>
      </c>
      <c r="J36" s="292">
        <v>984164</v>
      </c>
      <c r="K36" s="293">
        <v>468000</v>
      </c>
      <c r="L36" s="292"/>
      <c r="M36" s="295"/>
      <c r="N36" s="294">
        <v>1401.1</v>
      </c>
      <c r="O36" s="296">
        <v>174941</v>
      </c>
      <c r="P36" s="297">
        <v>11521</v>
      </c>
      <c r="Q36" s="292">
        <v>893889</v>
      </c>
      <c r="R36" s="292"/>
      <c r="S36" s="292">
        <v>38928</v>
      </c>
      <c r="T36" s="292"/>
      <c r="U36" s="292">
        <v>20678</v>
      </c>
      <c r="V36" s="298">
        <v>1288403</v>
      </c>
      <c r="W36" s="292"/>
      <c r="X36" s="299">
        <v>31959</v>
      </c>
      <c r="Y36" s="292">
        <v>30583</v>
      </c>
      <c r="Z36" s="292">
        <v>6145</v>
      </c>
      <c r="AA36" s="292">
        <v>97122</v>
      </c>
      <c r="AB36" s="292"/>
      <c r="AC36" s="292">
        <v>39657</v>
      </c>
      <c r="AD36" s="292">
        <v>259026</v>
      </c>
      <c r="AE36" s="292"/>
      <c r="AF36" s="294"/>
      <c r="AG36" s="292"/>
      <c r="AH36" s="292"/>
      <c r="AI36" s="300"/>
      <c r="AJ36" s="301">
        <v>7268516.8169999998</v>
      </c>
      <c r="AK36" s="766"/>
      <c r="AL36" s="738"/>
      <c r="AM36" s="738"/>
      <c r="AN36" s="738"/>
    </row>
    <row r="37" spans="1:47" ht="26.1" customHeight="1" x14ac:dyDescent="0.2">
      <c r="A37" s="762">
        <v>31</v>
      </c>
      <c r="B37" s="645">
        <v>7283880</v>
      </c>
      <c r="C37" s="292"/>
      <c r="D37" s="292"/>
      <c r="E37" s="292">
        <v>60</v>
      </c>
      <c r="F37" s="292">
        <v>3219.6</v>
      </c>
      <c r="G37" s="292">
        <v>68209</v>
      </c>
      <c r="H37" s="293"/>
      <c r="I37" s="294">
        <v>419161</v>
      </c>
      <c r="J37" s="292">
        <v>986503</v>
      </c>
      <c r="K37" s="293">
        <v>468000</v>
      </c>
      <c r="L37" s="292"/>
      <c r="M37" s="295"/>
      <c r="N37" s="294">
        <v>1401.1</v>
      </c>
      <c r="O37" s="292">
        <v>174941</v>
      </c>
      <c r="P37" s="297">
        <v>11521</v>
      </c>
      <c r="Q37" s="292">
        <v>893902</v>
      </c>
      <c r="R37" s="292"/>
      <c r="S37" s="292">
        <v>38928</v>
      </c>
      <c r="T37" s="292"/>
      <c r="U37" s="292">
        <v>20678</v>
      </c>
      <c r="V37" s="298">
        <v>1288403</v>
      </c>
      <c r="W37" s="292"/>
      <c r="X37" s="299">
        <v>31959</v>
      </c>
      <c r="Y37" s="292">
        <v>30583</v>
      </c>
      <c r="Z37" s="292">
        <v>6165</v>
      </c>
      <c r="AA37" s="292">
        <v>97122</v>
      </c>
      <c r="AB37" s="292"/>
      <c r="AC37" s="292">
        <v>39657</v>
      </c>
      <c r="AD37" s="292">
        <v>259026</v>
      </c>
      <c r="AE37" s="292"/>
      <c r="AF37" s="294"/>
      <c r="AG37" s="292"/>
      <c r="AH37" s="292"/>
      <c r="AI37" s="300"/>
      <c r="AJ37" s="767">
        <v>7268516.8169999998</v>
      </c>
      <c r="AK37" s="768"/>
      <c r="AL37" s="769"/>
      <c r="AM37" s="769"/>
      <c r="AN37" s="770"/>
    </row>
    <row r="38" spans="1:47" ht="26.1" customHeight="1" x14ac:dyDescent="0.2">
      <c r="A38" s="762">
        <v>1</v>
      </c>
      <c r="B38" s="645">
        <v>7286550</v>
      </c>
      <c r="C38" s="292"/>
      <c r="D38" s="292"/>
      <c r="E38" s="292">
        <v>60</v>
      </c>
      <c r="F38" s="292">
        <v>3237.2</v>
      </c>
      <c r="G38" s="292">
        <v>68209</v>
      </c>
      <c r="H38" s="293"/>
      <c r="I38" s="294">
        <v>423002</v>
      </c>
      <c r="J38" s="292">
        <v>990124</v>
      </c>
      <c r="K38" s="293">
        <v>468000</v>
      </c>
      <c r="L38" s="292"/>
      <c r="M38" s="295"/>
      <c r="N38" s="294">
        <v>1443.16</v>
      </c>
      <c r="O38" s="292">
        <v>175016</v>
      </c>
      <c r="P38" s="297">
        <v>11772</v>
      </c>
      <c r="Q38" s="292">
        <v>894109</v>
      </c>
      <c r="R38" s="292"/>
      <c r="S38" s="292">
        <v>39003</v>
      </c>
      <c r="T38" s="292"/>
      <c r="U38" s="292">
        <v>20678</v>
      </c>
      <c r="V38" s="298">
        <v>1288667</v>
      </c>
      <c r="W38" s="292"/>
      <c r="X38" s="299">
        <v>31994</v>
      </c>
      <c r="Y38" s="292">
        <v>30669</v>
      </c>
      <c r="Z38" s="292">
        <v>6258</v>
      </c>
      <c r="AA38" s="292">
        <v>97122</v>
      </c>
      <c r="AB38" s="292"/>
      <c r="AC38" s="294">
        <v>39679</v>
      </c>
      <c r="AD38" s="292">
        <v>259026</v>
      </c>
      <c r="AE38" s="292"/>
      <c r="AF38" s="294"/>
      <c r="AG38" s="292"/>
      <c r="AH38" s="292"/>
      <c r="AI38" s="300"/>
      <c r="AJ38" s="767">
        <v>7268541.2450000001</v>
      </c>
      <c r="AK38" s="768"/>
      <c r="AL38" s="769"/>
      <c r="AM38" s="769"/>
      <c r="AN38" s="770"/>
    </row>
    <row r="39" spans="1:47" x14ac:dyDescent="0.2">
      <c r="B39" s="288"/>
      <c r="C39" s="288"/>
      <c r="G39" s="288"/>
      <c r="I39" s="793"/>
      <c r="J39" s="792"/>
      <c r="R39" s="288"/>
      <c r="S39" s="288"/>
      <c r="T39" s="288"/>
      <c r="U39" s="288"/>
      <c r="V39" s="288"/>
      <c r="W39" s="288"/>
      <c r="Z39" s="288"/>
      <c r="AA39" s="793"/>
      <c r="AB39" s="793"/>
      <c r="AC39" s="288"/>
      <c r="AD39" s="288"/>
      <c r="AI39" s="771"/>
      <c r="AJ39" s="605"/>
    </row>
    <row r="40" spans="1:47" x14ac:dyDescent="0.2">
      <c r="B40" s="288"/>
      <c r="G40" s="288"/>
      <c r="J40" s="288"/>
      <c r="V40" s="287"/>
      <c r="Z40" s="288"/>
      <c r="AA40" s="288"/>
      <c r="AC40" s="288"/>
      <c r="AF40" s="288"/>
      <c r="AG40" s="288"/>
      <c r="AH40" s="288"/>
    </row>
    <row r="41" spans="1:47" x14ac:dyDescent="0.2">
      <c r="B41" s="288"/>
      <c r="G41" s="288"/>
      <c r="I41" s="288"/>
      <c r="J41" s="288"/>
      <c r="K41" s="288"/>
      <c r="M41" s="288"/>
      <c r="O41" s="288"/>
      <c r="P41" s="288"/>
      <c r="Q41" s="288"/>
      <c r="V41" s="287"/>
      <c r="Y41" s="288"/>
      <c r="Z41" s="288"/>
    </row>
    <row r="42" spans="1:47" x14ac:dyDescent="0.2">
      <c r="B42" s="288"/>
      <c r="V42" s="287"/>
    </row>
    <row r="43" spans="1:47" x14ac:dyDescent="0.2">
      <c r="B43" s="288"/>
      <c r="J43" s="772"/>
      <c r="V43" s="287"/>
    </row>
    <row r="44" spans="1:47" x14ac:dyDescent="0.2">
      <c r="H44" s="772"/>
      <c r="J44" s="772"/>
      <c r="V44" s="287"/>
      <c r="AU44" s="287" t="s">
        <v>61</v>
      </c>
    </row>
    <row r="45" spans="1:47" x14ac:dyDescent="0.2">
      <c r="V45" s="287"/>
    </row>
    <row r="46" spans="1:47" x14ac:dyDescent="0.2">
      <c r="I46" s="288"/>
      <c r="J46" s="288"/>
      <c r="V46" s="287"/>
    </row>
    <row r="47" spans="1:47" x14ac:dyDescent="0.2">
      <c r="V47" s="287"/>
    </row>
    <row r="48" spans="1:47" x14ac:dyDescent="0.2">
      <c r="V48" s="287"/>
    </row>
    <row r="49" s="287" customFormat="1" x14ac:dyDescent="0.2"/>
    <row r="50" s="287" customFormat="1" x14ac:dyDescent="0.2"/>
    <row r="51" s="287" customFormat="1" x14ac:dyDescent="0.2"/>
    <row r="52" s="287" customFormat="1" x14ac:dyDescent="0.2"/>
    <row r="53" s="287" customFormat="1" x14ac:dyDescent="0.2"/>
    <row r="54" s="287" customFormat="1" x14ac:dyDescent="0.2"/>
    <row r="55" s="287" customFormat="1" x14ac:dyDescent="0.2"/>
    <row r="56" s="287" customFormat="1" x14ac:dyDescent="0.2"/>
    <row r="57" s="287" customFormat="1" x14ac:dyDescent="0.2"/>
    <row r="58" s="287" customFormat="1" x14ac:dyDescent="0.2"/>
    <row r="59" s="287" customFormat="1" x14ac:dyDescent="0.2"/>
    <row r="60" s="287" customFormat="1" x14ac:dyDescent="0.2"/>
    <row r="61" s="287" customFormat="1" x14ac:dyDescent="0.2"/>
    <row r="62" s="287" customFormat="1" x14ac:dyDescent="0.2"/>
    <row r="63" s="287" customFormat="1" x14ac:dyDescent="0.2"/>
    <row r="64" s="287" customFormat="1" x14ac:dyDescent="0.2"/>
    <row r="65" s="287" customFormat="1" x14ac:dyDescent="0.2"/>
    <row r="66" s="287" customFormat="1" x14ac:dyDescent="0.2"/>
    <row r="67" s="287" customFormat="1" x14ac:dyDescent="0.2"/>
    <row r="68" s="287" customFormat="1" x14ac:dyDescent="0.2"/>
    <row r="69" s="287" customFormat="1" x14ac:dyDescent="0.2"/>
    <row r="70" s="287" customFormat="1" x14ac:dyDescent="0.2"/>
    <row r="71" s="287" customFormat="1" x14ac:dyDescent="0.2"/>
    <row r="72" s="287" customFormat="1" x14ac:dyDescent="0.2"/>
    <row r="73" s="287" customFormat="1" x14ac:dyDescent="0.2"/>
    <row r="74" s="287" customFormat="1" x14ac:dyDescent="0.2"/>
    <row r="75" s="287" customFormat="1" x14ac:dyDescent="0.2"/>
    <row r="76" s="287" customFormat="1" x14ac:dyDescent="0.2"/>
    <row r="77" s="287" customFormat="1" x14ac:dyDescent="0.2"/>
    <row r="78" s="287" customFormat="1" x14ac:dyDescent="0.2"/>
    <row r="79" s="287" customFormat="1" x14ac:dyDescent="0.2"/>
    <row r="80" s="287" customFormat="1" x14ac:dyDescent="0.2"/>
    <row r="81" s="287" customFormat="1" x14ac:dyDescent="0.2"/>
    <row r="82" s="287" customFormat="1" x14ac:dyDescent="0.2"/>
    <row r="83" s="287" customFormat="1" x14ac:dyDescent="0.2"/>
    <row r="84" s="287" customFormat="1" x14ac:dyDescent="0.2"/>
    <row r="85" s="287" customFormat="1" x14ac:dyDescent="0.2"/>
    <row r="86" s="287" customFormat="1" x14ac:dyDescent="0.2"/>
    <row r="87" s="287" customFormat="1" x14ac:dyDescent="0.2"/>
    <row r="88" s="287" customFormat="1" x14ac:dyDescent="0.2"/>
    <row r="89" s="287" customFormat="1" x14ac:dyDescent="0.2"/>
    <row r="90" s="287" customFormat="1" x14ac:dyDescent="0.2"/>
    <row r="91" s="287" customFormat="1" x14ac:dyDescent="0.2"/>
    <row r="92" s="287" customFormat="1" x14ac:dyDescent="0.2"/>
    <row r="93" s="287" customFormat="1" x14ac:dyDescent="0.2"/>
    <row r="94" s="287" customFormat="1" x14ac:dyDescent="0.2"/>
    <row r="95" s="287" customFormat="1" x14ac:dyDescent="0.2"/>
    <row r="96" s="287" customFormat="1" x14ac:dyDescent="0.2"/>
    <row r="97" s="287" customFormat="1" x14ac:dyDescent="0.2"/>
    <row r="98" s="287" customFormat="1" x14ac:dyDescent="0.2"/>
    <row r="99" s="287" customFormat="1" x14ac:dyDescent="0.2"/>
    <row r="100" s="287" customFormat="1" x14ac:dyDescent="0.2"/>
    <row r="101" s="287" customFormat="1" x14ac:dyDescent="0.2"/>
    <row r="102" s="287" customFormat="1" x14ac:dyDescent="0.2"/>
    <row r="103" s="287" customFormat="1" x14ac:dyDescent="0.2"/>
    <row r="104" s="287" customFormat="1" x14ac:dyDescent="0.2"/>
    <row r="105" s="287" customFormat="1" x14ac:dyDescent="0.2"/>
    <row r="106" s="287" customFormat="1" x14ac:dyDescent="0.2"/>
    <row r="107" s="287" customFormat="1" x14ac:dyDescent="0.2"/>
    <row r="108" s="287" customFormat="1" x14ac:dyDescent="0.2"/>
    <row r="109" s="287" customFormat="1" x14ac:dyDescent="0.2"/>
    <row r="110" s="287" customFormat="1" x14ac:dyDescent="0.2"/>
    <row r="111" s="287" customFormat="1" x14ac:dyDescent="0.2"/>
    <row r="112" s="287" customFormat="1" x14ac:dyDescent="0.2"/>
    <row r="113" s="287" customFormat="1" x14ac:dyDescent="0.2"/>
    <row r="114" s="287" customFormat="1" x14ac:dyDescent="0.2"/>
    <row r="115" s="287" customFormat="1" x14ac:dyDescent="0.2"/>
    <row r="116" s="287" customFormat="1" x14ac:dyDescent="0.2"/>
    <row r="117" s="287" customFormat="1" x14ac:dyDescent="0.2"/>
    <row r="118" s="287" customFormat="1" x14ac:dyDescent="0.2"/>
    <row r="119" s="287" customFormat="1" x14ac:dyDescent="0.2"/>
    <row r="120" s="287" customFormat="1" x14ac:dyDescent="0.2"/>
    <row r="121" s="287" customFormat="1" x14ac:dyDescent="0.2"/>
    <row r="122" s="287" customFormat="1" x14ac:dyDescent="0.2"/>
    <row r="123" s="287" customFormat="1" x14ac:dyDescent="0.2"/>
    <row r="124" s="287" customFormat="1" x14ac:dyDescent="0.2"/>
    <row r="125" s="287" customFormat="1" x14ac:dyDescent="0.2"/>
    <row r="126" s="287" customFormat="1" x14ac:dyDescent="0.2"/>
    <row r="127" s="287" customFormat="1" x14ac:dyDescent="0.2"/>
    <row r="128" s="287" customFormat="1" x14ac:dyDescent="0.2"/>
    <row r="129" s="287" customFormat="1" x14ac:dyDescent="0.2"/>
    <row r="130" s="287" customFormat="1" x14ac:dyDescent="0.2"/>
    <row r="131" s="287" customFormat="1" x14ac:dyDescent="0.2"/>
    <row r="132" s="287" customFormat="1" x14ac:dyDescent="0.2"/>
    <row r="133" s="287" customFormat="1" x14ac:dyDescent="0.2"/>
    <row r="134" s="287" customFormat="1" x14ac:dyDescent="0.2"/>
    <row r="135" s="287" customFormat="1" x14ac:dyDescent="0.2"/>
    <row r="136" s="287" customFormat="1" x14ac:dyDescent="0.2"/>
    <row r="137" s="287" customFormat="1" x14ac:dyDescent="0.2"/>
    <row r="138" s="287" customFormat="1" x14ac:dyDescent="0.2"/>
    <row r="139" s="287" customFormat="1" x14ac:dyDescent="0.2"/>
    <row r="140" s="287" customFormat="1" x14ac:dyDescent="0.2"/>
    <row r="141" s="287" customFormat="1" x14ac:dyDescent="0.2"/>
    <row r="142" s="287" customFormat="1" x14ac:dyDescent="0.2"/>
    <row r="143" s="287" customFormat="1" x14ac:dyDescent="0.2"/>
    <row r="144" s="287" customFormat="1" x14ac:dyDescent="0.2"/>
    <row r="145" s="287" customFormat="1" x14ac:dyDescent="0.2"/>
    <row r="146" s="287" customFormat="1" x14ac:dyDescent="0.2"/>
    <row r="147" s="287" customFormat="1" x14ac:dyDescent="0.2"/>
    <row r="148" s="287" customFormat="1" x14ac:dyDescent="0.2"/>
    <row r="149" s="287" customFormat="1" x14ac:dyDescent="0.2"/>
    <row r="150" s="287" customFormat="1" x14ac:dyDescent="0.2"/>
    <row r="151" s="287" customFormat="1" x14ac:dyDescent="0.2"/>
    <row r="152" s="287" customFormat="1" x14ac:dyDescent="0.2"/>
    <row r="153" s="287" customFormat="1" x14ac:dyDescent="0.2"/>
    <row r="154" s="287" customFormat="1" x14ac:dyDescent="0.2"/>
    <row r="155" s="287" customFormat="1" x14ac:dyDescent="0.2"/>
    <row r="156" s="287" customFormat="1" x14ac:dyDescent="0.2"/>
    <row r="157" s="287" customFormat="1" x14ac:dyDescent="0.2"/>
    <row r="158" s="287" customFormat="1" x14ac:dyDescent="0.2"/>
    <row r="159" s="287" customFormat="1" x14ac:dyDescent="0.2"/>
    <row r="160" s="287" customFormat="1" x14ac:dyDescent="0.2"/>
    <row r="161" s="287" customFormat="1" x14ac:dyDescent="0.2"/>
    <row r="162" s="287" customFormat="1" x14ac:dyDescent="0.2"/>
    <row r="163" s="287" customFormat="1" x14ac:dyDescent="0.2"/>
    <row r="164" s="287" customFormat="1" x14ac:dyDescent="0.2"/>
    <row r="165" s="287" customFormat="1" x14ac:dyDescent="0.2"/>
    <row r="166" s="287" customFormat="1" x14ac:dyDescent="0.2"/>
    <row r="167" s="287" customFormat="1" x14ac:dyDescent="0.2"/>
    <row r="168" s="287" customFormat="1" x14ac:dyDescent="0.2"/>
    <row r="169" s="287" customFormat="1" x14ac:dyDescent="0.2"/>
    <row r="170" s="287" customFormat="1" x14ac:dyDescent="0.2"/>
    <row r="171" s="287" customFormat="1" x14ac:dyDescent="0.2"/>
    <row r="172" s="287" customFormat="1" x14ac:dyDescent="0.2"/>
    <row r="173" s="287" customFormat="1" x14ac:dyDescent="0.2"/>
    <row r="174" s="287" customFormat="1" x14ac:dyDescent="0.2"/>
    <row r="175" s="287" customFormat="1" x14ac:dyDescent="0.2"/>
    <row r="176" s="287" customFormat="1" x14ac:dyDescent="0.2"/>
    <row r="177" s="287" customFormat="1" x14ac:dyDescent="0.2"/>
    <row r="178" s="287" customFormat="1" x14ac:dyDescent="0.2"/>
    <row r="179" s="287" customFormat="1" x14ac:dyDescent="0.2"/>
    <row r="180" s="287" customFormat="1" x14ac:dyDescent="0.2"/>
    <row r="181" s="287" customFormat="1" x14ac:dyDescent="0.2"/>
    <row r="182" s="287" customFormat="1" x14ac:dyDescent="0.2"/>
    <row r="183" s="287" customFormat="1" x14ac:dyDescent="0.2"/>
    <row r="184" s="287" customFormat="1" x14ac:dyDescent="0.2"/>
    <row r="185" s="287" customFormat="1" x14ac:dyDescent="0.2"/>
    <row r="186" s="287" customFormat="1" x14ac:dyDescent="0.2"/>
    <row r="187" s="287" customFormat="1" x14ac:dyDescent="0.2"/>
    <row r="188" s="287" customFormat="1" x14ac:dyDescent="0.2"/>
    <row r="189" s="287" customFormat="1" x14ac:dyDescent="0.2"/>
    <row r="190" s="287" customFormat="1" x14ac:dyDescent="0.2"/>
    <row r="191" s="287" customFormat="1" x14ac:dyDescent="0.2"/>
    <row r="192" s="287" customFormat="1" x14ac:dyDescent="0.2"/>
    <row r="193" s="287" customFormat="1" x14ac:dyDescent="0.2"/>
    <row r="194" s="287" customFormat="1" x14ac:dyDescent="0.2"/>
    <row r="195" s="287" customFormat="1" x14ac:dyDescent="0.2"/>
    <row r="196" s="287" customFormat="1" x14ac:dyDescent="0.2"/>
    <row r="197" s="287" customFormat="1" x14ac:dyDescent="0.2"/>
    <row r="198" s="287" customFormat="1" x14ac:dyDescent="0.2"/>
    <row r="199" s="287" customFormat="1" x14ac:dyDescent="0.2"/>
    <row r="200" s="287" customFormat="1" x14ac:dyDescent="0.2"/>
    <row r="201" s="287" customFormat="1" x14ac:dyDescent="0.2"/>
    <row r="202" s="287" customFormat="1" x14ac:dyDescent="0.2"/>
    <row r="203" s="287" customFormat="1" x14ac:dyDescent="0.2"/>
    <row r="204" s="287" customFormat="1" x14ac:dyDescent="0.2"/>
    <row r="205" s="287" customFormat="1" x14ac:dyDescent="0.2"/>
    <row r="206" s="287" customFormat="1" x14ac:dyDescent="0.2"/>
    <row r="207" s="287" customFormat="1" x14ac:dyDescent="0.2"/>
    <row r="208" s="287" customFormat="1" x14ac:dyDescent="0.2"/>
    <row r="209" s="287" customFormat="1" x14ac:dyDescent="0.2"/>
    <row r="210" s="287" customFormat="1" x14ac:dyDescent="0.2"/>
    <row r="211" s="287" customFormat="1" x14ac:dyDescent="0.2"/>
    <row r="212" s="287" customFormat="1" x14ac:dyDescent="0.2"/>
    <row r="213" s="287" customFormat="1" x14ac:dyDescent="0.2"/>
    <row r="214" s="287" customFormat="1" x14ac:dyDescent="0.2"/>
    <row r="215" s="287" customFormat="1" x14ac:dyDescent="0.2"/>
    <row r="216" s="287" customFormat="1" x14ac:dyDescent="0.2"/>
    <row r="217" s="287" customFormat="1" x14ac:dyDescent="0.2"/>
    <row r="218" s="287" customFormat="1" x14ac:dyDescent="0.2"/>
    <row r="219" s="287" customFormat="1" x14ac:dyDescent="0.2"/>
    <row r="220" s="287" customFormat="1" x14ac:dyDescent="0.2"/>
    <row r="221" s="287" customFormat="1" x14ac:dyDescent="0.2"/>
    <row r="222" s="287" customFormat="1" x14ac:dyDescent="0.2"/>
    <row r="223" s="287" customFormat="1" x14ac:dyDescent="0.2"/>
    <row r="224" s="287" customFormat="1" x14ac:dyDescent="0.2"/>
    <row r="225" s="287" customFormat="1" x14ac:dyDescent="0.2"/>
    <row r="226" s="287" customFormat="1" x14ac:dyDescent="0.2"/>
    <row r="227" s="287" customFormat="1" x14ac:dyDescent="0.2"/>
    <row r="228" s="287" customFormat="1" x14ac:dyDescent="0.2"/>
    <row r="229" s="287" customFormat="1" x14ac:dyDescent="0.2"/>
    <row r="230" s="287" customFormat="1" x14ac:dyDescent="0.2"/>
    <row r="231" s="287" customFormat="1" x14ac:dyDescent="0.2"/>
    <row r="232" s="287" customFormat="1" x14ac:dyDescent="0.2"/>
    <row r="233" s="287" customFormat="1" x14ac:dyDescent="0.2"/>
    <row r="234" s="287" customFormat="1" x14ac:dyDescent="0.2"/>
    <row r="235" s="287" customFormat="1" x14ac:dyDescent="0.2"/>
    <row r="236" s="287" customFormat="1" x14ac:dyDescent="0.2"/>
    <row r="237" s="287" customFormat="1" x14ac:dyDescent="0.2"/>
    <row r="238" s="287" customFormat="1" x14ac:dyDescent="0.2"/>
    <row r="239" s="287" customFormat="1" x14ac:dyDescent="0.2"/>
    <row r="240" s="287" customFormat="1" x14ac:dyDescent="0.2"/>
    <row r="241" s="287" customFormat="1" x14ac:dyDescent="0.2"/>
    <row r="242" s="287" customFormat="1" x14ac:dyDescent="0.2"/>
    <row r="243" s="287" customFormat="1" x14ac:dyDescent="0.2"/>
    <row r="244" s="287" customFormat="1" x14ac:dyDescent="0.2"/>
    <row r="245" s="287" customFormat="1" x14ac:dyDescent="0.2"/>
    <row r="246" s="287" customFormat="1" x14ac:dyDescent="0.2"/>
    <row r="247" s="287" customFormat="1" x14ac:dyDescent="0.2"/>
    <row r="248" s="287" customFormat="1" x14ac:dyDescent="0.2"/>
    <row r="249" s="287" customFormat="1" x14ac:dyDescent="0.2"/>
    <row r="250" s="287" customFormat="1" x14ac:dyDescent="0.2"/>
    <row r="251" s="287" customFormat="1" x14ac:dyDescent="0.2"/>
    <row r="252" s="287" customFormat="1" x14ac:dyDescent="0.2"/>
    <row r="253" s="287" customFormat="1" x14ac:dyDescent="0.2"/>
    <row r="254" s="287" customFormat="1" x14ac:dyDescent="0.2"/>
    <row r="255" s="287" customFormat="1" x14ac:dyDescent="0.2"/>
    <row r="256" s="287" customFormat="1" x14ac:dyDescent="0.2"/>
    <row r="257" s="287" customFormat="1" x14ac:dyDescent="0.2"/>
    <row r="258" s="287" customFormat="1" x14ac:dyDescent="0.2"/>
    <row r="259" s="287" customFormat="1" x14ac:dyDescent="0.2"/>
    <row r="260" s="287" customFormat="1" x14ac:dyDescent="0.2"/>
    <row r="261" s="287" customFormat="1" x14ac:dyDescent="0.2"/>
    <row r="262" s="287" customFormat="1" x14ac:dyDescent="0.2"/>
    <row r="263" s="287" customFormat="1" x14ac:dyDescent="0.2"/>
    <row r="264" s="287" customFormat="1" x14ac:dyDescent="0.2"/>
    <row r="265" s="287" customFormat="1" x14ac:dyDescent="0.2"/>
    <row r="266" s="287" customFormat="1" x14ac:dyDescent="0.2"/>
    <row r="267" s="287" customFormat="1" x14ac:dyDescent="0.2"/>
    <row r="268" s="287" customFormat="1" x14ac:dyDescent="0.2"/>
    <row r="269" s="287" customFormat="1" x14ac:dyDescent="0.2"/>
    <row r="270" s="287" customFormat="1" x14ac:dyDescent="0.2"/>
    <row r="271" s="287" customFormat="1" x14ac:dyDescent="0.2"/>
    <row r="272" s="287" customFormat="1" x14ac:dyDescent="0.2"/>
    <row r="273" s="287" customFormat="1" x14ac:dyDescent="0.2"/>
    <row r="274" s="287" customFormat="1" x14ac:dyDescent="0.2"/>
    <row r="275" s="287" customFormat="1" x14ac:dyDescent="0.2"/>
    <row r="276" s="287" customFormat="1" x14ac:dyDescent="0.2"/>
    <row r="277" s="287" customFormat="1" x14ac:dyDescent="0.2"/>
    <row r="278" s="287" customFormat="1" x14ac:dyDescent="0.2"/>
    <row r="279" s="287" customFormat="1" x14ac:dyDescent="0.2"/>
    <row r="280" s="287" customFormat="1" x14ac:dyDescent="0.2"/>
    <row r="281" s="287" customFormat="1" x14ac:dyDescent="0.2"/>
    <row r="282" s="287" customFormat="1" x14ac:dyDescent="0.2"/>
    <row r="283" s="287" customFormat="1" x14ac:dyDescent="0.2"/>
    <row r="284" s="287" customFormat="1" x14ac:dyDescent="0.2"/>
    <row r="285" s="287" customFormat="1" x14ac:dyDescent="0.2"/>
    <row r="286" s="287" customFormat="1" x14ac:dyDescent="0.2"/>
    <row r="287" s="287" customFormat="1" x14ac:dyDescent="0.2"/>
    <row r="288" s="287" customFormat="1" x14ac:dyDescent="0.2"/>
    <row r="289" s="287" customFormat="1" x14ac:dyDescent="0.2"/>
    <row r="290" s="287" customFormat="1" x14ac:dyDescent="0.2"/>
    <row r="291" s="287" customFormat="1" x14ac:dyDescent="0.2"/>
    <row r="292" s="287" customFormat="1" x14ac:dyDescent="0.2"/>
    <row r="293" s="287" customFormat="1" x14ac:dyDescent="0.2"/>
    <row r="294" s="287" customFormat="1" x14ac:dyDescent="0.2"/>
    <row r="295" s="287" customFormat="1" x14ac:dyDescent="0.2"/>
    <row r="296" s="287" customFormat="1" x14ac:dyDescent="0.2"/>
    <row r="297" s="287" customFormat="1" x14ac:dyDescent="0.2"/>
    <row r="298" s="287" customFormat="1" x14ac:dyDescent="0.2"/>
    <row r="299" s="287" customFormat="1" x14ac:dyDescent="0.2"/>
    <row r="300" s="287" customFormat="1" x14ac:dyDescent="0.2"/>
    <row r="301" s="287" customFormat="1" x14ac:dyDescent="0.2"/>
    <row r="302" s="287" customFormat="1" x14ac:dyDescent="0.2"/>
    <row r="303" s="287" customFormat="1" x14ac:dyDescent="0.2"/>
    <row r="304" s="287" customFormat="1" x14ac:dyDescent="0.2"/>
    <row r="305" s="287" customFormat="1" x14ac:dyDescent="0.2"/>
    <row r="306" s="287" customFormat="1" x14ac:dyDescent="0.2"/>
    <row r="307" s="287" customFormat="1" x14ac:dyDescent="0.2"/>
    <row r="308" s="287" customFormat="1" x14ac:dyDescent="0.2"/>
    <row r="309" s="287" customFormat="1" x14ac:dyDescent="0.2"/>
    <row r="310" s="287" customFormat="1" x14ac:dyDescent="0.2"/>
    <row r="311" s="287" customFormat="1" x14ac:dyDescent="0.2"/>
    <row r="312" s="287" customFormat="1" x14ac:dyDescent="0.2"/>
    <row r="313" s="287" customFormat="1" x14ac:dyDescent="0.2"/>
    <row r="314" s="287" customFormat="1" x14ac:dyDescent="0.2"/>
    <row r="315" s="287" customFormat="1" x14ac:dyDescent="0.2"/>
    <row r="316" s="287" customFormat="1" x14ac:dyDescent="0.2"/>
    <row r="317" s="287" customFormat="1" x14ac:dyDescent="0.2"/>
    <row r="318" s="287" customFormat="1" x14ac:dyDescent="0.2"/>
    <row r="319" s="287" customFormat="1" x14ac:dyDescent="0.2"/>
    <row r="320" s="287" customFormat="1" x14ac:dyDescent="0.2"/>
    <row r="321" s="287" customFormat="1" x14ac:dyDescent="0.2"/>
    <row r="322" s="287" customFormat="1" x14ac:dyDescent="0.2"/>
    <row r="323" s="287" customFormat="1" x14ac:dyDescent="0.2"/>
    <row r="324" s="287" customFormat="1" x14ac:dyDescent="0.2"/>
    <row r="325" s="287" customFormat="1" x14ac:dyDescent="0.2"/>
    <row r="326" s="287" customFormat="1" x14ac:dyDescent="0.2"/>
    <row r="327" s="287" customFormat="1" x14ac:dyDescent="0.2"/>
    <row r="328" s="287" customFormat="1" x14ac:dyDescent="0.2"/>
    <row r="329" s="287" customFormat="1" x14ac:dyDescent="0.2"/>
    <row r="330" s="287" customFormat="1" x14ac:dyDescent="0.2"/>
    <row r="331" s="287" customFormat="1" x14ac:dyDescent="0.2"/>
    <row r="332" s="287" customFormat="1" x14ac:dyDescent="0.2"/>
    <row r="333" s="287" customFormat="1" x14ac:dyDescent="0.2"/>
    <row r="334" s="287" customFormat="1" x14ac:dyDescent="0.2"/>
    <row r="335" s="287" customFormat="1" x14ac:dyDescent="0.2"/>
    <row r="336" s="287" customFormat="1" x14ac:dyDescent="0.2"/>
    <row r="337" s="287" customFormat="1" x14ac:dyDescent="0.2"/>
    <row r="338" s="287" customFormat="1" x14ac:dyDescent="0.2"/>
    <row r="339" s="287" customFormat="1" x14ac:dyDescent="0.2"/>
    <row r="340" s="287" customFormat="1" x14ac:dyDescent="0.2"/>
    <row r="341" s="287" customFormat="1" x14ac:dyDescent="0.2"/>
    <row r="342" s="287" customFormat="1" x14ac:dyDescent="0.2"/>
    <row r="343" s="287" customFormat="1" x14ac:dyDescent="0.2"/>
    <row r="344" s="287" customFormat="1" x14ac:dyDescent="0.2"/>
    <row r="345" s="287" customFormat="1" x14ac:dyDescent="0.2"/>
    <row r="346" s="287" customFormat="1" x14ac:dyDescent="0.2"/>
    <row r="347" s="287" customFormat="1" x14ac:dyDescent="0.2"/>
    <row r="348" s="287" customFormat="1" x14ac:dyDescent="0.2"/>
    <row r="349" s="287" customFormat="1" x14ac:dyDescent="0.2"/>
    <row r="350" s="287" customFormat="1" x14ac:dyDescent="0.2"/>
    <row r="351" s="287" customFormat="1" x14ac:dyDescent="0.2"/>
    <row r="352" s="287" customFormat="1" x14ac:dyDescent="0.2"/>
    <row r="353" s="287" customFormat="1" x14ac:dyDescent="0.2"/>
    <row r="354" s="287" customFormat="1" x14ac:dyDescent="0.2"/>
    <row r="355" s="287" customFormat="1" x14ac:dyDescent="0.2"/>
    <row r="356" s="287" customFormat="1" x14ac:dyDescent="0.2"/>
    <row r="357" s="287" customFormat="1" x14ac:dyDescent="0.2"/>
    <row r="358" s="287" customFormat="1" x14ac:dyDescent="0.2"/>
    <row r="359" s="287" customFormat="1" x14ac:dyDescent="0.2"/>
    <row r="360" s="287" customFormat="1" x14ac:dyDescent="0.2"/>
    <row r="361" s="287" customFormat="1" x14ac:dyDescent="0.2"/>
    <row r="362" s="287" customFormat="1" x14ac:dyDescent="0.2"/>
    <row r="363" s="287" customFormat="1" x14ac:dyDescent="0.2"/>
    <row r="364" s="287" customFormat="1" x14ac:dyDescent="0.2"/>
    <row r="365" s="287" customFormat="1" x14ac:dyDescent="0.2"/>
    <row r="366" s="287" customFormat="1" x14ac:dyDescent="0.2"/>
    <row r="367" s="287" customFormat="1" x14ac:dyDescent="0.2"/>
    <row r="368" s="287" customFormat="1" x14ac:dyDescent="0.2"/>
    <row r="369" s="287" customFormat="1" x14ac:dyDescent="0.2"/>
    <row r="370" s="287" customFormat="1" x14ac:dyDescent="0.2"/>
    <row r="371" s="287" customFormat="1" x14ac:dyDescent="0.2"/>
    <row r="372" s="287" customFormat="1" x14ac:dyDescent="0.2"/>
    <row r="373" s="287" customFormat="1" x14ac:dyDescent="0.2"/>
    <row r="374" s="287" customFormat="1" x14ac:dyDescent="0.2"/>
    <row r="375" s="287" customFormat="1" x14ac:dyDescent="0.2"/>
    <row r="376" s="287" customFormat="1" x14ac:dyDescent="0.2"/>
    <row r="377" s="287" customFormat="1" x14ac:dyDescent="0.2"/>
    <row r="378" s="287" customFormat="1" x14ac:dyDescent="0.2"/>
    <row r="379" s="287" customFormat="1" x14ac:dyDescent="0.2"/>
    <row r="380" s="287" customFormat="1" x14ac:dyDescent="0.2"/>
    <row r="381" s="287" customFormat="1" x14ac:dyDescent="0.2"/>
    <row r="382" s="287" customFormat="1" x14ac:dyDescent="0.2"/>
    <row r="383" s="287" customFormat="1" x14ac:dyDescent="0.2"/>
    <row r="384" s="287" customFormat="1" x14ac:dyDescent="0.2"/>
    <row r="385" s="287" customFormat="1" x14ac:dyDescent="0.2"/>
    <row r="386" s="287" customFormat="1" x14ac:dyDescent="0.2"/>
    <row r="387" s="287" customFormat="1" x14ac:dyDescent="0.2"/>
    <row r="388" s="287" customFormat="1" x14ac:dyDescent="0.2"/>
    <row r="389" s="287" customFormat="1" x14ac:dyDescent="0.2"/>
    <row r="390" s="287" customFormat="1" x14ac:dyDescent="0.2"/>
    <row r="391" s="287" customFormat="1" x14ac:dyDescent="0.2"/>
    <row r="392" s="287" customFormat="1" x14ac:dyDescent="0.2"/>
    <row r="393" s="287" customFormat="1" x14ac:dyDescent="0.2"/>
    <row r="394" s="287" customFormat="1" x14ac:dyDescent="0.2"/>
    <row r="395" s="287" customFormat="1" x14ac:dyDescent="0.2"/>
    <row r="396" s="287" customFormat="1" x14ac:dyDescent="0.2"/>
    <row r="397" s="287" customFormat="1" x14ac:dyDescent="0.2"/>
    <row r="398" s="287" customFormat="1" x14ac:dyDescent="0.2"/>
    <row r="399" s="287" customFormat="1" x14ac:dyDescent="0.2"/>
    <row r="400" s="287" customFormat="1" x14ac:dyDescent="0.2"/>
    <row r="401" s="287" customFormat="1" x14ac:dyDescent="0.2"/>
    <row r="402" s="287" customFormat="1" x14ac:dyDescent="0.2"/>
    <row r="403" s="287" customFormat="1" x14ac:dyDescent="0.2"/>
    <row r="404" s="287" customFormat="1" x14ac:dyDescent="0.2"/>
    <row r="405" s="287" customFormat="1" x14ac:dyDescent="0.2"/>
    <row r="406" s="287" customFormat="1" x14ac:dyDescent="0.2"/>
    <row r="407" s="287" customFormat="1" x14ac:dyDescent="0.2"/>
    <row r="408" s="287" customFormat="1" x14ac:dyDescent="0.2"/>
    <row r="409" s="287" customFormat="1" x14ac:dyDescent="0.2"/>
    <row r="410" s="287" customFormat="1" x14ac:dyDescent="0.2"/>
    <row r="411" s="287" customFormat="1" x14ac:dyDescent="0.2"/>
    <row r="412" s="287" customFormat="1" x14ac:dyDescent="0.2"/>
    <row r="413" s="287" customFormat="1" x14ac:dyDescent="0.2"/>
    <row r="414" s="287" customFormat="1" x14ac:dyDescent="0.2"/>
    <row r="415" s="287" customFormat="1" x14ac:dyDescent="0.2"/>
  </sheetData>
  <mergeCells count="28">
    <mergeCell ref="AF4:AF5"/>
    <mergeCell ref="AE4:AE5"/>
    <mergeCell ref="AD4:AD5"/>
    <mergeCell ref="AH3:AH5"/>
    <mergeCell ref="AK3:AN3"/>
    <mergeCell ref="AG3:AG5"/>
    <mergeCell ref="AI3:AI5"/>
    <mergeCell ref="AJ3:AJ5"/>
    <mergeCell ref="I39:J39"/>
    <mergeCell ref="AA39:AB39"/>
    <mergeCell ref="L3:N3"/>
    <mergeCell ref="N4:N5"/>
    <mergeCell ref="S4:S5"/>
    <mergeCell ref="U4:U5"/>
    <mergeCell ref="P4:P5"/>
    <mergeCell ref="W4:W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</mergeCells>
  <phoneticPr fontId="0" type="noConversion"/>
  <conditionalFormatting sqref="B7:E7 G7:AI7 G9:AI17 AK10:AL17 AJ12:AJ17">
    <cfRule type="expression" dxfId="52" priority="7">
      <formula>B7&lt;B6</formula>
    </cfRule>
  </conditionalFormatting>
  <conditionalFormatting sqref="B8:E8 G8:AI8 AJ10:AJ11 H36:J36 L36:M36 O36:T36 V36:Z36 AB36 AD36:AJ36 Q37">
    <cfRule type="expression" dxfId="51" priority="9">
      <formula>B8&lt;#REF!</formula>
    </cfRule>
  </conditionalFormatting>
  <conditionalFormatting sqref="B9:E35 G18:AL35 G36:G37 K36:K37 N36:N37 U36:U37 AA36:AA37 AC36:AC37">
    <cfRule type="expression" dxfId="50" priority="1">
      <formula>B9&lt;B8</formula>
    </cfRule>
  </conditionalFormatting>
  <conditionalFormatting sqref="B36:E36">
    <cfRule type="expression" dxfId="49" priority="1096">
      <formula>B36&lt;#REF!</formula>
    </cfRule>
  </conditionalFormatting>
  <conditionalFormatting sqref="B37:E38">
    <cfRule type="expression" dxfId="48" priority="6">
      <formula>B37&lt;B36</formula>
    </cfRule>
  </conditionalFormatting>
  <conditionalFormatting sqref="H37:J37 L37:M37 O37:P37 R37:T37 V37:Z37 AB37 AD37:AJ37 G38:AJ38">
    <cfRule type="expression" dxfId="47" priority="5">
      <formula>G37&lt;G36</formula>
    </cfRule>
  </conditionalFormatting>
  <conditionalFormatting sqref="O6 R6">
    <cfRule type="expression" dxfId="46" priority="42">
      <formula>O6&lt;O5</formula>
    </cfRule>
  </conditionalFormatting>
  <conditionalFormatting sqref="AA7:AA37 F7:F38">
    <cfRule type="expression" dxfId="45" priority="2">
      <formula>F7&lt;#REF!</formula>
    </cfRule>
  </conditionalFormatting>
  <conditionalFormatting sqref="AJ7:AJ9">
    <cfRule type="expression" dxfId="44" priority="1132">
      <formula>AJ7&lt;AJ4</formula>
    </cfRule>
  </conditionalFormatting>
  <conditionalFormatting sqref="AM10:AM35">
    <cfRule type="expression" dxfId="43" priority="3">
      <formula>AM10&lt;#REF!</formula>
    </cfRule>
  </conditionalFormatting>
  <conditionalFormatting sqref="AN10:AN35">
    <cfRule type="expression" dxfId="42" priority="4">
      <formula>AN10&lt;AN9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9" max="38" man="1"/>
  </rowBreaks>
  <colBreaks count="1" manualBreakCount="1">
    <brk id="37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U45"/>
  <sheetViews>
    <sheetView showGridLines="0" topLeftCell="A7" zoomScale="80" zoomScaleSheetLayoutView="100" workbookViewId="0">
      <pane xSplit="1" ySplit="3" topLeftCell="B12" activePane="bottomRight" state="frozen"/>
      <selection activeCell="A7" sqref="A7"/>
      <selection pane="topRight" activeCell="B7" sqref="B7"/>
      <selection pane="bottomLeft" activeCell="A10" sqref="A10"/>
      <selection pane="bottomRight" activeCell="F46" sqref="F46"/>
    </sheetView>
  </sheetViews>
  <sheetFormatPr defaultRowHeight="12.75" x14ac:dyDescent="0.2"/>
  <cols>
    <col min="1" max="1" width="8.28515625" bestFit="1" customWidth="1"/>
    <col min="2" max="4" width="15.5703125" customWidth="1"/>
    <col min="5" max="5" width="13.5703125" customWidth="1"/>
    <col min="6" max="6" width="13.42578125" customWidth="1"/>
    <col min="7" max="7" width="13.5703125" customWidth="1"/>
    <col min="9" max="9" width="13.5703125" customWidth="1"/>
  </cols>
  <sheetData>
    <row r="2" spans="1:21" x14ac:dyDescent="0.2">
      <c r="F2" s="14" t="s">
        <v>1</v>
      </c>
    </row>
    <row r="3" spans="1:21" x14ac:dyDescent="0.2">
      <c r="F3" s="1" t="s">
        <v>0</v>
      </c>
    </row>
    <row r="5" spans="1:21" x14ac:dyDescent="0.2">
      <c r="A5" s="1" t="s">
        <v>2</v>
      </c>
      <c r="E5" s="3">
        <v>39295</v>
      </c>
      <c r="G5" s="3"/>
    </row>
    <row r="6" spans="1:21" ht="13.5" thickBot="1" x14ac:dyDescent="0.25"/>
    <row r="7" spans="1:21" ht="13.5" thickBot="1" x14ac:dyDescent="0.25">
      <c r="A7" s="42" t="s">
        <v>7</v>
      </c>
      <c r="B7" s="812" t="s">
        <v>295</v>
      </c>
      <c r="C7" s="812" t="s">
        <v>296</v>
      </c>
      <c r="D7" s="812" t="s">
        <v>297</v>
      </c>
      <c r="E7" s="44" t="s">
        <v>3</v>
      </c>
      <c r="F7" s="44" t="s">
        <v>4</v>
      </c>
      <c r="G7" s="44" t="s">
        <v>56</v>
      </c>
      <c r="H7" s="562" t="s">
        <v>17</v>
      </c>
      <c r="I7" s="48"/>
      <c r="J7" s="49"/>
      <c r="K7" s="49"/>
      <c r="L7" s="50"/>
      <c r="M7" s="809" t="s">
        <v>11</v>
      </c>
      <c r="N7" s="810"/>
      <c r="O7" s="810"/>
      <c r="P7" s="811"/>
      <c r="Q7" s="57"/>
      <c r="R7" s="58"/>
      <c r="S7" s="2"/>
      <c r="T7" s="2"/>
      <c r="U7" s="2"/>
    </row>
    <row r="8" spans="1:21" x14ac:dyDescent="0.2">
      <c r="A8" s="45"/>
      <c r="B8" s="813"/>
      <c r="C8" s="813"/>
      <c r="D8" s="813"/>
      <c r="E8" s="44"/>
      <c r="F8" s="44"/>
      <c r="G8" s="44"/>
      <c r="H8" s="51"/>
      <c r="I8" s="52"/>
      <c r="J8" s="52"/>
      <c r="K8" s="52"/>
      <c r="L8" s="44"/>
      <c r="M8" s="51" t="s">
        <v>14</v>
      </c>
      <c r="N8" s="52" t="s">
        <v>15</v>
      </c>
      <c r="O8" s="48" t="s">
        <v>9</v>
      </c>
      <c r="P8" s="52" t="s">
        <v>70</v>
      </c>
      <c r="Q8" s="807" t="s">
        <v>54</v>
      </c>
      <c r="R8" s="808"/>
      <c r="S8" s="2"/>
      <c r="T8" s="2"/>
      <c r="U8" s="2"/>
    </row>
    <row r="9" spans="1:21" ht="13.5" thickBot="1" x14ac:dyDescent="0.25">
      <c r="A9" s="46"/>
      <c r="B9" s="47" t="s">
        <v>63</v>
      </c>
      <c r="C9" s="47" t="s">
        <v>63</v>
      </c>
      <c r="D9" s="47" t="s">
        <v>63</v>
      </c>
      <c r="E9" s="47" t="s">
        <v>64</v>
      </c>
      <c r="F9" s="47" t="s">
        <v>65</v>
      </c>
      <c r="G9" s="47" t="s">
        <v>69</v>
      </c>
      <c r="H9" s="53" t="s">
        <v>5</v>
      </c>
      <c r="I9" s="54" t="s">
        <v>6</v>
      </c>
      <c r="J9" s="54" t="s">
        <v>8</v>
      </c>
      <c r="K9" s="54" t="s">
        <v>10</v>
      </c>
      <c r="L9" s="55" t="s">
        <v>12</v>
      </c>
      <c r="M9" s="53" t="s">
        <v>13</v>
      </c>
      <c r="N9" s="54" t="s">
        <v>68</v>
      </c>
      <c r="O9" s="56" t="s">
        <v>16</v>
      </c>
      <c r="P9" s="54" t="s">
        <v>71</v>
      </c>
      <c r="Q9" s="43"/>
      <c r="R9" s="59"/>
      <c r="S9" s="2"/>
      <c r="T9" s="2"/>
      <c r="U9" s="2"/>
    </row>
    <row r="10" spans="1:21" s="39" customFormat="1" ht="15.75" thickBot="1" x14ac:dyDescent="0.25">
      <c r="A10" s="37">
        <v>1</v>
      </c>
      <c r="B10" s="722">
        <f>IF(('Entries March.''25'!I8-'Entries March.''25'!I7)+('Entries March.''25'!J8-'Entries March.''25'!J7)&lt;1,"0",('Entries March.''25'!I8-'Entries March.''25'!I7)+('Entries March.''25'!J8-'Entries March.''25'!J7))</f>
        <v>4482</v>
      </c>
      <c r="C10" s="729" t="str">
        <f>IF('Entries March.''25'!K8-'Entries March.''25'!K7&lt;=0,"0",'Entries March.''25'!K8-'Entries March.''25'!K7)</f>
        <v>0</v>
      </c>
      <c r="D10" s="722">
        <f>B10+C10</f>
        <v>4482</v>
      </c>
      <c r="E10" s="729">
        <f>'Water '!$S7</f>
        <v>-100</v>
      </c>
      <c r="F10" s="722">
        <f>IF('Entries March.''25'!B8-'Entries March.''25'!B7&lt;1,"0",'Entries March.''25'!B8-'Entries March.''25'!B7)</f>
        <v>410</v>
      </c>
      <c r="G10" s="723" t="str">
        <f>'CO2'!B7</f>
        <v>0</v>
      </c>
      <c r="H10" s="730">
        <f>+'PROD.FIG. '!F5</f>
        <v>0</v>
      </c>
      <c r="I10" s="730">
        <f>+'PROD.FIG. '!C5</f>
        <v>0</v>
      </c>
      <c r="J10" s="730">
        <f>+'PROD.FIG. '!D5</f>
        <v>0</v>
      </c>
      <c r="K10" s="730">
        <f>+'PROD.FIG. '!E5</f>
        <v>0</v>
      </c>
      <c r="L10" s="731"/>
      <c r="M10" s="726">
        <f>IF(SUM($I10:$J10)&lt;1,0,B10/SUM($I10:$J10))</f>
        <v>0</v>
      </c>
      <c r="N10" s="726">
        <f t="shared" ref="N10:N40" si="0">IF(SUM($I10:$J10)&lt;1,0,E10/SUM($I10:$J10))</f>
        <v>0</v>
      </c>
      <c r="O10" s="726">
        <f t="shared" ref="O10:O40" si="1">IF(SUM($I10:$J10)&lt;1,0,F10/SUM($I10:$J10))</f>
        <v>0</v>
      </c>
      <c r="P10" s="726">
        <f t="shared" ref="P10:P40" si="2">IF(SUM($I10:$J10)&lt;1,0,G10/SUM($I10:$J10))</f>
        <v>0</v>
      </c>
      <c r="Q10" s="724"/>
      <c r="R10" s="725"/>
      <c r="S10" s="38"/>
      <c r="T10" s="38"/>
      <c r="U10" s="38"/>
    </row>
    <row r="11" spans="1:21" ht="15.75" thickBot="1" x14ac:dyDescent="0.25">
      <c r="A11" s="35">
        <v>2</v>
      </c>
      <c r="B11" s="722">
        <f>IF(('Entries March.''25'!I9-'Entries March.''25'!I8)+('Entries March.''25'!J9-'Entries March.''25'!J8)&lt;1,"0",('Entries March.''25'!I9-'Entries March.''25'!I8)+('Entries March.''25'!J9-'Entries March.''25'!J8))</f>
        <v>4216</v>
      </c>
      <c r="C11" s="729" t="str">
        <f>IF('Entries March.''25'!K9-'Entries March.''25'!K8&lt;=0,"0",'Entries March.''25'!K9-'Entries March.''25'!K8)</f>
        <v>0</v>
      </c>
      <c r="D11" s="722">
        <f t="shared" ref="D11:D40" si="3">B11+C11</f>
        <v>4216</v>
      </c>
      <c r="E11" s="729">
        <f>'Water '!$S8</f>
        <v>0</v>
      </c>
      <c r="F11" s="722">
        <f>IF('Entries March.''25'!B9-'Entries March.''25'!B8&lt;1,"0",'Entries March.''25'!B9-'Entries March.''25'!B8)</f>
        <v>540</v>
      </c>
      <c r="G11" s="723" t="str">
        <f>'CO2'!B8</f>
        <v>0</v>
      </c>
      <c r="H11" s="730">
        <f>+'PROD.FIG. '!F6</f>
        <v>0</v>
      </c>
      <c r="I11" s="730">
        <f>+'PROD.FIG. '!C6</f>
        <v>0</v>
      </c>
      <c r="J11" s="730">
        <f>+'PROD.FIG. '!D6</f>
        <v>0</v>
      </c>
      <c r="K11" s="730">
        <f>+'PROD.FIG. '!E6</f>
        <v>0</v>
      </c>
      <c r="L11" s="731"/>
      <c r="M11" s="726">
        <f t="shared" ref="M11:M40" si="4">IF(SUM($I11:$J11)&lt;1,0,B11/SUM($I11:$J11))</f>
        <v>0</v>
      </c>
      <c r="N11" s="726">
        <f t="shared" si="0"/>
        <v>0</v>
      </c>
      <c r="O11" s="726">
        <f t="shared" si="1"/>
        <v>0</v>
      </c>
      <c r="P11" s="726">
        <f t="shared" si="2"/>
        <v>0</v>
      </c>
      <c r="Q11" s="724"/>
      <c r="R11" s="725"/>
      <c r="S11" s="2"/>
      <c r="T11" s="2"/>
      <c r="U11" s="2"/>
    </row>
    <row r="12" spans="1:21" s="39" customFormat="1" ht="15.75" thickBot="1" x14ac:dyDescent="0.25">
      <c r="A12" s="40">
        <v>3</v>
      </c>
      <c r="B12" s="722">
        <f>IF(('Entries March.''25'!I10-'Entries March.''25'!I9)+('Entries March.''25'!J10-'Entries March.''25'!J9)&lt;1,"0",('Entries March.''25'!I10-'Entries March.''25'!I9)+('Entries March.''25'!J10-'Entries March.''25'!J9))</f>
        <v>7948</v>
      </c>
      <c r="C12" s="729" t="str">
        <f>IF('Entries March.''25'!K10-'Entries March.''25'!K9&lt;=0,"0",'Entries March.''25'!K10-'Entries March.''25'!K9)</f>
        <v>0</v>
      </c>
      <c r="D12" s="722">
        <f t="shared" si="3"/>
        <v>7948</v>
      </c>
      <c r="E12" s="729">
        <f>'Water '!$S9</f>
        <v>3790</v>
      </c>
      <c r="F12" s="722">
        <f>IF('Entries March.''25'!B10-'Entries March.''25'!B9&lt;1,"0",'Entries March.''25'!B10-'Entries March.''25'!B9)</f>
        <v>2480</v>
      </c>
      <c r="G12" s="723" t="str">
        <f>'CO2'!B9</f>
        <v>0</v>
      </c>
      <c r="H12" s="730">
        <f>+'PROD.FIG. '!F7</f>
        <v>0</v>
      </c>
      <c r="I12" s="730">
        <f>+'PROD.FIG. '!C7</f>
        <v>0</v>
      </c>
      <c r="J12" s="730">
        <f>+'PROD.FIG. '!D7</f>
        <v>0</v>
      </c>
      <c r="K12" s="730">
        <f>+'PROD.FIG. '!E7</f>
        <v>0</v>
      </c>
      <c r="L12" s="731"/>
      <c r="M12" s="726">
        <f t="shared" si="4"/>
        <v>0</v>
      </c>
      <c r="N12" s="726">
        <f t="shared" si="0"/>
        <v>0</v>
      </c>
      <c r="O12" s="726">
        <f t="shared" si="1"/>
        <v>0</v>
      </c>
      <c r="P12" s="726">
        <f t="shared" si="2"/>
        <v>0</v>
      </c>
      <c r="Q12" s="724"/>
      <c r="R12" s="725"/>
      <c r="S12" s="38"/>
      <c r="T12" s="38"/>
      <c r="U12" s="38"/>
    </row>
    <row r="13" spans="1:21" ht="15.75" thickBot="1" x14ac:dyDescent="0.25">
      <c r="A13" s="25">
        <v>4</v>
      </c>
      <c r="B13" s="722">
        <f>IF(('Entries March.''25'!I11-'Entries March.''25'!I10)+('Entries March.''25'!J11-'Entries March.''25'!J10)&lt;1,"0",('Entries March.''25'!I11-'Entries March.''25'!I10)+('Entries March.''25'!J11-'Entries March.''25'!J10))</f>
        <v>8547</v>
      </c>
      <c r="C13" s="729" t="str">
        <f>IF('Entries March.''25'!K11-'Entries March.''25'!K10&lt;=0,"0",'Entries March.''25'!K11-'Entries March.''25'!K10)</f>
        <v>0</v>
      </c>
      <c r="D13" s="722">
        <f t="shared" si="3"/>
        <v>8547</v>
      </c>
      <c r="E13" s="729">
        <f>'Water '!$S10</f>
        <v>4410</v>
      </c>
      <c r="F13" s="722">
        <f>IF('Entries March.''25'!B11-'Entries March.''25'!B10&lt;1,"0",'Entries March.''25'!B11-'Entries March.''25'!B10)</f>
        <v>3270</v>
      </c>
      <c r="G13" s="723">
        <f>'CO2'!B10</f>
        <v>141.87</v>
      </c>
      <c r="H13" s="730">
        <f>+'PROD.FIG. '!F8</f>
        <v>0</v>
      </c>
      <c r="I13" s="730">
        <f>+'PROD.FIG. '!C8</f>
        <v>0</v>
      </c>
      <c r="J13" s="730">
        <f>+'PROD.FIG. '!D8</f>
        <v>0</v>
      </c>
      <c r="K13" s="730">
        <f>+'PROD.FIG. '!E8</f>
        <v>0</v>
      </c>
      <c r="L13" s="731"/>
      <c r="M13" s="726">
        <f t="shared" si="4"/>
        <v>0</v>
      </c>
      <c r="N13" s="726">
        <f t="shared" si="0"/>
        <v>0</v>
      </c>
      <c r="O13" s="726">
        <f t="shared" si="1"/>
        <v>0</v>
      </c>
      <c r="P13" s="726">
        <f t="shared" si="2"/>
        <v>0</v>
      </c>
      <c r="Q13" s="724"/>
      <c r="R13" s="725"/>
      <c r="S13" s="2"/>
      <c r="T13" s="2"/>
      <c r="U13" s="2"/>
    </row>
    <row r="14" spans="1:21" s="39" customFormat="1" ht="15.75" thickBot="1" x14ac:dyDescent="0.25">
      <c r="A14" s="41">
        <v>5</v>
      </c>
      <c r="B14" s="722">
        <f>IF(('Entries March.''25'!I12-'Entries March.''25'!I11)+('Entries March.''25'!J12-'Entries March.''25'!J11)&lt;1,"0",('Entries March.''25'!I12-'Entries March.''25'!I11)+('Entries March.''25'!J12-'Entries March.''25'!J11))</f>
        <v>8241</v>
      </c>
      <c r="C14" s="729" t="str">
        <f>IF('Entries March.''25'!K12-'Entries March.''25'!K11&lt;=0,"0",'Entries March.''25'!K12-'Entries March.''25'!K11)</f>
        <v>0</v>
      </c>
      <c r="D14" s="722">
        <f t="shared" si="3"/>
        <v>8241</v>
      </c>
      <c r="E14" s="729">
        <f>'Water '!$S11</f>
        <v>4360</v>
      </c>
      <c r="F14" s="722">
        <f>IF('Entries March.''25'!B12-'Entries March.''25'!B11&lt;1,"0",'Entries March.''25'!B12-'Entries March.''25'!B11)</f>
        <v>3040</v>
      </c>
      <c r="G14" s="723">
        <f>'CO2'!B11</f>
        <v>28.960000000000036</v>
      </c>
      <c r="H14" s="730">
        <f>+'PROD.FIG. '!F9</f>
        <v>0</v>
      </c>
      <c r="I14" s="730">
        <f>+'PROD.FIG. '!C9</f>
        <v>0</v>
      </c>
      <c r="J14" s="730">
        <f>+'PROD.FIG. '!D9</f>
        <v>0</v>
      </c>
      <c r="K14" s="730">
        <f>+'PROD.FIG. '!E9</f>
        <v>0</v>
      </c>
      <c r="L14" s="731"/>
      <c r="M14" s="726">
        <f t="shared" si="4"/>
        <v>0</v>
      </c>
      <c r="N14" s="726">
        <f t="shared" si="0"/>
        <v>0</v>
      </c>
      <c r="O14" s="726">
        <f t="shared" si="1"/>
        <v>0</v>
      </c>
      <c r="P14" s="726">
        <f t="shared" si="2"/>
        <v>0</v>
      </c>
      <c r="Q14" s="724"/>
      <c r="R14" s="725"/>
      <c r="S14" s="38"/>
      <c r="T14" s="38"/>
      <c r="U14" s="38"/>
    </row>
    <row r="15" spans="1:21" ht="15.75" thickBot="1" x14ac:dyDescent="0.25">
      <c r="A15" s="26">
        <v>6</v>
      </c>
      <c r="B15" s="722">
        <f>IF(('Entries March.''25'!I13-'Entries March.''25'!I12)+('Entries March.''25'!J13-'Entries March.''25'!J12)&lt;1,"0",('Entries March.''25'!I13-'Entries March.''25'!I12)+('Entries March.''25'!J13-'Entries March.''25'!J12))</f>
        <v>8066</v>
      </c>
      <c r="C15" s="729" t="str">
        <f>IF('Entries March.''25'!K13-'Entries March.''25'!K12&lt;=0,"0",'Entries March.''25'!K13-'Entries March.''25'!K12)</f>
        <v>0</v>
      </c>
      <c r="D15" s="722">
        <f t="shared" si="3"/>
        <v>8066</v>
      </c>
      <c r="E15" s="729">
        <f>'Water '!$S12</f>
        <v>2580</v>
      </c>
      <c r="F15" s="722">
        <f>IF('Entries March.''25'!B13-'Entries March.''25'!B12&lt;1,"0",'Entries March.''25'!B13-'Entries March.''25'!B12)</f>
        <v>2720</v>
      </c>
      <c r="G15" s="723">
        <f>'CO2'!B12</f>
        <v>35.049999999999955</v>
      </c>
      <c r="H15" s="730">
        <f>+'PROD.FIG. '!F10</f>
        <v>0</v>
      </c>
      <c r="I15" s="730">
        <f>+'PROD.FIG. '!C10</f>
        <v>0</v>
      </c>
      <c r="J15" s="730">
        <f>+'PROD.FIG. '!D10</f>
        <v>0</v>
      </c>
      <c r="K15" s="730">
        <f>+'PROD.FIG. '!E10</f>
        <v>0</v>
      </c>
      <c r="L15" s="731"/>
      <c r="M15" s="726">
        <f t="shared" si="4"/>
        <v>0</v>
      </c>
      <c r="N15" s="726">
        <f t="shared" si="0"/>
        <v>0</v>
      </c>
      <c r="O15" s="726">
        <f t="shared" si="1"/>
        <v>0</v>
      </c>
      <c r="P15" s="726">
        <f t="shared" si="2"/>
        <v>0</v>
      </c>
      <c r="Q15" s="724"/>
      <c r="R15" s="725"/>
      <c r="S15" s="2"/>
      <c r="T15" s="2"/>
      <c r="U15" s="2"/>
    </row>
    <row r="16" spans="1:21" s="39" customFormat="1" ht="15.75" thickBot="1" x14ac:dyDescent="0.25">
      <c r="A16" s="41">
        <v>7</v>
      </c>
      <c r="B16" s="722">
        <f>IF(('Entries March.''25'!I14-'Entries March.''25'!I13)+('Entries March.''25'!J14-'Entries March.''25'!J13)&lt;1,"0",('Entries March.''25'!I14-'Entries March.''25'!I13)+('Entries March.''25'!J14-'Entries March.''25'!J13))</f>
        <v>7348</v>
      </c>
      <c r="C16" s="729" t="str">
        <f>IF('Entries March.''25'!K14-'Entries March.''25'!K13&lt;=0,"0",'Entries March.''25'!K14-'Entries March.''25'!K13)</f>
        <v>0</v>
      </c>
      <c r="D16" s="722">
        <f t="shared" si="3"/>
        <v>7348</v>
      </c>
      <c r="E16" s="729">
        <f>'Water '!$S13</f>
        <v>2310</v>
      </c>
      <c r="F16" s="722">
        <f>IF('Entries March.''25'!B14-'Entries March.''25'!B13&lt;1,"0",'Entries March.''25'!B14-'Entries March.''25'!B13)</f>
        <v>2380</v>
      </c>
      <c r="G16" s="723">
        <f>'CO2'!B13</f>
        <v>37.670000000000073</v>
      </c>
      <c r="H16" s="730">
        <f>+'PROD.FIG. '!F11</f>
        <v>0</v>
      </c>
      <c r="I16" s="730">
        <f>+'PROD.FIG. '!C11</f>
        <v>0</v>
      </c>
      <c r="J16" s="730">
        <f>+'PROD.FIG. '!D11</f>
        <v>0</v>
      </c>
      <c r="K16" s="730">
        <f>+'PROD.FIG. '!E11</f>
        <v>0</v>
      </c>
      <c r="L16" s="731"/>
      <c r="M16" s="726">
        <f t="shared" si="4"/>
        <v>0</v>
      </c>
      <c r="N16" s="726">
        <f t="shared" si="0"/>
        <v>0</v>
      </c>
      <c r="O16" s="726">
        <f t="shared" si="1"/>
        <v>0</v>
      </c>
      <c r="P16" s="726">
        <f t="shared" si="2"/>
        <v>0</v>
      </c>
      <c r="Q16" s="724"/>
      <c r="R16" s="725"/>
      <c r="S16" s="38"/>
      <c r="T16" s="38"/>
      <c r="U16" s="38"/>
    </row>
    <row r="17" spans="1:21" ht="15.75" thickBot="1" x14ac:dyDescent="0.25">
      <c r="A17" s="26">
        <v>8</v>
      </c>
      <c r="B17" s="722">
        <f>IF(('Entries March.''25'!I15-'Entries March.''25'!I14)+('Entries March.''25'!J15-'Entries March.''25'!J14)&lt;1,"0",('Entries March.''25'!I15-'Entries March.''25'!I14)+('Entries March.''25'!J15-'Entries March.''25'!J14))</f>
        <v>4624</v>
      </c>
      <c r="C17" s="729" t="str">
        <f>IF('Entries March.''25'!K15-'Entries March.''25'!K14&lt;=0,"0",'Entries March.''25'!K15-'Entries March.''25'!K14)</f>
        <v>0</v>
      </c>
      <c r="D17" s="722">
        <f t="shared" si="3"/>
        <v>4624</v>
      </c>
      <c r="E17" s="729">
        <f>'Water '!$S14</f>
        <v>1410</v>
      </c>
      <c r="F17" s="722">
        <f>IF('Entries March.''25'!B15-'Entries March.''25'!B14&lt;1,"0",'Entries March.''25'!B15-'Entries March.''25'!B14)</f>
        <v>1000</v>
      </c>
      <c r="G17" s="723">
        <f>'CO2'!B14</f>
        <v>4.9599999999999227</v>
      </c>
      <c r="H17" s="730">
        <f>+'PROD.FIG. '!F12</f>
        <v>0</v>
      </c>
      <c r="I17" s="730">
        <f>+'PROD.FIG. '!C12</f>
        <v>0</v>
      </c>
      <c r="J17" s="730">
        <f>+'PROD.FIG. '!D12</f>
        <v>0</v>
      </c>
      <c r="K17" s="730">
        <f>+'PROD.FIG. '!E12</f>
        <v>0</v>
      </c>
      <c r="L17" s="731"/>
      <c r="M17" s="726">
        <f t="shared" si="4"/>
        <v>0</v>
      </c>
      <c r="N17" s="726">
        <f t="shared" si="0"/>
        <v>0</v>
      </c>
      <c r="O17" s="726">
        <f t="shared" si="1"/>
        <v>0</v>
      </c>
      <c r="P17" s="726">
        <f t="shared" si="2"/>
        <v>0</v>
      </c>
      <c r="Q17" s="724"/>
      <c r="R17" s="725"/>
      <c r="S17" s="2"/>
      <c r="T17" s="2"/>
      <c r="U17" s="2"/>
    </row>
    <row r="18" spans="1:21" s="39" customFormat="1" ht="15.75" thickBot="1" x14ac:dyDescent="0.25">
      <c r="A18" s="41">
        <v>9</v>
      </c>
      <c r="B18" s="722">
        <f>IF(('Entries March.''25'!I16-'Entries March.''25'!I15)+('Entries March.''25'!J16-'Entries March.''25'!J15)&lt;1,"0",('Entries March.''25'!I16-'Entries March.''25'!I15)+('Entries March.''25'!J16-'Entries March.''25'!J15))</f>
        <v>4173</v>
      </c>
      <c r="C18" s="729" t="str">
        <f>IF('Entries March.''25'!K16-'Entries March.''25'!K15&lt;=0,"0",'Entries March.''25'!K16-'Entries March.''25'!K15)</f>
        <v>0</v>
      </c>
      <c r="D18" s="722">
        <f t="shared" si="3"/>
        <v>4173</v>
      </c>
      <c r="E18" s="729">
        <f>'Water '!$S15</f>
        <v>760</v>
      </c>
      <c r="F18" s="722">
        <f>IF('Entries March.''25'!B16-'Entries March.''25'!B15&lt;1,"0",'Entries March.''25'!B16-'Entries March.''25'!B15)</f>
        <v>100</v>
      </c>
      <c r="G18" s="723" t="str">
        <f>'CO2'!B15</f>
        <v>0</v>
      </c>
      <c r="H18" s="730">
        <f>+'PROD.FIG. '!F13</f>
        <v>0</v>
      </c>
      <c r="I18" s="730">
        <f>+'PROD.FIG. '!C13</f>
        <v>0</v>
      </c>
      <c r="J18" s="730">
        <f>+'PROD.FIG. '!D13</f>
        <v>0</v>
      </c>
      <c r="K18" s="730">
        <f>+'PROD.FIG. '!E13</f>
        <v>0</v>
      </c>
      <c r="L18" s="731"/>
      <c r="M18" s="726">
        <f t="shared" si="4"/>
        <v>0</v>
      </c>
      <c r="N18" s="726">
        <f t="shared" si="0"/>
        <v>0</v>
      </c>
      <c r="O18" s="726">
        <f t="shared" si="1"/>
        <v>0</v>
      </c>
      <c r="P18" s="726">
        <f t="shared" si="2"/>
        <v>0</v>
      </c>
      <c r="Q18" s="724"/>
      <c r="R18" s="725"/>
      <c r="S18" s="38"/>
      <c r="T18" s="38"/>
      <c r="U18" s="38"/>
    </row>
    <row r="19" spans="1:21" ht="15.75" thickBot="1" x14ac:dyDescent="0.25">
      <c r="A19" s="25">
        <v>10</v>
      </c>
      <c r="B19" s="722">
        <f>IF(('Entries March.''25'!I17-'Entries March.''25'!I16)+('Entries March.''25'!J17-'Entries March.''25'!J16)&lt;1,"0",('Entries March.''25'!I17-'Entries March.''25'!I16)+('Entries March.''25'!J17-'Entries March.''25'!J16))</f>
        <v>8000</v>
      </c>
      <c r="C19" s="729" t="str">
        <f>IF('Entries March.''25'!K17-'Entries March.''25'!K16&lt;=0,"0",'Entries March.''25'!K17-'Entries March.''25'!K16)</f>
        <v>0</v>
      </c>
      <c r="D19" s="722">
        <f t="shared" si="3"/>
        <v>8000</v>
      </c>
      <c r="E19" s="729">
        <f>'Water '!$S16</f>
        <v>80</v>
      </c>
      <c r="F19" s="722">
        <f>IF('Entries March.''25'!B17-'Entries March.''25'!B16&lt;1,"0",'Entries March.''25'!B17-'Entries March.''25'!B16)</f>
        <v>3100</v>
      </c>
      <c r="G19" s="723">
        <f>'CO2'!B16</f>
        <v>20.139999999999986</v>
      </c>
      <c r="H19" s="730">
        <f>+'PROD.FIG. '!F14</f>
        <v>0</v>
      </c>
      <c r="I19" s="730">
        <f>+'PROD.FIG. '!C14</f>
        <v>0</v>
      </c>
      <c r="J19" s="730">
        <f>+'PROD.FIG. '!D14</f>
        <v>0</v>
      </c>
      <c r="K19" s="730">
        <f>+'PROD.FIG. '!E14</f>
        <v>0</v>
      </c>
      <c r="L19" s="731"/>
      <c r="M19" s="726">
        <f t="shared" si="4"/>
        <v>0</v>
      </c>
      <c r="N19" s="726">
        <f t="shared" si="0"/>
        <v>0</v>
      </c>
      <c r="O19" s="726">
        <f t="shared" si="1"/>
        <v>0</v>
      </c>
      <c r="P19" s="726">
        <f t="shared" si="2"/>
        <v>0</v>
      </c>
      <c r="Q19" s="724"/>
      <c r="R19" s="725"/>
      <c r="S19" s="2"/>
      <c r="T19" s="2"/>
      <c r="U19" s="2"/>
    </row>
    <row r="20" spans="1:21" s="39" customFormat="1" ht="15.75" thickBot="1" x14ac:dyDescent="0.25">
      <c r="A20" s="40">
        <v>11</v>
      </c>
      <c r="B20" s="722">
        <f>IF(('Entries March.''25'!I18-'Entries March.''25'!I17)+('Entries March.''25'!J18-'Entries March.''25'!J17)&lt;1,"0",('Entries March.''25'!I18-'Entries March.''25'!I17)+('Entries March.''25'!J18-'Entries March.''25'!J17))</f>
        <v>8338</v>
      </c>
      <c r="C20" s="729" t="str">
        <f>IF('Entries March.''25'!K18-'Entries March.''25'!K17&lt;=0,"0",'Entries March.''25'!K18-'Entries March.''25'!K17)</f>
        <v>0</v>
      </c>
      <c r="D20" s="722">
        <f t="shared" si="3"/>
        <v>8338</v>
      </c>
      <c r="E20" s="729">
        <f>'Water '!$S17</f>
        <v>3660</v>
      </c>
      <c r="F20" s="722">
        <f>IF('Entries March.''25'!B18-'Entries March.''25'!B17&lt;1,"0",'Entries March.''25'!B18-'Entries March.''25'!B17)</f>
        <v>3040</v>
      </c>
      <c r="G20" s="723">
        <f>'CO2'!B17</f>
        <v>25.490000000000009</v>
      </c>
      <c r="H20" s="730">
        <f>+'PROD.FIG. '!F15</f>
        <v>0</v>
      </c>
      <c r="I20" s="730">
        <f>+'PROD.FIG. '!C15</f>
        <v>0</v>
      </c>
      <c r="J20" s="730">
        <f>+'PROD.FIG. '!D15</f>
        <v>0</v>
      </c>
      <c r="K20" s="730">
        <f>+'PROD.FIG. '!E15</f>
        <v>0</v>
      </c>
      <c r="L20" s="731"/>
      <c r="M20" s="726">
        <f t="shared" si="4"/>
        <v>0</v>
      </c>
      <c r="N20" s="726">
        <f t="shared" si="0"/>
        <v>0</v>
      </c>
      <c r="O20" s="726">
        <f t="shared" si="1"/>
        <v>0</v>
      </c>
      <c r="P20" s="726">
        <f t="shared" si="2"/>
        <v>0</v>
      </c>
      <c r="Q20" s="724"/>
      <c r="R20" s="725"/>
      <c r="S20" s="38"/>
      <c r="T20" s="38"/>
      <c r="U20" s="38"/>
    </row>
    <row r="21" spans="1:21" ht="15.75" thickBot="1" x14ac:dyDescent="0.25">
      <c r="A21" s="26">
        <v>12</v>
      </c>
      <c r="B21" s="722">
        <f>IF(('Entries March.''25'!I19-'Entries March.''25'!I18)+('Entries March.''25'!J19-'Entries March.''25'!J18)&lt;1,"0",('Entries March.''25'!I19-'Entries March.''25'!I18)+('Entries March.''25'!J19-'Entries March.''25'!J18))</f>
        <v>8475</v>
      </c>
      <c r="C21" s="729" t="str">
        <f>IF('Entries March.''25'!K19-'Entries March.''25'!K18&lt;=0,"0",'Entries March.''25'!K19-'Entries March.''25'!K18)</f>
        <v>0</v>
      </c>
      <c r="D21" s="722">
        <f t="shared" si="3"/>
        <v>8475</v>
      </c>
      <c r="E21" s="729">
        <f>'Water '!$S18</f>
        <v>2030</v>
      </c>
      <c r="F21" s="722">
        <f>IF('Entries March.''25'!B19-'Entries March.''25'!B18&lt;1,"0",'Entries March.''25'!B19-'Entries March.''25'!B18)</f>
        <v>2800</v>
      </c>
      <c r="G21" s="723">
        <f>'CO2'!B18</f>
        <v>16.740000000000009</v>
      </c>
      <c r="H21" s="730">
        <f>+'PROD.FIG. '!F16</f>
        <v>0</v>
      </c>
      <c r="I21" s="730">
        <f>+'PROD.FIG. '!C16</f>
        <v>0</v>
      </c>
      <c r="J21" s="730">
        <f>+'PROD.FIG. '!D16</f>
        <v>0</v>
      </c>
      <c r="K21" s="730">
        <f>+'PROD.FIG. '!E16</f>
        <v>0</v>
      </c>
      <c r="L21" s="731"/>
      <c r="M21" s="726">
        <f t="shared" si="4"/>
        <v>0</v>
      </c>
      <c r="N21" s="726">
        <f t="shared" si="0"/>
        <v>0</v>
      </c>
      <c r="O21" s="726">
        <f t="shared" si="1"/>
        <v>0</v>
      </c>
      <c r="P21" s="726">
        <f t="shared" si="2"/>
        <v>0</v>
      </c>
      <c r="Q21" s="724"/>
      <c r="R21" s="725"/>
      <c r="S21" s="2"/>
      <c r="T21" s="2"/>
      <c r="U21" s="2"/>
    </row>
    <row r="22" spans="1:21" s="39" customFormat="1" ht="15.75" thickBot="1" x14ac:dyDescent="0.25">
      <c r="A22" s="41">
        <v>13</v>
      </c>
      <c r="B22" s="722">
        <f>IF(('Entries March.''25'!I20-'Entries March.''25'!I19)+('Entries March.''25'!J20-'Entries March.''25'!J19)&lt;1,"0",('Entries March.''25'!I20-'Entries March.''25'!I19)+('Entries March.''25'!J20-'Entries March.''25'!J19))</f>
        <v>7841</v>
      </c>
      <c r="C22" s="729" t="str">
        <f>IF('Entries March.''25'!K20-'Entries March.''25'!K19&lt;=0,"0",'Entries March.''25'!K20-'Entries March.''25'!K19)</f>
        <v>0</v>
      </c>
      <c r="D22" s="722">
        <f t="shared" si="3"/>
        <v>7841</v>
      </c>
      <c r="E22" s="729">
        <f>'Water '!$S19</f>
        <v>2580</v>
      </c>
      <c r="F22" s="722">
        <f>IF('Entries March.''25'!B20-'Entries March.''25'!B19&lt;1,"0",'Entries March.''25'!B20-'Entries March.''25'!B19)</f>
        <v>3010</v>
      </c>
      <c r="G22" s="723">
        <f>'CO2'!B19</f>
        <v>33.089999999999918</v>
      </c>
      <c r="H22" s="730">
        <f>+'PROD.FIG. '!F17</f>
        <v>0</v>
      </c>
      <c r="I22" s="730">
        <f>+'PROD.FIG. '!C17</f>
        <v>0</v>
      </c>
      <c r="J22" s="730">
        <f>+'PROD.FIG. '!D17</f>
        <v>0</v>
      </c>
      <c r="K22" s="730">
        <f>+'PROD.FIG. '!E17</f>
        <v>0</v>
      </c>
      <c r="L22" s="731"/>
      <c r="M22" s="726">
        <f t="shared" si="4"/>
        <v>0</v>
      </c>
      <c r="N22" s="726">
        <f t="shared" si="0"/>
        <v>0</v>
      </c>
      <c r="O22" s="726">
        <f t="shared" si="1"/>
        <v>0</v>
      </c>
      <c r="P22" s="726">
        <f t="shared" si="2"/>
        <v>0</v>
      </c>
      <c r="Q22" s="724"/>
      <c r="R22" s="725"/>
      <c r="S22" s="38"/>
      <c r="T22" s="38"/>
      <c r="U22" s="38"/>
    </row>
    <row r="23" spans="1:21" ht="15.75" thickBot="1" x14ac:dyDescent="0.25">
      <c r="A23" s="26">
        <v>14</v>
      </c>
      <c r="B23" s="722">
        <f>IF(('Entries March.''25'!I21-'Entries March.''25'!I20)+('Entries March.''25'!J21-'Entries March.''25'!J20)&lt;1,"0",('Entries March.''25'!I21-'Entries March.''25'!I20)+('Entries March.''25'!J21-'Entries March.''25'!J20))</f>
        <v>7679</v>
      </c>
      <c r="C23" s="729" t="str">
        <f>IF('Entries March.''25'!K21-'Entries March.''25'!K20&lt;=0,"0",'Entries March.''25'!K21-'Entries March.''25'!K20)</f>
        <v>0</v>
      </c>
      <c r="D23" s="722">
        <f t="shared" si="3"/>
        <v>7679</v>
      </c>
      <c r="E23" s="729">
        <f>'Water '!$S20</f>
        <v>3060</v>
      </c>
      <c r="F23" s="722">
        <f>IF('Entries March.''25'!B21-'Entries March.''25'!B20&lt;1,"0",'Entries March.''25'!B21-'Entries March.''25'!B20)</f>
        <v>2410</v>
      </c>
      <c r="G23" s="723">
        <f>'CO2'!B20</f>
        <v>23.870000000000118</v>
      </c>
      <c r="H23" s="730">
        <f>+'PROD.FIG. '!F18</f>
        <v>0</v>
      </c>
      <c r="I23" s="730">
        <f>+'PROD.FIG. '!C18</f>
        <v>0</v>
      </c>
      <c r="J23" s="730">
        <f>+'PROD.FIG. '!D18</f>
        <v>0</v>
      </c>
      <c r="K23" s="730">
        <f>+'PROD.FIG. '!E18</f>
        <v>0</v>
      </c>
      <c r="L23" s="731"/>
      <c r="M23" s="726">
        <f t="shared" si="4"/>
        <v>0</v>
      </c>
      <c r="N23" s="726">
        <f t="shared" si="0"/>
        <v>0</v>
      </c>
      <c r="O23" s="726">
        <f t="shared" si="1"/>
        <v>0</v>
      </c>
      <c r="P23" s="726">
        <f t="shared" si="2"/>
        <v>0</v>
      </c>
      <c r="Q23" s="724"/>
      <c r="R23" s="725"/>
      <c r="S23" s="2"/>
      <c r="T23" s="2"/>
      <c r="U23" s="2"/>
    </row>
    <row r="24" spans="1:21" s="39" customFormat="1" ht="15.75" thickBot="1" x14ac:dyDescent="0.25">
      <c r="A24" s="41">
        <v>15</v>
      </c>
      <c r="B24" s="722">
        <f>IF(('Entries March.''25'!I22-'Entries March.''25'!I21)+('Entries March.''25'!J22-'Entries March.''25'!J21)&lt;1,"0",('Entries March.''25'!I22-'Entries March.''25'!I21)+('Entries March.''25'!J22-'Entries March.''25'!J21))</f>
        <v>4867</v>
      </c>
      <c r="C24" s="729" t="str">
        <f>IF('Entries March.''25'!K22-'Entries March.''25'!K21&lt;=0,"0",'Entries March.''25'!K22-'Entries March.''25'!K21)</f>
        <v>0</v>
      </c>
      <c r="D24" s="722">
        <f t="shared" si="3"/>
        <v>4867</v>
      </c>
      <c r="E24" s="729">
        <f>'Water '!$S21</f>
        <v>340</v>
      </c>
      <c r="F24" s="722" t="str">
        <f>IF('Entries March.''25'!B22-'Entries March.''25'!B21&lt;1,"0",'Entries March.''25'!B22-'Entries March.''25'!B21)</f>
        <v>0</v>
      </c>
      <c r="G24" s="723" t="str">
        <f>'CO2'!B21</f>
        <v>0</v>
      </c>
      <c r="H24" s="730">
        <f>+'PROD.FIG. '!F19</f>
        <v>0</v>
      </c>
      <c r="I24" s="730">
        <f>+'PROD.FIG. '!C19</f>
        <v>0</v>
      </c>
      <c r="J24" s="730">
        <f>+'PROD.FIG. '!D19</f>
        <v>0</v>
      </c>
      <c r="K24" s="730">
        <f>+'PROD.FIG. '!E19</f>
        <v>0</v>
      </c>
      <c r="L24" s="731"/>
      <c r="M24" s="726">
        <f t="shared" si="4"/>
        <v>0</v>
      </c>
      <c r="N24" s="726">
        <f t="shared" si="0"/>
        <v>0</v>
      </c>
      <c r="O24" s="726">
        <f t="shared" si="1"/>
        <v>0</v>
      </c>
      <c r="P24" s="726">
        <f t="shared" si="2"/>
        <v>0</v>
      </c>
      <c r="Q24" s="724"/>
      <c r="R24" s="725"/>
      <c r="S24" s="38"/>
      <c r="T24" s="38"/>
      <c r="U24" s="38"/>
    </row>
    <row r="25" spans="1:21" ht="15.75" thickBot="1" x14ac:dyDescent="0.25">
      <c r="A25" s="26">
        <v>16</v>
      </c>
      <c r="B25" s="722">
        <f>IF(('Entries March.''25'!I23-'Entries March.''25'!I22)+('Entries March.''25'!J23-'Entries March.''25'!J22)&lt;1,"0",('Entries March.''25'!I23-'Entries March.''25'!I22)+('Entries March.''25'!J23-'Entries March.''25'!J22))</f>
        <v>5536</v>
      </c>
      <c r="C25" s="729" t="str">
        <f>IF('Entries March.''25'!K23-'Entries March.''25'!K22&lt;=0,"0",'Entries March.''25'!K23-'Entries March.''25'!K22)</f>
        <v>0</v>
      </c>
      <c r="D25" s="722">
        <f t="shared" si="3"/>
        <v>5536</v>
      </c>
      <c r="E25" s="729">
        <f>'Water '!$S22</f>
        <v>-30</v>
      </c>
      <c r="F25" s="722">
        <f>IF('Entries March.''25'!B23-'Entries March.''25'!B22&lt;1,"0",'Entries March.''25'!B23-'Entries March.''25'!B22)</f>
        <v>1320</v>
      </c>
      <c r="G25" s="723" t="str">
        <f>'CO2'!B22</f>
        <v>0</v>
      </c>
      <c r="H25" s="730">
        <f>+'PROD.FIG. '!F20</f>
        <v>0</v>
      </c>
      <c r="I25" s="730">
        <f>+'PROD.FIG. '!C20</f>
        <v>0</v>
      </c>
      <c r="J25" s="730">
        <f>+'PROD.FIG. '!D20</f>
        <v>0</v>
      </c>
      <c r="K25" s="730">
        <f>+'PROD.FIG. '!E20</f>
        <v>0</v>
      </c>
      <c r="L25" s="731"/>
      <c r="M25" s="726">
        <f t="shared" si="4"/>
        <v>0</v>
      </c>
      <c r="N25" s="726">
        <f t="shared" si="0"/>
        <v>0</v>
      </c>
      <c r="O25" s="726">
        <f t="shared" si="1"/>
        <v>0</v>
      </c>
      <c r="P25" s="726">
        <f t="shared" si="2"/>
        <v>0</v>
      </c>
      <c r="Q25" s="724"/>
      <c r="R25" s="725"/>
      <c r="S25" s="2"/>
      <c r="T25" s="2"/>
      <c r="U25" s="2"/>
    </row>
    <row r="26" spans="1:21" s="39" customFormat="1" ht="15.75" thickBot="1" x14ac:dyDescent="0.25">
      <c r="A26" s="41">
        <v>17</v>
      </c>
      <c r="B26" s="722">
        <f>IF(('Entries March.''25'!I24-'Entries March.''25'!I23)+('Entries March.''25'!J24-'Entries March.''25'!J23)&lt;1,"0",('Entries March.''25'!I24-'Entries March.''25'!I23)+('Entries March.''25'!J24-'Entries March.''25'!J23))</f>
        <v>8321</v>
      </c>
      <c r="C26" s="729" t="str">
        <f>IF('Entries March.''25'!K24-'Entries March.''25'!K23&lt;=0,"0",'Entries March.''25'!K24-'Entries March.''25'!K23)</f>
        <v>0</v>
      </c>
      <c r="D26" s="722">
        <f t="shared" si="3"/>
        <v>8321</v>
      </c>
      <c r="E26" s="729">
        <f>'Water '!$S23</f>
        <v>970</v>
      </c>
      <c r="F26" s="722">
        <f>IF('Entries March.''25'!B24-'Entries March.''25'!B23&lt;1,"0",'Entries March.''25'!B24-'Entries March.''25'!B23)</f>
        <v>2510</v>
      </c>
      <c r="G26" s="723">
        <f>'CO2'!B23</f>
        <v>26.889999999999873</v>
      </c>
      <c r="H26" s="730">
        <f>+'PROD.FIG. '!F21</f>
        <v>0</v>
      </c>
      <c r="I26" s="730">
        <f>+'PROD.FIG. '!C21</f>
        <v>0</v>
      </c>
      <c r="J26" s="730">
        <f>+'PROD.FIG. '!D21</f>
        <v>0</v>
      </c>
      <c r="K26" s="730">
        <f>+'PROD.FIG. '!E21</f>
        <v>0</v>
      </c>
      <c r="L26" s="731"/>
      <c r="M26" s="726">
        <f t="shared" si="4"/>
        <v>0</v>
      </c>
      <c r="N26" s="726">
        <f t="shared" si="0"/>
        <v>0</v>
      </c>
      <c r="O26" s="726">
        <f t="shared" si="1"/>
        <v>0</v>
      </c>
      <c r="P26" s="726">
        <f t="shared" si="2"/>
        <v>0</v>
      </c>
      <c r="Q26" s="724"/>
      <c r="R26" s="725"/>
      <c r="S26" s="38"/>
      <c r="T26" s="38"/>
      <c r="U26" s="38"/>
    </row>
    <row r="27" spans="1:21" ht="15.75" thickBot="1" x14ac:dyDescent="0.25">
      <c r="A27" s="26">
        <v>18</v>
      </c>
      <c r="B27" s="722">
        <f>IF(('Entries March.''25'!I25-'Entries March.''25'!I24)+('Entries March.''25'!J25-'Entries March.''25'!J24)&lt;1,"0",('Entries March.''25'!I25-'Entries March.''25'!I24)+('Entries March.''25'!J25-'Entries March.''25'!J24))</f>
        <v>7150</v>
      </c>
      <c r="C27" s="729">
        <f>IF('Entries March.''25'!K25-'Entries March.''25'!K24&lt;=0,"0",'Entries March.''25'!K25-'Entries March.''25'!K24)</f>
        <v>1600</v>
      </c>
      <c r="D27" s="722">
        <f t="shared" si="3"/>
        <v>8750</v>
      </c>
      <c r="E27" s="729">
        <f>'Water '!$S24</f>
        <v>2600</v>
      </c>
      <c r="F27" s="722">
        <f>IF('Entries March.''25'!B25-'Entries March.''25'!B24&lt;1,"0",'Entries March.''25'!B25-'Entries March.''25'!B24)</f>
        <v>2490</v>
      </c>
      <c r="G27" s="723">
        <f>'CO2'!B24</f>
        <v>30.670000000000073</v>
      </c>
      <c r="H27" s="730">
        <f>+'PROD.FIG. '!F22</f>
        <v>0</v>
      </c>
      <c r="I27" s="730">
        <f>+'PROD.FIG. '!C22</f>
        <v>0</v>
      </c>
      <c r="J27" s="730">
        <f>+'PROD.FIG. '!D22</f>
        <v>0</v>
      </c>
      <c r="K27" s="730">
        <f>+'PROD.FIG. '!E22</f>
        <v>0</v>
      </c>
      <c r="L27" s="731"/>
      <c r="M27" s="726">
        <f t="shared" si="4"/>
        <v>0</v>
      </c>
      <c r="N27" s="726">
        <f t="shared" si="0"/>
        <v>0</v>
      </c>
      <c r="O27" s="726">
        <f t="shared" si="1"/>
        <v>0</v>
      </c>
      <c r="P27" s="726">
        <f t="shared" si="2"/>
        <v>0</v>
      </c>
      <c r="Q27" s="724"/>
      <c r="R27" s="725"/>
      <c r="S27" s="2"/>
      <c r="T27" s="2"/>
      <c r="U27" s="2"/>
    </row>
    <row r="28" spans="1:21" s="39" customFormat="1" ht="15.75" thickBot="1" x14ac:dyDescent="0.25">
      <c r="A28" s="41">
        <v>19</v>
      </c>
      <c r="B28" s="722">
        <f>IF(('Entries March.''25'!I26-'Entries March.''25'!I25)+('Entries March.''25'!J26-'Entries March.''25'!J25)&lt;1,"0",('Entries March.''25'!I26-'Entries March.''25'!I25)+('Entries March.''25'!J26-'Entries March.''25'!J25))</f>
        <v>9722</v>
      </c>
      <c r="C28" s="729" t="str">
        <f>IF('Entries March.''25'!K26-'Entries March.''25'!K25&lt;=0,"0",'Entries March.''25'!K26-'Entries March.''25'!K25)</f>
        <v>0</v>
      </c>
      <c r="D28" s="722">
        <f t="shared" si="3"/>
        <v>9722</v>
      </c>
      <c r="E28" s="729">
        <f>'Water '!$S25</f>
        <v>3690</v>
      </c>
      <c r="F28" s="722">
        <f>IF('Entries March.''25'!B26-'Entries March.''25'!B25&lt;1,"0",'Entries March.''25'!B26-'Entries March.''25'!B25)</f>
        <v>3211</v>
      </c>
      <c r="G28" s="723">
        <f>'CO2'!B25</f>
        <v>45.910000000000082</v>
      </c>
      <c r="H28" s="730">
        <f>+'PROD.FIG. '!F23</f>
        <v>0</v>
      </c>
      <c r="I28" s="730">
        <f>+'PROD.FIG. '!C23</f>
        <v>0</v>
      </c>
      <c r="J28" s="730">
        <f>+'PROD.FIG. '!D23</f>
        <v>0</v>
      </c>
      <c r="K28" s="730">
        <f>+'PROD.FIG. '!E23</f>
        <v>0</v>
      </c>
      <c r="L28" s="731"/>
      <c r="M28" s="726">
        <f t="shared" si="4"/>
        <v>0</v>
      </c>
      <c r="N28" s="726">
        <f t="shared" si="0"/>
        <v>0</v>
      </c>
      <c r="O28" s="726">
        <f t="shared" si="1"/>
        <v>0</v>
      </c>
      <c r="P28" s="726">
        <f t="shared" si="2"/>
        <v>0</v>
      </c>
      <c r="Q28" s="724"/>
      <c r="R28" s="725"/>
      <c r="S28" s="38"/>
      <c r="T28" s="38"/>
      <c r="U28" s="38"/>
    </row>
    <row r="29" spans="1:21" ht="15.75" thickBot="1" x14ac:dyDescent="0.25">
      <c r="A29" s="26">
        <v>20</v>
      </c>
      <c r="B29" s="722">
        <f>IF(('Entries March.''25'!I27-'Entries March.''25'!I26)+('Entries March.''25'!J27-'Entries March.''25'!J26)&lt;1,"0",('Entries March.''25'!I27-'Entries March.''25'!I26)+('Entries March.''25'!J27-'Entries March.''25'!J26))</f>
        <v>5891</v>
      </c>
      <c r="C29" s="729" t="str">
        <f>IF('Entries March.''25'!K27-'Entries March.''25'!K26&lt;=0,"0",'Entries March.''25'!K27-'Entries March.''25'!K26)</f>
        <v>0</v>
      </c>
      <c r="D29" s="722">
        <f t="shared" si="3"/>
        <v>5891</v>
      </c>
      <c r="E29" s="729">
        <f>'Water '!$S26</f>
        <v>500</v>
      </c>
      <c r="F29" s="722">
        <f>IF('Entries March.''25'!B27-'Entries March.''25'!B26&lt;1,"0",'Entries March.''25'!B27-'Entries March.''25'!B26)</f>
        <v>3019</v>
      </c>
      <c r="G29" s="723">
        <f>'CO2'!B26</f>
        <v>32.049999999999955</v>
      </c>
      <c r="H29" s="730">
        <f>+'PROD.FIG. '!F24</f>
        <v>0</v>
      </c>
      <c r="I29" s="730">
        <f>+'PROD.FIG. '!C24</f>
        <v>0</v>
      </c>
      <c r="J29" s="730">
        <f>+'PROD.FIG. '!D24</f>
        <v>0</v>
      </c>
      <c r="K29" s="730">
        <f>+'PROD.FIG. '!E24</f>
        <v>0</v>
      </c>
      <c r="L29" s="731"/>
      <c r="M29" s="726">
        <f t="shared" si="4"/>
        <v>0</v>
      </c>
      <c r="N29" s="726">
        <f t="shared" si="0"/>
        <v>0</v>
      </c>
      <c r="O29" s="726">
        <f t="shared" si="1"/>
        <v>0</v>
      </c>
      <c r="P29" s="726">
        <f t="shared" si="2"/>
        <v>0</v>
      </c>
      <c r="Q29" s="724"/>
      <c r="R29" s="725"/>
      <c r="S29" s="2"/>
      <c r="T29" s="2"/>
      <c r="U29" s="2"/>
    </row>
    <row r="30" spans="1:21" s="39" customFormat="1" ht="15.75" thickBot="1" x14ac:dyDescent="0.25">
      <c r="A30" s="41">
        <v>21</v>
      </c>
      <c r="B30" s="722">
        <f>IF(('Entries March.''25'!I28-'Entries March.''25'!I27)+('Entries March.''25'!J28-'Entries March.''25'!J27)&lt;1,"0",('Entries March.''25'!I28-'Entries March.''25'!I27)+('Entries March.''25'!J28-'Entries March.''25'!J27))</f>
        <v>10696</v>
      </c>
      <c r="C30" s="729" t="str">
        <f>IF('Entries March.''25'!K28-'Entries March.''25'!K27&lt;=0,"0",'Entries March.''25'!K28-'Entries March.''25'!K27)</f>
        <v>0</v>
      </c>
      <c r="D30" s="722">
        <f t="shared" si="3"/>
        <v>10696</v>
      </c>
      <c r="E30" s="729">
        <f>'Water '!$S27</f>
        <v>260</v>
      </c>
      <c r="F30" s="722">
        <f>IF('Entries March.''25'!B28-'Entries March.''25'!B27&lt;1,"0",'Entries March.''25'!B28-'Entries March.''25'!B27)</f>
        <v>1270</v>
      </c>
      <c r="G30" s="723">
        <f>'CO2'!B27</f>
        <v>6.3499999999999091</v>
      </c>
      <c r="H30" s="730">
        <f>+'PROD.FIG. '!F25</f>
        <v>0</v>
      </c>
      <c r="I30" s="730">
        <f>+'PROD.FIG. '!C25</f>
        <v>0</v>
      </c>
      <c r="J30" s="730">
        <f>+'PROD.FIG. '!D25</f>
        <v>0</v>
      </c>
      <c r="K30" s="730">
        <f>+'PROD.FIG. '!E25</f>
        <v>0</v>
      </c>
      <c r="L30" s="731"/>
      <c r="M30" s="726">
        <f t="shared" si="4"/>
        <v>0</v>
      </c>
      <c r="N30" s="726">
        <f t="shared" si="0"/>
        <v>0</v>
      </c>
      <c r="O30" s="726">
        <f t="shared" si="1"/>
        <v>0</v>
      </c>
      <c r="P30" s="726">
        <f t="shared" si="2"/>
        <v>0</v>
      </c>
      <c r="Q30" s="724"/>
      <c r="R30" s="725"/>
      <c r="S30" s="38"/>
      <c r="T30" s="38"/>
      <c r="U30" s="38"/>
    </row>
    <row r="31" spans="1:21" ht="15.75" thickBot="1" x14ac:dyDescent="0.25">
      <c r="A31" s="26">
        <v>22</v>
      </c>
      <c r="B31" s="722">
        <f>IF(('Entries March.''25'!I29-'Entries March.''25'!I28)+('Entries March.''25'!J29-'Entries March.''25'!J28)&lt;1,"0",('Entries March.''25'!I29-'Entries March.''25'!I28)+('Entries March.''25'!J29-'Entries March.''25'!J28))</f>
        <v>4542</v>
      </c>
      <c r="C31" s="729" t="str">
        <f>IF('Entries March.''25'!K29-'Entries March.''25'!K28&lt;=0,"0",'Entries March.''25'!K29-'Entries March.''25'!K28)</f>
        <v>0</v>
      </c>
      <c r="D31" s="722">
        <f t="shared" si="3"/>
        <v>4542</v>
      </c>
      <c r="E31" s="729">
        <f>'Water '!$S28</f>
        <v>0</v>
      </c>
      <c r="F31" s="722">
        <f>IF('Entries March.''25'!B29-'Entries March.''25'!B28&lt;1,"0",'Entries March.''25'!B29-'Entries March.''25'!B28)</f>
        <v>220</v>
      </c>
      <c r="G31" s="723" t="str">
        <f>'CO2'!B28</f>
        <v>0</v>
      </c>
      <c r="H31" s="730">
        <f>+'PROD.FIG. '!F26</f>
        <v>0</v>
      </c>
      <c r="I31" s="730">
        <f>+'PROD.FIG. '!C26</f>
        <v>0</v>
      </c>
      <c r="J31" s="730">
        <f>+'PROD.FIG. '!D26</f>
        <v>0</v>
      </c>
      <c r="K31" s="730">
        <f>+'PROD.FIG. '!E26</f>
        <v>0</v>
      </c>
      <c r="L31" s="731"/>
      <c r="M31" s="726">
        <f t="shared" si="4"/>
        <v>0</v>
      </c>
      <c r="N31" s="726">
        <f t="shared" si="0"/>
        <v>0</v>
      </c>
      <c r="O31" s="726">
        <f t="shared" si="1"/>
        <v>0</v>
      </c>
      <c r="P31" s="726">
        <f t="shared" si="2"/>
        <v>0</v>
      </c>
      <c r="Q31" s="724"/>
      <c r="R31" s="725"/>
      <c r="S31" s="2"/>
      <c r="T31" s="2"/>
      <c r="U31" s="2"/>
    </row>
    <row r="32" spans="1:21" s="39" customFormat="1" ht="15.75" thickBot="1" x14ac:dyDescent="0.25">
      <c r="A32" s="41">
        <v>23</v>
      </c>
      <c r="B32" s="722">
        <f>IF(('Entries March.''25'!I30-'Entries March.''25'!I29)+('Entries March.''25'!J30-'Entries March.''25'!J29)&lt;1,"0",('Entries March.''25'!I30-'Entries March.''25'!I29)+('Entries March.''25'!J30-'Entries March.''25'!J29))</f>
        <v>4634</v>
      </c>
      <c r="C32" s="729" t="str">
        <f>IF('Entries March.''25'!K30-'Entries March.''25'!K29&lt;=0,"0",'Entries March.''25'!K30-'Entries March.''25'!K29)</f>
        <v>0</v>
      </c>
      <c r="D32" s="722">
        <f t="shared" si="3"/>
        <v>4634</v>
      </c>
      <c r="E32" s="729">
        <f>'Water '!$S29</f>
        <v>-70</v>
      </c>
      <c r="F32" s="722">
        <f>IF('Entries March.''25'!B30-'Entries March.''25'!B29&lt;1,"0",'Entries March.''25'!B30-'Entries March.''25'!B29)</f>
        <v>800</v>
      </c>
      <c r="G32" s="723" t="str">
        <f>'CO2'!B29</f>
        <v>0</v>
      </c>
      <c r="H32" s="730">
        <f>+'PROD.FIG. '!F27</f>
        <v>0</v>
      </c>
      <c r="I32" s="730">
        <f>+'PROD.FIG. '!C27</f>
        <v>0</v>
      </c>
      <c r="J32" s="730">
        <f>+'PROD.FIG. '!D27</f>
        <v>0</v>
      </c>
      <c r="K32" s="730">
        <f>+'PROD.FIG. '!E27</f>
        <v>0</v>
      </c>
      <c r="L32" s="731"/>
      <c r="M32" s="726">
        <f t="shared" si="4"/>
        <v>0</v>
      </c>
      <c r="N32" s="726">
        <f t="shared" si="0"/>
        <v>0</v>
      </c>
      <c r="O32" s="726">
        <f t="shared" si="1"/>
        <v>0</v>
      </c>
      <c r="P32" s="726">
        <f t="shared" si="2"/>
        <v>0</v>
      </c>
      <c r="Q32" s="724"/>
      <c r="R32" s="725"/>
      <c r="S32" s="38"/>
      <c r="T32" s="38"/>
      <c r="U32" s="38"/>
    </row>
    <row r="33" spans="1:21" ht="15.75" thickBot="1" x14ac:dyDescent="0.25">
      <c r="A33" s="26">
        <v>24</v>
      </c>
      <c r="B33" s="722">
        <f>IF(('Entries March.''25'!I31-'Entries March.''25'!I30)+('Entries March.''25'!J31-'Entries March.''25'!J30)&lt;1,"0",('Entries March.''25'!I31-'Entries March.''25'!I30)+('Entries March.''25'!J31-'Entries March.''25'!J30))</f>
        <v>6456</v>
      </c>
      <c r="C33" s="729" t="str">
        <f>IF('Entries March.''25'!K31-'Entries March.''25'!K30&lt;=0,"0",'Entries March.''25'!K31-'Entries March.''25'!K30)</f>
        <v>0</v>
      </c>
      <c r="D33" s="722">
        <f t="shared" si="3"/>
        <v>6456</v>
      </c>
      <c r="E33" s="729">
        <f>'Water '!$S30</f>
        <v>180</v>
      </c>
      <c r="F33" s="722">
        <f>IF('Entries March.''25'!B31-'Entries March.''25'!B30&lt;1,"0",'Entries March.''25'!B31-'Entries March.''25'!B30)</f>
        <v>2750</v>
      </c>
      <c r="G33" s="723">
        <f>'CO2'!B30</f>
        <v>15.450000000000045</v>
      </c>
      <c r="H33" s="730">
        <f>+'PROD.FIG. '!F28</f>
        <v>0</v>
      </c>
      <c r="I33" s="730">
        <f>+'PROD.FIG. '!C28</f>
        <v>0</v>
      </c>
      <c r="J33" s="730">
        <f>+'PROD.FIG. '!D28</f>
        <v>0</v>
      </c>
      <c r="K33" s="730">
        <f>+'PROD.FIG. '!E28</f>
        <v>0</v>
      </c>
      <c r="L33" s="731"/>
      <c r="M33" s="726">
        <f t="shared" si="4"/>
        <v>0</v>
      </c>
      <c r="N33" s="726">
        <f t="shared" si="0"/>
        <v>0</v>
      </c>
      <c r="O33" s="726">
        <f t="shared" si="1"/>
        <v>0</v>
      </c>
      <c r="P33" s="726">
        <f t="shared" si="2"/>
        <v>0</v>
      </c>
      <c r="Q33" s="724"/>
      <c r="R33" s="725"/>
      <c r="S33" s="2"/>
      <c r="T33" s="2"/>
      <c r="U33" s="2"/>
    </row>
    <row r="34" spans="1:21" s="39" customFormat="1" ht="15.75" thickBot="1" x14ac:dyDescent="0.25">
      <c r="A34" s="41">
        <v>25</v>
      </c>
      <c r="B34" s="722">
        <f>IF(('Entries March.''25'!I32-'Entries March.''25'!I31)+('Entries March.''25'!J32-'Entries March.''25'!J31)&lt;1,"0",('Entries March.''25'!I32-'Entries March.''25'!I31)+('Entries March.''25'!J32-'Entries March.''25'!J31))</f>
        <v>7927</v>
      </c>
      <c r="C34" s="729" t="str">
        <f>IF('Entries March.''25'!K32-'Entries March.''25'!K31&lt;=0,"0",'Entries March.''25'!K32-'Entries March.''25'!K31)</f>
        <v>0</v>
      </c>
      <c r="D34" s="722">
        <f t="shared" si="3"/>
        <v>7927</v>
      </c>
      <c r="E34" s="729">
        <f>'Water '!$S31</f>
        <v>1720</v>
      </c>
      <c r="F34" s="722">
        <f>IF('Entries March.''25'!B32-'Entries March.''25'!B31&lt;1,"0",'Entries March.''25'!B32-'Entries March.''25'!B31)</f>
        <v>3100</v>
      </c>
      <c r="G34" s="723">
        <f>'CO2'!B31</f>
        <v>55.900000000000091</v>
      </c>
      <c r="H34" s="730">
        <f>+'PROD.FIG. '!F29</f>
        <v>0</v>
      </c>
      <c r="I34" s="730">
        <f>+'PROD.FIG. '!C29</f>
        <v>0</v>
      </c>
      <c r="J34" s="730">
        <f>+'PROD.FIG. '!D29</f>
        <v>0</v>
      </c>
      <c r="K34" s="730">
        <f>+'PROD.FIG. '!E29</f>
        <v>0</v>
      </c>
      <c r="L34" s="731"/>
      <c r="M34" s="726">
        <f t="shared" si="4"/>
        <v>0</v>
      </c>
      <c r="N34" s="726">
        <f t="shared" si="0"/>
        <v>0</v>
      </c>
      <c r="O34" s="726">
        <f t="shared" si="1"/>
        <v>0</v>
      </c>
      <c r="P34" s="726">
        <f t="shared" si="2"/>
        <v>0</v>
      </c>
      <c r="Q34" s="724"/>
      <c r="R34" s="725"/>
      <c r="S34" s="38"/>
      <c r="T34" s="38"/>
      <c r="U34" s="38"/>
    </row>
    <row r="35" spans="1:21" ht="15.75" thickBot="1" x14ac:dyDescent="0.25">
      <c r="A35" s="26">
        <v>26</v>
      </c>
      <c r="B35" s="722">
        <f>IF(('Entries March.''25'!I33-'Entries March.''25'!I32)+('Entries March.''25'!J33-'Entries March.''25'!J32)&lt;1,"0",('Entries March.''25'!I33-'Entries March.''25'!I32)+('Entries March.''25'!J33-'Entries March.''25'!J32))</f>
        <v>8652</v>
      </c>
      <c r="C35" s="729" t="str">
        <f>IF('Entries March.''25'!K33-'Entries March.''25'!K32&lt;=0,"0",'Entries March.''25'!K33-'Entries March.''25'!K32)</f>
        <v>0</v>
      </c>
      <c r="D35" s="722">
        <f t="shared" si="3"/>
        <v>8652</v>
      </c>
      <c r="E35" s="729">
        <f>'Water '!$S32</f>
        <v>4510</v>
      </c>
      <c r="F35" s="722">
        <f>IF('Entries March.''25'!B33-'Entries March.''25'!B32&lt;1,"0",'Entries March.''25'!B33-'Entries March.''25'!B32)</f>
        <v>3200</v>
      </c>
      <c r="G35" s="723">
        <f>'CO2'!B32</f>
        <v>48.950000000000045</v>
      </c>
      <c r="H35" s="730">
        <f>+'PROD.FIG. '!F30</f>
        <v>0</v>
      </c>
      <c r="I35" s="730">
        <f>+'PROD.FIG. '!C30</f>
        <v>0</v>
      </c>
      <c r="J35" s="730">
        <f>+'PROD.FIG. '!D30</f>
        <v>0</v>
      </c>
      <c r="K35" s="730">
        <f>+'PROD.FIG. '!E30</f>
        <v>0</v>
      </c>
      <c r="L35" s="731"/>
      <c r="M35" s="726">
        <f t="shared" si="4"/>
        <v>0</v>
      </c>
      <c r="N35" s="726">
        <f t="shared" si="0"/>
        <v>0</v>
      </c>
      <c r="O35" s="726">
        <f t="shared" si="1"/>
        <v>0</v>
      </c>
      <c r="P35" s="726">
        <f t="shared" si="2"/>
        <v>0</v>
      </c>
      <c r="Q35" s="724"/>
      <c r="R35" s="725"/>
      <c r="S35" s="2"/>
      <c r="T35" s="2"/>
      <c r="U35" s="2"/>
    </row>
    <row r="36" spans="1:21" s="39" customFormat="1" ht="15.75" thickBot="1" x14ac:dyDescent="0.25">
      <c r="A36" s="41">
        <v>27</v>
      </c>
      <c r="B36" s="722">
        <f>IF(('Entries March.''25'!I34-'Entries March.''25'!I33)+('Entries March.''25'!J34-'Entries March.''25'!J33)&lt;1,"0",('Entries March.''25'!I34-'Entries March.''25'!I33)+('Entries March.''25'!J34-'Entries March.''25'!J33))</f>
        <v>8051</v>
      </c>
      <c r="C36" s="729" t="str">
        <f>IF('Entries March.''25'!K34-'Entries March.''25'!K33&lt;=0,"0",'Entries March.''25'!K34-'Entries March.''25'!K33)</f>
        <v>0</v>
      </c>
      <c r="D36" s="722">
        <f t="shared" si="3"/>
        <v>8051</v>
      </c>
      <c r="E36" s="729">
        <f>'Water '!$S33</f>
        <v>400</v>
      </c>
      <c r="F36" s="722">
        <f>IF('Entries March.''25'!B34-'Entries March.''25'!B33&lt;1,"0",'Entries March.''25'!B34-'Entries March.''25'!B33)</f>
        <v>862</v>
      </c>
      <c r="G36" s="723">
        <f>'CO2'!B33</f>
        <v>47.209999999999809</v>
      </c>
      <c r="H36" s="730">
        <f>+'PROD.FIG. '!F31</f>
        <v>0</v>
      </c>
      <c r="I36" s="730">
        <f>+'PROD.FIG. '!C31</f>
        <v>0</v>
      </c>
      <c r="J36" s="730">
        <f>+'PROD.FIG. '!D31</f>
        <v>0</v>
      </c>
      <c r="K36" s="730">
        <f>+'PROD.FIG. '!E31</f>
        <v>0</v>
      </c>
      <c r="L36" s="731"/>
      <c r="M36" s="726">
        <f t="shared" si="4"/>
        <v>0</v>
      </c>
      <c r="N36" s="726">
        <f t="shared" si="0"/>
        <v>0</v>
      </c>
      <c r="O36" s="726">
        <f t="shared" si="1"/>
        <v>0</v>
      </c>
      <c r="P36" s="726">
        <f t="shared" si="2"/>
        <v>0</v>
      </c>
      <c r="Q36" s="724"/>
      <c r="R36" s="725"/>
      <c r="S36" s="38"/>
      <c r="T36" s="38"/>
      <c r="U36" s="38"/>
    </row>
    <row r="37" spans="1:21" ht="15.75" thickBot="1" x14ac:dyDescent="0.25">
      <c r="A37" s="26">
        <v>28</v>
      </c>
      <c r="B37" s="722">
        <f>IF(('Entries March.''25'!I35-'Entries March.''25'!I34)+('Entries March.''25'!J35-'Entries March.''25'!J34)&lt;1,"0",('Entries March.''25'!I35-'Entries March.''25'!I34)+('Entries March.''25'!J35-'Entries March.''25'!J34))</f>
        <v>6960</v>
      </c>
      <c r="C37" s="729" t="str">
        <f>IF('Entries March.''25'!K35-'Entries March.''25'!K34&lt;=0,"0",'Entries March.''25'!K35-'Entries March.''25'!K34)</f>
        <v>0</v>
      </c>
      <c r="D37" s="722">
        <f t="shared" si="3"/>
        <v>6960</v>
      </c>
      <c r="E37" s="729">
        <f>'Water '!$S34</f>
        <v>1450</v>
      </c>
      <c r="F37" s="722">
        <f>IF('Entries March.''25'!B35-'Entries March.''25'!B34&lt;1,"0",'Entries March.''25'!B35-'Entries March.''25'!B34)</f>
        <v>4458</v>
      </c>
      <c r="G37" s="723">
        <f>'CO2'!B34</f>
        <v>14.240000000000009</v>
      </c>
      <c r="H37" s="730">
        <f>+'PROD.FIG. '!F32</f>
        <v>0</v>
      </c>
      <c r="I37" s="730">
        <f>+'PROD.FIG. '!C32</f>
        <v>0</v>
      </c>
      <c r="J37" s="730">
        <f>+'PROD.FIG. '!D32</f>
        <v>0</v>
      </c>
      <c r="K37" s="730">
        <f>+'PROD.FIG. '!E32</f>
        <v>0</v>
      </c>
      <c r="L37" s="731"/>
      <c r="M37" s="726">
        <f t="shared" si="4"/>
        <v>0</v>
      </c>
      <c r="N37" s="726">
        <f t="shared" si="0"/>
        <v>0</v>
      </c>
      <c r="O37" s="726">
        <f t="shared" si="1"/>
        <v>0</v>
      </c>
      <c r="P37" s="726">
        <f t="shared" si="2"/>
        <v>0</v>
      </c>
      <c r="Q37" s="724"/>
      <c r="R37" s="725"/>
      <c r="S37" s="2"/>
      <c r="T37" s="2"/>
      <c r="U37" s="2"/>
    </row>
    <row r="38" spans="1:21" s="39" customFormat="1" ht="15.75" thickBot="1" x14ac:dyDescent="0.25">
      <c r="A38" s="41">
        <v>29</v>
      </c>
      <c r="B38" s="722">
        <f>IF(('Entries March.''25'!I36-'Entries March.''25'!I35)+('Entries March.''25'!J36-'Entries March.''25'!J35)&lt;1,"0",('Entries March.''25'!I36-'Entries March.''25'!I35)+('Entries March.''25'!J36-'Entries March.''25'!J35))</f>
        <v>4648</v>
      </c>
      <c r="C38" s="729" t="str">
        <f>IF('Entries March.''25'!K36-'Entries March.''25'!K35&lt;=0,"0",'Entries March.''25'!K36-'Entries March.''25'!K35)</f>
        <v>0</v>
      </c>
      <c r="D38" s="722">
        <f t="shared" si="3"/>
        <v>4648</v>
      </c>
      <c r="E38" s="729">
        <f>'Water '!$S35</f>
        <v>-40</v>
      </c>
      <c r="F38" s="722">
        <f>IF('Entries March.''25'!B36-'Entries March.''25'!B35&lt;1,"0",'Entries March.''25'!B36-'Entries March.''25'!B35)</f>
        <v>580</v>
      </c>
      <c r="G38" s="723" t="str">
        <f>'CO2'!B35</f>
        <v>0</v>
      </c>
      <c r="H38" s="730">
        <f>+'PROD.FIG. '!F33</f>
        <v>0</v>
      </c>
      <c r="I38" s="730">
        <f>+'PROD.FIG. '!C33</f>
        <v>0</v>
      </c>
      <c r="J38" s="730">
        <f>+'PROD.FIG. '!D33</f>
        <v>0</v>
      </c>
      <c r="K38" s="730">
        <f>+'PROD.FIG. '!E33</f>
        <v>0</v>
      </c>
      <c r="L38" s="731"/>
      <c r="M38" s="726">
        <f t="shared" si="4"/>
        <v>0</v>
      </c>
      <c r="N38" s="726">
        <f t="shared" si="0"/>
        <v>0</v>
      </c>
      <c r="O38" s="726">
        <f t="shared" si="1"/>
        <v>0</v>
      </c>
      <c r="P38" s="726">
        <f t="shared" si="2"/>
        <v>0</v>
      </c>
      <c r="Q38" s="724"/>
      <c r="R38" s="725"/>
      <c r="S38" s="38"/>
      <c r="T38" s="38"/>
      <c r="U38" s="38"/>
    </row>
    <row r="39" spans="1:21" ht="15.75" thickBot="1" x14ac:dyDescent="0.25">
      <c r="A39" s="26">
        <v>30</v>
      </c>
      <c r="B39" s="722">
        <f>IF(('Entries March.''25'!I37-'Entries March.''25'!I36)+('Entries March.''25'!J37-'Entries March.''25'!J36)&lt;1,"0",('Entries March.''25'!I37-'Entries March.''25'!I36)+('Entries March.''25'!J37-'Entries March.''25'!J36))</f>
        <v>4825</v>
      </c>
      <c r="C39" s="729" t="str">
        <f>IF('Entries March.''25'!K37-'Entries March.''25'!K36&lt;=0,"0",'Entries March.''25'!K37-'Entries March.''25'!K36)</f>
        <v>0</v>
      </c>
      <c r="D39" s="722">
        <f t="shared" si="3"/>
        <v>4825</v>
      </c>
      <c r="E39" s="729">
        <f>'Water '!$S36</f>
        <v>0</v>
      </c>
      <c r="F39" s="722">
        <f>IF('Entries March.''25'!B37-'Entries March.''25'!B36&lt;1,"0",'Entries March.''25'!B37-'Entries March.''25'!B36)</f>
        <v>810</v>
      </c>
      <c r="G39" s="723" t="str">
        <f>'CO2'!B36</f>
        <v>0</v>
      </c>
      <c r="H39" s="730">
        <f>+'PROD.FIG. '!F34</f>
        <v>0</v>
      </c>
      <c r="I39" s="730">
        <f>+'PROD.FIG. '!C34</f>
        <v>0</v>
      </c>
      <c r="J39" s="730">
        <f>+'PROD.FIG. '!D34</f>
        <v>0</v>
      </c>
      <c r="K39" s="730">
        <f>+'PROD.FIG. '!E34</f>
        <v>0</v>
      </c>
      <c r="L39" s="731"/>
      <c r="M39" s="726">
        <f t="shared" si="4"/>
        <v>0</v>
      </c>
      <c r="N39" s="726">
        <f t="shared" si="0"/>
        <v>0</v>
      </c>
      <c r="O39" s="726">
        <f t="shared" si="1"/>
        <v>0</v>
      </c>
      <c r="P39" s="726">
        <f t="shared" si="2"/>
        <v>0</v>
      </c>
      <c r="Q39" s="724"/>
      <c r="R39" s="725"/>
      <c r="S39" s="2"/>
      <c r="T39" s="2"/>
      <c r="U39" s="2"/>
    </row>
    <row r="40" spans="1:21" s="39" customFormat="1" ht="15" x14ac:dyDescent="0.2">
      <c r="A40" s="41">
        <v>31</v>
      </c>
      <c r="B40" s="722">
        <f>IF(('Entries March.''25'!I38-'Entries March.''25'!I37)+('Entries March.''25'!J38-'Entries March.''25'!J37)&lt;1,"0",('Entries March.''25'!I38-'Entries March.''25'!I37)+('Entries March.''25'!J38-'Entries March.''25'!J37))</f>
        <v>7462</v>
      </c>
      <c r="C40" s="729" t="str">
        <f>IF('Entries March.''25'!K38-'Entries March.''25'!K37&lt;=0,"0",'Entries March.''25'!K38-'Entries March.''25'!K37)</f>
        <v>0</v>
      </c>
      <c r="D40" s="722">
        <f t="shared" si="3"/>
        <v>7462</v>
      </c>
      <c r="E40" s="729">
        <f>'Water '!$S37</f>
        <v>620</v>
      </c>
      <c r="F40" s="722">
        <f>IF('Entries March.''25'!B38-'Entries March.''25'!B37&lt;1,"0",'Entries March.''25'!B38-'Entries March.''25'!B37)</f>
        <v>2670</v>
      </c>
      <c r="G40" s="723">
        <f>'CO2'!B37</f>
        <v>42.060000000000173</v>
      </c>
      <c r="H40" s="730">
        <f>+'PROD.FIG. '!F35</f>
        <v>0</v>
      </c>
      <c r="I40" s="730">
        <f>+'PROD.FIG. '!C35</f>
        <v>0</v>
      </c>
      <c r="J40" s="730">
        <f>+'PROD.FIG. '!D35</f>
        <v>0</v>
      </c>
      <c r="K40" s="730">
        <f>+'PROD.FIG. '!E35</f>
        <v>0</v>
      </c>
      <c r="L40" s="731"/>
      <c r="M40" s="732">
        <f t="shared" si="4"/>
        <v>0</v>
      </c>
      <c r="N40" s="732">
        <f t="shared" si="0"/>
        <v>0</v>
      </c>
      <c r="O40" s="732">
        <f t="shared" si="1"/>
        <v>0</v>
      </c>
      <c r="P40" s="732">
        <f t="shared" si="2"/>
        <v>0</v>
      </c>
      <c r="Q40" s="727"/>
      <c r="R40" s="728"/>
      <c r="S40" s="38"/>
      <c r="T40" s="38"/>
      <c r="U40" s="38"/>
    </row>
    <row r="41" spans="1:21" ht="15" x14ac:dyDescent="0.2">
      <c r="A41" s="25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2"/>
      <c r="R41" s="2"/>
      <c r="S41" s="2"/>
      <c r="T41" s="2"/>
      <c r="U41" s="2"/>
    </row>
    <row r="42" spans="1:21" ht="15" x14ac:dyDescent="0.2">
      <c r="A42" s="6"/>
      <c r="B42" s="28" t="s">
        <v>21</v>
      </c>
      <c r="C42" s="28" t="s">
        <v>21</v>
      </c>
      <c r="D42" s="28" t="s">
        <v>21</v>
      </c>
      <c r="E42" s="28" t="s">
        <v>87</v>
      </c>
      <c r="F42" s="28" t="s">
        <v>88</v>
      </c>
      <c r="G42" s="28" t="s">
        <v>95</v>
      </c>
      <c r="H42" s="28" t="s">
        <v>20</v>
      </c>
      <c r="I42" s="28" t="s">
        <v>20</v>
      </c>
      <c r="J42" s="28" t="s">
        <v>20</v>
      </c>
      <c r="K42" s="28" t="s">
        <v>20</v>
      </c>
      <c r="L42" s="28" t="s">
        <v>20</v>
      </c>
      <c r="M42" s="28" t="s">
        <v>13</v>
      </c>
      <c r="N42" s="28" t="s">
        <v>68</v>
      </c>
      <c r="O42" s="28" t="s">
        <v>16</v>
      </c>
      <c r="P42" s="28" t="s">
        <v>71</v>
      </c>
      <c r="Q42" s="2"/>
      <c r="R42" s="2"/>
      <c r="S42" s="2"/>
      <c r="T42" s="2"/>
      <c r="U42" s="2"/>
    </row>
    <row r="43" spans="1:21" ht="15.75" x14ac:dyDescent="0.25">
      <c r="A43" s="19" t="s">
        <v>19</v>
      </c>
      <c r="B43" s="20">
        <f>SUM(B10:B40)</f>
        <v>214318</v>
      </c>
      <c r="C43" s="20">
        <f t="shared" ref="C43" si="5">SUM(C10:C40)</f>
        <v>1600</v>
      </c>
      <c r="D43" s="20">
        <f>SUM(D10:D40)</f>
        <v>215918</v>
      </c>
      <c r="E43" s="20">
        <f t="shared" ref="E43:P43" si="6">SUM(E10:E40)</f>
        <v>48030</v>
      </c>
      <c r="F43" s="20">
        <f t="shared" si="6"/>
        <v>63570</v>
      </c>
      <c r="G43" s="20">
        <f t="shared" si="6"/>
        <v>733.5200000000001</v>
      </c>
      <c r="H43" s="20">
        <f t="shared" si="6"/>
        <v>0</v>
      </c>
      <c r="I43" s="20">
        <f t="shared" si="6"/>
        <v>0</v>
      </c>
      <c r="J43" s="20">
        <f t="shared" si="6"/>
        <v>0</v>
      </c>
      <c r="K43" s="20">
        <f t="shared" si="6"/>
        <v>0</v>
      </c>
      <c r="L43" s="20">
        <f t="shared" si="6"/>
        <v>0</v>
      </c>
      <c r="M43" s="20">
        <f t="shared" si="6"/>
        <v>0</v>
      </c>
      <c r="N43" s="20">
        <f t="shared" si="6"/>
        <v>0</v>
      </c>
      <c r="O43" s="20">
        <f t="shared" si="6"/>
        <v>0</v>
      </c>
      <c r="P43" s="20">
        <f t="shared" si="6"/>
        <v>0</v>
      </c>
      <c r="Q43" s="2"/>
      <c r="R43" s="2"/>
      <c r="S43" s="2"/>
      <c r="T43" s="2"/>
      <c r="U43" s="2"/>
    </row>
    <row r="44" spans="1:21" ht="16.5" x14ac:dyDescent="0.25">
      <c r="A44" s="4"/>
      <c r="B44" s="7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2"/>
      <c r="Q44" s="2"/>
      <c r="R44" s="2"/>
      <c r="S44" s="2"/>
      <c r="T44" s="2"/>
      <c r="U44" s="2"/>
    </row>
    <row r="45" spans="1:2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</sheetData>
  <mergeCells count="5">
    <mergeCell ref="Q8:R8"/>
    <mergeCell ref="M7:P7"/>
    <mergeCell ref="B7:B8"/>
    <mergeCell ref="C7:C8"/>
    <mergeCell ref="D7:D8"/>
  </mergeCells>
  <phoneticPr fontId="0" type="noConversion"/>
  <conditionalFormatting sqref="M10:M40">
    <cfRule type="cellIs" dxfId="41" priority="2" stopIfTrue="1" operator="greaterThan">
      <formula>35</formula>
    </cfRule>
  </conditionalFormatting>
  <conditionalFormatting sqref="N10:N40">
    <cfRule type="cellIs" dxfId="40" priority="1" stopIfTrue="1" operator="greaterThan">
      <formula>11</formula>
    </cfRule>
  </conditionalFormatting>
  <conditionalFormatting sqref="O10:O40">
    <cfRule type="cellIs" dxfId="39" priority="3" stopIfTrue="1" operator="greaterThan">
      <formula>9</formula>
    </cfRule>
  </conditionalFormatting>
  <conditionalFormatting sqref="P10:P40">
    <cfRule type="cellIs" dxfId="38" priority="4" stopIfTrue="1" operator="greaterThan">
      <formula>4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11" workbookViewId="0">
      <selection activeCell="B9" sqref="B9"/>
    </sheetView>
  </sheetViews>
  <sheetFormatPr defaultRowHeight="12.75" x14ac:dyDescent="0.2"/>
  <cols>
    <col min="2" max="2" width="13.28515625" customWidth="1"/>
    <col min="3" max="3" width="9.140625" style="630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14" t="s">
        <v>7</v>
      </c>
      <c r="B3" s="816" t="s">
        <v>253</v>
      </c>
    </row>
    <row r="4" spans="1:4" ht="15" customHeight="1" x14ac:dyDescent="0.2">
      <c r="A4" s="815"/>
      <c r="B4" s="817"/>
    </row>
    <row r="5" spans="1:4" ht="15" x14ac:dyDescent="0.2">
      <c r="A5" s="60">
        <v>1</v>
      </c>
      <c r="B5" s="71" t="str">
        <f>IF('Entries March.''25'!AJ8-'Entries March.''25'!AJ7&lt;1,"0",'Entries March.''25'!AJ8-'Entries March.''25'!AJ7)</f>
        <v>0</v>
      </c>
      <c r="D5" s="631"/>
    </row>
    <row r="6" spans="1:4" ht="15" x14ac:dyDescent="0.2">
      <c r="A6" s="60">
        <v>2</v>
      </c>
      <c r="B6" s="71" t="str">
        <f>IF('Entries March.''25'!AJ9-'Entries March.''25'!AJ8&lt;1,"0",'Entries March.''25'!AJ9-'Entries March.''25'!AJ8)</f>
        <v>0</v>
      </c>
      <c r="D6" s="631"/>
    </row>
    <row r="7" spans="1:4" ht="15" x14ac:dyDescent="0.2">
      <c r="A7" s="60">
        <v>3</v>
      </c>
      <c r="B7" s="71">
        <f>IF('Entries March.''25'!AJ10-'Entries March.''25'!AJ9&lt;1,"0",'Entries March.''25'!AJ10-'Entries March.''25'!AJ9)</f>
        <v>153.61299999989569</v>
      </c>
      <c r="D7" s="631"/>
    </row>
    <row r="8" spans="1:4" ht="15" x14ac:dyDescent="0.2">
      <c r="A8" s="60">
        <v>4</v>
      </c>
      <c r="B8" s="71">
        <f>IF('Entries March.''25'!AJ11-'Entries March.''25'!AJ10&lt;1,"0",'Entries March.''25'!AJ11-'Entries March.''25'!AJ10)</f>
        <v>124.46700000017881</v>
      </c>
      <c r="D8" s="631"/>
    </row>
    <row r="9" spans="1:4" ht="15" x14ac:dyDescent="0.2">
      <c r="A9" s="60">
        <v>5</v>
      </c>
      <c r="B9" s="71">
        <f>IF('Entries March.''25'!AJ12-'Entries March.''25'!AJ11&lt;1,"0",'Entries March.''25'!AJ12-'Entries March.''25'!AJ11)</f>
        <v>10.484999999403954</v>
      </c>
      <c r="D9" s="631"/>
    </row>
    <row r="10" spans="1:4" ht="15" x14ac:dyDescent="0.2">
      <c r="A10" s="60">
        <v>6</v>
      </c>
      <c r="B10" s="71">
        <f>IF('Entries March.''25'!AJ13-'Entries March.''25'!AJ12&lt;1,"0",'Entries March.''25'!AJ13-'Entries March.''25'!AJ12)</f>
        <v>703.62600000016391</v>
      </c>
      <c r="D10" s="631"/>
    </row>
    <row r="11" spans="1:4" ht="15" x14ac:dyDescent="0.2">
      <c r="A11" s="60">
        <v>7</v>
      </c>
      <c r="B11" s="71">
        <f>IF('Entries March.''25'!AJ14-'Entries March.''25'!AJ13&lt;1,"0",'Entries March.''25'!AJ14-'Entries March.''25'!AJ13)</f>
        <v>335.78299999982119</v>
      </c>
      <c r="D11" s="631"/>
    </row>
    <row r="12" spans="1:4" ht="15" x14ac:dyDescent="0.2">
      <c r="A12" s="60">
        <v>8</v>
      </c>
      <c r="B12" s="71">
        <f>IF('Entries March.''25'!AJ15-'Entries March.''25'!AJ14&lt;1,"0",'Entries March.''25'!AJ15-'Entries March.''25'!AJ14)</f>
        <v>335.7839999999851</v>
      </c>
      <c r="D12" s="631"/>
    </row>
    <row r="13" spans="1:4" ht="15" x14ac:dyDescent="0.2">
      <c r="A13" s="60">
        <v>9</v>
      </c>
      <c r="B13" s="71" t="str">
        <f>IF('Entries March.''25'!AJ16-'Entries March.''25'!AJ15&lt;1,"0",'Entries March.''25'!AJ16-'Entries March.''25'!AJ15)</f>
        <v>0</v>
      </c>
      <c r="D13" s="631"/>
    </row>
    <row r="14" spans="1:4" ht="15" x14ac:dyDescent="0.2">
      <c r="A14" s="60">
        <v>10</v>
      </c>
      <c r="B14" s="71">
        <f>IF('Entries March.''25'!AJ17-'Entries March.''25'!AJ16&lt;1,"0",'Entries March.''25'!AJ17-'Entries March.''25'!AJ16)</f>
        <v>3.8059999998658895</v>
      </c>
      <c r="D14" s="631"/>
    </row>
    <row r="15" spans="1:4" ht="15" x14ac:dyDescent="0.2">
      <c r="A15" s="60">
        <v>11</v>
      </c>
      <c r="B15" s="71">
        <f>IF('Entries March.''25'!AJ18-'Entries March.''25'!AJ17&lt;1,"0",'Entries March.''25'!AJ18-'Entries March.''25'!AJ17)</f>
        <v>130.37100000027567</v>
      </c>
      <c r="D15" s="631"/>
    </row>
    <row r="16" spans="1:4" ht="15" x14ac:dyDescent="0.2">
      <c r="A16" s="60">
        <v>12</v>
      </c>
      <c r="B16" s="71">
        <f>IF('Entries March.''25'!AJ19-'Entries March.''25'!AJ18&lt;1,"0",'Entries March.''25'!AJ19-'Entries March.''25'!AJ18)</f>
        <v>54.878000000491738</v>
      </c>
      <c r="D16" s="631"/>
    </row>
    <row r="17" spans="1:4" ht="15" x14ac:dyDescent="0.2">
      <c r="A17" s="60">
        <v>13</v>
      </c>
      <c r="B17" s="71">
        <f>IF('Entries March.''25'!AJ20-'Entries March.''25'!AJ19&lt;1,"0",'Entries March.''25'!AJ20-'Entries March.''25'!AJ19)</f>
        <v>7.6159999994561076</v>
      </c>
      <c r="D17" s="631"/>
    </row>
    <row r="18" spans="1:4" ht="15" x14ac:dyDescent="0.2">
      <c r="A18" s="60">
        <v>14</v>
      </c>
      <c r="B18" s="71" t="str">
        <f>IF('Entries March.''25'!AJ21-'Entries March.''25'!AJ20&lt;1,"0",'Entries March.''25'!AJ21-'Entries March.''25'!AJ20)</f>
        <v>0</v>
      </c>
      <c r="D18" s="631"/>
    </row>
    <row r="19" spans="1:4" ht="15" x14ac:dyDescent="0.2">
      <c r="A19" s="60">
        <v>15</v>
      </c>
      <c r="B19" s="71" t="str">
        <f>IF('Entries March.''25'!AJ22-'Entries March.''25'!AJ21&lt;1,"0",'Entries March.''25'!AJ22-'Entries March.''25'!AJ21)</f>
        <v>0</v>
      </c>
      <c r="D19" s="631"/>
    </row>
    <row r="20" spans="1:4" ht="15" x14ac:dyDescent="0.2">
      <c r="A20" s="60">
        <v>16</v>
      </c>
      <c r="B20" s="71" t="str">
        <f>IF('Entries March.''25'!AJ23-'Entries March.''25'!AJ22&lt;1,"0",'Entries March.''25'!AJ23-'Entries March.''25'!AJ22)</f>
        <v>0</v>
      </c>
      <c r="D20" s="631"/>
    </row>
    <row r="21" spans="1:4" ht="15" x14ac:dyDescent="0.2">
      <c r="A21" s="60">
        <v>17</v>
      </c>
      <c r="B21" s="71" t="str">
        <f>IF('Entries March.''25'!AJ24-'Entries March.''25'!AJ23&lt;1,"0",'Entries March.''25'!AJ24-'Entries March.''25'!AJ23)</f>
        <v>0</v>
      </c>
      <c r="D21" s="631"/>
    </row>
    <row r="22" spans="1:4" ht="15" x14ac:dyDescent="0.2">
      <c r="A22" s="60">
        <v>18</v>
      </c>
      <c r="B22" s="71">
        <f>IF('Entries March.''25'!AJ25-'Entries March.''25'!AJ24&lt;1,"0",'Entries March.''25'!AJ25-'Entries March.''25'!AJ24)</f>
        <v>18.782999999821186</v>
      </c>
      <c r="D22" s="631"/>
    </row>
    <row r="23" spans="1:4" ht="15" x14ac:dyDescent="0.2">
      <c r="A23" s="60">
        <v>19</v>
      </c>
      <c r="B23" s="71" t="str">
        <f>IF('Entries March.''25'!AJ26-'Entries March.''25'!AJ25&lt;1,"0",'Entries March.''25'!AJ26-'Entries March.''25'!AJ25)</f>
        <v>0</v>
      </c>
      <c r="D23" s="631"/>
    </row>
    <row r="24" spans="1:4" ht="15" x14ac:dyDescent="0.2">
      <c r="A24" s="60">
        <v>20</v>
      </c>
      <c r="B24" s="71" t="str">
        <f>IF('Entries March.''25'!AJ27-'Entries March.''25'!AJ26&lt;1,"0",'Entries March.''25'!AJ27-'Entries March.''25'!AJ26)</f>
        <v>0</v>
      </c>
      <c r="D24" s="631"/>
    </row>
    <row r="25" spans="1:4" ht="15" x14ac:dyDescent="0.2">
      <c r="A25" s="60">
        <v>21</v>
      </c>
      <c r="B25" s="71" t="str">
        <f>IF('Entries March.''25'!AJ28-'Entries March.''25'!AJ27&lt;1,"0",'Entries March.''25'!AJ28-'Entries March.''25'!AJ27)</f>
        <v>0</v>
      </c>
      <c r="D25" s="631"/>
    </row>
    <row r="26" spans="1:4" ht="15" x14ac:dyDescent="0.2">
      <c r="A26" s="60">
        <v>22</v>
      </c>
      <c r="B26" s="71">
        <f>IF('Entries March.''25'!AJ29-'Entries March.''25'!AJ28&lt;1,"0",'Entries March.''25'!AJ29-'Entries March.''25'!AJ28)</f>
        <v>16.254000000655651</v>
      </c>
      <c r="D26" s="631"/>
    </row>
    <row r="27" spans="1:4" ht="15" x14ac:dyDescent="0.2">
      <c r="A27" s="60">
        <v>23</v>
      </c>
      <c r="B27" s="71">
        <f>IF('Entries March.''25'!AJ30-'Entries March.''25'!AJ29&lt;1,"0",'Entries March.''25'!AJ30-'Entries March.''25'!AJ29)</f>
        <v>1.0889999996870756</v>
      </c>
      <c r="D27" s="631"/>
    </row>
    <row r="28" spans="1:4" ht="15" x14ac:dyDescent="0.2">
      <c r="A28" s="60">
        <v>24</v>
      </c>
      <c r="B28" s="71" t="str">
        <f>IF('Entries March.''25'!AJ31-'Entries March.''25'!AJ30&lt;1,"0",'Entries March.''25'!AJ31-'Entries March.''25'!AJ30)</f>
        <v>0</v>
      </c>
      <c r="D28" s="631"/>
    </row>
    <row r="29" spans="1:4" ht="15" x14ac:dyDescent="0.2">
      <c r="A29" s="60">
        <v>25</v>
      </c>
      <c r="B29" s="71" t="str">
        <f>IF('Entries March.''25'!AJ32-'Entries March.''25'!AJ31&lt;1,"0",'Entries March.''25'!AJ32-'Entries March.''25'!AJ31)</f>
        <v>0</v>
      </c>
      <c r="D29" s="631"/>
    </row>
    <row r="30" spans="1:4" ht="15" x14ac:dyDescent="0.2">
      <c r="A30" s="60">
        <v>26</v>
      </c>
      <c r="B30" s="71" t="str">
        <f>IF('Entries March.''25'!AJ33-'Entries March.''25'!AJ32&lt;1,"0",'Entries March.''25'!AJ33-'Entries March.''25'!AJ32)</f>
        <v>0</v>
      </c>
      <c r="D30" s="631"/>
    </row>
    <row r="31" spans="1:4" ht="15" x14ac:dyDescent="0.2">
      <c r="A31" s="60">
        <v>27</v>
      </c>
      <c r="B31" s="71" t="str">
        <f>IF('Entries March.''25'!AJ34-'Entries March.''25'!AJ33&lt;1,"0",'Entries March.''25'!AJ34-'Entries March.''25'!AJ33)</f>
        <v>0</v>
      </c>
      <c r="D31" s="631"/>
    </row>
    <row r="32" spans="1:4" ht="15" x14ac:dyDescent="0.2">
      <c r="A32" s="60">
        <v>28</v>
      </c>
      <c r="B32" s="71" t="str">
        <f>IF('Entries March.''25'!AJ35-'Entries March.''25'!AJ34&lt;1,"0",'Entries March.''25'!AJ35-'Entries March.''25'!AJ34)</f>
        <v>0</v>
      </c>
      <c r="D32" s="631"/>
    </row>
    <row r="33" spans="1:2" ht="15" x14ac:dyDescent="0.2">
      <c r="A33" s="60">
        <v>29</v>
      </c>
      <c r="B33" s="71">
        <f>IF('Entries March.''25'!AJ36-'Entries March.''25'!AJ35&lt;1,"0",'Entries March.''25'!AJ36-'Entries March.''25'!AJ35)</f>
        <v>6.7709999997168779</v>
      </c>
    </row>
    <row r="34" spans="1:2" ht="15" x14ac:dyDescent="0.2">
      <c r="A34" s="60">
        <v>30</v>
      </c>
      <c r="B34" s="71" t="str">
        <f>IF('Entries March.''25'!AJ37-'Entries March.''25'!AJ36&lt;1,"0",'Entries March.''25'!AJ37-'Entries March.''25'!AJ36)</f>
        <v>0</v>
      </c>
    </row>
    <row r="35" spans="1:2" ht="15" x14ac:dyDescent="0.2">
      <c r="A35" s="60">
        <v>31</v>
      </c>
      <c r="B35" s="71">
        <f>IF('Entries March.''25'!AJ38-'Entries March.''25'!AJ37&lt;1,"0",'Entries March.''25'!AJ38-'Entries March.''25'!AJ37)</f>
        <v>24.428000000305474</v>
      </c>
    </row>
    <row r="36" spans="1:2" ht="15.75" x14ac:dyDescent="0.25">
      <c r="A36" s="68"/>
      <c r="B36" s="667">
        <f>SUM(B5:B35)</f>
        <v>1927.7539999997243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Z40"/>
  <sheetViews>
    <sheetView topLeftCell="A11" workbookViewId="0">
      <selection activeCell="C15" sqref="C15"/>
    </sheetView>
  </sheetViews>
  <sheetFormatPr defaultRowHeight="12.75" x14ac:dyDescent="0.2"/>
  <cols>
    <col min="2" max="2" width="13.28515625" customWidth="1"/>
    <col min="3" max="3" width="19.85546875" style="28" customWidth="1"/>
    <col min="4" max="4" width="19.28515625" customWidth="1"/>
    <col min="5" max="5" width="13.140625" customWidth="1"/>
    <col min="6" max="6" width="17.28515625" style="668" customWidth="1"/>
    <col min="7" max="7" width="15.7109375" style="639" customWidth="1"/>
    <col min="8" max="8" width="9.140625" style="28"/>
    <col min="10" max="10" width="9.140625" style="629"/>
    <col min="11" max="13" width="9.140625" style="290"/>
    <col min="14" max="14" width="10.7109375" style="290" customWidth="1"/>
    <col min="15" max="15" width="11" customWidth="1"/>
    <col min="17" max="17" width="13.7109375" style="111" customWidth="1"/>
  </cols>
  <sheetData>
    <row r="1" spans="1:104" ht="15" x14ac:dyDescent="0.2">
      <c r="A1" s="8"/>
      <c r="B1" s="8"/>
      <c r="C1" s="11"/>
      <c r="D1" s="8"/>
    </row>
    <row r="2" spans="1:104" ht="15" x14ac:dyDescent="0.2">
      <c r="A2" s="8"/>
      <c r="B2" s="8"/>
      <c r="C2" s="11"/>
      <c r="D2" s="8"/>
    </row>
    <row r="3" spans="1:104" ht="15.75" x14ac:dyDescent="0.25">
      <c r="A3" s="632" t="s">
        <v>274</v>
      </c>
      <c r="B3" s="1"/>
      <c r="C3" s="115"/>
      <c r="D3" s="1"/>
    </row>
    <row r="4" spans="1:104" ht="15.75" thickBot="1" x14ac:dyDescent="0.25">
      <c r="A4" s="8"/>
      <c r="B4" s="8"/>
      <c r="C4" s="11"/>
      <c r="D4" s="8"/>
      <c r="E4" s="366" t="s">
        <v>270</v>
      </c>
      <c r="F4" s="669"/>
      <c r="G4" s="640" t="s">
        <v>61</v>
      </c>
    </row>
    <row r="5" spans="1:104" x14ac:dyDescent="0.2">
      <c r="A5" s="814" t="s">
        <v>7</v>
      </c>
      <c r="B5" s="816" t="s">
        <v>272</v>
      </c>
      <c r="C5" s="824" t="s">
        <v>271</v>
      </c>
      <c r="D5" s="822" t="s">
        <v>263</v>
      </c>
      <c r="E5" s="820" t="s">
        <v>269</v>
      </c>
      <c r="F5" s="818" t="s">
        <v>273</v>
      </c>
      <c r="H5" s="290"/>
      <c r="I5" s="28"/>
      <c r="K5"/>
      <c r="L5" s="290" t="s">
        <v>196</v>
      </c>
      <c r="M5" s="290" t="s">
        <v>197</v>
      </c>
      <c r="N5" s="290" t="s">
        <v>198</v>
      </c>
      <c r="O5" s="290" t="s">
        <v>193</v>
      </c>
      <c r="S5">
        <v>4</v>
      </c>
      <c r="T5" t="s">
        <v>159</v>
      </c>
      <c r="U5" t="s">
        <v>158</v>
      </c>
      <c r="V5">
        <v>5</v>
      </c>
      <c r="W5" t="s">
        <v>159</v>
      </c>
      <c r="X5" t="s">
        <v>160</v>
      </c>
      <c r="Y5">
        <v>6</v>
      </c>
      <c r="Z5" t="s">
        <v>159</v>
      </c>
      <c r="AA5" t="s">
        <v>158</v>
      </c>
      <c r="AB5">
        <v>7</v>
      </c>
      <c r="AC5" t="s">
        <v>159</v>
      </c>
      <c r="AD5" t="s">
        <v>160</v>
      </c>
      <c r="AE5">
        <v>8</v>
      </c>
      <c r="AF5" t="s">
        <v>159</v>
      </c>
      <c r="AG5" t="s">
        <v>158</v>
      </c>
      <c r="AH5">
        <v>9</v>
      </c>
      <c r="AI5" t="s">
        <v>159</v>
      </c>
      <c r="AJ5" t="s">
        <v>160</v>
      </c>
      <c r="AK5">
        <v>10</v>
      </c>
      <c r="AL5" t="s">
        <v>159</v>
      </c>
      <c r="AM5" t="s">
        <v>158</v>
      </c>
      <c r="AN5">
        <v>11</v>
      </c>
      <c r="AO5" t="s">
        <v>159</v>
      </c>
      <c r="AP5" t="s">
        <v>160</v>
      </c>
      <c r="AQ5">
        <v>12</v>
      </c>
      <c r="AR5" t="s">
        <v>159</v>
      </c>
      <c r="AS5" t="s">
        <v>158</v>
      </c>
      <c r="AT5">
        <v>13</v>
      </c>
      <c r="AU5" t="s">
        <v>159</v>
      </c>
      <c r="AV5" t="s">
        <v>160</v>
      </c>
      <c r="AW5">
        <v>14</v>
      </c>
      <c r="AX5" t="s">
        <v>159</v>
      </c>
      <c r="AY5" t="s">
        <v>158</v>
      </c>
      <c r="AZ5">
        <v>15</v>
      </c>
      <c r="BA5" t="s">
        <v>159</v>
      </c>
      <c r="BB5" t="s">
        <v>160</v>
      </c>
      <c r="BC5">
        <v>16</v>
      </c>
      <c r="BD5" t="s">
        <v>159</v>
      </c>
      <c r="BE5" t="s">
        <v>158</v>
      </c>
      <c r="BF5">
        <v>17</v>
      </c>
      <c r="BG5" t="s">
        <v>159</v>
      </c>
      <c r="BH5" t="s">
        <v>160</v>
      </c>
      <c r="BI5">
        <v>18</v>
      </c>
      <c r="BJ5" t="s">
        <v>159</v>
      </c>
      <c r="BK5" t="s">
        <v>158</v>
      </c>
      <c r="BL5">
        <v>19</v>
      </c>
      <c r="BM5" t="s">
        <v>159</v>
      </c>
      <c r="BN5" t="s">
        <v>160</v>
      </c>
      <c r="BO5">
        <v>20</v>
      </c>
      <c r="BP5" t="s">
        <v>159</v>
      </c>
      <c r="BQ5" t="s">
        <v>158</v>
      </c>
      <c r="BR5">
        <v>21</v>
      </c>
      <c r="BS5" t="s">
        <v>159</v>
      </c>
      <c r="BT5" t="s">
        <v>160</v>
      </c>
      <c r="BU5">
        <v>22</v>
      </c>
      <c r="BV5" t="s">
        <v>159</v>
      </c>
      <c r="BW5" t="s">
        <v>158</v>
      </c>
      <c r="BX5">
        <v>23</v>
      </c>
      <c r="BY5" t="s">
        <v>159</v>
      </c>
      <c r="BZ5" t="s">
        <v>160</v>
      </c>
      <c r="CA5">
        <v>24</v>
      </c>
      <c r="CB5" t="s">
        <v>159</v>
      </c>
      <c r="CC5" t="s">
        <v>158</v>
      </c>
      <c r="CD5">
        <v>25</v>
      </c>
      <c r="CE5" t="s">
        <v>159</v>
      </c>
      <c r="CF5" t="s">
        <v>160</v>
      </c>
      <c r="CG5">
        <v>26</v>
      </c>
      <c r="CH5" t="s">
        <v>159</v>
      </c>
      <c r="CI5" t="s">
        <v>158</v>
      </c>
      <c r="CJ5">
        <v>27</v>
      </c>
      <c r="CK5" t="s">
        <v>159</v>
      </c>
      <c r="CL5" t="s">
        <v>160</v>
      </c>
      <c r="CM5">
        <v>28</v>
      </c>
      <c r="CN5" t="s">
        <v>159</v>
      </c>
      <c r="CO5" t="s">
        <v>158</v>
      </c>
      <c r="CP5">
        <v>29</v>
      </c>
      <c r="CQ5" t="s">
        <v>159</v>
      </c>
      <c r="CR5" t="s">
        <v>160</v>
      </c>
      <c r="CS5">
        <v>30</v>
      </c>
      <c r="CT5" t="s">
        <v>159</v>
      </c>
      <c r="CU5" t="s">
        <v>158</v>
      </c>
      <c r="CV5">
        <v>31</v>
      </c>
      <c r="CW5" t="s">
        <v>159</v>
      </c>
      <c r="CX5" t="s">
        <v>160</v>
      </c>
      <c r="CY5">
        <v>2</v>
      </c>
      <c r="CZ5" t="s">
        <v>159</v>
      </c>
    </row>
    <row r="6" spans="1:104" ht="15" customHeight="1" thickBot="1" x14ac:dyDescent="0.25">
      <c r="A6" s="815"/>
      <c r="B6" s="817"/>
      <c r="C6" s="825"/>
      <c r="D6" s="823"/>
      <c r="E6" s="821"/>
      <c r="F6" s="819"/>
      <c r="H6" s="290" t="s">
        <v>164</v>
      </c>
      <c r="I6" s="28"/>
      <c r="K6"/>
      <c r="O6" s="290"/>
      <c r="U6">
        <v>630</v>
      </c>
      <c r="AA6">
        <v>630</v>
      </c>
      <c r="AG6">
        <v>630</v>
      </c>
      <c r="AM6">
        <v>630</v>
      </c>
      <c r="AS6">
        <v>630</v>
      </c>
      <c r="AY6">
        <v>630</v>
      </c>
      <c r="BE6">
        <v>630</v>
      </c>
      <c r="BK6">
        <v>630</v>
      </c>
      <c r="BQ6">
        <v>630</v>
      </c>
      <c r="BW6">
        <v>630</v>
      </c>
      <c r="CC6">
        <v>630</v>
      </c>
      <c r="CI6">
        <v>630</v>
      </c>
      <c r="CO6">
        <v>630</v>
      </c>
      <c r="CU6">
        <v>630</v>
      </c>
    </row>
    <row r="7" spans="1:104" ht="15" x14ac:dyDescent="0.2">
      <c r="A7" s="60">
        <v>1</v>
      </c>
      <c r="B7" s="71" t="str">
        <f>IF('Entries March.''25'!N8-'Entries March.''25'!N7&lt;1,"0",'Entries March.''25'!N8-'Entries March.''25'!N7)</f>
        <v>0</v>
      </c>
      <c r="C7" s="634" cm="1">
        <f t="array" ref="C7:C37">TRANSPOSE('Daily KPIs'!B74:AF74)</f>
        <v>0</v>
      </c>
      <c r="D7" s="624" cm="1">
        <f t="array" ref="D7:D37">TRANSPOSE('Daily KPIs'!B9:AF9)</f>
        <v>0</v>
      </c>
      <c r="E7" s="621" t="str">
        <f t="shared" ref="E7:E37" si="0">IF(D7=0,"0",(B7/D7))</f>
        <v>0</v>
      </c>
      <c r="F7" s="670" t="str">
        <f>IF(D7=0,"0",(C7/D7))</f>
        <v>0</v>
      </c>
      <c r="H7" s="291">
        <f>'Entries March.''25'!L8-'Entries March.''25'!L7</f>
        <v>0</v>
      </c>
      <c r="I7" s="289" t="str">
        <f>+$B7</f>
        <v>0</v>
      </c>
      <c r="K7" s="633"/>
      <c r="L7" s="290">
        <f>IF((('Entries March.''25'!AK7-'Entries March.''25'!AK8)/10)*5455&lt;0,"0",(('Entries March.''25'!AK7-'Entries March.''25'!AK8)/10)*5455)</f>
        <v>0</v>
      </c>
      <c r="M7" s="290">
        <f>IF((('Entries March.''25'!AL7-'Entries March.''25'!AL8)/10)*5455&lt;0,"0",(('Entries March.''25'!AL7-'Entries March.''25'!AL8)/10)*5455)</f>
        <v>0</v>
      </c>
      <c r="N7" s="290">
        <f>IF(('Entries March.''25'!AM7-'Entries March.''25'!AM8)/2.2&lt;0,"0",('Entries March.''25'!AM7-'Entries March.''25'!AM8)/2.2)</f>
        <v>0</v>
      </c>
      <c r="O7" s="291">
        <f>IF(('Entries March.''25'!AN7-'Entries March.''25'!AN8)&lt;0,"0",('Entries March.''25'!AN7-'Entries March.''25'!AN8))</f>
        <v>0</v>
      </c>
      <c r="P7" s="28"/>
      <c r="T7">
        <f>S7-S6</f>
        <v>0</v>
      </c>
      <c r="U7">
        <v>730</v>
      </c>
      <c r="W7">
        <f t="shared" ref="W7:W30" si="1">V7-V6</f>
        <v>0</v>
      </c>
      <c r="Z7">
        <f>Y7-Y6</f>
        <v>0</v>
      </c>
      <c r="AA7">
        <v>730</v>
      </c>
      <c r="AC7">
        <f t="shared" ref="AC7:AC30" si="2">AB7-AB6</f>
        <v>0</v>
      </c>
      <c r="AF7">
        <f>AE7-AE6</f>
        <v>0</v>
      </c>
      <c r="AG7">
        <v>730</v>
      </c>
      <c r="AI7">
        <f t="shared" ref="AI7:AI30" si="3">AH7-AH6</f>
        <v>0</v>
      </c>
      <c r="AL7">
        <f>AK7-AK6</f>
        <v>0</v>
      </c>
      <c r="AM7">
        <v>730</v>
      </c>
      <c r="AO7">
        <f t="shared" ref="AO7:AO30" si="4">AN7-AN6</f>
        <v>0</v>
      </c>
      <c r="AR7">
        <f>AQ7-AQ6</f>
        <v>0</v>
      </c>
      <c r="AS7">
        <v>730</v>
      </c>
      <c r="AU7">
        <f t="shared" ref="AU7:AU30" si="5">AT7-AT6</f>
        <v>0</v>
      </c>
      <c r="AX7">
        <f>AW7-AW6</f>
        <v>0</v>
      </c>
      <c r="AY7">
        <v>730</v>
      </c>
      <c r="BA7">
        <f t="shared" ref="BA7:BA30" si="6">AZ7-AZ6</f>
        <v>0</v>
      </c>
      <c r="BD7">
        <f>BC7-BC6</f>
        <v>0</v>
      </c>
      <c r="BE7">
        <v>730</v>
      </c>
      <c r="BG7">
        <f t="shared" ref="BG7:BG30" si="7">BF7-BF6</f>
        <v>0</v>
      </c>
      <c r="BJ7">
        <f>BI7-BI6</f>
        <v>0</v>
      </c>
      <c r="BK7">
        <v>730</v>
      </c>
      <c r="BM7">
        <f t="shared" ref="BM7:BM30" si="8">BL7-BL6</f>
        <v>0</v>
      </c>
      <c r="BP7">
        <f>BO7-BO6</f>
        <v>0</v>
      </c>
      <c r="BQ7">
        <v>730</v>
      </c>
      <c r="BS7">
        <f t="shared" ref="BS7:BS30" si="9">BR7-BR6</f>
        <v>0</v>
      </c>
      <c r="BV7">
        <f>BU7-BU6</f>
        <v>0</v>
      </c>
      <c r="BW7">
        <v>730</v>
      </c>
      <c r="BY7">
        <f t="shared" ref="BY7:BY30" si="10">BX7-BX6</f>
        <v>0</v>
      </c>
      <c r="CB7">
        <f>CA7-CA6</f>
        <v>0</v>
      </c>
      <c r="CC7">
        <v>730</v>
      </c>
      <c r="CE7">
        <f t="shared" ref="CE7:CE30" si="11">CD7-CD6</f>
        <v>0</v>
      </c>
      <c r="CH7">
        <f>CG7-CG6</f>
        <v>0</v>
      </c>
      <c r="CI7">
        <v>730</v>
      </c>
      <c r="CK7">
        <f t="shared" ref="CK7:CK30" si="12">CJ7-CJ6</f>
        <v>0</v>
      </c>
      <c r="CN7">
        <f>CM7-CM6</f>
        <v>0</v>
      </c>
      <c r="CO7">
        <v>730</v>
      </c>
      <c r="CQ7">
        <f t="shared" ref="CQ7:CQ30" si="13">CP7-CP6</f>
        <v>0</v>
      </c>
      <c r="CT7">
        <f>CS7-CS6</f>
        <v>0</v>
      </c>
      <c r="CU7">
        <v>730</v>
      </c>
      <c r="CW7">
        <f t="shared" ref="CW7:CW30" si="14">CV7-CV6</f>
        <v>0</v>
      </c>
      <c r="CZ7">
        <f>CY7-CY6</f>
        <v>0</v>
      </c>
    </row>
    <row r="8" spans="1:104" ht="15" x14ac:dyDescent="0.2">
      <c r="A8" s="60">
        <v>2</v>
      </c>
      <c r="B8" s="71" t="str">
        <f>IF('Entries March.''25'!N9-'Entries March.''25'!N8&lt;1,"0",'Entries March.''25'!N9-'Entries March.''25'!N8)</f>
        <v>0</v>
      </c>
      <c r="C8" s="634">
        <v>3700</v>
      </c>
      <c r="D8" s="625">
        <v>0</v>
      </c>
      <c r="E8" s="621" t="str">
        <f t="shared" si="0"/>
        <v>0</v>
      </c>
      <c r="F8" s="670" t="str">
        <f t="shared" ref="F8:F37" si="15">IF(D8=0,"0",(C8/D8))</f>
        <v>0</v>
      </c>
      <c r="H8" s="291">
        <f>'Entries March.''25'!L9-'Entries March.''25'!L8</f>
        <v>0</v>
      </c>
      <c r="I8" s="289" t="str">
        <f t="shared" ref="I8:I34" si="16">+$B8</f>
        <v>0</v>
      </c>
      <c r="K8" s="633"/>
      <c r="L8" s="290">
        <f>IF((('Entries March.''25'!AK8-'Entries March.''25'!AK9)/10)*5455&lt;0,"0",(('Entries March.''25'!AK8-'Entries March.''25'!AK9)/10)*5455)</f>
        <v>0</v>
      </c>
      <c r="M8" s="290">
        <f>IF((('Entries March.''25'!AL8-'Entries March.''25'!AL9)/10)*5455&lt;0,"0",(('Entries March.''25'!AL8-'Entries March.''25'!AL9)/10)*5455)</f>
        <v>0</v>
      </c>
      <c r="N8" s="290">
        <f>IF(('Entries March.''25'!AM8-'Entries March.''25'!AM9)/2.2&lt;0,"0",('Entries March.''25'!AM8-'Entries March.''25'!AM9)/2.2)</f>
        <v>0</v>
      </c>
      <c r="O8" s="291">
        <f>IF(('Entries March.''25'!AN8-'Entries March.''25'!AN9)&lt;0,"0",('Entries March.''25'!AN8-'Entries March.''25'!AN9))</f>
        <v>0</v>
      </c>
      <c r="T8">
        <f>S8-S7</f>
        <v>0</v>
      </c>
      <c r="W8">
        <f t="shared" si="1"/>
        <v>0</v>
      </c>
      <c r="Z8">
        <f>Y8-Y7</f>
        <v>0</v>
      </c>
      <c r="AC8">
        <f t="shared" si="2"/>
        <v>0</v>
      </c>
      <c r="AF8">
        <f>AE8-AE7</f>
        <v>0</v>
      </c>
      <c r="AI8">
        <f t="shared" si="3"/>
        <v>0</v>
      </c>
      <c r="AL8">
        <f>AK8-AK7</f>
        <v>0</v>
      </c>
      <c r="AO8">
        <f t="shared" si="4"/>
        <v>0</v>
      </c>
      <c r="AR8">
        <f>AQ8-AQ7</f>
        <v>0</v>
      </c>
      <c r="AU8">
        <f t="shared" si="5"/>
        <v>0</v>
      </c>
      <c r="AX8">
        <f>AW8-AW7</f>
        <v>0</v>
      </c>
      <c r="BA8">
        <f t="shared" si="6"/>
        <v>0</v>
      </c>
      <c r="BD8">
        <f>BC8-BC7</f>
        <v>0</v>
      </c>
      <c r="BG8">
        <f t="shared" si="7"/>
        <v>0</v>
      </c>
      <c r="BJ8">
        <f>BI8-BI7</f>
        <v>0</v>
      </c>
      <c r="BM8">
        <f t="shared" si="8"/>
        <v>0</v>
      </c>
      <c r="BP8">
        <f>BO8-BO7</f>
        <v>0</v>
      </c>
      <c r="BS8">
        <f t="shared" si="9"/>
        <v>0</v>
      </c>
      <c r="BV8">
        <f>BU8-BU7</f>
        <v>0</v>
      </c>
      <c r="BY8">
        <f t="shared" si="10"/>
        <v>0</v>
      </c>
      <c r="CB8">
        <f>CA8-CA7</f>
        <v>0</v>
      </c>
      <c r="CE8">
        <f t="shared" si="11"/>
        <v>0</v>
      </c>
      <c r="CH8">
        <f>CG8-CG7</f>
        <v>0</v>
      </c>
      <c r="CK8">
        <f t="shared" si="12"/>
        <v>0</v>
      </c>
      <c r="CN8">
        <f>CM8-CM7</f>
        <v>0</v>
      </c>
      <c r="CQ8">
        <f t="shared" si="13"/>
        <v>0</v>
      </c>
      <c r="CT8">
        <f>CS8-CS7</f>
        <v>0</v>
      </c>
      <c r="CW8">
        <f t="shared" si="14"/>
        <v>0</v>
      </c>
      <c r="CZ8">
        <f>CY8-CY7</f>
        <v>0</v>
      </c>
    </row>
    <row r="9" spans="1:104" ht="15" x14ac:dyDescent="0.2">
      <c r="A9" s="60">
        <v>3</v>
      </c>
      <c r="B9" s="71" t="str">
        <f>IF('Entries March.''25'!N10-'Entries March.''25'!N9&lt;1,"0",'Entries March.''25'!N10-'Entries March.''25'!N9)</f>
        <v>0</v>
      </c>
      <c r="C9" s="634">
        <v>2500</v>
      </c>
      <c r="D9" s="625">
        <v>356.40000000000003</v>
      </c>
      <c r="E9" s="621">
        <f t="shared" si="0"/>
        <v>0</v>
      </c>
      <c r="F9" s="670">
        <f t="shared" si="15"/>
        <v>7.0145903479236802</v>
      </c>
      <c r="H9" s="291">
        <f>'Entries March.''25'!L10-'Entries March.''25'!L9</f>
        <v>0</v>
      </c>
      <c r="I9" s="289" t="str">
        <f t="shared" si="16"/>
        <v>0</v>
      </c>
      <c r="K9" s="633"/>
      <c r="L9" s="290">
        <f>IF((('Entries March.''25'!AK9-'Entries March.''25'!AK10)/10)*5455&lt;0,"0",(('Entries March.''25'!AK9-'Entries March.''25'!AK10)/10)*5455)</f>
        <v>0</v>
      </c>
      <c r="M9" s="290">
        <f>IF((('Entries March.''25'!AL9-'Entries March.''25'!AL10)/10)*5455&lt;0,"0",(('Entries March.''25'!AL9-'Entries March.''25'!AL10)/10)*5455)</f>
        <v>0</v>
      </c>
      <c r="N9" s="290">
        <f>IF(('Entries March.''25'!AM9-'Entries March.''25'!AM10)/2.2&lt;0,"0",('Entries March.''25'!AM9-'Entries March.''25'!AM10)/2.2)</f>
        <v>0</v>
      </c>
      <c r="O9" s="291">
        <f>IF(('Entries March.''25'!AN9-'Entries March.''25'!AN10)&lt;0,"0",('Entries March.''25'!AN9-'Entries March.''25'!AN10))</f>
        <v>0</v>
      </c>
      <c r="T9">
        <f t="shared" ref="T9:T30" si="17">S9-S8</f>
        <v>0</v>
      </c>
      <c r="W9">
        <f t="shared" si="1"/>
        <v>0</v>
      </c>
      <c r="Z9">
        <f t="shared" ref="Z9:Z30" si="18">Y9-Y8</f>
        <v>0</v>
      </c>
      <c r="AC9">
        <f t="shared" si="2"/>
        <v>0</v>
      </c>
      <c r="AF9">
        <f t="shared" ref="AF9:AF30" si="19">AE9-AE8</f>
        <v>0</v>
      </c>
      <c r="AI9">
        <f t="shared" si="3"/>
        <v>0</v>
      </c>
      <c r="AL9">
        <f t="shared" ref="AL9:AL30" si="20">AK9-AK8</f>
        <v>0</v>
      </c>
      <c r="AO9">
        <f t="shared" si="4"/>
        <v>0</v>
      </c>
      <c r="AR9">
        <f t="shared" ref="AR9:AR30" si="21">AQ9-AQ8</f>
        <v>0</v>
      </c>
      <c r="AU9">
        <f t="shared" si="5"/>
        <v>0</v>
      </c>
      <c r="AX9">
        <f t="shared" ref="AX9:AX30" si="22">AW9-AW8</f>
        <v>0</v>
      </c>
      <c r="BA9">
        <f t="shared" si="6"/>
        <v>0</v>
      </c>
      <c r="BD9">
        <f t="shared" ref="BD9:BD30" si="23">BC9-BC8</f>
        <v>0</v>
      </c>
      <c r="BG9">
        <f t="shared" si="7"/>
        <v>0</v>
      </c>
      <c r="BJ9">
        <f t="shared" ref="BJ9:BJ30" si="24">BI9-BI8</f>
        <v>0</v>
      </c>
      <c r="BM9">
        <f t="shared" si="8"/>
        <v>0</v>
      </c>
      <c r="BP9">
        <f t="shared" ref="BP9:BP30" si="25">BO9-BO8</f>
        <v>0</v>
      </c>
      <c r="BS9">
        <f t="shared" si="9"/>
        <v>0</v>
      </c>
      <c r="BV9">
        <f t="shared" ref="BV9:BV30" si="26">BU9-BU8</f>
        <v>0</v>
      </c>
      <c r="BY9">
        <f t="shared" si="10"/>
        <v>0</v>
      </c>
      <c r="CB9">
        <f t="shared" ref="CB9:CB30" si="27">CA9-CA8</f>
        <v>0</v>
      </c>
      <c r="CE9">
        <f t="shared" si="11"/>
        <v>0</v>
      </c>
      <c r="CH9">
        <f t="shared" ref="CH9:CH30" si="28">CG9-CG8</f>
        <v>0</v>
      </c>
      <c r="CK9">
        <f t="shared" si="12"/>
        <v>0</v>
      </c>
      <c r="CN9">
        <f t="shared" ref="CN9:CN30" si="29">CM9-CM8</f>
        <v>0</v>
      </c>
      <c r="CQ9">
        <f t="shared" si="13"/>
        <v>0</v>
      </c>
      <c r="CT9">
        <f t="shared" ref="CT9:CT30" si="30">CS9-CS8</f>
        <v>0</v>
      </c>
      <c r="CW9">
        <f t="shared" si="14"/>
        <v>0</v>
      </c>
      <c r="CZ9">
        <f t="shared" ref="CZ9:CZ30" si="31">CY9-CY8</f>
        <v>0</v>
      </c>
    </row>
    <row r="10" spans="1:104" ht="15" x14ac:dyDescent="0.2">
      <c r="A10" s="60">
        <v>4</v>
      </c>
      <c r="B10" s="71">
        <f>IF('Entries March.''25'!N11-'Entries March.''25'!N10&lt;1,"0",'Entries March.''25'!N11-'Entries March.''25'!N10)</f>
        <v>141.87</v>
      </c>
      <c r="C10" s="634">
        <v>2100</v>
      </c>
      <c r="D10" s="625">
        <v>476.98200000000003</v>
      </c>
      <c r="E10" s="621">
        <f t="shared" si="0"/>
        <v>0.29743260751978062</v>
      </c>
      <c r="F10" s="670">
        <f t="shared" si="15"/>
        <v>4.4026818622086363</v>
      </c>
      <c r="H10" s="291">
        <f>'Entries March.''25'!L11-'Entries March.''25'!L10</f>
        <v>0</v>
      </c>
      <c r="I10" s="289">
        <f t="shared" si="16"/>
        <v>141.87</v>
      </c>
      <c r="K10" s="633"/>
      <c r="L10" s="290">
        <f>IF((('Entries March.''25'!AK10-'Entries March.''25'!AK11)/10)*5455&lt;0,"0",(('Entries March.''25'!AK10-'Entries March.''25'!AK11)/10)*5455)</f>
        <v>0</v>
      </c>
      <c r="M10" s="290">
        <f>IF((('Entries March.''25'!AL10-'Entries March.''25'!AL11)/10)*5455&lt;0,"0",(('Entries March.''25'!AL10-'Entries March.''25'!AL11)/10)*5455)</f>
        <v>0</v>
      </c>
      <c r="N10" s="290">
        <f>IF(('Entries March.''25'!AM10-'Entries March.''25'!AM11)/2.2&lt;0,"0",('Entries March.''25'!AM10-'Entries March.''25'!AM11)/2.2)</f>
        <v>0</v>
      </c>
      <c r="O10" s="291">
        <f>IF(('Entries March.''25'!AN10-'Entries March.''25'!AN11)&lt;0,"0",('Entries March.''25'!AN10-'Entries March.''25'!AN11))</f>
        <v>0</v>
      </c>
      <c r="T10">
        <f t="shared" si="17"/>
        <v>0</v>
      </c>
      <c r="W10">
        <f t="shared" si="1"/>
        <v>0</v>
      </c>
      <c r="Z10">
        <f t="shared" si="18"/>
        <v>0</v>
      </c>
      <c r="AC10">
        <f t="shared" si="2"/>
        <v>0</v>
      </c>
      <c r="AF10">
        <f t="shared" si="19"/>
        <v>0</v>
      </c>
      <c r="AI10">
        <f t="shared" si="3"/>
        <v>0</v>
      </c>
      <c r="AL10">
        <f t="shared" si="20"/>
        <v>0</v>
      </c>
      <c r="AO10">
        <f t="shared" si="4"/>
        <v>0</v>
      </c>
      <c r="AR10">
        <f t="shared" si="21"/>
        <v>0</v>
      </c>
      <c r="AU10">
        <f t="shared" si="5"/>
        <v>0</v>
      </c>
      <c r="AX10">
        <f t="shared" si="22"/>
        <v>0</v>
      </c>
      <c r="BA10">
        <f t="shared" si="6"/>
        <v>0</v>
      </c>
      <c r="BD10">
        <f t="shared" si="23"/>
        <v>0</v>
      </c>
      <c r="BG10">
        <f t="shared" si="7"/>
        <v>0</v>
      </c>
      <c r="BJ10">
        <f t="shared" si="24"/>
        <v>0</v>
      </c>
      <c r="BM10">
        <f t="shared" si="8"/>
        <v>0</v>
      </c>
      <c r="BP10">
        <f t="shared" si="25"/>
        <v>0</v>
      </c>
      <c r="BS10">
        <f t="shared" si="9"/>
        <v>0</v>
      </c>
      <c r="BV10">
        <f t="shared" si="26"/>
        <v>0</v>
      </c>
      <c r="BY10">
        <f t="shared" si="10"/>
        <v>0</v>
      </c>
      <c r="CB10">
        <f t="shared" si="27"/>
        <v>0</v>
      </c>
      <c r="CE10">
        <f t="shared" si="11"/>
        <v>0</v>
      </c>
      <c r="CH10">
        <f t="shared" si="28"/>
        <v>0</v>
      </c>
      <c r="CK10">
        <f t="shared" si="12"/>
        <v>0</v>
      </c>
      <c r="CN10">
        <f t="shared" si="29"/>
        <v>0</v>
      </c>
      <c r="CQ10">
        <f t="shared" si="13"/>
        <v>0</v>
      </c>
      <c r="CT10">
        <f t="shared" si="30"/>
        <v>0</v>
      </c>
      <c r="CW10">
        <f t="shared" si="14"/>
        <v>0</v>
      </c>
      <c r="CZ10">
        <f t="shared" si="31"/>
        <v>0</v>
      </c>
    </row>
    <row r="11" spans="1:104" ht="15" x14ac:dyDescent="0.2">
      <c r="A11" s="60">
        <v>5</v>
      </c>
      <c r="B11" s="71">
        <f>IF('Entries March.''25'!N12-'Entries March.''25'!N11&lt;1,"0",'Entries March.''25'!N12-'Entries March.''25'!N11)</f>
        <v>28.960000000000036</v>
      </c>
      <c r="C11" s="634">
        <v>1500</v>
      </c>
      <c r="D11" s="625">
        <v>345.11400000000003</v>
      </c>
      <c r="E11" s="621">
        <f t="shared" si="0"/>
        <v>8.3914300781770756E-2</v>
      </c>
      <c r="F11" s="670">
        <f t="shared" si="15"/>
        <v>4.346389888558563</v>
      </c>
      <c r="H11" s="291">
        <f>'Entries March.''25'!L12-'Entries March.''25'!L11</f>
        <v>0</v>
      </c>
      <c r="I11" s="289">
        <f t="shared" si="16"/>
        <v>28.960000000000036</v>
      </c>
      <c r="K11" s="633"/>
      <c r="L11" s="290">
        <f>IF((('Entries March.''25'!AK11-'Entries March.''25'!AK12)/10)*5455&lt;0,"0",(('Entries March.''25'!AK11-'Entries March.''25'!AK12)/10)*5455)</f>
        <v>0</v>
      </c>
      <c r="M11" s="290">
        <f>IF((('Entries March.''25'!AL11-'Entries March.''25'!AL12)/10)*5455&lt;0,"0",(('Entries March.''25'!AL11-'Entries March.''25'!AL12)/10)*5455)</f>
        <v>0</v>
      </c>
      <c r="N11" s="290">
        <f>IF(('Entries March.''25'!AM11-'Entries March.''25'!AM12)/2.2&lt;0,"0",('Entries March.''25'!AM11-'Entries March.''25'!AM12)/2.2)</f>
        <v>0</v>
      </c>
      <c r="O11" s="291">
        <f>IF(('Entries March.''25'!AN11-'Entries March.''25'!AN12)&lt;0,"0",('Entries March.''25'!AN11-'Entries March.''25'!AN12))</f>
        <v>0</v>
      </c>
      <c r="T11">
        <f t="shared" si="17"/>
        <v>0</v>
      </c>
      <c r="W11">
        <f t="shared" si="1"/>
        <v>0</v>
      </c>
      <c r="Z11">
        <f t="shared" si="18"/>
        <v>0</v>
      </c>
      <c r="AC11">
        <f t="shared" si="2"/>
        <v>0</v>
      </c>
      <c r="AF11">
        <f t="shared" si="19"/>
        <v>0</v>
      </c>
      <c r="AI11">
        <f t="shared" si="3"/>
        <v>0</v>
      </c>
      <c r="AL11">
        <f t="shared" si="20"/>
        <v>0</v>
      </c>
      <c r="AO11">
        <f t="shared" si="4"/>
        <v>0</v>
      </c>
      <c r="AR11">
        <f t="shared" si="21"/>
        <v>0</v>
      </c>
      <c r="AU11">
        <f t="shared" si="5"/>
        <v>0</v>
      </c>
      <c r="AX11">
        <f t="shared" si="22"/>
        <v>0</v>
      </c>
      <c r="BA11">
        <f t="shared" si="6"/>
        <v>0</v>
      </c>
      <c r="BD11">
        <f t="shared" si="23"/>
        <v>0</v>
      </c>
      <c r="BG11">
        <f t="shared" si="7"/>
        <v>0</v>
      </c>
      <c r="BJ11">
        <f t="shared" si="24"/>
        <v>0</v>
      </c>
      <c r="BM11">
        <f t="shared" si="8"/>
        <v>0</v>
      </c>
      <c r="BP11">
        <f t="shared" si="25"/>
        <v>0</v>
      </c>
      <c r="BS11">
        <f t="shared" si="9"/>
        <v>0</v>
      </c>
      <c r="BV11">
        <f t="shared" si="26"/>
        <v>0</v>
      </c>
      <c r="BY11">
        <f t="shared" si="10"/>
        <v>0</v>
      </c>
      <c r="CB11">
        <f t="shared" si="27"/>
        <v>0</v>
      </c>
      <c r="CE11">
        <f t="shared" si="11"/>
        <v>0</v>
      </c>
      <c r="CH11">
        <f t="shared" si="28"/>
        <v>0</v>
      </c>
      <c r="CK11">
        <f t="shared" si="12"/>
        <v>0</v>
      </c>
      <c r="CN11">
        <f t="shared" si="29"/>
        <v>0</v>
      </c>
      <c r="CQ11">
        <f t="shared" si="13"/>
        <v>0</v>
      </c>
      <c r="CT11">
        <f t="shared" si="30"/>
        <v>0</v>
      </c>
      <c r="CW11">
        <f t="shared" si="14"/>
        <v>0</v>
      </c>
      <c r="CZ11">
        <f t="shared" si="31"/>
        <v>0</v>
      </c>
    </row>
    <row r="12" spans="1:104" ht="15" x14ac:dyDescent="0.2">
      <c r="A12" s="60">
        <v>6</v>
      </c>
      <c r="B12" s="71">
        <f>IF('Entries March.''25'!N13-'Entries March.''25'!N12&lt;1,"0",'Entries March.''25'!N13-'Entries March.''25'!N12)</f>
        <v>35.049999999999955</v>
      </c>
      <c r="C12" s="634">
        <v>1500</v>
      </c>
      <c r="D12" s="625">
        <v>383.79</v>
      </c>
      <c r="E12" s="621">
        <f t="shared" si="0"/>
        <v>9.1325985565022416E-2</v>
      </c>
      <c r="F12" s="670">
        <f t="shared" si="15"/>
        <v>3.9083873993590244</v>
      </c>
      <c r="H12" s="291">
        <f>'Entries March.''25'!L13-'Entries March.''25'!L12</f>
        <v>0</v>
      </c>
      <c r="I12" s="289">
        <f t="shared" si="16"/>
        <v>35.049999999999955</v>
      </c>
      <c r="K12" s="633"/>
      <c r="L12" s="290">
        <f>IF((('Entries March.''25'!AK12-'Entries March.''25'!AK13)/10)*5455&lt;0,"0",(('Entries March.''25'!AK12-'Entries March.''25'!AK13)/10)*5455)</f>
        <v>0</v>
      </c>
      <c r="M12" s="290">
        <f>IF((('Entries March.''25'!AL12-'Entries March.''25'!AL13)/10)*5455&lt;0,"0",(('Entries March.''25'!AL12-'Entries March.''25'!AL13)/10)*5455)</f>
        <v>0</v>
      </c>
      <c r="N12" s="290">
        <f>IF(('Entries March.''25'!AM12-'Entries March.''25'!AM13)/2.2&lt;0,"0",('Entries March.''25'!AM12-'Entries March.''25'!AM13)/2.2)</f>
        <v>0</v>
      </c>
      <c r="O12" s="291">
        <f>IF(('Entries March.''25'!AN12-'Entries March.''25'!AN13)&lt;0,"0",('Entries March.''25'!AN12-'Entries March.''25'!AN13))</f>
        <v>0</v>
      </c>
      <c r="T12">
        <f t="shared" si="17"/>
        <v>0</v>
      </c>
      <c r="W12">
        <f t="shared" si="1"/>
        <v>0</v>
      </c>
      <c r="Z12">
        <f t="shared" si="18"/>
        <v>0</v>
      </c>
      <c r="AC12">
        <f t="shared" si="2"/>
        <v>0</v>
      </c>
      <c r="AF12">
        <f t="shared" si="19"/>
        <v>0</v>
      </c>
      <c r="AI12">
        <f t="shared" si="3"/>
        <v>0</v>
      </c>
      <c r="AL12">
        <f t="shared" si="20"/>
        <v>0</v>
      </c>
      <c r="AO12">
        <f t="shared" si="4"/>
        <v>0</v>
      </c>
      <c r="AR12">
        <f t="shared" si="21"/>
        <v>0</v>
      </c>
      <c r="AU12">
        <f t="shared" si="5"/>
        <v>0</v>
      </c>
      <c r="AX12">
        <f t="shared" si="22"/>
        <v>0</v>
      </c>
      <c r="BA12">
        <f t="shared" si="6"/>
        <v>0</v>
      </c>
      <c r="BD12">
        <f t="shared" si="23"/>
        <v>0</v>
      </c>
      <c r="BG12">
        <f t="shared" si="7"/>
        <v>0</v>
      </c>
      <c r="BJ12">
        <f t="shared" si="24"/>
        <v>0</v>
      </c>
      <c r="BM12">
        <f t="shared" si="8"/>
        <v>0</v>
      </c>
      <c r="BP12">
        <f t="shared" si="25"/>
        <v>0</v>
      </c>
      <c r="BS12">
        <f t="shared" si="9"/>
        <v>0</v>
      </c>
      <c r="BV12">
        <f t="shared" si="26"/>
        <v>0</v>
      </c>
      <c r="BY12">
        <f t="shared" si="10"/>
        <v>0</v>
      </c>
      <c r="CB12">
        <f t="shared" si="27"/>
        <v>0</v>
      </c>
      <c r="CE12">
        <f t="shared" si="11"/>
        <v>0</v>
      </c>
      <c r="CH12">
        <f t="shared" si="28"/>
        <v>0</v>
      </c>
      <c r="CK12">
        <f t="shared" si="12"/>
        <v>0</v>
      </c>
      <c r="CN12">
        <f t="shared" si="29"/>
        <v>0</v>
      </c>
      <c r="CQ12">
        <f t="shared" si="13"/>
        <v>0</v>
      </c>
      <c r="CT12">
        <f t="shared" si="30"/>
        <v>0</v>
      </c>
      <c r="CW12">
        <f t="shared" si="14"/>
        <v>0</v>
      </c>
      <c r="CZ12">
        <f t="shared" si="31"/>
        <v>0</v>
      </c>
    </row>
    <row r="13" spans="1:104" ht="15" x14ac:dyDescent="0.2">
      <c r="A13" s="60">
        <v>7</v>
      </c>
      <c r="B13" s="71">
        <f>IF('Entries March.''25'!N14-'Entries March.''25'!N13&lt;1,"0",'Entries March.''25'!N14-'Entries March.''25'!N13)</f>
        <v>37.670000000000073</v>
      </c>
      <c r="C13" s="634">
        <v>1400</v>
      </c>
      <c r="D13" s="625">
        <v>328.48200000000003</v>
      </c>
      <c r="E13" s="621">
        <f t="shared" si="0"/>
        <v>0.11467903872967185</v>
      </c>
      <c r="F13" s="670">
        <f t="shared" si="15"/>
        <v>4.262029578485274</v>
      </c>
      <c r="H13" s="291">
        <f>'Entries March.''25'!L14-'Entries March.''25'!L13</f>
        <v>0</v>
      </c>
      <c r="I13" s="289">
        <f t="shared" si="16"/>
        <v>37.670000000000073</v>
      </c>
      <c r="K13" s="633"/>
      <c r="L13" s="290">
        <f>IF((('Entries March.''25'!AK13-'Entries March.''25'!AK14)/10)*5455&lt;0,"0",(('Entries March.''25'!AK13-'Entries March.''25'!AK14)/10)*5455)</f>
        <v>0</v>
      </c>
      <c r="M13" s="290">
        <f>IF((('Entries March.''25'!AL13-'Entries March.''25'!AL14)/10)*5455&lt;0,"0",(('Entries March.''25'!AL13-'Entries March.''25'!AL14)/10)*5455)</f>
        <v>0</v>
      </c>
      <c r="N13" s="290">
        <f>IF(('Entries March.''25'!AM13-'Entries March.''25'!AM14)/2.2&lt;0,"0",('Entries March.''25'!AM13-'Entries March.''25'!AM14)/2.2)</f>
        <v>0</v>
      </c>
      <c r="O13" s="291">
        <f>IF(('Entries March.''25'!AN13-'Entries March.''25'!AN14)&lt;0,"0",('Entries March.''25'!AN13-'Entries March.''25'!AN14))</f>
        <v>0</v>
      </c>
      <c r="T13">
        <f t="shared" si="17"/>
        <v>0</v>
      </c>
      <c r="W13">
        <f t="shared" si="1"/>
        <v>0</v>
      </c>
      <c r="Z13">
        <f t="shared" si="18"/>
        <v>0</v>
      </c>
      <c r="AC13">
        <f t="shared" si="2"/>
        <v>0</v>
      </c>
      <c r="AF13">
        <f t="shared" si="19"/>
        <v>0</v>
      </c>
      <c r="AI13">
        <f t="shared" si="3"/>
        <v>0</v>
      </c>
      <c r="AL13">
        <f t="shared" si="20"/>
        <v>0</v>
      </c>
      <c r="AO13">
        <f t="shared" si="4"/>
        <v>0</v>
      </c>
      <c r="AR13">
        <f t="shared" si="21"/>
        <v>0</v>
      </c>
      <c r="AU13">
        <f t="shared" si="5"/>
        <v>0</v>
      </c>
      <c r="AX13">
        <f t="shared" si="22"/>
        <v>0</v>
      </c>
      <c r="BA13">
        <f t="shared" si="6"/>
        <v>0</v>
      </c>
      <c r="BD13">
        <f t="shared" si="23"/>
        <v>0</v>
      </c>
      <c r="BG13">
        <f t="shared" si="7"/>
        <v>0</v>
      </c>
      <c r="BJ13">
        <f t="shared" si="24"/>
        <v>0</v>
      </c>
      <c r="BM13">
        <f t="shared" si="8"/>
        <v>0</v>
      </c>
      <c r="BP13">
        <f t="shared" si="25"/>
        <v>0</v>
      </c>
      <c r="BS13">
        <f t="shared" si="9"/>
        <v>0</v>
      </c>
      <c r="BV13">
        <f t="shared" si="26"/>
        <v>0</v>
      </c>
      <c r="BY13">
        <f t="shared" si="10"/>
        <v>0</v>
      </c>
      <c r="CB13">
        <f t="shared" si="27"/>
        <v>0</v>
      </c>
      <c r="CE13">
        <f t="shared" si="11"/>
        <v>0</v>
      </c>
      <c r="CH13">
        <f t="shared" si="28"/>
        <v>0</v>
      </c>
      <c r="CK13">
        <f t="shared" si="12"/>
        <v>0</v>
      </c>
      <c r="CN13">
        <f t="shared" si="29"/>
        <v>0</v>
      </c>
      <c r="CQ13">
        <f t="shared" si="13"/>
        <v>0</v>
      </c>
      <c r="CT13">
        <f t="shared" si="30"/>
        <v>0</v>
      </c>
      <c r="CW13">
        <f t="shared" si="14"/>
        <v>0</v>
      </c>
      <c r="CZ13">
        <f t="shared" si="31"/>
        <v>0</v>
      </c>
    </row>
    <row r="14" spans="1:104" ht="15" x14ac:dyDescent="0.2">
      <c r="A14" s="60">
        <v>8</v>
      </c>
      <c r="B14" s="71">
        <f>IF('Entries March.''25'!N15-'Entries March.''25'!N14&lt;1,"0",'Entries March.''25'!N15-'Entries March.''25'!N14)</f>
        <v>4.9599999999999227</v>
      </c>
      <c r="C14" s="634">
        <v>600</v>
      </c>
      <c r="D14" s="625">
        <v>0</v>
      </c>
      <c r="E14" s="621" t="str">
        <f t="shared" si="0"/>
        <v>0</v>
      </c>
      <c r="F14" s="670" t="str">
        <f t="shared" si="15"/>
        <v>0</v>
      </c>
      <c r="H14" s="291">
        <f>'Entries March.''25'!L15-'Entries March.''25'!L14</f>
        <v>0</v>
      </c>
      <c r="I14" s="289">
        <f t="shared" si="16"/>
        <v>4.9599999999999227</v>
      </c>
      <c r="K14" s="633"/>
      <c r="L14" s="290">
        <f>IF((('Entries March.''25'!AK14-'Entries March.''25'!AK15)/10)*5455&lt;0,"0",(('Entries March.''25'!AK14-'Entries March.''25'!AK15)/10)*5455)</f>
        <v>0</v>
      </c>
      <c r="M14" s="290">
        <f>IF((('Entries March.''25'!AL14-'Entries March.''25'!AL15)/10)*5455&lt;0,"0",(('Entries March.''25'!AL14-'Entries March.''25'!AL15)/10)*5455)</f>
        <v>0</v>
      </c>
      <c r="N14" s="290">
        <f>IF(('Entries March.''25'!AM14-'Entries March.''25'!AM15)/2.2&lt;0,"0",('Entries March.''25'!AM14-'Entries March.''25'!AM15)/2.2)</f>
        <v>0</v>
      </c>
      <c r="O14" s="291">
        <f>IF(('Entries March.''25'!AN14-'Entries March.''25'!AN15)&lt;0,"0",('Entries March.''25'!AN14-'Entries March.''25'!AN15))</f>
        <v>0</v>
      </c>
      <c r="T14">
        <f t="shared" si="17"/>
        <v>0</v>
      </c>
      <c r="W14">
        <f t="shared" si="1"/>
        <v>0</v>
      </c>
      <c r="Z14">
        <f t="shared" si="18"/>
        <v>0</v>
      </c>
      <c r="AC14">
        <f t="shared" si="2"/>
        <v>0</v>
      </c>
      <c r="AF14">
        <f t="shared" si="19"/>
        <v>0</v>
      </c>
      <c r="AI14">
        <f t="shared" si="3"/>
        <v>0</v>
      </c>
      <c r="AL14">
        <f t="shared" si="20"/>
        <v>0</v>
      </c>
      <c r="AO14">
        <f t="shared" si="4"/>
        <v>0</v>
      </c>
      <c r="AR14">
        <f t="shared" si="21"/>
        <v>0</v>
      </c>
      <c r="AU14">
        <f t="shared" si="5"/>
        <v>0</v>
      </c>
      <c r="AX14">
        <f t="shared" si="22"/>
        <v>0</v>
      </c>
      <c r="BA14">
        <f t="shared" si="6"/>
        <v>0</v>
      </c>
      <c r="BD14">
        <f t="shared" si="23"/>
        <v>0</v>
      </c>
      <c r="BG14">
        <f t="shared" si="7"/>
        <v>0</v>
      </c>
      <c r="BJ14">
        <f t="shared" si="24"/>
        <v>0</v>
      </c>
      <c r="BM14">
        <f t="shared" si="8"/>
        <v>0</v>
      </c>
      <c r="BP14">
        <f t="shared" si="25"/>
        <v>0</v>
      </c>
      <c r="BS14">
        <f t="shared" si="9"/>
        <v>0</v>
      </c>
      <c r="BV14">
        <f t="shared" si="26"/>
        <v>0</v>
      </c>
      <c r="BY14">
        <f t="shared" si="10"/>
        <v>0</v>
      </c>
      <c r="CB14">
        <f t="shared" si="27"/>
        <v>0</v>
      </c>
      <c r="CE14">
        <f t="shared" si="11"/>
        <v>0</v>
      </c>
      <c r="CH14">
        <f t="shared" si="28"/>
        <v>0</v>
      </c>
      <c r="CK14">
        <f t="shared" si="12"/>
        <v>0</v>
      </c>
      <c r="CN14">
        <f t="shared" si="29"/>
        <v>0</v>
      </c>
      <c r="CQ14">
        <f t="shared" si="13"/>
        <v>0</v>
      </c>
      <c r="CT14">
        <f t="shared" si="30"/>
        <v>0</v>
      </c>
      <c r="CW14">
        <f t="shared" si="14"/>
        <v>0</v>
      </c>
      <c r="CZ14">
        <f t="shared" si="31"/>
        <v>0</v>
      </c>
    </row>
    <row r="15" spans="1:104" ht="15" x14ac:dyDescent="0.2">
      <c r="A15" s="60">
        <v>9</v>
      </c>
      <c r="B15" s="71" t="str">
        <f>IF('Entries March.''25'!N16-'Entries March.''25'!N15&lt;1,"0",'Entries March.''25'!N16-'Entries March.''25'!N15)</f>
        <v>0</v>
      </c>
      <c r="C15" s="634">
        <v>0</v>
      </c>
      <c r="D15" s="625">
        <v>0</v>
      </c>
      <c r="E15" s="621" t="str">
        <f t="shared" si="0"/>
        <v>0</v>
      </c>
      <c r="F15" s="670" t="str">
        <f t="shared" si="15"/>
        <v>0</v>
      </c>
      <c r="H15" s="291">
        <f>'Entries March.''25'!L16-'Entries March.''25'!L15</f>
        <v>0</v>
      </c>
      <c r="I15" s="289" t="str">
        <f t="shared" si="16"/>
        <v>0</v>
      </c>
      <c r="K15" s="633"/>
      <c r="L15" s="290">
        <f>IF((('Entries March.''25'!AK15-'Entries March.''25'!AK16)/10)*5455&lt;0,"0",(('Entries March.''25'!AK15-'Entries March.''25'!AK16)/10)*5455)</f>
        <v>0</v>
      </c>
      <c r="M15" s="290">
        <f>IF((('Entries March.''25'!AL15-'Entries March.''25'!AL16)/10)*5455&lt;0,"0",(('Entries March.''25'!AL15-'Entries March.''25'!AL16)/10)*5455)</f>
        <v>0</v>
      </c>
      <c r="N15" s="290">
        <f>IF(('Entries March.''25'!AM15-'Entries March.''25'!AM16)/2.2&lt;0,"0",('Entries March.''25'!AM15-'Entries March.''25'!AM16)/2.2)</f>
        <v>0</v>
      </c>
      <c r="O15" s="291">
        <f>IF(('Entries March.''25'!AN15-'Entries March.''25'!AN16)&lt;0,"0",('Entries March.''25'!AN15-'Entries March.''25'!AN16))</f>
        <v>0</v>
      </c>
      <c r="T15">
        <f t="shared" si="17"/>
        <v>0</v>
      </c>
      <c r="W15">
        <f t="shared" si="1"/>
        <v>0</v>
      </c>
      <c r="Z15">
        <f t="shared" si="18"/>
        <v>0</v>
      </c>
      <c r="AC15">
        <f t="shared" si="2"/>
        <v>0</v>
      </c>
      <c r="AF15">
        <f t="shared" si="19"/>
        <v>0</v>
      </c>
      <c r="AI15">
        <f t="shared" si="3"/>
        <v>0</v>
      </c>
      <c r="AL15">
        <f t="shared" si="20"/>
        <v>0</v>
      </c>
      <c r="AO15">
        <f t="shared" si="4"/>
        <v>0</v>
      </c>
      <c r="AR15">
        <f t="shared" si="21"/>
        <v>0</v>
      </c>
      <c r="AU15">
        <f t="shared" si="5"/>
        <v>0</v>
      </c>
      <c r="AX15">
        <f t="shared" si="22"/>
        <v>0</v>
      </c>
      <c r="BA15">
        <f t="shared" si="6"/>
        <v>0</v>
      </c>
      <c r="BD15">
        <f t="shared" si="23"/>
        <v>0</v>
      </c>
      <c r="BG15">
        <f t="shared" si="7"/>
        <v>0</v>
      </c>
      <c r="BJ15">
        <f t="shared" si="24"/>
        <v>0</v>
      </c>
      <c r="BM15">
        <f t="shared" si="8"/>
        <v>0</v>
      </c>
      <c r="BP15">
        <f t="shared" si="25"/>
        <v>0</v>
      </c>
      <c r="BS15">
        <f t="shared" si="9"/>
        <v>0</v>
      </c>
      <c r="BV15">
        <f t="shared" si="26"/>
        <v>0</v>
      </c>
      <c r="BY15">
        <f t="shared" si="10"/>
        <v>0</v>
      </c>
      <c r="CB15">
        <f t="shared" si="27"/>
        <v>0</v>
      </c>
      <c r="CE15">
        <f t="shared" si="11"/>
        <v>0</v>
      </c>
      <c r="CH15">
        <f t="shared" si="28"/>
        <v>0</v>
      </c>
      <c r="CK15">
        <f t="shared" si="12"/>
        <v>0</v>
      </c>
      <c r="CN15">
        <f t="shared" si="29"/>
        <v>0</v>
      </c>
      <c r="CQ15">
        <f t="shared" si="13"/>
        <v>0</v>
      </c>
      <c r="CT15">
        <f t="shared" si="30"/>
        <v>0</v>
      </c>
      <c r="CW15">
        <f t="shared" si="14"/>
        <v>0</v>
      </c>
      <c r="CZ15">
        <f t="shared" si="31"/>
        <v>0</v>
      </c>
    </row>
    <row r="16" spans="1:104" ht="15" x14ac:dyDescent="0.2">
      <c r="A16" s="60">
        <v>10</v>
      </c>
      <c r="B16" s="71">
        <f>IF('Entries March.''25'!N17-'Entries March.''25'!N16&lt;1,"0",'Entries March.''25'!N17-'Entries March.''25'!N16)</f>
        <v>20.139999999999986</v>
      </c>
      <c r="C16" s="634">
        <v>900</v>
      </c>
      <c r="D16" s="625">
        <v>228.36</v>
      </c>
      <c r="E16" s="621">
        <f t="shared" si="0"/>
        <v>8.8194079523559232E-2</v>
      </c>
      <c r="F16" s="670">
        <f t="shared" si="15"/>
        <v>3.9411455596426692</v>
      </c>
      <c r="H16" s="291">
        <f>'Entries March.''25'!L17-'Entries March.''25'!L16</f>
        <v>0</v>
      </c>
      <c r="I16" s="289">
        <f t="shared" si="16"/>
        <v>20.139999999999986</v>
      </c>
      <c r="K16" s="633"/>
      <c r="L16" s="290">
        <f>IF((('Entries March.''25'!AK16-'Entries March.''25'!AK17)/10)*5455&lt;0,"0",(('Entries March.''25'!AK16-'Entries March.''25'!AK17)/10)*5455)</f>
        <v>0</v>
      </c>
      <c r="M16" s="290">
        <f>IF((('Entries March.''25'!AL16-'Entries March.''25'!AL17)/10)*5455&lt;0,"0",(('Entries March.''25'!AL16-'Entries March.''25'!AL17)/10)*5455)</f>
        <v>0</v>
      </c>
      <c r="N16" s="290">
        <f>IF(('Entries March.''25'!AM16-'Entries March.''25'!AM17)/2.2&lt;0,"0",('Entries March.''25'!AM16-'Entries March.''25'!AM17)/2.2)</f>
        <v>0</v>
      </c>
      <c r="O16" s="291">
        <f>IF(('Entries March.''25'!AN16-'Entries March.''25'!AN17)&lt;0,"0",('Entries March.''25'!AN16-'Entries March.''25'!AN17))</f>
        <v>0</v>
      </c>
      <c r="T16">
        <f t="shared" si="17"/>
        <v>0</v>
      </c>
      <c r="W16">
        <f t="shared" si="1"/>
        <v>0</v>
      </c>
      <c r="Z16">
        <f t="shared" si="18"/>
        <v>0</v>
      </c>
      <c r="AC16">
        <f t="shared" si="2"/>
        <v>0</v>
      </c>
      <c r="AF16">
        <f t="shared" si="19"/>
        <v>0</v>
      </c>
      <c r="AI16">
        <f t="shared" si="3"/>
        <v>0</v>
      </c>
      <c r="AL16">
        <f t="shared" si="20"/>
        <v>0</v>
      </c>
      <c r="AO16">
        <f t="shared" si="4"/>
        <v>0</v>
      </c>
      <c r="AR16">
        <f t="shared" si="21"/>
        <v>0</v>
      </c>
      <c r="AU16">
        <f t="shared" si="5"/>
        <v>0</v>
      </c>
      <c r="AX16">
        <f t="shared" si="22"/>
        <v>0</v>
      </c>
      <c r="BA16">
        <f t="shared" si="6"/>
        <v>0</v>
      </c>
      <c r="BD16">
        <f t="shared" si="23"/>
        <v>0</v>
      </c>
      <c r="BG16">
        <f t="shared" si="7"/>
        <v>0</v>
      </c>
      <c r="BJ16">
        <f t="shared" si="24"/>
        <v>0</v>
      </c>
      <c r="BM16">
        <f t="shared" si="8"/>
        <v>0</v>
      </c>
      <c r="BP16">
        <f t="shared" si="25"/>
        <v>0</v>
      </c>
      <c r="BS16">
        <f t="shared" si="9"/>
        <v>0</v>
      </c>
      <c r="BV16">
        <f t="shared" si="26"/>
        <v>0</v>
      </c>
      <c r="BY16">
        <f t="shared" si="10"/>
        <v>0</v>
      </c>
      <c r="CB16">
        <f t="shared" si="27"/>
        <v>0</v>
      </c>
      <c r="CE16">
        <f t="shared" si="11"/>
        <v>0</v>
      </c>
      <c r="CH16">
        <f t="shared" si="28"/>
        <v>0</v>
      </c>
      <c r="CK16">
        <f t="shared" si="12"/>
        <v>0</v>
      </c>
      <c r="CN16">
        <f t="shared" si="29"/>
        <v>0</v>
      </c>
      <c r="CQ16">
        <f t="shared" si="13"/>
        <v>0</v>
      </c>
      <c r="CT16">
        <f t="shared" si="30"/>
        <v>0</v>
      </c>
      <c r="CW16">
        <f t="shared" si="14"/>
        <v>0</v>
      </c>
      <c r="CZ16">
        <f t="shared" si="31"/>
        <v>0</v>
      </c>
    </row>
    <row r="17" spans="1:104" ht="15" x14ac:dyDescent="0.2">
      <c r="A17" s="60">
        <v>11</v>
      </c>
      <c r="B17" s="71">
        <f>IF('Entries March.''25'!N18-'Entries March.''25'!N17&lt;1,"0",'Entries March.''25'!N18-'Entries March.''25'!N17)</f>
        <v>25.490000000000009</v>
      </c>
      <c r="C17" s="634">
        <v>1500</v>
      </c>
      <c r="D17" s="625">
        <v>187.11</v>
      </c>
      <c r="E17" s="621">
        <f t="shared" si="0"/>
        <v>0.13623002511891405</v>
      </c>
      <c r="F17" s="670">
        <f t="shared" si="15"/>
        <v>8.0166746833413498</v>
      </c>
      <c r="H17" s="291">
        <f>'Entries March.''25'!L18-'Entries March.''25'!L17</f>
        <v>0</v>
      </c>
      <c r="I17" s="289">
        <f t="shared" si="16"/>
        <v>25.490000000000009</v>
      </c>
      <c r="K17" s="633"/>
      <c r="L17" s="290">
        <f>IF((('Entries March.''25'!AK17-'Entries March.''25'!AK18)/10)*5455&lt;0,"0",(('Entries March.''25'!AK17-'Entries March.''25'!AK18)/10)*5455)</f>
        <v>0</v>
      </c>
      <c r="M17" s="290">
        <f>IF((('Entries March.''25'!AL17-'Entries March.''25'!AL18)/10)*5455&lt;0,"0",(('Entries March.''25'!AL17-'Entries March.''25'!AL18)/10)*5455)</f>
        <v>0</v>
      </c>
      <c r="N17" s="290">
        <f>IF(('Entries March.''25'!AM17-'Entries March.''25'!AM18)/2.2&lt;0,"0",('Entries March.''25'!AM17-'Entries March.''25'!AM18)/2.2)</f>
        <v>0</v>
      </c>
      <c r="O17" s="291">
        <f>IF(('Entries March.''25'!AN17-'Entries March.''25'!AN18)&lt;0,"0",('Entries March.''25'!AN17-'Entries March.''25'!AN18))</f>
        <v>0</v>
      </c>
      <c r="T17">
        <f t="shared" si="17"/>
        <v>0</v>
      </c>
      <c r="W17">
        <f t="shared" si="1"/>
        <v>0</v>
      </c>
      <c r="Z17">
        <f t="shared" si="18"/>
        <v>0</v>
      </c>
      <c r="AC17">
        <f t="shared" si="2"/>
        <v>0</v>
      </c>
      <c r="AF17">
        <f t="shared" si="19"/>
        <v>0</v>
      </c>
      <c r="AI17">
        <f t="shared" si="3"/>
        <v>0</v>
      </c>
      <c r="AL17">
        <f t="shared" si="20"/>
        <v>0</v>
      </c>
      <c r="AO17">
        <f t="shared" si="4"/>
        <v>0</v>
      </c>
      <c r="AR17">
        <f t="shared" si="21"/>
        <v>0</v>
      </c>
      <c r="AU17">
        <f t="shared" si="5"/>
        <v>0</v>
      </c>
      <c r="AX17">
        <f t="shared" si="22"/>
        <v>0</v>
      </c>
      <c r="BA17">
        <f t="shared" si="6"/>
        <v>0</v>
      </c>
      <c r="BD17">
        <f t="shared" si="23"/>
        <v>0</v>
      </c>
      <c r="BG17">
        <f t="shared" si="7"/>
        <v>0</v>
      </c>
      <c r="BJ17">
        <f t="shared" si="24"/>
        <v>0</v>
      </c>
      <c r="BM17">
        <f t="shared" si="8"/>
        <v>0</v>
      </c>
      <c r="BP17">
        <f t="shared" si="25"/>
        <v>0</v>
      </c>
      <c r="BS17">
        <f t="shared" si="9"/>
        <v>0</v>
      </c>
      <c r="BV17">
        <f t="shared" si="26"/>
        <v>0</v>
      </c>
      <c r="BY17">
        <f t="shared" si="10"/>
        <v>0</v>
      </c>
      <c r="CB17">
        <f t="shared" si="27"/>
        <v>0</v>
      </c>
      <c r="CE17">
        <f t="shared" si="11"/>
        <v>0</v>
      </c>
      <c r="CH17">
        <f t="shared" si="28"/>
        <v>0</v>
      </c>
      <c r="CK17">
        <f t="shared" si="12"/>
        <v>0</v>
      </c>
      <c r="CN17">
        <f t="shared" si="29"/>
        <v>0</v>
      </c>
      <c r="CQ17">
        <f t="shared" si="13"/>
        <v>0</v>
      </c>
      <c r="CT17">
        <f t="shared" si="30"/>
        <v>0</v>
      </c>
      <c r="CW17">
        <f t="shared" si="14"/>
        <v>0</v>
      </c>
      <c r="CZ17">
        <f t="shared" si="31"/>
        <v>0</v>
      </c>
    </row>
    <row r="18" spans="1:104" ht="15" x14ac:dyDescent="0.2">
      <c r="A18" s="60">
        <v>12</v>
      </c>
      <c r="B18" s="71">
        <f>IF('Entries March.''25'!N19-'Entries March.''25'!N18&lt;1,"0",'Entries March.''25'!N19-'Entries March.''25'!N18)</f>
        <v>16.740000000000009</v>
      </c>
      <c r="C18" s="634">
        <v>1400</v>
      </c>
      <c r="D18" s="625">
        <v>135.036</v>
      </c>
      <c r="E18" s="621">
        <f t="shared" si="0"/>
        <v>0.1239669421487604</v>
      </c>
      <c r="F18" s="670">
        <f t="shared" si="15"/>
        <v>10.367605675523563</v>
      </c>
      <c r="H18" s="291">
        <f>'Entries March.''25'!L19-'Entries March.''25'!L18</f>
        <v>0</v>
      </c>
      <c r="I18" s="289">
        <f t="shared" si="16"/>
        <v>16.740000000000009</v>
      </c>
      <c r="K18" s="633"/>
      <c r="L18" s="290">
        <f>IF((('Entries March.''25'!AK18-'Entries March.''25'!AK19)/10)*5455&lt;0,"0",(('Entries March.''25'!AK18-'Entries March.''25'!AK19)/10)*5455)</f>
        <v>0</v>
      </c>
      <c r="M18" s="290">
        <f>IF((('Entries March.''25'!AL18-'Entries March.''25'!AL19)/10)*5455&lt;0,"0",(('Entries March.''25'!AL18-'Entries March.''25'!AL19)/10)*5455)</f>
        <v>0</v>
      </c>
      <c r="N18" s="290">
        <f>IF(('Entries March.''25'!AM18-'Entries March.''25'!AM19)/2.2&lt;0,"0",('Entries March.''25'!AM18-'Entries March.''25'!AM19)/2.2)</f>
        <v>0</v>
      </c>
      <c r="O18" s="291">
        <f>IF(('Entries March.''25'!AN18-'Entries March.''25'!AN19)&lt;0,"0",('Entries March.''25'!AN18-'Entries March.''25'!AN19))</f>
        <v>0</v>
      </c>
      <c r="T18">
        <f t="shared" si="17"/>
        <v>0</v>
      </c>
      <c r="W18">
        <f t="shared" si="1"/>
        <v>0</v>
      </c>
      <c r="Z18">
        <f t="shared" si="18"/>
        <v>0</v>
      </c>
      <c r="AC18">
        <f t="shared" si="2"/>
        <v>0</v>
      </c>
      <c r="AF18">
        <f t="shared" si="19"/>
        <v>0</v>
      </c>
      <c r="AI18">
        <f t="shared" si="3"/>
        <v>0</v>
      </c>
      <c r="AL18">
        <f t="shared" si="20"/>
        <v>0</v>
      </c>
      <c r="AO18">
        <f t="shared" si="4"/>
        <v>0</v>
      </c>
      <c r="AR18">
        <f t="shared" si="21"/>
        <v>0</v>
      </c>
      <c r="AU18">
        <f t="shared" si="5"/>
        <v>0</v>
      </c>
      <c r="AX18">
        <f t="shared" si="22"/>
        <v>0</v>
      </c>
      <c r="BA18">
        <f t="shared" si="6"/>
        <v>0</v>
      </c>
      <c r="BD18">
        <f t="shared" si="23"/>
        <v>0</v>
      </c>
      <c r="BG18">
        <f t="shared" si="7"/>
        <v>0</v>
      </c>
      <c r="BJ18">
        <f t="shared" si="24"/>
        <v>0</v>
      </c>
      <c r="BM18">
        <f t="shared" si="8"/>
        <v>0</v>
      </c>
      <c r="BP18">
        <f t="shared" si="25"/>
        <v>0</v>
      </c>
      <c r="BS18">
        <f t="shared" si="9"/>
        <v>0</v>
      </c>
      <c r="BV18">
        <f t="shared" si="26"/>
        <v>0</v>
      </c>
      <c r="BY18">
        <f t="shared" si="10"/>
        <v>0</v>
      </c>
      <c r="CB18">
        <f t="shared" si="27"/>
        <v>0</v>
      </c>
      <c r="CE18">
        <f t="shared" si="11"/>
        <v>0</v>
      </c>
      <c r="CH18">
        <f t="shared" si="28"/>
        <v>0</v>
      </c>
      <c r="CK18">
        <f t="shared" si="12"/>
        <v>0</v>
      </c>
      <c r="CN18">
        <f t="shared" si="29"/>
        <v>0</v>
      </c>
      <c r="CQ18">
        <f t="shared" si="13"/>
        <v>0</v>
      </c>
      <c r="CT18">
        <f t="shared" si="30"/>
        <v>0</v>
      </c>
      <c r="CW18">
        <f t="shared" si="14"/>
        <v>0</v>
      </c>
      <c r="CZ18">
        <f t="shared" si="31"/>
        <v>0</v>
      </c>
    </row>
    <row r="19" spans="1:104" ht="15" x14ac:dyDescent="0.2">
      <c r="A19" s="60">
        <v>13</v>
      </c>
      <c r="B19" s="71">
        <f>IF('Entries March.''25'!N20-'Entries March.''25'!N19&lt;1,"0",'Entries March.''25'!N20-'Entries March.''25'!N19)</f>
        <v>33.089999999999918</v>
      </c>
      <c r="C19" s="634">
        <v>1500</v>
      </c>
      <c r="D19" s="625">
        <v>360.62400000000002</v>
      </c>
      <c r="E19" s="621">
        <f t="shared" si="0"/>
        <v>9.1757620125116235E-2</v>
      </c>
      <c r="F19" s="670">
        <f t="shared" si="15"/>
        <v>4.1594569413017437</v>
      </c>
      <c r="H19" s="291">
        <f>'Entries March.''25'!L20-'Entries March.''25'!L19</f>
        <v>0</v>
      </c>
      <c r="I19" s="289">
        <f t="shared" si="16"/>
        <v>33.089999999999918</v>
      </c>
      <c r="K19" s="633"/>
      <c r="L19" s="290">
        <f>IF((('Entries March.''25'!AK19-'Entries March.''25'!AK20)/10)*5455&lt;0,"0",(('Entries March.''25'!AK19-'Entries March.''25'!AK20)/10)*5455)</f>
        <v>0</v>
      </c>
      <c r="M19" s="290">
        <f>IF((('Entries March.''25'!AL19-'Entries March.''25'!AL20)/10)*5455&lt;0,"0",(('Entries March.''25'!AL19-'Entries March.''25'!AL20)/10)*5455)</f>
        <v>0</v>
      </c>
      <c r="N19" s="290">
        <f>IF(('Entries March.''25'!AM19-'Entries March.''25'!AM20)/2.2&lt;0,"0",('Entries March.''25'!AM19-'Entries March.''25'!AM20)/2.2)</f>
        <v>0</v>
      </c>
      <c r="O19" s="291">
        <f>IF(('Entries March.''25'!AN19-'Entries March.''25'!AN20)&lt;0,"0",('Entries March.''25'!AN19-'Entries March.''25'!AN20))</f>
        <v>0</v>
      </c>
      <c r="T19">
        <f t="shared" si="17"/>
        <v>0</v>
      </c>
      <c r="W19">
        <f t="shared" si="1"/>
        <v>0</v>
      </c>
      <c r="Z19">
        <f t="shared" si="18"/>
        <v>0</v>
      </c>
      <c r="AC19">
        <f t="shared" si="2"/>
        <v>0</v>
      </c>
      <c r="AF19">
        <f t="shared" si="19"/>
        <v>0</v>
      </c>
      <c r="AI19">
        <f t="shared" si="3"/>
        <v>0</v>
      </c>
      <c r="AL19">
        <f t="shared" si="20"/>
        <v>0</v>
      </c>
      <c r="AO19">
        <f t="shared" si="4"/>
        <v>0</v>
      </c>
      <c r="AR19">
        <f t="shared" si="21"/>
        <v>0</v>
      </c>
      <c r="AU19">
        <f t="shared" si="5"/>
        <v>0</v>
      </c>
      <c r="AX19">
        <f t="shared" si="22"/>
        <v>0</v>
      </c>
      <c r="BA19">
        <f t="shared" si="6"/>
        <v>0</v>
      </c>
      <c r="BD19">
        <f t="shared" si="23"/>
        <v>0</v>
      </c>
      <c r="BG19">
        <f t="shared" si="7"/>
        <v>0</v>
      </c>
      <c r="BJ19">
        <f t="shared" si="24"/>
        <v>0</v>
      </c>
      <c r="BM19">
        <f t="shared" si="8"/>
        <v>0</v>
      </c>
      <c r="BP19">
        <f t="shared" si="25"/>
        <v>0</v>
      </c>
      <c r="BS19">
        <f t="shared" si="9"/>
        <v>0</v>
      </c>
      <c r="BV19">
        <f t="shared" si="26"/>
        <v>0</v>
      </c>
      <c r="BY19">
        <f t="shared" si="10"/>
        <v>0</v>
      </c>
      <c r="CB19">
        <f t="shared" si="27"/>
        <v>0</v>
      </c>
      <c r="CE19">
        <f t="shared" si="11"/>
        <v>0</v>
      </c>
      <c r="CH19">
        <f t="shared" si="28"/>
        <v>0</v>
      </c>
      <c r="CK19">
        <f t="shared" si="12"/>
        <v>0</v>
      </c>
      <c r="CN19">
        <f t="shared" si="29"/>
        <v>0</v>
      </c>
      <c r="CQ19">
        <f t="shared" si="13"/>
        <v>0</v>
      </c>
      <c r="CT19">
        <f t="shared" si="30"/>
        <v>0</v>
      </c>
      <c r="CW19">
        <f t="shared" si="14"/>
        <v>0</v>
      </c>
      <c r="CZ19">
        <f t="shared" si="31"/>
        <v>0</v>
      </c>
    </row>
    <row r="20" spans="1:104" ht="15" x14ac:dyDescent="0.2">
      <c r="A20" s="60">
        <v>14</v>
      </c>
      <c r="B20" s="71">
        <f>IF('Entries March.''25'!N21-'Entries March.''25'!N20&lt;1,"0",'Entries March.''25'!N21-'Entries March.''25'!N20)</f>
        <v>23.870000000000118</v>
      </c>
      <c r="C20" s="634">
        <v>900</v>
      </c>
      <c r="D20" s="625">
        <v>272.44800000000004</v>
      </c>
      <c r="E20" s="621">
        <f t="shared" si="0"/>
        <v>8.7613049095607659E-2</v>
      </c>
      <c r="F20" s="670">
        <f t="shared" si="15"/>
        <v>3.3033826638477799</v>
      </c>
      <c r="H20" s="291">
        <f>'Entries March.''25'!L21-'Entries March.''25'!L20</f>
        <v>0</v>
      </c>
      <c r="I20" s="289">
        <f t="shared" si="16"/>
        <v>23.870000000000118</v>
      </c>
      <c r="K20" s="633"/>
      <c r="L20" s="290">
        <f>IF((('Entries March.''25'!AK20-'Entries March.''25'!AK21)/10)*5455&lt;0,"0",(('Entries March.''25'!AK20-'Entries March.''25'!AK21)/10)*5455)</f>
        <v>0</v>
      </c>
      <c r="M20" s="290">
        <f>IF((('Entries March.''25'!AL20-'Entries March.''25'!AL21)/10)*5455&lt;0,"0",(('Entries March.''25'!AL20-'Entries March.''25'!AL21)/10)*5455)</f>
        <v>0</v>
      </c>
      <c r="N20" s="290">
        <f>IF(('Entries March.''25'!AM20-'Entries March.''25'!AM21)/2.2&lt;0,"0",('Entries March.''25'!AM20-'Entries March.''25'!AM21)/2.2)</f>
        <v>0</v>
      </c>
      <c r="O20" s="291">
        <f>IF(('Entries March.''25'!AN20-'Entries March.''25'!AN21)&lt;0,"0",('Entries March.''25'!AN20-'Entries March.''25'!AN21))</f>
        <v>0</v>
      </c>
      <c r="T20">
        <f t="shared" si="17"/>
        <v>0</v>
      </c>
      <c r="W20">
        <f t="shared" si="1"/>
        <v>0</v>
      </c>
      <c r="Z20">
        <f t="shared" si="18"/>
        <v>0</v>
      </c>
      <c r="AC20">
        <f t="shared" si="2"/>
        <v>0</v>
      </c>
      <c r="AF20">
        <f t="shared" si="19"/>
        <v>0</v>
      </c>
      <c r="AI20">
        <f t="shared" si="3"/>
        <v>0</v>
      </c>
      <c r="AL20">
        <f t="shared" si="20"/>
        <v>0</v>
      </c>
      <c r="AO20">
        <f t="shared" si="4"/>
        <v>0</v>
      </c>
      <c r="AR20">
        <f t="shared" si="21"/>
        <v>0</v>
      </c>
      <c r="AU20">
        <f t="shared" si="5"/>
        <v>0</v>
      </c>
      <c r="AX20">
        <f t="shared" si="22"/>
        <v>0</v>
      </c>
      <c r="BA20">
        <f t="shared" si="6"/>
        <v>0</v>
      </c>
      <c r="BD20">
        <f t="shared" si="23"/>
        <v>0</v>
      </c>
      <c r="BG20">
        <f t="shared" si="7"/>
        <v>0</v>
      </c>
      <c r="BJ20">
        <f t="shared" si="24"/>
        <v>0</v>
      </c>
      <c r="BM20">
        <f t="shared" si="8"/>
        <v>0</v>
      </c>
      <c r="BP20">
        <f t="shared" si="25"/>
        <v>0</v>
      </c>
      <c r="BS20">
        <f t="shared" si="9"/>
        <v>0</v>
      </c>
      <c r="BV20">
        <f t="shared" si="26"/>
        <v>0</v>
      </c>
      <c r="BY20">
        <f t="shared" si="10"/>
        <v>0</v>
      </c>
      <c r="CB20">
        <f t="shared" si="27"/>
        <v>0</v>
      </c>
      <c r="CE20">
        <f t="shared" si="11"/>
        <v>0</v>
      </c>
      <c r="CH20">
        <f t="shared" si="28"/>
        <v>0</v>
      </c>
      <c r="CK20">
        <f t="shared" si="12"/>
        <v>0</v>
      </c>
      <c r="CN20">
        <f t="shared" si="29"/>
        <v>0</v>
      </c>
      <c r="CQ20">
        <f t="shared" si="13"/>
        <v>0</v>
      </c>
      <c r="CT20">
        <f t="shared" si="30"/>
        <v>0</v>
      </c>
      <c r="CW20">
        <f t="shared" si="14"/>
        <v>0</v>
      </c>
      <c r="CZ20">
        <f t="shared" si="31"/>
        <v>0</v>
      </c>
    </row>
    <row r="21" spans="1:104" ht="15" x14ac:dyDescent="0.2">
      <c r="A21" s="60">
        <v>15</v>
      </c>
      <c r="B21" s="71" t="str">
        <f>IF('Entries March.''25'!N22-'Entries March.''25'!N21&lt;1,"0",'Entries March.''25'!N22-'Entries March.''25'!N21)</f>
        <v>0</v>
      </c>
      <c r="C21" s="634">
        <v>0</v>
      </c>
      <c r="D21" s="625">
        <v>0</v>
      </c>
      <c r="E21" s="621" t="str">
        <f t="shared" si="0"/>
        <v>0</v>
      </c>
      <c r="F21" s="670" t="str">
        <f t="shared" si="15"/>
        <v>0</v>
      </c>
      <c r="H21" s="291">
        <f>'Entries March.''25'!L22-'Entries March.''25'!L21</f>
        <v>0</v>
      </c>
      <c r="I21" s="289" t="str">
        <f t="shared" si="16"/>
        <v>0</v>
      </c>
      <c r="K21" s="633"/>
      <c r="L21" s="290">
        <f>IF((('Entries March.''25'!AK21-'Entries March.''25'!AK22)/10)*5455&lt;0,"0",(('Entries March.''25'!AK21-'Entries March.''25'!AK22)/10)*5455)</f>
        <v>0</v>
      </c>
      <c r="M21" s="290">
        <f>IF((('Entries March.''25'!AL21-'Entries March.''25'!AL22)/10)*5455&lt;0,"0",(('Entries March.''25'!AL21-'Entries March.''25'!AL22)/10)*5455)</f>
        <v>0</v>
      </c>
      <c r="N21" s="290">
        <f>IF(('Entries March.''25'!AM21-'Entries March.''25'!AM22)/2.2&lt;0,"0",('Entries March.''25'!AM21-'Entries March.''25'!AM22)/2.2)</f>
        <v>0</v>
      </c>
      <c r="O21" s="291">
        <f>IF(('Entries March.''25'!AN21-'Entries March.''25'!AN22)&lt;0,"0",('Entries March.''25'!AN21-'Entries March.''25'!AN22))</f>
        <v>0</v>
      </c>
      <c r="T21">
        <f t="shared" si="17"/>
        <v>0</v>
      </c>
      <c r="W21">
        <f t="shared" si="1"/>
        <v>0</v>
      </c>
      <c r="Z21">
        <f t="shared" si="18"/>
        <v>0</v>
      </c>
      <c r="AC21">
        <f t="shared" si="2"/>
        <v>0</v>
      </c>
      <c r="AF21">
        <f t="shared" si="19"/>
        <v>0</v>
      </c>
      <c r="AI21">
        <f t="shared" si="3"/>
        <v>0</v>
      </c>
      <c r="AL21">
        <f t="shared" si="20"/>
        <v>0</v>
      </c>
      <c r="AO21">
        <f t="shared" si="4"/>
        <v>0</v>
      </c>
      <c r="AR21">
        <f t="shared" si="21"/>
        <v>0</v>
      </c>
      <c r="AU21">
        <f t="shared" si="5"/>
        <v>0</v>
      </c>
      <c r="AX21">
        <f t="shared" si="22"/>
        <v>0</v>
      </c>
      <c r="BA21">
        <f t="shared" si="6"/>
        <v>0</v>
      </c>
      <c r="BD21">
        <f t="shared" si="23"/>
        <v>0</v>
      </c>
      <c r="BG21">
        <f t="shared" si="7"/>
        <v>0</v>
      </c>
      <c r="BJ21">
        <f t="shared" si="24"/>
        <v>0</v>
      </c>
      <c r="BM21">
        <f t="shared" si="8"/>
        <v>0</v>
      </c>
      <c r="BP21">
        <f t="shared" si="25"/>
        <v>0</v>
      </c>
      <c r="BS21">
        <f t="shared" si="9"/>
        <v>0</v>
      </c>
      <c r="BV21">
        <f t="shared" si="26"/>
        <v>0</v>
      </c>
      <c r="BY21">
        <f t="shared" si="10"/>
        <v>0</v>
      </c>
      <c r="CB21">
        <f t="shared" si="27"/>
        <v>0</v>
      </c>
      <c r="CE21">
        <f t="shared" si="11"/>
        <v>0</v>
      </c>
      <c r="CH21">
        <f t="shared" si="28"/>
        <v>0</v>
      </c>
      <c r="CK21">
        <f t="shared" si="12"/>
        <v>0</v>
      </c>
      <c r="CN21">
        <f t="shared" si="29"/>
        <v>0</v>
      </c>
      <c r="CQ21">
        <f t="shared" si="13"/>
        <v>0</v>
      </c>
      <c r="CT21">
        <f t="shared" si="30"/>
        <v>0</v>
      </c>
      <c r="CW21">
        <f t="shared" si="14"/>
        <v>0</v>
      </c>
      <c r="CZ21">
        <f t="shared" si="31"/>
        <v>0</v>
      </c>
    </row>
    <row r="22" spans="1:104" ht="15" x14ac:dyDescent="0.2">
      <c r="A22" s="60">
        <v>16</v>
      </c>
      <c r="B22" s="71" t="str">
        <f>IF('Entries March.''25'!N23-'Entries March.''25'!N22&lt;1,"0",'Entries March.''25'!N23-'Entries March.''25'!N22)</f>
        <v>0</v>
      </c>
      <c r="C22" s="634">
        <v>3900</v>
      </c>
      <c r="D22" s="625">
        <v>0</v>
      </c>
      <c r="E22" s="621" t="str">
        <f t="shared" si="0"/>
        <v>0</v>
      </c>
      <c r="F22" s="670" t="str">
        <f t="shared" si="15"/>
        <v>0</v>
      </c>
      <c r="H22" s="291">
        <f>'Entries March.''25'!L23-'Entries March.''25'!L22</f>
        <v>0</v>
      </c>
      <c r="I22" s="289" t="str">
        <f t="shared" si="16"/>
        <v>0</v>
      </c>
      <c r="K22" s="633"/>
      <c r="L22" s="290">
        <f>IF((('Entries March.''25'!AK22-'Entries March.''25'!AK23)/10)*5455&lt;0,"0",(('Entries March.''25'!AK22-'Entries March.''25'!AK23)/10)*5455)</f>
        <v>0</v>
      </c>
      <c r="M22" s="290">
        <f>IF((('Entries March.''25'!AL22-'Entries March.''25'!AL23)/10)*5455&lt;0,"0",(('Entries March.''25'!AL22-'Entries March.''25'!AL23)/10)*5455)</f>
        <v>0</v>
      </c>
      <c r="N22" s="290">
        <f>IF(('Entries March.''25'!AM22-'Entries March.''25'!AM23)/2.2&lt;0,"0",('Entries March.''25'!AM22-'Entries March.''25'!AM23)/2.2)</f>
        <v>0</v>
      </c>
      <c r="O22" s="291">
        <f>IF(('Entries March.''25'!AN22-'Entries March.''25'!AN23)&lt;0,"0",('Entries March.''25'!AN22-'Entries March.''25'!AN23))</f>
        <v>0</v>
      </c>
      <c r="T22">
        <f t="shared" si="17"/>
        <v>0</v>
      </c>
      <c r="W22">
        <f t="shared" si="1"/>
        <v>0</v>
      </c>
      <c r="Z22">
        <f t="shared" si="18"/>
        <v>0</v>
      </c>
      <c r="AC22">
        <f t="shared" si="2"/>
        <v>0</v>
      </c>
      <c r="AF22">
        <f t="shared" si="19"/>
        <v>0</v>
      </c>
      <c r="AI22">
        <f t="shared" si="3"/>
        <v>0</v>
      </c>
      <c r="AL22">
        <f t="shared" si="20"/>
        <v>0</v>
      </c>
      <c r="AO22">
        <f t="shared" si="4"/>
        <v>0</v>
      </c>
      <c r="AR22">
        <f t="shared" si="21"/>
        <v>0</v>
      </c>
      <c r="AU22">
        <f t="shared" si="5"/>
        <v>0</v>
      </c>
      <c r="AX22">
        <f t="shared" si="22"/>
        <v>0</v>
      </c>
      <c r="BA22">
        <f t="shared" si="6"/>
        <v>0</v>
      </c>
      <c r="BD22">
        <f t="shared" si="23"/>
        <v>0</v>
      </c>
      <c r="BG22">
        <f t="shared" si="7"/>
        <v>0</v>
      </c>
      <c r="BJ22">
        <f t="shared" si="24"/>
        <v>0</v>
      </c>
      <c r="BM22">
        <f t="shared" si="8"/>
        <v>0</v>
      </c>
      <c r="BP22">
        <f t="shared" si="25"/>
        <v>0</v>
      </c>
      <c r="BS22">
        <f t="shared" si="9"/>
        <v>0</v>
      </c>
      <c r="BV22">
        <f t="shared" si="26"/>
        <v>0</v>
      </c>
      <c r="BY22">
        <f t="shared" si="10"/>
        <v>0</v>
      </c>
      <c r="CB22">
        <f t="shared" si="27"/>
        <v>0</v>
      </c>
      <c r="CE22">
        <f t="shared" si="11"/>
        <v>0</v>
      </c>
      <c r="CH22">
        <f t="shared" si="28"/>
        <v>0</v>
      </c>
      <c r="CK22">
        <f t="shared" si="12"/>
        <v>0</v>
      </c>
      <c r="CN22">
        <f t="shared" si="29"/>
        <v>0</v>
      </c>
      <c r="CQ22">
        <f t="shared" si="13"/>
        <v>0</v>
      </c>
      <c r="CT22">
        <f t="shared" si="30"/>
        <v>0</v>
      </c>
      <c r="CW22">
        <f t="shared" si="14"/>
        <v>0</v>
      </c>
      <c r="CZ22">
        <f t="shared" si="31"/>
        <v>0</v>
      </c>
    </row>
    <row r="23" spans="1:104" ht="15" x14ac:dyDescent="0.2">
      <c r="A23" s="60">
        <v>17</v>
      </c>
      <c r="B23" s="71">
        <f>IF('Entries March.''25'!N24-'Entries March.''25'!N23&lt;1,"0",'Entries March.''25'!N24-'Entries March.''25'!N23)</f>
        <v>26.889999999999873</v>
      </c>
      <c r="C23" s="634">
        <v>400</v>
      </c>
      <c r="D23" s="625">
        <v>151.73400000000001</v>
      </c>
      <c r="E23" s="621">
        <f t="shared" si="0"/>
        <v>0.17721802628283623</v>
      </c>
      <c r="F23" s="670">
        <f t="shared" si="15"/>
        <v>2.636192283865185</v>
      </c>
      <c r="H23" s="291">
        <f>'Entries March.''25'!L24-'Entries March.''25'!L23</f>
        <v>0</v>
      </c>
      <c r="I23" s="289">
        <f t="shared" si="16"/>
        <v>26.889999999999873</v>
      </c>
      <c r="K23" s="633"/>
      <c r="L23" s="290">
        <f>IF((('Entries March.''25'!AK23-'Entries March.''25'!AK24)/10)*5455&lt;0,"0",(('Entries March.''25'!AK23-'Entries March.''25'!AK24)/10)*5455)</f>
        <v>0</v>
      </c>
      <c r="M23" s="290">
        <f>IF((('Entries March.''25'!AL23-'Entries March.''25'!AL24)/10)*5455&lt;0,"0",(('Entries March.''25'!AL23-'Entries March.''25'!AL24)/10)*5455)</f>
        <v>0</v>
      </c>
      <c r="N23" s="290">
        <f>IF(('Entries March.''25'!AM23-'Entries March.''25'!AM24)/2.2&lt;0,"0",('Entries March.''25'!AM23-'Entries March.''25'!AM24)/2.2)</f>
        <v>0</v>
      </c>
      <c r="O23" s="291">
        <f>IF(('Entries March.''25'!AN23-'Entries March.''25'!AN24)&lt;0,"0",('Entries March.''25'!AN23-'Entries March.''25'!AN24))</f>
        <v>0</v>
      </c>
      <c r="T23">
        <f t="shared" si="17"/>
        <v>0</v>
      </c>
      <c r="W23">
        <f t="shared" si="1"/>
        <v>0</v>
      </c>
      <c r="Z23">
        <f t="shared" si="18"/>
        <v>0</v>
      </c>
      <c r="AC23">
        <f t="shared" si="2"/>
        <v>0</v>
      </c>
      <c r="AF23">
        <f t="shared" si="19"/>
        <v>0</v>
      </c>
      <c r="AI23">
        <f t="shared" si="3"/>
        <v>0</v>
      </c>
      <c r="AL23">
        <f t="shared" si="20"/>
        <v>0</v>
      </c>
      <c r="AO23">
        <f t="shared" si="4"/>
        <v>0</v>
      </c>
      <c r="AR23">
        <f t="shared" si="21"/>
        <v>0</v>
      </c>
      <c r="AU23">
        <f t="shared" si="5"/>
        <v>0</v>
      </c>
      <c r="AX23">
        <f t="shared" si="22"/>
        <v>0</v>
      </c>
      <c r="BA23">
        <f t="shared" si="6"/>
        <v>0</v>
      </c>
      <c r="BD23">
        <f t="shared" si="23"/>
        <v>0</v>
      </c>
      <c r="BG23">
        <f t="shared" si="7"/>
        <v>0</v>
      </c>
      <c r="BJ23">
        <f t="shared" si="24"/>
        <v>0</v>
      </c>
      <c r="BM23">
        <f t="shared" si="8"/>
        <v>0</v>
      </c>
      <c r="BP23">
        <f t="shared" si="25"/>
        <v>0</v>
      </c>
      <c r="BS23">
        <f t="shared" si="9"/>
        <v>0</v>
      </c>
      <c r="BV23">
        <f t="shared" si="26"/>
        <v>0</v>
      </c>
      <c r="BY23">
        <f t="shared" si="10"/>
        <v>0</v>
      </c>
      <c r="CB23">
        <f t="shared" si="27"/>
        <v>0</v>
      </c>
      <c r="CE23">
        <f t="shared" si="11"/>
        <v>0</v>
      </c>
      <c r="CH23">
        <f t="shared" si="28"/>
        <v>0</v>
      </c>
      <c r="CK23">
        <f t="shared" si="12"/>
        <v>0</v>
      </c>
      <c r="CN23">
        <f t="shared" si="29"/>
        <v>0</v>
      </c>
      <c r="CQ23">
        <f t="shared" si="13"/>
        <v>0</v>
      </c>
      <c r="CT23">
        <f t="shared" si="30"/>
        <v>0</v>
      </c>
      <c r="CW23">
        <f t="shared" si="14"/>
        <v>0</v>
      </c>
      <c r="CZ23">
        <f t="shared" si="31"/>
        <v>0</v>
      </c>
    </row>
    <row r="24" spans="1:104" ht="15" x14ac:dyDescent="0.2">
      <c r="A24" s="60">
        <v>18</v>
      </c>
      <c r="B24" s="71">
        <f>IF('Entries March.''25'!N25-'Entries March.''25'!N24&lt;1,"0",'Entries March.''25'!N25-'Entries March.''25'!N24)</f>
        <v>30.670000000000073</v>
      </c>
      <c r="C24" s="634">
        <v>1800</v>
      </c>
      <c r="D24" s="625">
        <v>429.726</v>
      </c>
      <c r="E24" s="621">
        <f t="shared" si="0"/>
        <v>7.1371059698505726E-2</v>
      </c>
      <c r="F24" s="670">
        <f t="shared" si="15"/>
        <v>4.1887156001731336</v>
      </c>
      <c r="H24" s="291">
        <f>'Entries March.''25'!L25-'Entries March.''25'!L24</f>
        <v>0</v>
      </c>
      <c r="I24" s="289">
        <f t="shared" si="16"/>
        <v>30.670000000000073</v>
      </c>
      <c r="K24" s="633"/>
      <c r="L24" s="290">
        <f>IF((('Entries March.''25'!AK24-'Entries March.''25'!AK25)/10)*5455&lt;0,"0",(('Entries March.''25'!AK24-'Entries March.''25'!AK25)/10)*5455)</f>
        <v>0</v>
      </c>
      <c r="M24" s="290">
        <f>IF((('Entries March.''25'!AL24-'Entries March.''25'!AL25)/10)*5455&lt;0,"0",(('Entries March.''25'!AL24-'Entries March.''25'!AL25)/10)*5455)</f>
        <v>0</v>
      </c>
      <c r="N24" s="290">
        <f>IF(('Entries March.''25'!AM24-'Entries March.''25'!AM25)/2.2&lt;0,"0",('Entries March.''25'!AM24-'Entries March.''25'!AM25)/2.2)</f>
        <v>0</v>
      </c>
      <c r="O24" s="291">
        <f>IF(('Entries March.''25'!AN24-'Entries March.''25'!AN25)&lt;0,"0",('Entries March.''25'!AN24-'Entries March.''25'!AN25))</f>
        <v>0</v>
      </c>
      <c r="T24">
        <f t="shared" si="17"/>
        <v>0</v>
      </c>
      <c r="W24">
        <f t="shared" si="1"/>
        <v>0</v>
      </c>
      <c r="Z24">
        <f t="shared" si="18"/>
        <v>0</v>
      </c>
      <c r="AC24">
        <f t="shared" si="2"/>
        <v>0</v>
      </c>
      <c r="AF24">
        <f t="shared" si="19"/>
        <v>0</v>
      </c>
      <c r="AI24">
        <f t="shared" si="3"/>
        <v>0</v>
      </c>
      <c r="AL24">
        <f t="shared" si="20"/>
        <v>0</v>
      </c>
      <c r="AO24">
        <f t="shared" si="4"/>
        <v>0</v>
      </c>
      <c r="AR24">
        <f t="shared" si="21"/>
        <v>0</v>
      </c>
      <c r="AU24">
        <f t="shared" si="5"/>
        <v>0</v>
      </c>
      <c r="AX24">
        <f t="shared" si="22"/>
        <v>0</v>
      </c>
      <c r="BA24">
        <f t="shared" si="6"/>
        <v>0</v>
      </c>
      <c r="BD24">
        <f t="shared" si="23"/>
        <v>0</v>
      </c>
      <c r="BG24">
        <f t="shared" si="7"/>
        <v>0</v>
      </c>
      <c r="BJ24">
        <f t="shared" si="24"/>
        <v>0</v>
      </c>
      <c r="BM24">
        <f t="shared" si="8"/>
        <v>0</v>
      </c>
      <c r="BP24">
        <f t="shared" si="25"/>
        <v>0</v>
      </c>
      <c r="BS24">
        <f t="shared" si="9"/>
        <v>0</v>
      </c>
      <c r="BV24">
        <f t="shared" si="26"/>
        <v>0</v>
      </c>
      <c r="BY24">
        <f t="shared" si="10"/>
        <v>0</v>
      </c>
      <c r="CB24">
        <f t="shared" si="27"/>
        <v>0</v>
      </c>
      <c r="CE24">
        <f t="shared" si="11"/>
        <v>0</v>
      </c>
      <c r="CH24">
        <f t="shared" si="28"/>
        <v>0</v>
      </c>
      <c r="CK24">
        <f t="shared" si="12"/>
        <v>0</v>
      </c>
      <c r="CN24">
        <f t="shared" si="29"/>
        <v>0</v>
      </c>
      <c r="CQ24">
        <f t="shared" si="13"/>
        <v>0</v>
      </c>
      <c r="CT24">
        <f t="shared" si="30"/>
        <v>0</v>
      </c>
      <c r="CW24">
        <f t="shared" si="14"/>
        <v>0</v>
      </c>
      <c r="CZ24">
        <f t="shared" si="31"/>
        <v>0</v>
      </c>
    </row>
    <row r="25" spans="1:104" ht="15" x14ac:dyDescent="0.2">
      <c r="A25" s="60">
        <v>19</v>
      </c>
      <c r="B25" s="71">
        <f>IF('Entries March.''25'!N26-'Entries March.''25'!N25&lt;1,"0",'Entries March.''25'!N26-'Entries March.''25'!N25)</f>
        <v>45.910000000000082</v>
      </c>
      <c r="C25" s="634">
        <v>3100</v>
      </c>
      <c r="D25" s="625">
        <v>501.40200000000004</v>
      </c>
      <c r="E25" s="621">
        <f t="shared" si="0"/>
        <v>9.156325662841408E-2</v>
      </c>
      <c r="F25" s="670">
        <f t="shared" si="15"/>
        <v>6.1826638106748675</v>
      </c>
      <c r="H25" s="291">
        <f>'Entries March.''25'!L26-'Entries March.''25'!L25</f>
        <v>0</v>
      </c>
      <c r="I25" s="289">
        <f t="shared" si="16"/>
        <v>45.910000000000082</v>
      </c>
      <c r="K25" s="633"/>
      <c r="L25" s="290">
        <f>IF((('Entries March.''25'!AK25-'Entries March.''25'!AK26)/10)*5455&lt;0,"0",(('Entries March.''25'!AK25-'Entries March.''25'!AK26)/10)*5455)</f>
        <v>0</v>
      </c>
      <c r="M25" s="290">
        <f>IF((('Entries March.''25'!AL25-'Entries March.''25'!AL26)/10)*5455&lt;0,"0",(('Entries March.''25'!AL25-'Entries March.''25'!AL26)/10)*5455)</f>
        <v>0</v>
      </c>
      <c r="N25" s="290">
        <f>IF(('Entries March.''25'!AM25-'Entries March.''25'!AM26)/2.2&lt;0,"0",('Entries March.''25'!AM25-'Entries March.''25'!AM26)/2.2)</f>
        <v>0</v>
      </c>
      <c r="O25" s="291">
        <f>IF(('Entries March.''25'!AN25-'Entries March.''25'!AN26)&lt;0,"0",('Entries March.''25'!AN25-'Entries March.''25'!AN26))</f>
        <v>0</v>
      </c>
      <c r="T25">
        <f t="shared" si="17"/>
        <v>0</v>
      </c>
      <c r="W25">
        <f t="shared" si="1"/>
        <v>0</v>
      </c>
      <c r="Z25">
        <f t="shared" si="18"/>
        <v>0</v>
      </c>
      <c r="AC25">
        <f t="shared" si="2"/>
        <v>0</v>
      </c>
      <c r="AF25">
        <f t="shared" si="19"/>
        <v>0</v>
      </c>
      <c r="AI25">
        <f t="shared" si="3"/>
        <v>0</v>
      </c>
      <c r="AL25">
        <f t="shared" si="20"/>
        <v>0</v>
      </c>
      <c r="AO25">
        <f t="shared" si="4"/>
        <v>0</v>
      </c>
      <c r="AR25">
        <f t="shared" si="21"/>
        <v>0</v>
      </c>
      <c r="AU25">
        <f t="shared" si="5"/>
        <v>0</v>
      </c>
      <c r="AX25">
        <f t="shared" si="22"/>
        <v>0</v>
      </c>
      <c r="BA25">
        <f t="shared" si="6"/>
        <v>0</v>
      </c>
      <c r="BD25">
        <f t="shared" si="23"/>
        <v>0</v>
      </c>
      <c r="BG25">
        <f t="shared" si="7"/>
        <v>0</v>
      </c>
      <c r="BJ25">
        <f t="shared" si="24"/>
        <v>0</v>
      </c>
      <c r="BM25">
        <f t="shared" si="8"/>
        <v>0</v>
      </c>
      <c r="BP25">
        <f t="shared" si="25"/>
        <v>0</v>
      </c>
      <c r="BS25">
        <f t="shared" si="9"/>
        <v>0</v>
      </c>
      <c r="BV25">
        <f t="shared" si="26"/>
        <v>0</v>
      </c>
      <c r="BY25">
        <f t="shared" si="10"/>
        <v>0</v>
      </c>
      <c r="CB25">
        <f t="shared" si="27"/>
        <v>0</v>
      </c>
      <c r="CE25">
        <f t="shared" si="11"/>
        <v>0</v>
      </c>
      <c r="CH25">
        <f t="shared" si="28"/>
        <v>0</v>
      </c>
      <c r="CK25">
        <f t="shared" si="12"/>
        <v>0</v>
      </c>
      <c r="CN25">
        <f t="shared" si="29"/>
        <v>0</v>
      </c>
      <c r="CQ25">
        <f t="shared" si="13"/>
        <v>0</v>
      </c>
      <c r="CT25">
        <f t="shared" si="30"/>
        <v>0</v>
      </c>
      <c r="CW25">
        <f t="shared" si="14"/>
        <v>0</v>
      </c>
      <c r="CZ25">
        <f t="shared" si="31"/>
        <v>0</v>
      </c>
    </row>
    <row r="26" spans="1:104" ht="15" x14ac:dyDescent="0.2">
      <c r="A26" s="60">
        <v>20</v>
      </c>
      <c r="B26" s="71">
        <f>IF('Entries March.''25'!N27-'Entries March.''25'!N26&lt;1,"0",'Entries March.''25'!N27-'Entries March.''25'!N26)</f>
        <v>32.049999999999955</v>
      </c>
      <c r="C26" s="634">
        <v>1600</v>
      </c>
      <c r="D26" s="625">
        <v>267.49799999999999</v>
      </c>
      <c r="E26" s="621">
        <f t="shared" si="0"/>
        <v>0.1198139799176067</v>
      </c>
      <c r="F26" s="670">
        <f t="shared" si="15"/>
        <v>5.9813531316121988</v>
      </c>
      <c r="H26" s="291">
        <f>'Entries March.''25'!L27-'Entries March.''25'!L26</f>
        <v>0</v>
      </c>
      <c r="I26" s="289">
        <f t="shared" si="16"/>
        <v>32.049999999999955</v>
      </c>
      <c r="K26" s="633"/>
      <c r="L26" s="290">
        <f>IF((('Entries March.''25'!AK26-'Entries March.''25'!AK27)/10)*5455&lt;0,"0",(('Entries March.''25'!AK26-'Entries March.''25'!AK27)/10)*5455)</f>
        <v>0</v>
      </c>
      <c r="M26" s="290">
        <f>IF((('Entries March.''25'!AL26-'Entries March.''25'!AL27)/10)*5455&lt;0,"0",(('Entries March.''25'!AL26-'Entries March.''25'!AL27)/10)*5455)</f>
        <v>0</v>
      </c>
      <c r="N26" s="290">
        <f>IF(('Entries March.''25'!AM26-'Entries March.''25'!AM27)/2.2&lt;0,"0",('Entries March.''25'!AM26-'Entries March.''25'!AM27)/2.2)</f>
        <v>0</v>
      </c>
      <c r="O26" s="291">
        <f>IF(('Entries March.''25'!AN26-'Entries March.''25'!AN27)&lt;0,"0",('Entries March.''25'!AN26-'Entries March.''25'!AN27))</f>
        <v>0</v>
      </c>
      <c r="T26">
        <f t="shared" si="17"/>
        <v>0</v>
      </c>
      <c r="W26">
        <f t="shared" si="1"/>
        <v>0</v>
      </c>
      <c r="Z26">
        <f t="shared" si="18"/>
        <v>0</v>
      </c>
      <c r="AC26">
        <f t="shared" si="2"/>
        <v>0</v>
      </c>
      <c r="AF26">
        <f t="shared" si="19"/>
        <v>0</v>
      </c>
      <c r="AI26">
        <f t="shared" si="3"/>
        <v>0</v>
      </c>
      <c r="AL26">
        <f t="shared" si="20"/>
        <v>0</v>
      </c>
      <c r="AO26">
        <f t="shared" si="4"/>
        <v>0</v>
      </c>
      <c r="AR26">
        <f t="shared" si="21"/>
        <v>0</v>
      </c>
      <c r="AU26">
        <f t="shared" si="5"/>
        <v>0</v>
      </c>
      <c r="AX26">
        <f t="shared" si="22"/>
        <v>0</v>
      </c>
      <c r="BA26">
        <f t="shared" si="6"/>
        <v>0</v>
      </c>
      <c r="BD26">
        <f t="shared" si="23"/>
        <v>0</v>
      </c>
      <c r="BG26">
        <f t="shared" si="7"/>
        <v>0</v>
      </c>
      <c r="BJ26">
        <f t="shared" si="24"/>
        <v>0</v>
      </c>
      <c r="BM26">
        <f t="shared" si="8"/>
        <v>0</v>
      </c>
      <c r="BP26">
        <f t="shared" si="25"/>
        <v>0</v>
      </c>
      <c r="BS26">
        <f t="shared" si="9"/>
        <v>0</v>
      </c>
      <c r="BV26">
        <f t="shared" si="26"/>
        <v>0</v>
      </c>
      <c r="BY26">
        <f t="shared" si="10"/>
        <v>0</v>
      </c>
      <c r="CB26">
        <f t="shared" si="27"/>
        <v>0</v>
      </c>
      <c r="CE26">
        <f t="shared" si="11"/>
        <v>0</v>
      </c>
      <c r="CH26">
        <f t="shared" si="28"/>
        <v>0</v>
      </c>
      <c r="CK26">
        <f t="shared" si="12"/>
        <v>0</v>
      </c>
      <c r="CN26">
        <f t="shared" si="29"/>
        <v>0</v>
      </c>
      <c r="CQ26">
        <f t="shared" si="13"/>
        <v>0</v>
      </c>
      <c r="CT26">
        <f t="shared" si="30"/>
        <v>0</v>
      </c>
      <c r="CW26">
        <f t="shared" si="14"/>
        <v>0</v>
      </c>
      <c r="CZ26">
        <f t="shared" si="31"/>
        <v>0</v>
      </c>
    </row>
    <row r="27" spans="1:104" ht="15" x14ac:dyDescent="0.2">
      <c r="A27" s="60">
        <v>21</v>
      </c>
      <c r="B27" s="71">
        <f>IF('Entries March.''25'!N28-'Entries March.''25'!N27&lt;1,"0",'Entries March.''25'!N28-'Entries March.''25'!N27)</f>
        <v>6.3499999999999091</v>
      </c>
      <c r="C27" s="634">
        <v>600</v>
      </c>
      <c r="D27" s="625">
        <v>116.88600000000001</v>
      </c>
      <c r="E27" s="621">
        <f t="shared" si="0"/>
        <v>5.432643772564643E-2</v>
      </c>
      <c r="F27" s="670">
        <f t="shared" si="15"/>
        <v>5.1332067142343814</v>
      </c>
      <c r="H27" s="291">
        <f>'Entries March.''25'!L28-'Entries March.''25'!L27</f>
        <v>0</v>
      </c>
      <c r="I27" s="289">
        <f t="shared" si="16"/>
        <v>6.3499999999999091</v>
      </c>
      <c r="K27" s="633"/>
      <c r="L27" s="290">
        <f>IF((('Entries March.''25'!AK27-'Entries March.''25'!AK28)/10)*5455&lt;0,"0",(('Entries March.''25'!AK27-'Entries March.''25'!AK28)/10)*5455)</f>
        <v>0</v>
      </c>
      <c r="M27" s="290">
        <f>IF((('Entries March.''25'!AL27-'Entries March.''25'!AL28)/10)*5455&lt;0,"0",(('Entries March.''25'!AL27-'Entries March.''25'!AL28)/10)*5455)</f>
        <v>0</v>
      </c>
      <c r="N27" s="290">
        <f>IF(('Entries March.''25'!AM27-'Entries March.''25'!AM28)/2.2&lt;0,"0",('Entries March.''25'!AM27-'Entries March.''25'!AM28)/2.2)</f>
        <v>0</v>
      </c>
      <c r="O27" s="291">
        <f>IF(('Entries March.''25'!AN27-'Entries March.''25'!AN28)&lt;0,"0",('Entries March.''25'!AN27-'Entries March.''25'!AN28))</f>
        <v>0</v>
      </c>
      <c r="T27">
        <f t="shared" si="17"/>
        <v>0</v>
      </c>
      <c r="W27">
        <f t="shared" si="1"/>
        <v>0</v>
      </c>
      <c r="Z27">
        <f t="shared" si="18"/>
        <v>0</v>
      </c>
      <c r="AC27">
        <f t="shared" si="2"/>
        <v>0</v>
      </c>
      <c r="AF27">
        <f t="shared" si="19"/>
        <v>0</v>
      </c>
      <c r="AI27">
        <f t="shared" si="3"/>
        <v>0</v>
      </c>
      <c r="AL27">
        <f t="shared" si="20"/>
        <v>0</v>
      </c>
      <c r="AO27">
        <f t="shared" si="4"/>
        <v>0</v>
      </c>
      <c r="AR27">
        <f t="shared" si="21"/>
        <v>0</v>
      </c>
      <c r="AU27">
        <f t="shared" si="5"/>
        <v>0</v>
      </c>
      <c r="AX27">
        <f t="shared" si="22"/>
        <v>0</v>
      </c>
      <c r="BA27">
        <f t="shared" si="6"/>
        <v>0</v>
      </c>
      <c r="BD27">
        <f t="shared" si="23"/>
        <v>0</v>
      </c>
      <c r="BG27">
        <f t="shared" si="7"/>
        <v>0</v>
      </c>
      <c r="BJ27">
        <f t="shared" si="24"/>
        <v>0</v>
      </c>
      <c r="BM27">
        <f t="shared" si="8"/>
        <v>0</v>
      </c>
      <c r="BP27">
        <f t="shared" si="25"/>
        <v>0</v>
      </c>
      <c r="BS27">
        <f t="shared" si="9"/>
        <v>0</v>
      </c>
      <c r="BV27">
        <f t="shared" si="26"/>
        <v>0</v>
      </c>
      <c r="BY27">
        <f t="shared" si="10"/>
        <v>0</v>
      </c>
      <c r="CB27">
        <f t="shared" si="27"/>
        <v>0</v>
      </c>
      <c r="CE27">
        <f t="shared" si="11"/>
        <v>0</v>
      </c>
      <c r="CH27">
        <f t="shared" si="28"/>
        <v>0</v>
      </c>
      <c r="CK27">
        <f t="shared" si="12"/>
        <v>0</v>
      </c>
      <c r="CN27">
        <f t="shared" si="29"/>
        <v>0</v>
      </c>
      <c r="CQ27">
        <f t="shared" si="13"/>
        <v>0</v>
      </c>
      <c r="CT27">
        <f t="shared" si="30"/>
        <v>0</v>
      </c>
      <c r="CW27">
        <f t="shared" si="14"/>
        <v>0</v>
      </c>
      <c r="CZ27">
        <f t="shared" si="31"/>
        <v>0</v>
      </c>
    </row>
    <row r="28" spans="1:104" ht="15" x14ac:dyDescent="0.2">
      <c r="A28" s="60">
        <v>22</v>
      </c>
      <c r="B28" s="71" t="str">
        <f>IF('Entries March.''25'!N29-'Entries March.''25'!N28&lt;1,"0",'Entries March.''25'!N29-'Entries March.''25'!N28)</f>
        <v>0</v>
      </c>
      <c r="C28" s="634">
        <v>0</v>
      </c>
      <c r="D28" s="625">
        <v>0</v>
      </c>
      <c r="E28" s="621" t="str">
        <f t="shared" si="0"/>
        <v>0</v>
      </c>
      <c r="F28" s="670" t="str">
        <f t="shared" si="15"/>
        <v>0</v>
      </c>
      <c r="H28" s="291">
        <f>'Entries March.''25'!L29-'Entries March.''25'!L28</f>
        <v>0</v>
      </c>
      <c r="I28" s="289" t="str">
        <f t="shared" si="16"/>
        <v>0</v>
      </c>
      <c r="K28" s="633"/>
      <c r="L28" s="290">
        <f>IF((('Entries March.''25'!AK28-'Entries March.''25'!AK29)/10)*5455&lt;0,"0",(('Entries March.''25'!AK28-'Entries March.''25'!AK29)/10)*5455)</f>
        <v>0</v>
      </c>
      <c r="M28" s="290">
        <f>IF((('Entries March.''25'!AL28-'Entries March.''25'!AL29)/10)*5455&lt;0,"0",(('Entries March.''25'!AL28-'Entries March.''25'!AL29)/10)*5455)</f>
        <v>0</v>
      </c>
      <c r="N28" s="290">
        <f>IF(('Entries March.''25'!AM28-'Entries March.''25'!AM29)/2.2&lt;0,"0",('Entries March.''25'!AM28-'Entries March.''25'!AM29)/2.2)</f>
        <v>0</v>
      </c>
      <c r="O28" s="291">
        <f>IF(('Entries March.''25'!AN28-'Entries March.''25'!AN29)&lt;0,"0",('Entries March.''25'!AN28-'Entries March.''25'!AN29))</f>
        <v>0</v>
      </c>
      <c r="T28">
        <f t="shared" si="17"/>
        <v>0</v>
      </c>
      <c r="W28">
        <f t="shared" si="1"/>
        <v>0</v>
      </c>
      <c r="Z28">
        <f t="shared" si="18"/>
        <v>0</v>
      </c>
      <c r="AC28">
        <f t="shared" si="2"/>
        <v>0</v>
      </c>
      <c r="AF28">
        <f t="shared" si="19"/>
        <v>0</v>
      </c>
      <c r="AI28">
        <f t="shared" si="3"/>
        <v>0</v>
      </c>
      <c r="AL28">
        <f t="shared" si="20"/>
        <v>0</v>
      </c>
      <c r="AO28">
        <f t="shared" si="4"/>
        <v>0</v>
      </c>
      <c r="AR28">
        <f t="shared" si="21"/>
        <v>0</v>
      </c>
      <c r="AU28">
        <f t="shared" si="5"/>
        <v>0</v>
      </c>
      <c r="AX28">
        <f t="shared" si="22"/>
        <v>0</v>
      </c>
      <c r="BA28">
        <f t="shared" si="6"/>
        <v>0</v>
      </c>
      <c r="BD28">
        <f t="shared" si="23"/>
        <v>0</v>
      </c>
      <c r="BG28">
        <f t="shared" si="7"/>
        <v>0</v>
      </c>
      <c r="BJ28">
        <f t="shared" si="24"/>
        <v>0</v>
      </c>
      <c r="BM28">
        <f t="shared" si="8"/>
        <v>0</v>
      </c>
      <c r="BP28">
        <f t="shared" si="25"/>
        <v>0</v>
      </c>
      <c r="BS28">
        <f t="shared" si="9"/>
        <v>0</v>
      </c>
      <c r="BV28">
        <f t="shared" si="26"/>
        <v>0</v>
      </c>
      <c r="BY28">
        <f t="shared" si="10"/>
        <v>0</v>
      </c>
      <c r="CB28">
        <f t="shared" si="27"/>
        <v>0</v>
      </c>
      <c r="CE28">
        <f t="shared" si="11"/>
        <v>0</v>
      </c>
      <c r="CH28">
        <f t="shared" si="28"/>
        <v>0</v>
      </c>
      <c r="CK28">
        <f t="shared" si="12"/>
        <v>0</v>
      </c>
      <c r="CN28">
        <f t="shared" si="29"/>
        <v>0</v>
      </c>
      <c r="CQ28">
        <f t="shared" si="13"/>
        <v>0</v>
      </c>
      <c r="CT28">
        <f t="shared" si="30"/>
        <v>0</v>
      </c>
      <c r="CW28">
        <f t="shared" si="14"/>
        <v>0</v>
      </c>
      <c r="CZ28">
        <f t="shared" si="31"/>
        <v>0</v>
      </c>
    </row>
    <row r="29" spans="1:104" ht="15" x14ac:dyDescent="0.2">
      <c r="A29" s="60">
        <v>23</v>
      </c>
      <c r="B29" s="71" t="str">
        <f>IF('Entries March.''25'!N30-'Entries March.''25'!N29&lt;1,"0",'Entries March.''25'!N30-'Entries March.''25'!N29)</f>
        <v>0</v>
      </c>
      <c r="C29" s="634">
        <v>0</v>
      </c>
      <c r="D29" s="625">
        <v>0</v>
      </c>
      <c r="E29" s="621" t="str">
        <f t="shared" si="0"/>
        <v>0</v>
      </c>
      <c r="F29" s="670" t="str">
        <f t="shared" si="15"/>
        <v>0</v>
      </c>
      <c r="H29" s="291">
        <f>'Entries March.''25'!L30-'Entries March.''25'!L29</f>
        <v>0</v>
      </c>
      <c r="I29" s="289" t="str">
        <f>+$B29</f>
        <v>0</v>
      </c>
      <c r="K29" s="633"/>
      <c r="L29" s="290">
        <f>IF((('Entries March.''25'!AK29-'Entries March.''25'!AK30)/10)*5455&lt;0,"0",(('Entries March.''25'!AK29-'Entries March.''25'!AK30)/10)*5455)</f>
        <v>0</v>
      </c>
      <c r="M29" s="290">
        <f>IF((('Entries March.''25'!AL29-'Entries March.''25'!AL30)/10)*5455&lt;0,"0",(('Entries March.''25'!AL29-'Entries March.''25'!AL30)/10)*5455)</f>
        <v>0</v>
      </c>
      <c r="N29" s="290">
        <f>IF(('Entries March.''25'!AM29-'Entries March.''25'!AM30)/2.2&lt;0,"0",('Entries March.''25'!AM29-'Entries March.''25'!AM30)/2.2)</f>
        <v>0</v>
      </c>
      <c r="O29" s="291">
        <f>IF(('Entries March.''25'!AN29-'Entries March.''25'!AN30)&lt;0,"0",('Entries March.''25'!AN29-'Entries March.''25'!AN30))</f>
        <v>0</v>
      </c>
      <c r="T29">
        <f t="shared" si="17"/>
        <v>0</v>
      </c>
      <c r="W29">
        <f t="shared" si="1"/>
        <v>0</v>
      </c>
      <c r="Z29">
        <f t="shared" si="18"/>
        <v>0</v>
      </c>
      <c r="AC29">
        <f t="shared" si="2"/>
        <v>0</v>
      </c>
      <c r="AF29">
        <f t="shared" si="19"/>
        <v>0</v>
      </c>
      <c r="AI29">
        <f t="shared" si="3"/>
        <v>0</v>
      </c>
      <c r="AL29">
        <f t="shared" si="20"/>
        <v>0</v>
      </c>
      <c r="AO29">
        <f t="shared" si="4"/>
        <v>0</v>
      </c>
      <c r="AR29">
        <f t="shared" si="21"/>
        <v>0</v>
      </c>
      <c r="AU29">
        <f t="shared" si="5"/>
        <v>0</v>
      </c>
      <c r="AX29">
        <f t="shared" si="22"/>
        <v>0</v>
      </c>
      <c r="BA29">
        <f t="shared" si="6"/>
        <v>0</v>
      </c>
      <c r="BD29">
        <f t="shared" si="23"/>
        <v>0</v>
      </c>
      <c r="BG29">
        <f t="shared" si="7"/>
        <v>0</v>
      </c>
      <c r="BJ29">
        <f t="shared" si="24"/>
        <v>0</v>
      </c>
      <c r="BM29">
        <f t="shared" si="8"/>
        <v>0</v>
      </c>
      <c r="BP29">
        <f t="shared" si="25"/>
        <v>0</v>
      </c>
      <c r="BS29">
        <f t="shared" si="9"/>
        <v>0</v>
      </c>
      <c r="BV29">
        <f t="shared" si="26"/>
        <v>0</v>
      </c>
      <c r="BY29">
        <f t="shared" si="10"/>
        <v>0</v>
      </c>
      <c r="CB29">
        <f t="shared" si="27"/>
        <v>0</v>
      </c>
      <c r="CE29">
        <f t="shared" si="11"/>
        <v>0</v>
      </c>
      <c r="CH29">
        <f t="shared" si="28"/>
        <v>0</v>
      </c>
      <c r="CK29">
        <f t="shared" si="12"/>
        <v>0</v>
      </c>
      <c r="CN29">
        <f t="shared" si="29"/>
        <v>0</v>
      </c>
      <c r="CQ29">
        <f t="shared" si="13"/>
        <v>0</v>
      </c>
      <c r="CT29">
        <f t="shared" si="30"/>
        <v>0</v>
      </c>
      <c r="CW29">
        <f t="shared" si="14"/>
        <v>0</v>
      </c>
      <c r="CZ29">
        <f t="shared" si="31"/>
        <v>0</v>
      </c>
    </row>
    <row r="30" spans="1:104" ht="15.75" thickBot="1" x14ac:dyDescent="0.25">
      <c r="A30" s="60">
        <v>24</v>
      </c>
      <c r="B30" s="71">
        <f>IF('Entries March.''25'!N31-'Entries March.''25'!N30&lt;1,"0",'Entries March.''25'!N31-'Entries March.''25'!N30)</f>
        <v>15.450000000000045</v>
      </c>
      <c r="C30" s="634">
        <v>1200</v>
      </c>
      <c r="D30" s="625">
        <v>67.38600000000001</v>
      </c>
      <c r="E30" s="621">
        <f t="shared" si="0"/>
        <v>0.22927611076484794</v>
      </c>
      <c r="F30" s="670">
        <f t="shared" si="15"/>
        <v>17.807853263289108</v>
      </c>
      <c r="H30" s="291">
        <f>'Entries March.''25'!L31-'Entries March.''25'!L30</f>
        <v>0</v>
      </c>
      <c r="I30" s="289">
        <f t="shared" si="16"/>
        <v>15.450000000000045</v>
      </c>
      <c r="K30" s="633"/>
      <c r="L30" s="290">
        <f>IF((('Entries March.''25'!AK30-'Entries March.''25'!AK31)/10)*5455&lt;0,"0",(('Entries March.''25'!AK30-'Entries March.''25'!AK31)/10)*5455)</f>
        <v>0</v>
      </c>
      <c r="M30" s="290">
        <f>IF((('Entries March.''25'!AL30-'Entries March.''25'!AL31)/10)*5455&lt;0,"0",(('Entries March.''25'!AL30-'Entries March.''25'!AL31)/10)*5455)</f>
        <v>0</v>
      </c>
      <c r="N30" s="290">
        <f>IF(('Entries March.''25'!AM30-'Entries March.''25'!AM31)/2.2&lt;0,"0",('Entries March.''25'!AM30-'Entries March.''25'!AM31)/2.2)</f>
        <v>0</v>
      </c>
      <c r="O30" s="291">
        <f>IF(('Entries March.''25'!AN30-'Entries March.''25'!AN31)&lt;0,"0",('Entries March.''25'!AN30-'Entries March.''25'!AN31))</f>
        <v>0</v>
      </c>
      <c r="T30">
        <f t="shared" si="17"/>
        <v>0</v>
      </c>
      <c r="W30">
        <f t="shared" si="1"/>
        <v>0</v>
      </c>
      <c r="Z30">
        <f t="shared" si="18"/>
        <v>0</v>
      </c>
      <c r="AC30">
        <f t="shared" si="2"/>
        <v>0</v>
      </c>
      <c r="AF30">
        <f t="shared" si="19"/>
        <v>0</v>
      </c>
      <c r="AI30">
        <f t="shared" si="3"/>
        <v>0</v>
      </c>
      <c r="AL30">
        <f t="shared" si="20"/>
        <v>0</v>
      </c>
      <c r="AO30">
        <f t="shared" si="4"/>
        <v>0</v>
      </c>
      <c r="AR30">
        <f t="shared" si="21"/>
        <v>0</v>
      </c>
      <c r="AU30">
        <f t="shared" si="5"/>
        <v>0</v>
      </c>
      <c r="AX30">
        <f t="shared" si="22"/>
        <v>0</v>
      </c>
      <c r="BA30">
        <f t="shared" si="6"/>
        <v>0</v>
      </c>
      <c r="BD30">
        <f t="shared" si="23"/>
        <v>0</v>
      </c>
      <c r="BG30">
        <f t="shared" si="7"/>
        <v>0</v>
      </c>
      <c r="BJ30">
        <f t="shared" si="24"/>
        <v>0</v>
      </c>
      <c r="BM30">
        <f t="shared" si="8"/>
        <v>0</v>
      </c>
      <c r="BP30">
        <f t="shared" si="25"/>
        <v>0</v>
      </c>
      <c r="BS30">
        <f t="shared" si="9"/>
        <v>0</v>
      </c>
      <c r="BV30">
        <f t="shared" si="26"/>
        <v>0</v>
      </c>
      <c r="BY30">
        <f t="shared" si="10"/>
        <v>0</v>
      </c>
      <c r="CB30">
        <f t="shared" si="27"/>
        <v>0</v>
      </c>
      <c r="CE30">
        <f t="shared" si="11"/>
        <v>0</v>
      </c>
      <c r="CH30">
        <f t="shared" si="28"/>
        <v>0</v>
      </c>
      <c r="CK30">
        <f t="shared" si="12"/>
        <v>0</v>
      </c>
      <c r="CN30">
        <f t="shared" si="29"/>
        <v>0</v>
      </c>
      <c r="CQ30">
        <f t="shared" si="13"/>
        <v>0</v>
      </c>
      <c r="CT30">
        <f t="shared" si="30"/>
        <v>0</v>
      </c>
      <c r="CW30">
        <f t="shared" si="14"/>
        <v>0</v>
      </c>
      <c r="CZ30">
        <f t="shared" si="31"/>
        <v>0</v>
      </c>
    </row>
    <row r="31" spans="1:104" ht="15.75" thickBot="1" x14ac:dyDescent="0.25">
      <c r="A31" s="60">
        <v>25</v>
      </c>
      <c r="B31" s="71">
        <f>IF('Entries March.''25'!N32-'Entries March.''25'!N31&lt;1,"0",'Entries March.''25'!N32-'Entries March.''25'!N31)</f>
        <v>55.900000000000091</v>
      </c>
      <c r="C31" s="634">
        <v>3100</v>
      </c>
      <c r="D31" s="625">
        <v>623.43600000000004</v>
      </c>
      <c r="E31" s="621">
        <f t="shared" si="0"/>
        <v>8.9664376134839963E-2</v>
      </c>
      <c r="F31" s="670">
        <f t="shared" si="15"/>
        <v>4.9724430414669669</v>
      </c>
      <c r="H31" s="291">
        <f>'Entries March.''25'!L32-'Entries March.''25'!L31</f>
        <v>0</v>
      </c>
      <c r="I31" s="289">
        <f t="shared" si="16"/>
        <v>55.900000000000091</v>
      </c>
      <c r="K31" s="633"/>
      <c r="L31" s="290">
        <f>IF((('Entries March.''25'!AK31-'Entries March.''25'!AK32)/10)*5455&lt;0,"0",(('Entries March.''25'!AK31-'Entries March.''25'!AK32)/10)*5455)</f>
        <v>0</v>
      </c>
      <c r="M31" s="290">
        <f>IF((('Entries March.''25'!AL31-'Entries March.''25'!AL32)/10)*5455&lt;0,"0",(('Entries March.''25'!AL31-'Entries March.''25'!AL32)/10)*5455)</f>
        <v>0</v>
      </c>
      <c r="N31" s="290">
        <f>IF(('Entries March.''25'!AM31-'Entries March.''25'!AM32)/2.2&lt;0,"0",('Entries March.''25'!AM31-'Entries March.''25'!AM32)/2.2)</f>
        <v>0</v>
      </c>
      <c r="O31" s="291">
        <f>IF(('Entries March.''25'!AN31-'Entries March.''25'!AN32)&lt;0,"0",('Entries March.''25'!AN31-'Entries March.''25'!AN32))</f>
        <v>0</v>
      </c>
      <c r="T31" s="107">
        <f>SUM(T6:T29)</f>
        <v>0</v>
      </c>
      <c r="W31" s="107">
        <f>SUM(W6:W29)</f>
        <v>0</v>
      </c>
      <c r="Z31" s="107">
        <f>SUM(Z6:Z29)</f>
        <v>0</v>
      </c>
      <c r="AC31" s="107">
        <f>SUM(AC6:AC29)</f>
        <v>0</v>
      </c>
      <c r="AF31" s="107">
        <f>SUM(AF6:AF29)</f>
        <v>0</v>
      </c>
      <c r="AI31" s="107">
        <f>SUM(AI6:AI29)</f>
        <v>0</v>
      </c>
      <c r="AL31" s="107">
        <f>SUM(AL6:AL29)</f>
        <v>0</v>
      </c>
      <c r="AO31" s="107">
        <f>SUM(AO6:AO29)</f>
        <v>0</v>
      </c>
      <c r="AR31" s="107">
        <f>SUM(AR6:AR29)</f>
        <v>0</v>
      </c>
      <c r="AU31" s="107">
        <f>SUM(AU6:AU29)</f>
        <v>0</v>
      </c>
      <c r="AX31" s="107">
        <f>SUM(AX6:AX29)</f>
        <v>0</v>
      </c>
      <c r="BA31" s="107">
        <f>SUM(BA6:BA29)</f>
        <v>0</v>
      </c>
      <c r="BD31" s="107">
        <f>SUM(BD6:BD29)</f>
        <v>0</v>
      </c>
      <c r="BG31" s="107">
        <f>SUM(BG6:BG29)</f>
        <v>0</v>
      </c>
      <c r="BJ31" s="107">
        <f>SUM(BJ6:BJ29)</f>
        <v>0</v>
      </c>
      <c r="BM31" s="107">
        <f>SUM(BM6:BM29)</f>
        <v>0</v>
      </c>
      <c r="BP31" s="107">
        <f>SUM(BP6:BP29)</f>
        <v>0</v>
      </c>
      <c r="BS31" s="107">
        <f>SUM(BS6:BS29)</f>
        <v>0</v>
      </c>
      <c r="BV31" s="107">
        <f>SUM(BV6:BV29)</f>
        <v>0</v>
      </c>
      <c r="BY31" s="107">
        <f>SUM(BY6:BY29)</f>
        <v>0</v>
      </c>
      <c r="CB31" s="107">
        <f>SUM(CB6:CB29)</f>
        <v>0</v>
      </c>
      <c r="CE31" s="107">
        <f>SUM(CE6:CE29)</f>
        <v>0</v>
      </c>
      <c r="CH31" s="107">
        <f>SUM(CH6:CH29)</f>
        <v>0</v>
      </c>
      <c r="CK31" s="107">
        <f>SUM(CK6:CK29)</f>
        <v>0</v>
      </c>
      <c r="CN31" s="107">
        <f>SUM(CN6:CN29)</f>
        <v>0</v>
      </c>
      <c r="CQ31" s="107">
        <f>SUM(CQ6:CQ29)</f>
        <v>0</v>
      </c>
      <c r="CT31" s="107">
        <f>SUM(CT6:CT29)</f>
        <v>0</v>
      </c>
      <c r="CW31" s="107">
        <f>SUM(CW6:CW29)</f>
        <v>0</v>
      </c>
      <c r="CZ31" s="108">
        <f>SUM(CZ6:CZ29)</f>
        <v>0</v>
      </c>
    </row>
    <row r="32" spans="1:104" ht="15" x14ac:dyDescent="0.2">
      <c r="A32" s="60">
        <v>26</v>
      </c>
      <c r="B32" s="71">
        <f>IF('Entries March.''25'!N33-'Entries March.''25'!N32&lt;1,"0",'Entries March.''25'!N33-'Entries March.''25'!N32)</f>
        <v>48.950000000000045</v>
      </c>
      <c r="C32" s="634">
        <v>2400</v>
      </c>
      <c r="D32" s="625">
        <v>589.31400000000008</v>
      </c>
      <c r="E32" s="621">
        <f t="shared" si="0"/>
        <v>8.3062679658043148E-2</v>
      </c>
      <c r="F32" s="670">
        <f t="shared" si="15"/>
        <v>4.0725317912012944</v>
      </c>
      <c r="H32" s="291">
        <f>'Entries March.''25'!L33-'Entries March.''25'!L32</f>
        <v>0</v>
      </c>
      <c r="I32" s="289">
        <f t="shared" si="16"/>
        <v>48.950000000000045</v>
      </c>
      <c r="K32" s="633"/>
      <c r="L32" s="290">
        <f>IF((('Entries March.''25'!AK32-'Entries March.''25'!AK33)/10)*5455&lt;0,"0",(('Entries March.''25'!AK32-'Entries March.''25'!AK33)/10)*5455)</f>
        <v>0</v>
      </c>
      <c r="M32" s="290">
        <f>IF((('Entries March.''25'!AL32-'Entries March.''25'!AL33)/10)*5455&lt;0,"0",(('Entries March.''25'!AL32-'Entries March.''25'!AL33)/10)*5455)</f>
        <v>0</v>
      </c>
      <c r="N32" s="290">
        <f>IF(('Entries March.''25'!AM32-'Entries March.''25'!AM33)/2.2&lt;0,"0",('Entries March.''25'!AM32-'Entries March.''25'!AM33)/2.2)</f>
        <v>0</v>
      </c>
      <c r="O32" s="291">
        <f>IF(('Entries March.''25'!AN32-'Entries March.''25'!AN33)&lt;0,"0",('Entries March.''25'!AN32-'Entries March.''25'!AN33))</f>
        <v>0</v>
      </c>
    </row>
    <row r="33" spans="1:16" ht="15" x14ac:dyDescent="0.2">
      <c r="A33" s="60">
        <v>27</v>
      </c>
      <c r="B33" s="71">
        <f>IF('Entries March.''25'!N34-'Entries March.''25'!N33&lt;1,"0",'Entries March.''25'!N34-'Entries March.''25'!N33)</f>
        <v>47.209999999999809</v>
      </c>
      <c r="C33" s="634">
        <v>2500</v>
      </c>
      <c r="D33" s="625">
        <v>535.85400000000004</v>
      </c>
      <c r="E33" s="621">
        <f t="shared" si="0"/>
        <v>8.8102356238825882E-2</v>
      </c>
      <c r="F33" s="670">
        <f t="shared" si="15"/>
        <v>4.6654499173282273</v>
      </c>
      <c r="H33" s="291">
        <f>'Entries March.''25'!L34-'Entries March.''25'!L33</f>
        <v>0</v>
      </c>
      <c r="I33" s="289">
        <f t="shared" si="16"/>
        <v>47.209999999999809</v>
      </c>
      <c r="K33" s="633"/>
      <c r="L33" s="290">
        <f>IF((('Entries March.''25'!AK33-'Entries March.''25'!AK34)/10)*5455&lt;0,"0",(('Entries March.''25'!AK33-'Entries March.''25'!AK34)/10)*5455)</f>
        <v>0</v>
      </c>
      <c r="M33" s="290">
        <f>IF((('Entries March.''25'!AL33-'Entries March.''25'!AL34)/10)*5455&lt;0,"0",(('Entries March.''25'!AL33-'Entries March.''25'!AL34)/10)*5455)</f>
        <v>0</v>
      </c>
      <c r="N33" s="290">
        <f>IF(('Entries March.''25'!AM33-'Entries March.''25'!AM34)/2.2&lt;0,"0",('Entries March.''25'!AM33-'Entries March.''25'!AM34)/2.2)</f>
        <v>0</v>
      </c>
      <c r="O33" s="291">
        <f>IF(('Entries March.''25'!AN33-'Entries March.''25'!AN34)&lt;0,"0",('Entries March.''25'!AN33-'Entries March.''25'!AN34))</f>
        <v>0</v>
      </c>
    </row>
    <row r="34" spans="1:16" ht="15" x14ac:dyDescent="0.2">
      <c r="A34" s="60">
        <v>28</v>
      </c>
      <c r="B34" s="71">
        <f>IF('Entries March.''25'!N35-'Entries March.''25'!N34&lt;1,"0",'Entries March.''25'!N35-'Entries March.''25'!N34)</f>
        <v>14.240000000000009</v>
      </c>
      <c r="C34" s="634">
        <v>1600</v>
      </c>
      <c r="D34" s="625">
        <v>181.81440000000001</v>
      </c>
      <c r="E34" s="621">
        <f t="shared" si="0"/>
        <v>7.8321629089885117E-2</v>
      </c>
      <c r="F34" s="670">
        <f t="shared" si="15"/>
        <v>8.8001830438073103</v>
      </c>
      <c r="H34" s="291">
        <f>'Entries March.''25'!L35-'Entries March.''25'!L34</f>
        <v>0</v>
      </c>
      <c r="I34" s="289">
        <f t="shared" si="16"/>
        <v>14.240000000000009</v>
      </c>
      <c r="K34" s="633"/>
      <c r="L34" s="290">
        <f>IF((('Entries March.''25'!AK34-'Entries March.''25'!AK35)/10)*5455&lt;0,"0",(('Entries March.''25'!AK34-'Entries March.''25'!AK35)/10)*5455)</f>
        <v>0</v>
      </c>
      <c r="M34" s="290">
        <f>IF((('Entries March.''25'!AL34-'Entries March.''25'!AL35)/10)*5455&lt;0,"0",(('Entries March.''25'!AL34-'Entries March.''25'!AL35)/10)*5455)</f>
        <v>0</v>
      </c>
      <c r="N34" s="290">
        <f>IF(('Entries March.''25'!AM34-'Entries March.''25'!AM35)/2.2&lt;0,"0",('Entries March.''25'!AM34-'Entries March.''25'!AM35)/2.2)</f>
        <v>0</v>
      </c>
      <c r="O34" s="291">
        <f>IF(('Entries March.''25'!AN34-'Entries March.''25'!AN35)&lt;0,"0",('Entries March.''25'!AN34-'Entries March.''25'!AN35))</f>
        <v>0</v>
      </c>
    </row>
    <row r="35" spans="1:16" ht="15" x14ac:dyDescent="0.2">
      <c r="A35" s="60">
        <v>29</v>
      </c>
      <c r="B35" s="71" t="str">
        <f>IF('Entries March.''25'!N36-'Entries March.''25'!N35&lt;1,"0",'Entries March.''25'!N36-'Entries March.''25'!N35)</f>
        <v>0</v>
      </c>
      <c r="C35" s="112">
        <v>0</v>
      </c>
      <c r="D35" s="625">
        <v>31.762500000000003</v>
      </c>
      <c r="E35" s="621">
        <f t="shared" si="0"/>
        <v>0</v>
      </c>
      <c r="F35" s="670">
        <f t="shared" si="15"/>
        <v>0</v>
      </c>
      <c r="H35" s="291"/>
      <c r="I35" s="289"/>
      <c r="K35"/>
      <c r="O35" s="291"/>
    </row>
    <row r="36" spans="1:16" ht="15" x14ac:dyDescent="0.2">
      <c r="A36" s="60">
        <v>30</v>
      </c>
      <c r="B36" s="71" t="str">
        <f>IF('Entries March.''25'!N37-'Entries March.''25'!N36&lt;1,"0",'Entries March.''25'!N37-'Entries March.''25'!N36)</f>
        <v>0</v>
      </c>
      <c r="C36" s="112">
        <v>0</v>
      </c>
      <c r="D36" s="625">
        <v>0</v>
      </c>
      <c r="E36" s="621" t="str">
        <f t="shared" si="0"/>
        <v>0</v>
      </c>
      <c r="F36" s="670" t="str">
        <f t="shared" si="15"/>
        <v>0</v>
      </c>
      <c r="H36" s="291"/>
      <c r="I36" s="289"/>
      <c r="K36"/>
      <c r="O36" s="291"/>
    </row>
    <row r="37" spans="1:16" ht="15" x14ac:dyDescent="0.2">
      <c r="A37" s="60">
        <v>31</v>
      </c>
      <c r="B37" s="71">
        <f>IF('Entries March.''25'!N38-'Entries March.''25'!N37&lt;1,"0",'Entries March.''25'!N38-'Entries March.''25'!N37)</f>
        <v>42.060000000000173</v>
      </c>
      <c r="C37" s="112">
        <v>1700</v>
      </c>
      <c r="D37" s="635">
        <v>423.12600000000003</v>
      </c>
      <c r="E37" s="621">
        <f t="shared" si="0"/>
        <v>9.9403014704840087E-2</v>
      </c>
      <c r="F37" s="670">
        <f t="shared" si="15"/>
        <v>4.0177157631532925</v>
      </c>
      <c r="G37" s="640" t="s">
        <v>264</v>
      </c>
      <c r="H37" s="287" t="s">
        <v>268</v>
      </c>
      <c r="I37" s="289"/>
      <c r="K37"/>
      <c r="O37" s="291"/>
    </row>
    <row r="38" spans="1:16" ht="18" x14ac:dyDescent="0.25">
      <c r="A38" s="68" t="s">
        <v>89</v>
      </c>
      <c r="B38" s="636">
        <f>SUM(B7:B37)</f>
        <v>733.5200000000001</v>
      </c>
      <c r="C38" s="636">
        <f t="shared" ref="C38:D38" si="32">SUM(C7:C37)</f>
        <v>43400</v>
      </c>
      <c r="D38" s="699">
        <f t="shared" si="32"/>
        <v>6994.2849000000015</v>
      </c>
      <c r="E38" s="637">
        <f>IF(D38=0,"0",(B38/D38))</f>
        <v>0.10487419521615425</v>
      </c>
      <c r="F38" s="671">
        <f>IF(D38=0,"0",(C38/D38))</f>
        <v>6.2050660818806493</v>
      </c>
      <c r="G38" s="641">
        <v>5</v>
      </c>
      <c r="H38" s="638">
        <f>F38/G38*100</f>
        <v>124.10132163761298</v>
      </c>
      <c r="I38" s="75"/>
      <c r="J38" s="644"/>
      <c r="K38" s="75"/>
      <c r="L38" s="75"/>
      <c r="M38" s="75"/>
      <c r="N38" s="75"/>
      <c r="O38" s="75"/>
      <c r="P38" s="75"/>
    </row>
    <row r="39" spans="1:16" ht="15" x14ac:dyDescent="0.2">
      <c r="A39" s="8"/>
      <c r="B39" s="8"/>
      <c r="C39" s="11"/>
      <c r="D39" s="8"/>
    </row>
    <row r="40" spans="1:16" ht="15" x14ac:dyDescent="0.2">
      <c r="A40" s="8"/>
      <c r="B40" s="8"/>
      <c r="C40" s="11"/>
      <c r="D40" s="8"/>
    </row>
  </sheetData>
  <mergeCells count="6">
    <mergeCell ref="F5:F6"/>
    <mergeCell ref="A5:A6"/>
    <mergeCell ref="E5:E6"/>
    <mergeCell ref="B5:B6"/>
    <mergeCell ref="D5:D6"/>
    <mergeCell ref="C5:C6"/>
  </mergeCells>
  <phoneticPr fontId="0" type="noConversion"/>
  <conditionalFormatting sqref="E7:F38">
    <cfRule type="cellIs" dxfId="37" priority="2" operator="greaterThan">
      <formula>21</formula>
    </cfRule>
  </conditionalFormatting>
  <conditionalFormatting sqref="F7:F38">
    <cfRule type="cellIs" dxfId="36" priority="1" operator="greaterThan">
      <formula>4.5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12" colorId="22" zoomScaleNormal="100" workbookViewId="0">
      <selection activeCell="Q17" sqref="Q17"/>
    </sheetView>
  </sheetViews>
  <sheetFormatPr defaultColWidth="12.5703125" defaultRowHeight="15" x14ac:dyDescent="0.2"/>
  <cols>
    <col min="1" max="1" width="7.7109375" style="8" customWidth="1"/>
    <col min="2" max="2" width="13.42578125" style="30" bestFit="1" customWidth="1"/>
    <col min="3" max="3" width="14" style="8" customWidth="1"/>
    <col min="4" max="4" width="14.7109375" style="30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673" customWidth="1"/>
    <col min="13" max="13" width="15.5703125" style="8" bestFit="1" customWidth="1"/>
    <col min="14" max="14" width="12.5703125" style="287"/>
    <col min="15" max="15" width="12.5703125" style="8"/>
    <col min="16" max="16" width="12.5703125" style="642"/>
    <col min="17" max="16384" width="12.5703125" style="8"/>
  </cols>
  <sheetData>
    <row r="1" spans="1:16" ht="15.75" x14ac:dyDescent="0.25">
      <c r="A1" s="826" t="s">
        <v>275</v>
      </c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101" customFormat="1" ht="15.75" x14ac:dyDescent="0.25">
      <c r="A4" s="832" t="s">
        <v>7</v>
      </c>
      <c r="B4" s="681" t="s">
        <v>27</v>
      </c>
      <c r="C4" s="682" t="s">
        <v>27</v>
      </c>
      <c r="D4" s="682" t="s">
        <v>24</v>
      </c>
      <c r="E4" s="682" t="s">
        <v>24</v>
      </c>
      <c r="F4" s="682" t="s">
        <v>38</v>
      </c>
      <c r="G4" s="682" t="s">
        <v>39</v>
      </c>
      <c r="H4" s="682" t="s">
        <v>40</v>
      </c>
      <c r="I4" s="682" t="s">
        <v>41</v>
      </c>
      <c r="J4" s="682" t="s">
        <v>42</v>
      </c>
      <c r="K4" s="682" t="s">
        <v>43</v>
      </c>
      <c r="L4" s="828" t="s">
        <v>263</v>
      </c>
      <c r="M4" s="830" t="s">
        <v>266</v>
      </c>
      <c r="N4" s="626"/>
      <c r="O4" s="626"/>
      <c r="P4" s="643"/>
    </row>
    <row r="5" spans="1:16" s="101" customFormat="1" ht="16.5" thickBot="1" x14ac:dyDescent="0.3">
      <c r="A5" s="833"/>
      <c r="B5" s="692" t="s">
        <v>44</v>
      </c>
      <c r="C5" s="693" t="s">
        <v>34</v>
      </c>
      <c r="D5" s="693" t="s">
        <v>44</v>
      </c>
      <c r="E5" s="693" t="s">
        <v>34</v>
      </c>
      <c r="F5" s="693" t="s">
        <v>44</v>
      </c>
      <c r="G5" s="693" t="s">
        <v>34</v>
      </c>
      <c r="H5" s="693" t="s">
        <v>45</v>
      </c>
      <c r="I5" s="693" t="s">
        <v>45</v>
      </c>
      <c r="J5" s="693" t="s">
        <v>46</v>
      </c>
      <c r="K5" s="693" t="s">
        <v>47</v>
      </c>
      <c r="L5" s="829"/>
      <c r="M5" s="831"/>
      <c r="N5" s="626"/>
      <c r="O5" s="626"/>
      <c r="P5" s="643"/>
    </row>
    <row r="6" spans="1:16" x14ac:dyDescent="0.2">
      <c r="A6" s="678"/>
      <c r="B6" s="690">
        <f>IF('Entries March.''25'!B6=0,0,+'Entries March.''25'!B6-'Entries March.''25'!B5)</f>
        <v>0</v>
      </c>
      <c r="C6" s="600"/>
      <c r="D6" s="600"/>
      <c r="E6" s="600"/>
      <c r="F6" s="600"/>
      <c r="G6" s="600"/>
      <c r="H6" s="600"/>
      <c r="I6" s="600"/>
      <c r="J6" s="600"/>
      <c r="K6" s="600"/>
      <c r="L6" s="674"/>
      <c r="M6" s="691"/>
      <c r="O6" s="287"/>
      <c r="P6" s="617"/>
    </row>
    <row r="7" spans="1:16" x14ac:dyDescent="0.2">
      <c r="A7" s="679">
        <v>1</v>
      </c>
      <c r="B7" s="683">
        <f>IF('Entries March.''25'!B8-'Entries March.''25'!B7&lt;1,"0",'Entries March.''25'!B8-'Entries March.''25'!B7)</f>
        <v>410</v>
      </c>
      <c r="C7" s="601">
        <f>IF('Entries March.''25'!F8-'Entries March.''25'!F7&lt;1,"0",'Entries March.''25'!F8-'Entries March.''25'!F7)</f>
        <v>6.5</v>
      </c>
      <c r="D7" s="601">
        <f>IF('Entries March.''25'!C7=0,0,+'Entries March.''25'!C7-'Entries March.''25'!C6)</f>
        <v>0</v>
      </c>
      <c r="E7" s="601" t="str">
        <f>IF('Entries March.''25'!G8-'Entries March.''25'!G7&lt;1,"0",'Entries March.''25'!G8-'Entries March.''25'!G7)</f>
        <v>0</v>
      </c>
      <c r="F7" s="601"/>
      <c r="G7" s="601"/>
      <c r="H7" s="677">
        <f>IF(C7=0,"0", B7/C7)</f>
        <v>63.07692307692308</v>
      </c>
      <c r="I7" s="677" t="str">
        <f>IF(E7=0,"0", D7/E7)</f>
        <v>0</v>
      </c>
      <c r="J7" s="677" t="str">
        <f>IF(G7=0,"0", F7/G7)</f>
        <v>0</v>
      </c>
      <c r="K7" s="601">
        <f>B7+D7+F7</f>
        <v>410</v>
      </c>
      <c r="L7" s="680" t="str" cm="1">
        <f t="array" ref="L7:L37">IF(TRANSPOSE('Daily KPIs'!B9:AF9)=0,"0",TRANSPOSE('Daily KPIs'!B9:AF9))</f>
        <v>0</v>
      </c>
      <c r="M7" s="684" t="str">
        <f>IF(L7=0,"0",(K7/L7))</f>
        <v>0</v>
      </c>
      <c r="O7" s="616"/>
      <c r="P7" s="616"/>
    </row>
    <row r="8" spans="1:16" x14ac:dyDescent="0.2">
      <c r="A8" s="679">
        <v>2</v>
      </c>
      <c r="B8" s="683">
        <f>IF('Entries March.''25'!B9-'Entries March.''25'!B8&lt;1,"0",'Entries March.''25'!B9-'Entries March.''25'!B8)</f>
        <v>540</v>
      </c>
      <c r="C8" s="601">
        <f>IF('Entries March.''25'!F9-'Entries March.''25'!F8&lt;1,"0",'Entries March.''25'!F9-'Entries March.''25'!F8)</f>
        <v>2.8999999999996362</v>
      </c>
      <c r="D8" s="601">
        <f>IF('Entries March.''25'!C8=0,0,+'Entries March.''25'!C8-'Entries March.''25'!C7)</f>
        <v>0</v>
      </c>
      <c r="E8" s="601" t="str">
        <f>IF('Entries March.''25'!G9-'Entries March.''25'!G8&lt;1,"0",'Entries March.''25'!G9-'Entries March.''25'!G8)</f>
        <v>0</v>
      </c>
      <c r="F8" s="601"/>
      <c r="G8" s="601"/>
      <c r="H8" s="677">
        <f t="shared" ref="H8:H36" si="0">IF(C8=0,"0", B8/C8)</f>
        <v>186.20689655174749</v>
      </c>
      <c r="I8" s="677" t="str">
        <f t="shared" ref="I8:I37" si="1">IF(E8=0,"0", D8/E8)</f>
        <v>0</v>
      </c>
      <c r="J8" s="677" t="str">
        <f t="shared" ref="J8:J37" si="2">IF(G8=0,"0", F8/G8)</f>
        <v>0</v>
      </c>
      <c r="K8" s="601">
        <f t="shared" ref="K8:K37" si="3">B8+D8+F8</f>
        <v>540</v>
      </c>
      <c r="L8" s="675" t="str">
        <v>0</v>
      </c>
      <c r="M8" s="684" t="str">
        <f t="shared" ref="M8:M37" si="4">IF(L8=0,"0",(K8/L8))</f>
        <v>0</v>
      </c>
      <c r="O8" s="616"/>
      <c r="P8" s="616"/>
    </row>
    <row r="9" spans="1:16" x14ac:dyDescent="0.2">
      <c r="A9" s="679">
        <v>3</v>
      </c>
      <c r="B9" s="683">
        <f>IF('Entries March.''25'!B10-'Entries March.''25'!B9&lt;1,"0",'Entries March.''25'!B10-'Entries March.''25'!B9)</f>
        <v>2480</v>
      </c>
      <c r="C9" s="601">
        <f>IF('Entries March.''25'!F10-'Entries March.''25'!F9&lt;1,"0",'Entries March.''25'!F10-'Entries March.''25'!F9)</f>
        <v>18</v>
      </c>
      <c r="D9" s="601">
        <f>IF('Entries March.''25'!C9=0,0,+'Entries March.''25'!C9-'Entries March.''25'!C8)</f>
        <v>0</v>
      </c>
      <c r="E9" s="601" t="str">
        <f>IF('Entries March.''25'!G10-'Entries March.''25'!G9&lt;1,"0",'Entries March.''25'!G10-'Entries March.''25'!G9)</f>
        <v>0</v>
      </c>
      <c r="F9" s="601"/>
      <c r="G9" s="601"/>
      <c r="H9" s="677">
        <f>IF(C9=0,"0", B9/C9)</f>
        <v>137.77777777777777</v>
      </c>
      <c r="I9" s="677" t="str">
        <f t="shared" si="1"/>
        <v>0</v>
      </c>
      <c r="J9" s="677" t="str">
        <f t="shared" si="2"/>
        <v>0</v>
      </c>
      <c r="K9" s="601">
        <f t="shared" si="3"/>
        <v>2480</v>
      </c>
      <c r="L9" s="675">
        <v>356.40000000000003</v>
      </c>
      <c r="M9" s="684">
        <f t="shared" si="4"/>
        <v>6.9584736251402912</v>
      </c>
      <c r="O9" s="616"/>
      <c r="P9" s="616"/>
    </row>
    <row r="10" spans="1:16" x14ac:dyDescent="0.2">
      <c r="A10" s="679">
        <v>4</v>
      </c>
      <c r="B10" s="683">
        <f>IF('Entries March.''25'!B11-'Entries March.''25'!B10&lt;1,"0",'Entries March.''25'!B11-'Entries March.''25'!B10)</f>
        <v>3270</v>
      </c>
      <c r="C10" s="601">
        <f>IF('Entries March.''25'!F11-'Entries March.''25'!F10&lt;1,"0",'Entries March.''25'!F11-'Entries March.''25'!F10)</f>
        <v>22.300000000000182</v>
      </c>
      <c r="D10" s="601">
        <f>IF('Entries March.''25'!C12=0,0,+'Entries March.''25'!C12-'Entries March.''25'!C9)</f>
        <v>0</v>
      </c>
      <c r="E10" s="601" t="str">
        <f>IF('Entries March.''25'!G11-'Entries March.''25'!G10&lt;1,"0",'Entries March.''25'!G11-'Entries March.''25'!G10)</f>
        <v>0</v>
      </c>
      <c r="F10" s="601"/>
      <c r="G10" s="601"/>
      <c r="H10" s="677">
        <f t="shared" si="0"/>
        <v>146.63677130044724</v>
      </c>
      <c r="I10" s="677" t="str">
        <f t="shared" si="1"/>
        <v>0</v>
      </c>
      <c r="J10" s="677" t="str">
        <f t="shared" si="2"/>
        <v>0</v>
      </c>
      <c r="K10" s="601">
        <f t="shared" si="3"/>
        <v>3270</v>
      </c>
      <c r="L10" s="675">
        <v>476.98200000000003</v>
      </c>
      <c r="M10" s="684">
        <f t="shared" si="4"/>
        <v>6.8556046140105913</v>
      </c>
      <c r="O10" s="616"/>
      <c r="P10" s="616"/>
    </row>
    <row r="11" spans="1:16" x14ac:dyDescent="0.2">
      <c r="A11" s="679">
        <v>5</v>
      </c>
      <c r="B11" s="683">
        <f>IF('Entries March.''25'!B12-'Entries March.''25'!B11&lt;1,"0",'Entries March.''25'!B12-'Entries March.''25'!B11)</f>
        <v>3040</v>
      </c>
      <c r="C11" s="601">
        <f>IF('Entries March.''25'!F12-'Entries March.''25'!F11&lt;1,"0",'Entries March.''25'!F12-'Entries March.''25'!F11)</f>
        <v>20.800000000000182</v>
      </c>
      <c r="D11" s="601">
        <f>IF('Entries March.''25'!C11=0,0,+'Entries March.''25'!C11-'Entries March.''25'!C12)</f>
        <v>0</v>
      </c>
      <c r="E11" s="601" t="str">
        <f>IF('Entries March.''25'!G12-'Entries March.''25'!G11&lt;1,"0",'Entries March.''25'!G12-'Entries March.''25'!G11)</f>
        <v>0</v>
      </c>
      <c r="F11" s="601"/>
      <c r="G11" s="601"/>
      <c r="H11" s="677">
        <f t="shared" si="0"/>
        <v>146.15384615384488</v>
      </c>
      <c r="I11" s="677" t="str">
        <f t="shared" si="1"/>
        <v>0</v>
      </c>
      <c r="J11" s="677" t="str">
        <f t="shared" si="2"/>
        <v>0</v>
      </c>
      <c r="K11" s="601">
        <f t="shared" si="3"/>
        <v>3040</v>
      </c>
      <c r="L11" s="675">
        <v>345.11400000000003</v>
      </c>
      <c r="M11" s="684">
        <f t="shared" si="4"/>
        <v>8.8086835074786869</v>
      </c>
      <c r="O11" s="616"/>
      <c r="P11" s="616"/>
    </row>
    <row r="12" spans="1:16" x14ac:dyDescent="0.2">
      <c r="A12" s="679">
        <v>6</v>
      </c>
      <c r="B12" s="683">
        <f>IF('Entries March.''25'!B13-'Entries March.''25'!B12&lt;1,"0",'Entries March.''25'!B13-'Entries March.''25'!B12)</f>
        <v>2720</v>
      </c>
      <c r="C12" s="601">
        <f>IF('Entries March.''25'!F13-'Entries March.''25'!F12&lt;1,"0",'Entries March.''25'!F13-'Entries March.''25'!F12)</f>
        <v>20.199999999999818</v>
      </c>
      <c r="D12" s="601">
        <f>IF('Entries March.''25'!C13=0,0,+'Entries March.''25'!C13-'Entries March.''25'!C11)</f>
        <v>0</v>
      </c>
      <c r="E12" s="601" t="str">
        <f>IF('Entries March.''25'!G13-'Entries March.''25'!G12&lt;1,"0",'Entries March.''25'!G13-'Entries March.''25'!G12)</f>
        <v>0</v>
      </c>
      <c r="F12" s="601"/>
      <c r="G12" s="601"/>
      <c r="H12" s="677">
        <f t="shared" si="0"/>
        <v>134.65346534653585</v>
      </c>
      <c r="I12" s="677" t="str">
        <f t="shared" si="1"/>
        <v>0</v>
      </c>
      <c r="J12" s="677" t="str">
        <f t="shared" si="2"/>
        <v>0</v>
      </c>
      <c r="K12" s="601">
        <f t="shared" si="3"/>
        <v>2720</v>
      </c>
      <c r="L12" s="675">
        <v>383.79</v>
      </c>
      <c r="M12" s="684">
        <f t="shared" si="4"/>
        <v>7.0872091508376975</v>
      </c>
      <c r="O12" s="616"/>
      <c r="P12" s="616"/>
    </row>
    <row r="13" spans="1:16" x14ac:dyDescent="0.2">
      <c r="A13" s="679">
        <v>7</v>
      </c>
      <c r="B13" s="683">
        <f>IF('Entries March.''25'!B14-'Entries March.''25'!B13&lt;1,"0",'Entries March.''25'!B14-'Entries March.''25'!B13)</f>
        <v>2380</v>
      </c>
      <c r="C13" s="601">
        <f>IF('Entries March.''25'!F14-'Entries March.''25'!F13&lt;1,"0",'Entries March.''25'!F14-'Entries March.''25'!F13)</f>
        <v>17.5</v>
      </c>
      <c r="D13" s="601">
        <f>IF('Entries March.''25'!C14=0,0,+'Entries March.''25'!C14-'Entries March.''25'!C12)</f>
        <v>0</v>
      </c>
      <c r="E13" s="601" t="str">
        <f>IF('Entries March.''25'!G14-'Entries March.''25'!G13&lt;1,"0",'Entries March.''25'!G14-'Entries March.''25'!G13)</f>
        <v>0</v>
      </c>
      <c r="F13" s="601"/>
      <c r="G13" s="601"/>
      <c r="H13" s="677">
        <f t="shared" si="0"/>
        <v>136</v>
      </c>
      <c r="I13" s="677" t="str">
        <f t="shared" si="1"/>
        <v>0</v>
      </c>
      <c r="J13" s="677" t="str">
        <f t="shared" si="2"/>
        <v>0</v>
      </c>
      <c r="K13" s="601">
        <f t="shared" si="3"/>
        <v>2380</v>
      </c>
      <c r="L13" s="675">
        <v>328.48200000000003</v>
      </c>
      <c r="M13" s="684">
        <f t="shared" si="4"/>
        <v>7.2454502834249661</v>
      </c>
      <c r="O13" s="616"/>
      <c r="P13" s="616"/>
    </row>
    <row r="14" spans="1:16" x14ac:dyDescent="0.2">
      <c r="A14" s="679">
        <v>8</v>
      </c>
      <c r="B14" s="683">
        <f>IF('Entries March.''25'!B15-'Entries March.''25'!B14&lt;1,"0",'Entries March.''25'!B15-'Entries March.''25'!B14)</f>
        <v>1000</v>
      </c>
      <c r="C14" s="601">
        <f>IF('Entries March.''25'!F15-'Entries March.''25'!F14&lt;1,"0",'Entries March.''25'!F15-'Entries March.''25'!F14)</f>
        <v>8.5999999999999091</v>
      </c>
      <c r="D14" s="601">
        <f>IF('Entries March.''25'!C14=0,0,+'Entries March.''25'!C14-'Entries March.''25'!#REF!)</f>
        <v>0</v>
      </c>
      <c r="E14" s="601" t="str">
        <f>IF('Entries March.''25'!G15-'Entries March.''25'!G14&lt;1,"0",'Entries March.''25'!G15-'Entries March.''25'!G14)</f>
        <v>0</v>
      </c>
      <c r="F14" s="601"/>
      <c r="G14" s="601"/>
      <c r="H14" s="677">
        <f t="shared" si="0"/>
        <v>116.27906976744309</v>
      </c>
      <c r="I14" s="677" t="str">
        <f t="shared" si="1"/>
        <v>0</v>
      </c>
      <c r="J14" s="677" t="str">
        <f t="shared" si="2"/>
        <v>0</v>
      </c>
      <c r="K14" s="601">
        <f t="shared" si="3"/>
        <v>1000</v>
      </c>
      <c r="L14" s="675" t="str">
        <v>0</v>
      </c>
      <c r="M14" s="684" t="str">
        <f t="shared" si="4"/>
        <v>0</v>
      </c>
      <c r="O14" s="616"/>
      <c r="P14" s="616"/>
    </row>
    <row r="15" spans="1:16" x14ac:dyDescent="0.2">
      <c r="A15" s="679">
        <v>9</v>
      </c>
      <c r="B15" s="683">
        <f>IF('Entries March.''25'!B16-'Entries March.''25'!B15&lt;1,"0",'Entries March.''25'!B16-'Entries March.''25'!B15)</f>
        <v>100</v>
      </c>
      <c r="C15" s="601" t="str">
        <f>IF('Entries March.''25'!F16-'Entries March.''25'!F15&lt;1,"0",'Entries March.''25'!F16-'Entries March.''25'!F15)</f>
        <v>0</v>
      </c>
      <c r="D15" s="601">
        <f>IF('Entries March.''25'!C15=0,0,+'Entries March.''25'!C15-'Entries March.''25'!C14)</f>
        <v>0</v>
      </c>
      <c r="E15" s="601" t="str">
        <f>IF('Entries March.''25'!G16-'Entries March.''25'!G15&lt;1,"0",'Entries March.''25'!G16-'Entries March.''25'!G15)</f>
        <v>0</v>
      </c>
      <c r="F15" s="601"/>
      <c r="G15" s="601"/>
      <c r="H15" s="677" t="str">
        <f t="shared" si="0"/>
        <v>0</v>
      </c>
      <c r="I15" s="677" t="str">
        <f t="shared" si="1"/>
        <v>0</v>
      </c>
      <c r="J15" s="677" t="str">
        <f t="shared" si="2"/>
        <v>0</v>
      </c>
      <c r="K15" s="601">
        <f t="shared" si="3"/>
        <v>100</v>
      </c>
      <c r="L15" s="675" t="str">
        <v>0</v>
      </c>
      <c r="M15" s="684" t="str">
        <f t="shared" si="4"/>
        <v>0</v>
      </c>
      <c r="O15" s="616"/>
      <c r="P15" s="616"/>
    </row>
    <row r="16" spans="1:16" x14ac:dyDescent="0.2">
      <c r="A16" s="679">
        <v>10</v>
      </c>
      <c r="B16" s="683">
        <f>IF('Entries March.''25'!B17-'Entries March.''25'!B16&lt;1,"0",'Entries March.''25'!B17-'Entries March.''25'!B16)</f>
        <v>3100</v>
      </c>
      <c r="C16" s="601">
        <f>IF('Entries March.''25'!F17-'Entries March.''25'!F16&lt;1,"0",'Entries March.''25'!F17-'Entries March.''25'!F16)</f>
        <v>19.5</v>
      </c>
      <c r="D16" s="601">
        <f>IF('Entries March.''25'!C16=0,0,+'Entries March.''25'!C16-'Entries March.''25'!C15)</f>
        <v>0</v>
      </c>
      <c r="E16" s="601" t="str">
        <f>IF('Entries March.''25'!G17-'Entries March.''25'!G16&lt;1,"0",'Entries March.''25'!G17-'Entries March.''25'!G16)</f>
        <v>0</v>
      </c>
      <c r="F16" s="601"/>
      <c r="G16" s="601"/>
      <c r="H16" s="677">
        <f t="shared" si="0"/>
        <v>158.97435897435898</v>
      </c>
      <c r="I16" s="677" t="str">
        <f t="shared" si="1"/>
        <v>0</v>
      </c>
      <c r="J16" s="677" t="str">
        <f t="shared" si="2"/>
        <v>0</v>
      </c>
      <c r="K16" s="601">
        <f t="shared" si="3"/>
        <v>3100</v>
      </c>
      <c r="L16" s="675">
        <v>228.36</v>
      </c>
      <c r="M16" s="684">
        <f t="shared" si="4"/>
        <v>13.575056927658084</v>
      </c>
      <c r="O16" s="616"/>
      <c r="P16" s="616"/>
    </row>
    <row r="17" spans="1:16" x14ac:dyDescent="0.2">
      <c r="A17" s="679">
        <v>11</v>
      </c>
      <c r="B17" s="683">
        <f>IF('Entries March.''25'!B18-'Entries March.''25'!B17&lt;1,"0",'Entries March.''25'!B18-'Entries March.''25'!B17)</f>
        <v>3040</v>
      </c>
      <c r="C17" s="601">
        <f>IF('Entries March.''25'!F18-'Entries March.''25'!F17&lt;1,"0",'Entries March.''25'!F18-'Entries March.''25'!F17)</f>
        <v>21.900000000000091</v>
      </c>
      <c r="D17" s="601">
        <f>IF('Entries March.''25'!C17=0,0,+'Entries March.''25'!C17-'Entries March.''25'!C16)</f>
        <v>0</v>
      </c>
      <c r="E17" s="601" t="str">
        <f>IF('Entries March.''25'!G18-'Entries March.''25'!G17&lt;1,"0",'Entries March.''25'!G18-'Entries March.''25'!G17)</f>
        <v>0</v>
      </c>
      <c r="F17" s="601"/>
      <c r="G17" s="601"/>
      <c r="H17" s="677">
        <f t="shared" si="0"/>
        <v>138.81278538812728</v>
      </c>
      <c r="I17" s="677" t="str">
        <f t="shared" si="1"/>
        <v>0</v>
      </c>
      <c r="J17" s="677" t="str">
        <f t="shared" si="2"/>
        <v>0</v>
      </c>
      <c r="K17" s="601">
        <f t="shared" si="3"/>
        <v>3040</v>
      </c>
      <c r="L17" s="675">
        <v>187.11</v>
      </c>
      <c r="M17" s="684">
        <f t="shared" si="4"/>
        <v>16.247127358238469</v>
      </c>
      <c r="O17" s="616"/>
      <c r="P17" s="616"/>
    </row>
    <row r="18" spans="1:16" x14ac:dyDescent="0.2">
      <c r="A18" s="679">
        <v>12</v>
      </c>
      <c r="B18" s="683">
        <f>IF('Entries March.''25'!B19-'Entries March.''25'!B18&lt;1,"0",'Entries March.''25'!B19-'Entries March.''25'!B18)</f>
        <v>2800</v>
      </c>
      <c r="C18" s="601">
        <f>IF('Entries March.''25'!F19-'Entries March.''25'!F18&lt;1,"0",'Entries March.''25'!F19-'Entries March.''25'!F18)</f>
        <v>21.299999999999727</v>
      </c>
      <c r="D18" s="601">
        <f>IF('Entries March.''25'!C18=0,0,+'Entries March.''25'!C18-'Entries March.''25'!C17)</f>
        <v>0</v>
      </c>
      <c r="E18" s="601" t="str">
        <f>IF('Entries March.''25'!G19-'Entries March.''25'!G18&lt;1,"0",'Entries March.''25'!G19-'Entries March.''25'!G18)</f>
        <v>0</v>
      </c>
      <c r="F18" s="601"/>
      <c r="G18" s="601"/>
      <c r="H18" s="677">
        <f t="shared" si="0"/>
        <v>131.45539906103454</v>
      </c>
      <c r="I18" s="677" t="str">
        <f t="shared" si="1"/>
        <v>0</v>
      </c>
      <c r="J18" s="677" t="str">
        <f t="shared" si="2"/>
        <v>0</v>
      </c>
      <c r="K18" s="601">
        <f t="shared" si="3"/>
        <v>2800</v>
      </c>
      <c r="L18" s="675">
        <v>135.036</v>
      </c>
      <c r="M18" s="684">
        <f t="shared" si="4"/>
        <v>20.735211351047127</v>
      </c>
      <c r="O18" s="616"/>
      <c r="P18" s="616"/>
    </row>
    <row r="19" spans="1:16" x14ac:dyDescent="0.2">
      <c r="A19" s="679">
        <v>13</v>
      </c>
      <c r="B19" s="683">
        <f>IF('Entries March.''25'!B20-'Entries March.''25'!B19&lt;1,"0",'Entries March.''25'!B20-'Entries March.''25'!B19)</f>
        <v>3010</v>
      </c>
      <c r="C19" s="601">
        <f>IF('Entries March.''25'!F20-'Entries March.''25'!F19&lt;1,"0",'Entries March.''25'!F20-'Entries March.''25'!F19)</f>
        <v>21</v>
      </c>
      <c r="D19" s="601">
        <f>IF('Entries March.''25'!C19=0,0,+'Entries March.''25'!C19-'Entries March.''25'!C18)</f>
        <v>0</v>
      </c>
      <c r="E19" s="601" t="str">
        <f>IF('Entries March.''25'!G20-'Entries March.''25'!G19&lt;1,"0",'Entries March.''25'!G20-'Entries March.''25'!G19)</f>
        <v>0</v>
      </c>
      <c r="F19" s="601"/>
      <c r="G19" s="601"/>
      <c r="H19" s="677">
        <f t="shared" si="0"/>
        <v>143.33333333333334</v>
      </c>
      <c r="I19" s="677" t="str">
        <f t="shared" si="1"/>
        <v>0</v>
      </c>
      <c r="J19" s="677" t="str">
        <f t="shared" si="2"/>
        <v>0</v>
      </c>
      <c r="K19" s="601">
        <f t="shared" si="3"/>
        <v>3010</v>
      </c>
      <c r="L19" s="675">
        <v>360.62400000000002</v>
      </c>
      <c r="M19" s="684">
        <f t="shared" si="4"/>
        <v>8.3466435955454976</v>
      </c>
      <c r="O19" s="616"/>
      <c r="P19" s="616"/>
    </row>
    <row r="20" spans="1:16" x14ac:dyDescent="0.2">
      <c r="A20" s="679">
        <v>14</v>
      </c>
      <c r="B20" s="683">
        <f>IF('Entries March.''25'!B21-'Entries March.''25'!B20&lt;1,"0",'Entries March.''25'!B21-'Entries March.''25'!B20)</f>
        <v>2410</v>
      </c>
      <c r="C20" s="601">
        <f>IF('Entries March.''25'!F21-'Entries March.''25'!F20&lt;1,"0",'Entries March.''25'!F21-'Entries March.''25'!F20)</f>
        <v>18.5</v>
      </c>
      <c r="D20" s="601">
        <f>IF('Entries March.''25'!C20=0,0,+'Entries March.''25'!C20-'Entries March.''25'!C19)</f>
        <v>0</v>
      </c>
      <c r="E20" s="601" t="str">
        <f>IF('Entries March.''25'!G21-'Entries March.''25'!G20&lt;1,"0",'Entries March.''25'!G21-'Entries March.''25'!G20)</f>
        <v>0</v>
      </c>
      <c r="F20" s="601"/>
      <c r="G20" s="601"/>
      <c r="H20" s="677">
        <f t="shared" si="0"/>
        <v>130.27027027027026</v>
      </c>
      <c r="I20" s="677" t="str">
        <f t="shared" si="1"/>
        <v>0</v>
      </c>
      <c r="J20" s="677" t="str">
        <f t="shared" si="2"/>
        <v>0</v>
      </c>
      <c r="K20" s="601">
        <f t="shared" si="3"/>
        <v>2410</v>
      </c>
      <c r="L20" s="675">
        <v>272.44800000000004</v>
      </c>
      <c r="M20" s="684">
        <f t="shared" si="4"/>
        <v>8.8457246887479428</v>
      </c>
      <c r="O20" s="616"/>
      <c r="P20" s="616"/>
    </row>
    <row r="21" spans="1:16" x14ac:dyDescent="0.2">
      <c r="A21" s="679">
        <v>15</v>
      </c>
      <c r="B21" s="683" t="str">
        <f>IF('Entries March.''25'!B22-'Entries March.''25'!B21&lt;1,"0",'Entries March.''25'!B22-'Entries March.''25'!B21)</f>
        <v>0</v>
      </c>
      <c r="C21" s="601" t="str">
        <f>IF('Entries March.''25'!F22-'Entries March.''25'!F21&lt;1,"0",'Entries March.''25'!F22-'Entries March.''25'!F21)</f>
        <v>0</v>
      </c>
      <c r="D21" s="601">
        <f>IF('Entries March.''25'!C21=0,0,+'Entries March.''25'!C21-'Entries March.''25'!C20)</f>
        <v>0</v>
      </c>
      <c r="E21" s="601" t="str">
        <f>IF('Entries March.''25'!G22-'Entries March.''25'!G21&lt;1,"0",'Entries March.''25'!G22-'Entries March.''25'!G21)</f>
        <v>0</v>
      </c>
      <c r="F21" s="601"/>
      <c r="G21" s="601"/>
      <c r="H21" s="677" t="str">
        <f t="shared" si="0"/>
        <v>0</v>
      </c>
      <c r="I21" s="677" t="str">
        <f t="shared" si="1"/>
        <v>0</v>
      </c>
      <c r="J21" s="677" t="str">
        <f t="shared" si="2"/>
        <v>0</v>
      </c>
      <c r="K21" s="601">
        <f t="shared" si="3"/>
        <v>0</v>
      </c>
      <c r="L21" s="675" t="str">
        <v>0</v>
      </c>
      <c r="M21" s="684" t="str">
        <f t="shared" si="4"/>
        <v>0</v>
      </c>
      <c r="O21" s="616"/>
      <c r="P21" s="616"/>
    </row>
    <row r="22" spans="1:16" x14ac:dyDescent="0.2">
      <c r="A22" s="679">
        <v>16</v>
      </c>
      <c r="B22" s="683">
        <f>IF('Entries March.''25'!B23-'Entries March.''25'!B22&lt;1,"0",'Entries March.''25'!B23-'Entries March.''25'!B22)</f>
        <v>1320</v>
      </c>
      <c r="C22" s="601">
        <f>IF('Entries March.''25'!F23-'Entries March.''25'!F22&lt;1,"0",'Entries March.''25'!F23-'Entries March.''25'!F22)</f>
        <v>8</v>
      </c>
      <c r="D22" s="601">
        <f>IF('Entries March.''25'!C22=0,0,+'Entries March.''25'!C22-'Entries March.''25'!C21)</f>
        <v>0</v>
      </c>
      <c r="E22" s="601" t="str">
        <f>IF('Entries March.''25'!G23-'Entries March.''25'!G22&lt;1,"0",'Entries March.''25'!G23-'Entries March.''25'!G22)</f>
        <v>0</v>
      </c>
      <c r="F22" s="601"/>
      <c r="G22" s="601"/>
      <c r="H22" s="677">
        <f t="shared" si="0"/>
        <v>165</v>
      </c>
      <c r="I22" s="677" t="str">
        <f t="shared" si="1"/>
        <v>0</v>
      </c>
      <c r="J22" s="677" t="str">
        <f t="shared" si="2"/>
        <v>0</v>
      </c>
      <c r="K22" s="601">
        <f t="shared" si="3"/>
        <v>1320</v>
      </c>
      <c r="L22" s="675" t="str">
        <v>0</v>
      </c>
      <c r="M22" s="684" t="str">
        <f t="shared" si="4"/>
        <v>0</v>
      </c>
      <c r="O22" s="616"/>
      <c r="P22" s="616"/>
    </row>
    <row r="23" spans="1:16" x14ac:dyDescent="0.2">
      <c r="A23" s="679">
        <v>17</v>
      </c>
      <c r="B23" s="683">
        <f>IF('Entries March.''25'!B24-'Entries March.''25'!B23&lt;1,"0",'Entries March.''25'!B24-'Entries March.''25'!B23)</f>
        <v>2510</v>
      </c>
      <c r="C23" s="601">
        <f>IF('Entries March.''25'!F24-'Entries March.''25'!F23&lt;1,"0",'Entries March.''25'!F24-'Entries March.''25'!F23)</f>
        <v>18.699999999999818</v>
      </c>
      <c r="D23" s="601">
        <f>IF('Entries March.''25'!C23=0,0,+'Entries March.''25'!C23-'Entries March.''25'!C22)</f>
        <v>0</v>
      </c>
      <c r="E23" s="601" t="str">
        <f>IF('Entries March.''25'!G24-'Entries March.''25'!G23&lt;1,"0",'Entries March.''25'!G24-'Entries March.''25'!G23)</f>
        <v>0</v>
      </c>
      <c r="F23" s="601"/>
      <c r="G23" s="601"/>
      <c r="H23" s="677">
        <f t="shared" si="0"/>
        <v>134.22459893048259</v>
      </c>
      <c r="I23" s="677" t="str">
        <f t="shared" si="1"/>
        <v>0</v>
      </c>
      <c r="J23" s="677" t="str">
        <f t="shared" si="2"/>
        <v>0</v>
      </c>
      <c r="K23" s="601">
        <f t="shared" si="3"/>
        <v>2510</v>
      </c>
      <c r="L23" s="675">
        <v>151.73400000000001</v>
      </c>
      <c r="M23" s="684">
        <f t="shared" si="4"/>
        <v>16.542106581254036</v>
      </c>
      <c r="O23" s="616"/>
      <c r="P23" s="616"/>
    </row>
    <row r="24" spans="1:16" x14ac:dyDescent="0.2">
      <c r="A24" s="679">
        <v>18</v>
      </c>
      <c r="B24" s="683">
        <f>IF('Entries March.''25'!B25-'Entries March.''25'!B24&lt;1,"0",'Entries March.''25'!B25-'Entries March.''25'!B24)</f>
        <v>2490</v>
      </c>
      <c r="C24" s="601">
        <f>IF('Entries March.''25'!F25-'Entries March.''25'!F24&lt;1,"0",'Entries March.''25'!F25-'Entries March.''25'!F24)</f>
        <v>16.700000000000273</v>
      </c>
      <c r="D24" s="601">
        <f>IF('Entries March.''25'!C24=0,0,+'Entries March.''25'!C24-'Entries March.''25'!C23)</f>
        <v>0</v>
      </c>
      <c r="E24" s="601" t="str">
        <f>IF('Entries March.''25'!G25-'Entries March.''25'!G24&lt;1,"0",'Entries March.''25'!G25-'Entries March.''25'!G24)</f>
        <v>0</v>
      </c>
      <c r="F24" s="601"/>
      <c r="G24" s="601"/>
      <c r="H24" s="677">
        <f t="shared" si="0"/>
        <v>149.1017964071832</v>
      </c>
      <c r="I24" s="677" t="str">
        <f t="shared" si="1"/>
        <v>0</v>
      </c>
      <c r="J24" s="677" t="str">
        <f t="shared" si="2"/>
        <v>0</v>
      </c>
      <c r="K24" s="601">
        <f t="shared" si="3"/>
        <v>2490</v>
      </c>
      <c r="L24" s="675">
        <v>429.726</v>
      </c>
      <c r="M24" s="684">
        <f t="shared" si="4"/>
        <v>5.7943899135728349</v>
      </c>
      <c r="O24" s="616"/>
      <c r="P24" s="616"/>
    </row>
    <row r="25" spans="1:16" x14ac:dyDescent="0.2">
      <c r="A25" s="679">
        <v>19</v>
      </c>
      <c r="B25" s="683">
        <f>IF('Entries March.''25'!B26-'Entries March.''25'!B25&lt;1,"0",'Entries March.''25'!B26-'Entries March.''25'!B25)</f>
        <v>3211</v>
      </c>
      <c r="C25" s="601">
        <f>IF('Entries March.''25'!F26-'Entries March.''25'!F25&lt;1,"0",'Entries March.''25'!F26-'Entries March.''25'!F25)</f>
        <v>21.5</v>
      </c>
      <c r="D25" s="601">
        <f>IF('Entries March.''25'!C25=0,0,+'Entries March.''25'!C25-'Entries March.''25'!C24)</f>
        <v>0</v>
      </c>
      <c r="E25" s="601" t="str">
        <f>IF('Entries March.''25'!G26-'Entries March.''25'!G25&lt;1,"0",'Entries March.''25'!G26-'Entries March.''25'!G25)</f>
        <v>0</v>
      </c>
      <c r="F25" s="601"/>
      <c r="G25" s="601"/>
      <c r="H25" s="677">
        <f t="shared" si="0"/>
        <v>149.34883720930233</v>
      </c>
      <c r="I25" s="677" t="str">
        <f t="shared" si="1"/>
        <v>0</v>
      </c>
      <c r="J25" s="677" t="str">
        <f t="shared" si="2"/>
        <v>0</v>
      </c>
      <c r="K25" s="601">
        <f t="shared" si="3"/>
        <v>3211</v>
      </c>
      <c r="L25" s="675">
        <v>501.40200000000004</v>
      </c>
      <c r="M25" s="684">
        <f t="shared" si="4"/>
        <v>6.4040430632506444</v>
      </c>
      <c r="O25" s="616"/>
      <c r="P25" s="616"/>
    </row>
    <row r="26" spans="1:16" x14ac:dyDescent="0.2">
      <c r="A26" s="679">
        <v>20</v>
      </c>
      <c r="B26" s="683">
        <f>IF('Entries March.''25'!B27-'Entries March.''25'!B26&lt;1,"0",'Entries March.''25'!B27-'Entries March.''25'!B26)</f>
        <v>3019</v>
      </c>
      <c r="C26" s="601">
        <f>IF('Entries March.''25'!F27-'Entries March.''25'!F26&lt;1,"0",'Entries March.''25'!F27-'Entries March.''25'!F26)</f>
        <v>21.199999999999818</v>
      </c>
      <c r="D26" s="601">
        <f>IF('Entries March.''25'!C26=0,0,+'Entries March.''25'!C26-'Entries March.''25'!C25)</f>
        <v>0</v>
      </c>
      <c r="E26" s="601" t="str">
        <f>IF('Entries March.''25'!G27-'Entries March.''25'!G26&lt;1,"0",'Entries March.''25'!G27-'Entries March.''25'!G26)</f>
        <v>0</v>
      </c>
      <c r="F26" s="601"/>
      <c r="G26" s="601"/>
      <c r="H26" s="677">
        <f t="shared" si="0"/>
        <v>142.40566037735971</v>
      </c>
      <c r="I26" s="677" t="str">
        <f t="shared" si="1"/>
        <v>0</v>
      </c>
      <c r="J26" s="677" t="str">
        <f t="shared" si="2"/>
        <v>0</v>
      </c>
      <c r="K26" s="601">
        <f t="shared" si="3"/>
        <v>3019</v>
      </c>
      <c r="L26" s="675">
        <v>267.49799999999999</v>
      </c>
      <c r="M26" s="684">
        <f t="shared" si="4"/>
        <v>11.286065690210769</v>
      </c>
      <c r="O26" s="616"/>
      <c r="P26" s="616"/>
    </row>
    <row r="27" spans="1:16" x14ac:dyDescent="0.2">
      <c r="A27" s="679">
        <v>21</v>
      </c>
      <c r="B27" s="683">
        <f>IF('Entries March.''25'!B28-'Entries March.''25'!B27&lt;1,"0",'Entries March.''25'!B28-'Entries March.''25'!B27)</f>
        <v>1270</v>
      </c>
      <c r="C27" s="601">
        <f>IF('Entries March.''25'!F28-'Entries March.''25'!F27&lt;1,"0",'Entries March.''25'!F28-'Entries March.''25'!F27)</f>
        <v>9.8000000000001819</v>
      </c>
      <c r="D27" s="601">
        <f>IF('Entries March.''25'!C27=0,0,+'Entries March.''25'!C27-'Entries March.''25'!C26)</f>
        <v>0</v>
      </c>
      <c r="E27" s="601" t="str">
        <f>IF('Entries March.''25'!G28-'Entries March.''25'!G27&lt;1,"0",'Entries March.''25'!G28-'Entries March.''25'!G27)</f>
        <v>0</v>
      </c>
      <c r="F27" s="601"/>
      <c r="G27" s="601"/>
      <c r="H27" s="677">
        <f t="shared" si="0"/>
        <v>129.59183673469147</v>
      </c>
      <c r="I27" s="677" t="str">
        <f t="shared" si="1"/>
        <v>0</v>
      </c>
      <c r="J27" s="677" t="str">
        <f t="shared" si="2"/>
        <v>0</v>
      </c>
      <c r="K27" s="601">
        <f t="shared" si="3"/>
        <v>1270</v>
      </c>
      <c r="L27" s="675">
        <v>116.88600000000001</v>
      </c>
      <c r="M27" s="684">
        <f t="shared" si="4"/>
        <v>10.865287545129441</v>
      </c>
      <c r="O27" s="616"/>
      <c r="P27" s="616"/>
    </row>
    <row r="28" spans="1:16" x14ac:dyDescent="0.2">
      <c r="A28" s="679">
        <v>22</v>
      </c>
      <c r="B28" s="683">
        <f>IF('Entries March.''25'!B29-'Entries March.''25'!B28&lt;1,"0",'Entries March.''25'!B29-'Entries March.''25'!B28)</f>
        <v>220</v>
      </c>
      <c r="C28" s="601">
        <f>IF('Entries March.''25'!F29-'Entries March.''25'!F28&lt;1,"0",'Entries March.''25'!F29-'Entries March.''25'!F28)</f>
        <v>1.6999999999998181</v>
      </c>
      <c r="D28" s="601">
        <f>IF('Entries March.''25'!C28=0,0,+'Entries March.''25'!C28-'Entries March.''25'!C27)</f>
        <v>0</v>
      </c>
      <c r="E28" s="601" t="str">
        <f>IF('Entries March.''25'!G29-'Entries March.''25'!G28&lt;1,"0",'Entries March.''25'!G29-'Entries March.''25'!G28)</f>
        <v>0</v>
      </c>
      <c r="F28" s="601"/>
      <c r="G28" s="601"/>
      <c r="H28" s="677">
        <f t="shared" si="0"/>
        <v>129.41176470589619</v>
      </c>
      <c r="I28" s="677" t="str">
        <f t="shared" si="1"/>
        <v>0</v>
      </c>
      <c r="J28" s="677" t="str">
        <f t="shared" si="2"/>
        <v>0</v>
      </c>
      <c r="K28" s="601">
        <f t="shared" si="3"/>
        <v>220</v>
      </c>
      <c r="L28" s="675" t="str">
        <v>0</v>
      </c>
      <c r="M28" s="684" t="str">
        <f t="shared" si="4"/>
        <v>0</v>
      </c>
      <c r="O28" s="616"/>
      <c r="P28" s="616"/>
    </row>
    <row r="29" spans="1:16" x14ac:dyDescent="0.2">
      <c r="A29" s="679">
        <v>23</v>
      </c>
      <c r="B29" s="683">
        <f>IF('Entries March.''25'!B30-'Entries March.''25'!B29&lt;1,"0",'Entries March.''25'!B30-'Entries March.''25'!B29)</f>
        <v>800</v>
      </c>
      <c r="C29" s="601">
        <f>IF('Entries March.''25'!F30-'Entries March.''25'!F29&lt;1,"0",'Entries March.''25'!F30-'Entries March.''25'!F29)</f>
        <v>14.400000000000091</v>
      </c>
      <c r="D29" s="601">
        <f>IF('Entries March.''25'!C29=0,0,+'Entries March.''25'!C29-'Entries March.''25'!C28)</f>
        <v>0</v>
      </c>
      <c r="E29" s="601" t="str">
        <f>IF('Entries March.''25'!G30-'Entries March.''25'!G29&lt;1,"0",'Entries March.''25'!G30-'Entries March.''25'!G29)</f>
        <v>0</v>
      </c>
      <c r="F29" s="601"/>
      <c r="G29" s="601"/>
      <c r="H29" s="677">
        <f t="shared" si="0"/>
        <v>55.555555555555202</v>
      </c>
      <c r="I29" s="677" t="str">
        <f t="shared" si="1"/>
        <v>0</v>
      </c>
      <c r="J29" s="677" t="str">
        <f t="shared" si="2"/>
        <v>0</v>
      </c>
      <c r="K29" s="601">
        <f t="shared" si="3"/>
        <v>800</v>
      </c>
      <c r="L29" s="675" t="str">
        <v>0</v>
      </c>
      <c r="M29" s="684" t="str">
        <f t="shared" si="4"/>
        <v>0</v>
      </c>
      <c r="O29" s="616"/>
      <c r="P29" s="616"/>
    </row>
    <row r="30" spans="1:16" x14ac:dyDescent="0.2">
      <c r="A30" s="679">
        <v>24</v>
      </c>
      <c r="B30" s="683">
        <f>IF('Entries March.''25'!B31-'Entries March.''25'!B30&lt;1,"0",'Entries March.''25'!B31-'Entries March.''25'!B30)</f>
        <v>2750</v>
      </c>
      <c r="C30" s="601">
        <f>IF('Entries March.''25'!F31-'Entries March.''25'!F30&lt;1,"0",'Entries March.''25'!F31-'Entries March.''25'!F30)</f>
        <v>9.7999999999997272</v>
      </c>
      <c r="D30" s="601">
        <f>IF('Entries March.''25'!C30=0,0,+'Entries March.''25'!C30-'Entries March.''25'!C29)</f>
        <v>0</v>
      </c>
      <c r="E30" s="601" t="str">
        <f>IF('Entries March.''25'!G31-'Entries March.''25'!G30&lt;1,"0",'Entries March.''25'!G31-'Entries March.''25'!G30)</f>
        <v>0</v>
      </c>
      <c r="F30" s="601"/>
      <c r="G30" s="601"/>
      <c r="H30" s="677">
        <f t="shared" si="0"/>
        <v>280.612244897967</v>
      </c>
      <c r="I30" s="677" t="str">
        <f t="shared" si="1"/>
        <v>0</v>
      </c>
      <c r="J30" s="677" t="str">
        <f t="shared" si="2"/>
        <v>0</v>
      </c>
      <c r="K30" s="601">
        <f t="shared" si="3"/>
        <v>2750</v>
      </c>
      <c r="L30" s="675">
        <v>67.38600000000001</v>
      </c>
      <c r="M30" s="684">
        <f t="shared" si="4"/>
        <v>40.809663728370872</v>
      </c>
      <c r="O30" s="616"/>
      <c r="P30" s="616"/>
    </row>
    <row r="31" spans="1:16" x14ac:dyDescent="0.2">
      <c r="A31" s="679">
        <v>25</v>
      </c>
      <c r="B31" s="683">
        <f>IF('Entries March.''25'!B32-'Entries March.''25'!B31&lt;1,"0",'Entries March.''25'!B32-'Entries March.''25'!B31)</f>
        <v>3100</v>
      </c>
      <c r="C31" s="601">
        <f>IF('Entries March.''25'!F32-'Entries March.''25'!F31&lt;1,"0",'Entries March.''25'!F32-'Entries March.''25'!F31)</f>
        <v>20.200000000000273</v>
      </c>
      <c r="D31" s="601">
        <f>IF('Entries March.''25'!C31=0,0,+'Entries March.''25'!C31-'Entries March.''25'!C30)</f>
        <v>0</v>
      </c>
      <c r="E31" s="601" t="str">
        <f>IF('Entries March.''25'!G32-'Entries March.''25'!G31&lt;1,"0",'Entries March.''25'!G32-'Entries March.''25'!G31)</f>
        <v>0</v>
      </c>
      <c r="F31" s="601"/>
      <c r="G31" s="601"/>
      <c r="H31" s="677">
        <f t="shared" si="0"/>
        <v>153.46534653465139</v>
      </c>
      <c r="I31" s="677" t="str">
        <f t="shared" si="1"/>
        <v>0</v>
      </c>
      <c r="J31" s="677" t="str">
        <f t="shared" si="2"/>
        <v>0</v>
      </c>
      <c r="K31" s="601">
        <f t="shared" si="3"/>
        <v>3100</v>
      </c>
      <c r="L31" s="675">
        <v>623.43600000000004</v>
      </c>
      <c r="M31" s="684">
        <f t="shared" si="4"/>
        <v>4.9724430414669669</v>
      </c>
      <c r="O31" s="616"/>
      <c r="P31" s="616"/>
    </row>
    <row r="32" spans="1:16" x14ac:dyDescent="0.2">
      <c r="A32" s="679">
        <v>26</v>
      </c>
      <c r="B32" s="683">
        <f>IF('Entries March.''25'!B33-'Entries March.''25'!B32&lt;1,"0",'Entries March.''25'!B33-'Entries March.''25'!B32)</f>
        <v>3200</v>
      </c>
      <c r="C32" s="601">
        <f>IF('Entries March.''25'!F33-'Entries March.''25'!F32&lt;1,"0",'Entries March.''25'!F33-'Entries March.''25'!F32)</f>
        <v>20.199999999999818</v>
      </c>
      <c r="D32" s="601">
        <f>IF('Entries March.''25'!C32=0,0,+'Entries March.''25'!C32-'Entries March.''25'!C31)</f>
        <v>0</v>
      </c>
      <c r="E32" s="601" t="str">
        <f>IF('Entries March.''25'!G33-'Entries March.''25'!G32&lt;1,"0",'Entries March.''25'!G33-'Entries March.''25'!G32)</f>
        <v>0</v>
      </c>
      <c r="F32" s="601"/>
      <c r="G32" s="601"/>
      <c r="H32" s="677">
        <f t="shared" si="0"/>
        <v>158.41584158415984</v>
      </c>
      <c r="I32" s="677" t="str">
        <f t="shared" si="1"/>
        <v>0</v>
      </c>
      <c r="J32" s="677" t="str">
        <f t="shared" si="2"/>
        <v>0</v>
      </c>
      <c r="K32" s="601">
        <f t="shared" si="3"/>
        <v>3200</v>
      </c>
      <c r="L32" s="675">
        <v>589.31400000000008</v>
      </c>
      <c r="M32" s="684">
        <f t="shared" si="4"/>
        <v>5.4300423882683928</v>
      </c>
      <c r="O32" s="616"/>
      <c r="P32" s="616"/>
    </row>
    <row r="33" spans="1:16" x14ac:dyDescent="0.2">
      <c r="A33" s="679">
        <v>27</v>
      </c>
      <c r="B33" s="683">
        <f>IF('Entries March.''25'!B34-'Entries March.''25'!B33&lt;1,"0",'Entries March.''25'!B34-'Entries March.''25'!B33)</f>
        <v>862</v>
      </c>
      <c r="C33" s="601">
        <f>IF('Entries March.''25'!F34-'Entries March.''25'!F33&lt;1,"0",'Entries March.''25'!F34-'Entries March.''25'!F33)</f>
        <v>20.400000000000091</v>
      </c>
      <c r="D33" s="601">
        <f>IF('Entries March.''25'!C33=0,0,+'Entries March.''25'!C33-'Entries March.''25'!C32)</f>
        <v>0</v>
      </c>
      <c r="E33" s="601" t="str">
        <f>IF('Entries March.''25'!G34-'Entries March.''25'!G33&lt;1,"0",'Entries March.''25'!G34-'Entries March.''25'!G33)</f>
        <v>0</v>
      </c>
      <c r="F33" s="601"/>
      <c r="G33" s="601"/>
      <c r="H33" s="677">
        <f t="shared" si="0"/>
        <v>42.254901960784125</v>
      </c>
      <c r="I33" s="677" t="str">
        <f t="shared" si="1"/>
        <v>0</v>
      </c>
      <c r="J33" s="677" t="str">
        <f t="shared" si="2"/>
        <v>0</v>
      </c>
      <c r="K33" s="601">
        <f t="shared" si="3"/>
        <v>862</v>
      </c>
      <c r="L33" s="675">
        <v>535.85400000000004</v>
      </c>
      <c r="M33" s="684">
        <f t="shared" si="4"/>
        <v>1.6086471314947728</v>
      </c>
      <c r="O33" s="616"/>
      <c r="P33" s="616"/>
    </row>
    <row r="34" spans="1:16" x14ac:dyDescent="0.2">
      <c r="A34" s="679">
        <v>28</v>
      </c>
      <c r="B34" s="683">
        <f>IF('Entries March.''25'!B35-'Entries March.''25'!B34&lt;1,"0",'Entries March.''25'!B35-'Entries March.''25'!B34)</f>
        <v>4458</v>
      </c>
      <c r="C34" s="601">
        <f>IF('Entries March.''25'!F35-'Entries March.''25'!F34&lt;1,"0",'Entries March.''25'!F35-'Entries March.''25'!F34)</f>
        <v>17.400000000000091</v>
      </c>
      <c r="D34" s="601">
        <f>IF('Entries March.''25'!C34=0,0,+'Entries March.''25'!C34-'Entries March.''25'!C33)</f>
        <v>0</v>
      </c>
      <c r="E34" s="601" t="str">
        <f>IF('Entries March.''25'!G35-'Entries March.''25'!G34&lt;1,"0",'Entries March.''25'!G35-'Entries March.''25'!G34)</f>
        <v>0</v>
      </c>
      <c r="F34" s="601"/>
      <c r="G34" s="601"/>
      <c r="H34" s="677">
        <f t="shared" si="0"/>
        <v>256.20689655172282</v>
      </c>
      <c r="I34" s="677" t="str">
        <f t="shared" si="1"/>
        <v>0</v>
      </c>
      <c r="J34" s="677" t="str">
        <f t="shared" si="2"/>
        <v>0</v>
      </c>
      <c r="K34" s="601">
        <f t="shared" si="3"/>
        <v>4458</v>
      </c>
      <c r="L34" s="675">
        <v>181.81440000000001</v>
      </c>
      <c r="M34" s="684">
        <f t="shared" si="4"/>
        <v>24.519510005808119</v>
      </c>
      <c r="O34" s="616"/>
      <c r="P34" s="616"/>
    </row>
    <row r="35" spans="1:16" x14ac:dyDescent="0.2">
      <c r="A35" s="679">
        <v>29</v>
      </c>
      <c r="B35" s="683">
        <f>IF('Entries March.''25'!B36-'Entries March.''25'!B35&lt;1,"0",'Entries March.''25'!B36-'Entries March.''25'!B35)</f>
        <v>580</v>
      </c>
      <c r="C35" s="601">
        <f>IF('Entries March.''25'!F36-'Entries March.''25'!F35&lt;1,"0",'Entries March.''25'!F36-'Entries March.''25'!F35)</f>
        <v>4.6999999999998181</v>
      </c>
      <c r="D35" s="601"/>
      <c r="E35" s="601" t="str">
        <f>IF('Entries March.''25'!G36-'Entries March.''25'!G35&lt;1,"0",'Entries March.''25'!G36-'Entries March.''25'!G35)</f>
        <v>0</v>
      </c>
      <c r="F35" s="601"/>
      <c r="G35" s="601"/>
      <c r="H35" s="677">
        <f t="shared" si="0"/>
        <v>123.40425531915371</v>
      </c>
      <c r="I35" s="677" t="str">
        <f t="shared" si="1"/>
        <v>0</v>
      </c>
      <c r="J35" s="677" t="str">
        <f t="shared" si="2"/>
        <v>0</v>
      </c>
      <c r="K35" s="601">
        <f t="shared" si="3"/>
        <v>580</v>
      </c>
      <c r="L35" s="675">
        <v>31.762500000000003</v>
      </c>
      <c r="M35" s="684">
        <f t="shared" si="4"/>
        <v>18.260527351436441</v>
      </c>
      <c r="O35" s="31"/>
    </row>
    <row r="36" spans="1:16" x14ac:dyDescent="0.2">
      <c r="A36" s="679">
        <v>30</v>
      </c>
      <c r="B36" s="683">
        <f>IF('Entries March.''25'!B37-'Entries March.''25'!B36&lt;1,"0",'Entries March.''25'!B37-'Entries March.''25'!B36)</f>
        <v>810</v>
      </c>
      <c r="C36" s="601">
        <f>IF('Entries March.''25'!F37-'Entries March.''25'!F36&lt;1,"0",'Entries March.''25'!F37-'Entries March.''25'!F36)</f>
        <v>4</v>
      </c>
      <c r="D36" s="601"/>
      <c r="E36" s="601" t="str">
        <f>IF('Entries March.''25'!G37-'Entries March.''25'!G36&lt;1,"0",'Entries March.''25'!G37-'Entries March.''25'!G36)</f>
        <v>0</v>
      </c>
      <c r="F36" s="601"/>
      <c r="G36" s="601"/>
      <c r="H36" s="677">
        <f t="shared" si="0"/>
        <v>202.5</v>
      </c>
      <c r="I36" s="677" t="str">
        <f t="shared" si="1"/>
        <v>0</v>
      </c>
      <c r="J36" s="677" t="str">
        <f t="shared" si="2"/>
        <v>0</v>
      </c>
      <c r="K36" s="601">
        <f t="shared" si="3"/>
        <v>810</v>
      </c>
      <c r="L36" s="675" t="str">
        <v>0</v>
      </c>
      <c r="M36" s="684" t="str">
        <f t="shared" si="4"/>
        <v>0</v>
      </c>
      <c r="O36" s="31"/>
    </row>
    <row r="37" spans="1:16" x14ac:dyDescent="0.2">
      <c r="A37" s="679">
        <v>31</v>
      </c>
      <c r="B37" s="683">
        <f>IF('Entries March.''25'!B38-'Entries March.''25'!B37&lt;1,"0",'Entries March.''25'!B38-'Entries March.''25'!B37)</f>
        <v>2670</v>
      </c>
      <c r="C37" s="601">
        <f>IF('Entries March.''25'!F38-'Entries March.''25'!F37&lt;1,"0",'Entries March.''25'!F38-'Entries March.''25'!F37)</f>
        <v>17.599999999999909</v>
      </c>
      <c r="D37" s="601">
        <f>IF('Entries March.''25'!C36=0,0,+'Entries March.''25'!C36-'Entries March.''25'!#REF!)</f>
        <v>0</v>
      </c>
      <c r="E37" s="601" t="str">
        <f>IF('Entries March.''25'!G38-'Entries March.''25'!G37&lt;1,"0",'Entries March.''25'!G38-'Entries March.''25'!G37)</f>
        <v>0</v>
      </c>
      <c r="F37" s="601"/>
      <c r="G37" s="601"/>
      <c r="H37" s="677">
        <f>IF(C37=0,"0", B37/C37)</f>
        <v>151.70454545454623</v>
      </c>
      <c r="I37" s="677" t="str">
        <f t="shared" si="1"/>
        <v>0</v>
      </c>
      <c r="J37" s="677" t="str">
        <f t="shared" si="2"/>
        <v>0</v>
      </c>
      <c r="K37" s="601">
        <f t="shared" si="3"/>
        <v>2670</v>
      </c>
      <c r="L37" s="675">
        <v>423.12600000000003</v>
      </c>
      <c r="M37" s="684">
        <f t="shared" si="4"/>
        <v>6.3101771103642879</v>
      </c>
      <c r="N37" s="287" t="s">
        <v>264</v>
      </c>
      <c r="O37" s="287" t="s">
        <v>268</v>
      </c>
    </row>
    <row r="38" spans="1:16" ht="18.75" thickBot="1" x14ac:dyDescent="0.3">
      <c r="A38" s="73" t="s">
        <v>89</v>
      </c>
      <c r="B38" s="685">
        <f>SUM(B7:B37)</f>
        <v>63570</v>
      </c>
      <c r="C38" s="602">
        <f>SUM(C7:C37)</f>
        <v>445.29999999999927</v>
      </c>
      <c r="D38" s="602">
        <f t="shared" ref="D38:E38" si="5">SUM(D7:D34)</f>
        <v>0</v>
      </c>
      <c r="E38" s="602">
        <f t="shared" si="5"/>
        <v>0</v>
      </c>
      <c r="F38" s="602"/>
      <c r="G38" s="686"/>
      <c r="H38" s="697">
        <f>IF(C38=0,"0", B38/C38)</f>
        <v>142.7576914439706</v>
      </c>
      <c r="I38" s="686"/>
      <c r="J38" s="686"/>
      <c r="K38" s="687">
        <f>SUM(K7:K37)</f>
        <v>63570</v>
      </c>
      <c r="L38" s="688">
        <f>SUM(L7:L37)</f>
        <v>6994.2849000000015</v>
      </c>
      <c r="M38" s="689">
        <f>IF(L38=0,"0",(K38/L38))</f>
        <v>9.0888490973537532</v>
      </c>
      <c r="N38" s="627">
        <v>7.2</v>
      </c>
      <c r="O38" s="628">
        <f>M38/N38*100</f>
        <v>126.23401524102435</v>
      </c>
    </row>
    <row r="39" spans="1:16" ht="16.5" thickBot="1" x14ac:dyDescent="0.3">
      <c r="B39" s="8"/>
      <c r="C39" s="72"/>
      <c r="D39" s="31"/>
      <c r="H39" s="698" t="s">
        <v>45</v>
      </c>
    </row>
    <row r="40" spans="1:16" x14ac:dyDescent="0.2">
      <c r="B40" s="8"/>
      <c r="C40" s="69"/>
      <c r="D40" s="31"/>
      <c r="J40" s="8" t="s">
        <v>61</v>
      </c>
    </row>
    <row r="41" spans="1:16" x14ac:dyDescent="0.2">
      <c r="B41" s="8"/>
      <c r="C41" s="69"/>
      <c r="D41" s="31"/>
    </row>
    <row r="42" spans="1:16" x14ac:dyDescent="0.2">
      <c r="B42" s="8"/>
      <c r="C42" s="69"/>
      <c r="D42" s="31"/>
    </row>
    <row r="43" spans="1:16" x14ac:dyDescent="0.2">
      <c r="B43" s="8"/>
      <c r="C43" s="69"/>
      <c r="D43" s="31"/>
    </row>
    <row r="44" spans="1:16" x14ac:dyDescent="0.2">
      <c r="B44" s="8"/>
      <c r="C44" s="69"/>
      <c r="D44" s="31"/>
    </row>
    <row r="45" spans="1:16" x14ac:dyDescent="0.2">
      <c r="B45" s="8"/>
      <c r="C45" s="69"/>
      <c r="D45" s="31"/>
    </row>
    <row r="46" spans="1:16" x14ac:dyDescent="0.2">
      <c r="B46" s="8"/>
      <c r="C46" s="69"/>
      <c r="D46" s="31"/>
    </row>
    <row r="47" spans="1:16" x14ac:dyDescent="0.2">
      <c r="B47" s="8"/>
      <c r="C47" s="69"/>
      <c r="D47" s="31"/>
    </row>
    <row r="48" spans="1:16" x14ac:dyDescent="0.2">
      <c r="B48" s="8"/>
      <c r="C48" s="69"/>
      <c r="D48" s="31"/>
    </row>
    <row r="49" spans="2:4" x14ac:dyDescent="0.2">
      <c r="B49" s="8"/>
      <c r="C49" s="69"/>
      <c r="D49" s="31"/>
    </row>
    <row r="50" spans="2:4" x14ac:dyDescent="0.2">
      <c r="B50" s="8"/>
      <c r="C50" s="69"/>
      <c r="D50" s="31"/>
    </row>
    <row r="51" spans="2:4" x14ac:dyDescent="0.2">
      <c r="B51" s="8"/>
      <c r="C51" s="69"/>
      <c r="D51" s="31"/>
    </row>
    <row r="52" spans="2:4" x14ac:dyDescent="0.2">
      <c r="B52" s="8"/>
      <c r="C52" s="69"/>
      <c r="D52" s="31"/>
    </row>
    <row r="53" spans="2:4" x14ac:dyDescent="0.2">
      <c r="B53" s="8"/>
      <c r="C53" s="69"/>
      <c r="D53" s="31"/>
    </row>
    <row r="54" spans="2:4" x14ac:dyDescent="0.2">
      <c r="B54" s="8"/>
      <c r="C54" s="69"/>
      <c r="D54" s="31"/>
    </row>
    <row r="55" spans="2:4" x14ac:dyDescent="0.2">
      <c r="B55" s="8"/>
      <c r="C55" s="69"/>
      <c r="D55" s="31"/>
    </row>
    <row r="56" spans="2:4" x14ac:dyDescent="0.2">
      <c r="B56" s="8"/>
      <c r="C56" s="69"/>
      <c r="D56" s="31"/>
    </row>
    <row r="57" spans="2:4" x14ac:dyDescent="0.2">
      <c r="B57" s="8"/>
      <c r="C57" s="69"/>
      <c r="D57" s="31"/>
    </row>
    <row r="58" spans="2:4" x14ac:dyDescent="0.2">
      <c r="B58" s="8"/>
      <c r="C58" s="69"/>
      <c r="D58" s="31"/>
    </row>
    <row r="59" spans="2:4" x14ac:dyDescent="0.2">
      <c r="B59" s="8"/>
      <c r="C59" s="69"/>
      <c r="D59" s="31"/>
    </row>
    <row r="60" spans="2:4" x14ac:dyDescent="0.2">
      <c r="B60" s="8"/>
      <c r="C60" s="69"/>
      <c r="D60" s="31"/>
    </row>
    <row r="61" spans="2:4" x14ac:dyDescent="0.2">
      <c r="B61" s="8"/>
      <c r="C61" s="69"/>
      <c r="D61" s="31"/>
    </row>
    <row r="62" spans="2:4" x14ac:dyDescent="0.2">
      <c r="B62" s="8"/>
      <c r="C62" s="69"/>
      <c r="D62" s="31"/>
    </row>
    <row r="63" spans="2:4" x14ac:dyDescent="0.2">
      <c r="B63" s="8"/>
      <c r="C63" s="69"/>
      <c r="D63" s="31"/>
    </row>
    <row r="64" spans="2:4" x14ac:dyDescent="0.2">
      <c r="B64" s="8"/>
      <c r="C64" s="69"/>
      <c r="D64" s="31"/>
    </row>
    <row r="65" spans="2:4" x14ac:dyDescent="0.2">
      <c r="B65" s="8"/>
      <c r="C65" s="69"/>
      <c r="D65" s="31"/>
    </row>
    <row r="66" spans="2:4" x14ac:dyDescent="0.2">
      <c r="B66" s="8"/>
      <c r="C66" s="69"/>
      <c r="D66" s="31"/>
    </row>
    <row r="67" spans="2:4" x14ac:dyDescent="0.2">
      <c r="B67" s="8"/>
      <c r="C67" s="69"/>
      <c r="D67" s="31"/>
    </row>
    <row r="68" spans="2:4" x14ac:dyDescent="0.2">
      <c r="B68" s="8"/>
      <c r="C68" s="69"/>
      <c r="D68" s="31"/>
    </row>
    <row r="69" spans="2:4" x14ac:dyDescent="0.2">
      <c r="B69" s="8"/>
      <c r="C69" s="69"/>
      <c r="D69" s="31"/>
    </row>
    <row r="70" spans="2:4" x14ac:dyDescent="0.2">
      <c r="B70" s="8"/>
      <c r="D70" s="31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35" priority="1" operator="greaterThan">
      <formula>24</formula>
    </cfRule>
  </conditionalFormatting>
  <conditionalFormatting sqref="M7:M37">
    <cfRule type="cellIs" dxfId="34" priority="3" operator="greaterThan">
      <formula>7.2</formula>
    </cfRule>
    <cfRule type="cellIs" dxfId="33" priority="4" operator="greaterThan">
      <formula>7.2</formula>
    </cfRule>
    <cfRule type="cellIs" dxfId="32" priority="5" operator="between">
      <formula>0</formula>
      <formula>7.2</formula>
    </cfRule>
    <cfRule type="cellIs" dxfId="31" priority="7" operator="lessThan">
      <formula>7.2</formula>
    </cfRule>
  </conditionalFormatting>
  <conditionalFormatting sqref="M7:M38">
    <cfRule type="cellIs" dxfId="30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287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26"/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  <c r="N1" s="827"/>
      <c r="O1" s="827"/>
      <c r="P1" s="827"/>
      <c r="Q1" s="827"/>
      <c r="R1" s="827"/>
      <c r="S1" s="827"/>
      <c r="T1" s="827"/>
      <c r="U1" s="827"/>
      <c r="V1" s="827"/>
      <c r="W1" s="827"/>
      <c r="X1" s="827"/>
      <c r="Y1" s="827"/>
      <c r="Z1" s="827"/>
      <c r="AA1" s="827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838" t="s">
        <v>7</v>
      </c>
      <c r="C4" s="836" t="s">
        <v>112</v>
      </c>
      <c r="D4" s="834" t="s">
        <v>113</v>
      </c>
      <c r="E4" s="836" t="s">
        <v>114</v>
      </c>
      <c r="F4" s="834" t="s">
        <v>259</v>
      </c>
      <c r="G4" s="834" t="s">
        <v>115</v>
      </c>
      <c r="H4" s="834" t="s">
        <v>172</v>
      </c>
      <c r="I4" s="836" t="s">
        <v>223</v>
      </c>
      <c r="J4" s="836" t="s">
        <v>116</v>
      </c>
      <c r="K4" s="836" t="s">
        <v>185</v>
      </c>
      <c r="L4" s="836" t="s">
        <v>184</v>
      </c>
      <c r="M4" s="836" t="s">
        <v>110</v>
      </c>
      <c r="N4" s="76"/>
      <c r="O4" s="76"/>
      <c r="P4" s="76"/>
      <c r="Q4" s="76"/>
      <c r="R4" s="834" t="s">
        <v>117</v>
      </c>
      <c r="S4" s="834" t="s">
        <v>260</v>
      </c>
      <c r="T4" s="76"/>
      <c r="U4" s="836" t="s">
        <v>163</v>
      </c>
      <c r="V4" s="76"/>
      <c r="W4" s="76"/>
      <c r="X4" s="836" t="s">
        <v>186</v>
      </c>
      <c r="Y4" s="836" t="s">
        <v>187</v>
      </c>
      <c r="Z4" s="843" t="s">
        <v>267</v>
      </c>
      <c r="AA4" s="845" t="s">
        <v>263</v>
      </c>
      <c r="AB4" s="841" t="s">
        <v>83</v>
      </c>
    </row>
    <row r="5" spans="1:31" s="576" customFormat="1" ht="47.25" customHeight="1" x14ac:dyDescent="0.2">
      <c r="B5" s="839"/>
      <c r="C5" s="837"/>
      <c r="D5" s="835"/>
      <c r="E5" s="840"/>
      <c r="F5" s="835"/>
      <c r="G5" s="835"/>
      <c r="H5" s="835"/>
      <c r="I5" s="840"/>
      <c r="J5" s="840"/>
      <c r="K5" s="840"/>
      <c r="L5" s="840"/>
      <c r="M5" s="840"/>
      <c r="N5" s="78" t="s">
        <v>118</v>
      </c>
      <c r="O5" s="78" t="s">
        <v>119</v>
      </c>
      <c r="P5" s="78" t="s">
        <v>262</v>
      </c>
      <c r="Q5" s="78" t="s">
        <v>120</v>
      </c>
      <c r="R5" s="835"/>
      <c r="S5" s="835"/>
      <c r="T5" s="77" t="s">
        <v>106</v>
      </c>
      <c r="U5" s="847"/>
      <c r="V5" s="110" t="s">
        <v>167</v>
      </c>
      <c r="W5" s="110" t="s">
        <v>168</v>
      </c>
      <c r="X5" s="840"/>
      <c r="Y5" s="840"/>
      <c r="Z5" s="844"/>
      <c r="AA5" s="846"/>
      <c r="AB5" s="842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2"/>
      <c r="P6" s="32"/>
      <c r="Q6" s="32"/>
      <c r="R6" s="32"/>
      <c r="S6" s="18"/>
      <c r="T6" s="18"/>
      <c r="U6" s="32"/>
      <c r="V6" s="109"/>
      <c r="W6" s="32"/>
      <c r="X6" s="32"/>
      <c r="Y6" s="32"/>
      <c r="Z6" s="609"/>
      <c r="AA6" s="610"/>
      <c r="AB6" s="611"/>
    </row>
    <row r="7" spans="1:31" x14ac:dyDescent="0.2">
      <c r="B7" s="79">
        <v>1</v>
      </c>
      <c r="C7" s="80" t="str">
        <f>IF('Entries March.''25'!W8-'Entries March.''25'!W7&lt;1,"0",'Entries March.''25'!W8-'Entries March.''25'!W7)</f>
        <v>0</v>
      </c>
      <c r="D7" s="32" t="str">
        <f>IF('Entries March.''25'!O8-'Entries March.''25'!O7&lt;1,"0",'Entries March.''25'!O8-'Entries March.''25'!O7)</f>
        <v>0</v>
      </c>
      <c r="E7" s="32">
        <f>IF('Entries March.''25'!P8-'Entries March.''25'!P7&lt;1,"0",'Entries March.''25'!P8-'Entries March.''25'!P7)</f>
        <v>186</v>
      </c>
      <c r="F7" s="32">
        <f>IF('Entries March.''25'!V8-'Entries March.''25'!V7&lt;1,"0",'Entries March.''25'!V8-'Entries March.''25'!V7)</f>
        <v>196</v>
      </c>
      <c r="G7" s="32">
        <f>(D7+E7)-F7</f>
        <v>-10</v>
      </c>
      <c r="H7" s="32">
        <f>IF('Entries March.''25'!Q8-'Entries March.''25'!Q7&lt;1,0,'Entries March.''25'!Q8-'Entries March.''25'!Q7)</f>
        <v>74</v>
      </c>
      <c r="I7" s="32">
        <f>IF('Entries March.''25'!AG8-'Entries March.''25'!AG7&lt;1,0,'Entries March.''25'!AG8-'Entries March.''25'!AG7)</f>
        <v>0</v>
      </c>
      <c r="J7" s="32">
        <f>IF('Entries March.''25'!S8-'Entries March.''25'!S7&lt;1,"0",'Entries March.''25'!S8-'Entries March.''25'!S7)</f>
        <v>1</v>
      </c>
      <c r="K7" s="32" t="str">
        <f>IF('Entries March.''25'!R8-'Entries March.''25'!R7&lt;1,"0",'Entries March.''25'!R8-'Entries March.''25'!R7)</f>
        <v>0</v>
      </c>
      <c r="L7" s="32" t="str">
        <f>IF('Entries March.''25'!T8-'Entries March.''25'!T7&lt;1,"0",'Entries March.''25'!T8-'Entries March.''25'!T7)</f>
        <v>0</v>
      </c>
      <c r="M7" s="32" t="str">
        <f>IF('Entries March.''25'!U8-'Entries March.''25'!U7&lt;1,"0",'Entries March.''25'!U8-'Entries March.''25'!U7)</f>
        <v>0</v>
      </c>
      <c r="N7" s="32" t="str">
        <f>IF('Entries March.''25'!X8-'Entries March.''25'!X7&lt;1,"0",'Entries March.''25'!X8-'Entries March.''25'!X7)</f>
        <v>0</v>
      </c>
      <c r="O7" s="32">
        <f>IF('Entries March.''25'!Y8-'Entries March.''25'!Y7&lt;1,"0",'Entries March.''25'!Y8-'Entries March.''25'!Y7)</f>
        <v>36</v>
      </c>
      <c r="P7" s="32" t="str">
        <f>IF('Entries March.''25'!AC8-'Entries March.''25'!AC7&lt;1,"0",'Entries March.''25'!AC8-'Entries March.''25'!AC7)</f>
        <v>0</v>
      </c>
      <c r="Q7" s="32">
        <f>IF('Entries March.''25'!Z8-'Entries March.''25'!Z7&lt;1,"0",'Entries March.''25'!Z8-'Entries March.''25'!Z7)</f>
        <v>6</v>
      </c>
      <c r="R7" s="32" t="str">
        <f>IF(('Entries March.''25'!AA8-'Entries March.''25'!AA7)+('Entries March.''25'!AB8-'Entries March.''25'!AB7)&lt;1,"0",('Entries March.''25'!AA8-'Entries March.''25'!AA7)+('Entries March.''25'!AB8-'Entries March.''25'!AB7))</f>
        <v>0</v>
      </c>
      <c r="S7" s="80">
        <f>(R7+G7)*10</f>
        <v>-100</v>
      </c>
      <c r="T7" s="80">
        <f>O7+N7+M7+L7</f>
        <v>36</v>
      </c>
      <c r="U7" s="32" t="str">
        <f>IF('Entries March.''25'!AC8-'Entries March.''25'!AC7&lt;1,"0",'Entries March.''25'!AC8-'Entries March.''25'!AC7)</f>
        <v>0</v>
      </c>
      <c r="V7" s="32" t="str">
        <f>IF('Entries March.''25'!AD8-'Entries March.''25'!AD7&lt;1,"0",'Entries March.''25'!AD8-'Entries March.''25'!AD7)</f>
        <v>0</v>
      </c>
      <c r="W7" s="32" t="str">
        <f>IF('Entries March.''25'!AE8-'Entries March.''25'!AE7&lt;1,"0",'Entries March.''25'!AE8-'Entries March.''25'!AE7)</f>
        <v>0</v>
      </c>
      <c r="X7" s="109" t="str">
        <f>IF('Entries March.''25'!AI8-'Entries March.''25'!AI7&lt;1,"0",'Entries March.''25'!AI8-'Entries March.''25'!AI7)</f>
        <v>0</v>
      </c>
      <c r="Y7" s="109" t="str">
        <f>IF('Entries March.''25'!AH8-'Entries March.''25'!AH7&lt;1,"0",'Entries March.''25'!AH8-'Entries March.''25'!AH7)</f>
        <v>0</v>
      </c>
      <c r="Z7" s="612">
        <f>C7+D7+E7</f>
        <v>186</v>
      </c>
      <c r="AA7" s="613" t="str" cm="1">
        <f t="array" ref="AA7:AA37">IF(TRANSPOSE('Daily KPIs'!B9:AF9)=0,"0",TRANSPOSE('Daily KPIs'!B9:AF9))</f>
        <v>0</v>
      </c>
      <c r="AB7" s="614" t="str">
        <f>IF(AA7=0,"0",(Z7*10/AA7))</f>
        <v>0</v>
      </c>
    </row>
    <row r="8" spans="1:31" x14ac:dyDescent="0.2">
      <c r="B8" s="79">
        <v>2</v>
      </c>
      <c r="C8" s="80" t="str">
        <f>IF('Entries March.''25'!W9-'Entries March.''25'!W8&lt;1,"0",'Entries March.''25'!W9-'Entries March.''25'!W8)</f>
        <v>0</v>
      </c>
      <c r="D8" s="32" t="str">
        <f>IF('Entries March.''25'!O9-'Entries March.''25'!O8&lt;1,"0",'Entries March.''25'!O9-'Entries March.''25'!O8)</f>
        <v>0</v>
      </c>
      <c r="E8" s="32" t="str">
        <f>IF('Entries March.''25'!P9-'Entries March.''25'!P8&lt;1,"0",'Entries March.''25'!P9-'Entries March.''25'!P8)</f>
        <v>0</v>
      </c>
      <c r="F8" s="32" t="str">
        <f>IF('Entries March.''25'!V9-'Entries March.''25'!V8&lt;1,"0",'Entries March.''25'!V9-'Entries March.''25'!V8)</f>
        <v>0</v>
      </c>
      <c r="G8" s="32">
        <f t="shared" ref="G8:G37" si="0">(D8+E8)-F8</f>
        <v>0</v>
      </c>
      <c r="H8" s="32">
        <f>IF('Entries March.''25'!Q9-'Entries March.''25'!Q8&lt;1,0,'Entries March.''25'!Q9-'Entries March.''25'!Q8)</f>
        <v>31</v>
      </c>
      <c r="I8" s="32">
        <f>IF('Entries March.''25'!AG9-'Entries March.''25'!AG8&lt;1,0,'Entries March.''25'!AG9-'Entries March.''25'!AG8)</f>
        <v>0</v>
      </c>
      <c r="J8" s="32" t="str">
        <f>IF('Entries March.''25'!S9-'Entries March.''25'!S8&lt;1,"0",'Entries March.''25'!S9-'Entries March.''25'!S8)</f>
        <v>0</v>
      </c>
      <c r="K8" s="32" t="str">
        <f>IF('Entries March.''25'!R9-'Entries March.''25'!R8&lt;1,"0",'Entries March.''25'!R9-'Entries March.''25'!R8)</f>
        <v>0</v>
      </c>
      <c r="L8" s="32" t="str">
        <f>IF('Entries March.''25'!T9-'Entries March.''25'!T8&lt;1,"0",'Entries March.''25'!T9-'Entries March.''25'!T8)</f>
        <v>0</v>
      </c>
      <c r="M8" s="32" t="str">
        <f>IF('Entries March.''25'!U9-'Entries March.''25'!U8&lt;1,"0",'Entries March.''25'!U9-'Entries March.''25'!U8)</f>
        <v>0</v>
      </c>
      <c r="N8" s="32" t="str">
        <f>IF('Entries March.''25'!X9-'Entries March.''25'!X8&lt;1,"0",'Entries March.''25'!X9-'Entries March.''25'!X8)</f>
        <v>0</v>
      </c>
      <c r="O8" s="32" t="str">
        <f>IF('Entries March.''25'!Y9-'Entries March.''25'!Y8&lt;1,"0",'Entries March.''25'!Y9-'Entries March.''25'!Y8)</f>
        <v>0</v>
      </c>
      <c r="P8" s="32" t="str">
        <f>IF('Entries March.''25'!AC9-'Entries March.''25'!AC8&lt;1,"0",'Entries March.''25'!AC9-'Entries March.''25'!AC8)</f>
        <v>0</v>
      </c>
      <c r="Q8" s="32" t="str">
        <f>IF('Entries March.''25'!Z9-'Entries March.''25'!Z8&lt;1,"0",'Entries March.''25'!Z9-'Entries March.''25'!Z8)</f>
        <v>0</v>
      </c>
      <c r="R8" s="32" t="str">
        <f>IF(('Entries March.''25'!AA9-'Entries March.''25'!AA8)+('Entries March.''25'!AB9-'Entries March.''25'!AB8)&lt;1,"0",('Entries March.''25'!AA9-'Entries March.''25'!AA8)+('Entries March.''25'!AB9-'Entries March.''25'!AB8))</f>
        <v>0</v>
      </c>
      <c r="S8" s="80">
        <f t="shared" ref="S8:S37" si="1">(R8+G8)*10</f>
        <v>0</v>
      </c>
      <c r="T8" s="80">
        <f t="shared" ref="T8:T37" si="2">O8+N8+M8+L8</f>
        <v>0</v>
      </c>
      <c r="U8" s="32" t="str">
        <f>IF('Entries March.''25'!AC9-'Entries March.''25'!AC8&lt;1,"0",'Entries March.''25'!AC9-'Entries March.''25'!AC8)</f>
        <v>0</v>
      </c>
      <c r="V8" s="32" t="str">
        <f>IF('Entries March.''25'!AD9-'Entries March.''25'!AD8&lt;1,"0",'Entries March.''25'!AD9-'Entries March.''25'!AD8)</f>
        <v>0</v>
      </c>
      <c r="W8" s="32" t="str">
        <f>IF('Entries March.''25'!AE9-'Entries March.''25'!AE8&lt;1,"0",'Entries March.''25'!AE9-'Entries March.''25'!AE8)</f>
        <v>0</v>
      </c>
      <c r="X8" s="109" t="str">
        <f>IF('Entries March.''25'!AI9-'Entries March.''25'!AI8&lt;1,"0",'Entries March.''25'!AI9-'Entries March.''25'!AI8)</f>
        <v>0</v>
      </c>
      <c r="Y8" s="109" t="str">
        <f>IF('Entries March.''25'!AH9-'Entries March.''25'!AH8&lt;1,"0",'Entries March.''25'!AH9-'Entries March.''25'!AH8)</f>
        <v>0</v>
      </c>
      <c r="Z8" s="612">
        <f t="shared" ref="Z8:Z37" si="3">C8+D8+E8</f>
        <v>0</v>
      </c>
      <c r="AA8" s="613" t="str">
        <v>0</v>
      </c>
      <c r="AB8" s="614" t="str">
        <f t="shared" ref="AB8:AB37" si="4">IF(AA8=0,"0",(Z8*10/AA8))</f>
        <v>0</v>
      </c>
    </row>
    <row r="9" spans="1:31" x14ac:dyDescent="0.2">
      <c r="B9" s="79">
        <v>3</v>
      </c>
      <c r="C9" s="80" t="str">
        <f>IF('Entries March.''25'!W10-'Entries March.''25'!W9&lt;1,"0",'Entries March.''25'!W10-'Entries March.''25'!W9)</f>
        <v>0</v>
      </c>
      <c r="D9" s="32">
        <f>IF('Entries March.''25'!O10-'Entries March.''25'!O9&lt;1,"0",'Entries March.''25'!O10-'Entries March.''25'!O9)</f>
        <v>379</v>
      </c>
      <c r="E9" s="32">
        <f>IF('Entries March.''25'!P10-'Entries March.''25'!P9&lt;1,"0",'Entries March.''25'!P10-'Entries March.''25'!P9)</f>
        <v>12</v>
      </c>
      <c r="F9" s="32">
        <f>IF('Entries March.''25'!V10-'Entries March.''25'!V9&lt;1,"0",'Entries March.''25'!V10-'Entries March.''25'!V9)</f>
        <v>12</v>
      </c>
      <c r="G9" s="32">
        <f t="shared" si="0"/>
        <v>379</v>
      </c>
      <c r="H9" s="32">
        <f>IF('Entries March.''25'!Q10-'Entries March.''25'!Q9&lt;1,0,'Entries March.''25'!Q10-'Entries March.''25'!Q9)</f>
        <v>107</v>
      </c>
      <c r="I9" s="32">
        <f>IF('Entries March.''25'!AG10-'Entries March.''25'!AG9&lt;1,0,'Entries March.''25'!AG10-'Entries March.''25'!AG9)</f>
        <v>0</v>
      </c>
      <c r="J9" s="32">
        <f>IF('Entries March.''25'!S10-'Entries March.''25'!S9&lt;1,"0",'Entries March.''25'!S10-'Entries March.''25'!S9)</f>
        <v>187</v>
      </c>
      <c r="K9" s="32" t="str">
        <f>IF('Entries March.''25'!R10-'Entries March.''25'!R9&lt;1,"0",'Entries March.''25'!R10-'Entries March.''25'!R9)</f>
        <v>0</v>
      </c>
      <c r="L9" s="32" t="str">
        <f>IF('Entries March.''25'!T10-'Entries March.''25'!T9&lt;1,"0",'Entries March.''25'!T10-'Entries March.''25'!T9)</f>
        <v>0</v>
      </c>
      <c r="M9" s="32" t="str">
        <f>IF('Entries March.''25'!U10-'Entries March.''25'!U9&lt;1,"0",'Entries March.''25'!U10-'Entries March.''25'!U9)</f>
        <v>0</v>
      </c>
      <c r="N9" s="32">
        <f>IF('Entries March.''25'!X10-'Entries March.''25'!X9&lt;1,"0",'Entries March.''25'!X10-'Entries March.''25'!X9)</f>
        <v>21</v>
      </c>
      <c r="O9" s="32">
        <f>IF('Entries March.''25'!Y10-'Entries March.''25'!Y9&lt;1,"0",'Entries March.''25'!Y10-'Entries March.''25'!Y9)</f>
        <v>63</v>
      </c>
      <c r="P9" s="32">
        <f>IF('Entries March.''25'!AC10-'Entries March.''25'!AC9&lt;1,"0",'Entries March.''25'!AC10-'Entries March.''25'!AC9)</f>
        <v>2</v>
      </c>
      <c r="Q9" s="32">
        <f>IF('Entries March.''25'!Z10-'Entries March.''25'!Z9&lt;1,"0",'Entries March.''25'!Z10-'Entries March.''25'!Z9)</f>
        <v>9</v>
      </c>
      <c r="R9" s="32" t="str">
        <f>IF(('Entries March.''25'!AA10-'Entries March.''25'!AA9)+('Entries March.''25'!AB10-'Entries March.''25'!AB9)&lt;1,"0",('Entries March.''25'!AA10-'Entries March.''25'!AA9)+('Entries March.''25'!AB10-'Entries March.''25'!AB9))</f>
        <v>0</v>
      </c>
      <c r="S9" s="80">
        <f t="shared" si="1"/>
        <v>3790</v>
      </c>
      <c r="T9" s="80">
        <f t="shared" si="2"/>
        <v>84</v>
      </c>
      <c r="U9" s="32">
        <f>IF('Entries March.''25'!AC10-'Entries March.''25'!AC9&lt;1,"0",'Entries March.''25'!AC10-'Entries March.''25'!AC9)</f>
        <v>2</v>
      </c>
      <c r="V9" s="32">
        <f>IF('Entries March.''25'!AD10-'Entries March.''25'!AD9&lt;1,"0",'Entries March.''25'!AD10-'Entries March.''25'!AD9)</f>
        <v>112</v>
      </c>
      <c r="W9" s="32" t="str">
        <f>IF('Entries March.''25'!AE10-'Entries March.''25'!AE9&lt;1,"0",'Entries March.''25'!AE10-'Entries March.''25'!AE9)</f>
        <v>0</v>
      </c>
      <c r="X9" s="109" t="str">
        <f>IF('Entries March.''25'!AI10-'Entries March.''25'!AI9&lt;1,"0",'Entries March.''25'!AI10-'Entries March.''25'!AI9)</f>
        <v>0</v>
      </c>
      <c r="Y9" s="109" t="str">
        <f>IF('Entries March.''25'!AH10-'Entries March.''25'!AH9&lt;1,"0",'Entries March.''25'!AH10-'Entries March.''25'!AH9)</f>
        <v>0</v>
      </c>
      <c r="Z9" s="612">
        <f t="shared" si="3"/>
        <v>391</v>
      </c>
      <c r="AA9" s="613">
        <v>356.40000000000003</v>
      </c>
      <c r="AB9" s="614">
        <f t="shared" si="4"/>
        <v>10.970819304152636</v>
      </c>
    </row>
    <row r="10" spans="1:31" x14ac:dyDescent="0.2">
      <c r="B10" s="79">
        <v>4</v>
      </c>
      <c r="C10" s="80" t="str">
        <f>IF('Entries March.''25'!W11-'Entries March.''25'!W10&lt;1,"0",'Entries March.''25'!W11-'Entries March.''25'!W10)</f>
        <v>0</v>
      </c>
      <c r="D10" s="32">
        <f>IF('Entries March.''25'!O11-'Entries March.''25'!O10&lt;1,"0",'Entries March.''25'!O11-'Entries March.''25'!O10)</f>
        <v>442</v>
      </c>
      <c r="E10" s="32" t="str">
        <f>IF('Entries March.''25'!P11-'Entries March.''25'!P10&lt;1,"0",'Entries March.''25'!P11-'Entries March.''25'!P10)</f>
        <v>0</v>
      </c>
      <c r="F10" s="32">
        <f>IF('Entries March.''25'!V11-'Entries March.''25'!V10&lt;1,"0",'Entries March.''25'!V11-'Entries March.''25'!V10)</f>
        <v>1</v>
      </c>
      <c r="G10" s="32">
        <f t="shared" si="0"/>
        <v>441</v>
      </c>
      <c r="H10" s="32">
        <f>IF('Entries March.''25'!Q11-'Entries March.''25'!Q10&lt;1,0,'Entries March.''25'!Q11-'Entries March.''25'!Q10)</f>
        <v>232</v>
      </c>
      <c r="I10" s="32">
        <f>IF('Entries March.''25'!AG11-'Entries March.''25'!AG10&lt;1,0,'Entries March.''25'!AG11-'Entries March.''25'!AG10)</f>
        <v>0</v>
      </c>
      <c r="J10" s="32">
        <f>IF('Entries March.''25'!S11-'Entries March.''25'!S10&lt;1,"0",'Entries March.''25'!S11-'Entries March.''25'!S10)</f>
        <v>212</v>
      </c>
      <c r="K10" s="32" t="str">
        <f>IF('Entries March.''25'!R11-'Entries March.''25'!R10&lt;1,"0",'Entries March.''25'!R11-'Entries March.''25'!R10)</f>
        <v>0</v>
      </c>
      <c r="L10" s="32" t="str">
        <f>IF('Entries March.''25'!T11-'Entries March.''25'!T10&lt;1,"0",'Entries March.''25'!T11-'Entries March.''25'!T10)</f>
        <v>0</v>
      </c>
      <c r="M10" s="32">
        <f>IF('Entries March.''25'!U11-'Entries March.''25'!U10&lt;1,"0",'Entries March.''25'!U11-'Entries March.''25'!U10)</f>
        <v>8</v>
      </c>
      <c r="N10" s="32">
        <f>IF('Entries March.''25'!X11-'Entries March.''25'!X10&lt;1,"0",'Entries March.''25'!X11-'Entries March.''25'!X10)</f>
        <v>45</v>
      </c>
      <c r="O10" s="32">
        <f>IF('Entries March.''25'!Y11-'Entries March.''25'!Y10&lt;1,"0",'Entries March.''25'!Y11-'Entries March.''25'!Y10)</f>
        <v>83</v>
      </c>
      <c r="P10" s="32">
        <f>IF('Entries March.''25'!AC11-'Entries March.''25'!AC10&lt;1,"0",'Entries March.''25'!AC11-'Entries March.''25'!AC10)</f>
        <v>22</v>
      </c>
      <c r="Q10" s="32">
        <f>IF('Entries March.''25'!Z11-'Entries March.''25'!Z10&lt;1,"0",'Entries March.''25'!Z11-'Entries March.''25'!Z10)</f>
        <v>18</v>
      </c>
      <c r="R10" s="32" t="str">
        <f>IF(('Entries March.''25'!AA11-'Entries March.''25'!AA10)+('Entries March.''25'!AB11-'Entries March.''25'!AB10)&lt;1,"0",('Entries March.''25'!AA11-'Entries March.''25'!AA10)+('Entries March.''25'!AB11-'Entries March.''25'!AB10))</f>
        <v>0</v>
      </c>
      <c r="S10" s="80">
        <f t="shared" si="1"/>
        <v>4410</v>
      </c>
      <c r="T10" s="80">
        <f t="shared" si="2"/>
        <v>136</v>
      </c>
      <c r="U10" s="32">
        <f>IF('Entries March.''25'!AC11-'Entries March.''25'!AC10&lt;1,"0",'Entries March.''25'!AC11-'Entries March.''25'!AC10)</f>
        <v>22</v>
      </c>
      <c r="V10" s="32">
        <f>IF('Entries March.''25'!AD11-'Entries March.''25'!AD10&lt;1,"0",'Entries March.''25'!AD11-'Entries March.''25'!AD10)</f>
        <v>54</v>
      </c>
      <c r="W10" s="32" t="str">
        <f>IF('Entries March.''25'!AE11-'Entries March.''25'!AE10&lt;1,"0",'Entries March.''25'!AE11-'Entries March.''25'!AE10)</f>
        <v>0</v>
      </c>
      <c r="X10" s="109" t="str">
        <f>IF('Entries March.''25'!AI11-'Entries March.''25'!AI10&lt;1,"0",'Entries March.''25'!AI11-'Entries March.''25'!AI10)</f>
        <v>0</v>
      </c>
      <c r="Y10" s="109" t="str">
        <f>IF('Entries March.''25'!AH11-'Entries March.''25'!AH10&lt;1,"0",'Entries March.''25'!AH11-'Entries March.''25'!AH10)</f>
        <v>0</v>
      </c>
      <c r="Z10" s="612">
        <f t="shared" si="3"/>
        <v>442</v>
      </c>
      <c r="AA10" s="613">
        <v>476.98200000000003</v>
      </c>
      <c r="AB10" s="614">
        <f t="shared" si="4"/>
        <v>9.2665970623629406</v>
      </c>
      <c r="AD10" s="8" t="s">
        <v>61</v>
      </c>
    </row>
    <row r="11" spans="1:31" x14ac:dyDescent="0.2">
      <c r="B11" s="79">
        <v>5</v>
      </c>
      <c r="C11" s="80" t="str">
        <f>IF('Entries March.''25'!W12-'Entries March.''25'!W11&lt;1,"0",'Entries March.''25'!W12-'Entries March.''25'!W11)</f>
        <v>0</v>
      </c>
      <c r="D11" s="32">
        <f>IF('Entries March.''25'!O12-'Entries March.''25'!O11&lt;1,"0",'Entries March.''25'!O12-'Entries March.''25'!O11)</f>
        <v>436</v>
      </c>
      <c r="E11" s="32" t="str">
        <f>IF('Entries March.''25'!P12-'Entries March.''25'!P11&lt;1,"0",'Entries March.''25'!P12-'Entries March.''25'!P11)</f>
        <v>0</v>
      </c>
      <c r="F11" s="32" t="str">
        <f>IF('Entries March.''25'!V12-'Entries March.''25'!V11&lt;1,"0",'Entries March.''25'!V12-'Entries March.''25'!V11)</f>
        <v>0</v>
      </c>
      <c r="G11" s="32">
        <f t="shared" si="0"/>
        <v>436</v>
      </c>
      <c r="H11" s="32">
        <f>IF('Entries March.''25'!Q12-'Entries March.''25'!Q11&lt;1,0,'Entries March.''25'!Q12-'Entries March.''25'!Q11)</f>
        <v>206</v>
      </c>
      <c r="I11" s="32">
        <f>IF('Entries March.''25'!AG12-'Entries March.''25'!AG11&lt;1,0,'Entries March.''25'!AG12-'Entries March.''25'!AG11)</f>
        <v>0</v>
      </c>
      <c r="J11" s="32">
        <f>IF('Entries March.''25'!S12-'Entries March.''25'!S11&lt;1,"0",'Entries March.''25'!S12-'Entries March.''25'!S11)</f>
        <v>173</v>
      </c>
      <c r="K11" s="32" t="str">
        <f>IF('Entries March.''25'!R12-'Entries March.''25'!R11&lt;1,"0",'Entries March.''25'!R12-'Entries March.''25'!R11)</f>
        <v>0</v>
      </c>
      <c r="L11" s="32" t="str">
        <f>IF('Entries March.''25'!T12-'Entries March.''25'!T11&lt;1,"0",'Entries March.''25'!T12-'Entries March.''25'!T11)</f>
        <v>0</v>
      </c>
      <c r="M11" s="32" t="str">
        <f>IF('Entries March.''25'!U12-'Entries March.''25'!U11&lt;1,"0",'Entries March.''25'!U12-'Entries March.''25'!U11)</f>
        <v>0</v>
      </c>
      <c r="N11" s="32">
        <f>IF('Entries March.''25'!X12-'Entries March.''25'!X11&lt;1,"0",'Entries March.''25'!X12-'Entries March.''25'!X11)</f>
        <v>70</v>
      </c>
      <c r="O11" s="32">
        <f>IF('Entries March.''25'!Y12-'Entries March.''25'!Y11&lt;1,"0",'Entries March.''25'!Y12-'Entries March.''25'!Y11)</f>
        <v>60</v>
      </c>
      <c r="P11" s="32">
        <f>IF('Entries March.''25'!AC12-'Entries March.''25'!AC11&lt;1,"0",'Entries March.''25'!AC12-'Entries March.''25'!AC11)</f>
        <v>15</v>
      </c>
      <c r="Q11" s="32">
        <f>IF('Entries March.''25'!Z12-'Entries March.''25'!Z11&lt;1,"0",'Entries March.''25'!Z12-'Entries March.''25'!Z11)</f>
        <v>15</v>
      </c>
      <c r="R11" s="32" t="str">
        <f>IF(('Entries March.''25'!AA12-'Entries March.''25'!AA11)+('Entries March.''25'!AB12-'Entries March.''25'!AB11)&lt;1,"0",('Entries March.''25'!AA12-'Entries March.''25'!AA11)+('Entries March.''25'!AB12-'Entries March.''25'!AB11))</f>
        <v>0</v>
      </c>
      <c r="S11" s="80">
        <f t="shared" si="1"/>
        <v>4360</v>
      </c>
      <c r="T11" s="80">
        <f t="shared" si="2"/>
        <v>130</v>
      </c>
      <c r="U11" s="32">
        <f>IF('Entries March.''25'!AC12-'Entries March.''25'!AC11&lt;1,"0",'Entries March.''25'!AC12-'Entries March.''25'!AC11)</f>
        <v>15</v>
      </c>
      <c r="V11" s="32">
        <f>IF('Entries March.''25'!AD12-'Entries March.''25'!AD11&lt;1,"0",'Entries March.''25'!AD12-'Entries March.''25'!AD11)</f>
        <v>46</v>
      </c>
      <c r="W11" s="32" t="str">
        <f>IF('Entries March.''25'!AE12-'Entries March.''25'!AE11&lt;1,"0",'Entries March.''25'!AE12-'Entries March.''25'!AE11)</f>
        <v>0</v>
      </c>
      <c r="X11" s="109" t="str">
        <f>IF('Entries March.''25'!AI12-'Entries March.''25'!AI11&lt;1,"0",'Entries March.''25'!AI12-'Entries March.''25'!AI11)</f>
        <v>0</v>
      </c>
      <c r="Y11" s="109" t="str">
        <f>IF('Entries March.''25'!AH12-'Entries March.''25'!AH11&lt;1,"0",'Entries March.''25'!AH12-'Entries March.''25'!AH11)</f>
        <v>0</v>
      </c>
      <c r="Z11" s="612">
        <f t="shared" si="3"/>
        <v>436</v>
      </c>
      <c r="AA11" s="613">
        <v>345.11400000000003</v>
      </c>
      <c r="AB11" s="614">
        <f t="shared" si="4"/>
        <v>12.633506609410222</v>
      </c>
    </row>
    <row r="12" spans="1:31" x14ac:dyDescent="0.2">
      <c r="A12" s="30"/>
      <c r="B12" s="79">
        <v>6</v>
      </c>
      <c r="C12" s="80" t="str">
        <f>IF('Entries March.''25'!W13-'Entries March.''25'!W12&lt;1,"0",'Entries March.''25'!W13-'Entries March.''25'!W12)</f>
        <v>0</v>
      </c>
      <c r="D12" s="32">
        <f>IF('Entries March.''25'!O13-'Entries March.''25'!O12&lt;1,"0",'Entries March.''25'!O13-'Entries March.''25'!O12)</f>
        <v>258</v>
      </c>
      <c r="E12" s="32" t="str">
        <f>IF('Entries March.''25'!P13-'Entries March.''25'!P12&lt;1,"0",'Entries March.''25'!P13-'Entries March.''25'!P12)</f>
        <v>0</v>
      </c>
      <c r="F12" s="32" t="str">
        <f>IF('Entries March.''25'!V13-'Entries March.''25'!V12&lt;1,"0",'Entries March.''25'!V13-'Entries March.''25'!V12)</f>
        <v>0</v>
      </c>
      <c r="G12" s="32">
        <f t="shared" si="0"/>
        <v>258</v>
      </c>
      <c r="H12" s="32">
        <f>IF('Entries March.''25'!Q13-'Entries March.''25'!Q12&lt;1,0,'Entries March.''25'!Q13-'Entries March.''25'!Q12)</f>
        <v>201</v>
      </c>
      <c r="I12" s="32">
        <f>IF('Entries March.''25'!AG13-'Entries March.''25'!AG12&lt;1,0,'Entries March.''25'!AG13-'Entries March.''25'!AG12)</f>
        <v>0</v>
      </c>
      <c r="J12" s="32">
        <f>IF('Entries March.''25'!S13-'Entries March.''25'!S12&lt;1,"0",'Entries March.''25'!S13-'Entries March.''25'!S12)</f>
        <v>193</v>
      </c>
      <c r="K12" s="32" t="str">
        <f>IF('Entries March.''25'!R13-'Entries March.''25'!R12&lt;1,"0",'Entries March.''25'!R13-'Entries March.''25'!R12)</f>
        <v>0</v>
      </c>
      <c r="L12" s="32" t="str">
        <f>IF('Entries March.''25'!T13-'Entries March.''25'!T12&lt;1,"0",'Entries March.''25'!T13-'Entries March.''25'!T12)</f>
        <v>0</v>
      </c>
      <c r="M12" s="32" t="str">
        <f>IF('Entries March.''25'!U13-'Entries March.''25'!U12&lt;1,"0",'Entries March.''25'!U13-'Entries March.''25'!U12)</f>
        <v>0</v>
      </c>
      <c r="N12" s="32">
        <f>IF('Entries March.''25'!X13-'Entries March.''25'!X12&lt;1,"0",'Entries March.''25'!X13-'Entries March.''25'!X12)</f>
        <v>85</v>
      </c>
      <c r="O12" s="32">
        <f>IF('Entries March.''25'!Y13-'Entries March.''25'!Y12&lt;1,"0",'Entries March.''25'!Y13-'Entries March.''25'!Y12)</f>
        <v>58</v>
      </c>
      <c r="P12" s="32">
        <f>IF('Entries March.''25'!AC13-'Entries March.''25'!AC12&lt;1,"0",'Entries March.''25'!AC13-'Entries March.''25'!AC12)</f>
        <v>23</v>
      </c>
      <c r="Q12" s="32">
        <f>IF('Entries March.''25'!Z13-'Entries March.''25'!Z12&lt;1,"0",'Entries March.''25'!Z13-'Entries March.''25'!Z12)</f>
        <v>18</v>
      </c>
      <c r="R12" s="32" t="str">
        <f>IF(('Entries March.''25'!AA13-'Entries March.''25'!AA12)+('Entries March.''25'!AB13-'Entries March.''25'!AB12)&lt;1,"0",('Entries March.''25'!AA13-'Entries March.''25'!AA12)+('Entries March.''25'!AB13-'Entries March.''25'!AB12))</f>
        <v>0</v>
      </c>
      <c r="S12" s="80">
        <f t="shared" si="1"/>
        <v>2580</v>
      </c>
      <c r="T12" s="80">
        <f t="shared" si="2"/>
        <v>143</v>
      </c>
      <c r="U12" s="32">
        <f>IF('Entries March.''25'!AC13-'Entries March.''25'!AC12&lt;1,"0",'Entries March.''25'!AC13-'Entries March.''25'!AC12)</f>
        <v>23</v>
      </c>
      <c r="V12" s="32">
        <f>IF('Entries March.''25'!AD13-'Entries March.''25'!AD12&lt;1,"0",'Entries March.''25'!AD13-'Entries March.''25'!AD12)</f>
        <v>30</v>
      </c>
      <c r="W12" s="32" t="str">
        <f>IF('Entries March.''25'!AE13-'Entries March.''25'!AE12&lt;1,"0",'Entries March.''25'!AE13-'Entries March.''25'!AE12)</f>
        <v>0</v>
      </c>
      <c r="X12" s="109" t="str">
        <f>IF('Entries March.''25'!AI13-'Entries March.''25'!AI12&lt;1,"0",'Entries March.''25'!AI13-'Entries March.''25'!AI12)</f>
        <v>0</v>
      </c>
      <c r="Y12" s="109" t="str">
        <f>IF('Entries March.''25'!AH13-'Entries March.''25'!AH12&lt;1,"0",'Entries March.''25'!AH13-'Entries March.''25'!AH12)</f>
        <v>0</v>
      </c>
      <c r="Z12" s="612">
        <f t="shared" si="3"/>
        <v>258</v>
      </c>
      <c r="AA12" s="613">
        <v>383.79</v>
      </c>
      <c r="AB12" s="614">
        <f t="shared" si="4"/>
        <v>6.722426326897522</v>
      </c>
      <c r="AE12" s="8" t="s">
        <v>61</v>
      </c>
    </row>
    <row r="13" spans="1:31" x14ac:dyDescent="0.2">
      <c r="A13" s="30"/>
      <c r="B13" s="79">
        <v>7</v>
      </c>
      <c r="C13" s="80" t="str">
        <f>IF('Entries March.''25'!W14-'Entries March.''25'!W13&lt;1,"0",'Entries March.''25'!W14-'Entries March.''25'!W13)</f>
        <v>0</v>
      </c>
      <c r="D13" s="32">
        <f>IF('Entries March.''25'!O14-'Entries March.''25'!O13&lt;1,"0",'Entries March.''25'!O14-'Entries March.''25'!O13)</f>
        <v>241</v>
      </c>
      <c r="E13" s="32">
        <f>IF('Entries March.''25'!P14-'Entries March.''25'!P13&lt;1,"0",'Entries March.''25'!P14-'Entries March.''25'!P13)</f>
        <v>120</v>
      </c>
      <c r="F13" s="32">
        <f>IF('Entries March.''25'!V14-'Entries March.''25'!V13&lt;1,"0",'Entries March.''25'!V14-'Entries March.''25'!V13)</f>
        <v>130</v>
      </c>
      <c r="G13" s="32">
        <f t="shared" si="0"/>
        <v>231</v>
      </c>
      <c r="H13" s="32">
        <f>IF('Entries March.''25'!Q14-'Entries March.''25'!Q13&lt;1,0,'Entries March.''25'!Q14-'Entries March.''25'!Q13)</f>
        <v>154</v>
      </c>
      <c r="I13" s="32">
        <f>IF('Entries March.''25'!AG14-'Entries March.''25'!AG13&lt;1,0,'Entries March.''25'!AG14-'Entries March.''25'!AG13)</f>
        <v>0</v>
      </c>
      <c r="J13" s="32">
        <f>IF('Entries March.''25'!S14-'Entries March.''25'!S13&lt;1,"0",'Entries March.''25'!S14-'Entries March.''25'!S13)</f>
        <v>216</v>
      </c>
      <c r="K13" s="32" t="str">
        <f>IF('Entries March.''25'!R14-'Entries March.''25'!R13&lt;1,"0",'Entries March.''25'!R14-'Entries March.''25'!R13)</f>
        <v>0</v>
      </c>
      <c r="L13" s="32" t="str">
        <f>IF('Entries March.''25'!T14-'Entries March.''25'!T13&lt;1,"0",'Entries March.''25'!T14-'Entries March.''25'!T13)</f>
        <v>0</v>
      </c>
      <c r="M13" s="32" t="str">
        <f>IF('Entries March.''25'!U14-'Entries March.''25'!U13&lt;1,"0",'Entries March.''25'!U14-'Entries March.''25'!U13)</f>
        <v>0</v>
      </c>
      <c r="N13" s="32">
        <f>IF('Entries March.''25'!X14-'Entries March.''25'!X13&lt;1,"0",'Entries March.''25'!X14-'Entries March.''25'!X13)</f>
        <v>21</v>
      </c>
      <c r="O13" s="32">
        <f>IF('Entries March.''25'!Y14-'Entries March.''25'!Y13&lt;1,"0",'Entries March.''25'!Y14-'Entries March.''25'!Y13)</f>
        <v>48</v>
      </c>
      <c r="P13" s="32">
        <f>IF('Entries March.''25'!AC14-'Entries March.''25'!AC13&lt;1,"0",'Entries March.''25'!AC14-'Entries March.''25'!AC13)</f>
        <v>13</v>
      </c>
      <c r="Q13" s="32" t="str">
        <f>IF('Entries March.''25'!Z14-'Entries March.''25'!Z13&lt;1,"0",'Entries March.''25'!Z14-'Entries March.''25'!Z13)</f>
        <v>0</v>
      </c>
      <c r="R13" s="32" t="str">
        <f>IF(('Entries March.''25'!AA14-'Entries March.''25'!AA13)+('Entries March.''25'!AB14-'Entries March.''25'!AB13)&lt;1,"0",('Entries March.''25'!AA14-'Entries March.''25'!AA13)+('Entries March.''25'!AB14-'Entries March.''25'!AB13))</f>
        <v>0</v>
      </c>
      <c r="S13" s="80">
        <f t="shared" si="1"/>
        <v>2310</v>
      </c>
      <c r="T13" s="80">
        <f t="shared" si="2"/>
        <v>69</v>
      </c>
      <c r="U13" s="32">
        <f>IF('Entries March.''25'!AC14-'Entries March.''25'!AC13&lt;1,"0",'Entries March.''25'!AC14-'Entries March.''25'!AC13)</f>
        <v>13</v>
      </c>
      <c r="V13" s="32" t="str">
        <f>IF('Entries March.''25'!AD14-'Entries March.''25'!AD13&lt;1,"0",'Entries March.''25'!AD14-'Entries March.''25'!AD13)</f>
        <v>0</v>
      </c>
      <c r="W13" s="32" t="str">
        <f>IF('Entries March.''25'!AE14-'Entries March.''25'!AE13&lt;1,"0",'Entries March.''25'!AE14-'Entries March.''25'!AE13)</f>
        <v>0</v>
      </c>
      <c r="X13" s="109" t="str">
        <f>IF('Entries March.''25'!AI14-'Entries March.''25'!AI13&lt;1,"0",'Entries March.''25'!AI14-'Entries March.''25'!AI13)</f>
        <v>0</v>
      </c>
      <c r="Y13" s="109" t="str">
        <f>IF('Entries March.''25'!AH14-'Entries March.''25'!AH13&lt;1,"0",'Entries March.''25'!AH14-'Entries March.''25'!AH13)</f>
        <v>0</v>
      </c>
      <c r="Z13" s="612">
        <f t="shared" si="3"/>
        <v>361</v>
      </c>
      <c r="AA13" s="613">
        <v>328.48200000000003</v>
      </c>
      <c r="AB13" s="614">
        <f t="shared" si="4"/>
        <v>10.989947698808457</v>
      </c>
    </row>
    <row r="14" spans="1:31" x14ac:dyDescent="0.2">
      <c r="B14" s="79">
        <v>8</v>
      </c>
      <c r="C14" s="80" t="str">
        <f>IF('Entries March.''25'!W15-'Entries March.''25'!W14&lt;1,"0",'Entries March.''25'!W15-'Entries March.''25'!W14)</f>
        <v>0</v>
      </c>
      <c r="D14" s="32">
        <f>IF('Entries March.''25'!O15-'Entries March.''25'!O14&lt;1,"0",'Entries March.''25'!O15-'Entries March.''25'!O14)</f>
        <v>142</v>
      </c>
      <c r="E14" s="32">
        <f>IF('Entries March.''25'!P15-'Entries March.''25'!P14&lt;1,"0",'Entries March.''25'!P15-'Entries March.''25'!P14)</f>
        <v>81</v>
      </c>
      <c r="F14" s="32">
        <f>IF('Entries March.''25'!V15-'Entries March.''25'!V14&lt;1,"0",'Entries March.''25'!V15-'Entries March.''25'!V14)</f>
        <v>82</v>
      </c>
      <c r="G14" s="32">
        <f t="shared" si="0"/>
        <v>141</v>
      </c>
      <c r="H14" s="32">
        <f>IF('Entries March.''25'!Q15-'Entries March.''25'!Q14&lt;1,0,'Entries March.''25'!Q15-'Entries March.''25'!Q14)</f>
        <v>100</v>
      </c>
      <c r="I14" s="32">
        <f>IF('Entries March.''25'!AG15-'Entries March.''25'!AG14&lt;1,0,'Entries March.''25'!AG15-'Entries March.''25'!AG14)</f>
        <v>0</v>
      </c>
      <c r="J14" s="32">
        <f>IF('Entries March.''25'!S15-'Entries March.''25'!S14&lt;1,"0",'Entries March.''25'!S15-'Entries March.''25'!S14)</f>
        <v>71</v>
      </c>
      <c r="K14" s="32" t="str">
        <f>IF('Entries March.''25'!R15-'Entries March.''25'!R14&lt;1,"0",'Entries March.''25'!R15-'Entries March.''25'!R14)</f>
        <v>0</v>
      </c>
      <c r="L14" s="32" t="str">
        <f>IF('Entries March.''25'!T15-'Entries March.''25'!T14&lt;1,"0",'Entries March.''25'!T15-'Entries March.''25'!T14)</f>
        <v>0</v>
      </c>
      <c r="M14" s="32" t="str">
        <f>IF('Entries March.''25'!U15-'Entries March.''25'!U14&lt;1,"0",'Entries March.''25'!U15-'Entries March.''25'!U14)</f>
        <v>0</v>
      </c>
      <c r="N14" s="32">
        <f>IF('Entries March.''25'!X15-'Entries March.''25'!X14&lt;1,"0",'Entries March.''25'!X15-'Entries March.''25'!X14)</f>
        <v>14</v>
      </c>
      <c r="O14" s="32">
        <f>IF('Entries March.''25'!Y15-'Entries March.''25'!Y14&lt;1,"0",'Entries March.''25'!Y15-'Entries March.''25'!Y14)</f>
        <v>25</v>
      </c>
      <c r="P14" s="32" t="str">
        <f>IF('Entries March.''25'!AC15-'Entries March.''25'!AC14&lt;1,"0",'Entries March.''25'!AC15-'Entries March.''25'!AC14)</f>
        <v>0</v>
      </c>
      <c r="Q14" s="32">
        <f>IF('Entries March.''25'!Z15-'Entries March.''25'!Z14&lt;1,"0",'Entries March.''25'!Z15-'Entries March.''25'!Z14)</f>
        <v>15</v>
      </c>
      <c r="R14" s="32" t="str">
        <f>IF(('Entries March.''25'!AA15-'Entries March.''25'!AA14)+('Entries March.''25'!AB15-'Entries March.''25'!AB14)&lt;1,"0",('Entries March.''25'!AA15-'Entries March.''25'!AA14)+('Entries March.''25'!AB15-'Entries March.''25'!AB14))</f>
        <v>0</v>
      </c>
      <c r="S14" s="80">
        <f t="shared" si="1"/>
        <v>1410</v>
      </c>
      <c r="T14" s="80">
        <f t="shared" si="2"/>
        <v>39</v>
      </c>
      <c r="U14" s="32" t="str">
        <f>IF('Entries March.''25'!AC15-'Entries March.''25'!AC14&lt;1,"0",'Entries March.''25'!AC15-'Entries March.''25'!AC14)</f>
        <v>0</v>
      </c>
      <c r="V14" s="32" t="str">
        <f>IF('Entries March.''25'!AD15-'Entries March.''25'!AD14&lt;1,"0",'Entries March.''25'!AD15-'Entries March.''25'!AD14)</f>
        <v>0</v>
      </c>
      <c r="W14" s="32" t="str">
        <f>IF('Entries March.''25'!AE15-'Entries March.''25'!AE14&lt;1,"0",'Entries March.''25'!AE15-'Entries March.''25'!AE14)</f>
        <v>0</v>
      </c>
      <c r="X14" s="109" t="str">
        <f>IF('Entries March.''25'!AI15-'Entries March.''25'!AI14&lt;1,"0",'Entries March.''25'!AI15-'Entries March.''25'!AI14)</f>
        <v>0</v>
      </c>
      <c r="Y14" s="109" t="str">
        <f>IF('Entries March.''25'!AH15-'Entries March.''25'!AH14&lt;1,"0",'Entries March.''25'!AH15-'Entries March.''25'!AH14)</f>
        <v>0</v>
      </c>
      <c r="Z14" s="612">
        <f t="shared" si="3"/>
        <v>223</v>
      </c>
      <c r="AA14" s="613" t="str">
        <v>0</v>
      </c>
      <c r="AB14" s="614" t="str">
        <f t="shared" si="4"/>
        <v>0</v>
      </c>
    </row>
    <row r="15" spans="1:31" x14ac:dyDescent="0.2">
      <c r="B15" s="79">
        <v>9</v>
      </c>
      <c r="C15" s="80" t="str">
        <f>IF('Entries March.''25'!W16-'Entries March.''25'!W15&lt;1,"0",'Entries March.''25'!W16-'Entries March.''25'!W15)</f>
        <v>0</v>
      </c>
      <c r="D15" s="32">
        <f>IF('Entries March.''25'!O16-'Entries March.''25'!O15&lt;1,"0",'Entries March.''25'!O16-'Entries March.''25'!O15)</f>
        <v>77</v>
      </c>
      <c r="E15" s="32">
        <f>IF('Entries March.''25'!P16-'Entries March.''25'!P15&lt;1,"0",'Entries March.''25'!P16-'Entries March.''25'!P15)</f>
        <v>21</v>
      </c>
      <c r="F15" s="32">
        <f>IF('Entries March.''25'!V16-'Entries March.''25'!V15&lt;1,"0",'Entries March.''25'!V16-'Entries March.''25'!V15)</f>
        <v>22</v>
      </c>
      <c r="G15" s="32">
        <f t="shared" si="0"/>
        <v>76</v>
      </c>
      <c r="H15" s="32">
        <f>IF('Entries March.''25'!Q16-'Entries March.''25'!Q15&lt;1,0,'Entries March.''25'!Q16-'Entries March.''25'!Q15)</f>
        <v>10</v>
      </c>
      <c r="I15" s="32">
        <f>IF('Entries March.''25'!AG16-'Entries March.''25'!AG15&lt;1,0,'Entries March.''25'!AG16-'Entries March.''25'!AG15)</f>
        <v>0</v>
      </c>
      <c r="J15" s="32" t="str">
        <f>IF('Entries March.''25'!S16-'Entries March.''25'!S15&lt;1,"0",'Entries March.''25'!S16-'Entries March.''25'!S15)</f>
        <v>0</v>
      </c>
      <c r="K15" s="32" t="str">
        <f>IF('Entries March.''25'!R16-'Entries March.''25'!R15&lt;1,"0",'Entries March.''25'!R16-'Entries March.''25'!R15)</f>
        <v>0</v>
      </c>
      <c r="L15" s="32" t="str">
        <f>IF('Entries March.''25'!T16-'Entries March.''25'!T15&lt;1,"0",'Entries March.''25'!T16-'Entries March.''25'!T15)</f>
        <v>0</v>
      </c>
      <c r="M15" s="32" t="str">
        <f>IF('Entries March.''25'!U16-'Entries March.''25'!U15&lt;1,"0",'Entries March.''25'!U16-'Entries March.''25'!U15)</f>
        <v>0</v>
      </c>
      <c r="N15" s="32" t="str">
        <f>IF('Entries March.''25'!X16-'Entries March.''25'!X15&lt;1,"0",'Entries March.''25'!X16-'Entries March.''25'!X15)</f>
        <v>0</v>
      </c>
      <c r="O15" s="32" t="str">
        <f>IF('Entries March.''25'!Y16-'Entries March.''25'!Y15&lt;1,"0",'Entries March.''25'!Y16-'Entries March.''25'!Y15)</f>
        <v>0</v>
      </c>
      <c r="P15" s="32" t="str">
        <f>IF('Entries March.''25'!AC16-'Entries March.''25'!AC15&lt;1,"0",'Entries March.''25'!AC16-'Entries March.''25'!AC15)</f>
        <v>0</v>
      </c>
      <c r="Q15" s="32">
        <f>IF('Entries March.''25'!Z16-'Entries March.''25'!Z15&lt;1,"0",'Entries March.''25'!Z16-'Entries March.''25'!Z15)</f>
        <v>1</v>
      </c>
      <c r="R15" s="32" t="str">
        <f>IF(('Entries March.''25'!AA16-'Entries March.''25'!AA15)+('Entries March.''25'!AB16-'Entries March.''25'!AB15)&lt;1,"0",('Entries March.''25'!AA16-'Entries March.''25'!AA15)+('Entries March.''25'!AB16-'Entries March.''25'!AB15))</f>
        <v>0</v>
      </c>
      <c r="S15" s="80">
        <f t="shared" si="1"/>
        <v>760</v>
      </c>
      <c r="T15" s="80">
        <f t="shared" si="2"/>
        <v>0</v>
      </c>
      <c r="U15" s="32" t="str">
        <f>IF('Entries March.''25'!AC16-'Entries March.''25'!AC15&lt;1,"0",'Entries March.''25'!AC16-'Entries March.''25'!AC15)</f>
        <v>0</v>
      </c>
      <c r="V15" s="32" t="str">
        <f>IF('Entries March.''25'!AD16-'Entries March.''25'!AD15&lt;1,"0",'Entries March.''25'!AD16-'Entries March.''25'!AD15)</f>
        <v>0</v>
      </c>
      <c r="W15" s="32" t="str">
        <f>IF('Entries March.''25'!AE16-'Entries March.''25'!AE15&lt;1,"0",'Entries March.''25'!AE16-'Entries March.''25'!AE15)</f>
        <v>0</v>
      </c>
      <c r="X15" s="109" t="str">
        <f>IF('Entries March.''25'!AI16-'Entries March.''25'!AI15&lt;1,"0",'Entries March.''25'!AI16-'Entries March.''25'!AI15)</f>
        <v>0</v>
      </c>
      <c r="Y15" s="109" t="str">
        <f>IF('Entries March.''25'!AH16-'Entries March.''25'!AH15&lt;1,"0",'Entries March.''25'!AH16-'Entries March.''25'!AH15)</f>
        <v>0</v>
      </c>
      <c r="Z15" s="612">
        <f t="shared" si="3"/>
        <v>98</v>
      </c>
      <c r="AA15" s="613" t="str">
        <v>0</v>
      </c>
      <c r="AB15" s="614" t="str">
        <f t="shared" si="4"/>
        <v>0</v>
      </c>
    </row>
    <row r="16" spans="1:31" x14ac:dyDescent="0.2">
      <c r="B16" s="79">
        <v>10</v>
      </c>
      <c r="C16" s="80" t="str">
        <f>IF('Entries March.''25'!W17-'Entries March.''25'!W16&lt;1,"0",'Entries March.''25'!W17-'Entries March.''25'!W16)</f>
        <v>0</v>
      </c>
      <c r="D16" s="32">
        <f>IF('Entries March.''25'!O17-'Entries March.''25'!O16&lt;1,"0",'Entries March.''25'!O17-'Entries March.''25'!O16)</f>
        <v>65</v>
      </c>
      <c r="E16" s="32">
        <f>IF('Entries March.''25'!P17-'Entries March.''25'!P16&lt;1,"0",'Entries March.''25'!P17-'Entries March.''25'!P16)</f>
        <v>95</v>
      </c>
      <c r="F16" s="32">
        <f>IF('Entries March.''25'!V17-'Entries March.''25'!V16&lt;1,"0",'Entries March.''25'!V17-'Entries March.''25'!V16)</f>
        <v>152</v>
      </c>
      <c r="G16" s="32">
        <f t="shared" si="0"/>
        <v>8</v>
      </c>
      <c r="H16" s="32">
        <f>IF('Entries March.''25'!Q17-'Entries March.''25'!Q16&lt;1,0,'Entries March.''25'!Q17-'Entries March.''25'!Q16)</f>
        <v>165</v>
      </c>
      <c r="I16" s="32">
        <f>IF('Entries March.''25'!AG17-'Entries March.''25'!AG16&lt;1,0,'Entries March.''25'!AG17-'Entries March.''25'!AG16)</f>
        <v>0</v>
      </c>
      <c r="J16" s="32">
        <f>IF('Entries March.''25'!S17-'Entries March.''25'!S16&lt;1,"0",'Entries March.''25'!S17-'Entries March.''25'!S16)</f>
        <v>191</v>
      </c>
      <c r="K16" s="32" t="str">
        <f>IF('Entries March.''25'!R17-'Entries March.''25'!R16&lt;1,"0",'Entries March.''25'!R17-'Entries March.''25'!R16)</f>
        <v>0</v>
      </c>
      <c r="L16" s="32" t="str">
        <f>IF('Entries March.''25'!T17-'Entries March.''25'!T16&lt;1,"0",'Entries March.''25'!T17-'Entries March.''25'!T16)</f>
        <v>0</v>
      </c>
      <c r="M16" s="32">
        <f>IF('Entries March.''25'!U17-'Entries March.''25'!U16&lt;1,"0",'Entries March.''25'!U17-'Entries March.''25'!U16)</f>
        <v>22</v>
      </c>
      <c r="N16" s="32">
        <f>IF('Entries March.''25'!X17-'Entries March.''25'!X16&lt;1,"0",'Entries March.''25'!X17-'Entries March.''25'!X16)</f>
        <v>59</v>
      </c>
      <c r="O16" s="32">
        <f>IF('Entries March.''25'!Y17-'Entries March.''25'!Y16&lt;1,"0",'Entries March.''25'!Y17-'Entries March.''25'!Y16)</f>
        <v>39</v>
      </c>
      <c r="P16" s="32">
        <f>IF('Entries March.''25'!AC17-'Entries March.''25'!AC16&lt;1,"0",'Entries March.''25'!AC17-'Entries March.''25'!AC16)</f>
        <v>14</v>
      </c>
      <c r="Q16" s="32">
        <f>IF('Entries March.''25'!Z17-'Entries March.''25'!Z16&lt;1,"0",'Entries March.''25'!Z17-'Entries March.''25'!Z16)</f>
        <v>26</v>
      </c>
      <c r="R16" s="32" t="str">
        <f>IF(('Entries March.''25'!AA17-'Entries March.''25'!AA16)+('Entries March.''25'!AB17-'Entries March.''25'!AB16)&lt;1,"0",('Entries March.''25'!AA17-'Entries March.''25'!AA16)+('Entries March.''25'!AB17-'Entries March.''25'!AB16))</f>
        <v>0</v>
      </c>
      <c r="S16" s="80">
        <f t="shared" si="1"/>
        <v>80</v>
      </c>
      <c r="T16" s="80">
        <f t="shared" si="2"/>
        <v>120</v>
      </c>
      <c r="U16" s="32">
        <f>IF('Entries March.''25'!AC17-'Entries March.''25'!AC16&lt;1,"0",'Entries March.''25'!AC17-'Entries March.''25'!AC16)</f>
        <v>14</v>
      </c>
      <c r="V16" s="32" t="str">
        <f>IF('Entries March.''25'!AD17-'Entries March.''25'!AD16&lt;1,"0",'Entries March.''25'!AD17-'Entries March.''25'!AD16)</f>
        <v>0</v>
      </c>
      <c r="W16" s="32" t="str">
        <f>IF('Entries March.''25'!AE17-'Entries March.''25'!AE16&lt;1,"0",'Entries March.''25'!AE17-'Entries March.''25'!AE16)</f>
        <v>0</v>
      </c>
      <c r="X16" s="109" t="str">
        <f>IF('Entries March.''25'!AI17-'Entries March.''25'!AI16&lt;1,"0",'Entries March.''25'!AI17-'Entries March.''25'!AI16)</f>
        <v>0</v>
      </c>
      <c r="Y16" s="109" t="str">
        <f>IF('Entries March.''25'!AH17-'Entries March.''25'!AH16&lt;1,"0",'Entries March.''25'!AH17-'Entries March.''25'!AH16)</f>
        <v>0</v>
      </c>
      <c r="Z16" s="612">
        <f t="shared" si="3"/>
        <v>160</v>
      </c>
      <c r="AA16" s="613">
        <v>228.36</v>
      </c>
      <c r="AB16" s="614">
        <f t="shared" si="4"/>
        <v>7.0064809949203006</v>
      </c>
    </row>
    <row r="17" spans="1:32" x14ac:dyDescent="0.2">
      <c r="B17" s="79">
        <v>11</v>
      </c>
      <c r="C17" s="80" t="str">
        <f>IF('Entries March.''25'!W18-'Entries March.''25'!W17&lt;1,"0",'Entries March.''25'!W18-'Entries March.''25'!W17)</f>
        <v>0</v>
      </c>
      <c r="D17" s="32">
        <f>IF('Entries March.''25'!O18-'Entries March.''25'!O17&lt;1,"0",'Entries March.''25'!O18-'Entries March.''25'!O17)</f>
        <v>248</v>
      </c>
      <c r="E17" s="32">
        <f>IF('Entries March.''25'!P18-'Entries March.''25'!P17&lt;1,"0",'Entries March.''25'!P18-'Entries March.''25'!P17)</f>
        <v>118</v>
      </c>
      <c r="F17" s="32" t="str">
        <f>IF('Entries March.''25'!V18-'Entries March.''25'!V17&lt;1,"0",'Entries March.''25'!V18-'Entries March.''25'!V17)</f>
        <v>0</v>
      </c>
      <c r="G17" s="32">
        <f t="shared" si="0"/>
        <v>366</v>
      </c>
      <c r="H17" s="32">
        <f>IF('Entries March.''25'!Q18-'Entries March.''25'!Q17&lt;1,0,'Entries March.''25'!Q18-'Entries March.''25'!Q17)</f>
        <v>122</v>
      </c>
      <c r="I17" s="32">
        <f>IF('Entries March.''25'!AG18-'Entries March.''25'!AG17&lt;1,0,'Entries March.''25'!AG18-'Entries March.''25'!AG17)</f>
        <v>0</v>
      </c>
      <c r="J17" s="32">
        <f>IF('Entries March.''25'!S18-'Entries March.''25'!S17&lt;1,"0",'Entries March.''25'!S18-'Entries March.''25'!S17)</f>
        <v>148</v>
      </c>
      <c r="K17" s="32" t="str">
        <f>IF('Entries March.''25'!R18-'Entries March.''25'!R17&lt;1,"0",'Entries March.''25'!R18-'Entries March.''25'!R17)</f>
        <v>0</v>
      </c>
      <c r="L17" s="32" t="str">
        <f>IF('Entries March.''25'!T18-'Entries March.''25'!T17&lt;1,"0",'Entries March.''25'!T18-'Entries March.''25'!T17)</f>
        <v>0</v>
      </c>
      <c r="M17" s="32">
        <f>IF('Entries March.''25'!U18-'Entries March.''25'!U17&lt;1,"0",'Entries March.''25'!U18-'Entries March.''25'!U17)</f>
        <v>3</v>
      </c>
      <c r="N17" s="32">
        <f>IF('Entries March.''25'!X18-'Entries March.''25'!X17&lt;1,"0",'Entries March.''25'!X18-'Entries March.''25'!X17)</f>
        <v>19</v>
      </c>
      <c r="O17" s="32">
        <f>IF('Entries March.''25'!Y18-'Entries March.''25'!Y17&lt;1,"0",'Entries March.''25'!Y18-'Entries March.''25'!Y17)</f>
        <v>35</v>
      </c>
      <c r="P17" s="32">
        <f>IF('Entries March.''25'!AC18-'Entries March.''25'!AC17&lt;1,"0",'Entries March.''25'!AC18-'Entries March.''25'!AC17)</f>
        <v>14</v>
      </c>
      <c r="Q17" s="32">
        <f>IF('Entries March.''25'!Z18-'Entries March.''25'!Z17&lt;1,"0",'Entries March.''25'!Z18-'Entries March.''25'!Z17)</f>
        <v>36</v>
      </c>
      <c r="R17" s="32" t="str">
        <f>IF(('Entries March.''25'!AA18-'Entries March.''25'!AA17)+('Entries March.''25'!AB18-'Entries March.''25'!AB17)&lt;1,"0",('Entries March.''25'!AA18-'Entries March.''25'!AA17)+('Entries March.''25'!AB18-'Entries March.''25'!AB17))</f>
        <v>0</v>
      </c>
      <c r="S17" s="80">
        <f t="shared" si="1"/>
        <v>3660</v>
      </c>
      <c r="T17" s="80">
        <f t="shared" si="2"/>
        <v>57</v>
      </c>
      <c r="U17" s="32">
        <f>IF('Entries March.''25'!AC18-'Entries March.''25'!AC17&lt;1,"0",'Entries March.''25'!AC18-'Entries March.''25'!AC17)</f>
        <v>14</v>
      </c>
      <c r="V17" s="32" t="str">
        <f>IF('Entries March.''25'!AD18-'Entries March.''25'!AD17&lt;1,"0",'Entries March.''25'!AD18-'Entries March.''25'!AD17)</f>
        <v>0</v>
      </c>
      <c r="W17" s="32" t="str">
        <f>IF('Entries March.''25'!AE18-'Entries March.''25'!AE17&lt;1,"0",'Entries March.''25'!AE18-'Entries March.''25'!AE17)</f>
        <v>0</v>
      </c>
      <c r="X17" s="109" t="str">
        <f>IF('Entries March.''25'!AI18-'Entries March.''25'!AI17&lt;1,"0",'Entries March.''25'!AI18-'Entries March.''25'!AI17)</f>
        <v>0</v>
      </c>
      <c r="Y17" s="109" t="str">
        <f>IF('Entries March.''25'!AH18-'Entries March.''25'!AH17&lt;1,"0",'Entries March.''25'!AH18-'Entries March.''25'!AH17)</f>
        <v>0</v>
      </c>
      <c r="Z17" s="612">
        <f t="shared" si="3"/>
        <v>366</v>
      </c>
      <c r="AA17" s="613">
        <v>187.11</v>
      </c>
      <c r="AB17" s="614">
        <f t="shared" si="4"/>
        <v>19.560686227352893</v>
      </c>
    </row>
    <row r="18" spans="1:32" x14ac:dyDescent="0.2">
      <c r="B18" s="79">
        <v>12</v>
      </c>
      <c r="C18" s="80" t="str">
        <f>IF('Entries March.''25'!W19-'Entries March.''25'!W18&lt;1,"0",'Entries March.''25'!W19-'Entries March.''25'!W18)</f>
        <v>0</v>
      </c>
      <c r="D18" s="32">
        <f>IF('Entries March.''25'!O19-'Entries March.''25'!O18&lt;1,"0",'Entries March.''25'!O19-'Entries March.''25'!O18)</f>
        <v>132</v>
      </c>
      <c r="E18" s="32">
        <f>IF('Entries March.''25'!P19-'Entries March.''25'!P18&lt;1,"0",'Entries March.''25'!P19-'Entries March.''25'!P18)</f>
        <v>184</v>
      </c>
      <c r="F18" s="32">
        <f>IF('Entries March.''25'!V19-'Entries March.''25'!V18&lt;1,"0",'Entries March.''25'!V19-'Entries March.''25'!V18)</f>
        <v>113</v>
      </c>
      <c r="G18" s="32">
        <f t="shared" si="0"/>
        <v>203</v>
      </c>
      <c r="H18" s="32">
        <f>IF('Entries March.''25'!Q19-'Entries March.''25'!Q18&lt;1,0,'Entries March.''25'!Q19-'Entries March.''25'!Q18)</f>
        <v>154</v>
      </c>
      <c r="I18" s="32">
        <f>IF('Entries March.''25'!AG19-'Entries March.''25'!AG18&lt;1,0,'Entries March.''25'!AG19-'Entries March.''25'!AG18)</f>
        <v>0</v>
      </c>
      <c r="J18" s="32">
        <f>IF('Entries March.''25'!S19-'Entries March.''25'!S18&lt;1,"0",'Entries March.''25'!S19-'Entries March.''25'!S18)</f>
        <v>191</v>
      </c>
      <c r="K18" s="32" t="str">
        <f>IF('Entries March.''25'!R19-'Entries March.''25'!R18&lt;1,"0",'Entries March.''25'!R19-'Entries March.''25'!R18)</f>
        <v>0</v>
      </c>
      <c r="L18" s="32" t="str">
        <f>IF('Entries March.''25'!T19-'Entries March.''25'!T18&lt;1,"0",'Entries March.''25'!T19-'Entries March.''25'!T18)</f>
        <v>0</v>
      </c>
      <c r="M18" s="32">
        <f>IF('Entries March.''25'!U19-'Entries March.''25'!U18&lt;1,"0",'Entries March.''25'!U19-'Entries March.''25'!U18)</f>
        <v>3</v>
      </c>
      <c r="N18" s="32">
        <f>IF('Entries March.''25'!X19-'Entries March.''25'!X18&lt;1,"0",'Entries March.''25'!X19-'Entries March.''25'!X18)</f>
        <v>42</v>
      </c>
      <c r="O18" s="32">
        <f>IF('Entries March.''25'!Y19-'Entries March.''25'!Y18&lt;1,"0",'Entries March.''25'!Y19-'Entries March.''25'!Y18)</f>
        <v>41</v>
      </c>
      <c r="P18" s="32">
        <f>IF('Entries March.''25'!AC19-'Entries March.''25'!AC18&lt;1,"0",'Entries March.''25'!AC19-'Entries March.''25'!AC18)</f>
        <v>8</v>
      </c>
      <c r="Q18" s="32">
        <f>IF('Entries March.''25'!Z19-'Entries March.''25'!Z18&lt;1,"0",'Entries March.''25'!Z19-'Entries March.''25'!Z18)</f>
        <v>38</v>
      </c>
      <c r="R18" s="32" t="str">
        <f>IF(('Entries March.''25'!AA19-'Entries March.''25'!AA18)+('Entries March.''25'!AB19-'Entries March.''25'!AB18)&lt;1,"0",('Entries March.''25'!AA19-'Entries March.''25'!AA18)+('Entries March.''25'!AB19-'Entries March.''25'!AB18))</f>
        <v>0</v>
      </c>
      <c r="S18" s="80">
        <f t="shared" si="1"/>
        <v>2030</v>
      </c>
      <c r="T18" s="80">
        <f t="shared" si="2"/>
        <v>86</v>
      </c>
      <c r="U18" s="32">
        <f>IF('Entries March.''25'!AC19-'Entries March.''25'!AC18&lt;1,"0",'Entries March.''25'!AC19-'Entries March.''25'!AC18)</f>
        <v>8</v>
      </c>
      <c r="V18" s="32">
        <f>IF('Entries March.''25'!AD19-'Entries March.''25'!AD18&lt;1,"0",'Entries March.''25'!AD19-'Entries March.''25'!AD18)</f>
        <v>1</v>
      </c>
      <c r="W18" s="32" t="str">
        <f>IF('Entries March.''25'!AE19-'Entries March.''25'!AE18&lt;1,"0",'Entries March.''25'!AE19-'Entries March.''25'!AE18)</f>
        <v>0</v>
      </c>
      <c r="X18" s="109" t="str">
        <f>IF('Entries March.''25'!AI19-'Entries March.''25'!AI18&lt;1,"0",'Entries March.''25'!AI19-'Entries March.''25'!AI18)</f>
        <v>0</v>
      </c>
      <c r="Y18" s="109" t="str">
        <f>IF('Entries March.''25'!AH19-'Entries March.''25'!AH18&lt;1,"0",'Entries March.''25'!AH19-'Entries March.''25'!AH18)</f>
        <v>0</v>
      </c>
      <c r="Z18" s="612">
        <f t="shared" si="3"/>
        <v>316</v>
      </c>
      <c r="AA18" s="613">
        <v>135.036</v>
      </c>
      <c r="AB18" s="614">
        <f t="shared" si="4"/>
        <v>23.401167096181759</v>
      </c>
    </row>
    <row r="19" spans="1:32" x14ac:dyDescent="0.2">
      <c r="A19" s="30"/>
      <c r="B19" s="79">
        <v>13</v>
      </c>
      <c r="C19" s="80" t="str">
        <f>IF('Entries March.''25'!W20-'Entries March.''25'!W19&lt;1,"0",'Entries March.''25'!W20-'Entries March.''25'!W19)</f>
        <v>0</v>
      </c>
      <c r="D19" s="32">
        <f>IF('Entries March.''25'!O20-'Entries March.''25'!O19&lt;1,"0",'Entries March.''25'!O20-'Entries March.''25'!O19)</f>
        <v>5</v>
      </c>
      <c r="E19" s="32">
        <f>IF('Entries March.''25'!P20-'Entries March.''25'!P19&lt;1,"0",'Entries March.''25'!P20-'Entries March.''25'!P19)</f>
        <v>253</v>
      </c>
      <c r="F19" s="32" t="str">
        <f>IF('Entries March.''25'!V20-'Entries March.''25'!V19&lt;1,"0",'Entries March.''25'!V20-'Entries March.''25'!V19)</f>
        <v>0</v>
      </c>
      <c r="G19" s="32">
        <f t="shared" si="0"/>
        <v>258</v>
      </c>
      <c r="H19" s="32">
        <f>IF('Entries March.''25'!Q20-'Entries March.''25'!Q19&lt;1,0,'Entries March.''25'!Q20-'Entries March.''25'!Q19)</f>
        <v>167</v>
      </c>
      <c r="I19" s="32">
        <f>IF('Entries March.''25'!AG20-'Entries March.''25'!AG19&lt;1,0,'Entries March.''25'!AG20-'Entries March.''25'!AG19)</f>
        <v>0</v>
      </c>
      <c r="J19" s="32">
        <f>IF('Entries March.''25'!S20-'Entries March.''25'!S19&lt;1,"0",'Entries March.''25'!S20-'Entries March.''25'!S19)</f>
        <v>248</v>
      </c>
      <c r="K19" s="32" t="str">
        <f>IF('Entries March.''25'!R20-'Entries March.''25'!R19&lt;1,"0",'Entries March.''25'!R20-'Entries March.''25'!R19)</f>
        <v>0</v>
      </c>
      <c r="L19" s="32" t="str">
        <f>IF('Entries March.''25'!T20-'Entries March.''25'!T19&lt;1,"0",'Entries March.''25'!T20-'Entries March.''25'!T19)</f>
        <v>0</v>
      </c>
      <c r="M19" s="32" t="str">
        <f>IF('Entries March.''25'!U20-'Entries March.''25'!U19&lt;1,"0",'Entries March.''25'!U20-'Entries March.''25'!U19)</f>
        <v>0</v>
      </c>
      <c r="N19" s="32">
        <f>IF('Entries March.''25'!X20-'Entries March.''25'!X19&lt;1,"0",'Entries March.''25'!X20-'Entries March.''25'!X19)</f>
        <v>46</v>
      </c>
      <c r="O19" s="32">
        <f>IF('Entries March.''25'!Y20-'Entries March.''25'!Y19&lt;1,"0",'Entries March.''25'!Y20-'Entries March.''25'!Y19)</f>
        <v>59</v>
      </c>
      <c r="P19" s="32">
        <f>IF('Entries March.''25'!AC20-'Entries March.''25'!AC19&lt;1,"0",'Entries March.''25'!AC20-'Entries March.''25'!AC19)</f>
        <v>14</v>
      </c>
      <c r="Q19" s="32">
        <f>IF('Entries March.''25'!Z20-'Entries March.''25'!Z19&lt;1,"0",'Entries March.''25'!Z20-'Entries March.''25'!Z19)</f>
        <v>60</v>
      </c>
      <c r="R19" s="32" t="str">
        <f>IF(('Entries March.''25'!AA20-'Entries March.''25'!AA19)+('Entries March.''25'!AB20-'Entries March.''25'!AB19)&lt;1,"0",('Entries March.''25'!AA20-'Entries March.''25'!AA19)+('Entries March.''25'!AB20-'Entries March.''25'!AB19))</f>
        <v>0</v>
      </c>
      <c r="S19" s="80">
        <f t="shared" si="1"/>
        <v>2580</v>
      </c>
      <c r="T19" s="80">
        <f t="shared" si="2"/>
        <v>105</v>
      </c>
      <c r="U19" s="32">
        <f>IF('Entries March.''25'!AC20-'Entries March.''25'!AC19&lt;1,"0",'Entries March.''25'!AC20-'Entries March.''25'!AC19)</f>
        <v>14</v>
      </c>
      <c r="V19" s="32" t="str">
        <f>IF('Entries March.''25'!AD20-'Entries March.''25'!AD19&lt;1,"0",'Entries March.''25'!AD20-'Entries March.''25'!AD19)</f>
        <v>0</v>
      </c>
      <c r="W19" s="32" t="str">
        <f>IF('Entries March.''25'!AE20-'Entries March.''25'!AE19&lt;1,"0",'Entries March.''25'!AE20-'Entries March.''25'!AE19)</f>
        <v>0</v>
      </c>
      <c r="X19" s="109" t="str">
        <f>IF('Entries March.''25'!AI20-'Entries March.''25'!AI19&lt;1,"0",'Entries March.''25'!AI20-'Entries March.''25'!AI19)</f>
        <v>0</v>
      </c>
      <c r="Y19" s="109" t="str">
        <f>IF('Entries March.''25'!AH20-'Entries March.''25'!AH19&lt;1,"0",'Entries March.''25'!AH20-'Entries March.''25'!AH19)</f>
        <v>0</v>
      </c>
      <c r="Z19" s="612">
        <f t="shared" si="3"/>
        <v>258</v>
      </c>
      <c r="AA19" s="613">
        <v>360.62400000000002</v>
      </c>
      <c r="AB19" s="614">
        <f t="shared" si="4"/>
        <v>7.1542659390389982</v>
      </c>
    </row>
    <row r="20" spans="1:32" x14ac:dyDescent="0.2">
      <c r="A20" s="30"/>
      <c r="B20" s="79">
        <v>14</v>
      </c>
      <c r="C20" s="80" t="str">
        <f>IF('Entries March.''25'!W21-'Entries March.''25'!W20&lt;1,"0",'Entries March.''25'!W21-'Entries March.''25'!W20)</f>
        <v>0</v>
      </c>
      <c r="D20" s="32">
        <f>IF('Entries March.''25'!O21-'Entries March.''25'!O20&lt;1,"0",'Entries March.''25'!O21-'Entries March.''25'!O20)</f>
        <v>226</v>
      </c>
      <c r="E20" s="32">
        <f>IF('Entries March.''25'!P21-'Entries March.''25'!P20&lt;1,"0",'Entries March.''25'!P21-'Entries March.''25'!P20)</f>
        <v>251</v>
      </c>
      <c r="F20" s="32">
        <f>IF('Entries March.''25'!V21-'Entries March.''25'!V20&lt;1,"0",'Entries March.''25'!V21-'Entries March.''25'!V20)</f>
        <v>171</v>
      </c>
      <c r="G20" s="32">
        <f t="shared" si="0"/>
        <v>306</v>
      </c>
      <c r="H20" s="32">
        <f>IF('Entries March.''25'!Q21-'Entries March.''25'!Q20&lt;1,0,'Entries March.''25'!Q21-'Entries March.''25'!Q20)</f>
        <v>141</v>
      </c>
      <c r="I20" s="32">
        <f>IF('Entries March.''25'!AG21-'Entries March.''25'!AG20&lt;1,0,'Entries March.''25'!AG21-'Entries March.''25'!AG20)</f>
        <v>0</v>
      </c>
      <c r="J20" s="32">
        <f>IF('Entries March.''25'!S21-'Entries March.''25'!S20&lt;1,"0",'Entries March.''25'!S21-'Entries March.''25'!S20)</f>
        <v>158</v>
      </c>
      <c r="K20" s="32" t="str">
        <f>IF('Entries March.''25'!R21-'Entries March.''25'!R20&lt;1,"0",'Entries March.''25'!R21-'Entries March.''25'!R20)</f>
        <v>0</v>
      </c>
      <c r="L20" s="32" t="str">
        <f>IF('Entries March.''25'!T21-'Entries March.''25'!T20&lt;1,"0",'Entries March.''25'!T21-'Entries March.''25'!T20)</f>
        <v>0</v>
      </c>
      <c r="M20" s="32" t="str">
        <f>IF('Entries March.''25'!U21-'Entries March.''25'!U20&lt;1,"0",'Entries March.''25'!U21-'Entries March.''25'!U20)</f>
        <v>0</v>
      </c>
      <c r="N20" s="32">
        <f>IF('Entries March.''25'!X21-'Entries March.''25'!X20&lt;1,"0",'Entries March.''25'!X21-'Entries March.''25'!X20)</f>
        <v>37</v>
      </c>
      <c r="O20" s="32">
        <f>IF('Entries March.''25'!Y21-'Entries March.''25'!Y20&lt;1,"0",'Entries March.''25'!Y21-'Entries March.''25'!Y20)</f>
        <v>47</v>
      </c>
      <c r="P20" s="32">
        <f>IF('Entries March.''25'!AC21-'Entries March.''25'!AC20&lt;1,"0",'Entries March.''25'!AC21-'Entries March.''25'!AC20)</f>
        <v>11</v>
      </c>
      <c r="Q20" s="32">
        <f>IF('Entries March.''25'!Z21-'Entries March.''25'!Z20&lt;1,"0",'Entries March.''25'!Z21-'Entries March.''25'!Z20)</f>
        <v>37</v>
      </c>
      <c r="R20" s="32" t="str">
        <f>IF(('Entries March.''25'!AA21-'Entries March.''25'!AA20)+('Entries March.''25'!AB21-'Entries March.''25'!AB20)&lt;1,"0",('Entries March.''25'!AA21-'Entries March.''25'!AA20)+('Entries March.''25'!AB21-'Entries March.''25'!AB20))</f>
        <v>0</v>
      </c>
      <c r="S20" s="80">
        <f t="shared" si="1"/>
        <v>3060</v>
      </c>
      <c r="T20" s="80">
        <f t="shared" si="2"/>
        <v>84</v>
      </c>
      <c r="U20" s="32">
        <f>IF('Entries March.''25'!AC21-'Entries March.''25'!AC20&lt;1,"0",'Entries March.''25'!AC21-'Entries March.''25'!AC20)</f>
        <v>11</v>
      </c>
      <c r="V20" s="32">
        <f>IF('Entries March.''25'!AD21-'Entries March.''25'!AD20&lt;1,"0",'Entries March.''25'!AD21-'Entries March.''25'!AD20)</f>
        <v>1</v>
      </c>
      <c r="W20" s="32" t="str">
        <f>IF('Entries March.''25'!AE21-'Entries March.''25'!AE20&lt;1,"0",'Entries March.''25'!AE21-'Entries March.''25'!AE20)</f>
        <v>0</v>
      </c>
      <c r="X20" s="109" t="str">
        <f>IF('Entries March.''25'!AI21-'Entries March.''25'!AI20&lt;1,"0",'Entries March.''25'!AI21-'Entries March.''25'!AI20)</f>
        <v>0</v>
      </c>
      <c r="Y20" s="109" t="str">
        <f>IF('Entries March.''25'!AH21-'Entries March.''25'!AH20&lt;1,"0",'Entries March.''25'!AH21-'Entries March.''25'!AH20)</f>
        <v>0</v>
      </c>
      <c r="Z20" s="612">
        <f t="shared" si="3"/>
        <v>477</v>
      </c>
      <c r="AA20" s="613">
        <v>272.44800000000004</v>
      </c>
      <c r="AB20" s="614">
        <f t="shared" si="4"/>
        <v>17.507928118393231</v>
      </c>
    </row>
    <row r="21" spans="1:32" ht="14.25" customHeight="1" x14ac:dyDescent="0.2">
      <c r="B21" s="79">
        <v>15</v>
      </c>
      <c r="C21" s="80" t="str">
        <f>IF('Entries March.''25'!W22-'Entries March.''25'!W21&lt;1,"0",'Entries March.''25'!W22-'Entries March.''25'!W21)</f>
        <v>0</v>
      </c>
      <c r="D21" s="32">
        <f>IF('Entries March.''25'!O22-'Entries March.''25'!O21&lt;1,"0",'Entries March.''25'!O22-'Entries March.''25'!O21)</f>
        <v>36</v>
      </c>
      <c r="E21" s="32">
        <f>IF('Entries March.''25'!P22-'Entries March.''25'!P21&lt;1,"0",'Entries March.''25'!P22-'Entries March.''25'!P21)</f>
        <v>80</v>
      </c>
      <c r="F21" s="32">
        <f>IF('Entries March.''25'!V22-'Entries March.''25'!V21&lt;1,"0",'Entries March.''25'!V22-'Entries March.''25'!V21)</f>
        <v>82</v>
      </c>
      <c r="G21" s="32">
        <f t="shared" si="0"/>
        <v>34</v>
      </c>
      <c r="H21" s="32">
        <f>IF('Entries March.''25'!Q22-'Entries March.''25'!Q21&lt;1,0,'Entries March.''25'!Q22-'Entries March.''25'!Q21)</f>
        <v>13</v>
      </c>
      <c r="I21" s="32">
        <f>IF('Entries March.''25'!AG22-'Entries March.''25'!AG21&lt;1,0,'Entries March.''25'!AG22-'Entries March.''25'!AG21)</f>
        <v>0</v>
      </c>
      <c r="J21" s="32" t="str">
        <f>IF('Entries March.''25'!S22-'Entries March.''25'!S21&lt;1,"0",'Entries March.''25'!S22-'Entries March.''25'!S21)</f>
        <v>0</v>
      </c>
      <c r="K21" s="32" t="str">
        <f>IF('Entries March.''25'!R22-'Entries March.''25'!R21&lt;1,"0",'Entries March.''25'!R22-'Entries March.''25'!R21)</f>
        <v>0</v>
      </c>
      <c r="L21" s="32" t="str">
        <f>IF('Entries March.''25'!T22-'Entries March.''25'!T21&lt;1,"0",'Entries March.''25'!T22-'Entries March.''25'!T21)</f>
        <v>0</v>
      </c>
      <c r="M21" s="32" t="str">
        <f>IF('Entries March.''25'!U22-'Entries March.''25'!U21&lt;1,"0",'Entries March.''25'!U22-'Entries March.''25'!U21)</f>
        <v>0</v>
      </c>
      <c r="N21" s="32" t="str">
        <f>IF('Entries March.''25'!X22-'Entries March.''25'!X21&lt;1,"0",'Entries March.''25'!X22-'Entries March.''25'!X21)</f>
        <v>0</v>
      </c>
      <c r="O21" s="32" t="str">
        <f>IF('Entries March.''25'!Y22-'Entries March.''25'!Y21&lt;1,"0",'Entries March.''25'!Y22-'Entries March.''25'!Y21)</f>
        <v>0</v>
      </c>
      <c r="P21" s="32" t="str">
        <f>IF('Entries March.''25'!AC22-'Entries March.''25'!AC21&lt;1,"0",'Entries March.''25'!AC22-'Entries March.''25'!AC21)</f>
        <v>0</v>
      </c>
      <c r="Q21" s="32">
        <f>IF('Entries March.''25'!Z22-'Entries March.''25'!Z21&lt;1,"0",'Entries March.''25'!Z22-'Entries March.''25'!Z21)</f>
        <v>3</v>
      </c>
      <c r="R21" s="32" t="str">
        <f>IF(('Entries March.''25'!AA22-'Entries March.''25'!AA21)+('Entries March.''25'!AB22-'Entries March.''25'!AB21)&lt;1,"0",('Entries March.''25'!AA22-'Entries March.''25'!AA21)+('Entries March.''25'!AB22-'Entries March.''25'!AB21))</f>
        <v>0</v>
      </c>
      <c r="S21" s="80">
        <f t="shared" si="1"/>
        <v>340</v>
      </c>
      <c r="T21" s="80">
        <f t="shared" si="2"/>
        <v>0</v>
      </c>
      <c r="U21" s="32" t="str">
        <f>IF('Entries March.''25'!AC22-'Entries March.''25'!AC21&lt;1,"0",'Entries March.''25'!AC22-'Entries March.''25'!AC21)</f>
        <v>0</v>
      </c>
      <c r="V21" s="32" t="str">
        <f>IF('Entries March.''25'!AD22-'Entries March.''25'!AD21&lt;1,"0",'Entries March.''25'!AD22-'Entries March.''25'!AD21)</f>
        <v>0</v>
      </c>
      <c r="W21" s="32" t="str">
        <f>IF('Entries March.''25'!AE22-'Entries March.''25'!AE21&lt;1,"0",'Entries March.''25'!AE22-'Entries March.''25'!AE21)</f>
        <v>0</v>
      </c>
      <c r="X21" s="109" t="str">
        <f>IF('Entries March.''25'!AI22-'Entries March.''25'!AI21&lt;1,"0",'Entries March.''25'!AI22-'Entries March.''25'!AI21)</f>
        <v>0</v>
      </c>
      <c r="Y21" s="109" t="str">
        <f>IF('Entries March.''25'!AH22-'Entries March.''25'!AH21&lt;1,"0",'Entries March.''25'!AH22-'Entries March.''25'!AH21)</f>
        <v>0</v>
      </c>
      <c r="Z21" s="612">
        <f t="shared" si="3"/>
        <v>116</v>
      </c>
      <c r="AA21" s="613" t="str">
        <v>0</v>
      </c>
      <c r="AB21" s="614" t="str">
        <f t="shared" si="4"/>
        <v>0</v>
      </c>
    </row>
    <row r="22" spans="1:32" x14ac:dyDescent="0.2">
      <c r="B22" s="79">
        <v>16</v>
      </c>
      <c r="C22" s="80" t="str">
        <f>IF('Entries March.''25'!W23-'Entries March.''25'!W22&lt;1,"0",'Entries March.''25'!W23-'Entries March.''25'!W22)</f>
        <v>0</v>
      </c>
      <c r="D22" s="32">
        <f>IF('Entries March.''25'!O23-'Entries March.''25'!O22&lt;1,"0",'Entries March.''25'!O23-'Entries March.''25'!O22)</f>
        <v>2</v>
      </c>
      <c r="E22" s="32">
        <f>IF('Entries March.''25'!P23-'Entries March.''25'!P22&lt;1,"0",'Entries March.''25'!P23-'Entries March.''25'!P22)</f>
        <v>96</v>
      </c>
      <c r="F22" s="32">
        <f>IF('Entries March.''25'!V23-'Entries March.''25'!V22&lt;1,"0",'Entries March.''25'!V23-'Entries March.''25'!V22)</f>
        <v>101</v>
      </c>
      <c r="G22" s="32">
        <f t="shared" si="0"/>
        <v>-3</v>
      </c>
      <c r="H22" s="32">
        <f>IF('Entries March.''25'!Q23-'Entries March.''25'!Q22&lt;1,0,'Entries March.''25'!Q23-'Entries March.''25'!Q22)</f>
        <v>110</v>
      </c>
      <c r="I22" s="32">
        <f>IF('Entries March.''25'!AG23-'Entries March.''25'!AG22&lt;1,0,'Entries March.''25'!AG23-'Entries March.''25'!AG22)</f>
        <v>0</v>
      </c>
      <c r="J22" s="32">
        <f>IF('Entries March.''25'!S23-'Entries March.''25'!S22&lt;1,"0",'Entries March.''25'!S23-'Entries March.''25'!S22)</f>
        <v>33</v>
      </c>
      <c r="K22" s="32" t="str">
        <f>IF('Entries March.''25'!R23-'Entries March.''25'!R22&lt;1,"0",'Entries March.''25'!R23-'Entries March.''25'!R22)</f>
        <v>0</v>
      </c>
      <c r="L22" s="32" t="str">
        <f>IF('Entries March.''25'!T23-'Entries March.''25'!T22&lt;1,"0",'Entries March.''25'!T23-'Entries March.''25'!T22)</f>
        <v>0</v>
      </c>
      <c r="M22" s="32" t="str">
        <f>IF('Entries March.''25'!U23-'Entries March.''25'!U22&lt;1,"0",'Entries March.''25'!U23-'Entries March.''25'!U22)</f>
        <v>0</v>
      </c>
      <c r="N22" s="32">
        <f>IF('Entries March.''25'!X23-'Entries March.''25'!X22&lt;1,"0",'Entries March.''25'!X23-'Entries March.''25'!X22)</f>
        <v>16</v>
      </c>
      <c r="O22" s="32">
        <f>IF('Entries March.''25'!Y23-'Entries March.''25'!Y22&lt;1,"0",'Entries March.''25'!Y23-'Entries March.''25'!Y22)</f>
        <v>36</v>
      </c>
      <c r="P22" s="32" t="str">
        <f>IF('Entries March.''25'!AC23-'Entries March.''25'!AC22&lt;1,"0",'Entries March.''25'!AC23-'Entries March.''25'!AC22)</f>
        <v>0</v>
      </c>
      <c r="Q22" s="32">
        <f>IF('Entries March.''25'!Z23-'Entries March.''25'!Z22&lt;1,"0",'Entries March.''25'!Z23-'Entries March.''25'!Z22)</f>
        <v>7</v>
      </c>
      <c r="R22" s="32" t="str">
        <f>IF(('Entries March.''25'!AA23-'Entries March.''25'!AA22)+('Entries March.''25'!AB23-'Entries March.''25'!AB22)&lt;1,"0",('Entries March.''25'!AA23-'Entries March.''25'!AA22)+('Entries March.''25'!AB23-'Entries March.''25'!AB22))</f>
        <v>0</v>
      </c>
      <c r="S22" s="80">
        <f t="shared" si="1"/>
        <v>-30</v>
      </c>
      <c r="T22" s="80">
        <f t="shared" si="2"/>
        <v>52</v>
      </c>
      <c r="U22" s="32" t="str">
        <f>IF('Entries March.''25'!AC23-'Entries March.''25'!AC22&lt;1,"0",'Entries March.''25'!AC23-'Entries March.''25'!AC22)</f>
        <v>0</v>
      </c>
      <c r="V22" s="32" t="str">
        <f>IF('Entries March.''25'!AD23-'Entries March.''25'!AD22&lt;1,"0",'Entries March.''25'!AD23-'Entries March.''25'!AD22)</f>
        <v>0</v>
      </c>
      <c r="W22" s="32" t="str">
        <f>IF('Entries March.''25'!AE23-'Entries March.''25'!AE22&lt;1,"0",'Entries March.''25'!AE23-'Entries March.''25'!AE22)</f>
        <v>0</v>
      </c>
      <c r="X22" s="109" t="str">
        <f>IF('Entries March.''25'!AI23-'Entries March.''25'!AI22&lt;1,"0",'Entries March.''25'!AI23-'Entries March.''25'!AI22)</f>
        <v>0</v>
      </c>
      <c r="Y22" s="109" t="str">
        <f>IF('Entries March.''25'!AH23-'Entries March.''25'!AH22&lt;1,"0",'Entries March.''25'!AH23-'Entries March.''25'!AH22)</f>
        <v>0</v>
      </c>
      <c r="Z22" s="612">
        <f t="shared" si="3"/>
        <v>98</v>
      </c>
      <c r="AA22" s="613" t="str">
        <v>0</v>
      </c>
      <c r="AB22" s="614" t="str">
        <f t="shared" si="4"/>
        <v>0</v>
      </c>
    </row>
    <row r="23" spans="1:32" x14ac:dyDescent="0.2">
      <c r="B23" s="79">
        <v>17</v>
      </c>
      <c r="C23" s="80" t="str">
        <f>IF('Entries March.''25'!W24-'Entries March.''25'!W23&lt;1,"0",'Entries March.''25'!W24-'Entries March.''25'!W23)</f>
        <v>0</v>
      </c>
      <c r="D23" s="32">
        <f>IF('Entries March.''25'!O24-'Entries March.''25'!O23&lt;1,"0",'Entries March.''25'!O24-'Entries March.''25'!O23)</f>
        <v>105</v>
      </c>
      <c r="E23" s="32">
        <f>IF('Entries March.''25'!P24-'Entries March.''25'!P23&lt;1,"0",'Entries March.''25'!P24-'Entries March.''25'!P23)</f>
        <v>133</v>
      </c>
      <c r="F23" s="32">
        <f>IF('Entries March.''25'!V24-'Entries March.''25'!V23&lt;1,"0",'Entries March.''25'!V24-'Entries March.''25'!V23)</f>
        <v>141</v>
      </c>
      <c r="G23" s="32">
        <f t="shared" si="0"/>
        <v>97</v>
      </c>
      <c r="H23" s="32">
        <f>IF('Entries March.''25'!Q24-'Entries March.''25'!Q23&lt;1,0,'Entries March.''25'!Q24-'Entries March.''25'!Q23)</f>
        <v>135</v>
      </c>
      <c r="I23" s="32">
        <f>IF('Entries March.''25'!AG24-'Entries March.''25'!AG23&lt;1,0,'Entries March.''25'!AG24-'Entries March.''25'!AG23)</f>
        <v>0</v>
      </c>
      <c r="J23" s="32">
        <f>IF('Entries March.''25'!S24-'Entries March.''25'!S23&lt;1,"0",'Entries March.''25'!S24-'Entries March.''25'!S23)</f>
        <v>161</v>
      </c>
      <c r="K23" s="32" t="str">
        <f>IF('Entries March.''25'!R24-'Entries March.''25'!R23&lt;1,"0",'Entries March.''25'!R24-'Entries March.''25'!R23)</f>
        <v>0</v>
      </c>
      <c r="L23" s="32" t="str">
        <f>IF('Entries March.''25'!T24-'Entries March.''25'!T23&lt;1,"0",'Entries March.''25'!T24-'Entries March.''25'!T23)</f>
        <v>0</v>
      </c>
      <c r="M23" s="32">
        <f>IF('Entries March.''25'!U24-'Entries March.''25'!U23&lt;1,"0",'Entries March.''25'!U24-'Entries March.''25'!U23)</f>
        <v>5</v>
      </c>
      <c r="N23" s="32">
        <f>IF('Entries March.''25'!X24-'Entries March.''25'!X23&lt;1,"0",'Entries March.''25'!X24-'Entries March.''25'!X23)</f>
        <v>33</v>
      </c>
      <c r="O23" s="32">
        <f>IF('Entries March.''25'!Y24-'Entries March.''25'!Y23&lt;1,"0",'Entries March.''25'!Y24-'Entries March.''25'!Y23)</f>
        <v>32</v>
      </c>
      <c r="P23" s="32">
        <f>IF('Entries March.''25'!AC24-'Entries March.''25'!AC23&lt;1,"0",'Entries March.''25'!AC24-'Entries March.''25'!AC23)</f>
        <v>21</v>
      </c>
      <c r="Q23" s="32">
        <f>IF('Entries March.''25'!Z24-'Entries March.''25'!Z23&lt;1,"0",'Entries March.''25'!Z24-'Entries March.''25'!Z23)</f>
        <v>27</v>
      </c>
      <c r="R23" s="32" t="str">
        <f>IF(('Entries March.''25'!AA24-'Entries March.''25'!AA23)+('Entries March.''25'!AB24-'Entries March.''25'!AB23)&lt;1,"0",('Entries March.''25'!AA24-'Entries March.''25'!AA23)+('Entries March.''25'!AB24-'Entries March.''25'!AB23))</f>
        <v>0</v>
      </c>
      <c r="S23" s="80">
        <f t="shared" si="1"/>
        <v>970</v>
      </c>
      <c r="T23" s="80">
        <f t="shared" si="2"/>
        <v>70</v>
      </c>
      <c r="U23" s="32">
        <f>IF('Entries March.''25'!AC24-'Entries March.''25'!AC23&lt;1,"0",'Entries March.''25'!AC24-'Entries March.''25'!AC23)</f>
        <v>21</v>
      </c>
      <c r="V23" s="32" t="str">
        <f>IF('Entries March.''25'!AD24-'Entries March.''25'!AD23&lt;1,"0",'Entries March.''25'!AD24-'Entries March.''25'!AD23)</f>
        <v>0</v>
      </c>
      <c r="W23" s="32" t="str">
        <f>IF('Entries March.''25'!AE24-'Entries March.''25'!AE23&lt;1,"0",'Entries March.''25'!AE24-'Entries March.''25'!AE23)</f>
        <v>0</v>
      </c>
      <c r="X23" s="109" t="str">
        <f>IF('Entries March.''25'!AI24-'Entries March.''25'!AI23&lt;1,"0",'Entries March.''25'!AI24-'Entries March.''25'!AI23)</f>
        <v>0</v>
      </c>
      <c r="Y23" s="109" t="str">
        <f>IF('Entries March.''25'!AH24-'Entries March.''25'!AH23&lt;1,"0",'Entries March.''25'!AH24-'Entries March.''25'!AH23)</f>
        <v>0</v>
      </c>
      <c r="Z23" s="612">
        <f t="shared" si="3"/>
        <v>238</v>
      </c>
      <c r="AA23" s="613">
        <v>151.73400000000001</v>
      </c>
      <c r="AB23" s="614">
        <f t="shared" si="4"/>
        <v>15.68534408899785</v>
      </c>
    </row>
    <row r="24" spans="1:32" x14ac:dyDescent="0.2">
      <c r="B24" s="79">
        <v>18</v>
      </c>
      <c r="C24" s="80" t="str">
        <f>IF('Entries March.''25'!W25-'Entries March.''25'!W24&lt;1,"0",'Entries March.''25'!W25-'Entries March.''25'!W24)</f>
        <v>0</v>
      </c>
      <c r="D24" s="32">
        <f>IF('Entries March.''25'!O25-'Entries March.''25'!O24&lt;1,"0",'Entries March.''25'!O25-'Entries March.''25'!O24)</f>
        <v>252</v>
      </c>
      <c r="E24" s="32">
        <f>IF('Entries March.''25'!P25-'Entries March.''25'!P24&lt;1,"0",'Entries March.''25'!P25-'Entries March.''25'!P24)</f>
        <v>38</v>
      </c>
      <c r="F24" s="32">
        <f>IF('Entries March.''25'!V25-'Entries March.''25'!V24&lt;1,"0",'Entries March.''25'!V25-'Entries March.''25'!V24)</f>
        <v>30</v>
      </c>
      <c r="G24" s="32">
        <f t="shared" si="0"/>
        <v>260</v>
      </c>
      <c r="H24" s="32">
        <f>IF('Entries March.''25'!Q25-'Entries March.''25'!Q24&lt;1,0,'Entries March.''25'!Q25-'Entries March.''25'!Q24)</f>
        <v>167</v>
      </c>
      <c r="I24" s="32">
        <f>IF('Entries March.''25'!AG25-'Entries March.''25'!AG24&lt;1,0,'Entries March.''25'!AG25-'Entries March.''25'!AG24)</f>
        <v>0</v>
      </c>
      <c r="J24" s="32">
        <f>IF('Entries March.''25'!S25-'Entries March.''25'!S24&lt;1,"0",'Entries March.''25'!S25-'Entries March.''25'!S24)</f>
        <v>144</v>
      </c>
      <c r="K24" s="32" t="str">
        <f>IF('Entries March.''25'!R25-'Entries March.''25'!R24&lt;1,"0",'Entries March.''25'!R25-'Entries March.''25'!R24)</f>
        <v>0</v>
      </c>
      <c r="L24" s="32" t="str">
        <f>IF('Entries March.''25'!T25-'Entries March.''25'!T24&lt;1,"0",'Entries March.''25'!T25-'Entries March.''25'!T24)</f>
        <v>0</v>
      </c>
      <c r="M24" s="32" t="str">
        <f>IF('Entries March.''25'!U25-'Entries March.''25'!U24&lt;1,"0",'Entries March.''25'!U25-'Entries March.''25'!U24)</f>
        <v>0</v>
      </c>
      <c r="N24" s="32">
        <f>IF('Entries March.''25'!X25-'Entries March.''25'!X24&lt;1,"0",'Entries March.''25'!X25-'Entries March.''25'!X24)</f>
        <v>31</v>
      </c>
      <c r="O24" s="32">
        <f>IF('Entries March.''25'!Y25-'Entries March.''25'!Y24&lt;1,"0",'Entries March.''25'!Y25-'Entries March.''25'!Y24)</f>
        <v>61</v>
      </c>
      <c r="P24" s="32">
        <f>IF('Entries March.''25'!AC25-'Entries March.''25'!AC24&lt;1,"0",'Entries March.''25'!AC25-'Entries March.''25'!AC24)</f>
        <v>19</v>
      </c>
      <c r="Q24" s="32">
        <f>IF('Entries March.''25'!Z25-'Entries March.''25'!Z24&lt;1,"0",'Entries March.''25'!Z25-'Entries March.''25'!Z24)</f>
        <v>13</v>
      </c>
      <c r="R24" s="32" t="str">
        <f>IF(('Entries March.''25'!AA25-'Entries March.''25'!AA24)+('Entries March.''25'!AB25-'Entries March.''25'!AB24)&lt;1,"0",('Entries March.''25'!AA25-'Entries March.''25'!AA24)+('Entries March.''25'!AB25-'Entries March.''25'!AB24))</f>
        <v>0</v>
      </c>
      <c r="S24" s="80">
        <f t="shared" si="1"/>
        <v>2600</v>
      </c>
      <c r="T24" s="80">
        <f t="shared" si="2"/>
        <v>92</v>
      </c>
      <c r="U24" s="32">
        <f>IF('Entries March.''25'!AC25-'Entries March.''25'!AC24&lt;1,"0",'Entries March.''25'!AC25-'Entries March.''25'!AC24)</f>
        <v>19</v>
      </c>
      <c r="V24" s="32" t="str">
        <f>IF('Entries March.''25'!AD25-'Entries March.''25'!AD24&lt;1,"0",'Entries March.''25'!AD25-'Entries March.''25'!AD24)</f>
        <v>0</v>
      </c>
      <c r="W24" s="32" t="str">
        <f>IF('Entries March.''25'!AE25-'Entries March.''25'!AE24&lt;1,"0",'Entries March.''25'!AE25-'Entries March.''25'!AE24)</f>
        <v>0</v>
      </c>
      <c r="X24" s="109" t="str">
        <f>IF('Entries March.''25'!AI25-'Entries March.''25'!AI24&lt;1,"0",'Entries March.''25'!AI25-'Entries March.''25'!AI24)</f>
        <v>0</v>
      </c>
      <c r="Y24" s="109" t="str">
        <f>IF('Entries March.''25'!AH25-'Entries March.''25'!AH24&lt;1,"0",'Entries March.''25'!AH25-'Entries March.''25'!AH24)</f>
        <v>0</v>
      </c>
      <c r="Z24" s="612">
        <f t="shared" si="3"/>
        <v>290</v>
      </c>
      <c r="AA24" s="613">
        <v>429.726</v>
      </c>
      <c r="AB24" s="614">
        <f t="shared" si="4"/>
        <v>6.7484862447233818</v>
      </c>
    </row>
    <row r="25" spans="1:32" x14ac:dyDescent="0.2">
      <c r="B25" s="79">
        <v>19</v>
      </c>
      <c r="C25" s="80" t="str">
        <f>IF('Entries March.''25'!W26-'Entries March.''25'!W25&lt;1,"0",'Entries March.''25'!W26-'Entries March.''25'!W25)</f>
        <v>0</v>
      </c>
      <c r="D25" s="32">
        <f>IF('Entries March.''25'!O26-'Entries March.''25'!O25&lt;1,"0",'Entries March.''25'!O26-'Entries March.''25'!O25)</f>
        <v>375</v>
      </c>
      <c r="E25" s="32">
        <f>IF('Entries March.''25'!P26-'Entries March.''25'!P25&lt;1,"0",'Entries March.''25'!P26-'Entries March.''25'!P25)</f>
        <v>84</v>
      </c>
      <c r="F25" s="32">
        <f>IF('Entries March.''25'!V26-'Entries March.''25'!V25&lt;1,"0",'Entries March.''25'!V26-'Entries March.''25'!V25)</f>
        <v>90</v>
      </c>
      <c r="G25" s="32">
        <f t="shared" si="0"/>
        <v>369</v>
      </c>
      <c r="H25" s="32">
        <f>IF('Entries March.''25'!Q26-'Entries March.''25'!Q25&lt;1,0,'Entries March.''25'!Q26-'Entries March.''25'!Q25)</f>
        <v>196</v>
      </c>
      <c r="I25" s="32">
        <f>IF('Entries March.''25'!AG26-'Entries March.''25'!AG25&lt;1,0,'Entries March.''25'!AG26-'Entries March.''25'!AG25)</f>
        <v>0</v>
      </c>
      <c r="J25" s="32">
        <f>IF('Entries March.''25'!S26-'Entries March.''25'!S25&lt;1,"0",'Entries March.''25'!S26-'Entries March.''25'!S25)</f>
        <v>242</v>
      </c>
      <c r="K25" s="32" t="str">
        <f>IF('Entries March.''25'!R26-'Entries March.''25'!R25&lt;1,"0",'Entries March.''25'!R26-'Entries March.''25'!R25)</f>
        <v>0</v>
      </c>
      <c r="L25" s="32" t="str">
        <f>IF('Entries March.''25'!T26-'Entries March.''25'!T25&lt;1,"0",'Entries March.''25'!T26-'Entries March.''25'!T25)</f>
        <v>0</v>
      </c>
      <c r="M25" s="32" t="str">
        <f>IF('Entries March.''25'!U26-'Entries March.''25'!U25&lt;1,"0",'Entries March.''25'!U26-'Entries March.''25'!U25)</f>
        <v>0</v>
      </c>
      <c r="N25" s="32">
        <f>IF('Entries March.''25'!X26-'Entries March.''25'!X25&lt;1,"0",'Entries March.''25'!X26-'Entries March.''25'!X25)</f>
        <v>31</v>
      </c>
      <c r="O25" s="32">
        <f>IF('Entries March.''25'!Y26-'Entries March.''25'!Y25&lt;1,"0",'Entries March.''25'!Y26-'Entries March.''25'!Y25)</f>
        <v>73</v>
      </c>
      <c r="P25" s="32">
        <f>IF('Entries March.''25'!AC26-'Entries March.''25'!AC25&lt;1,"0",'Entries March.''25'!AC26-'Entries March.''25'!AC25)</f>
        <v>24</v>
      </c>
      <c r="Q25" s="32">
        <f>IF('Entries March.''25'!Z26-'Entries March.''25'!Z25&lt;1,"0",'Entries March.''25'!Z26-'Entries March.''25'!Z25)</f>
        <v>32</v>
      </c>
      <c r="R25" s="32" t="str">
        <f>IF(('Entries March.''25'!AA26-'Entries March.''25'!AA25)+('Entries March.''25'!AB26-'Entries March.''25'!AB25)&lt;1,"0",('Entries March.''25'!AA26-'Entries March.''25'!AA25)+('Entries March.''25'!AB26-'Entries March.''25'!AB25))</f>
        <v>0</v>
      </c>
      <c r="S25" s="80">
        <f t="shared" si="1"/>
        <v>3690</v>
      </c>
      <c r="T25" s="80">
        <f t="shared" si="2"/>
        <v>104</v>
      </c>
      <c r="U25" s="32">
        <f>IF('Entries March.''25'!AC26-'Entries March.''25'!AC25&lt;1,"0",'Entries March.''25'!AC26-'Entries March.''25'!AC25)</f>
        <v>24</v>
      </c>
      <c r="V25" s="32" t="str">
        <f>IF('Entries March.''25'!AD26-'Entries March.''25'!AD25&lt;1,"0",'Entries March.''25'!AD26-'Entries March.''25'!AD25)</f>
        <v>0</v>
      </c>
      <c r="W25" s="32" t="str">
        <f>IF('Entries March.''25'!AE26-'Entries March.''25'!AE25&lt;1,"0",'Entries March.''25'!AE26-'Entries March.''25'!AE25)</f>
        <v>0</v>
      </c>
      <c r="X25" s="109" t="str">
        <f>IF('Entries March.''25'!AI26-'Entries March.''25'!AI25&lt;1,"0",'Entries March.''25'!AI26-'Entries March.''25'!AI25)</f>
        <v>0</v>
      </c>
      <c r="Y25" s="109" t="str">
        <f>IF('Entries March.''25'!AH26-'Entries March.''25'!AH25&lt;1,"0",'Entries March.''25'!AH26-'Entries March.''25'!AH25)</f>
        <v>0</v>
      </c>
      <c r="Z25" s="612">
        <f t="shared" si="3"/>
        <v>459</v>
      </c>
      <c r="AA25" s="613">
        <v>501.40200000000004</v>
      </c>
      <c r="AB25" s="614">
        <f t="shared" si="4"/>
        <v>9.1543312551605283</v>
      </c>
    </row>
    <row r="26" spans="1:32" x14ac:dyDescent="0.2">
      <c r="A26" s="30"/>
      <c r="B26" s="79">
        <v>20</v>
      </c>
      <c r="C26" s="80" t="str">
        <f>IF('Entries March.''25'!W27-'Entries March.''25'!W26&lt;1,"0",'Entries March.''25'!W27-'Entries March.''25'!W26)</f>
        <v>0</v>
      </c>
      <c r="D26" s="32">
        <f>IF('Entries March.''25'!O27-'Entries March.''25'!O26&lt;1,"0",'Entries March.''25'!O27-'Entries March.''25'!O26)</f>
        <v>63</v>
      </c>
      <c r="E26" s="32">
        <f>IF('Entries March.''25'!P27-'Entries March.''25'!P26&lt;1,"0",'Entries March.''25'!P27-'Entries March.''25'!P26)</f>
        <v>254</v>
      </c>
      <c r="F26" s="32">
        <f>IF('Entries March.''25'!V27-'Entries March.''25'!V26&lt;1,"0",'Entries March.''25'!V27-'Entries March.''25'!V26)</f>
        <v>267</v>
      </c>
      <c r="G26" s="32">
        <f t="shared" si="0"/>
        <v>50</v>
      </c>
      <c r="H26" s="32">
        <f>IF('Entries March.''25'!Q27-'Entries March.''25'!Q26&lt;1,0,'Entries March.''25'!Q27-'Entries March.''25'!Q26)</f>
        <v>188</v>
      </c>
      <c r="I26" s="32">
        <f>IF('Entries March.''25'!AG27-'Entries March.''25'!AG26&lt;1,0,'Entries March.''25'!AG27-'Entries March.''25'!AG26)</f>
        <v>0</v>
      </c>
      <c r="J26" s="32">
        <f>IF('Entries March.''25'!S27-'Entries March.''25'!S26&lt;1,"0",'Entries March.''25'!S27-'Entries March.''25'!S26)</f>
        <v>191</v>
      </c>
      <c r="K26" s="32" t="str">
        <f>IF('Entries March.''25'!R27-'Entries March.''25'!R26&lt;1,"0",'Entries March.''25'!R27-'Entries March.''25'!R26)</f>
        <v>0</v>
      </c>
      <c r="L26" s="32" t="str">
        <f>IF('Entries March.''25'!T27-'Entries March.''25'!T26&lt;1,"0",'Entries March.''25'!T27-'Entries March.''25'!T26)</f>
        <v>0</v>
      </c>
      <c r="M26" s="32" t="str">
        <f>IF('Entries March.''25'!U27-'Entries March.''25'!U26&lt;1,"0",'Entries March.''25'!U27-'Entries March.''25'!U26)</f>
        <v>0</v>
      </c>
      <c r="N26" s="32">
        <f>IF('Entries March.''25'!X27-'Entries March.''25'!X26&lt;1,"0",'Entries March.''25'!X27-'Entries March.''25'!X26)</f>
        <v>43</v>
      </c>
      <c r="O26" s="32">
        <f>IF('Entries March.''25'!Y27-'Entries March.''25'!Y26&lt;1,"0",'Entries March.''25'!Y27-'Entries March.''25'!Y26)</f>
        <v>76</v>
      </c>
      <c r="P26" s="32">
        <f>IF('Entries March.''25'!AC27-'Entries March.''25'!AC26&lt;1,"0",'Entries March.''25'!AC27-'Entries March.''25'!AC26)</f>
        <v>23</v>
      </c>
      <c r="Q26" s="32">
        <f>IF('Entries March.''25'!Z27-'Entries March.''25'!Z26&lt;1,"0",'Entries March.''25'!Z27-'Entries March.''25'!Z26)</f>
        <v>30</v>
      </c>
      <c r="R26" s="32" t="str">
        <f>IF(('Entries March.''25'!AA27-'Entries March.''25'!AA26)+('Entries March.''25'!AB27-'Entries March.''25'!AB26)&lt;1,"0",('Entries March.''25'!AA27-'Entries March.''25'!AA26)+('Entries March.''25'!AB27-'Entries March.''25'!AB26))</f>
        <v>0</v>
      </c>
      <c r="S26" s="80">
        <f t="shared" si="1"/>
        <v>500</v>
      </c>
      <c r="T26" s="80">
        <f t="shared" si="2"/>
        <v>119</v>
      </c>
      <c r="U26" s="32">
        <f>IF('Entries March.''25'!AC27-'Entries March.''25'!AC26&lt;1,"0",'Entries March.''25'!AC27-'Entries March.''25'!AC26)</f>
        <v>23</v>
      </c>
      <c r="V26" s="32" t="str">
        <f>IF('Entries March.''25'!AD27-'Entries March.''25'!AD26&lt;1,"0",'Entries March.''25'!AD27-'Entries March.''25'!AD26)</f>
        <v>0</v>
      </c>
      <c r="W26" s="32" t="str">
        <f>IF('Entries March.''25'!AE27-'Entries March.''25'!AE26&lt;1,"0",'Entries March.''25'!AE27-'Entries March.''25'!AE26)</f>
        <v>0</v>
      </c>
      <c r="X26" s="109" t="str">
        <f>IF('Entries March.''25'!AI27-'Entries March.''25'!AI26&lt;1,"0",'Entries March.''25'!AI27-'Entries March.''25'!AI26)</f>
        <v>0</v>
      </c>
      <c r="Y26" s="109" t="str">
        <f>IF('Entries March.''25'!AH27-'Entries March.''25'!AH26&lt;1,"0",'Entries March.''25'!AH27-'Entries March.''25'!AH26)</f>
        <v>0</v>
      </c>
      <c r="Z26" s="612">
        <f t="shared" si="3"/>
        <v>317</v>
      </c>
      <c r="AA26" s="613">
        <v>267.49799999999999</v>
      </c>
      <c r="AB26" s="614">
        <f t="shared" si="4"/>
        <v>11.850555892006669</v>
      </c>
    </row>
    <row r="27" spans="1:32" x14ac:dyDescent="0.2">
      <c r="A27" s="30"/>
      <c r="B27" s="79">
        <v>21</v>
      </c>
      <c r="C27" s="80" t="str">
        <f>IF('Entries March.''25'!W28-'Entries March.''25'!W27&lt;1,"0",'Entries March.''25'!W28-'Entries March.''25'!W27)</f>
        <v>0</v>
      </c>
      <c r="D27" s="32">
        <f>IF('Entries March.''25'!O28-'Entries March.''25'!O27&lt;1,"0",'Entries March.''25'!O28-'Entries March.''25'!O27)</f>
        <v>36</v>
      </c>
      <c r="E27" s="32">
        <f>IF('Entries March.''25'!P28-'Entries March.''25'!P27&lt;1,"0",'Entries March.''25'!P28-'Entries March.''25'!P27)</f>
        <v>171</v>
      </c>
      <c r="F27" s="32">
        <f>IF('Entries March.''25'!V28-'Entries March.''25'!V27&lt;1,"0",'Entries March.''25'!V28-'Entries March.''25'!V27)</f>
        <v>181</v>
      </c>
      <c r="G27" s="32">
        <f t="shared" si="0"/>
        <v>26</v>
      </c>
      <c r="H27" s="32">
        <f>IF('Entries March.''25'!Q28-'Entries March.''25'!Q27&lt;1,0,'Entries March.''25'!Q28-'Entries March.''25'!Q27)</f>
        <v>114</v>
      </c>
      <c r="I27" s="32">
        <f>IF('Entries March.''25'!AG28-'Entries March.''25'!AG27&lt;1,0,'Entries March.''25'!AG28-'Entries March.''25'!AG27)</f>
        <v>0</v>
      </c>
      <c r="J27" s="32">
        <f>IF('Entries March.''25'!S28-'Entries March.''25'!S27&lt;1,"0",'Entries March.''25'!S28-'Entries March.''25'!S27)</f>
        <v>90</v>
      </c>
      <c r="K27" s="32" t="str">
        <f>IF('Entries March.''25'!R28-'Entries March.''25'!R27&lt;1,"0",'Entries March.''25'!R28-'Entries March.''25'!R27)</f>
        <v>0</v>
      </c>
      <c r="L27" s="32" t="str">
        <f>IF('Entries March.''25'!T28-'Entries March.''25'!T27&lt;1,"0",'Entries March.''25'!T28-'Entries March.''25'!T27)</f>
        <v>0</v>
      </c>
      <c r="M27" s="32" t="str">
        <f>IF('Entries March.''25'!U28-'Entries March.''25'!U27&lt;1,"0",'Entries March.''25'!U28-'Entries March.''25'!U27)</f>
        <v>0</v>
      </c>
      <c r="N27" s="32">
        <f>IF('Entries March.''25'!X28-'Entries March.''25'!X27&lt;1,"0",'Entries March.''25'!X28-'Entries March.''25'!X27)</f>
        <v>17</v>
      </c>
      <c r="O27" s="32">
        <f>IF('Entries March.''25'!Y28-'Entries March.''25'!Y27&lt;1,"0",'Entries March.''25'!Y28-'Entries March.''25'!Y27)</f>
        <v>38</v>
      </c>
      <c r="P27" s="32">
        <f>IF('Entries March.''25'!AC28-'Entries March.''25'!AC27&lt;1,"0",'Entries March.''25'!AC28-'Entries March.''25'!AC27)</f>
        <v>5</v>
      </c>
      <c r="Q27" s="32">
        <f>IF('Entries March.''25'!Z28-'Entries March.''25'!Z27&lt;1,"0",'Entries March.''25'!Z28-'Entries March.''25'!Z27)</f>
        <v>9</v>
      </c>
      <c r="R27" s="32" t="str">
        <f>IF(('Entries March.''25'!AA28-'Entries March.''25'!AA27)+('Entries March.''25'!AB28-'Entries March.''25'!AB27)&lt;1,"0",('Entries March.''25'!AA28-'Entries March.''25'!AA27)+('Entries March.''25'!AB28-'Entries March.''25'!AB27))</f>
        <v>0</v>
      </c>
      <c r="S27" s="80">
        <f t="shared" si="1"/>
        <v>260</v>
      </c>
      <c r="T27" s="80">
        <f t="shared" si="2"/>
        <v>55</v>
      </c>
      <c r="U27" s="32">
        <f>IF('Entries March.''25'!AC28-'Entries March.''25'!AC27&lt;1,"0",'Entries March.''25'!AC28-'Entries March.''25'!AC27)</f>
        <v>5</v>
      </c>
      <c r="V27" s="32" t="str">
        <f>IF('Entries March.''25'!AD28-'Entries March.''25'!AD27&lt;1,"0",'Entries March.''25'!AD28-'Entries March.''25'!AD27)</f>
        <v>0</v>
      </c>
      <c r="W27" s="32" t="str">
        <f>IF('Entries March.''25'!AE28-'Entries March.''25'!AE27&lt;1,"0",'Entries March.''25'!AE28-'Entries March.''25'!AE27)</f>
        <v>0</v>
      </c>
      <c r="X27" s="109" t="str">
        <f>IF('Entries March.''25'!AI28-'Entries March.''25'!AI27&lt;1,"0",'Entries March.''25'!AI28-'Entries March.''25'!AI27)</f>
        <v>0</v>
      </c>
      <c r="Y27" s="109" t="str">
        <f>IF('Entries March.''25'!AH28-'Entries March.''25'!AH27&lt;1,"0",'Entries March.''25'!AH28-'Entries March.''25'!AH27)</f>
        <v>0</v>
      </c>
      <c r="Z27" s="612">
        <f t="shared" si="3"/>
        <v>207</v>
      </c>
      <c r="AA27" s="613">
        <v>116.88600000000001</v>
      </c>
      <c r="AB27" s="614">
        <f t="shared" si="4"/>
        <v>17.709563164108616</v>
      </c>
    </row>
    <row r="28" spans="1:32" x14ac:dyDescent="0.2">
      <c r="B28" s="79">
        <v>22</v>
      </c>
      <c r="C28" s="80" t="str">
        <f>IF('Entries March.''25'!W29-'Entries March.''25'!W28&lt;1,"0",'Entries March.''25'!W29-'Entries March.''25'!W28)</f>
        <v>0</v>
      </c>
      <c r="D28" s="32" t="str">
        <f>IF('Entries March.''25'!O29-'Entries March.''25'!O28&lt;1,"0",'Entries March.''25'!O29-'Entries March.''25'!O28)</f>
        <v>0</v>
      </c>
      <c r="E28" s="32" t="str">
        <f>IF('Entries March.''25'!P29-'Entries March.''25'!P28&lt;1,"0",'Entries March.''25'!P29-'Entries March.''25'!P28)</f>
        <v>0</v>
      </c>
      <c r="F28" s="32" t="str">
        <f>IF('Entries March.''25'!V29-'Entries March.''25'!V28&lt;1,"0",'Entries March.''25'!V29-'Entries March.''25'!V28)</f>
        <v>0</v>
      </c>
      <c r="G28" s="32">
        <f t="shared" si="0"/>
        <v>0</v>
      </c>
      <c r="H28" s="32">
        <f>IF('Entries March.''25'!Q29-'Entries March.''25'!Q28&lt;1,0,'Entries March.''25'!Q29-'Entries March.''25'!Q28)</f>
        <v>0</v>
      </c>
      <c r="I28" s="32">
        <f>IF('Entries March.''25'!AG29-'Entries March.''25'!AG28&lt;1,0,'Entries March.''25'!AG29-'Entries March.''25'!AG28)</f>
        <v>0</v>
      </c>
      <c r="J28" s="32" t="str">
        <f>IF('Entries March.''25'!S29-'Entries March.''25'!S28&lt;1,"0",'Entries March.''25'!S29-'Entries March.''25'!S28)</f>
        <v>0</v>
      </c>
      <c r="K28" s="32" t="str">
        <f>IF('Entries March.''25'!R29-'Entries March.''25'!R28&lt;1,"0",'Entries March.''25'!R29-'Entries March.''25'!R28)</f>
        <v>0</v>
      </c>
      <c r="L28" s="32" t="str">
        <f>IF('Entries March.''25'!T29-'Entries March.''25'!T28&lt;1,"0",'Entries March.''25'!T29-'Entries March.''25'!T28)</f>
        <v>0</v>
      </c>
      <c r="M28" s="32" t="str">
        <f>IF('Entries March.''25'!U29-'Entries March.''25'!U28&lt;1,"0",'Entries March.''25'!U29-'Entries March.''25'!U28)</f>
        <v>0</v>
      </c>
      <c r="N28" s="32" t="str">
        <f>IF('Entries March.''25'!X29-'Entries March.''25'!X28&lt;1,"0",'Entries March.''25'!X29-'Entries March.''25'!X28)</f>
        <v>0</v>
      </c>
      <c r="O28" s="32" t="str">
        <f>IF('Entries March.''25'!Y29-'Entries March.''25'!Y28&lt;1,"0",'Entries March.''25'!Y29-'Entries March.''25'!Y28)</f>
        <v>0</v>
      </c>
      <c r="P28" s="32" t="str">
        <f>IF('Entries March.''25'!AC29-'Entries March.''25'!AC28&lt;1,"0",'Entries March.''25'!AC29-'Entries March.''25'!AC28)</f>
        <v>0</v>
      </c>
      <c r="Q28" s="32">
        <f>IF('Entries March.''25'!Z29-'Entries March.''25'!Z28&lt;1,"0",'Entries March.''25'!Z29-'Entries March.''25'!Z28)</f>
        <v>11</v>
      </c>
      <c r="R28" s="32" t="str">
        <f>IF(('Entries March.''25'!AA29-'Entries March.''25'!AA28)+('Entries March.''25'!AB29-'Entries March.''25'!AB28)&lt;1,"0",('Entries March.''25'!AA29-'Entries March.''25'!AA28)+('Entries March.''25'!AB29-'Entries March.''25'!AB28))</f>
        <v>0</v>
      </c>
      <c r="S28" s="80">
        <f t="shared" si="1"/>
        <v>0</v>
      </c>
      <c r="T28" s="80">
        <f t="shared" si="2"/>
        <v>0</v>
      </c>
      <c r="U28" s="32" t="str">
        <f>IF('Entries March.''25'!AC29-'Entries March.''25'!AC28&lt;1,"0",'Entries March.''25'!AC29-'Entries March.''25'!AC28)</f>
        <v>0</v>
      </c>
      <c r="V28" s="32" t="str">
        <f>IF('Entries March.''25'!AD29-'Entries March.''25'!AD28&lt;1,"0",'Entries March.''25'!AD29-'Entries March.''25'!AD28)</f>
        <v>0</v>
      </c>
      <c r="W28" s="32" t="str">
        <f>IF('Entries March.''25'!AE29-'Entries March.''25'!AE28&lt;1,"0",'Entries March.''25'!AE29-'Entries March.''25'!AE28)</f>
        <v>0</v>
      </c>
      <c r="X28" s="109" t="str">
        <f>IF('Entries March.''25'!AI29-'Entries March.''25'!AI28&lt;1,"0",'Entries March.''25'!AI29-'Entries March.''25'!AI28)</f>
        <v>0</v>
      </c>
      <c r="Y28" s="109" t="str">
        <f>IF('Entries March.''25'!AH29-'Entries March.''25'!AH28&lt;1,"0",'Entries March.''25'!AH29-'Entries March.''25'!AH28)</f>
        <v>0</v>
      </c>
      <c r="Z28" s="612">
        <f t="shared" si="3"/>
        <v>0</v>
      </c>
      <c r="AA28" s="613" t="str">
        <v>0</v>
      </c>
      <c r="AB28" s="614" t="str">
        <f t="shared" si="4"/>
        <v>0</v>
      </c>
    </row>
    <row r="29" spans="1:32" x14ac:dyDescent="0.2">
      <c r="B29" s="79">
        <v>23</v>
      </c>
      <c r="C29" s="80" t="str">
        <f>IF('Entries March.''25'!W30-'Entries March.''25'!W29&lt;1,"0",'Entries March.''25'!W30-'Entries March.''25'!W29)</f>
        <v>0</v>
      </c>
      <c r="D29" s="32" t="str">
        <f>IF('Entries March.''25'!O30-'Entries March.''25'!O29&lt;1,"0",'Entries March.''25'!O30-'Entries March.''25'!O29)</f>
        <v>0</v>
      </c>
      <c r="E29" s="32">
        <f>IF('Entries March.''25'!P30-'Entries March.''25'!P29&lt;1,"0",'Entries March.''25'!P30-'Entries March.''25'!P29)</f>
        <v>134</v>
      </c>
      <c r="F29" s="32">
        <f>IF('Entries March.''25'!V30-'Entries March.''25'!V29&lt;1,"0",'Entries March.''25'!V30-'Entries March.''25'!V29)</f>
        <v>141</v>
      </c>
      <c r="G29" s="32">
        <f t="shared" si="0"/>
        <v>-7</v>
      </c>
      <c r="H29" s="32">
        <f>IF('Entries March.''25'!Q30-'Entries March.''25'!Q29&lt;1,0,'Entries March.''25'!Q30-'Entries March.''25'!Q29)</f>
        <v>67</v>
      </c>
      <c r="I29" s="32">
        <f>IF('Entries March.''25'!AG30-'Entries March.''25'!AG29&lt;1,0,'Entries March.''25'!AG30-'Entries March.''25'!AG29)</f>
        <v>0</v>
      </c>
      <c r="J29" s="32" t="str">
        <f>IF('Entries March.''25'!S30-'Entries March.''25'!S29&lt;1,"0",'Entries March.''25'!S30-'Entries March.''25'!S29)</f>
        <v>0</v>
      </c>
      <c r="K29" s="32" t="str">
        <f>IF('Entries March.''25'!R30-'Entries March.''25'!R29&lt;1,"0",'Entries March.''25'!R30-'Entries March.''25'!R29)</f>
        <v>0</v>
      </c>
      <c r="L29" s="32" t="str">
        <f>IF('Entries March.''25'!T30-'Entries March.''25'!T29&lt;1,"0",'Entries March.''25'!T30-'Entries March.''25'!T29)</f>
        <v>0</v>
      </c>
      <c r="M29" s="32" t="str">
        <f>IF('Entries March.''25'!U30-'Entries March.''25'!U29&lt;1,"0",'Entries March.''25'!U30-'Entries March.''25'!U29)</f>
        <v>0</v>
      </c>
      <c r="N29" s="32" t="str">
        <f>IF('Entries March.''25'!X30-'Entries March.''25'!X29&lt;1,"0",'Entries March.''25'!X30-'Entries March.''25'!X29)</f>
        <v>0</v>
      </c>
      <c r="O29" s="32">
        <f>IF('Entries March.''25'!Y30-'Entries March.''25'!Y29&lt;1,"0",'Entries March.''25'!Y30-'Entries March.''25'!Y29)</f>
        <v>33</v>
      </c>
      <c r="P29" s="32" t="str">
        <f>IF('Entries March.''25'!AC30-'Entries March.''25'!AC29&lt;1,"0",'Entries March.''25'!AC30-'Entries March.''25'!AC29)</f>
        <v>0</v>
      </c>
      <c r="Q29" s="32" t="str">
        <f>IF('Entries March.''25'!Z30-'Entries March.''25'!Z29&lt;1,"0",'Entries March.''25'!Z30-'Entries March.''25'!Z29)</f>
        <v>0</v>
      </c>
      <c r="R29" s="32" t="str">
        <f>IF(('Entries March.''25'!AA30-'Entries March.''25'!AA29)+('Entries March.''25'!AB30-'Entries March.''25'!AB29)&lt;1,"0",('Entries March.''25'!AA30-'Entries March.''25'!AA29)+('Entries March.''25'!AB30-'Entries March.''25'!AB29))</f>
        <v>0</v>
      </c>
      <c r="S29" s="80">
        <f t="shared" si="1"/>
        <v>-70</v>
      </c>
      <c r="T29" s="80">
        <f t="shared" si="2"/>
        <v>33</v>
      </c>
      <c r="U29" s="32" t="str">
        <f>IF('Entries March.''25'!AC30-'Entries March.''25'!AC29&lt;1,"0",'Entries March.''25'!AC30-'Entries March.''25'!AC29)</f>
        <v>0</v>
      </c>
      <c r="V29" s="32" t="str">
        <f>IF('Entries March.''25'!AD30-'Entries March.''25'!AD29&lt;1,"0",'Entries March.''25'!AD30-'Entries March.''25'!AD29)</f>
        <v>0</v>
      </c>
      <c r="W29" s="32" t="str">
        <f>IF('Entries March.''25'!AE30-'Entries March.''25'!AE29&lt;1,"0",'Entries March.''25'!AE30-'Entries March.''25'!AE29)</f>
        <v>0</v>
      </c>
      <c r="X29" s="109" t="str">
        <f>IF('Entries March.''25'!AI30-'Entries March.''25'!AI29&lt;1,"0",'Entries March.''25'!AI30-'Entries March.''25'!AI29)</f>
        <v>0</v>
      </c>
      <c r="Y29" s="109" t="str">
        <f>IF('Entries March.''25'!AH30-'Entries March.''25'!AH29&lt;1,"0",'Entries March.''25'!AH30-'Entries March.''25'!AH29)</f>
        <v>0</v>
      </c>
      <c r="Z29" s="612">
        <f t="shared" si="3"/>
        <v>134</v>
      </c>
      <c r="AA29" s="613" t="str">
        <v>0</v>
      </c>
      <c r="AB29" s="614" t="str">
        <f t="shared" si="4"/>
        <v>0</v>
      </c>
    </row>
    <row r="30" spans="1:32" x14ac:dyDescent="0.2">
      <c r="B30" s="79">
        <v>24</v>
      </c>
      <c r="C30" s="80" t="str">
        <f>IF('Entries March.''25'!W31-'Entries March.''25'!W30&lt;1,"0",'Entries March.''25'!W31-'Entries March.''25'!W30)</f>
        <v>0</v>
      </c>
      <c r="D30" s="32">
        <f>IF('Entries March.''25'!O31-'Entries March.''25'!O30&lt;1,"0",'Entries March.''25'!O31-'Entries March.''25'!O30)</f>
        <v>31</v>
      </c>
      <c r="E30" s="32">
        <f>IF('Entries March.''25'!P31-'Entries March.''25'!P30&lt;1,"0",'Entries March.''25'!P31-'Entries March.''25'!P30)</f>
        <v>207</v>
      </c>
      <c r="F30" s="32">
        <f>IF('Entries March.''25'!V31-'Entries March.''25'!V30&lt;1,"0",'Entries March.''25'!V31-'Entries March.''25'!V30)</f>
        <v>220</v>
      </c>
      <c r="G30" s="32">
        <f t="shared" si="0"/>
        <v>18</v>
      </c>
      <c r="H30" s="32">
        <f>IF('Entries March.''25'!Q31-'Entries March.''25'!Q30&lt;1,0,'Entries March.''25'!Q31-'Entries March.''25'!Q30)</f>
        <v>135</v>
      </c>
      <c r="I30" s="32">
        <f>IF('Entries March.''25'!AG31-'Entries March.''25'!AG30&lt;1,0,'Entries March.''25'!AG31-'Entries March.''25'!AG30)</f>
        <v>0</v>
      </c>
      <c r="J30" s="32">
        <f>IF('Entries March.''25'!S31-'Entries March.''25'!S30&lt;1,"0",'Entries March.''25'!S31-'Entries March.''25'!S30)</f>
        <v>149</v>
      </c>
      <c r="K30" s="32" t="str">
        <f>IF('Entries March.''25'!R31-'Entries March.''25'!R30&lt;1,"0",'Entries March.''25'!R31-'Entries March.''25'!R30)</f>
        <v>0</v>
      </c>
      <c r="L30" s="32" t="str">
        <f>IF('Entries March.''25'!T31-'Entries March.''25'!T30&lt;1,"0",'Entries March.''25'!T31-'Entries March.''25'!T30)</f>
        <v>0</v>
      </c>
      <c r="M30" s="32" t="str">
        <f>IF('Entries March.''25'!U31-'Entries March.''25'!U30&lt;1,"0",'Entries March.''25'!U31-'Entries March.''25'!U30)</f>
        <v>0</v>
      </c>
      <c r="N30" s="32">
        <f>IF('Entries March.''25'!X31-'Entries March.''25'!X30&lt;1,"0",'Entries March.''25'!X31-'Entries March.''25'!X30)</f>
        <v>31</v>
      </c>
      <c r="O30" s="32">
        <f>IF('Entries March.''25'!Y31-'Entries March.''25'!Y30&lt;1,"0",'Entries March.''25'!Y31-'Entries March.''25'!Y30)</f>
        <v>60</v>
      </c>
      <c r="P30" s="32">
        <f>IF('Entries March.''25'!AC31-'Entries March.''25'!AC30&lt;1,"0",'Entries March.''25'!AC31-'Entries March.''25'!AC30)</f>
        <v>8</v>
      </c>
      <c r="Q30" s="32">
        <f>IF('Entries March.''25'!Z31-'Entries March.''25'!Z30&lt;1,"0",'Entries March.''25'!Z31-'Entries March.''25'!Z30)</f>
        <v>43</v>
      </c>
      <c r="R30" s="32" t="str">
        <f>IF(('Entries March.''25'!AA31-'Entries March.''25'!AA30)+('Entries March.''25'!AB31-'Entries March.''25'!AB30)&lt;1,"0",('Entries March.''25'!AA31-'Entries March.''25'!AA30)+('Entries March.''25'!AB31-'Entries March.''25'!AB30))</f>
        <v>0</v>
      </c>
      <c r="S30" s="80">
        <f t="shared" si="1"/>
        <v>180</v>
      </c>
      <c r="T30" s="80">
        <f t="shared" si="2"/>
        <v>91</v>
      </c>
      <c r="U30" s="32">
        <f>IF('Entries March.''25'!AC31-'Entries March.''25'!AC30&lt;1,"0",'Entries March.''25'!AC31-'Entries March.''25'!AC30)</f>
        <v>8</v>
      </c>
      <c r="V30" s="32" t="str">
        <f>IF('Entries March.''25'!AD31-'Entries March.''25'!AD30&lt;1,"0",'Entries March.''25'!AD31-'Entries March.''25'!AD30)</f>
        <v>0</v>
      </c>
      <c r="W30" s="32" t="str">
        <f>IF('Entries March.''25'!AE31-'Entries March.''25'!AE30&lt;1,"0",'Entries March.''25'!AE31-'Entries March.''25'!AE30)</f>
        <v>0</v>
      </c>
      <c r="X30" s="109" t="str">
        <f>IF('Entries March.''25'!AI31-'Entries March.''25'!AI30&lt;1,"0",'Entries March.''25'!AI31-'Entries March.''25'!AI30)</f>
        <v>0</v>
      </c>
      <c r="Y30" s="109" t="str">
        <f>IF('Entries March.''25'!AH31-'Entries March.''25'!AH30&lt;1,"0",'Entries March.''25'!AH31-'Entries March.''25'!AH30)</f>
        <v>0</v>
      </c>
      <c r="Z30" s="612">
        <f t="shared" si="3"/>
        <v>238</v>
      </c>
      <c r="AA30" s="613">
        <v>67.38600000000001</v>
      </c>
      <c r="AB30" s="614">
        <f t="shared" si="4"/>
        <v>35.318908972190066</v>
      </c>
    </row>
    <row r="31" spans="1:32" x14ac:dyDescent="0.2">
      <c r="B31" s="79">
        <v>25</v>
      </c>
      <c r="C31" s="80" t="str">
        <f>IF('Entries March.''25'!W32-'Entries March.''25'!W31&lt;1,"0",'Entries March.''25'!W32-'Entries March.''25'!W31)</f>
        <v>0</v>
      </c>
      <c r="D31" s="32">
        <f>IF('Entries March.''25'!O32-'Entries March.''25'!O31&lt;1,"0",'Entries March.''25'!O32-'Entries March.''25'!O31)</f>
        <v>173</v>
      </c>
      <c r="E31" s="32">
        <f>IF('Entries March.''25'!P32-'Entries March.''25'!P31&lt;1,"0",'Entries March.''25'!P32-'Entries March.''25'!P31)</f>
        <v>123</v>
      </c>
      <c r="F31" s="32">
        <f>IF('Entries March.''25'!V32-'Entries March.''25'!V31&lt;1,"0",'Entries March.''25'!V32-'Entries March.''25'!V31)</f>
        <v>124</v>
      </c>
      <c r="G31" s="32">
        <f t="shared" si="0"/>
        <v>172</v>
      </c>
      <c r="H31" s="32">
        <f>IF('Entries March.''25'!Q32-'Entries March.''25'!Q31&lt;1,0,'Entries March.''25'!Q32-'Entries March.''25'!Q31)</f>
        <v>276</v>
      </c>
      <c r="I31" s="32">
        <f>IF('Entries March.''25'!AG32-'Entries March.''25'!AG31&lt;1,0,'Entries March.''25'!AG32-'Entries March.''25'!AG31)</f>
        <v>0</v>
      </c>
      <c r="J31" s="32">
        <f>IF('Entries March.''25'!S32-'Entries March.''25'!S31&lt;1,"0",'Entries March.''25'!S32-'Entries March.''25'!S31)</f>
        <v>160</v>
      </c>
      <c r="K31" s="32" t="str">
        <f>IF('Entries March.''25'!R32-'Entries March.''25'!R31&lt;1,"0",'Entries March.''25'!R32-'Entries March.''25'!R31)</f>
        <v>0</v>
      </c>
      <c r="L31" s="32" t="str">
        <f>IF('Entries March.''25'!T32-'Entries March.''25'!T31&lt;1,"0",'Entries March.''25'!T32-'Entries March.''25'!T31)</f>
        <v>0</v>
      </c>
      <c r="M31" s="32" t="str">
        <f>IF('Entries March.''25'!U32-'Entries March.''25'!U31&lt;1,"0",'Entries March.''25'!U32-'Entries March.''25'!U31)</f>
        <v>0</v>
      </c>
      <c r="N31" s="32">
        <f>IF('Entries March.''25'!X32-'Entries March.''25'!X31&lt;1,"0",'Entries March.''25'!X32-'Entries March.''25'!X31)</f>
        <v>45</v>
      </c>
      <c r="O31" s="32">
        <f>IF('Entries March.''25'!Y32-'Entries March.''25'!Y31&lt;1,"0",'Entries March.''25'!Y32-'Entries March.''25'!Y31)</f>
        <v>143</v>
      </c>
      <c r="P31" s="32">
        <f>IF('Entries March.''25'!AC32-'Entries March.''25'!AC31&lt;1,"0",'Entries March.''25'!AC32-'Entries March.''25'!AC31)</f>
        <v>25</v>
      </c>
      <c r="Q31" s="32">
        <f>IF('Entries March.''25'!Z32-'Entries March.''25'!Z31&lt;1,"0",'Entries March.''25'!Z32-'Entries March.''25'!Z31)</f>
        <v>35</v>
      </c>
      <c r="R31" s="32" t="str">
        <f>IF(('Entries March.''25'!AA32-'Entries March.''25'!AA31)+('Entries March.''25'!AB32-'Entries March.''25'!AB31)&lt;1,"0",('Entries March.''25'!AA32-'Entries March.''25'!AA31)+('Entries March.''25'!AB32-'Entries March.''25'!AB31))</f>
        <v>0</v>
      </c>
      <c r="S31" s="80">
        <f t="shared" si="1"/>
        <v>1720</v>
      </c>
      <c r="T31" s="80">
        <f t="shared" si="2"/>
        <v>188</v>
      </c>
      <c r="U31" s="32">
        <f>IF('Entries March.''25'!AC32-'Entries March.''25'!AC31&lt;1,"0",'Entries March.''25'!AC32-'Entries March.''25'!AC31)</f>
        <v>25</v>
      </c>
      <c r="V31" s="32" t="str">
        <f>IF('Entries March.''25'!AD32-'Entries March.''25'!AD31&lt;1,"0",'Entries March.''25'!AD32-'Entries March.''25'!AD31)</f>
        <v>0</v>
      </c>
      <c r="W31" s="32" t="str">
        <f>IF('Entries March.''25'!AE32-'Entries March.''25'!AE31&lt;1,"0",'Entries March.''25'!AE32-'Entries March.''25'!AE31)</f>
        <v>0</v>
      </c>
      <c r="X31" s="109" t="str">
        <f>IF('Entries March.''25'!AI32-'Entries March.''25'!AI31&lt;1,"0",'Entries March.''25'!AI32-'Entries March.''25'!AI31)</f>
        <v>0</v>
      </c>
      <c r="Y31" s="109" t="str">
        <f>IF('Entries March.''25'!AH32-'Entries March.''25'!AH31&lt;1,"0",'Entries March.''25'!AH32-'Entries March.''25'!AH31)</f>
        <v>0</v>
      </c>
      <c r="Z31" s="612">
        <f t="shared" si="3"/>
        <v>296</v>
      </c>
      <c r="AA31" s="613">
        <v>623.43600000000004</v>
      </c>
      <c r="AB31" s="614">
        <f t="shared" si="4"/>
        <v>4.7478810976587811</v>
      </c>
      <c r="AF31" s="8" t="s">
        <v>61</v>
      </c>
    </row>
    <row r="32" spans="1:32" x14ac:dyDescent="0.2">
      <c r="B32" s="79">
        <v>26</v>
      </c>
      <c r="C32" s="80" t="str">
        <f>IF('Entries March.''25'!W33-'Entries March.''25'!W32&lt;1,"0",'Entries March.''25'!W33-'Entries March.''25'!W32)</f>
        <v>0</v>
      </c>
      <c r="D32" s="32">
        <f>IF('Entries March.''25'!O33-'Entries March.''25'!O32&lt;1,"0",'Entries March.''25'!O33-'Entries March.''25'!O32)</f>
        <v>460</v>
      </c>
      <c r="E32" s="32">
        <f>IF('Entries March.''25'!P33-'Entries March.''25'!P32&lt;1,"0",'Entries March.''25'!P33-'Entries March.''25'!P32)</f>
        <v>156</v>
      </c>
      <c r="F32" s="32">
        <f>IF('Entries March.''25'!V33-'Entries March.''25'!V32&lt;1,"0",'Entries March.''25'!V33-'Entries March.''25'!V32)</f>
        <v>165</v>
      </c>
      <c r="G32" s="32">
        <f t="shared" si="0"/>
        <v>451</v>
      </c>
      <c r="H32" s="32">
        <f>IF('Entries March.''25'!Q33-'Entries March.''25'!Q32&lt;1,0,'Entries March.''25'!Q33-'Entries March.''25'!Q32)</f>
        <v>243</v>
      </c>
      <c r="I32" s="32">
        <f>IF('Entries March.''25'!AG33-'Entries March.''25'!AG32&lt;1,0,'Entries March.''25'!AG33-'Entries March.''25'!AG32)</f>
        <v>0</v>
      </c>
      <c r="J32" s="32">
        <f>IF('Entries March.''25'!S33-'Entries March.''25'!S32&lt;1,"0",'Entries March.''25'!S33-'Entries March.''25'!S32)</f>
        <v>266</v>
      </c>
      <c r="K32" s="32" t="str">
        <f>IF('Entries March.''25'!R33-'Entries March.''25'!R32&lt;1,"0",'Entries March.''25'!R33-'Entries March.''25'!R32)</f>
        <v>0</v>
      </c>
      <c r="L32" s="32" t="str">
        <f>IF('Entries March.''25'!T33-'Entries March.''25'!T32&lt;1,"0",'Entries March.''25'!T33-'Entries March.''25'!T32)</f>
        <v>0</v>
      </c>
      <c r="M32" s="32" t="str">
        <f>IF('Entries March.''25'!U33-'Entries March.''25'!U32&lt;1,"0",'Entries March.''25'!U33-'Entries March.''25'!U32)</f>
        <v>0</v>
      </c>
      <c r="N32" s="32">
        <f>IF('Entries March.''25'!X33-'Entries March.''25'!X32&lt;1,"0",'Entries March.''25'!X33-'Entries March.''25'!X32)</f>
        <v>44</v>
      </c>
      <c r="O32" s="32">
        <f>IF('Entries March.''25'!Y33-'Entries March.''25'!Y32&lt;1,"0",'Entries March.''25'!Y33-'Entries March.''25'!Y32)</f>
        <v>108</v>
      </c>
      <c r="P32" s="32">
        <f>IF('Entries March.''25'!AC33-'Entries March.''25'!AC32&lt;1,"0",'Entries March.''25'!AC33-'Entries March.''25'!AC32)</f>
        <v>23</v>
      </c>
      <c r="Q32" s="32">
        <f>IF('Entries March.''25'!Z33-'Entries March.''25'!Z32&lt;1,"0",'Entries March.''25'!Z33-'Entries March.''25'!Z32)</f>
        <v>45</v>
      </c>
      <c r="R32" s="32" t="str">
        <f>IF(('Entries March.''25'!AA33-'Entries March.''25'!AA32)+('Entries March.''25'!AB33-'Entries March.''25'!AB32)&lt;1,"0",('Entries March.''25'!AA33-'Entries March.''25'!AA32)+('Entries March.''25'!AB33-'Entries March.''25'!AB32))</f>
        <v>0</v>
      </c>
      <c r="S32" s="80">
        <f t="shared" si="1"/>
        <v>4510</v>
      </c>
      <c r="T32" s="80">
        <f t="shared" si="2"/>
        <v>152</v>
      </c>
      <c r="U32" s="32">
        <f>IF('Entries March.''25'!AC33-'Entries March.''25'!AC32&lt;1,"0",'Entries March.''25'!AC33-'Entries March.''25'!AC32)</f>
        <v>23</v>
      </c>
      <c r="V32" s="32" t="str">
        <f>IF('Entries March.''25'!AD33-'Entries March.''25'!AD32&lt;1,"0",'Entries March.''25'!AD33-'Entries March.''25'!AD32)</f>
        <v>0</v>
      </c>
      <c r="W32" s="32" t="str">
        <f>IF('Entries March.''25'!AE33-'Entries March.''25'!AE32&lt;1,"0",'Entries March.''25'!AE33-'Entries March.''25'!AE32)</f>
        <v>0</v>
      </c>
      <c r="X32" s="109" t="str">
        <f>IF('Entries March.''25'!AI33-'Entries March.''25'!AI32&lt;1,"0",'Entries March.''25'!AI33-'Entries March.''25'!AI32)</f>
        <v>0</v>
      </c>
      <c r="Y32" s="109" t="str">
        <f>IF('Entries March.''25'!AH33-'Entries March.''25'!AH32&lt;1,"0",'Entries March.''25'!AH33-'Entries March.''25'!AH32)</f>
        <v>0</v>
      </c>
      <c r="Z32" s="612">
        <f t="shared" si="3"/>
        <v>616</v>
      </c>
      <c r="AA32" s="613">
        <v>589.31400000000008</v>
      </c>
      <c r="AB32" s="614">
        <f t="shared" si="4"/>
        <v>10.452831597416656</v>
      </c>
    </row>
    <row r="33" spans="1:36" x14ac:dyDescent="0.2">
      <c r="A33" s="30"/>
      <c r="B33" s="79">
        <v>27</v>
      </c>
      <c r="C33" s="80" t="str">
        <f>IF('Entries March.''25'!W34-'Entries March.''25'!W33&lt;1,"0",'Entries March.''25'!W34-'Entries March.''25'!W33)</f>
        <v>0</v>
      </c>
      <c r="D33" s="32">
        <f>IF('Entries March.''25'!O34-'Entries March.''25'!O33&lt;1,"0",'Entries March.''25'!O34-'Entries March.''25'!O33)</f>
        <v>52</v>
      </c>
      <c r="E33" s="32">
        <f>IF('Entries March.''25'!P34-'Entries March.''25'!P33&lt;1,"0",'Entries March.''25'!P34-'Entries March.''25'!P33)</f>
        <v>282</v>
      </c>
      <c r="F33" s="32">
        <f>IF('Entries March.''25'!V34-'Entries March.''25'!V33&lt;1,"0",'Entries March.''25'!V34-'Entries March.''25'!V33)</f>
        <v>294</v>
      </c>
      <c r="G33" s="32">
        <f t="shared" si="0"/>
        <v>40</v>
      </c>
      <c r="H33" s="32">
        <f>IF('Entries March.''25'!Q34-'Entries March.''25'!Q33&lt;1,0,'Entries March.''25'!Q34-'Entries March.''25'!Q33)</f>
        <v>240</v>
      </c>
      <c r="I33" s="32">
        <f>IF('Entries March.''25'!AG34-'Entries March.''25'!AG33&lt;1,0,'Entries March.''25'!AG34-'Entries March.''25'!AG33)</f>
        <v>0</v>
      </c>
      <c r="J33" s="32">
        <f>IF('Entries March.''25'!S34-'Entries March.''25'!S33&lt;1,"0",'Entries March.''25'!S34-'Entries March.''25'!S33)</f>
        <v>218</v>
      </c>
      <c r="K33" s="32" t="str">
        <f>IF('Entries March.''25'!R34-'Entries March.''25'!R33&lt;1,"0",'Entries March.''25'!R34-'Entries March.''25'!R33)</f>
        <v>0</v>
      </c>
      <c r="L33" s="32" t="str">
        <f>IF('Entries March.''25'!T34-'Entries March.''25'!T33&lt;1,"0",'Entries March.''25'!T34-'Entries March.''25'!T33)</f>
        <v>0</v>
      </c>
      <c r="M33" s="32">
        <f>IF('Entries March.''25'!U34-'Entries March.''25'!U33&lt;1,"0",'Entries March.''25'!U34-'Entries March.''25'!U33)</f>
        <v>1</v>
      </c>
      <c r="N33" s="32">
        <f>IF('Entries March.''25'!X34-'Entries March.''25'!X33&lt;1,"0",'Entries March.''25'!X34-'Entries March.''25'!X33)</f>
        <v>37</v>
      </c>
      <c r="O33" s="32">
        <f>IF('Entries March.''25'!Y34-'Entries March.''25'!Y33&lt;1,"0",'Entries March.''25'!Y34-'Entries March.''25'!Y33)</f>
        <v>95</v>
      </c>
      <c r="P33" s="32">
        <f>IF('Entries March.''25'!AC34-'Entries March.''25'!AC33&lt;1,"0",'Entries March.''25'!AC34-'Entries March.''25'!AC33)</f>
        <v>23</v>
      </c>
      <c r="Q33" s="32">
        <f>IF('Entries March.''25'!Z34-'Entries March.''25'!Z33&lt;1,"0",'Entries March.''25'!Z34-'Entries March.''25'!Z33)</f>
        <v>47</v>
      </c>
      <c r="R33" s="32" t="str">
        <f>IF(('Entries March.''25'!AA34-'Entries March.''25'!AA33)+('Entries March.''25'!AB34-'Entries March.''25'!AB33)&lt;1,"0",('Entries March.''25'!AA34-'Entries March.''25'!AA33)+('Entries March.''25'!AB34-'Entries March.''25'!AB33))</f>
        <v>0</v>
      </c>
      <c r="S33" s="80">
        <f t="shared" si="1"/>
        <v>400</v>
      </c>
      <c r="T33" s="80">
        <f t="shared" si="2"/>
        <v>133</v>
      </c>
      <c r="U33" s="32">
        <f>IF('Entries March.''25'!AC34-'Entries March.''25'!AC33&lt;1,"0",'Entries March.''25'!AC34-'Entries March.''25'!AC33)</f>
        <v>23</v>
      </c>
      <c r="V33" s="32">
        <f>IF('Entries March.''25'!AD34-'Entries March.''25'!AD33&lt;1,"0",'Entries March.''25'!AD34-'Entries March.''25'!AD33)</f>
        <v>4</v>
      </c>
      <c r="W33" s="32" t="str">
        <f>IF('Entries March.''25'!AE34-'Entries March.''25'!AE33&lt;1,"0",'Entries March.''25'!AE34-'Entries March.''25'!AE33)</f>
        <v>0</v>
      </c>
      <c r="X33" s="109" t="str">
        <f>IF('Entries March.''25'!AI34-'Entries March.''25'!AI33&lt;1,"0",'Entries March.''25'!AI34-'Entries March.''25'!AI33)</f>
        <v>0</v>
      </c>
      <c r="Y33" s="109" t="str">
        <f>IF('Entries March.''25'!AH34-'Entries March.''25'!AH33&lt;1,"0",'Entries March.''25'!AH34-'Entries March.''25'!AH33)</f>
        <v>0</v>
      </c>
      <c r="Z33" s="612">
        <f t="shared" si="3"/>
        <v>334</v>
      </c>
      <c r="AA33" s="613">
        <v>535.85400000000004</v>
      </c>
      <c r="AB33" s="614">
        <f t="shared" si="4"/>
        <v>6.2330410895505111</v>
      </c>
    </row>
    <row r="34" spans="1:36" x14ac:dyDescent="0.2">
      <c r="A34" s="30"/>
      <c r="B34" s="79">
        <v>28</v>
      </c>
      <c r="C34" s="80" t="str">
        <f>IF('Entries March.''25'!W35-'Entries March.''25'!W34&lt;1,"0",'Entries March.''25'!W35-'Entries March.''25'!W34)</f>
        <v>0</v>
      </c>
      <c r="D34" s="32">
        <f>IF('Entries March.''25'!O35-'Entries March.''25'!O34&lt;1,"0",'Entries March.''25'!O35-'Entries March.''25'!O34)</f>
        <v>167</v>
      </c>
      <c r="E34" s="32">
        <f>IF('Entries March.''25'!P35-'Entries March.''25'!P34&lt;1,"0",'Entries March.''25'!P35-'Entries March.''25'!P34)</f>
        <v>275</v>
      </c>
      <c r="F34" s="32">
        <f>IF('Entries March.''25'!V35-'Entries March.''25'!V34&lt;1,"0",'Entries March.''25'!V35-'Entries March.''25'!V34)</f>
        <v>297</v>
      </c>
      <c r="G34" s="32">
        <f t="shared" si="0"/>
        <v>145</v>
      </c>
      <c r="H34" s="32">
        <f>IF('Entries March.''25'!Q35-'Entries March.''25'!Q34&lt;1,0,'Entries March.''25'!Q35-'Entries March.''25'!Q34)</f>
        <v>221</v>
      </c>
      <c r="I34" s="32">
        <f>IF('Entries March.''25'!AG35-'Entries March.''25'!AG34&lt;1,0,'Entries March.''25'!AG35-'Entries March.''25'!AG34)</f>
        <v>0</v>
      </c>
      <c r="J34" s="32">
        <f>IF('Entries March.''25'!S35-'Entries March.''25'!S34&lt;1,"0",'Entries March.''25'!S35-'Entries March.''25'!S34)</f>
        <v>157</v>
      </c>
      <c r="K34" s="32" t="str">
        <f>IF('Entries March.''25'!R35-'Entries March.''25'!R34&lt;1,"0",'Entries March.''25'!R35-'Entries March.''25'!R34)</f>
        <v>0</v>
      </c>
      <c r="L34" s="32" t="str">
        <f>IF('Entries March.''25'!T35-'Entries March.''25'!T34&lt;1,"0",'Entries March.''25'!T35-'Entries March.''25'!T34)</f>
        <v>0</v>
      </c>
      <c r="M34" s="32" t="str">
        <f>IF('Entries March.''25'!U35-'Entries March.''25'!U34&lt;1,"0",'Entries March.''25'!U35-'Entries March.''25'!U34)</f>
        <v>0</v>
      </c>
      <c r="N34" s="32">
        <f>IF('Entries March.''25'!X35-'Entries March.''25'!X34&lt;1,"0",'Entries March.''25'!X35-'Entries March.''25'!X34)</f>
        <v>81</v>
      </c>
      <c r="O34" s="32">
        <f>IF('Entries March.''25'!Y35-'Entries March.''25'!Y34&lt;1,"0",'Entries March.''25'!Y35-'Entries March.''25'!Y34)</f>
        <v>61</v>
      </c>
      <c r="P34" s="32">
        <f>IF('Entries March.''25'!AC35-'Entries March.''25'!AC34&lt;1,"0",'Entries March.''25'!AC35-'Entries March.''25'!AC34)</f>
        <v>10</v>
      </c>
      <c r="Q34" s="32">
        <f>IF('Entries March.''25'!Z35-'Entries March.''25'!Z34&lt;1,"0",'Entries March.''25'!Z35-'Entries March.''25'!Z34)</f>
        <v>44</v>
      </c>
      <c r="R34" s="32" t="str">
        <f>IF(('Entries March.''25'!AA35-'Entries March.''25'!AA34)+('Entries March.''25'!AB35-'Entries March.''25'!AB34)&lt;1,"0",('Entries March.''25'!AA35-'Entries March.''25'!AA34)+('Entries March.''25'!AB35-'Entries March.''25'!AB34))</f>
        <v>0</v>
      </c>
      <c r="S34" s="80">
        <f t="shared" si="1"/>
        <v>1450</v>
      </c>
      <c r="T34" s="80">
        <f t="shared" si="2"/>
        <v>142</v>
      </c>
      <c r="U34" s="32">
        <f>IF('Entries March.''25'!AC35-'Entries March.''25'!AC34&lt;1,"0",'Entries March.''25'!AC35-'Entries March.''25'!AC34)</f>
        <v>10</v>
      </c>
      <c r="V34" s="32">
        <f>IF('Entries March.''25'!AD35-'Entries March.''25'!AD34&lt;1,"0",'Entries March.''25'!AD35-'Entries March.''25'!AD34)</f>
        <v>1</v>
      </c>
      <c r="W34" s="32" t="str">
        <f>IF('Entries March.''25'!AE35-'Entries March.''25'!AE34&lt;1,"0",'Entries March.''25'!AE35-'Entries March.''25'!AE34)</f>
        <v>0</v>
      </c>
      <c r="X34" s="109" t="str">
        <f>IF('Entries March.''25'!AI35-'Entries March.''25'!AI34&lt;1,"0",'Entries March.''25'!AI35-'Entries March.''25'!AI34)</f>
        <v>0</v>
      </c>
      <c r="Y34" s="109" t="str">
        <f>IF('Entries March.''25'!AH35-'Entries March.''25'!AH34&lt;1,"0",'Entries March.''25'!AH35-'Entries March.''25'!AH34)</f>
        <v>0</v>
      </c>
      <c r="Z34" s="612">
        <f t="shared" si="3"/>
        <v>442</v>
      </c>
      <c r="AA34" s="613">
        <v>181.81440000000001</v>
      </c>
      <c r="AB34" s="614">
        <f t="shared" si="4"/>
        <v>24.310505658517695</v>
      </c>
    </row>
    <row r="35" spans="1:36" x14ac:dyDescent="0.2">
      <c r="B35" s="79">
        <v>29</v>
      </c>
      <c r="C35" s="80" t="str">
        <f>IF('Entries March.''25'!W36-'Entries March.''25'!W35&lt;1,"0",'Entries March.''25'!W36-'Entries March.''25'!W35)</f>
        <v>0</v>
      </c>
      <c r="D35" s="32" t="str">
        <f>IF('Entries March.''25'!O36-'Entries March.''25'!O35&lt;1,"0",'Entries March.''25'!O36-'Entries March.''25'!O35)</f>
        <v>0</v>
      </c>
      <c r="E35" s="32">
        <f>IF('Entries March.''25'!P36-'Entries March.''25'!P35&lt;1,"0",'Entries March.''25'!P36-'Entries March.''25'!P35)</f>
        <v>157</v>
      </c>
      <c r="F35" s="32">
        <f>IF('Entries March.''25'!V36-'Entries March.''25'!V35&lt;1,"0",'Entries March.''25'!V36-'Entries March.''25'!V35)</f>
        <v>161</v>
      </c>
      <c r="G35" s="32">
        <f t="shared" si="0"/>
        <v>-4</v>
      </c>
      <c r="H35" s="32">
        <f>IF('Entries March.''25'!Q36-'Entries March.''25'!Q35&lt;1,0,'Entries March.''25'!Q36-'Entries March.''25'!Q35)</f>
        <v>37</v>
      </c>
      <c r="I35" s="32">
        <f>IF('Entries March.''25'!AG36-'Entries March.''25'!AG35&lt;1,0,'Entries March.''25'!AG36-'Entries March.''25'!AG35)</f>
        <v>0</v>
      </c>
      <c r="J35" s="32">
        <f>IF('Entries March.''25'!S36-'Entries March.''25'!S35&lt;1,"0",'Entries March.''25'!S36-'Entries March.''25'!S35)</f>
        <v>29</v>
      </c>
      <c r="K35" s="32" t="str">
        <f>IF('Entries March.''25'!R36-'Entries March.''25'!R35&lt;1,"0",'Entries March.''25'!R36-'Entries March.''25'!R35)</f>
        <v>0</v>
      </c>
      <c r="L35" s="32" t="str">
        <f>IF('Entries March.''25'!T36-'Entries March.''25'!T35&lt;1,"0",'Entries March.''25'!T36-'Entries March.''25'!T35)</f>
        <v>0</v>
      </c>
      <c r="M35" s="32" t="str">
        <f>IF('Entries March.''25'!U36-'Entries March.''25'!U35&lt;1,"0",'Entries March.''25'!U36-'Entries March.''25'!U35)</f>
        <v>0</v>
      </c>
      <c r="N35" s="32">
        <f>IF('Entries March.''25'!X36-'Entries March.''25'!X35&lt;1,"0",'Entries March.''25'!X36-'Entries March.''25'!X35)</f>
        <v>18</v>
      </c>
      <c r="O35" s="32" t="str">
        <f>IF('Entries March.''25'!Y36-'Entries March.''25'!Y35&lt;1,"0",'Entries March.''25'!Y36-'Entries March.''25'!Y35)</f>
        <v>0</v>
      </c>
      <c r="P35" s="32" t="str">
        <f>IF('Entries March.''25'!AC36-'Entries March.''25'!AC35&lt;1,"0",'Entries March.''25'!AC36-'Entries March.''25'!AC35)</f>
        <v>0</v>
      </c>
      <c r="Q35" s="32">
        <f>IF('Entries March.''25'!Z36-'Entries March.''25'!Z35&lt;1,"0",'Entries March.''25'!Z36-'Entries March.''25'!Z35)</f>
        <v>30</v>
      </c>
      <c r="R35" s="32" t="str">
        <f>IF(('Entries March.''25'!AA36-'Entries March.''25'!AA35)+('Entries March.''25'!AB36-'Entries March.''25'!AB35)&lt;1,"0",('Entries March.''25'!AA36-'Entries March.''25'!AA35)+('Entries March.''25'!AB36-'Entries March.''25'!AB35))</f>
        <v>0</v>
      </c>
      <c r="S35" s="80">
        <f t="shared" si="1"/>
        <v>-40</v>
      </c>
      <c r="T35" s="80">
        <f t="shared" si="2"/>
        <v>18</v>
      </c>
      <c r="U35" s="32" t="str">
        <f>IF('Entries March.''25'!AC36-'Entries March.''25'!AC35&lt;1,"0",'Entries March.''25'!AC36-'Entries March.''25'!AC35)</f>
        <v>0</v>
      </c>
      <c r="V35" s="32" t="str">
        <f>IF('Entries March.''25'!AD36-'Entries March.''25'!AD35&lt;1,"0",'Entries March.''25'!AD36-'Entries March.''25'!AD35)</f>
        <v>0</v>
      </c>
      <c r="W35" s="32" t="str">
        <f>IF('Entries March.''25'!AE36-'Entries March.''25'!AE35&lt;1,"0",'Entries March.''25'!AE36-'Entries March.''25'!AE35)</f>
        <v>0</v>
      </c>
      <c r="X35" s="109" t="str">
        <f>IF('Entries March.''25'!AI36-'Entries March.''25'!AI35&lt;1,"0",'Entries March.''25'!AI36-'Entries March.''25'!AI35)</f>
        <v>0</v>
      </c>
      <c r="Y35" s="109" t="str">
        <f>IF('Entries March.''25'!AH36-'Entries March.''25'!AH35&lt;1,"0",'Entries March.''25'!AH36-'Entries March.''25'!AH35)</f>
        <v>0</v>
      </c>
      <c r="Z35" s="612">
        <f t="shared" si="3"/>
        <v>157</v>
      </c>
      <c r="AA35" s="613">
        <v>31.762500000000003</v>
      </c>
      <c r="AB35" s="614">
        <f t="shared" si="4"/>
        <v>49.429358520267606</v>
      </c>
    </row>
    <row r="36" spans="1:36" x14ac:dyDescent="0.2">
      <c r="B36" s="79">
        <v>30</v>
      </c>
      <c r="C36" s="80" t="str">
        <f>IF('Entries March.''25'!W37-'Entries March.''25'!W36&lt;1,"0",'Entries March.''25'!W37-'Entries March.''25'!W36)</f>
        <v>0</v>
      </c>
      <c r="D36" s="32" t="str">
        <f>IF('Entries March.''25'!O37-'Entries March.''25'!O36&lt;1,"0",'Entries March.''25'!O37-'Entries March.''25'!O36)</f>
        <v>0</v>
      </c>
      <c r="E36" s="32" t="str">
        <f>IF('Entries March.''25'!P37-'Entries March.''25'!P36&lt;1,"0",'Entries March.''25'!P37-'Entries March.''25'!P36)</f>
        <v>0</v>
      </c>
      <c r="F36" s="32" t="str">
        <f>IF('Entries March.''25'!V37-'Entries March.''25'!V36&lt;1,"0",'Entries March.''25'!V37-'Entries March.''25'!V36)</f>
        <v>0</v>
      </c>
      <c r="G36" s="32">
        <f t="shared" si="0"/>
        <v>0</v>
      </c>
      <c r="H36" s="32">
        <f>IF('Entries March.''25'!Q37-'Entries March.''25'!Q36&lt;1,0,'Entries March.''25'!Q37-'Entries March.''25'!Q36)</f>
        <v>13</v>
      </c>
      <c r="I36" s="32">
        <f>IF('Entries March.''25'!AG37-'Entries March.''25'!AG36&lt;1,0,'Entries March.''25'!AG37-'Entries March.''25'!AG36)</f>
        <v>0</v>
      </c>
      <c r="J36" s="32" t="str">
        <f>IF('Entries March.''25'!S37-'Entries March.''25'!S36&lt;1,"0",'Entries March.''25'!S37-'Entries March.''25'!S36)</f>
        <v>0</v>
      </c>
      <c r="K36" s="32" t="str">
        <f>IF('Entries March.''25'!R37-'Entries March.''25'!R36&lt;1,"0",'Entries March.''25'!R37-'Entries March.''25'!R36)</f>
        <v>0</v>
      </c>
      <c r="L36" s="32" t="str">
        <f>IF('Entries March.''25'!T37-'Entries March.''25'!T36&lt;1,"0",'Entries March.''25'!T37-'Entries March.''25'!T36)</f>
        <v>0</v>
      </c>
      <c r="M36" s="32" t="str">
        <f>IF('Entries March.''25'!U37-'Entries March.''25'!U36&lt;1,"0",'Entries March.''25'!U37-'Entries March.''25'!U36)</f>
        <v>0</v>
      </c>
      <c r="N36" s="32" t="str">
        <f>IF('Entries March.''25'!X37-'Entries March.''25'!X36&lt;1,"0",'Entries March.''25'!X37-'Entries March.''25'!X36)</f>
        <v>0</v>
      </c>
      <c r="O36" s="32" t="str">
        <f>IF('Entries March.''25'!Y37-'Entries March.''25'!Y36&lt;1,"0",'Entries March.''25'!Y37-'Entries March.''25'!Y36)</f>
        <v>0</v>
      </c>
      <c r="P36" s="32" t="str">
        <f>IF('Entries March.''25'!AC37-'Entries March.''25'!AC36&lt;1,"0",'Entries March.''25'!AC37-'Entries March.''25'!AC36)</f>
        <v>0</v>
      </c>
      <c r="Q36" s="32">
        <f>IF('Entries March.''25'!Z37-'Entries March.''25'!Z36&lt;1,"0",'Entries March.''25'!Z37-'Entries March.''25'!Z36)</f>
        <v>20</v>
      </c>
      <c r="R36" s="32" t="str">
        <f>IF(('Entries March.''25'!AA37-'Entries March.''25'!AA36)+('Entries March.''25'!AB37-'Entries March.''25'!AB36)&lt;1,"0",('Entries March.''25'!AA37-'Entries March.''25'!AA36)+('Entries March.''25'!AB37-'Entries March.''25'!AB36))</f>
        <v>0</v>
      </c>
      <c r="S36" s="80">
        <f t="shared" si="1"/>
        <v>0</v>
      </c>
      <c r="T36" s="80">
        <f t="shared" si="2"/>
        <v>0</v>
      </c>
      <c r="U36" s="32" t="str">
        <f>IF('Entries March.''25'!AC37-'Entries March.''25'!AC36&lt;1,"0",'Entries March.''25'!AC37-'Entries March.''25'!AC36)</f>
        <v>0</v>
      </c>
      <c r="V36" s="32" t="str">
        <f>IF('Entries March.''25'!AD37-'Entries March.''25'!AD36&lt;1,"0",'Entries March.''25'!AD37-'Entries March.''25'!AD36)</f>
        <v>0</v>
      </c>
      <c r="W36" s="32" t="str">
        <f>IF('Entries March.''25'!AE37-'Entries March.''25'!AE36&lt;1,"0",'Entries March.''25'!AE37-'Entries March.''25'!AE36)</f>
        <v>0</v>
      </c>
      <c r="X36" s="109" t="str">
        <f>IF('Entries March.''25'!AI37-'Entries March.''25'!AI36&lt;1,"0",'Entries March.''25'!AI37-'Entries March.''25'!AI36)</f>
        <v>0</v>
      </c>
      <c r="Y36" s="109" t="str">
        <f>IF('Entries March.''25'!AH37-'Entries March.''25'!AH36&lt;1,"0",'Entries March.''25'!AH37-'Entries March.''25'!AH36)</f>
        <v>0</v>
      </c>
      <c r="Z36" s="612">
        <f t="shared" si="3"/>
        <v>0</v>
      </c>
      <c r="AA36" s="613" t="str">
        <v>0</v>
      </c>
      <c r="AB36" s="614" t="str">
        <f t="shared" si="4"/>
        <v>0</v>
      </c>
    </row>
    <row r="37" spans="1:36" ht="15.75" x14ac:dyDescent="0.2">
      <c r="B37" s="79">
        <v>31</v>
      </c>
      <c r="C37" s="80" t="str">
        <f>IF('Entries March.''25'!W38-'Entries March.''25'!W37&lt;1,"0",'Entries March.''25'!W38-'Entries March.''25'!W37)</f>
        <v>0</v>
      </c>
      <c r="D37" s="32">
        <f>IF('Entries March.''25'!O38-'Entries March.''25'!O37&lt;1,"0",'Entries March.''25'!O38-'Entries March.''25'!O37)</f>
        <v>75</v>
      </c>
      <c r="E37" s="32">
        <f>IF('Entries March.''25'!P38-'Entries March.''25'!P37&lt;1,"0",'Entries March.''25'!P38-'Entries March.''25'!P37)</f>
        <v>251</v>
      </c>
      <c r="F37" s="32">
        <f>IF('Entries March.''25'!V38-'Entries March.''25'!V37&lt;1,"0",'Entries March.''25'!V38-'Entries March.''25'!V37)</f>
        <v>264</v>
      </c>
      <c r="G37" s="32">
        <f t="shared" si="0"/>
        <v>62</v>
      </c>
      <c r="H37" s="32">
        <f>IF('Entries March.''25'!Q38-'Entries March.''25'!Q37&lt;1,0,'Entries March.''25'!Q38-'Entries March.''25'!Q37)</f>
        <v>207</v>
      </c>
      <c r="I37" s="32">
        <f>IF('Entries March.''25'!AG38-'Entries March.''25'!AG37&lt;1,0,'Entries March.''25'!AG38-'Entries March.''25'!AG37)</f>
        <v>0</v>
      </c>
      <c r="J37" s="32">
        <f>IF('Entries March.''25'!S38-'Entries March.''25'!S37&lt;1,"0",'Entries March.''25'!S38-'Entries March.''25'!S37)</f>
        <v>75</v>
      </c>
      <c r="K37" s="32" t="str">
        <f>IF('Entries March.''25'!R38-'Entries March.''25'!R37&lt;1,"0",'Entries March.''25'!R38-'Entries March.''25'!R37)</f>
        <v>0</v>
      </c>
      <c r="L37" s="32" t="str">
        <f>IF('Entries March.''25'!T38-'Entries March.''25'!T37&lt;1,"0",'Entries March.''25'!T38-'Entries March.''25'!T37)</f>
        <v>0</v>
      </c>
      <c r="M37" s="32" t="str">
        <f>IF('Entries March.''25'!U38-'Entries March.''25'!U37&lt;1,"0",'Entries March.''25'!U38-'Entries March.''25'!U37)</f>
        <v>0</v>
      </c>
      <c r="N37" s="32">
        <f>IF('Entries March.''25'!X38-'Entries March.''25'!X37&lt;1,"0",'Entries March.''25'!X38-'Entries March.''25'!X37)</f>
        <v>35</v>
      </c>
      <c r="O37" s="32">
        <f>IF('Entries March.''25'!Y38-'Entries March.''25'!Y37&lt;1,"0",'Entries March.''25'!Y38-'Entries March.''25'!Y37)</f>
        <v>86</v>
      </c>
      <c r="P37" s="32">
        <f>IF('Entries March.''25'!AC38-'Entries March.''25'!AC37&lt;1,"0",'Entries March.''25'!AC38-'Entries March.''25'!AC37)</f>
        <v>22</v>
      </c>
      <c r="Q37" s="32">
        <f>IF('Entries March.''25'!Z38-'Entries March.''25'!Z37&lt;1,"0",'Entries March.''25'!Z38-'Entries March.''25'!Z37)</f>
        <v>93</v>
      </c>
      <c r="R37" s="32" t="str">
        <f>IF(('Entries March.''25'!AA38-'Entries March.''25'!AA37)+('Entries March.''25'!AB38-'Entries March.''25'!AB37)&lt;1,"0",('Entries March.''25'!AA38-'Entries March.''25'!AA37)+('Entries March.''25'!AB38-'Entries March.''25'!AB37))</f>
        <v>0</v>
      </c>
      <c r="S37" s="80">
        <f t="shared" si="1"/>
        <v>620</v>
      </c>
      <c r="T37" s="80">
        <f t="shared" si="2"/>
        <v>121</v>
      </c>
      <c r="U37" s="32">
        <f>IF('Entries March.''25'!AC38-'Entries March.''25'!AC37&lt;1,"0",'Entries March.''25'!AC38-'Entries March.''25'!AC37)</f>
        <v>22</v>
      </c>
      <c r="V37" s="32" t="str">
        <f>IF('Entries March.''25'!AD38-'Entries March.''25'!AD37&lt;1,"0",'Entries March.''25'!AD38-'Entries March.''25'!AD37)</f>
        <v>0</v>
      </c>
      <c r="W37" s="32" t="str">
        <f>IF('Entries March.''25'!AE38-'Entries March.''25'!AE37&lt;1,"0",'Entries March.''25'!AE38-'Entries March.''25'!AE37)</f>
        <v>0</v>
      </c>
      <c r="X37" s="109" t="str">
        <f>IF('Entries March.''25'!AI38-'Entries March.''25'!AI37&lt;1,"0",'Entries March.''25'!AI38-'Entries March.''25'!AI37)</f>
        <v>0</v>
      </c>
      <c r="Y37" s="109" t="str">
        <f>IF('Entries March.''25'!AH38-'Entries March.''25'!AH37&lt;1,"0",'Entries March.''25'!AH38-'Entries March.''25'!AH37)</f>
        <v>0</v>
      </c>
      <c r="Z37" s="612">
        <f t="shared" si="3"/>
        <v>326</v>
      </c>
      <c r="AA37" s="613">
        <v>423.12600000000003</v>
      </c>
      <c r="AB37" s="614">
        <f t="shared" si="4"/>
        <v>7.7045608163998427</v>
      </c>
      <c r="AC37" s="603" t="s">
        <v>264</v>
      </c>
      <c r="AD37" s="287" t="s">
        <v>268</v>
      </c>
    </row>
    <row r="38" spans="1:36" s="577" customFormat="1" ht="18" x14ac:dyDescent="0.25">
      <c r="A38" s="577" t="s">
        <v>89</v>
      </c>
      <c r="B38" s="578" t="s">
        <v>55</v>
      </c>
      <c r="C38" s="579">
        <f t="shared" ref="C38:O38" si="5">SUM(C7:C37)</f>
        <v>0</v>
      </c>
      <c r="D38" s="579">
        <f>SUM(D7:D37)</f>
        <v>4478</v>
      </c>
      <c r="E38" s="579">
        <f t="shared" si="5"/>
        <v>3762</v>
      </c>
      <c r="F38" s="579">
        <f>SUM(F7:F37)</f>
        <v>3437</v>
      </c>
      <c r="G38" s="580">
        <f>SUM(G7:G37)</f>
        <v>4803</v>
      </c>
      <c r="H38" s="579">
        <f t="shared" si="5"/>
        <v>4226</v>
      </c>
      <c r="I38" s="579"/>
      <c r="J38" s="579">
        <f t="shared" si="5"/>
        <v>3904</v>
      </c>
      <c r="K38" s="579"/>
      <c r="L38" s="579">
        <f t="shared" si="5"/>
        <v>0</v>
      </c>
      <c r="M38" s="579">
        <f>SUM(M7:M37)</f>
        <v>42</v>
      </c>
      <c r="N38" s="579">
        <f t="shared" si="5"/>
        <v>921</v>
      </c>
      <c r="O38" s="579">
        <f t="shared" si="5"/>
        <v>1496</v>
      </c>
      <c r="P38" s="579">
        <f t="shared" ref="P38" si="6">SUM(P7:P37)</f>
        <v>339</v>
      </c>
      <c r="Q38" s="579">
        <f>SUM(Q7:Q37)</f>
        <v>768</v>
      </c>
      <c r="R38" s="579">
        <f>SUM(R7:R34)</f>
        <v>0</v>
      </c>
      <c r="S38" s="580">
        <f>SUM(S7:S37)</f>
        <v>48030</v>
      </c>
      <c r="T38" s="580">
        <f>SUM(T7:T37)</f>
        <v>2459</v>
      </c>
      <c r="U38" s="579">
        <f>SUM(U7:U37)</f>
        <v>339</v>
      </c>
      <c r="V38" s="579">
        <f>SUM(V7:V37)</f>
        <v>249</v>
      </c>
      <c r="W38" s="579"/>
      <c r="X38" s="579"/>
      <c r="Y38" s="579"/>
      <c r="Z38" s="615">
        <f>SUM(Z7:Z37)</f>
        <v>8240</v>
      </c>
      <c r="AA38" s="615">
        <f>SUM(AA7:AA37)</f>
        <v>6994.2849000000015</v>
      </c>
      <c r="AB38" s="614">
        <f t="shared" ref="AB38" si="7">IF(AA38=0,"0",(Z38*10/AA38))</f>
        <v>11.78104712320197</v>
      </c>
      <c r="AC38" s="604">
        <v>10.199999999999999</v>
      </c>
      <c r="AD38" s="628">
        <f>AB38/AC38*100</f>
        <v>115.50046199217618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61</v>
      </c>
      <c r="B40" s="17" t="s">
        <v>86</v>
      </c>
      <c r="C40" s="15"/>
      <c r="D40" s="15">
        <f>D38*220</f>
        <v>985160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88"/>
      <c r="AA40" s="15"/>
    </row>
    <row r="41" spans="1:36" x14ac:dyDescent="0.2">
      <c r="A41" s="17"/>
      <c r="B41" s="17" t="s">
        <v>90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88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88"/>
      <c r="AA42" s="17"/>
    </row>
    <row r="43" spans="1:36" x14ac:dyDescent="0.2">
      <c r="A43" s="17"/>
      <c r="B43" s="17" t="s">
        <v>92</v>
      </c>
      <c r="C43" s="17"/>
      <c r="D43" s="17">
        <f>+D41*D40</f>
        <v>15575.3796</v>
      </c>
      <c r="E43" s="17"/>
      <c r="F43" s="60"/>
      <c r="G43" s="17"/>
      <c r="H43" s="17"/>
      <c r="I43" s="17"/>
    </row>
    <row r="44" spans="1:36" x14ac:dyDescent="0.2">
      <c r="A44" s="17"/>
      <c r="B44" s="17" t="s">
        <v>91</v>
      </c>
      <c r="C44" s="17"/>
      <c r="D44" s="27">
        <v>278.97000000000003</v>
      </c>
      <c r="E44" s="606"/>
      <c r="F44" s="60"/>
      <c r="G44" s="17"/>
      <c r="H44" s="17"/>
      <c r="I44" s="17"/>
      <c r="J44" s="17"/>
      <c r="K44" s="1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605"/>
      <c r="AA44" s="277"/>
      <c r="AB44" s="277"/>
      <c r="AC44" s="277"/>
      <c r="AD44" s="277"/>
      <c r="AE44" s="277"/>
      <c r="AF44" s="277"/>
      <c r="AG44" s="277"/>
      <c r="AH44" s="277"/>
      <c r="AI44" s="277"/>
      <c r="AJ44" s="277"/>
    </row>
    <row r="45" spans="1:36" x14ac:dyDescent="0.2">
      <c r="D45" s="17">
        <f>SUM(D43:D44)</f>
        <v>15854.3496</v>
      </c>
      <c r="E45" s="17"/>
      <c r="F45" s="60"/>
      <c r="G45" s="17"/>
      <c r="H45" s="17"/>
      <c r="I45" s="17"/>
      <c r="Q45" s="15"/>
    </row>
    <row r="46" spans="1:36" x14ac:dyDescent="0.2">
      <c r="F46" s="60"/>
      <c r="G46" s="17"/>
      <c r="H46" s="17"/>
      <c r="I46" s="17"/>
      <c r="Q46" s="15"/>
    </row>
    <row r="47" spans="1:36" x14ac:dyDescent="0.2">
      <c r="B47" s="8" t="s">
        <v>93</v>
      </c>
      <c r="D47" s="23">
        <f>+D45*2/3</f>
        <v>10569.5664</v>
      </c>
      <c r="E47" s="607"/>
      <c r="F47" s="60"/>
      <c r="G47" s="17"/>
      <c r="H47" s="17"/>
      <c r="I47" s="17"/>
      <c r="Q47" s="15"/>
    </row>
    <row r="48" spans="1:36" x14ac:dyDescent="0.2">
      <c r="F48" s="60"/>
      <c r="G48" s="17"/>
      <c r="H48" s="17"/>
      <c r="I48" s="17"/>
      <c r="Q48" s="15"/>
    </row>
    <row r="49" spans="2:17" ht="15.75" x14ac:dyDescent="0.25">
      <c r="B49" s="24" t="s">
        <v>94</v>
      </c>
      <c r="C49" s="24"/>
      <c r="D49" s="29">
        <f>SUM(D47,D45)</f>
        <v>26423.915999999997</v>
      </c>
      <c r="E49" s="608"/>
      <c r="F49" s="60"/>
      <c r="G49" s="17"/>
      <c r="H49" s="17"/>
      <c r="I49" s="17"/>
      <c r="Q49" s="15"/>
    </row>
    <row r="50" spans="2:17" x14ac:dyDescent="0.2">
      <c r="F50" s="60"/>
      <c r="G50" s="17"/>
      <c r="H50" s="17"/>
      <c r="I50" s="17"/>
      <c r="Q50" s="15"/>
    </row>
    <row r="51" spans="2:17" x14ac:dyDescent="0.2">
      <c r="F51" s="60"/>
      <c r="G51" s="17"/>
      <c r="H51" s="17"/>
      <c r="I51" s="17"/>
      <c r="Q51" s="15"/>
    </row>
    <row r="52" spans="2:17" x14ac:dyDescent="0.2">
      <c r="F52" s="60"/>
      <c r="G52" s="17"/>
      <c r="H52" s="17"/>
      <c r="I52" s="17"/>
      <c r="Q52" s="15"/>
    </row>
    <row r="53" spans="2:17" x14ac:dyDescent="0.2">
      <c r="F53" s="60"/>
      <c r="G53" s="17"/>
      <c r="H53" s="17"/>
      <c r="I53" s="17"/>
      <c r="Q53" s="15"/>
    </row>
    <row r="54" spans="2:17" x14ac:dyDescent="0.2">
      <c r="F54" s="60"/>
      <c r="G54" s="17"/>
      <c r="H54" s="17"/>
      <c r="I54" s="17"/>
      <c r="Q54" s="15"/>
    </row>
    <row r="55" spans="2:17" x14ac:dyDescent="0.2">
      <c r="F55" s="60"/>
      <c r="G55" s="17"/>
      <c r="H55" s="17"/>
      <c r="I55" s="17"/>
      <c r="Q55" s="15"/>
    </row>
    <row r="56" spans="2:17" x14ac:dyDescent="0.2">
      <c r="F56" s="60"/>
      <c r="G56" s="17"/>
      <c r="H56" s="17"/>
      <c r="I56" s="17"/>
      <c r="Q56" s="15"/>
    </row>
    <row r="57" spans="2:17" x14ac:dyDescent="0.2">
      <c r="F57" s="60"/>
      <c r="G57" s="17"/>
      <c r="H57" s="17"/>
      <c r="I57" s="17"/>
      <c r="Q57" s="15"/>
    </row>
    <row r="58" spans="2:17" x14ac:dyDescent="0.2">
      <c r="F58" s="60"/>
      <c r="G58" s="17"/>
      <c r="H58" s="17"/>
      <c r="I58" s="17"/>
      <c r="Q58" s="15"/>
    </row>
    <row r="59" spans="2:17" x14ac:dyDescent="0.2">
      <c r="F59" s="60"/>
      <c r="G59" s="17"/>
      <c r="H59" s="17"/>
      <c r="I59" s="17"/>
      <c r="Q59" s="15"/>
    </row>
    <row r="60" spans="2:17" x14ac:dyDescent="0.2">
      <c r="F60" s="60"/>
      <c r="G60" s="17"/>
      <c r="H60" s="17"/>
      <c r="I60" s="17"/>
      <c r="Q60" s="15"/>
    </row>
    <row r="61" spans="2:17" x14ac:dyDescent="0.2">
      <c r="F61" s="60"/>
      <c r="G61" s="17"/>
      <c r="H61" s="17"/>
      <c r="I61" s="17"/>
      <c r="Q61" s="15"/>
    </row>
    <row r="62" spans="2:17" x14ac:dyDescent="0.2">
      <c r="F62" s="60"/>
      <c r="G62" s="17"/>
      <c r="H62" s="17"/>
      <c r="I62" s="17"/>
      <c r="Q62" s="15"/>
    </row>
    <row r="63" spans="2:17" x14ac:dyDescent="0.2">
      <c r="F63" s="60"/>
      <c r="G63" s="17"/>
      <c r="H63" s="17"/>
      <c r="I63" s="17"/>
      <c r="Q63" s="15"/>
    </row>
    <row r="64" spans="2:17" x14ac:dyDescent="0.2">
      <c r="F64" s="60"/>
      <c r="G64" s="17"/>
      <c r="H64" s="17"/>
      <c r="I64" s="17"/>
      <c r="Q64" s="15"/>
    </row>
    <row r="65" spans="6:17" x14ac:dyDescent="0.2">
      <c r="F65" s="60"/>
      <c r="G65" s="17"/>
      <c r="H65" s="17"/>
      <c r="I65" s="17"/>
      <c r="Q65" s="15"/>
    </row>
    <row r="66" spans="6:17" x14ac:dyDescent="0.2">
      <c r="F66" s="60"/>
      <c r="G66" s="17"/>
      <c r="H66" s="17"/>
      <c r="I66" s="17"/>
      <c r="Q66" s="15"/>
    </row>
    <row r="67" spans="6:17" x14ac:dyDescent="0.2">
      <c r="F67" s="60"/>
      <c r="G67" s="17"/>
      <c r="H67" s="17"/>
      <c r="I67" s="17"/>
      <c r="Q67" s="15"/>
    </row>
    <row r="68" spans="6:17" x14ac:dyDescent="0.2">
      <c r="F68" s="60"/>
      <c r="G68" s="17"/>
      <c r="H68" s="17"/>
      <c r="I68" s="17"/>
      <c r="Q68" s="15"/>
    </row>
    <row r="69" spans="6:17" x14ac:dyDescent="0.2">
      <c r="F69" s="60"/>
      <c r="G69" s="17"/>
      <c r="H69" s="17"/>
      <c r="I69" s="17"/>
    </row>
    <row r="70" spans="6:17" x14ac:dyDescent="0.2">
      <c r="F70" s="60"/>
      <c r="G70" s="17"/>
      <c r="H70" s="17"/>
      <c r="I70" s="17"/>
    </row>
    <row r="71" spans="6:17" x14ac:dyDescent="0.2">
      <c r="F71" s="60"/>
      <c r="G71" s="17"/>
      <c r="H71" s="17"/>
      <c r="I71" s="17"/>
    </row>
    <row r="72" spans="6:17" x14ac:dyDescent="0.2">
      <c r="F72" s="60"/>
      <c r="G72" s="17"/>
      <c r="H72" s="17"/>
      <c r="I72" s="17"/>
    </row>
    <row r="73" spans="6:17" x14ac:dyDescent="0.2">
      <c r="F73" s="60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60"/>
      <c r="G75" s="100"/>
      <c r="H75" s="100"/>
      <c r="I75" s="100"/>
    </row>
    <row r="76" spans="6:17" x14ac:dyDescent="0.2">
      <c r="F76" s="60"/>
      <c r="G76" s="100"/>
      <c r="H76" s="100"/>
      <c r="I76" s="100"/>
    </row>
    <row r="77" spans="6:17" x14ac:dyDescent="0.2">
      <c r="F77" s="60"/>
      <c r="G77" s="100"/>
      <c r="H77" s="100"/>
      <c r="I77" s="100"/>
    </row>
    <row r="78" spans="6:17" x14ac:dyDescent="0.2">
      <c r="F78" s="60"/>
      <c r="G78" s="100"/>
      <c r="H78" s="100"/>
      <c r="I78" s="100"/>
    </row>
    <row r="79" spans="6:17" x14ac:dyDescent="0.2">
      <c r="F79" s="60"/>
      <c r="G79" s="100"/>
      <c r="H79" s="100"/>
      <c r="I79" s="100"/>
    </row>
    <row r="80" spans="6:17" x14ac:dyDescent="0.2">
      <c r="F80" s="60"/>
      <c r="G80" s="100"/>
      <c r="H80" s="100"/>
      <c r="I80" s="100"/>
    </row>
    <row r="81" spans="6:9" x14ac:dyDescent="0.2">
      <c r="F81" s="60"/>
      <c r="G81" s="100"/>
      <c r="H81" s="100"/>
      <c r="I81" s="100"/>
    </row>
    <row r="82" spans="6:9" x14ac:dyDescent="0.2">
      <c r="F82" s="60"/>
      <c r="G82" s="100"/>
      <c r="H82" s="100"/>
      <c r="I82" s="100"/>
    </row>
    <row r="83" spans="6:9" x14ac:dyDescent="0.2">
      <c r="F83" s="60"/>
      <c r="G83" s="100"/>
      <c r="H83" s="100"/>
      <c r="I83" s="100"/>
    </row>
    <row r="84" spans="6:9" x14ac:dyDescent="0.2">
      <c r="F84" s="60"/>
      <c r="G84" s="100"/>
      <c r="H84" s="100"/>
      <c r="I84" s="100"/>
    </row>
    <row r="85" spans="6:9" x14ac:dyDescent="0.2">
      <c r="F85" s="60"/>
      <c r="G85" s="100"/>
      <c r="H85" s="100"/>
      <c r="I85" s="100"/>
    </row>
    <row r="86" spans="6:9" x14ac:dyDescent="0.2">
      <c r="F86" s="60"/>
      <c r="G86" s="100"/>
      <c r="H86" s="100"/>
      <c r="I86" s="100"/>
    </row>
    <row r="87" spans="6:9" x14ac:dyDescent="0.2">
      <c r="F87" s="60"/>
      <c r="G87" s="100"/>
      <c r="H87" s="100"/>
      <c r="I87" s="100"/>
    </row>
    <row r="88" spans="6:9" x14ac:dyDescent="0.2">
      <c r="F88" s="60"/>
      <c r="G88" s="100"/>
      <c r="H88" s="100"/>
      <c r="I88" s="100"/>
    </row>
    <row r="89" spans="6:9" x14ac:dyDescent="0.2">
      <c r="F89" s="60"/>
      <c r="G89" s="100"/>
      <c r="H89" s="100"/>
      <c r="I89" s="100"/>
    </row>
    <row r="90" spans="6:9" x14ac:dyDescent="0.2">
      <c r="F90" s="60"/>
      <c r="G90" s="100"/>
      <c r="H90" s="100"/>
      <c r="I90" s="100"/>
    </row>
    <row r="91" spans="6:9" x14ac:dyDescent="0.2">
      <c r="F91" s="60"/>
      <c r="G91" s="100"/>
      <c r="H91" s="100"/>
      <c r="I91" s="100"/>
    </row>
    <row r="92" spans="6:9" x14ac:dyDescent="0.2">
      <c r="F92" s="60"/>
      <c r="G92" s="100"/>
      <c r="H92" s="100"/>
      <c r="I92" s="100"/>
    </row>
    <row r="93" spans="6:9" x14ac:dyDescent="0.2">
      <c r="F93" s="60"/>
      <c r="G93" s="100"/>
      <c r="H93" s="100"/>
      <c r="I93" s="100"/>
    </row>
    <row r="94" spans="6:9" x14ac:dyDescent="0.2">
      <c r="F94" s="60"/>
      <c r="G94" s="100"/>
      <c r="H94" s="100"/>
      <c r="I94" s="100"/>
    </row>
    <row r="95" spans="6:9" x14ac:dyDescent="0.2">
      <c r="F95" s="60"/>
      <c r="G95" s="100"/>
      <c r="H95" s="100"/>
      <c r="I95" s="100"/>
    </row>
    <row r="96" spans="6:9" x14ac:dyDescent="0.2">
      <c r="F96" s="60"/>
      <c r="G96" s="100"/>
      <c r="H96" s="100"/>
      <c r="I96" s="100"/>
    </row>
    <row r="97" spans="6:9" x14ac:dyDescent="0.2">
      <c r="F97" s="60"/>
      <c r="G97" s="100"/>
      <c r="H97" s="100"/>
      <c r="I97" s="100"/>
    </row>
    <row r="98" spans="6:9" x14ac:dyDescent="0.2">
      <c r="F98" s="60"/>
      <c r="G98" s="100"/>
      <c r="H98" s="100"/>
      <c r="I98" s="100"/>
    </row>
    <row r="99" spans="6:9" x14ac:dyDescent="0.2">
      <c r="F99" s="60"/>
      <c r="G99" s="100"/>
      <c r="H99" s="100"/>
      <c r="I99" s="100"/>
    </row>
    <row r="100" spans="6:9" x14ac:dyDescent="0.2">
      <c r="F100" s="60"/>
      <c r="G100" s="100"/>
      <c r="H100" s="100"/>
      <c r="I100" s="100"/>
    </row>
    <row r="101" spans="6:9" x14ac:dyDescent="0.2">
      <c r="F101" s="60"/>
      <c r="G101" s="100"/>
      <c r="H101" s="100"/>
      <c r="I101" s="100"/>
    </row>
    <row r="102" spans="6:9" x14ac:dyDescent="0.2">
      <c r="F102" s="60"/>
      <c r="G102" s="100"/>
      <c r="H102" s="100"/>
      <c r="I102" s="100"/>
    </row>
    <row r="103" spans="6:9" x14ac:dyDescent="0.2">
      <c r="F103" s="60"/>
      <c r="G103" s="100"/>
      <c r="H103" s="100"/>
      <c r="I103" s="100"/>
    </row>
    <row r="104" spans="6:9" x14ac:dyDescent="0.2">
      <c r="F104" s="60"/>
      <c r="G104" s="100"/>
      <c r="H104" s="100"/>
      <c r="I104" s="100"/>
    </row>
    <row r="105" spans="6:9" x14ac:dyDescent="0.2">
      <c r="F105" s="60"/>
      <c r="G105" s="100"/>
      <c r="H105" s="100"/>
      <c r="I105" s="100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29" priority="1" operator="lessThan">
      <formula>10.2</formula>
    </cfRule>
    <cfRule type="cellIs" dxfId="28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12" colorId="22" workbookViewId="0">
      <selection activeCell="G39" sqref="G39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3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7" width="12.5703125" style="617"/>
    <col min="8" max="16384" width="12.5703125" style="8"/>
  </cols>
  <sheetData>
    <row r="1" spans="1:9" ht="15.75" x14ac:dyDescent="0.25">
      <c r="A1" s="848" t="s">
        <v>278</v>
      </c>
      <c r="B1" s="849"/>
      <c r="C1" s="849"/>
      <c r="D1" s="849"/>
      <c r="E1" s="849"/>
      <c r="F1" s="850"/>
    </row>
    <row r="2" spans="1:9" x14ac:dyDescent="0.2">
      <c r="B2" s="9"/>
      <c r="C2" s="718"/>
    </row>
    <row r="3" spans="1:9" ht="15.75" thickBot="1" x14ac:dyDescent="0.25">
      <c r="B3" s="9"/>
      <c r="C3" s="718"/>
    </row>
    <row r="4" spans="1:9" ht="15.75" x14ac:dyDescent="0.25">
      <c r="A4" s="63"/>
      <c r="B4" s="64" t="s">
        <v>49</v>
      </c>
      <c r="C4" s="719" t="s">
        <v>50</v>
      </c>
      <c r="D4" s="851" t="s">
        <v>265</v>
      </c>
      <c r="E4" s="854" t="s">
        <v>263</v>
      </c>
      <c r="F4" s="857" t="s">
        <v>277</v>
      </c>
      <c r="G4" s="860"/>
    </row>
    <row r="5" spans="1:9" ht="15.75" x14ac:dyDescent="0.25">
      <c r="A5" s="65" t="s">
        <v>7</v>
      </c>
      <c r="B5" s="36" t="s">
        <v>51</v>
      </c>
      <c r="C5" s="720" t="s">
        <v>52</v>
      </c>
      <c r="D5" s="852"/>
      <c r="E5" s="855"/>
      <c r="F5" s="858"/>
      <c r="G5" s="860"/>
    </row>
    <row r="6" spans="1:9" ht="16.5" thickBot="1" x14ac:dyDescent="0.3">
      <c r="A6" s="66" t="s">
        <v>37</v>
      </c>
      <c r="B6" s="67"/>
      <c r="C6" s="721"/>
      <c r="D6" s="853"/>
      <c r="E6" s="856"/>
      <c r="F6" s="859"/>
      <c r="G6" s="860"/>
    </row>
    <row r="7" spans="1:9" ht="18" x14ac:dyDescent="0.2">
      <c r="A7" s="16">
        <v>1</v>
      </c>
      <c r="B7" s="585">
        <f>IF('Entries March.''25'!I8-'Entries March.''25'!I7+'Entries March.''25'!J8-'Entries March.''25'!J7&lt;=0,"0",'Entries March.''25'!I8-'Entries March.''25'!I7+'Entries March.''25'!J8-'Entries March.''25'!J7)</f>
        <v>4482</v>
      </c>
      <c r="C7" s="278" t="str">
        <f>IF('Entries March.''25'!K8-'Entries March.''25'!K7&lt;=0,"0",'Entries March.''25'!K8-'Entries March.''25'!K7)</f>
        <v>0</v>
      </c>
      <c r="D7" s="619">
        <f>B7+C7</f>
        <v>4482</v>
      </c>
      <c r="E7" s="620" t="str">
        <f>'PROD.FIG. '!H5</f>
        <v>0</v>
      </c>
      <c r="F7" s="621" t="str">
        <f>IF(E7=0,"0",(D7/E7))</f>
        <v>0</v>
      </c>
      <c r="G7" s="618"/>
      <c r="I7" s="31"/>
    </row>
    <row r="8" spans="1:9" x14ac:dyDescent="0.2">
      <c r="A8" s="16">
        <v>2</v>
      </c>
      <c r="B8" s="585">
        <f>IF('Entries March.''25'!I9-'Entries March.''25'!I8+'Entries March.''25'!J9-'Entries March.''25'!J8&lt;=0,"0",'Entries March.''25'!I9-'Entries March.''25'!I8+'Entries March.''25'!J9-'Entries March.''25'!J8)</f>
        <v>4216</v>
      </c>
      <c r="C8" s="278" t="str">
        <f>IF('Entries March.''25'!K9-'Entries March.''25'!K8&lt;=0,"0",'Entries March.''25'!K9-'Entries March.''25'!K8)</f>
        <v>0</v>
      </c>
      <c r="D8" s="619">
        <f t="shared" ref="D8:D37" si="0">B8+C8</f>
        <v>4216</v>
      </c>
      <c r="E8" s="620" t="str">
        <f>'PROD.FIG. '!H6</f>
        <v>0</v>
      </c>
      <c r="F8" s="621" t="str">
        <f t="shared" ref="F8:F37" si="1">IF(E8=0,"0",(D8/E8))</f>
        <v>0</v>
      </c>
      <c r="H8" s="31"/>
      <c r="I8" s="31"/>
    </row>
    <row r="9" spans="1:9" x14ac:dyDescent="0.2">
      <c r="A9" s="16">
        <v>3</v>
      </c>
      <c r="B9" s="585">
        <f>IF('Entries March.''25'!I10-'Entries March.''25'!I9+'Entries March.''25'!J10-'Entries March.''25'!J9&lt;=0,"0",'Entries March.''25'!I10-'Entries March.''25'!I9+'Entries March.''25'!J10-'Entries March.''25'!J9)</f>
        <v>7948</v>
      </c>
      <c r="C9" s="278" t="str">
        <f>IF('Entries March.''25'!K10-'Entries March.''25'!K9&lt;=0,"0",'Entries March.''25'!K10-'Entries March.''25'!K9)</f>
        <v>0</v>
      </c>
      <c r="D9" s="619">
        <f t="shared" si="0"/>
        <v>7948</v>
      </c>
      <c r="E9" s="620">
        <f>'PROD.FIG. '!H7</f>
        <v>356.40000000000003</v>
      </c>
      <c r="F9" s="621">
        <f>IF(E9=0,"0",(D9/E9))</f>
        <v>22.300785634118967</v>
      </c>
      <c r="I9" s="31"/>
    </row>
    <row r="10" spans="1:9" x14ac:dyDescent="0.2">
      <c r="A10" s="16">
        <v>4</v>
      </c>
      <c r="B10" s="585">
        <f>IF('Entries March.''25'!I11-'Entries March.''25'!I10+'Entries March.''25'!J11-'Entries March.''25'!J10&lt;=0,"0",'Entries March.''25'!I11-'Entries March.''25'!I10+'Entries March.''25'!J11-'Entries March.''25'!J10)</f>
        <v>8547</v>
      </c>
      <c r="C10" s="278" t="str">
        <f>IF('Entries March.''25'!K11-'Entries March.''25'!K10&lt;=0,"0",'Entries March.''25'!K11-'Entries March.''25'!K10)</f>
        <v>0</v>
      </c>
      <c r="D10" s="619">
        <f t="shared" si="0"/>
        <v>8547</v>
      </c>
      <c r="E10" s="620">
        <f>'PROD.FIG. '!H8</f>
        <v>476.98200000000003</v>
      </c>
      <c r="F10" s="621">
        <f t="shared" si="1"/>
        <v>17.918915179189149</v>
      </c>
      <c r="I10" s="31"/>
    </row>
    <row r="11" spans="1:9" x14ac:dyDescent="0.2">
      <c r="A11" s="16">
        <v>5</v>
      </c>
      <c r="B11" s="585">
        <f>IF('Entries March.''25'!I12-'Entries March.''25'!I11+'Entries March.''25'!J12-'Entries March.''25'!J11&lt;=0,"0",'Entries March.''25'!I12-'Entries March.''25'!I11+'Entries March.''25'!J12-'Entries March.''25'!J11)</f>
        <v>8241</v>
      </c>
      <c r="C11" s="278" t="str">
        <f>IF('Entries March.''25'!K12-'Entries March.''25'!K11&lt;=0,"0",'Entries March.''25'!K12-'Entries March.''25'!K11)</f>
        <v>0</v>
      </c>
      <c r="D11" s="619">
        <f t="shared" si="0"/>
        <v>8241</v>
      </c>
      <c r="E11" s="620">
        <f>'PROD.FIG. '!H9</f>
        <v>345.11400000000003</v>
      </c>
      <c r="F11" s="621">
        <f t="shared" si="1"/>
        <v>23.879066047740743</v>
      </c>
      <c r="I11" s="31"/>
    </row>
    <row r="12" spans="1:9" x14ac:dyDescent="0.2">
      <c r="A12" s="16">
        <v>6</v>
      </c>
      <c r="B12" s="585">
        <f>IF('Entries March.''25'!I13-'Entries March.''25'!I12+'Entries March.''25'!J13-'Entries March.''25'!J12&lt;=0,"0",'Entries March.''25'!I13-'Entries March.''25'!I12+'Entries March.''25'!J13-'Entries March.''25'!J12)</f>
        <v>8066</v>
      </c>
      <c r="C12" s="278" t="str">
        <f>IF('Entries March.''25'!K13-'Entries March.''25'!K12&lt;=0,"0",'Entries March.''25'!K13-'Entries March.''25'!K12)</f>
        <v>0</v>
      </c>
      <c r="D12" s="619">
        <f t="shared" si="0"/>
        <v>8066</v>
      </c>
      <c r="E12" s="620">
        <f>'PROD.FIG. '!H10</f>
        <v>383.79</v>
      </c>
      <c r="F12" s="621">
        <f t="shared" si="1"/>
        <v>21.01670184215326</v>
      </c>
      <c r="I12" s="31"/>
    </row>
    <row r="13" spans="1:9" x14ac:dyDescent="0.2">
      <c r="A13" s="16">
        <v>7</v>
      </c>
      <c r="B13" s="585">
        <f>IF('Entries March.''25'!I14-'Entries March.''25'!I13+'Entries March.''25'!J14-'Entries March.''25'!J13&lt;=0,"0",'Entries March.''25'!I14-'Entries March.''25'!I13+'Entries March.''25'!J14-'Entries March.''25'!J13)</f>
        <v>7348</v>
      </c>
      <c r="C13" s="278" t="str">
        <f>IF('Entries March.''25'!K14-'Entries March.''25'!K13&lt;=0,"0",'Entries March.''25'!K14-'Entries March.''25'!K13)</f>
        <v>0</v>
      </c>
      <c r="D13" s="619">
        <f t="shared" si="0"/>
        <v>7348</v>
      </c>
      <c r="E13" s="620">
        <f>'PROD.FIG. '!H11</f>
        <v>328.48200000000003</v>
      </c>
      <c r="F13" s="621">
        <f t="shared" si="1"/>
        <v>22.36956667336414</v>
      </c>
      <c r="I13" s="31"/>
    </row>
    <row r="14" spans="1:9" x14ac:dyDescent="0.2">
      <c r="A14" s="16">
        <v>8</v>
      </c>
      <c r="B14" s="585">
        <f>IF('Entries March.''25'!I15-'Entries March.''25'!I14+'Entries March.''25'!J15-'Entries March.''25'!J14&lt;=0,"0",'Entries March.''25'!I15-'Entries March.''25'!I14+'Entries March.''25'!J15-'Entries March.''25'!J14)</f>
        <v>4624</v>
      </c>
      <c r="C14" s="278" t="str">
        <f>IF('Entries March.''25'!K15-'Entries March.''25'!K14&lt;=0,"0",'Entries March.''25'!K15-'Entries March.''25'!K14)</f>
        <v>0</v>
      </c>
      <c r="D14" s="619">
        <f t="shared" si="0"/>
        <v>4624</v>
      </c>
      <c r="E14" s="620" t="str">
        <f>'PROD.FIG. '!H12</f>
        <v>0</v>
      </c>
      <c r="F14" s="621" t="str">
        <f t="shared" si="1"/>
        <v>0</v>
      </c>
      <c r="I14" s="31"/>
    </row>
    <row r="15" spans="1:9" x14ac:dyDescent="0.2">
      <c r="A15" s="16">
        <v>9</v>
      </c>
      <c r="B15" s="585">
        <f>IF('Entries March.''25'!I16-'Entries March.''25'!I15+'Entries March.''25'!J16-'Entries March.''25'!J15&lt;=0,"0",'Entries March.''25'!I16-'Entries March.''25'!I15+'Entries March.''25'!J16-'Entries March.''25'!J15)</f>
        <v>4173</v>
      </c>
      <c r="C15" s="278" t="str">
        <f>IF('Entries March.''25'!K16-'Entries March.''25'!K15&lt;=0,"0",'Entries March.''25'!K16-'Entries March.''25'!K15)</f>
        <v>0</v>
      </c>
      <c r="D15" s="619">
        <f t="shared" si="0"/>
        <v>4173</v>
      </c>
      <c r="E15" s="620" t="str">
        <f>'PROD.FIG. '!H13</f>
        <v>0</v>
      </c>
      <c r="F15" s="621" t="str">
        <f t="shared" si="1"/>
        <v>0</v>
      </c>
      <c r="I15" s="31"/>
    </row>
    <row r="16" spans="1:9" x14ac:dyDescent="0.2">
      <c r="A16" s="16">
        <v>10</v>
      </c>
      <c r="B16" s="585">
        <f>IF('Entries March.''25'!I17-'Entries March.''25'!I16+'Entries March.''25'!J17-'Entries March.''25'!J16&lt;=0,"0",'Entries March.''25'!I17-'Entries March.''25'!I16+'Entries March.''25'!J17-'Entries March.''25'!J16)</f>
        <v>8000</v>
      </c>
      <c r="C16" s="278" t="str">
        <f>IF('Entries March.''25'!K17-'Entries March.''25'!K16&lt;=0,"0",'Entries March.''25'!K17-'Entries March.''25'!K16)</f>
        <v>0</v>
      </c>
      <c r="D16" s="619">
        <f t="shared" si="0"/>
        <v>8000</v>
      </c>
      <c r="E16" s="620">
        <f>'PROD.FIG. '!H14</f>
        <v>228.36</v>
      </c>
      <c r="F16" s="621">
        <f t="shared" si="1"/>
        <v>35.032404974601505</v>
      </c>
      <c r="I16" s="31"/>
    </row>
    <row r="17" spans="1:9" x14ac:dyDescent="0.2">
      <c r="A17" s="16">
        <v>11</v>
      </c>
      <c r="B17" s="585">
        <f>IF('Entries March.''25'!I18-'Entries March.''25'!I17+'Entries March.''25'!J18-'Entries March.''25'!J17&lt;=0,"0",'Entries March.''25'!I18-'Entries March.''25'!I17+'Entries March.''25'!J18-'Entries March.''25'!J17)</f>
        <v>8338</v>
      </c>
      <c r="C17" s="278" t="str">
        <f>IF('Entries March.''25'!K18-'Entries March.''25'!K17&lt;=0,"0",'Entries March.''25'!K18-'Entries March.''25'!K17)</f>
        <v>0</v>
      </c>
      <c r="D17" s="619">
        <f t="shared" si="0"/>
        <v>8338</v>
      </c>
      <c r="E17" s="620">
        <f>'PROD.FIG. '!H15</f>
        <v>187.11</v>
      </c>
      <c r="F17" s="621">
        <f t="shared" si="1"/>
        <v>44.562022339800116</v>
      </c>
      <c r="I17" s="31"/>
    </row>
    <row r="18" spans="1:9" x14ac:dyDescent="0.2">
      <c r="A18" s="16">
        <v>12</v>
      </c>
      <c r="B18" s="585">
        <f>IF('Entries March.''25'!I19-'Entries March.''25'!I18+'Entries March.''25'!J19-'Entries March.''25'!J18&lt;=0,"0",'Entries March.''25'!I19-'Entries March.''25'!I18+'Entries March.''25'!J19-'Entries March.''25'!J18)</f>
        <v>8475</v>
      </c>
      <c r="C18" s="278" t="str">
        <f>IF('Entries March.''25'!K19-'Entries March.''25'!K18&lt;=0,"0",'Entries March.''25'!K19-'Entries March.''25'!K18)</f>
        <v>0</v>
      </c>
      <c r="D18" s="619">
        <f t="shared" si="0"/>
        <v>8475</v>
      </c>
      <c r="E18" s="620">
        <f>'PROD.FIG. '!H16</f>
        <v>135.036</v>
      </c>
      <c r="F18" s="621">
        <f t="shared" si="1"/>
        <v>62.761041500044435</v>
      </c>
      <c r="I18" s="31"/>
    </row>
    <row r="19" spans="1:9" x14ac:dyDescent="0.2">
      <c r="A19" s="16">
        <v>13</v>
      </c>
      <c r="B19" s="585">
        <f>IF('Entries March.''25'!I20-'Entries March.''25'!I19+'Entries March.''25'!J20-'Entries March.''25'!J19&lt;=0,"0",'Entries March.''25'!I20-'Entries March.''25'!I19+'Entries March.''25'!J20-'Entries March.''25'!J19)</f>
        <v>7841</v>
      </c>
      <c r="C19" s="278" t="str">
        <f>IF('Entries March.''25'!K20-'Entries March.''25'!K19&lt;=0,"0",'Entries March.''25'!K20-'Entries March.''25'!K19)</f>
        <v>0</v>
      </c>
      <c r="D19" s="619">
        <f t="shared" si="0"/>
        <v>7841</v>
      </c>
      <c r="E19" s="620">
        <f>'PROD.FIG. '!H17</f>
        <v>360.62400000000002</v>
      </c>
      <c r="F19" s="621">
        <f t="shared" si="1"/>
        <v>21.742867917831312</v>
      </c>
      <c r="I19" s="31"/>
    </row>
    <row r="20" spans="1:9" x14ac:dyDescent="0.2">
      <c r="A20" s="16">
        <v>14</v>
      </c>
      <c r="B20" s="585">
        <f>IF('Entries March.''25'!I21-'Entries March.''25'!I20+'Entries March.''25'!J21-'Entries March.''25'!J20&lt;=0,"0",'Entries March.''25'!I21-'Entries March.''25'!I20+'Entries March.''25'!J21-'Entries March.''25'!J20)</f>
        <v>7679</v>
      </c>
      <c r="C20" s="278" t="str">
        <f>IF('Entries March.''25'!K21-'Entries March.''25'!K20&lt;=0,"0",'Entries March.''25'!K21-'Entries March.''25'!K20)</f>
        <v>0</v>
      </c>
      <c r="D20" s="619">
        <f t="shared" si="0"/>
        <v>7679</v>
      </c>
      <c r="E20" s="620">
        <f>'PROD.FIG. '!H18</f>
        <v>272.44800000000004</v>
      </c>
      <c r="F20" s="621">
        <f t="shared" si="1"/>
        <v>28.185194972985666</v>
      </c>
      <c r="I20" s="31"/>
    </row>
    <row r="21" spans="1:9" x14ac:dyDescent="0.2">
      <c r="A21" s="16">
        <v>15</v>
      </c>
      <c r="B21" s="585">
        <f>IF('Entries March.''25'!I22-'Entries March.''25'!I21+'Entries March.''25'!J22-'Entries March.''25'!J21&lt;=0,"0",'Entries March.''25'!I22-'Entries March.''25'!I21+'Entries March.''25'!J22-'Entries March.''25'!J21)</f>
        <v>4867</v>
      </c>
      <c r="C21" s="278" t="str">
        <f>IF('Entries March.''25'!K22-'Entries March.''25'!K21&lt;=0,"0",'Entries March.''25'!K22-'Entries March.''25'!K21)</f>
        <v>0</v>
      </c>
      <c r="D21" s="619">
        <f t="shared" si="0"/>
        <v>4867</v>
      </c>
      <c r="E21" s="620" t="str">
        <f>'PROD.FIG. '!H19</f>
        <v>0</v>
      </c>
      <c r="F21" s="621" t="str">
        <f t="shared" si="1"/>
        <v>0</v>
      </c>
      <c r="I21" s="31"/>
    </row>
    <row r="22" spans="1:9" x14ac:dyDescent="0.2">
      <c r="A22" s="16">
        <v>16</v>
      </c>
      <c r="B22" s="585">
        <f>IF('Entries March.''25'!I23-'Entries March.''25'!I22+'Entries March.''25'!J23-'Entries March.''25'!J22&lt;=0,"0",'Entries March.''25'!I23-'Entries March.''25'!I22+'Entries March.''25'!J23-'Entries March.''25'!J22)</f>
        <v>5536</v>
      </c>
      <c r="C22" s="278" t="str">
        <f>IF('Entries March.''25'!K23-'Entries March.''25'!K22&lt;=0,"0",'Entries March.''25'!K23-'Entries March.''25'!K22)</f>
        <v>0</v>
      </c>
      <c r="D22" s="619">
        <f t="shared" si="0"/>
        <v>5536</v>
      </c>
      <c r="E22" s="620" t="str">
        <f>'PROD.FIG. '!H20</f>
        <v>0</v>
      </c>
      <c r="F22" s="621" t="str">
        <f t="shared" si="1"/>
        <v>0</v>
      </c>
      <c r="I22" s="31"/>
    </row>
    <row r="23" spans="1:9" x14ac:dyDescent="0.2">
      <c r="A23" s="16">
        <v>17</v>
      </c>
      <c r="B23" s="585">
        <f>IF('Entries March.''25'!I24-'Entries March.''25'!I23+'Entries March.''25'!J24-'Entries March.''25'!J23&lt;=0,"0",'Entries March.''25'!I24-'Entries March.''25'!I23+'Entries March.''25'!J24-'Entries March.''25'!J23)</f>
        <v>8321</v>
      </c>
      <c r="C23" s="278" t="str">
        <f>IF('Entries March.''25'!K24-'Entries March.''25'!K23&lt;=0,"0",'Entries March.''25'!K24-'Entries March.''25'!K23)</f>
        <v>0</v>
      </c>
      <c r="D23" s="619">
        <f t="shared" si="0"/>
        <v>8321</v>
      </c>
      <c r="E23" s="620">
        <f>'PROD.FIG. '!H21</f>
        <v>151.73400000000001</v>
      </c>
      <c r="F23" s="621">
        <f t="shared" si="1"/>
        <v>54.839389985105512</v>
      </c>
      <c r="I23" s="31"/>
    </row>
    <row r="24" spans="1:9" x14ac:dyDescent="0.2">
      <c r="A24" s="16">
        <v>18</v>
      </c>
      <c r="B24" s="585">
        <f>IF('Entries March.''25'!I25-'Entries March.''25'!I24+'Entries March.''25'!J25-'Entries March.''25'!J24&lt;=0,"0",'Entries March.''25'!I25-'Entries March.''25'!I24+'Entries March.''25'!J25-'Entries March.''25'!J24)</f>
        <v>7150</v>
      </c>
      <c r="C24" s="278">
        <f>IF('Entries March.''25'!K25-'Entries March.''25'!K24&lt;=0,"0",'Entries March.''25'!K25-'Entries March.''25'!K24)</f>
        <v>1600</v>
      </c>
      <c r="D24" s="619">
        <f t="shared" si="0"/>
        <v>8750</v>
      </c>
      <c r="E24" s="620">
        <f>'PROD.FIG. '!H22</f>
        <v>429.726</v>
      </c>
      <c r="F24" s="621">
        <f t="shared" si="1"/>
        <v>20.361811945286068</v>
      </c>
      <c r="I24" s="31"/>
    </row>
    <row r="25" spans="1:9" x14ac:dyDescent="0.2">
      <c r="A25" s="16">
        <v>19</v>
      </c>
      <c r="B25" s="585">
        <f>IF('Entries March.''25'!I26-'Entries March.''25'!I25+'Entries March.''25'!J26-'Entries March.''25'!J25&lt;=0,"0",'Entries March.''25'!I26-'Entries March.''25'!I25+'Entries March.''25'!J26-'Entries March.''25'!J25)</f>
        <v>9722</v>
      </c>
      <c r="C25" s="278" t="str">
        <f>IF('Entries March.''25'!K26-'Entries March.''25'!K25&lt;=0,"0",'Entries March.''25'!K26-'Entries March.''25'!K25)</f>
        <v>0</v>
      </c>
      <c r="D25" s="619">
        <f t="shared" si="0"/>
        <v>9722</v>
      </c>
      <c r="E25" s="620">
        <f>'PROD.FIG. '!H23</f>
        <v>501.40200000000004</v>
      </c>
      <c r="F25" s="621">
        <f t="shared" si="1"/>
        <v>19.389631473348729</v>
      </c>
      <c r="I25" s="31"/>
    </row>
    <row r="26" spans="1:9" x14ac:dyDescent="0.2">
      <c r="A26" s="16">
        <v>20</v>
      </c>
      <c r="B26" s="585">
        <f>IF('Entries March.''25'!I27-'Entries March.''25'!I26+'Entries March.''25'!J27-'Entries March.''25'!J26&lt;=0,"0",'Entries March.''25'!I27-'Entries March.''25'!I26+'Entries March.''25'!J27-'Entries March.''25'!J26)</f>
        <v>5891</v>
      </c>
      <c r="C26" s="278" t="str">
        <f>IF('Entries March.''25'!K27-'Entries March.''25'!K26&lt;=0,"0",'Entries March.''25'!K27-'Entries March.''25'!K26)</f>
        <v>0</v>
      </c>
      <c r="D26" s="619">
        <f t="shared" si="0"/>
        <v>5891</v>
      </c>
      <c r="E26" s="620">
        <f>'PROD.FIG. '!H24</f>
        <v>267.49799999999999</v>
      </c>
      <c r="F26" s="621">
        <f t="shared" si="1"/>
        <v>22.022594561454667</v>
      </c>
      <c r="I26" s="31"/>
    </row>
    <row r="27" spans="1:9" x14ac:dyDescent="0.2">
      <c r="A27" s="16">
        <v>21</v>
      </c>
      <c r="B27" s="585">
        <f>IF('Entries March.''25'!I28-'Entries March.''25'!I27+'Entries March.''25'!J28-'Entries March.''25'!J27&lt;=0,"0",'Entries March.''25'!I28-'Entries March.''25'!I27+'Entries March.''25'!J28-'Entries March.''25'!J27)</f>
        <v>10696</v>
      </c>
      <c r="C27" s="278" t="str">
        <f>IF('Entries March.''25'!K28-'Entries March.''25'!K27&lt;=0,"0",'Entries March.''25'!K28-'Entries March.''25'!K27)</f>
        <v>0</v>
      </c>
      <c r="D27" s="619">
        <f t="shared" si="0"/>
        <v>10696</v>
      </c>
      <c r="E27" s="620">
        <f>'PROD.FIG. '!H25</f>
        <v>116.88600000000001</v>
      </c>
      <c r="F27" s="621">
        <f t="shared" si="1"/>
        <v>91.507965025751574</v>
      </c>
      <c r="I27" s="31"/>
    </row>
    <row r="28" spans="1:9" x14ac:dyDescent="0.2">
      <c r="A28" s="16">
        <v>22</v>
      </c>
      <c r="B28" s="585">
        <f>IF('Entries March.''25'!I29-'Entries March.''25'!I28+'Entries March.''25'!J29-'Entries March.''25'!J28&lt;=0,"0",'Entries March.''25'!I29-'Entries March.''25'!I28+'Entries March.''25'!J29-'Entries March.''25'!J28)</f>
        <v>4542</v>
      </c>
      <c r="C28" s="278" t="str">
        <f>IF('Entries March.''25'!K29-'Entries March.''25'!K28&lt;=0,"0",'Entries March.''25'!K29-'Entries March.''25'!K28)</f>
        <v>0</v>
      </c>
      <c r="D28" s="619">
        <f t="shared" si="0"/>
        <v>4542</v>
      </c>
      <c r="E28" s="620" t="str">
        <f>'PROD.FIG. '!H26</f>
        <v>0</v>
      </c>
      <c r="F28" s="621" t="str">
        <f t="shared" si="1"/>
        <v>0</v>
      </c>
      <c r="I28" s="31"/>
    </row>
    <row r="29" spans="1:9" x14ac:dyDescent="0.2">
      <c r="A29" s="16">
        <v>23</v>
      </c>
      <c r="B29" s="585">
        <f>IF('Entries March.''25'!I30-'Entries March.''25'!I29+'Entries March.''25'!J30-'Entries March.''25'!J29&lt;=0,"0",'Entries March.''25'!I30-'Entries March.''25'!I29+'Entries March.''25'!J30-'Entries March.''25'!J29)</f>
        <v>4634</v>
      </c>
      <c r="C29" s="278" t="str">
        <f>IF('Entries March.''25'!K30-'Entries March.''25'!K29&lt;=0,"0",'Entries March.''25'!K30-'Entries March.''25'!K29)</f>
        <v>0</v>
      </c>
      <c r="D29" s="619">
        <f t="shared" si="0"/>
        <v>4634</v>
      </c>
      <c r="E29" s="620" t="str">
        <f>'PROD.FIG. '!H27</f>
        <v>0</v>
      </c>
      <c r="F29" s="621" t="str">
        <f t="shared" si="1"/>
        <v>0</v>
      </c>
      <c r="I29" s="31"/>
    </row>
    <row r="30" spans="1:9" x14ac:dyDescent="0.2">
      <c r="A30" s="16">
        <v>24</v>
      </c>
      <c r="B30" s="585">
        <f>IF('Entries March.''25'!I31-'Entries March.''25'!I30+'Entries March.''25'!J31-'Entries March.''25'!J30&lt;=0,"0",'Entries March.''25'!I31-'Entries March.''25'!I30+'Entries March.''25'!J31-'Entries March.''25'!J30)</f>
        <v>6456</v>
      </c>
      <c r="C30" s="278" t="str">
        <f>IF('Entries March.''25'!K31-'Entries March.''25'!K30&lt;=0,"0",'Entries March.''25'!K31-'Entries March.''25'!K30)</f>
        <v>0</v>
      </c>
      <c r="D30" s="619">
        <f t="shared" si="0"/>
        <v>6456</v>
      </c>
      <c r="E30" s="620">
        <f>'PROD.FIG. '!H28</f>
        <v>67.38600000000001</v>
      </c>
      <c r="F30" s="621">
        <f t="shared" si="1"/>
        <v>95.806250556495399</v>
      </c>
      <c r="I30" s="31"/>
    </row>
    <row r="31" spans="1:9" x14ac:dyDescent="0.2">
      <c r="A31" s="16">
        <v>25</v>
      </c>
      <c r="B31" s="585">
        <f>IF('Entries March.''25'!I32-'Entries March.''25'!I31+'Entries March.''25'!J32-'Entries March.''25'!J31&lt;=0,"0",'Entries March.''25'!I32-'Entries March.''25'!I31+'Entries March.''25'!J32-'Entries March.''25'!J31)</f>
        <v>7927</v>
      </c>
      <c r="C31" s="278" t="str">
        <f>IF('Entries March.''25'!K32-'Entries March.''25'!K31&lt;=0,"0",'Entries March.''25'!K32-'Entries March.''25'!K31)</f>
        <v>0</v>
      </c>
      <c r="D31" s="619">
        <f t="shared" si="0"/>
        <v>7927</v>
      </c>
      <c r="E31" s="620">
        <f>'PROD.FIG. '!H29</f>
        <v>623.43600000000004</v>
      </c>
      <c r="F31" s="621">
        <f t="shared" si="1"/>
        <v>12.715018061196337</v>
      </c>
      <c r="I31" s="31"/>
    </row>
    <row r="32" spans="1:9" x14ac:dyDescent="0.2">
      <c r="A32" s="16">
        <v>26</v>
      </c>
      <c r="B32" s="585">
        <f>IF('Entries March.''25'!I33-'Entries March.''25'!I32+'Entries March.''25'!J33-'Entries March.''25'!J32&lt;=0,"0",'Entries March.''25'!I33-'Entries March.''25'!I32+'Entries March.''25'!J33-'Entries March.''25'!J32)</f>
        <v>8652</v>
      </c>
      <c r="C32" s="278" t="str">
        <f>IF('Entries March.''25'!K33-'Entries March.''25'!K32&lt;=0,"0",'Entries March.''25'!K33-'Entries March.''25'!K32)</f>
        <v>0</v>
      </c>
      <c r="D32" s="619">
        <f t="shared" si="0"/>
        <v>8652</v>
      </c>
      <c r="E32" s="620">
        <f>'PROD.FIG. '!H30</f>
        <v>589.31400000000008</v>
      </c>
      <c r="F32" s="621">
        <f t="shared" si="1"/>
        <v>14.681477107280667</v>
      </c>
      <c r="I32" s="31"/>
    </row>
    <row r="33" spans="1:9" x14ac:dyDescent="0.2">
      <c r="A33" s="16">
        <v>27</v>
      </c>
      <c r="B33" s="585">
        <f>IF('Entries March.''25'!I34-'Entries March.''25'!I33+'Entries March.''25'!J34-'Entries March.''25'!J33&lt;=0,"0",'Entries March.''25'!I34-'Entries March.''25'!I33+'Entries March.''25'!J34-'Entries March.''25'!J33)</f>
        <v>8051</v>
      </c>
      <c r="C33" s="278" t="str">
        <f>IF('Entries March.''25'!K34-'Entries March.''25'!K33&lt;=0,"0",'Entries March.''25'!K34-'Entries March.''25'!K33)</f>
        <v>0</v>
      </c>
      <c r="D33" s="619">
        <f t="shared" si="0"/>
        <v>8051</v>
      </c>
      <c r="E33" s="620">
        <f>'PROD.FIG. '!H31</f>
        <v>535.85400000000004</v>
      </c>
      <c r="F33" s="621">
        <f t="shared" si="1"/>
        <v>15.024614913763823</v>
      </c>
      <c r="I33" s="31"/>
    </row>
    <row r="34" spans="1:9" x14ac:dyDescent="0.2">
      <c r="A34" s="16">
        <v>28</v>
      </c>
      <c r="B34" s="585">
        <f>IF('Entries March.''25'!I35-'Entries March.''25'!I34+'Entries March.''25'!J35-'Entries March.''25'!J34&lt;=0,"0",'Entries March.''25'!I35-'Entries March.''25'!I34+'Entries March.''25'!J35-'Entries March.''25'!J34)</f>
        <v>6960</v>
      </c>
      <c r="C34" s="278" t="str">
        <f>IF('Entries March.''25'!K35-'Entries March.''25'!K34&lt;=0,"0",'Entries March.''25'!K35-'Entries March.''25'!K34)</f>
        <v>0</v>
      </c>
      <c r="D34" s="619">
        <f t="shared" si="0"/>
        <v>6960</v>
      </c>
      <c r="E34" s="620">
        <f>'PROD.FIG. '!H32</f>
        <v>181.81440000000001</v>
      </c>
      <c r="F34" s="621">
        <f t="shared" si="1"/>
        <v>38.280796240561806</v>
      </c>
      <c r="I34" s="31"/>
    </row>
    <row r="35" spans="1:9" x14ac:dyDescent="0.2">
      <c r="A35" s="16">
        <v>29</v>
      </c>
      <c r="B35" s="585">
        <f>IF('Entries March.''25'!I36-'Entries March.''25'!I35+'Entries March.''25'!J36-'Entries March.''25'!J35&lt;=0,"0",'Entries March.''25'!I36-'Entries March.''25'!I35+'Entries March.''25'!J36-'Entries March.''25'!J35)</f>
        <v>4648</v>
      </c>
      <c r="C35" s="278" t="str">
        <f>IF('Entries March.''25'!K36-'Entries March.''25'!K35&lt;=0,"0",'Entries March.''25'!K36-'Entries March.''25'!K35)</f>
        <v>0</v>
      </c>
      <c r="D35" s="619">
        <f t="shared" si="0"/>
        <v>4648</v>
      </c>
      <c r="E35" s="620">
        <f>'PROD.FIG. '!H33</f>
        <v>31.762500000000003</v>
      </c>
      <c r="F35" s="621">
        <f t="shared" si="1"/>
        <v>146.33608815426996</v>
      </c>
    </row>
    <row r="36" spans="1:9" x14ac:dyDescent="0.2">
      <c r="A36" s="16">
        <v>30</v>
      </c>
      <c r="B36" s="585">
        <f>IF('Entries March.''25'!I37-'Entries March.''25'!I36+'Entries March.''25'!J37-'Entries March.''25'!J36&lt;=0,"0",'Entries March.''25'!I37-'Entries March.''25'!I36+'Entries March.''25'!J37-'Entries March.''25'!J36)</f>
        <v>4825</v>
      </c>
      <c r="C36" s="278" t="str">
        <f>IF('Entries March.''25'!K37-'Entries March.''25'!K36&lt;=0,"0",'Entries March.''25'!K37-'Entries March.''25'!K36)</f>
        <v>0</v>
      </c>
      <c r="D36" s="619">
        <f t="shared" si="0"/>
        <v>4825</v>
      </c>
      <c r="E36" s="620" t="str">
        <f>'PROD.FIG. '!H34</f>
        <v>0</v>
      </c>
      <c r="F36" s="621" t="str">
        <f t="shared" si="1"/>
        <v>0</v>
      </c>
    </row>
    <row r="37" spans="1:9" ht="15.75" thickBot="1" x14ac:dyDescent="0.25">
      <c r="A37" s="16">
        <v>31</v>
      </c>
      <c r="B37" s="585">
        <f>IF('Entries March.''25'!I38-'Entries March.''25'!I37+'Entries March.''25'!J38-'Entries March.''25'!J37&lt;=0,"0",'Entries March.''25'!I38-'Entries March.''25'!I37+'Entries March.''25'!J38-'Entries March.''25'!J37)</f>
        <v>7462</v>
      </c>
      <c r="C37" s="278" t="str">
        <f>IF('Entries March.''25'!K38-'Entries March.''25'!K37&lt;=0,"0",'Entries March.''25'!K38-'Entries March.''25'!K37)</f>
        <v>0</v>
      </c>
      <c r="D37" s="619">
        <f t="shared" si="0"/>
        <v>7462</v>
      </c>
      <c r="E37" s="620">
        <f>'PROD.FIG. '!H35</f>
        <v>423.12600000000003</v>
      </c>
      <c r="F37" s="621">
        <f t="shared" si="1"/>
        <v>17.635408838029331</v>
      </c>
      <c r="H37" s="287" t="s">
        <v>268</v>
      </c>
    </row>
    <row r="38" spans="1:9" s="582" customFormat="1" ht="18.75" thickBot="1" x14ac:dyDescent="0.3">
      <c r="A38" s="583" t="s">
        <v>89</v>
      </c>
      <c r="B38" s="584">
        <f>SUM(B7:B37)</f>
        <v>214318</v>
      </c>
      <c r="C38" s="584">
        <f>SUM(C7:C37)</f>
        <v>1600</v>
      </c>
      <c r="D38" s="622">
        <f>SUM(D7:D37)</f>
        <v>215918</v>
      </c>
      <c r="E38" s="700">
        <f>SUM(E7:E37)</f>
        <v>6994.2849000000015</v>
      </c>
      <c r="F38" s="623">
        <f>IF(E38=0,"0",(D38/E38))</f>
        <v>30.870632678974793</v>
      </c>
      <c r="G38" s="618">
        <v>22</v>
      </c>
      <c r="H38" s="628">
        <f>F38/G38*100</f>
        <v>140.32105763170361</v>
      </c>
    </row>
    <row r="39" spans="1:9" x14ac:dyDescent="0.2">
      <c r="B39" s="17"/>
      <c r="D39" s="17"/>
      <c r="E39" s="17"/>
      <c r="F39" s="17"/>
      <c r="G39" s="617" t="s">
        <v>264</v>
      </c>
    </row>
    <row r="40" spans="1:9" x14ac:dyDescent="0.2">
      <c r="B40" s="17"/>
      <c r="D40" s="17"/>
      <c r="E40" s="17"/>
      <c r="F40" s="17"/>
    </row>
    <row r="41" spans="1:9" x14ac:dyDescent="0.2">
      <c r="B41" s="17"/>
      <c r="D41" s="17"/>
      <c r="E41" s="17"/>
      <c r="F41" s="17"/>
    </row>
    <row r="42" spans="1:9" x14ac:dyDescent="0.2">
      <c r="B42" s="17"/>
      <c r="D42" s="17"/>
      <c r="E42" s="17"/>
      <c r="F42" s="17"/>
    </row>
  </sheetData>
  <mergeCells count="5">
    <mergeCell ref="A1:F1"/>
    <mergeCell ref="D4:D6"/>
    <mergeCell ref="E4:E6"/>
    <mergeCell ref="F4:F6"/>
    <mergeCell ref="G4:G6"/>
  </mergeCells>
  <phoneticPr fontId="0" type="noConversion"/>
  <conditionalFormatting sqref="F7:F38">
    <cfRule type="cellIs" dxfId="27" priority="1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37" sqref="K37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3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3"/>
    <col min="17" max="16384" width="12.5703125" style="8"/>
  </cols>
  <sheetData>
    <row r="1" spans="1:10" ht="15.75" x14ac:dyDescent="0.25">
      <c r="A1" s="861" t="s">
        <v>279</v>
      </c>
      <c r="B1" s="827"/>
      <c r="C1" s="827"/>
      <c r="D1" s="827"/>
      <c r="E1" s="827"/>
      <c r="F1" s="827"/>
      <c r="G1" s="827"/>
      <c r="H1" s="827"/>
    </row>
    <row r="2" spans="1:10" ht="15.75" thickBot="1" x14ac:dyDescent="0.25">
      <c r="D2" s="12"/>
    </row>
    <row r="3" spans="1:10" ht="15.75" x14ac:dyDescent="0.25">
      <c r="A3" s="590"/>
      <c r="B3" s="591" t="s">
        <v>7</v>
      </c>
      <c r="C3" s="592"/>
      <c r="D3" s="593"/>
      <c r="E3" s="593"/>
      <c r="F3" s="593"/>
      <c r="G3" s="593"/>
      <c r="H3" s="594"/>
    </row>
    <row r="4" spans="1:10" ht="15.75" x14ac:dyDescent="0.25">
      <c r="A4" s="595"/>
      <c r="B4" s="98" t="s">
        <v>37</v>
      </c>
      <c r="C4" s="588" t="s">
        <v>85</v>
      </c>
      <c r="D4" s="589" t="s">
        <v>84</v>
      </c>
      <c r="E4" s="589" t="s">
        <v>72</v>
      </c>
      <c r="F4" s="589" t="s">
        <v>74</v>
      </c>
      <c r="G4" s="589" t="s">
        <v>73</v>
      </c>
      <c r="H4" s="596" t="s">
        <v>60</v>
      </c>
    </row>
    <row r="5" spans="1:10" x14ac:dyDescent="0.2">
      <c r="A5" s="595" t="s">
        <v>98</v>
      </c>
      <c r="B5" s="16">
        <v>1</v>
      </c>
      <c r="C5" s="563"/>
      <c r="D5" s="564"/>
      <c r="E5" s="16"/>
      <c r="F5" s="564"/>
      <c r="G5" s="16"/>
      <c r="H5" s="613" t="str" cm="1">
        <f t="array" ref="H5:H35">IF(TRANSPOSE('Daily KPIs'!B9:AF9)=0,"0",TRANSPOSE('Daily KPIs'!B9:AF9))</f>
        <v>0</v>
      </c>
      <c r="I5" s="567"/>
      <c r="J5" s="568"/>
    </row>
    <row r="6" spans="1:10" x14ac:dyDescent="0.2">
      <c r="A6" s="595" t="s">
        <v>99</v>
      </c>
      <c r="B6" s="16">
        <v>2</v>
      </c>
      <c r="C6" s="563"/>
      <c r="D6" s="564"/>
      <c r="E6" s="565"/>
      <c r="F6" s="564"/>
      <c r="G6" s="16"/>
      <c r="H6" s="597" t="str">
        <v>0</v>
      </c>
      <c r="I6" s="34"/>
      <c r="J6" s="568"/>
    </row>
    <row r="7" spans="1:10" x14ac:dyDescent="0.2">
      <c r="A7" s="595" t="s">
        <v>100</v>
      </c>
      <c r="B7" s="16">
        <v>3</v>
      </c>
      <c r="C7" s="563"/>
      <c r="D7" s="564"/>
      <c r="E7" s="16"/>
      <c r="F7" s="564"/>
      <c r="G7" s="16"/>
      <c r="H7" s="597">
        <v>356.40000000000003</v>
      </c>
      <c r="I7" s="569"/>
      <c r="J7" s="570"/>
    </row>
    <row r="8" spans="1:10" x14ac:dyDescent="0.2">
      <c r="A8" s="595" t="s">
        <v>101</v>
      </c>
      <c r="B8" s="16">
        <v>4</v>
      </c>
      <c r="C8" s="563"/>
      <c r="D8" s="564"/>
      <c r="E8" s="16"/>
      <c r="F8" s="566"/>
      <c r="G8" s="16"/>
      <c r="H8" s="597">
        <v>476.98200000000003</v>
      </c>
      <c r="I8" s="569"/>
      <c r="J8" s="570"/>
    </row>
    <row r="9" spans="1:10" x14ac:dyDescent="0.2">
      <c r="A9" s="595" t="s">
        <v>102</v>
      </c>
      <c r="B9" s="16">
        <v>5</v>
      </c>
      <c r="C9" s="563"/>
      <c r="D9" s="564"/>
      <c r="E9" s="16"/>
      <c r="F9" s="16"/>
      <c r="G9" s="16"/>
      <c r="H9" s="597">
        <v>345.11400000000003</v>
      </c>
      <c r="I9" s="569"/>
      <c r="J9" s="570"/>
    </row>
    <row r="10" spans="1:10" x14ac:dyDescent="0.2">
      <c r="A10" s="595" t="s">
        <v>96</v>
      </c>
      <c r="B10" s="16">
        <v>6</v>
      </c>
      <c r="C10" s="563"/>
      <c r="D10" s="564"/>
      <c r="E10" s="16"/>
      <c r="F10" s="16"/>
      <c r="G10" s="16"/>
      <c r="H10" s="597">
        <v>383.79</v>
      </c>
      <c r="I10" s="569"/>
      <c r="J10" s="570"/>
    </row>
    <row r="11" spans="1:10" x14ac:dyDescent="0.2">
      <c r="A11" s="595" t="s">
        <v>97</v>
      </c>
      <c r="B11" s="16">
        <v>7</v>
      </c>
      <c r="C11" s="563"/>
      <c r="D11" s="564"/>
      <c r="E11" s="16"/>
      <c r="F11" s="566"/>
      <c r="G11" s="16"/>
      <c r="H11" s="597">
        <v>328.48200000000003</v>
      </c>
      <c r="I11" s="569"/>
      <c r="J11" s="570"/>
    </row>
    <row r="12" spans="1:10" x14ac:dyDescent="0.2">
      <c r="A12" s="595" t="s">
        <v>98</v>
      </c>
      <c r="B12" s="16">
        <v>8</v>
      </c>
      <c r="C12" s="563"/>
      <c r="D12" s="564"/>
      <c r="E12" s="16"/>
      <c r="F12" s="16"/>
      <c r="G12" s="16"/>
      <c r="H12" s="597" t="str">
        <v>0</v>
      </c>
      <c r="I12" s="569"/>
      <c r="J12" s="570"/>
    </row>
    <row r="13" spans="1:10" x14ac:dyDescent="0.2">
      <c r="A13" s="595" t="s">
        <v>99</v>
      </c>
      <c r="B13" s="16">
        <v>9</v>
      </c>
      <c r="C13" s="563"/>
      <c r="D13" s="564"/>
      <c r="E13" s="566"/>
      <c r="F13" s="16"/>
      <c r="G13" s="16"/>
      <c r="H13" s="597" t="str">
        <v>0</v>
      </c>
      <c r="I13" s="569"/>
      <c r="J13" s="570"/>
    </row>
    <row r="14" spans="1:10" x14ac:dyDescent="0.2">
      <c r="A14" s="595" t="s">
        <v>100</v>
      </c>
      <c r="B14" s="16">
        <v>10</v>
      </c>
      <c r="C14" s="563"/>
      <c r="D14" s="564"/>
      <c r="E14" s="16"/>
      <c r="F14" s="16"/>
      <c r="G14" s="16"/>
      <c r="H14" s="597">
        <v>228.36</v>
      </c>
      <c r="I14" s="569"/>
      <c r="J14" s="570"/>
    </row>
    <row r="15" spans="1:10" x14ac:dyDescent="0.2">
      <c r="A15" s="595" t="s">
        <v>101</v>
      </c>
      <c r="B15" s="16">
        <v>11</v>
      </c>
      <c r="C15" s="563"/>
      <c r="D15" s="564"/>
      <c r="E15" s="566"/>
      <c r="F15" s="16"/>
      <c r="G15" s="566"/>
      <c r="H15" s="597">
        <v>187.11</v>
      </c>
      <c r="I15" s="569"/>
      <c r="J15" s="570"/>
    </row>
    <row r="16" spans="1:10" x14ac:dyDescent="0.2">
      <c r="A16" s="595" t="s">
        <v>102</v>
      </c>
      <c r="B16" s="16">
        <v>12</v>
      </c>
      <c r="C16" s="563"/>
      <c r="D16" s="564"/>
      <c r="E16" s="566"/>
      <c r="F16" s="16"/>
      <c r="G16" s="16"/>
      <c r="H16" s="597">
        <v>135.036</v>
      </c>
      <c r="I16" s="569"/>
      <c r="J16" s="570"/>
    </row>
    <row r="17" spans="1:13" x14ac:dyDescent="0.2">
      <c r="A17" s="595" t="s">
        <v>96</v>
      </c>
      <c r="B17" s="16">
        <v>13</v>
      </c>
      <c r="C17" s="563"/>
      <c r="D17" s="564"/>
      <c r="E17" s="16"/>
      <c r="F17" s="16"/>
      <c r="G17" s="16"/>
      <c r="H17" s="597">
        <v>360.62400000000002</v>
      </c>
      <c r="I17" s="569"/>
      <c r="J17" s="570"/>
    </row>
    <row r="18" spans="1:13" x14ac:dyDescent="0.2">
      <c r="A18" s="595" t="s">
        <v>97</v>
      </c>
      <c r="B18" s="16">
        <v>14</v>
      </c>
      <c r="C18" s="563"/>
      <c r="D18" s="564"/>
      <c r="E18" s="16"/>
      <c r="F18" s="16"/>
      <c r="G18" s="16"/>
      <c r="H18" s="597">
        <v>272.44800000000004</v>
      </c>
      <c r="I18" s="569"/>
      <c r="J18" s="570"/>
    </row>
    <row r="19" spans="1:13" x14ac:dyDescent="0.2">
      <c r="A19" s="595" t="s">
        <v>98</v>
      </c>
      <c r="B19" s="16">
        <v>15</v>
      </c>
      <c r="C19" s="563"/>
      <c r="D19" s="564"/>
      <c r="E19" s="566"/>
      <c r="F19" s="16"/>
      <c r="G19" s="16"/>
      <c r="H19" s="597" t="str">
        <v>0</v>
      </c>
      <c r="I19" s="569"/>
      <c r="J19" s="570"/>
    </row>
    <row r="20" spans="1:13" x14ac:dyDescent="0.2">
      <c r="A20" s="595" t="s">
        <v>99</v>
      </c>
      <c r="B20" s="16">
        <v>16</v>
      </c>
      <c r="C20" s="563"/>
      <c r="D20" s="564"/>
      <c r="E20" s="16"/>
      <c r="F20" s="16"/>
      <c r="G20" s="16"/>
      <c r="H20" s="597" t="str">
        <v>0</v>
      </c>
      <c r="I20" s="569"/>
      <c r="J20" s="570"/>
    </row>
    <row r="21" spans="1:13" x14ac:dyDescent="0.2">
      <c r="A21" s="595" t="s">
        <v>100</v>
      </c>
      <c r="B21" s="16">
        <v>17</v>
      </c>
      <c r="C21" s="563"/>
      <c r="D21" s="564"/>
      <c r="E21" s="16"/>
      <c r="F21" s="16"/>
      <c r="G21" s="16"/>
      <c r="H21" s="597">
        <v>151.73400000000001</v>
      </c>
      <c r="I21" s="569"/>
      <c r="J21" s="570"/>
    </row>
    <row r="22" spans="1:13" x14ac:dyDescent="0.2">
      <c r="A22" s="595" t="s">
        <v>101</v>
      </c>
      <c r="B22" s="16">
        <v>18</v>
      </c>
      <c r="C22" s="563"/>
      <c r="D22" s="564"/>
      <c r="E22" s="16"/>
      <c r="F22" s="16"/>
      <c r="G22" s="16"/>
      <c r="H22" s="597">
        <v>429.726</v>
      </c>
      <c r="I22" s="569"/>
      <c r="J22" s="570"/>
    </row>
    <row r="23" spans="1:13" x14ac:dyDescent="0.2">
      <c r="A23" s="595" t="s">
        <v>102</v>
      </c>
      <c r="B23" s="16">
        <v>19</v>
      </c>
      <c r="C23" s="563"/>
      <c r="D23" s="564"/>
      <c r="E23" s="16"/>
      <c r="F23" s="16"/>
      <c r="G23" s="16"/>
      <c r="H23" s="597">
        <v>501.40200000000004</v>
      </c>
      <c r="I23" s="569"/>
      <c r="J23" s="570"/>
    </row>
    <row r="24" spans="1:13" x14ac:dyDescent="0.2">
      <c r="A24" s="595" t="s">
        <v>96</v>
      </c>
      <c r="B24" s="16">
        <v>20</v>
      </c>
      <c r="C24" s="563"/>
      <c r="D24" s="564"/>
      <c r="E24" s="16"/>
      <c r="F24" s="16"/>
      <c r="G24" s="16"/>
      <c r="H24" s="597">
        <v>267.49799999999999</v>
      </c>
      <c r="I24" s="569"/>
      <c r="J24" s="570"/>
    </row>
    <row r="25" spans="1:13" x14ac:dyDescent="0.2">
      <c r="A25" s="595" t="s">
        <v>97</v>
      </c>
      <c r="B25" s="16">
        <v>21</v>
      </c>
      <c r="C25" s="563"/>
      <c r="D25" s="564"/>
      <c r="E25" s="16"/>
      <c r="F25" s="16"/>
      <c r="G25" s="16"/>
      <c r="H25" s="597">
        <v>116.88600000000001</v>
      </c>
      <c r="I25" s="569"/>
      <c r="J25" s="570"/>
    </row>
    <row r="26" spans="1:13" x14ac:dyDescent="0.2">
      <c r="A26" s="595" t="s">
        <v>98</v>
      </c>
      <c r="B26" s="16">
        <v>22</v>
      </c>
      <c r="C26" s="563"/>
      <c r="D26" s="564"/>
      <c r="E26" s="16"/>
      <c r="F26" s="16"/>
      <c r="G26" s="16"/>
      <c r="H26" s="597" t="str">
        <v>0</v>
      </c>
      <c r="I26" s="569"/>
      <c r="J26" s="570"/>
      <c r="M26" s="33" t="s">
        <v>61</v>
      </c>
    </row>
    <row r="27" spans="1:13" x14ac:dyDescent="0.2">
      <c r="A27" s="595" t="s">
        <v>99</v>
      </c>
      <c r="B27" s="16">
        <v>23</v>
      </c>
      <c r="C27" s="563"/>
      <c r="D27" s="564"/>
      <c r="E27" s="566"/>
      <c r="F27" s="16"/>
      <c r="G27" s="16"/>
      <c r="H27" s="597" t="str">
        <v>0</v>
      </c>
      <c r="I27" s="569"/>
      <c r="J27" s="570"/>
    </row>
    <row r="28" spans="1:13" x14ac:dyDescent="0.2">
      <c r="A28" s="595" t="s">
        <v>100</v>
      </c>
      <c r="B28" s="16">
        <v>24</v>
      </c>
      <c r="C28" s="563"/>
      <c r="D28" s="564"/>
      <c r="E28" s="566"/>
      <c r="F28" s="16"/>
      <c r="G28" s="16"/>
      <c r="H28" s="597">
        <v>67.38600000000001</v>
      </c>
      <c r="I28" s="569"/>
      <c r="J28" s="570"/>
    </row>
    <row r="29" spans="1:13" x14ac:dyDescent="0.2">
      <c r="A29" s="595" t="s">
        <v>101</v>
      </c>
      <c r="B29" s="16">
        <v>25</v>
      </c>
      <c r="C29" s="563"/>
      <c r="D29" s="564"/>
      <c r="E29" s="16"/>
      <c r="F29" s="16"/>
      <c r="G29" s="16"/>
      <c r="H29" s="597">
        <v>623.43600000000004</v>
      </c>
      <c r="I29" s="569"/>
      <c r="J29" s="570"/>
    </row>
    <row r="30" spans="1:13" x14ac:dyDescent="0.2">
      <c r="A30" s="595" t="s">
        <v>102</v>
      </c>
      <c r="B30" s="16">
        <v>26</v>
      </c>
      <c r="C30" s="563"/>
      <c r="D30" s="564"/>
      <c r="E30" s="16"/>
      <c r="F30" s="16"/>
      <c r="G30" s="16"/>
      <c r="H30" s="597">
        <v>589.31400000000008</v>
      </c>
      <c r="I30" s="569"/>
      <c r="J30" s="570"/>
    </row>
    <row r="31" spans="1:13" x14ac:dyDescent="0.2">
      <c r="A31" s="595" t="s">
        <v>96</v>
      </c>
      <c r="B31" s="16">
        <v>27</v>
      </c>
      <c r="C31" s="563"/>
      <c r="D31" s="564"/>
      <c r="E31" s="16"/>
      <c r="F31" s="16"/>
      <c r="G31" s="16"/>
      <c r="H31" s="597">
        <v>535.85400000000004</v>
      </c>
      <c r="I31" s="569"/>
      <c r="J31" s="570"/>
    </row>
    <row r="32" spans="1:13" x14ac:dyDescent="0.2">
      <c r="A32" s="595" t="s">
        <v>97</v>
      </c>
      <c r="B32" s="16">
        <v>28</v>
      </c>
      <c r="C32" s="563"/>
      <c r="D32" s="564"/>
      <c r="E32" s="16"/>
      <c r="F32" s="16"/>
      <c r="G32" s="16"/>
      <c r="H32" s="597">
        <v>181.81440000000001</v>
      </c>
      <c r="I32" s="569"/>
      <c r="J32" s="570"/>
    </row>
    <row r="33" spans="1:10" x14ac:dyDescent="0.2">
      <c r="A33" s="595" t="s">
        <v>98</v>
      </c>
      <c r="B33" s="16">
        <v>29</v>
      </c>
      <c r="C33" s="563"/>
      <c r="D33" s="564"/>
      <c r="E33" s="16"/>
      <c r="F33" s="566"/>
      <c r="G33" s="16"/>
      <c r="H33" s="597">
        <v>31.762500000000003</v>
      </c>
      <c r="I33" s="569"/>
      <c r="J33" s="570"/>
    </row>
    <row r="34" spans="1:10" x14ac:dyDescent="0.2">
      <c r="A34" s="595" t="s">
        <v>99</v>
      </c>
      <c r="B34" s="16">
        <v>30</v>
      </c>
      <c r="C34" s="563"/>
      <c r="D34" s="564"/>
      <c r="E34" s="16"/>
      <c r="F34" s="16"/>
      <c r="G34" s="16"/>
      <c r="H34" s="597" t="str">
        <v>0</v>
      </c>
      <c r="I34" s="569"/>
      <c r="J34" s="570"/>
    </row>
    <row r="35" spans="1:10" x14ac:dyDescent="0.2">
      <c r="A35" s="595" t="s">
        <v>100</v>
      </c>
      <c r="B35" s="16">
        <v>31</v>
      </c>
      <c r="C35" s="563"/>
      <c r="D35" s="564"/>
      <c r="E35" s="16"/>
      <c r="F35" s="16"/>
      <c r="G35" s="16"/>
      <c r="H35" s="597">
        <v>423.12600000000003</v>
      </c>
      <c r="I35" s="569"/>
      <c r="J35" s="570"/>
    </row>
    <row r="36" spans="1:10" ht="18.75" thickBot="1" x14ac:dyDescent="0.3">
      <c r="A36" s="652"/>
      <c r="B36" s="653"/>
      <c r="C36" s="654"/>
      <c r="D36" s="655"/>
      <c r="E36" s="653"/>
      <c r="F36" s="653"/>
      <c r="G36" s="598" t="s">
        <v>261</v>
      </c>
      <c r="H36" s="599">
        <f>SUM(H5:H35)</f>
        <v>6994.2849000000015</v>
      </c>
      <c r="I36" s="569"/>
      <c r="J36" s="570"/>
    </row>
    <row r="37" spans="1:10" x14ac:dyDescent="0.2">
      <c r="B37" s="586"/>
      <c r="C37" s="61"/>
      <c r="D37" s="587"/>
      <c r="E37" s="586"/>
      <c r="F37" s="586"/>
      <c r="G37" s="586"/>
      <c r="H37" s="74"/>
      <c r="I37" s="569"/>
      <c r="J37" s="570"/>
    </row>
    <row r="38" spans="1:10" x14ac:dyDescent="0.2">
      <c r="B38" s="16"/>
      <c r="C38" s="62"/>
      <c r="D38" s="564"/>
      <c r="E38" s="16"/>
      <c r="F38" s="16"/>
      <c r="G38" s="16"/>
      <c r="H38" s="278"/>
      <c r="I38" s="569"/>
      <c r="J38" s="570"/>
    </row>
    <row r="39" spans="1:10" x14ac:dyDescent="0.2">
      <c r="C39" s="34">
        <f>SUM(C5:C36)</f>
        <v>0</v>
      </c>
      <c r="D39" s="10"/>
      <c r="E39" s="10"/>
      <c r="F39" s="10"/>
      <c r="G39" s="10"/>
      <c r="H39" s="581"/>
      <c r="I39" s="569"/>
      <c r="J39" s="570"/>
    </row>
    <row r="40" spans="1:10" x14ac:dyDescent="0.2">
      <c r="C40" s="34"/>
      <c r="D40" s="10"/>
      <c r="E40" s="10"/>
      <c r="F40" s="10"/>
      <c r="G40" s="10"/>
      <c r="I40" s="569"/>
      <c r="J40" s="570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37" activePane="bottomRight" state="frozen"/>
      <selection activeCell="A4" sqref="A4"/>
      <selection pane="topRight" activeCell="B4" sqref="B4"/>
      <selection pane="bottomLeft" activeCell="A11" sqref="A11"/>
      <selection pane="bottomRight" activeCell="S49" sqref="S49"/>
    </sheetView>
  </sheetViews>
  <sheetFormatPr defaultColWidth="9.28515625" defaultRowHeight="12.75" x14ac:dyDescent="0.2"/>
  <cols>
    <col min="1" max="1" width="46" style="111" bestFit="1" customWidth="1"/>
    <col min="2" max="8" width="14.7109375" style="112" customWidth="1"/>
    <col min="9" max="9" width="18.5703125" style="112" customWidth="1"/>
    <col min="10" max="12" width="14.7109375" style="112" customWidth="1"/>
    <col min="13" max="13" width="20.28515625" style="193" customWidth="1"/>
    <col min="14" max="15" width="14.7109375" style="112" customWidth="1"/>
    <col min="16" max="16" width="23.7109375" style="112" bestFit="1" customWidth="1"/>
    <col min="17" max="18" width="15.85546875" style="112" customWidth="1"/>
    <col min="19" max="19" width="18.28515625" style="112" customWidth="1"/>
    <col min="20" max="20" width="14.7109375" style="112" customWidth="1"/>
    <col min="21" max="21" width="15.85546875" style="112" customWidth="1"/>
    <col min="22" max="22" width="14.7109375" style="112" customWidth="1"/>
    <col min="23" max="23" width="16.85546875" style="112" customWidth="1"/>
    <col min="24" max="25" width="15.85546875" style="112" customWidth="1"/>
    <col min="26" max="31" width="14.7109375" style="112" customWidth="1"/>
    <col min="32" max="32" width="14.7109375" style="303" customWidth="1"/>
    <col min="33" max="33" width="15.42578125" style="312" bestFit="1" customWidth="1"/>
    <col min="34" max="34" width="15.5703125" style="312" customWidth="1"/>
    <col min="35" max="35" width="15.42578125" style="366" bestFit="1" customWidth="1"/>
    <col min="36" max="37" width="9.28515625" style="366"/>
    <col min="38" max="16384" width="9.28515625" style="111"/>
  </cols>
  <sheetData>
    <row r="1" spans="1:37" x14ac:dyDescent="0.2">
      <c r="B1" s="115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7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302"/>
      <c r="AG1" s="366"/>
      <c r="AH1" s="366"/>
    </row>
    <row r="2" spans="1:37" x14ac:dyDescent="0.2">
      <c r="B2" s="115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7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302"/>
      <c r="AG2" s="366"/>
      <c r="AH2" s="366"/>
    </row>
    <row r="3" spans="1:37" x14ac:dyDescent="0.2">
      <c r="A3" s="1" t="s">
        <v>138</v>
      </c>
      <c r="B3" s="115"/>
      <c r="C3" s="1"/>
      <c r="D3" s="111"/>
      <c r="E3" s="111"/>
      <c r="F3" s="111"/>
      <c r="G3" s="111"/>
      <c r="H3" s="111"/>
      <c r="I3" s="111"/>
      <c r="J3" s="111"/>
      <c r="K3" s="111"/>
      <c r="L3" s="111"/>
      <c r="M3" s="117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302"/>
      <c r="AG3" s="366"/>
      <c r="AH3" s="366"/>
    </row>
    <row r="4" spans="1:37" x14ac:dyDescent="0.2">
      <c r="A4" s="1"/>
      <c r="M4" s="122" t="s">
        <v>244</v>
      </c>
      <c r="Y4" s="112">
        <v>1364</v>
      </c>
    </row>
    <row r="5" spans="1:37" ht="26.25" x14ac:dyDescent="0.4">
      <c r="A5" s="255">
        <v>45717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 spans="1:37" ht="26.25" x14ac:dyDescent="0.25">
      <c r="A6" s="113"/>
      <c r="B6" s="125">
        <v>1</v>
      </c>
      <c r="C6" s="125">
        <v>2</v>
      </c>
      <c r="D6" s="125">
        <v>3</v>
      </c>
      <c r="E6" s="125">
        <v>4</v>
      </c>
      <c r="F6" s="125">
        <v>5</v>
      </c>
      <c r="G6" s="125">
        <v>6</v>
      </c>
      <c r="H6" s="125">
        <v>7</v>
      </c>
      <c r="I6" s="125">
        <v>8</v>
      </c>
      <c r="J6" s="125">
        <v>9</v>
      </c>
      <c r="K6" s="125">
        <v>10</v>
      </c>
      <c r="L6" s="125">
        <v>11</v>
      </c>
      <c r="M6" s="125">
        <v>12</v>
      </c>
      <c r="N6" s="125">
        <v>13</v>
      </c>
      <c r="O6" s="125">
        <v>14</v>
      </c>
      <c r="P6" s="125">
        <v>15</v>
      </c>
      <c r="Q6" s="125">
        <v>16</v>
      </c>
      <c r="R6" s="125">
        <v>17</v>
      </c>
      <c r="S6" s="125">
        <v>18</v>
      </c>
      <c r="T6" s="125">
        <v>19</v>
      </c>
      <c r="U6" s="125">
        <v>20</v>
      </c>
      <c r="V6" s="125">
        <v>21</v>
      </c>
      <c r="W6" s="125">
        <v>22</v>
      </c>
      <c r="X6" s="125">
        <v>23</v>
      </c>
      <c r="Y6" s="125">
        <v>24</v>
      </c>
      <c r="Z6" s="125">
        <v>25</v>
      </c>
      <c r="AA6" s="125">
        <v>26</v>
      </c>
      <c r="AB6" s="125">
        <v>27</v>
      </c>
      <c r="AC6" s="125">
        <v>28</v>
      </c>
      <c r="AD6" s="125">
        <v>29</v>
      </c>
      <c r="AE6" s="125">
        <v>30</v>
      </c>
      <c r="AF6" s="125">
        <v>31</v>
      </c>
      <c r="AG6" s="404"/>
      <c r="AH6" s="863" t="s">
        <v>232</v>
      </c>
      <c r="AI6" s="395"/>
    </row>
    <row r="7" spans="1:37" s="102" customFormat="1" ht="25.5" customHeight="1" x14ac:dyDescent="0.25">
      <c r="A7" s="127" t="s">
        <v>135</v>
      </c>
      <c r="B7" s="128" t="str">
        <f>'Daily KPIs'!B7</f>
        <v>Sat</v>
      </c>
      <c r="C7" s="128" t="str">
        <f>'Daily KPIs'!C7</f>
        <v>Sun</v>
      </c>
      <c r="D7" s="128" t="str">
        <f>'Daily KPIs'!D7</f>
        <v>Mon</v>
      </c>
      <c r="E7" s="128" t="str">
        <f>'Daily KPIs'!E7</f>
        <v>Tue</v>
      </c>
      <c r="F7" s="128" t="str">
        <f>'Daily KPIs'!F7</f>
        <v>Wed</v>
      </c>
      <c r="G7" s="128" t="str">
        <f>'Daily KPIs'!G7</f>
        <v>Thu</v>
      </c>
      <c r="H7" s="128" t="str">
        <f>'Daily KPIs'!H7</f>
        <v>Fri</v>
      </c>
      <c r="I7" s="128" t="str">
        <f>'Daily KPIs'!I7</f>
        <v>Sat</v>
      </c>
      <c r="J7" s="128" t="str">
        <f>'Daily KPIs'!J7</f>
        <v>Sun</v>
      </c>
      <c r="K7" s="128" t="str">
        <f>'Daily KPIs'!K7</f>
        <v>Mon</v>
      </c>
      <c r="L7" s="128" t="str">
        <f>'Daily KPIs'!L7</f>
        <v>Tue</v>
      </c>
      <c r="M7" s="128" t="str">
        <f>'Daily KPIs'!M7</f>
        <v>Wed</v>
      </c>
      <c r="N7" s="128" t="str">
        <f>'Daily KPIs'!N7</f>
        <v>Thu</v>
      </c>
      <c r="O7" s="128" t="str">
        <f>'Daily KPIs'!O7</f>
        <v>Fri</v>
      </c>
      <c r="P7" s="128" t="str">
        <f>'Daily KPIs'!P7</f>
        <v>Sat</v>
      </c>
      <c r="Q7" s="128" t="str">
        <f>'Daily KPIs'!Q7</f>
        <v>Sun</v>
      </c>
      <c r="R7" s="128" t="str">
        <f>'Daily KPIs'!R7</f>
        <v>Mon</v>
      </c>
      <c r="S7" s="128" t="str">
        <f>'Daily KPIs'!S7</f>
        <v>Tue</v>
      </c>
      <c r="T7" s="128" t="str">
        <f>'Daily KPIs'!T7</f>
        <v>Wed</v>
      </c>
      <c r="U7" s="128" t="str">
        <f>'Daily KPIs'!U7</f>
        <v>Thu</v>
      </c>
      <c r="V7" s="128" t="str">
        <f>'Daily KPIs'!V7</f>
        <v>Fri</v>
      </c>
      <c r="W7" s="128" t="str">
        <f>'Daily KPIs'!W7</f>
        <v>Sat</v>
      </c>
      <c r="X7" s="128" t="str">
        <f>'Daily KPIs'!X7</f>
        <v>Sun</v>
      </c>
      <c r="Y7" s="128" t="str">
        <f>'Daily KPIs'!Y7</f>
        <v>Mon</v>
      </c>
      <c r="Z7" s="128" t="str">
        <f>'Daily KPIs'!Z7</f>
        <v>Tue</v>
      </c>
      <c r="AA7" s="128" t="str">
        <f>'Daily KPIs'!AA7</f>
        <v>Wed</v>
      </c>
      <c r="AB7" s="128" t="str">
        <f>'Daily KPIs'!AB7</f>
        <v>Thu</v>
      </c>
      <c r="AC7" s="128" t="str">
        <f>'Daily KPIs'!AC7</f>
        <v>Fri</v>
      </c>
      <c r="AD7" s="128" t="str">
        <f>'Daily KPIs'!AD7</f>
        <v>Sat</v>
      </c>
      <c r="AE7" s="128" t="str">
        <f>'Daily KPIs'!AE7</f>
        <v>Sun</v>
      </c>
      <c r="AF7" s="128" t="str">
        <f>'Daily KPIs'!AF7</f>
        <v>Mon</v>
      </c>
      <c r="AG7" s="314" t="s">
        <v>19</v>
      </c>
      <c r="AH7" s="863"/>
      <c r="AI7" s="401" t="s">
        <v>246</v>
      </c>
      <c r="AJ7" s="321"/>
      <c r="AK7" s="321"/>
    </row>
    <row r="8" spans="1:37" s="104" customFormat="1" ht="26.25" x14ac:dyDescent="0.3">
      <c r="A8" s="129" t="s">
        <v>140</v>
      </c>
      <c r="B8" s="130"/>
      <c r="C8" s="130">
        <f>'Daily KPIs'!C8</f>
        <v>0</v>
      </c>
      <c r="D8" s="130">
        <f>'Daily KPIs'!D8</f>
        <v>5400</v>
      </c>
      <c r="E8" s="130">
        <f>'Daily KPIs'!E8</f>
        <v>7227</v>
      </c>
      <c r="F8" s="130">
        <f>'Daily KPIs'!F8</f>
        <v>5229</v>
      </c>
      <c r="G8" s="130">
        <f>'Daily KPIs'!G8</f>
        <v>5815</v>
      </c>
      <c r="H8" s="131">
        <f>'Daily KPIs'!H8</f>
        <v>4977</v>
      </c>
      <c r="I8" s="131">
        <f>'Daily KPIs'!I8</f>
        <v>0</v>
      </c>
      <c r="J8" s="130">
        <f>'Daily KPIs'!J8</f>
        <v>0</v>
      </c>
      <c r="K8" s="130">
        <f>'Daily KPIs'!K8</f>
        <v>3460</v>
      </c>
      <c r="L8" s="130">
        <f>'Daily KPIs'!L8</f>
        <v>2835</v>
      </c>
      <c r="M8" s="130">
        <f>'Daily KPIs'!M8</f>
        <v>2046</v>
      </c>
      <c r="N8" s="130">
        <f>'Daily KPIs'!N8</f>
        <v>5464</v>
      </c>
      <c r="O8" s="130">
        <f>'Daily KPIs'!O8</f>
        <v>4128</v>
      </c>
      <c r="P8" s="130">
        <f>'Daily KPIs'!P8</f>
        <v>0</v>
      </c>
      <c r="Q8" s="131">
        <f>'Daily KPIs'!Q8</f>
        <v>0</v>
      </c>
      <c r="R8" s="207">
        <f>'Daily KPIs'!R8</f>
        <v>2299</v>
      </c>
      <c r="S8" s="130">
        <f>'Daily KPIs'!S8</f>
        <v>6511</v>
      </c>
      <c r="T8" s="131">
        <f>'Daily KPIs'!T8</f>
        <v>7597</v>
      </c>
      <c r="U8" s="130">
        <f>'Daily KPIs'!U8</f>
        <v>4053</v>
      </c>
      <c r="V8" s="130">
        <f>'Daily KPIs'!V8</f>
        <v>1771</v>
      </c>
      <c r="W8" s="132">
        <f>'Daily KPIs'!W8</f>
        <v>0</v>
      </c>
      <c r="X8" s="132">
        <f>'Daily KPIs'!X8</f>
        <v>0</v>
      </c>
      <c r="Y8" s="130">
        <f>'Daily KPIs'!Y8</f>
        <v>1021</v>
      </c>
      <c r="Z8" s="130">
        <f>'Daily KPIs'!Z8</f>
        <v>9446</v>
      </c>
      <c r="AA8" s="130">
        <f>'Daily KPIs'!AA8</f>
        <v>8929</v>
      </c>
      <c r="AB8" s="133">
        <f>'Daily KPIs'!AB8</f>
        <v>8119</v>
      </c>
      <c r="AC8" s="133">
        <f>'Daily KPIs'!AC8</f>
        <v>2568</v>
      </c>
      <c r="AD8" s="133"/>
      <c r="AE8" s="133"/>
      <c r="AF8" s="304">
        <f>'Daily KPIs'!AD8</f>
        <v>481.25</v>
      </c>
      <c r="AG8" s="315">
        <f>SUM($B8:AF8)</f>
        <v>99376.25</v>
      </c>
      <c r="AH8" s="404">
        <v>96325</v>
      </c>
      <c r="AI8" s="405">
        <f>AG8-AH8</f>
        <v>3051.25</v>
      </c>
      <c r="AJ8" s="368"/>
      <c r="AK8" s="368"/>
    </row>
    <row r="9" spans="1:37" ht="20.25" x14ac:dyDescent="0.3">
      <c r="A9" s="129" t="s">
        <v>142</v>
      </c>
      <c r="B9" s="130">
        <f>'Daily KPIs'!B9</f>
        <v>0</v>
      </c>
      <c r="C9" s="130">
        <f>'Daily KPIs'!C9</f>
        <v>0</v>
      </c>
      <c r="D9" s="130">
        <f>'Daily KPIs'!D9</f>
        <v>356.40000000000003</v>
      </c>
      <c r="E9" s="130">
        <f>'Daily KPIs'!E9</f>
        <v>476.98200000000003</v>
      </c>
      <c r="F9" s="130">
        <f>'Daily KPIs'!F9</f>
        <v>345.11400000000003</v>
      </c>
      <c r="G9" s="130">
        <f>'Daily KPIs'!G9</f>
        <v>383.79</v>
      </c>
      <c r="H9" s="130">
        <f>'Daily KPIs'!H9</f>
        <v>328.48200000000003</v>
      </c>
      <c r="I9" s="130">
        <f>'Daily KPIs'!I9</f>
        <v>0</v>
      </c>
      <c r="J9" s="130">
        <f>'Daily KPIs'!J9</f>
        <v>0</v>
      </c>
      <c r="K9" s="130">
        <f>'Daily KPIs'!K9</f>
        <v>228.36</v>
      </c>
      <c r="L9" s="130">
        <f>'Daily KPIs'!L9</f>
        <v>187.11</v>
      </c>
      <c r="M9" s="130">
        <f>'Daily KPIs'!M9</f>
        <v>135.036</v>
      </c>
      <c r="N9" s="130">
        <f>'Daily KPIs'!N9</f>
        <v>360.62400000000002</v>
      </c>
      <c r="O9" s="130">
        <f>'Daily KPIs'!O9</f>
        <v>272.44800000000004</v>
      </c>
      <c r="P9" s="130">
        <f>'Daily KPIs'!P9</f>
        <v>0</v>
      </c>
      <c r="Q9" s="130">
        <f>'Daily KPIs'!Q9</f>
        <v>0</v>
      </c>
      <c r="R9" s="130">
        <f>'Daily KPIs'!R9</f>
        <v>151.73400000000001</v>
      </c>
      <c r="S9" s="130">
        <f>'Daily KPIs'!S9</f>
        <v>429.726</v>
      </c>
      <c r="T9" s="130">
        <f>'Daily KPIs'!T9</f>
        <v>501.40200000000004</v>
      </c>
      <c r="U9" s="130">
        <f>'Daily KPIs'!U9</f>
        <v>267.49799999999999</v>
      </c>
      <c r="V9" s="130">
        <f>'Daily KPIs'!V9</f>
        <v>116.88600000000001</v>
      </c>
      <c r="W9" s="130">
        <f>'Daily KPIs'!W9</f>
        <v>0</v>
      </c>
      <c r="X9" s="130">
        <f>'Daily KPIs'!X9</f>
        <v>0</v>
      </c>
      <c r="Y9" s="130">
        <f>'Daily KPIs'!Y9</f>
        <v>67.38600000000001</v>
      </c>
      <c r="Z9" s="130">
        <f>'Daily KPIs'!Z9</f>
        <v>623.43600000000004</v>
      </c>
      <c r="AA9" s="130">
        <f>'Daily KPIs'!AA9</f>
        <v>589.31400000000008</v>
      </c>
      <c r="AB9" s="130">
        <f>'Daily KPIs'!AB9</f>
        <v>535.85400000000004</v>
      </c>
      <c r="AC9" s="130">
        <f>'Daily KPIs'!AC9</f>
        <v>181.81440000000001</v>
      </c>
      <c r="AD9" s="130"/>
      <c r="AE9" s="130"/>
      <c r="AF9" s="305">
        <f>'Daily KPIs'!AD9</f>
        <v>31.762500000000003</v>
      </c>
      <c r="AG9" s="317">
        <f>SUM($B9:AF9)</f>
        <v>6571.1589000000013</v>
      </c>
      <c r="AH9" s="316"/>
      <c r="AI9" s="367"/>
    </row>
    <row r="10" spans="1:37" s="104" customFormat="1" ht="20.25" x14ac:dyDescent="0.3">
      <c r="A10" s="134" t="s">
        <v>139</v>
      </c>
      <c r="B10" s="194">
        <f>'Daily KPIs'!B10</f>
        <v>0</v>
      </c>
      <c r="C10" s="194">
        <f>'Daily KPIs'!C10</f>
        <v>0</v>
      </c>
      <c r="D10" s="194" t="str">
        <f>'Daily KPIs'!D10</f>
        <v>Juicy Cool</v>
      </c>
      <c r="E10" s="194" t="str">
        <f>'Daily KPIs'!E10</f>
        <v>ST/CB</v>
      </c>
      <c r="F10" s="194" t="str">
        <f>'Daily KPIs'!F10</f>
        <v>GO/GA/JCool</v>
      </c>
      <c r="G10" s="194" t="str">
        <f>'Daily KPIs'!G10</f>
        <v>GN/SM/ST</v>
      </c>
      <c r="H10" s="194">
        <f>'Daily KPIs'!I10</f>
        <v>0</v>
      </c>
      <c r="I10" s="194">
        <f>'Daily KPIs'!J10</f>
        <v>0</v>
      </c>
      <c r="J10" s="194">
        <f>'Daily KPIs'!J10</f>
        <v>0</v>
      </c>
      <c r="K10" s="194" t="str">
        <f>'Daily KPIs'!K10</f>
        <v>CB</v>
      </c>
      <c r="L10" s="194" t="str">
        <f>'Daily KPIs'!L10</f>
        <v>CB/ST/SM</v>
      </c>
      <c r="M10" s="194" t="str">
        <f>'Daily KPIs'!M10</f>
        <v>SM</v>
      </c>
      <c r="N10" s="194" t="str">
        <f>'Daily KPIs'!N10</f>
        <v>CB</v>
      </c>
      <c r="O10" s="194" t="str">
        <f>'Daily KPIs'!O10</f>
        <v>ST/CB</v>
      </c>
      <c r="P10" s="194">
        <f>'Daily KPIs'!P10</f>
        <v>0</v>
      </c>
      <c r="Q10" s="194">
        <f>'Daily KPIs'!Q10</f>
        <v>0</v>
      </c>
      <c r="R10" s="194" t="str">
        <f>'Daily KPIs'!R10</f>
        <v>CB/ST</v>
      </c>
      <c r="S10" s="194" t="str">
        <f>'Daily KPIs'!S10</f>
        <v>ST/CB</v>
      </c>
      <c r="T10" s="194" t="str">
        <f>'Daily KPIs'!T10</f>
        <v>CB/ST</v>
      </c>
      <c r="U10" s="194" t="str">
        <f>'Daily KPIs'!U10</f>
        <v>Gness</v>
      </c>
      <c r="V10" s="194" t="str">
        <f>'Daily KPIs'!V10</f>
        <v>Gness</v>
      </c>
      <c r="W10" s="194">
        <f>'Daily KPIs'!W10</f>
        <v>0</v>
      </c>
      <c r="X10" s="194">
        <f>'Daily KPIs'!X10</f>
        <v>0</v>
      </c>
      <c r="Y10" s="862" t="str">
        <f>'Daily KPIs'!Y10</f>
        <v>CB</v>
      </c>
      <c r="Z10" s="862"/>
      <c r="AA10" s="194" t="str">
        <f>'Daily KPIs'!AA10</f>
        <v>ST/CB</v>
      </c>
      <c r="AB10" s="194" t="str">
        <f>'Daily KPIs'!AB10</f>
        <v>CB</v>
      </c>
      <c r="AC10" s="194" t="str">
        <f>'Daily KPIs'!AC10</f>
        <v>VitaMalt</v>
      </c>
      <c r="AD10" s="194"/>
      <c r="AE10" s="194"/>
      <c r="AF10" s="306" t="str">
        <f>'Daily KPIs'!AD10</f>
        <v>KEGS</v>
      </c>
      <c r="AG10" s="318"/>
      <c r="AH10" s="319"/>
      <c r="AI10" s="367"/>
      <c r="AJ10" s="368"/>
      <c r="AK10" s="368"/>
    </row>
    <row r="11" spans="1:37" ht="18" x14ac:dyDescent="0.25">
      <c r="A11" s="135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14"/>
      <c r="O11" s="114"/>
      <c r="P11" s="114"/>
      <c r="Q11" s="114"/>
      <c r="R11" s="114"/>
      <c r="S11" s="114"/>
      <c r="U11" s="114"/>
      <c r="X11" s="111"/>
      <c r="AF11" s="112"/>
    </row>
    <row r="12" spans="1:37" ht="18" hidden="1" x14ac:dyDescent="0.25">
      <c r="A12" s="135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3"/>
      <c r="N12" s="114"/>
      <c r="O12" s="114"/>
      <c r="P12" s="114"/>
      <c r="Q12" s="114"/>
      <c r="R12" s="114"/>
      <c r="S12" s="114"/>
      <c r="U12" s="114"/>
      <c r="AF12" s="112"/>
    </row>
    <row r="13" spans="1:37" ht="18" x14ac:dyDescent="0.25">
      <c r="A13" s="136" t="s">
        <v>204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24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</row>
    <row r="14" spans="1:37" s="105" customFormat="1" ht="18" x14ac:dyDescent="0.25">
      <c r="A14" s="137" t="s">
        <v>127</v>
      </c>
      <c r="B14" s="138">
        <v>1</v>
      </c>
      <c r="C14" s="138">
        <v>2</v>
      </c>
      <c r="D14" s="138">
        <v>3</v>
      </c>
      <c r="E14" s="138">
        <v>4</v>
      </c>
      <c r="F14" s="138">
        <v>5</v>
      </c>
      <c r="G14" s="138">
        <v>6</v>
      </c>
      <c r="H14" s="138">
        <v>7</v>
      </c>
      <c r="I14" s="138">
        <v>8</v>
      </c>
      <c r="J14" s="138">
        <v>9</v>
      </c>
      <c r="K14" s="138">
        <v>10</v>
      </c>
      <c r="L14" s="138">
        <v>11</v>
      </c>
      <c r="M14" s="139">
        <v>12</v>
      </c>
      <c r="N14" s="138">
        <v>13</v>
      </c>
      <c r="O14" s="138">
        <v>14</v>
      </c>
      <c r="P14" s="138">
        <v>15</v>
      </c>
      <c r="Q14" s="138">
        <v>16</v>
      </c>
      <c r="R14" s="138">
        <v>17</v>
      </c>
      <c r="S14" s="138">
        <v>18</v>
      </c>
      <c r="T14" s="138">
        <v>19</v>
      </c>
      <c r="U14" s="138">
        <v>20</v>
      </c>
      <c r="V14" s="138">
        <v>21</v>
      </c>
      <c r="W14" s="138">
        <v>22</v>
      </c>
      <c r="X14" s="138">
        <v>23</v>
      </c>
      <c r="Y14" s="138">
        <v>24</v>
      </c>
      <c r="Z14" s="138">
        <v>25</v>
      </c>
      <c r="AA14" s="138">
        <v>26</v>
      </c>
      <c r="AB14" s="138">
        <v>27</v>
      </c>
      <c r="AC14" s="138">
        <v>28</v>
      </c>
      <c r="AD14" s="138">
        <v>29</v>
      </c>
      <c r="AE14" s="138">
        <v>30</v>
      </c>
      <c r="AF14" s="138">
        <v>31</v>
      </c>
      <c r="AG14" s="320" t="s">
        <v>89</v>
      </c>
      <c r="AH14" s="321"/>
      <c r="AI14" s="369"/>
      <c r="AJ14" s="369"/>
      <c r="AK14" s="369"/>
    </row>
    <row r="15" spans="1:37" ht="18" x14ac:dyDescent="0.25">
      <c r="A15" s="140" t="s">
        <v>143</v>
      </c>
      <c r="B15" s="141" t="str">
        <f>+'Water '!$C7</f>
        <v>0</v>
      </c>
      <c r="C15" s="141" t="str">
        <f>+'Water '!$C8</f>
        <v>0</v>
      </c>
      <c r="D15" s="141" t="str">
        <f>+'Water '!$C9</f>
        <v>0</v>
      </c>
      <c r="E15" s="141" t="str">
        <f>+'Water '!$C10</f>
        <v>0</v>
      </c>
      <c r="F15" s="141" t="str">
        <f>+'Water '!$C11</f>
        <v>0</v>
      </c>
      <c r="G15" s="141" t="str">
        <f>+'Water '!$C12</f>
        <v>0</v>
      </c>
      <c r="H15" s="141" t="str">
        <f>+'Water '!$C13</f>
        <v>0</v>
      </c>
      <c r="I15" s="141" t="str">
        <f>+'Water '!$C14</f>
        <v>0</v>
      </c>
      <c r="J15" s="141" t="str">
        <f>+'Water '!$C15</f>
        <v>0</v>
      </c>
      <c r="K15" s="141" t="str">
        <f>+'Water '!$C16</f>
        <v>0</v>
      </c>
      <c r="L15" s="141" t="str">
        <f>+'Water '!$C17</f>
        <v>0</v>
      </c>
      <c r="M15" s="142" t="str">
        <f>+'Water '!$C18</f>
        <v>0</v>
      </c>
      <c r="N15" s="142" t="str">
        <f>+'Water '!$C18</f>
        <v>0</v>
      </c>
      <c r="O15" s="141" t="str">
        <f>+'Water '!$C20</f>
        <v>0</v>
      </c>
      <c r="P15" s="141" t="str">
        <f>+'Water '!$C21</f>
        <v>0</v>
      </c>
      <c r="Q15" s="141" t="str">
        <f>+'Water '!$C22</f>
        <v>0</v>
      </c>
      <c r="R15" s="141" t="str">
        <f>+'Water '!$C23</f>
        <v>0</v>
      </c>
      <c r="S15" s="141" t="str">
        <f>+'Water '!$C24</f>
        <v>0</v>
      </c>
      <c r="T15" s="141" t="str">
        <f>+'Water '!$C25</f>
        <v>0</v>
      </c>
      <c r="U15" s="141" t="str">
        <f>+'Water '!$C26</f>
        <v>0</v>
      </c>
      <c r="V15" s="141" t="str">
        <f>+'Water '!$C27</f>
        <v>0</v>
      </c>
      <c r="W15" s="141" t="str">
        <f>+'Water '!$C28</f>
        <v>0</v>
      </c>
      <c r="X15" s="141" t="str">
        <f>+'Water '!$C29</f>
        <v>0</v>
      </c>
      <c r="Y15" s="141" t="str">
        <f>+'Water '!$C30</f>
        <v>0</v>
      </c>
      <c r="Z15" s="141" t="str">
        <f>+'Water '!$C31</f>
        <v>0</v>
      </c>
      <c r="AA15" s="141" t="str">
        <f>+'Water '!$C32</f>
        <v>0</v>
      </c>
      <c r="AB15" s="141" t="str">
        <f>+'Water '!$C33</f>
        <v>0</v>
      </c>
      <c r="AC15" s="141" t="str">
        <f>+'Water '!$C34</f>
        <v>0</v>
      </c>
      <c r="AD15" s="141" t="str">
        <f>+'Water '!$C31</f>
        <v>0</v>
      </c>
      <c r="AE15" s="141" t="str">
        <f>+'Water '!$C32</f>
        <v>0</v>
      </c>
      <c r="AF15" s="141" t="str">
        <f>+'Water '!$C33</f>
        <v>0</v>
      </c>
      <c r="AG15" s="322">
        <f>SUM($B15:AF15)</f>
        <v>0</v>
      </c>
      <c r="AH15" s="323"/>
    </row>
    <row r="16" spans="1:37" ht="18" x14ac:dyDescent="0.25">
      <c r="A16" s="140" t="s">
        <v>128</v>
      </c>
      <c r="B16" s="141" t="str">
        <f>+'Water '!$D7</f>
        <v>0</v>
      </c>
      <c r="C16" s="141" t="str">
        <f>+'Water '!$D8</f>
        <v>0</v>
      </c>
      <c r="D16" s="141">
        <f>+'Water '!$D9</f>
        <v>379</v>
      </c>
      <c r="E16" s="141">
        <f>+'Water '!$D10</f>
        <v>442</v>
      </c>
      <c r="F16" s="141">
        <f>+'Water '!$D11</f>
        <v>436</v>
      </c>
      <c r="G16" s="141">
        <f>+'Water '!$D12</f>
        <v>258</v>
      </c>
      <c r="H16" s="141">
        <f>+'Water '!$D13</f>
        <v>241</v>
      </c>
      <c r="I16" s="141">
        <f>+'Water '!$D14</f>
        <v>142</v>
      </c>
      <c r="J16" s="141">
        <f>+'Water '!$D15</f>
        <v>77</v>
      </c>
      <c r="K16" s="141">
        <f>+'Water '!$D16</f>
        <v>65</v>
      </c>
      <c r="L16" s="141">
        <f>+'Water '!$D17</f>
        <v>248</v>
      </c>
      <c r="M16" s="142">
        <f>+'Water '!$D18</f>
        <v>132</v>
      </c>
      <c r="N16" s="141">
        <f>+'Water '!$D19</f>
        <v>5</v>
      </c>
      <c r="O16" s="141">
        <f>+'Water '!$D20</f>
        <v>226</v>
      </c>
      <c r="P16" s="141">
        <f>+'Water '!$D21</f>
        <v>36</v>
      </c>
      <c r="Q16" s="141">
        <f>+'Water '!$D22</f>
        <v>2</v>
      </c>
      <c r="R16" s="141">
        <f>+'Water '!$D23</f>
        <v>105</v>
      </c>
      <c r="S16" s="141">
        <f>+'Water '!$D24</f>
        <v>252</v>
      </c>
      <c r="T16" s="141">
        <f>+'Water '!$D25</f>
        <v>375</v>
      </c>
      <c r="U16" s="141">
        <f>+'Water '!$D26</f>
        <v>63</v>
      </c>
      <c r="V16" s="141">
        <f>+'Water '!$D27</f>
        <v>36</v>
      </c>
      <c r="W16" s="141" t="str">
        <f>+'Water '!$D28</f>
        <v>0</v>
      </c>
      <c r="X16" s="141" t="str">
        <f>+'Water '!$D29</f>
        <v>0</v>
      </c>
      <c r="Y16" s="141">
        <f>+'Water '!$D30</f>
        <v>31</v>
      </c>
      <c r="Z16" s="141">
        <f>+'Water '!$D31</f>
        <v>173</v>
      </c>
      <c r="AA16" s="141">
        <f>+'Water '!$D32</f>
        <v>460</v>
      </c>
      <c r="AB16" s="141">
        <f>+'Water '!$D33</f>
        <v>52</v>
      </c>
      <c r="AC16" s="141">
        <f>+'Water '!$D34</f>
        <v>167</v>
      </c>
      <c r="AD16" s="141">
        <f>+'Water '!$D31</f>
        <v>173</v>
      </c>
      <c r="AE16" s="141">
        <f>+'Water '!$D32</f>
        <v>460</v>
      </c>
      <c r="AF16" s="141">
        <f>+'Water '!$D33</f>
        <v>52</v>
      </c>
      <c r="AG16" s="322">
        <f>SUM($B16:AF16)</f>
        <v>5088</v>
      </c>
      <c r="AH16" s="323"/>
    </row>
    <row r="17" spans="1:37" ht="18" x14ac:dyDescent="0.25">
      <c r="A17" s="140" t="s">
        <v>129</v>
      </c>
      <c r="B17" s="143">
        <f>+'Water '!$E7</f>
        <v>186</v>
      </c>
      <c r="C17" s="144" t="str">
        <f>+'Water '!$E8</f>
        <v>0</v>
      </c>
      <c r="D17" s="143">
        <f>+'Water '!$E9</f>
        <v>12</v>
      </c>
      <c r="E17" s="143" t="str">
        <f>+'Water '!$E10</f>
        <v>0</v>
      </c>
      <c r="F17" s="143" t="str">
        <f>+'Water '!$E11</f>
        <v>0</v>
      </c>
      <c r="G17" s="143" t="str">
        <f>+'Water '!$E12</f>
        <v>0</v>
      </c>
      <c r="H17" s="145">
        <f>+'Water '!$E13</f>
        <v>120</v>
      </c>
      <c r="I17" s="144">
        <f>+'Water '!$E14</f>
        <v>81</v>
      </c>
      <c r="J17" s="145">
        <f>+'Water '!$E15</f>
        <v>21</v>
      </c>
      <c r="K17" s="145">
        <f>+'Water '!$E16</f>
        <v>95</v>
      </c>
      <c r="L17" s="145">
        <f>+'Water '!$E17</f>
        <v>118</v>
      </c>
      <c r="M17" s="146">
        <f>+'Water '!$E18</f>
        <v>184</v>
      </c>
      <c r="N17" s="143">
        <f>+'Water '!$E19</f>
        <v>253</v>
      </c>
      <c r="O17" s="145">
        <f>+'Water '!$E20</f>
        <v>251</v>
      </c>
      <c r="P17" s="145">
        <f>+'Water '!$E21</f>
        <v>80</v>
      </c>
      <c r="Q17" s="145">
        <f>+'Water '!$E22</f>
        <v>96</v>
      </c>
      <c r="R17" s="145">
        <f>+'Water '!$E23</f>
        <v>133</v>
      </c>
      <c r="S17" s="145">
        <f>+'Water '!$E24</f>
        <v>38</v>
      </c>
      <c r="T17" s="145">
        <f>+'Water '!$E25</f>
        <v>84</v>
      </c>
      <c r="U17" s="145">
        <f>+'Water '!$E26</f>
        <v>254</v>
      </c>
      <c r="V17" s="145">
        <f>+'Water '!$E27</f>
        <v>171</v>
      </c>
      <c r="W17" s="145" t="str">
        <f>+'Water '!$E28</f>
        <v>0</v>
      </c>
      <c r="X17" s="145">
        <f>+'Water '!$E29</f>
        <v>134</v>
      </c>
      <c r="Y17" s="147">
        <f>+'Water '!$E30</f>
        <v>207</v>
      </c>
      <c r="Z17" s="147">
        <f>+'Water '!$E31</f>
        <v>123</v>
      </c>
      <c r="AA17" s="143">
        <f>+'Water '!$E32</f>
        <v>156</v>
      </c>
      <c r="AB17" s="145">
        <f>+'Water '!$E33</f>
        <v>282</v>
      </c>
      <c r="AC17" s="145">
        <f>+'Water '!$E34</f>
        <v>275</v>
      </c>
      <c r="AD17" s="147">
        <f>+'Water '!$E31</f>
        <v>123</v>
      </c>
      <c r="AE17" s="143">
        <f>+'Water '!$E32</f>
        <v>156</v>
      </c>
      <c r="AF17" s="145">
        <f>+'Water '!$E33</f>
        <v>282</v>
      </c>
      <c r="AG17" s="324">
        <f>SUM($B17:AF17)</f>
        <v>3915</v>
      </c>
      <c r="AH17" s="325"/>
      <c r="AI17" s="370"/>
    </row>
    <row r="18" spans="1:37" s="106" customFormat="1" ht="20.25" x14ac:dyDescent="0.3">
      <c r="A18" s="148" t="s">
        <v>175</v>
      </c>
      <c r="B18" s="149">
        <f>SUM(B15:B17)</f>
        <v>186</v>
      </c>
      <c r="C18" s="149">
        <f t="shared" ref="C18:AC18" si="0">SUM(C15:C17)</f>
        <v>0</v>
      </c>
      <c r="D18" s="149">
        <f t="shared" si="0"/>
        <v>391</v>
      </c>
      <c r="E18" s="149">
        <f t="shared" si="0"/>
        <v>442</v>
      </c>
      <c r="F18" s="149">
        <f t="shared" si="0"/>
        <v>436</v>
      </c>
      <c r="G18" s="149">
        <f t="shared" si="0"/>
        <v>258</v>
      </c>
      <c r="H18" s="149">
        <f t="shared" si="0"/>
        <v>361</v>
      </c>
      <c r="I18" s="149">
        <f t="shared" si="0"/>
        <v>223</v>
      </c>
      <c r="J18" s="149">
        <f t="shared" si="0"/>
        <v>98</v>
      </c>
      <c r="K18" s="149">
        <f t="shared" si="0"/>
        <v>160</v>
      </c>
      <c r="L18" s="149">
        <f t="shared" si="0"/>
        <v>366</v>
      </c>
      <c r="M18" s="149">
        <f t="shared" si="0"/>
        <v>316</v>
      </c>
      <c r="N18" s="206">
        <f t="shared" si="0"/>
        <v>258</v>
      </c>
      <c r="O18" s="206">
        <f t="shared" si="0"/>
        <v>477</v>
      </c>
      <c r="P18" s="206">
        <f t="shared" si="0"/>
        <v>116</v>
      </c>
      <c r="Q18" s="206">
        <f t="shared" si="0"/>
        <v>98</v>
      </c>
      <c r="R18" s="206">
        <f t="shared" si="0"/>
        <v>238</v>
      </c>
      <c r="S18" s="206">
        <f t="shared" si="0"/>
        <v>290</v>
      </c>
      <c r="T18" s="206">
        <f t="shared" si="0"/>
        <v>459</v>
      </c>
      <c r="U18" s="206">
        <f t="shared" si="0"/>
        <v>317</v>
      </c>
      <c r="V18" s="206">
        <f t="shared" si="0"/>
        <v>207</v>
      </c>
      <c r="W18" s="206">
        <f t="shared" si="0"/>
        <v>0</v>
      </c>
      <c r="X18" s="206">
        <f t="shared" si="0"/>
        <v>134</v>
      </c>
      <c r="Y18" s="206">
        <f t="shared" si="0"/>
        <v>238</v>
      </c>
      <c r="Z18" s="206">
        <f t="shared" si="0"/>
        <v>296</v>
      </c>
      <c r="AA18" s="206">
        <f t="shared" si="0"/>
        <v>616</v>
      </c>
      <c r="AB18" s="206">
        <f t="shared" si="0"/>
        <v>334</v>
      </c>
      <c r="AC18" s="206">
        <f t="shared" si="0"/>
        <v>442</v>
      </c>
      <c r="AD18" s="206">
        <f t="shared" ref="AD18:AF18" si="1">SUM(AD15:AD17)</f>
        <v>296</v>
      </c>
      <c r="AE18" s="206">
        <f t="shared" si="1"/>
        <v>616</v>
      </c>
      <c r="AF18" s="206">
        <f t="shared" si="1"/>
        <v>334</v>
      </c>
      <c r="AG18" s="326">
        <f>SUM($B18:AF18)</f>
        <v>9003</v>
      </c>
      <c r="AH18" s="326"/>
      <c r="AI18" s="371"/>
      <c r="AJ18" s="372"/>
      <c r="AK18" s="372"/>
    </row>
    <row r="19" spans="1:37" ht="18" x14ac:dyDescent="0.25">
      <c r="A19" s="135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1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322"/>
      <c r="AH19" s="322"/>
      <c r="AI19" s="373"/>
    </row>
    <row r="20" spans="1:37" ht="18" hidden="1" x14ac:dyDescent="0.25">
      <c r="A20" s="14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1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322">
        <f>SUM($B20:AF20)</f>
        <v>0</v>
      </c>
      <c r="AH20" s="322"/>
      <c r="AI20" s="373"/>
    </row>
    <row r="21" spans="1:37" ht="18" x14ac:dyDescent="0.25">
      <c r="A21" s="152" t="s">
        <v>155</v>
      </c>
      <c r="B21" s="150">
        <f>0.73*(B96+B15)</f>
        <v>143.07999999999998</v>
      </c>
      <c r="C21" s="150">
        <f t="shared" ref="C21:AC21" si="2">0.73*(C96+C15)</f>
        <v>0</v>
      </c>
      <c r="D21" s="150">
        <f t="shared" si="2"/>
        <v>8.76</v>
      </c>
      <c r="E21" s="150">
        <f>0.73*(E96+E15)</f>
        <v>0.73</v>
      </c>
      <c r="F21" s="150">
        <f t="shared" si="2"/>
        <v>0</v>
      </c>
      <c r="G21" s="150">
        <f t="shared" si="2"/>
        <v>0</v>
      </c>
      <c r="H21" s="150">
        <f t="shared" si="2"/>
        <v>94.899999999999991</v>
      </c>
      <c r="I21" s="150">
        <f t="shared" si="2"/>
        <v>59.86</v>
      </c>
      <c r="J21" s="150">
        <f t="shared" si="2"/>
        <v>16.059999999999999</v>
      </c>
      <c r="K21" s="150">
        <f t="shared" si="2"/>
        <v>110.96</v>
      </c>
      <c r="L21" s="150">
        <f t="shared" si="2"/>
        <v>0</v>
      </c>
      <c r="M21" s="150">
        <f t="shared" si="2"/>
        <v>82.49</v>
      </c>
      <c r="N21" s="150">
        <f>0.73*(N96+N15)</f>
        <v>0</v>
      </c>
      <c r="O21" s="150">
        <f>0.73*(O96+O15)</f>
        <v>0</v>
      </c>
      <c r="P21" s="150">
        <f t="shared" si="2"/>
        <v>0</v>
      </c>
      <c r="Q21" s="150">
        <f>0.73*(Q96+Q15)</f>
        <v>0</v>
      </c>
      <c r="R21" s="150">
        <f t="shared" si="2"/>
        <v>0</v>
      </c>
      <c r="S21" s="150">
        <f t="shared" si="2"/>
        <v>0</v>
      </c>
      <c r="T21" s="150">
        <f t="shared" si="2"/>
        <v>65.7</v>
      </c>
      <c r="U21" s="150">
        <f t="shared" si="2"/>
        <v>194.91</v>
      </c>
      <c r="V21" s="150">
        <f t="shared" si="2"/>
        <v>132.13</v>
      </c>
      <c r="W21" s="150">
        <f>0.73*(W96+W15)</f>
        <v>0</v>
      </c>
      <c r="X21" s="150">
        <f t="shared" si="2"/>
        <v>102.92999999999999</v>
      </c>
      <c r="Y21" s="150">
        <f>0.73*(Y96+Y15)</f>
        <v>160.6</v>
      </c>
      <c r="Z21" s="150">
        <f t="shared" si="2"/>
        <v>90.52</v>
      </c>
      <c r="AA21" s="150">
        <f t="shared" si="2"/>
        <v>90.52</v>
      </c>
      <c r="AB21" s="150">
        <f t="shared" si="2"/>
        <v>90.52</v>
      </c>
      <c r="AC21" s="150">
        <f t="shared" si="2"/>
        <v>90.52</v>
      </c>
      <c r="AD21" s="150">
        <f t="shared" ref="AD21:AF21" si="3">0.73*(AD96+AD15)</f>
        <v>90.52</v>
      </c>
      <c r="AE21" s="150">
        <f t="shared" si="3"/>
        <v>90.52</v>
      </c>
      <c r="AF21" s="150">
        <f t="shared" si="3"/>
        <v>117.53</v>
      </c>
      <c r="AG21" s="322">
        <f>SUM($B21:AF21)</f>
        <v>1833.7599999999998</v>
      </c>
      <c r="AH21" s="327">
        <f>AG24+AG37+AG28</f>
        <v>9168</v>
      </c>
      <c r="AI21" s="373"/>
      <c r="AJ21" s="374">
        <f>(AH21*10)/AG9</f>
        <v>13.951876890391432</v>
      </c>
    </row>
    <row r="22" spans="1:37" ht="18" x14ac:dyDescent="0.25">
      <c r="A22" s="135"/>
      <c r="B22" s="125"/>
      <c r="C22" s="125"/>
      <c r="D22" s="125"/>
      <c r="E22" s="150">
        <f>0.73*(E97+E16)</f>
        <v>322.65999999999997</v>
      </c>
      <c r="F22" s="125"/>
      <c r="G22" s="125"/>
      <c r="H22" s="125"/>
      <c r="I22" s="125"/>
      <c r="J22" s="125"/>
      <c r="K22" s="125"/>
      <c r="L22" s="125"/>
      <c r="M22" s="126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313"/>
      <c r="AH22" s="313"/>
      <c r="AI22" s="373"/>
    </row>
    <row r="23" spans="1:37" ht="18" x14ac:dyDescent="0.25">
      <c r="A23" s="152" t="s">
        <v>134</v>
      </c>
      <c r="B23" s="150" t="str">
        <f>'Water '!R7</f>
        <v>0</v>
      </c>
      <c r="C23" s="150" t="str">
        <f>'Water '!R8</f>
        <v>0</v>
      </c>
      <c r="D23" s="150" t="str">
        <f>'Water '!R9</f>
        <v>0</v>
      </c>
      <c r="E23" s="150" t="str">
        <f>'Water '!R10</f>
        <v>0</v>
      </c>
      <c r="F23" s="150" t="str">
        <f>'Water '!R11</f>
        <v>0</v>
      </c>
      <c r="G23" s="150" t="str">
        <f>'Water '!R12</f>
        <v>0</v>
      </c>
      <c r="H23" s="150" t="str">
        <f>'Water '!R13</f>
        <v>0</v>
      </c>
      <c r="I23" s="150" t="str">
        <f>'Water '!R14</f>
        <v>0</v>
      </c>
      <c r="J23" s="150" t="str">
        <f>'Water '!R15</f>
        <v>0</v>
      </c>
      <c r="K23" s="150" t="str">
        <f>'Water '!R16</f>
        <v>0</v>
      </c>
      <c r="L23" s="150" t="str">
        <f>'Water '!R17</f>
        <v>0</v>
      </c>
      <c r="M23" s="151" t="str">
        <f>'Water '!R18</f>
        <v>0</v>
      </c>
      <c r="N23" s="150" t="str">
        <f>'Water '!R19</f>
        <v>0</v>
      </c>
      <c r="O23" s="150" t="str">
        <f>'Water '!R20</f>
        <v>0</v>
      </c>
      <c r="P23" s="150" t="str">
        <f>'Water '!R21</f>
        <v>0</v>
      </c>
      <c r="Q23" s="150" t="str">
        <f>'Water '!R22</f>
        <v>0</v>
      </c>
      <c r="R23" s="150" t="str">
        <f>'Water '!R23</f>
        <v>0</v>
      </c>
      <c r="S23" s="150" t="str">
        <f>'Water '!R24</f>
        <v>0</v>
      </c>
      <c r="T23" s="150" t="str">
        <f>'Water '!R25</f>
        <v>0</v>
      </c>
      <c r="U23" s="150" t="str">
        <f>'Water '!R26</f>
        <v>0</v>
      </c>
      <c r="V23" s="150" t="str">
        <f>'Water '!R27</f>
        <v>0</v>
      </c>
      <c r="W23" s="150" t="str">
        <f>'Water '!R28</f>
        <v>0</v>
      </c>
      <c r="X23" s="150" t="str">
        <f>'Water '!R29</f>
        <v>0</v>
      </c>
      <c r="Y23" s="150" t="str">
        <f>'Water '!R30</f>
        <v>0</v>
      </c>
      <c r="Z23" s="150" t="str">
        <f>'Water '!R31</f>
        <v>0</v>
      </c>
      <c r="AA23" s="150" t="str">
        <f>'Water '!R32</f>
        <v>0</v>
      </c>
      <c r="AB23" s="150" t="str">
        <f>'Water '!R33</f>
        <v>0</v>
      </c>
      <c r="AC23" s="150" t="str">
        <f>'Water '!R34</f>
        <v>0</v>
      </c>
      <c r="AD23" s="150" t="str">
        <f>'Water '!V31</f>
        <v>0</v>
      </c>
      <c r="AE23" s="150" t="str">
        <f>'Water '!V32</f>
        <v>0</v>
      </c>
      <c r="AF23" s="150">
        <f>'Water '!V33</f>
        <v>4</v>
      </c>
      <c r="AG23" s="322">
        <f>SUM($B23:AF23)</f>
        <v>4</v>
      </c>
      <c r="AH23" s="322"/>
      <c r="AI23" s="373"/>
    </row>
    <row r="24" spans="1:37" ht="18" x14ac:dyDescent="0.25">
      <c r="A24" s="153" t="s">
        <v>173</v>
      </c>
      <c r="B24" s="143">
        <f>'Water '!H7</f>
        <v>74</v>
      </c>
      <c r="C24" s="143">
        <f>'Water '!H8</f>
        <v>31</v>
      </c>
      <c r="D24" s="143">
        <f>'Water '!H9</f>
        <v>107</v>
      </c>
      <c r="E24" s="143">
        <f>'Water '!H10</f>
        <v>232</v>
      </c>
      <c r="F24" s="143">
        <f>'Water '!H11</f>
        <v>206</v>
      </c>
      <c r="G24" s="143">
        <f>'Water '!H12</f>
        <v>201</v>
      </c>
      <c r="H24" s="143">
        <f>'Water '!H13</f>
        <v>154</v>
      </c>
      <c r="I24" s="143">
        <f>'Water '!H14</f>
        <v>100</v>
      </c>
      <c r="J24" s="143">
        <f>'Water '!H15</f>
        <v>10</v>
      </c>
      <c r="K24" s="143">
        <f>'Water '!H16</f>
        <v>165</v>
      </c>
      <c r="L24" s="143">
        <f>'Water '!H17</f>
        <v>122</v>
      </c>
      <c r="M24" s="154">
        <f>'Water '!H18</f>
        <v>154</v>
      </c>
      <c r="N24" s="143">
        <f>'Water '!H19</f>
        <v>167</v>
      </c>
      <c r="O24" s="143">
        <f>'Water '!H20</f>
        <v>141</v>
      </c>
      <c r="P24" s="143">
        <f>'Water '!H21</f>
        <v>13</v>
      </c>
      <c r="Q24" s="143">
        <f>'Water '!H22</f>
        <v>110</v>
      </c>
      <c r="R24" s="143">
        <f>'Water '!H23</f>
        <v>135</v>
      </c>
      <c r="S24" s="143">
        <f>'Water '!H24</f>
        <v>167</v>
      </c>
      <c r="T24" s="143">
        <f>'Water '!H25</f>
        <v>196</v>
      </c>
      <c r="U24" s="143">
        <f>'Water '!H26</f>
        <v>188</v>
      </c>
      <c r="V24" s="143">
        <f>'Water '!H27</f>
        <v>114</v>
      </c>
      <c r="W24" s="143">
        <f>'Water '!H28</f>
        <v>0</v>
      </c>
      <c r="X24" s="143">
        <f>'Water '!H29</f>
        <v>67</v>
      </c>
      <c r="Y24" s="143">
        <f>'Water '!H30</f>
        <v>135</v>
      </c>
      <c r="Z24" s="143">
        <f>'Water '!H31</f>
        <v>276</v>
      </c>
      <c r="AA24" s="143">
        <f>'Water '!H32</f>
        <v>243</v>
      </c>
      <c r="AB24" s="143">
        <f>'Water '!H33</f>
        <v>240</v>
      </c>
      <c r="AC24" s="143">
        <f>'Water '!H34</f>
        <v>221</v>
      </c>
      <c r="AD24" s="143" t="str">
        <f>'Water '!L31</f>
        <v>0</v>
      </c>
      <c r="AE24" s="143" t="str">
        <f>'Water '!L32</f>
        <v>0</v>
      </c>
      <c r="AF24" s="143" t="str">
        <f>'Water '!L33</f>
        <v>0</v>
      </c>
      <c r="AG24" s="324">
        <f>SUM($B24:AF24)</f>
        <v>3969</v>
      </c>
      <c r="AH24" s="324"/>
      <c r="AI24" s="324"/>
    </row>
    <row r="25" spans="1:37" s="106" customFormat="1" ht="20.25" x14ac:dyDescent="0.3">
      <c r="A25" s="155" t="s">
        <v>156</v>
      </c>
      <c r="B25" s="149">
        <f>SUM(B23:B24)</f>
        <v>74</v>
      </c>
      <c r="C25" s="149">
        <f t="shared" ref="C25:AC25" si="4">SUM(C23:C24)</f>
        <v>31</v>
      </c>
      <c r="D25" s="149">
        <f t="shared" si="4"/>
        <v>107</v>
      </c>
      <c r="E25" s="149">
        <f t="shared" si="4"/>
        <v>232</v>
      </c>
      <c r="F25" s="149">
        <f t="shared" si="4"/>
        <v>206</v>
      </c>
      <c r="G25" s="149">
        <f t="shared" si="4"/>
        <v>201</v>
      </c>
      <c r="H25" s="149">
        <f t="shared" si="4"/>
        <v>154</v>
      </c>
      <c r="I25" s="149">
        <f t="shared" si="4"/>
        <v>100</v>
      </c>
      <c r="J25" s="149">
        <f t="shared" si="4"/>
        <v>10</v>
      </c>
      <c r="K25" s="149">
        <f t="shared" si="4"/>
        <v>165</v>
      </c>
      <c r="L25" s="149">
        <f t="shared" si="4"/>
        <v>122</v>
      </c>
      <c r="M25" s="149">
        <f t="shared" si="4"/>
        <v>154</v>
      </c>
      <c r="N25" s="149">
        <f t="shared" si="4"/>
        <v>167</v>
      </c>
      <c r="O25" s="149">
        <f t="shared" si="4"/>
        <v>141</v>
      </c>
      <c r="P25" s="149">
        <f t="shared" si="4"/>
        <v>13</v>
      </c>
      <c r="Q25" s="149">
        <f t="shared" si="4"/>
        <v>110</v>
      </c>
      <c r="R25" s="149">
        <f t="shared" si="4"/>
        <v>135</v>
      </c>
      <c r="S25" s="149">
        <f t="shared" si="4"/>
        <v>167</v>
      </c>
      <c r="T25" s="149">
        <f t="shared" si="4"/>
        <v>196</v>
      </c>
      <c r="U25" s="149">
        <f t="shared" si="4"/>
        <v>188</v>
      </c>
      <c r="V25" s="149">
        <f t="shared" si="4"/>
        <v>114</v>
      </c>
      <c r="W25" s="149">
        <f t="shared" si="4"/>
        <v>0</v>
      </c>
      <c r="X25" s="149">
        <f t="shared" si="4"/>
        <v>67</v>
      </c>
      <c r="Y25" s="149">
        <f t="shared" si="4"/>
        <v>135</v>
      </c>
      <c r="Z25" s="149">
        <f t="shared" si="4"/>
        <v>276</v>
      </c>
      <c r="AA25" s="149">
        <f t="shared" si="4"/>
        <v>243</v>
      </c>
      <c r="AB25" s="149">
        <f t="shared" si="4"/>
        <v>240</v>
      </c>
      <c r="AC25" s="149">
        <f t="shared" si="4"/>
        <v>221</v>
      </c>
      <c r="AD25" s="149">
        <f t="shared" ref="AD25:AF25" si="5">SUM(AD23:AD24)</f>
        <v>0</v>
      </c>
      <c r="AE25" s="149">
        <f t="shared" si="5"/>
        <v>0</v>
      </c>
      <c r="AF25" s="149">
        <f t="shared" si="5"/>
        <v>4</v>
      </c>
      <c r="AG25" s="326">
        <f>SUM($B25:AF25)</f>
        <v>3973</v>
      </c>
      <c r="AH25" s="326"/>
      <c r="AI25" s="371"/>
      <c r="AJ25" s="372"/>
      <c r="AK25" s="372"/>
    </row>
    <row r="26" spans="1:37" ht="18" x14ac:dyDescent="0.25">
      <c r="A26" s="140"/>
      <c r="B26" s="156" t="str">
        <f>IF(B$9=0,"",+(B25*10)/B$9)</f>
        <v/>
      </c>
      <c r="C26" s="156" t="str">
        <f t="shared" ref="C26:AC26" si="6">IF(C$9=0,"",+(C25*10)/C$9)</f>
        <v/>
      </c>
      <c r="D26" s="156">
        <f t="shared" si="6"/>
        <v>3.0022446689113353</v>
      </c>
      <c r="E26" s="156">
        <f>IF(E$9=0,"",+(E25*10)/E$9)</f>
        <v>4.8639152001543033</v>
      </c>
      <c r="F26" s="156">
        <f t="shared" si="6"/>
        <v>5.9690421136204259</v>
      </c>
      <c r="G26" s="156">
        <f t="shared" si="6"/>
        <v>5.2372391151410929</v>
      </c>
      <c r="H26" s="156">
        <f t="shared" si="6"/>
        <v>4.6882325363338015</v>
      </c>
      <c r="I26" s="156" t="str">
        <f t="shared" si="6"/>
        <v/>
      </c>
      <c r="J26" s="156" t="str">
        <f t="shared" si="6"/>
        <v/>
      </c>
      <c r="K26" s="156">
        <f t="shared" si="6"/>
        <v>7.2254335260115603</v>
      </c>
      <c r="L26" s="156">
        <f>IF(L$9=0,"",+(L25*10)/L$9)</f>
        <v>6.5202287424509642</v>
      </c>
      <c r="M26" s="156">
        <f t="shared" si="6"/>
        <v>11.40436624307592</v>
      </c>
      <c r="N26" s="156">
        <f t="shared" si="6"/>
        <v>4.6308620613159412</v>
      </c>
      <c r="O26" s="156">
        <f>IF(O$9=0,"",+(O25*10)/O$9)</f>
        <v>5.1752995066948548</v>
      </c>
      <c r="P26" s="156" t="str">
        <f t="shared" si="6"/>
        <v/>
      </c>
      <c r="Q26" s="156" t="str">
        <f t="shared" si="6"/>
        <v/>
      </c>
      <c r="R26" s="156">
        <f t="shared" si="6"/>
        <v>8.8971489580449994</v>
      </c>
      <c r="S26" s="156">
        <f t="shared" si="6"/>
        <v>3.8861972512717404</v>
      </c>
      <c r="T26" s="156">
        <f t="shared" si="6"/>
        <v>3.9090390544912061</v>
      </c>
      <c r="U26" s="156">
        <f t="shared" si="6"/>
        <v>7.0280899296443344</v>
      </c>
      <c r="V26" s="156">
        <f t="shared" si="6"/>
        <v>9.7530927570453247</v>
      </c>
      <c r="W26" s="156" t="str">
        <f t="shared" si="6"/>
        <v/>
      </c>
      <c r="X26" s="156" t="str">
        <f t="shared" si="6"/>
        <v/>
      </c>
      <c r="Y26" s="156">
        <f t="shared" si="6"/>
        <v>20.033834921200246</v>
      </c>
      <c r="Z26" s="156">
        <f t="shared" si="6"/>
        <v>4.4270783207899447</v>
      </c>
      <c r="AA26" s="156">
        <f t="shared" si="6"/>
        <v>4.123438438591311</v>
      </c>
      <c r="AB26" s="156">
        <f t="shared" si="6"/>
        <v>4.4788319206350984</v>
      </c>
      <c r="AC26" s="156">
        <f t="shared" si="6"/>
        <v>12.155252829258847</v>
      </c>
      <c r="AD26" s="156" t="str">
        <f t="shared" ref="AD26:AF26" si="7">IF(AD$9=0,"",+(AD25*10)/AD$9)</f>
        <v/>
      </c>
      <c r="AE26" s="156" t="str">
        <f t="shared" si="7"/>
        <v/>
      </c>
      <c r="AF26" s="156">
        <f t="shared" si="7"/>
        <v>1.2593467138921683</v>
      </c>
      <c r="AG26" s="328"/>
      <c r="AH26" s="328"/>
      <c r="AI26" s="373"/>
    </row>
    <row r="27" spans="1:37" ht="18" x14ac:dyDescent="0.25">
      <c r="A27" s="157" t="s">
        <v>176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322">
        <f>SUM($B27:AF27)</f>
        <v>0</v>
      </c>
      <c r="AH27" s="322"/>
      <c r="AI27" s="373"/>
    </row>
    <row r="28" spans="1:37" ht="18" x14ac:dyDescent="0.25">
      <c r="A28" s="140" t="s">
        <v>130</v>
      </c>
      <c r="B28" s="158">
        <f>+'Water '!$J7</f>
        <v>1</v>
      </c>
      <c r="C28" s="158" t="str">
        <f>+'Water '!$J8</f>
        <v>0</v>
      </c>
      <c r="D28" s="158">
        <f>+'Water '!$J9</f>
        <v>187</v>
      </c>
      <c r="E28" s="158">
        <f>+'Water '!$J10</f>
        <v>212</v>
      </c>
      <c r="F28" s="158">
        <f>+'Water '!$J11</f>
        <v>173</v>
      </c>
      <c r="G28" s="158">
        <f>+'Water '!$J12</f>
        <v>193</v>
      </c>
      <c r="H28" s="142">
        <f>+'Water '!$J13</f>
        <v>216</v>
      </c>
      <c r="I28" s="158">
        <f>+'Water '!$J14</f>
        <v>71</v>
      </c>
      <c r="J28" s="158" t="str">
        <f>+'Water '!$J15</f>
        <v>0</v>
      </c>
      <c r="K28" s="158">
        <f>+'Water '!$J16</f>
        <v>191</v>
      </c>
      <c r="L28" s="159">
        <f>+'Water '!$J17</f>
        <v>148</v>
      </c>
      <c r="M28" s="142">
        <f>+'Water '!$J18</f>
        <v>191</v>
      </c>
      <c r="N28" s="158">
        <f>+'Water '!$J19</f>
        <v>248</v>
      </c>
      <c r="O28" s="158">
        <f>+'Water '!$J20</f>
        <v>158</v>
      </c>
      <c r="P28" s="158" t="str">
        <f>+'Water '!$J21</f>
        <v>0</v>
      </c>
      <c r="Q28" s="158">
        <f>+'Water '!$J22</f>
        <v>33</v>
      </c>
      <c r="R28" s="141">
        <f>+'Water '!$J23</f>
        <v>161</v>
      </c>
      <c r="S28" s="159">
        <f>+'Water '!$J24</f>
        <v>144</v>
      </c>
      <c r="T28" s="158">
        <f>+'Water '!$J25</f>
        <v>242</v>
      </c>
      <c r="U28" s="158">
        <f>+'Water '!$J26</f>
        <v>191</v>
      </c>
      <c r="V28" s="158">
        <f>+'Water '!$J27</f>
        <v>90</v>
      </c>
      <c r="W28" s="158" t="str">
        <f>+'Water '!$J28</f>
        <v>0</v>
      </c>
      <c r="X28" s="158" t="str">
        <f>+'Water '!$J29</f>
        <v>0</v>
      </c>
      <c r="Y28" s="158">
        <f>+'Water '!$J30</f>
        <v>149</v>
      </c>
      <c r="Z28" s="158">
        <f>+'Water '!$J31</f>
        <v>160</v>
      </c>
      <c r="AA28" s="158">
        <f>+'Water '!$J32</f>
        <v>266</v>
      </c>
      <c r="AB28" s="159">
        <f>+'Water '!$J33</f>
        <v>218</v>
      </c>
      <c r="AC28" s="158">
        <f>+'Water '!$J34</f>
        <v>157</v>
      </c>
      <c r="AD28" s="158">
        <f>+'Water '!$J31</f>
        <v>160</v>
      </c>
      <c r="AE28" s="158">
        <f>+'Water '!$J32</f>
        <v>266</v>
      </c>
      <c r="AF28" s="159">
        <f>+'Water '!$J33</f>
        <v>218</v>
      </c>
      <c r="AG28" s="322">
        <f>SUM($B28:AF28)</f>
        <v>4444</v>
      </c>
      <c r="AH28" s="322"/>
      <c r="AI28" s="373"/>
    </row>
    <row r="29" spans="1:37" ht="17.25" customHeight="1" x14ac:dyDescent="0.25">
      <c r="A29" s="152" t="s">
        <v>180</v>
      </c>
      <c r="B29" s="150" t="str">
        <f>'Water '!X7</f>
        <v>0</v>
      </c>
      <c r="C29" s="150" t="str">
        <f>'Water '!X8</f>
        <v>0</v>
      </c>
      <c r="D29" s="150" t="str">
        <f>'Water '!X9</f>
        <v>0</v>
      </c>
      <c r="E29" s="150" t="str">
        <f>'Water '!X10</f>
        <v>0</v>
      </c>
      <c r="F29" s="150" t="str">
        <f>'Water '!X11</f>
        <v>0</v>
      </c>
      <c r="G29" s="150" t="str">
        <f>'Water '!X12</f>
        <v>0</v>
      </c>
      <c r="H29" s="150" t="str">
        <f>'Water '!X13</f>
        <v>0</v>
      </c>
      <c r="I29" s="150" t="str">
        <f>'Water '!X14</f>
        <v>0</v>
      </c>
      <c r="J29" s="150" t="str">
        <f>'Water '!X15</f>
        <v>0</v>
      </c>
      <c r="K29" s="150" t="str">
        <f>'Water '!X16</f>
        <v>0</v>
      </c>
      <c r="L29" s="150" t="str">
        <f>'Water '!X17</f>
        <v>0</v>
      </c>
      <c r="M29" s="150" t="str">
        <f>'Water '!X18</f>
        <v>0</v>
      </c>
      <c r="N29" s="150" t="str">
        <f>'Water '!X19</f>
        <v>0</v>
      </c>
      <c r="O29" s="150" t="str">
        <f>'Water '!X20</f>
        <v>0</v>
      </c>
      <c r="P29" s="150" t="str">
        <f>'Water '!X21</f>
        <v>0</v>
      </c>
      <c r="Q29" s="150" t="str">
        <f>'Water '!X22</f>
        <v>0</v>
      </c>
      <c r="R29" s="150" t="str">
        <f>'Water '!X23</f>
        <v>0</v>
      </c>
      <c r="S29" s="150" t="str">
        <f>'Water '!X24</f>
        <v>0</v>
      </c>
      <c r="T29" s="150" t="str">
        <f>'Water '!X25</f>
        <v>0</v>
      </c>
      <c r="U29" s="150" t="str">
        <f>'Water '!X26</f>
        <v>0</v>
      </c>
      <c r="V29" s="150" t="str">
        <f>'Water '!X27</f>
        <v>0</v>
      </c>
      <c r="W29" s="150" t="str">
        <f>'Water '!X28</f>
        <v>0</v>
      </c>
      <c r="X29" s="150" t="str">
        <f>'Water '!X29</f>
        <v>0</v>
      </c>
      <c r="Y29" s="150" t="str">
        <f>'Water '!X30</f>
        <v>0</v>
      </c>
      <c r="Z29" s="150" t="str">
        <f>'Water '!X31</f>
        <v>0</v>
      </c>
      <c r="AA29" s="150" t="str">
        <f>'Water '!X32</f>
        <v>0</v>
      </c>
      <c r="AB29" s="150" t="str">
        <f>'Water '!X33</f>
        <v>0</v>
      </c>
      <c r="AC29" s="150" t="str">
        <f>'Water '!X34</f>
        <v>0</v>
      </c>
      <c r="AD29" s="150">
        <f>'Water '!AB31</f>
        <v>4.7478810976587811</v>
      </c>
      <c r="AE29" s="150">
        <f>'Water '!AB32</f>
        <v>10.452831597416656</v>
      </c>
      <c r="AF29" s="150">
        <f>'Water '!AB33</f>
        <v>6.2330410895505111</v>
      </c>
      <c r="AG29" s="322">
        <f>SUM($B29:AF29)</f>
        <v>21.433753784625949</v>
      </c>
      <c r="AH29" s="322"/>
      <c r="AI29" s="373"/>
    </row>
    <row r="30" spans="1:37" ht="17.25" customHeight="1" x14ac:dyDescent="0.25">
      <c r="A30" s="160" t="s">
        <v>201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322"/>
      <c r="AH30" s="322"/>
      <c r="AI30" s="373"/>
    </row>
    <row r="31" spans="1:37" ht="18" x14ac:dyDescent="0.25">
      <c r="A31" s="161" t="s">
        <v>179</v>
      </c>
      <c r="B31" s="162" t="str">
        <f>+'Water '!$K7</f>
        <v>0</v>
      </c>
      <c r="C31" s="162" t="str">
        <f>+'Water '!$K8</f>
        <v>0</v>
      </c>
      <c r="D31" s="162" t="str">
        <f>+'Water '!$K9</f>
        <v>0</v>
      </c>
      <c r="E31" s="162" t="str">
        <f>+'Water '!$K10</f>
        <v>0</v>
      </c>
      <c r="F31" s="162" t="str">
        <f>+'Water '!$K11</f>
        <v>0</v>
      </c>
      <c r="G31" s="162" t="str">
        <f>+'Water '!$K12</f>
        <v>0</v>
      </c>
      <c r="H31" s="162" t="str">
        <f>+'Water '!$K13</f>
        <v>0</v>
      </c>
      <c r="I31" s="162" t="str">
        <f>+'Water '!$K14</f>
        <v>0</v>
      </c>
      <c r="J31" s="162" t="str">
        <f>+'Water '!$K15</f>
        <v>0</v>
      </c>
      <c r="K31" s="162" t="str">
        <f>+'Water '!$K16</f>
        <v>0</v>
      </c>
      <c r="L31" s="162" t="str">
        <f>+'Water '!$K17</f>
        <v>0</v>
      </c>
      <c r="M31" s="162" t="str">
        <f>+'Water '!$K18</f>
        <v>0</v>
      </c>
      <c r="N31" s="162" t="str">
        <f>+'Water '!$K19</f>
        <v>0</v>
      </c>
      <c r="O31" s="162" t="str">
        <f>+'Water '!$K19</f>
        <v>0</v>
      </c>
      <c r="P31" s="162" t="str">
        <f>+'Water '!$K19</f>
        <v>0</v>
      </c>
      <c r="Q31" s="162" t="str">
        <f>+'Water '!$K22</f>
        <v>0</v>
      </c>
      <c r="R31" s="162" t="str">
        <f>+'Water '!$K22</f>
        <v>0</v>
      </c>
      <c r="S31" s="162" t="str">
        <f>+'Water '!$K22</f>
        <v>0</v>
      </c>
      <c r="T31" s="162" t="str">
        <f>+'Water '!$K25</f>
        <v>0</v>
      </c>
      <c r="U31" s="162" t="str">
        <f>+'Water '!$K26</f>
        <v>0</v>
      </c>
      <c r="V31" s="162" t="str">
        <f>+'Water '!$K27</f>
        <v>0</v>
      </c>
      <c r="W31" s="162" t="str">
        <f>+'Water '!$K28</f>
        <v>0</v>
      </c>
      <c r="X31" s="162" t="str">
        <f>+'Water '!$K29</f>
        <v>0</v>
      </c>
      <c r="Y31" s="162" t="str">
        <f>+'Water '!$K30</f>
        <v>0</v>
      </c>
      <c r="Z31" s="162" t="str">
        <f>+'Water '!$K31</f>
        <v>0</v>
      </c>
      <c r="AA31" s="162" t="str">
        <f>+'Water '!$K32</f>
        <v>0</v>
      </c>
      <c r="AB31" s="162" t="str">
        <f>+'Water '!$K33</f>
        <v>0</v>
      </c>
      <c r="AC31" s="162" t="str">
        <f>+'Water '!$K34</f>
        <v>0</v>
      </c>
      <c r="AD31" s="162" t="str">
        <f>+'Water '!$K31</f>
        <v>0</v>
      </c>
      <c r="AE31" s="162" t="str">
        <f>+'Water '!$K32</f>
        <v>0</v>
      </c>
      <c r="AF31" s="162" t="str">
        <f>+'Water '!$K33</f>
        <v>0</v>
      </c>
      <c r="AG31" s="329">
        <f>SUM($B31:AF31)</f>
        <v>0</v>
      </c>
      <c r="AH31" s="329"/>
      <c r="AI31" s="329"/>
    </row>
    <row r="32" spans="1:37" ht="17.25" customHeight="1" x14ac:dyDescent="0.25">
      <c r="A32" s="163" t="s">
        <v>181</v>
      </c>
      <c r="B32" s="164" t="str">
        <f>'Water '!L7</f>
        <v>0</v>
      </c>
      <c r="C32" s="164" t="str">
        <f>'Water '!L8</f>
        <v>0</v>
      </c>
      <c r="D32" s="164" t="str">
        <f>'Water '!L9</f>
        <v>0</v>
      </c>
      <c r="E32" s="164" t="str">
        <f>'Water '!L10</f>
        <v>0</v>
      </c>
      <c r="F32" s="164" t="str">
        <f>'Water '!L11</f>
        <v>0</v>
      </c>
      <c r="G32" s="164" t="str">
        <f>'Water '!L12</f>
        <v>0</v>
      </c>
      <c r="H32" s="164" t="str">
        <f>'Water '!L13</f>
        <v>0</v>
      </c>
      <c r="I32" s="164" t="str">
        <f>'Water '!L14</f>
        <v>0</v>
      </c>
      <c r="J32" s="164" t="str">
        <f>'Water '!L15</f>
        <v>0</v>
      </c>
      <c r="K32" s="164" t="str">
        <f>'Water '!L16</f>
        <v>0</v>
      </c>
      <c r="L32" s="164" t="str">
        <f>'Water '!L17</f>
        <v>0</v>
      </c>
      <c r="M32" s="164" t="str">
        <f>'Water '!L18</f>
        <v>0</v>
      </c>
      <c r="N32" s="164" t="str">
        <f>'Water '!L19</f>
        <v>0</v>
      </c>
      <c r="O32" s="164" t="str">
        <f>'Water '!M19</f>
        <v>0</v>
      </c>
      <c r="P32" s="164">
        <f>'Water '!N19</f>
        <v>46</v>
      </c>
      <c r="Q32" s="164" t="str">
        <f>'Water '!L22</f>
        <v>0</v>
      </c>
      <c r="R32" s="164" t="str">
        <f>'Water '!M22</f>
        <v>0</v>
      </c>
      <c r="S32" s="164">
        <f>'Water '!N22</f>
        <v>16</v>
      </c>
      <c r="T32" s="164" t="str">
        <f>'Water '!L25</f>
        <v>0</v>
      </c>
      <c r="U32" s="164" t="str">
        <f>'Water '!L26</f>
        <v>0</v>
      </c>
      <c r="V32" s="164" t="str">
        <f>'Water '!L27</f>
        <v>0</v>
      </c>
      <c r="W32" s="164" t="str">
        <f>'Water '!L28</f>
        <v>0</v>
      </c>
      <c r="X32" s="164" t="str">
        <f>'Water '!L29</f>
        <v>0</v>
      </c>
      <c r="Y32" s="164" t="str">
        <f>'Water '!L30</f>
        <v>0</v>
      </c>
      <c r="Z32" s="164" t="str">
        <f>'Water '!L31</f>
        <v>0</v>
      </c>
      <c r="AA32" s="164" t="str">
        <f>'Water '!L32</f>
        <v>0</v>
      </c>
      <c r="AB32" s="164" t="str">
        <f>'Water '!L33</f>
        <v>0</v>
      </c>
      <c r="AC32" s="164" t="str">
        <f>'Water '!L34</f>
        <v>0</v>
      </c>
      <c r="AD32" s="164">
        <f>'Water '!P31</f>
        <v>25</v>
      </c>
      <c r="AE32" s="164">
        <f>'Water '!P32</f>
        <v>23</v>
      </c>
      <c r="AF32" s="164">
        <f>'Water '!P33</f>
        <v>23</v>
      </c>
      <c r="AG32" s="329">
        <f>SUM($B32:AF32)</f>
        <v>133</v>
      </c>
      <c r="AH32" s="329"/>
      <c r="AI32" s="329"/>
    </row>
    <row r="33" spans="1:37" ht="18" x14ac:dyDescent="0.25">
      <c r="A33" s="163" t="s">
        <v>103</v>
      </c>
      <c r="B33" s="162" t="str">
        <f>+'Water '!$N7</f>
        <v>0</v>
      </c>
      <c r="C33" s="162" t="str">
        <f>+'Water '!$N8</f>
        <v>0</v>
      </c>
      <c r="D33" s="162">
        <f>+'Water '!$N9</f>
        <v>21</v>
      </c>
      <c r="E33" s="162">
        <f>+'Water '!$N10</f>
        <v>45</v>
      </c>
      <c r="F33" s="162">
        <f>+'Water '!$N11</f>
        <v>70</v>
      </c>
      <c r="G33" s="162">
        <f>+'Water '!$N12</f>
        <v>85</v>
      </c>
      <c r="H33" s="162">
        <f>+'Water '!$N13</f>
        <v>21</v>
      </c>
      <c r="I33" s="162">
        <f>+'Water '!$N14</f>
        <v>14</v>
      </c>
      <c r="J33" s="162" t="str">
        <f>+'Water '!$N15</f>
        <v>0</v>
      </c>
      <c r="K33" s="162">
        <f>+'Water '!$N16</f>
        <v>59</v>
      </c>
      <c r="L33" s="162">
        <f>+'Water '!$N17</f>
        <v>19</v>
      </c>
      <c r="M33" s="162">
        <f>+'Water '!$N18</f>
        <v>42</v>
      </c>
      <c r="N33" s="162">
        <f>+'Water '!$N19</f>
        <v>46</v>
      </c>
      <c r="O33" s="162">
        <f>+'Water '!$N19</f>
        <v>46</v>
      </c>
      <c r="P33" s="162">
        <f>+'Water '!$N19</f>
        <v>46</v>
      </c>
      <c r="Q33" s="162">
        <f>+'Water '!$N22</f>
        <v>16</v>
      </c>
      <c r="R33" s="162">
        <f>+'Water '!$N22</f>
        <v>16</v>
      </c>
      <c r="S33" s="162">
        <f>+'Water '!$N22</f>
        <v>16</v>
      </c>
      <c r="T33" s="162">
        <f>+'Water '!$N25</f>
        <v>31</v>
      </c>
      <c r="U33" s="162">
        <f>+'Water '!$N26</f>
        <v>43</v>
      </c>
      <c r="V33" s="162">
        <f>+'Water '!$N27</f>
        <v>17</v>
      </c>
      <c r="W33" s="162" t="str">
        <f>+'Water '!$N28</f>
        <v>0</v>
      </c>
      <c r="X33" s="162" t="str">
        <f>+'Water '!$N29</f>
        <v>0</v>
      </c>
      <c r="Y33" s="162">
        <f>+'Water '!$N30</f>
        <v>31</v>
      </c>
      <c r="Z33" s="162">
        <f>+'Water '!$N31</f>
        <v>45</v>
      </c>
      <c r="AA33" s="162">
        <f>+'Water '!$N32</f>
        <v>44</v>
      </c>
      <c r="AB33" s="162">
        <f>+'Water '!$N33</f>
        <v>37</v>
      </c>
      <c r="AC33" s="162">
        <f>+'Water '!$N34</f>
        <v>81</v>
      </c>
      <c r="AD33" s="162">
        <f>+'Water '!$N31</f>
        <v>45</v>
      </c>
      <c r="AE33" s="162">
        <f>+'Water '!$N32</f>
        <v>44</v>
      </c>
      <c r="AF33" s="162">
        <f>+'Water '!$N33</f>
        <v>37</v>
      </c>
      <c r="AG33" s="329">
        <f>SUM($B33:AF33)</f>
        <v>1017</v>
      </c>
      <c r="AH33" s="329"/>
      <c r="AI33" s="329"/>
      <c r="AJ33" s="366">
        <f>34294/2.2</f>
        <v>15588.181818181816</v>
      </c>
    </row>
    <row r="34" spans="1:37" ht="18" x14ac:dyDescent="0.25">
      <c r="A34" s="152" t="s">
        <v>132</v>
      </c>
      <c r="B34" s="165">
        <f>+'Water '!$O7</f>
        <v>36</v>
      </c>
      <c r="C34" s="165" t="str">
        <f>+'Water '!$O8</f>
        <v>0</v>
      </c>
      <c r="D34" s="165">
        <f>+'Water '!$O9</f>
        <v>63</v>
      </c>
      <c r="E34" s="165">
        <f>+'Water '!$O10</f>
        <v>83</v>
      </c>
      <c r="F34" s="165">
        <f>+'Water '!$O11</f>
        <v>60</v>
      </c>
      <c r="G34" s="165">
        <f>+'Water '!$O12</f>
        <v>58</v>
      </c>
      <c r="H34" s="165">
        <f>+'Water '!$O13</f>
        <v>48</v>
      </c>
      <c r="I34" s="165">
        <f>+'Water '!$O14</f>
        <v>25</v>
      </c>
      <c r="J34" s="165" t="str">
        <f>+'Water '!$O15</f>
        <v>0</v>
      </c>
      <c r="K34" s="165">
        <f>+'Water '!$O16</f>
        <v>39</v>
      </c>
      <c r="L34" s="165">
        <f>+'Water '!$O17</f>
        <v>35</v>
      </c>
      <c r="M34" s="165">
        <f>+'Water '!$O18</f>
        <v>41</v>
      </c>
      <c r="N34" s="165">
        <f>+'Water '!$O19</f>
        <v>59</v>
      </c>
      <c r="O34" s="165">
        <f>+'Water '!$O19</f>
        <v>59</v>
      </c>
      <c r="P34" s="165">
        <f>+'Water '!$O19</f>
        <v>59</v>
      </c>
      <c r="Q34" s="165">
        <f>+'Water '!$O19</f>
        <v>59</v>
      </c>
      <c r="R34" s="165">
        <f>+'Water '!$O19</f>
        <v>59</v>
      </c>
      <c r="S34" s="165">
        <f>+'Water '!$O19</f>
        <v>59</v>
      </c>
      <c r="T34" s="165">
        <f>+'Water '!$O25</f>
        <v>73</v>
      </c>
      <c r="U34" s="165">
        <f>+'Water '!$O26</f>
        <v>76</v>
      </c>
      <c r="V34" s="165">
        <f>+'Water '!$O27</f>
        <v>38</v>
      </c>
      <c r="W34" s="165" t="str">
        <f>+'Water '!$O28</f>
        <v>0</v>
      </c>
      <c r="X34" s="165">
        <f>+'Water '!$O29</f>
        <v>33</v>
      </c>
      <c r="Y34" s="165">
        <f>+'Water '!$O30</f>
        <v>60</v>
      </c>
      <c r="Z34" s="165">
        <f>+'Water '!$O31</f>
        <v>143</v>
      </c>
      <c r="AA34" s="165">
        <f>+'Water '!$O32</f>
        <v>108</v>
      </c>
      <c r="AB34" s="165">
        <f>+'Water '!$O33</f>
        <v>95</v>
      </c>
      <c r="AC34" s="165">
        <f>+'Water '!$O34</f>
        <v>61</v>
      </c>
      <c r="AD34" s="165">
        <f>+'Water '!$O31</f>
        <v>143</v>
      </c>
      <c r="AE34" s="165">
        <f>+'Water '!$O32</f>
        <v>108</v>
      </c>
      <c r="AF34" s="165">
        <f>+'Water '!$O33</f>
        <v>95</v>
      </c>
      <c r="AG34" s="330">
        <f>SUM($B34:AF34)</f>
        <v>1875</v>
      </c>
      <c r="AH34" s="330"/>
      <c r="AI34" s="330"/>
    </row>
    <row r="35" spans="1:37" ht="17.25" customHeight="1" x14ac:dyDescent="0.25">
      <c r="A35" s="152" t="s">
        <v>177</v>
      </c>
      <c r="B35" s="150">
        <f>IF('Entries March.''25'!AC8-'Entries March.''25'!AC7&lt;1,0,'Entries March.''25'!AC8-'Entries March.''25'!AC7)</f>
        <v>0</v>
      </c>
      <c r="C35" s="150">
        <f>IF('Entries March.''25'!AC9-'Entries March.''25'!AC8&lt;1,0,'Entries March.''25'!AC9-'Entries March.''25'!AC8)</f>
        <v>0</v>
      </c>
      <c r="D35" s="150">
        <f>IF('Entries March.''25'!AC10-'Entries March.''25'!AC9&lt;1,0,'Entries March.''25'!AC10-'Entries March.''25'!AC9)</f>
        <v>2</v>
      </c>
      <c r="E35" s="150">
        <f>IF('Entries March.''25'!AC11-'Entries March.''25'!AC10&lt;1,0,'Entries March.''25'!AC11-'Entries March.''25'!AC10)</f>
        <v>22</v>
      </c>
      <c r="F35" s="150">
        <f>IF('Entries March.''25'!AC12-'Entries March.''25'!AC11&lt;1,0,'Entries March.''25'!AC12-'Entries March.''25'!AC11)</f>
        <v>15</v>
      </c>
      <c r="G35" s="150">
        <f>IF('Entries March.''25'!AC13-'Entries March.''25'!AC12&lt;1,0,'Entries March.''25'!AC13-'Entries March.''25'!AC12)</f>
        <v>23</v>
      </c>
      <c r="H35" s="150">
        <f>IF('Entries March.''25'!AC14-'Entries March.''25'!AC13&lt;1,0,'Entries March.''25'!AC14-'Entries March.''25'!AC13)</f>
        <v>13</v>
      </c>
      <c r="I35" s="150">
        <f>IF('Entries March.''25'!AC15-'Entries March.''25'!AC14&lt;1,0,'Entries March.''25'!AC15-'Entries March.''25'!AC14)</f>
        <v>0</v>
      </c>
      <c r="J35" s="150">
        <f>IF('Entries March.''25'!AC16-'Entries March.''25'!AC15&lt;1,0,'Entries March.''25'!AC16-'Entries March.''25'!AC15)</f>
        <v>0</v>
      </c>
      <c r="K35" s="150">
        <f>IF('Entries March.''25'!AC17-'Entries March.''25'!AC16&lt;1,0,'Entries March.''25'!AC17-'Entries March.''25'!AC16)</f>
        <v>14</v>
      </c>
      <c r="L35" s="150">
        <f>IF('Entries March.''25'!AC18-'Entries March.''25'!AC17&lt;1,0,'Entries March.''25'!AC18-'Entries March.''25'!AC17)</f>
        <v>14</v>
      </c>
      <c r="M35" s="150">
        <f>IF('Entries March.''25'!AC19-'Entries March.''25'!AC18&lt;1,0,'Entries March.''25'!AC19-'Entries March.''25'!AC18)</f>
        <v>8</v>
      </c>
      <c r="N35" s="125">
        <f>IF('Entries March.''25'!AC20-'Entries March.''25'!AC19&lt;1,0,'Entries March.''25'!AC20-'Entries March.''25'!AC19)</f>
        <v>14</v>
      </c>
      <c r="O35" s="125">
        <f>IF('Entries March.''25'!AC21-'Entries March.''25'!AC20&lt;1,0,'Entries March.''25'!AC21-'Entries March.''25'!AC20)</f>
        <v>11</v>
      </c>
      <c r="P35" s="125">
        <f>IF('Entries March.''25'!AC22-'Entries March.''25'!AC21&lt;1,0,'Entries March.''25'!AC22-'Entries March.''25'!AC21)</f>
        <v>0</v>
      </c>
      <c r="Q35" s="125">
        <f>IF('Entries March.''25'!AC23-'Entries March.''25'!AC22&lt;1,0,'Entries March.''25'!AC23-'Entries March.''25'!AC22)</f>
        <v>0</v>
      </c>
      <c r="R35" s="125">
        <f>IF('Entries March.''25'!AC24-'Entries March.''25'!AC23&lt;1,0,'Entries March.''25'!AC24-'Entries March.''25'!AC23)</f>
        <v>21</v>
      </c>
      <c r="S35" s="125">
        <f>IF('Entries March.''25'!AC25-'Entries March.''25'!AC24&lt;1,0,'Entries March.''25'!AC25-'Entries March.''25'!AC24)</f>
        <v>19</v>
      </c>
      <c r="T35" s="125">
        <f>IF('Entries March.''25'!AC26-'Entries March.''25'!AC25&lt;1,0,'Entries March.''25'!AC26-'Entries March.''25'!AC25)</f>
        <v>24</v>
      </c>
      <c r="U35" s="125">
        <f>IF('Entries March.''25'!AC27-'Entries March.''25'!AC26&lt;1,0,'Entries March.''25'!AC27-'Entries March.''25'!AC26)</f>
        <v>23</v>
      </c>
      <c r="V35" s="125">
        <f>IF('Entries March.''25'!AC28-'Entries March.''25'!AC27&lt;1,0,'Entries March.''25'!AC28-'Entries March.''25'!AC27)</f>
        <v>5</v>
      </c>
      <c r="W35" s="125">
        <f>IF('Entries March.''25'!$AC29-'Entries March.''25'!$AC28&lt;1,0,'Entries March.''25'!$AC29-'Entries March.''25'!$AC28)</f>
        <v>0</v>
      </c>
      <c r="X35" s="125">
        <f>IF('Entries March.''25'!$AC30-'Entries March.''25'!$AC29&lt;1,0,'Entries March.''25'!$AC30-'Entries March.''25'!$AC29)</f>
        <v>0</v>
      </c>
      <c r="Y35" s="125">
        <f>IF('Entries March.''25'!$AC31-'Entries March.''25'!$AC30&lt;1,0,'Entries March.''25'!$AC31-'Entries March.''25'!$AC30)</f>
        <v>8</v>
      </c>
      <c r="Z35" s="125">
        <f>IF('Entries March.''25'!$AC32-'Entries March.''25'!$AC31&lt;1,0,'Entries March.''25'!$AC32-'Entries March.''25'!$AC31)</f>
        <v>25</v>
      </c>
      <c r="AA35" s="125">
        <f>IF('Entries March.''25'!$AC33-'Entries March.''25'!$AC32&lt;1,0,'Entries March.''25'!$AC33-'Entries March.''25'!$AC32)</f>
        <v>23</v>
      </c>
      <c r="AB35" s="125">
        <f>IF('Entries March.''25'!$AC34-'Entries March.''25'!$AC33&lt;1,0,'Entries March.''25'!$AC34-'Entries March.''25'!$AC33)</f>
        <v>23</v>
      </c>
      <c r="AC35" s="125">
        <f>IF('Entries March.''25'!$AC35-'Entries March.''25'!$AC34&lt;1,0,'Entries March.''25'!$AC35-'Entries March.''25'!$AC34)</f>
        <v>10</v>
      </c>
      <c r="AD35" s="125">
        <f>IF('Entries March.''25'!$AC32-'Entries March.''25'!$AC31&lt;1,0,'Entries March.''25'!$AC32-'Entries March.''25'!$AC31)</f>
        <v>25</v>
      </c>
      <c r="AE35" s="125">
        <f>IF('Entries March.''25'!$AC33-'Entries March.''25'!$AC32&lt;1,0,'Entries March.''25'!$AC33-'Entries March.''25'!$AC32)</f>
        <v>23</v>
      </c>
      <c r="AF35" s="125">
        <f>IF('Entries March.''25'!$AC34-'Entries March.''25'!$AC33&lt;1,0,'Entries March.''25'!$AC34-'Entries March.''25'!$AC33)</f>
        <v>23</v>
      </c>
      <c r="AG35" s="322">
        <f>SUM($B35:AF35)</f>
        <v>388</v>
      </c>
      <c r="AH35" s="322"/>
      <c r="AI35" s="373"/>
    </row>
    <row r="36" spans="1:37" ht="18" x14ac:dyDescent="0.25">
      <c r="A36" s="140" t="s">
        <v>131</v>
      </c>
      <c r="B36" s="141" t="str">
        <f>+'Water '!$M7</f>
        <v>0</v>
      </c>
      <c r="C36" s="141" t="str">
        <f>+'Water '!$M8</f>
        <v>0</v>
      </c>
      <c r="D36" s="141" t="str">
        <f>+'Water '!$M9</f>
        <v>0</v>
      </c>
      <c r="E36" s="141">
        <f>+'Water '!$M10</f>
        <v>8</v>
      </c>
      <c r="F36" s="141" t="str">
        <f>+'Water '!$M11</f>
        <v>0</v>
      </c>
      <c r="G36" s="141" t="str">
        <f>+'Water '!$M12</f>
        <v>0</v>
      </c>
      <c r="H36" s="141" t="str">
        <f>+'Water '!$M13</f>
        <v>0</v>
      </c>
      <c r="I36" s="141" t="str">
        <f>+'Water '!$M14</f>
        <v>0</v>
      </c>
      <c r="J36" s="141" t="str">
        <f>+'Water '!$M15</f>
        <v>0</v>
      </c>
      <c r="K36" s="141">
        <f>+'Water '!$M16</f>
        <v>22</v>
      </c>
      <c r="L36" s="141">
        <f>+'Water '!$M17</f>
        <v>3</v>
      </c>
      <c r="M36" s="141">
        <f>+'Water '!$M18</f>
        <v>3</v>
      </c>
      <c r="N36" s="141" t="str">
        <f>+'Water '!$M19</f>
        <v>0</v>
      </c>
      <c r="O36" s="141" t="str">
        <f>+'Water '!$M20</f>
        <v>0</v>
      </c>
      <c r="P36" s="141" t="str">
        <f>+'Water '!$M21</f>
        <v>0</v>
      </c>
      <c r="Q36" s="141" t="str">
        <f>+'Water '!$M22</f>
        <v>0</v>
      </c>
      <c r="R36" s="141">
        <f>+'Water '!$M23</f>
        <v>5</v>
      </c>
      <c r="S36" s="141" t="str">
        <f>+'Water '!$M24</f>
        <v>0</v>
      </c>
      <c r="T36" s="141" t="str">
        <f>+'Water '!$M25</f>
        <v>0</v>
      </c>
      <c r="U36" s="141" t="str">
        <f>+'Water '!$M26</f>
        <v>0</v>
      </c>
      <c r="V36" s="141" t="str">
        <f>+'Water '!$M27</f>
        <v>0</v>
      </c>
      <c r="W36" s="141" t="str">
        <f>+'Water '!$M28</f>
        <v>0</v>
      </c>
      <c r="X36" s="141" t="str">
        <f>+'Water '!$M29</f>
        <v>0</v>
      </c>
      <c r="Y36" s="141" t="str">
        <f>+'Water '!$M30</f>
        <v>0</v>
      </c>
      <c r="Z36" s="141" t="str">
        <f>+'Water '!$M31</f>
        <v>0</v>
      </c>
      <c r="AA36" s="141" t="str">
        <f>+'Water '!$M32</f>
        <v>0</v>
      </c>
      <c r="AB36" s="141">
        <f>+'Water '!$M33</f>
        <v>1</v>
      </c>
      <c r="AC36" s="141" t="str">
        <f>+'Water '!$M34</f>
        <v>0</v>
      </c>
      <c r="AD36" s="141" t="str">
        <f>+'Water '!$M31</f>
        <v>0</v>
      </c>
      <c r="AE36" s="141" t="str">
        <f>+'Water '!$M32</f>
        <v>0</v>
      </c>
      <c r="AF36" s="141">
        <f>+'Water '!$M33</f>
        <v>1</v>
      </c>
      <c r="AG36" s="322">
        <f>SUM($B36:AF36)</f>
        <v>43</v>
      </c>
      <c r="AH36" s="322"/>
      <c r="AI36" s="373"/>
    </row>
    <row r="37" spans="1:37" ht="18" x14ac:dyDescent="0.25">
      <c r="A37" s="163" t="s">
        <v>133</v>
      </c>
      <c r="B37" s="162">
        <f>+'Water '!$Q7</f>
        <v>6</v>
      </c>
      <c r="C37" s="162" t="str">
        <f>+'Water '!$Q8</f>
        <v>0</v>
      </c>
      <c r="D37" s="162">
        <f>+'Water '!$Q9</f>
        <v>9</v>
      </c>
      <c r="E37" s="162">
        <f>+'Water '!$Q10</f>
        <v>18</v>
      </c>
      <c r="F37" s="162">
        <f>+'Water '!$Q11</f>
        <v>15</v>
      </c>
      <c r="G37" s="162">
        <f>+'Water '!$Q12</f>
        <v>18</v>
      </c>
      <c r="H37" s="162" t="str">
        <f>+'Water '!$Q13</f>
        <v>0</v>
      </c>
      <c r="I37" s="162">
        <f>+'Water '!$Q14</f>
        <v>15</v>
      </c>
      <c r="J37" s="162">
        <f>+'Water '!$Q15</f>
        <v>1</v>
      </c>
      <c r="K37" s="162">
        <f>+'Water '!$Q16</f>
        <v>26</v>
      </c>
      <c r="L37" s="162">
        <f>+'Water '!$Q17</f>
        <v>36</v>
      </c>
      <c r="M37" s="162">
        <f>+'Water '!$Q18</f>
        <v>38</v>
      </c>
      <c r="N37" s="162">
        <f>+'Water '!$Q19</f>
        <v>60</v>
      </c>
      <c r="O37" s="162">
        <f>+'Water '!$Q19</f>
        <v>60</v>
      </c>
      <c r="P37" s="162">
        <f>+'Water '!$Q21</f>
        <v>3</v>
      </c>
      <c r="Q37" s="162">
        <f>+'Water '!$Q22</f>
        <v>7</v>
      </c>
      <c r="R37" s="162">
        <f>+'Water '!$Q22</f>
        <v>7</v>
      </c>
      <c r="S37" s="162">
        <f>+'Water '!$Q24</f>
        <v>13</v>
      </c>
      <c r="T37" s="162">
        <f>+'Water '!$Q25</f>
        <v>32</v>
      </c>
      <c r="U37" s="162">
        <f>+'Water '!$Q26</f>
        <v>30</v>
      </c>
      <c r="V37" s="162">
        <f>+'Water '!$Q27</f>
        <v>9</v>
      </c>
      <c r="W37" s="162">
        <f>+'Water '!$Q28</f>
        <v>11</v>
      </c>
      <c r="X37" s="162" t="str">
        <f>+'Water '!$Q29</f>
        <v>0</v>
      </c>
      <c r="Y37" s="162">
        <f>+'Water '!$Q30</f>
        <v>43</v>
      </c>
      <c r="Z37" s="162">
        <f>+'Water '!$Q31</f>
        <v>35</v>
      </c>
      <c r="AA37" s="162">
        <f>+'Water '!$Q32</f>
        <v>45</v>
      </c>
      <c r="AB37" s="162">
        <f>+'Water '!$Q33</f>
        <v>47</v>
      </c>
      <c r="AC37" s="162">
        <f>+'Water '!$Q34</f>
        <v>44</v>
      </c>
      <c r="AD37" s="162">
        <f>+'Water '!$Q31</f>
        <v>35</v>
      </c>
      <c r="AE37" s="162">
        <f>+'Water '!$Q32</f>
        <v>45</v>
      </c>
      <c r="AF37" s="162">
        <f>+'Water '!$Q33</f>
        <v>47</v>
      </c>
      <c r="AG37" s="329">
        <f>SUM($B37:AF37)</f>
        <v>755</v>
      </c>
      <c r="AH37" s="329"/>
      <c r="AI37" s="329"/>
    </row>
    <row r="38" spans="1:37" s="117" customFormat="1" ht="18" hidden="1" x14ac:dyDescent="0.25">
      <c r="A38" s="166" t="s">
        <v>174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41"/>
      <c r="P38" s="167"/>
      <c r="Q38" s="167"/>
      <c r="R38" s="141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331">
        <f>SUM($B38:AF38)</f>
        <v>0</v>
      </c>
      <c r="AH38" s="331"/>
      <c r="AI38" s="375"/>
      <c r="AJ38" s="376"/>
      <c r="AK38" s="376"/>
    </row>
    <row r="39" spans="1:37" ht="17.25" customHeight="1" x14ac:dyDescent="0.25">
      <c r="A39" s="152" t="s">
        <v>214</v>
      </c>
      <c r="B39" s="150" t="str">
        <f>'Water '!Y7</f>
        <v>0</v>
      </c>
      <c r="C39" s="150" t="str">
        <f>'Water '!Y8</f>
        <v>0</v>
      </c>
      <c r="D39" s="150" t="str">
        <f>'Water '!Y9</f>
        <v>0</v>
      </c>
      <c r="E39" s="150" t="str">
        <f>'Water '!Y10</f>
        <v>0</v>
      </c>
      <c r="F39" s="150" t="str">
        <f>'Water '!Y11</f>
        <v>0</v>
      </c>
      <c r="G39" s="150" t="str">
        <f>'Water '!Y12</f>
        <v>0</v>
      </c>
      <c r="H39" s="150" t="str">
        <f>'Water '!Y13</f>
        <v>0</v>
      </c>
      <c r="I39" s="150" t="str">
        <f>'Water '!Y14</f>
        <v>0</v>
      </c>
      <c r="J39" s="150" t="str">
        <f>'Water '!Y15</f>
        <v>0</v>
      </c>
      <c r="K39" s="150" t="str">
        <f>'Water '!Y16</f>
        <v>0</v>
      </c>
      <c r="L39" s="150" t="str">
        <f>'Water '!Y17</f>
        <v>0</v>
      </c>
      <c r="M39" s="150" t="str">
        <f>'Water '!Y18</f>
        <v>0</v>
      </c>
      <c r="N39" s="150" t="str">
        <f>'Water '!Y19</f>
        <v>0</v>
      </c>
      <c r="O39" s="150" t="str">
        <f>'Water '!Y20</f>
        <v>0</v>
      </c>
      <c r="P39" s="150" t="str">
        <f>'Water '!Y21</f>
        <v>0</v>
      </c>
      <c r="Q39" s="150" t="str">
        <f>'Water '!Y22</f>
        <v>0</v>
      </c>
      <c r="R39" s="150" t="str">
        <f>'Water '!Y23</f>
        <v>0</v>
      </c>
      <c r="S39" s="150" t="str">
        <f>'Water '!Y24</f>
        <v>0</v>
      </c>
      <c r="T39" s="150" t="str">
        <f>'Water '!Y25</f>
        <v>0</v>
      </c>
      <c r="U39" s="150" t="str">
        <f>'Water '!Y26</f>
        <v>0</v>
      </c>
      <c r="V39" s="150" t="str">
        <f>'Water '!Y27</f>
        <v>0</v>
      </c>
      <c r="W39" s="150" t="str">
        <f>'Water '!Y28</f>
        <v>0</v>
      </c>
      <c r="X39" s="150" t="str">
        <f>'Water '!Y29</f>
        <v>0</v>
      </c>
      <c r="Y39" s="150" t="str">
        <f>'Water '!Y30</f>
        <v>0</v>
      </c>
      <c r="Z39" s="150" t="str">
        <f>'Water '!Y31</f>
        <v>0</v>
      </c>
      <c r="AA39" s="150" t="str">
        <f>'Water '!Y32</f>
        <v>0</v>
      </c>
      <c r="AB39" s="150" t="str">
        <f>'Water '!Y33</f>
        <v>0</v>
      </c>
      <c r="AC39" s="150" t="str">
        <f>'Water '!Y34</f>
        <v>0</v>
      </c>
      <c r="AD39" s="150">
        <f>'Water '!AC31</f>
        <v>0</v>
      </c>
      <c r="AE39" s="150">
        <f>'Water '!AC32</f>
        <v>0</v>
      </c>
      <c r="AF39" s="150">
        <f>'Water '!AC33</f>
        <v>0</v>
      </c>
      <c r="AG39" s="322">
        <f>SUM($B39:AF39)</f>
        <v>0</v>
      </c>
      <c r="AH39" s="322"/>
      <c r="AI39" s="373"/>
    </row>
    <row r="40" spans="1:37" ht="17.25" customHeight="1" x14ac:dyDescent="0.25">
      <c r="A40" s="152" t="s">
        <v>200</v>
      </c>
      <c r="B40" s="150">
        <f>'Water '!I7</f>
        <v>0</v>
      </c>
      <c r="C40" s="150">
        <f>'Water '!I8</f>
        <v>0</v>
      </c>
      <c r="D40" s="150">
        <f>'Water '!I9</f>
        <v>0</v>
      </c>
      <c r="E40" s="150">
        <f>'Water '!I10</f>
        <v>0</v>
      </c>
      <c r="F40" s="150">
        <f>'Water '!I11</f>
        <v>0</v>
      </c>
      <c r="G40" s="150">
        <f>'Water '!I12</f>
        <v>0</v>
      </c>
      <c r="H40" s="150">
        <f>'Water '!I13</f>
        <v>0</v>
      </c>
      <c r="I40" s="150">
        <f>'Water '!I14</f>
        <v>0</v>
      </c>
      <c r="J40" s="150">
        <f>'Water '!I15</f>
        <v>0</v>
      </c>
      <c r="K40" s="150">
        <f>'Water '!I16</f>
        <v>0</v>
      </c>
      <c r="L40" s="150">
        <f>'Water '!J16</f>
        <v>191</v>
      </c>
      <c r="M40" s="150" t="str">
        <f>'Water '!K16</f>
        <v>0</v>
      </c>
      <c r="N40" s="150">
        <f>'Water '!I19</f>
        <v>0</v>
      </c>
      <c r="O40" s="150">
        <f>'Water '!I20</f>
        <v>0</v>
      </c>
      <c r="P40" s="150">
        <f>'Water '!I21</f>
        <v>0</v>
      </c>
      <c r="Q40" s="150">
        <f>'Water '!I22</f>
        <v>0</v>
      </c>
      <c r="R40" s="150">
        <f>'Water '!I23</f>
        <v>0</v>
      </c>
      <c r="S40" s="150">
        <f>'Water '!I24</f>
        <v>0</v>
      </c>
      <c r="T40" s="150">
        <f>'Water '!I25</f>
        <v>0</v>
      </c>
      <c r="U40" s="150">
        <f>'Water '!I26</f>
        <v>0</v>
      </c>
      <c r="V40" s="150">
        <f>'Water '!I27</f>
        <v>0</v>
      </c>
      <c r="W40" s="150">
        <f>'Water '!I28</f>
        <v>0</v>
      </c>
      <c r="X40" s="150">
        <f>'Water '!I29</f>
        <v>0</v>
      </c>
      <c r="Y40" s="150">
        <f>'Water '!I30</f>
        <v>0</v>
      </c>
      <c r="Z40" s="150">
        <f>'Water '!I31</f>
        <v>0</v>
      </c>
      <c r="AA40" s="150">
        <f>'Water '!I32</f>
        <v>0</v>
      </c>
      <c r="AB40" s="150">
        <f>'Water '!I33</f>
        <v>0</v>
      </c>
      <c r="AC40" s="150">
        <f>'Water '!I34</f>
        <v>0</v>
      </c>
      <c r="AD40" s="150" t="str">
        <f>'Water '!M31</f>
        <v>0</v>
      </c>
      <c r="AE40" s="150" t="str">
        <f>'Water '!M32</f>
        <v>0</v>
      </c>
      <c r="AF40" s="150">
        <f>'Water '!M33</f>
        <v>1</v>
      </c>
      <c r="AG40" s="322">
        <f>SUM($B40:AF40)</f>
        <v>192</v>
      </c>
      <c r="AH40" s="322"/>
      <c r="AI40" s="373"/>
    </row>
    <row r="41" spans="1:37" ht="17.25" customHeight="1" x14ac:dyDescent="0.25">
      <c r="A41" s="160" t="s">
        <v>213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322"/>
      <c r="AH41" s="322"/>
      <c r="AI41" s="377"/>
    </row>
    <row r="42" spans="1:37" s="118" customFormat="1" ht="20.25" x14ac:dyDescent="0.3">
      <c r="A42" s="168" t="s">
        <v>205</v>
      </c>
      <c r="B42" s="169">
        <f t="shared" ref="B42:AF42" si="8">SUM(B28:B41)</f>
        <v>43</v>
      </c>
      <c r="C42" s="169">
        <f>SUM(C28:C41)</f>
        <v>0</v>
      </c>
      <c r="D42" s="169">
        <f t="shared" si="8"/>
        <v>282</v>
      </c>
      <c r="E42" s="169">
        <f>SUM(E28:E41)</f>
        <v>388</v>
      </c>
      <c r="F42" s="169">
        <f t="shared" si="8"/>
        <v>333</v>
      </c>
      <c r="G42" s="169">
        <f>SUM(G28:G41)</f>
        <v>377</v>
      </c>
      <c r="H42" s="169">
        <f t="shared" si="8"/>
        <v>298</v>
      </c>
      <c r="I42" s="169">
        <f t="shared" si="8"/>
        <v>125</v>
      </c>
      <c r="J42" s="169">
        <f t="shared" si="8"/>
        <v>1</v>
      </c>
      <c r="K42" s="169">
        <f t="shared" si="8"/>
        <v>351</v>
      </c>
      <c r="L42" s="169">
        <f t="shared" si="8"/>
        <v>446</v>
      </c>
      <c r="M42" s="169">
        <f t="shared" si="8"/>
        <v>323</v>
      </c>
      <c r="N42" s="169">
        <f>SUM(N28:N41)</f>
        <v>427</v>
      </c>
      <c r="O42" s="169">
        <f>SUM(O28:O41)</f>
        <v>334</v>
      </c>
      <c r="P42" s="169">
        <f t="shared" si="8"/>
        <v>154</v>
      </c>
      <c r="Q42" s="169">
        <f t="shared" si="8"/>
        <v>115</v>
      </c>
      <c r="R42" s="169">
        <f t="shared" si="8"/>
        <v>269</v>
      </c>
      <c r="S42" s="169">
        <f t="shared" si="8"/>
        <v>267</v>
      </c>
      <c r="T42" s="169">
        <f t="shared" si="8"/>
        <v>402</v>
      </c>
      <c r="U42" s="169">
        <f t="shared" si="8"/>
        <v>363</v>
      </c>
      <c r="V42" s="169">
        <f t="shared" si="8"/>
        <v>159</v>
      </c>
      <c r="W42" s="169">
        <f t="shared" si="8"/>
        <v>11</v>
      </c>
      <c r="X42" s="169">
        <f t="shared" si="8"/>
        <v>33</v>
      </c>
      <c r="Y42" s="169">
        <f t="shared" si="8"/>
        <v>291</v>
      </c>
      <c r="Z42" s="169">
        <f t="shared" si="8"/>
        <v>408</v>
      </c>
      <c r="AA42" s="169">
        <f>SUM(AA28:AA41)</f>
        <v>486</v>
      </c>
      <c r="AB42" s="169">
        <f t="shared" si="8"/>
        <v>421</v>
      </c>
      <c r="AC42" s="169">
        <f t="shared" si="8"/>
        <v>353</v>
      </c>
      <c r="AD42" s="169">
        <f t="shared" si="8"/>
        <v>437.74788109765882</v>
      </c>
      <c r="AE42" s="169">
        <f t="shared" si="8"/>
        <v>519.45283159741666</v>
      </c>
      <c r="AF42" s="169">
        <f t="shared" si="8"/>
        <v>451.23304108955051</v>
      </c>
      <c r="AG42" s="332">
        <f>SUM($B42:AF42)</f>
        <v>8868.4337537846259</v>
      </c>
      <c r="AH42" s="332"/>
      <c r="AI42" s="378"/>
      <c r="AJ42" s="379"/>
      <c r="AK42" s="379"/>
    </row>
    <row r="43" spans="1:37" ht="18" x14ac:dyDescent="0.2">
      <c r="A43" s="170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323"/>
      <c r="AH43" s="323"/>
    </row>
    <row r="44" spans="1:37" ht="18" x14ac:dyDescent="0.2">
      <c r="A44" s="170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323"/>
      <c r="AH44" s="323"/>
    </row>
    <row r="45" spans="1:37" ht="20.25" x14ac:dyDescent="0.3">
      <c r="A45" s="136" t="s">
        <v>206</v>
      </c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333"/>
      <c r="AH45" s="333"/>
    </row>
    <row r="46" spans="1:37" ht="20.25" x14ac:dyDescent="0.3">
      <c r="A46" s="136"/>
      <c r="B46" s="114"/>
      <c r="C46" s="114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333"/>
      <c r="AH46" s="333"/>
    </row>
    <row r="47" spans="1:37" s="254" customFormat="1" ht="26.25" x14ac:dyDescent="0.4">
      <c r="A47" s="253" t="s">
        <v>207</v>
      </c>
      <c r="B47" s="236">
        <f>IF('Entries March.''25'!M8-'Entries March.''25'!M7&lt;1,0,'Entries March.''25'!M8-'Entries March.''25'!M7)</f>
        <v>0</v>
      </c>
      <c r="C47" s="236">
        <f>IF('Entries March.''25'!M9-'Entries March.''25'!M8&lt;1,0,'Entries March.''25'!M9-'Entries March.''25'!M8)</f>
        <v>0</v>
      </c>
      <c r="D47" s="236">
        <f>IF('Entries March.''25'!M10-'Entries March.''25'!M9&lt;1,0,'Entries March.''25'!M10-'Entries March.''25'!M9)</f>
        <v>0</v>
      </c>
      <c r="E47" s="236">
        <f>IF('Entries March.''25'!M11-'Entries March.''25'!M10&lt;1,0,'Entries March.''25'!M11-'Entries March.''25'!M10)</f>
        <v>0</v>
      </c>
      <c r="F47" s="236">
        <f>IF('Entries March.''25'!M12-'Entries March.''25'!M11&lt;1,0,'Entries March.''25'!M12-'Entries March.''25'!M11)</f>
        <v>0</v>
      </c>
      <c r="G47" s="236">
        <f>IF('Entries March.''25'!M13-'Entries March.''25'!M12&lt;1,0,'Entries March.''25'!M13-'Entries March.''25'!M12)</f>
        <v>0</v>
      </c>
      <c r="H47" s="236">
        <f>IF('Entries March.''25'!M14-'Entries March.''25'!M13&lt;1,0,'Entries March.''25'!M14-'Entries March.''25'!M13)</f>
        <v>0</v>
      </c>
      <c r="I47" s="236">
        <f>IF('Entries March.''25'!M15-'Entries March.''25'!M14&lt;1,0,'Entries March.''25'!M15-'Entries March.''25'!M14)</f>
        <v>0</v>
      </c>
      <c r="J47" s="236">
        <f>IF('Entries March.''25'!M16-'Entries March.''25'!M15&lt;1,0,'Entries March.''25'!M16-'Entries March.''25'!M15)</f>
        <v>0</v>
      </c>
      <c r="K47" s="236">
        <f>IF('Entries March.''25'!M17-'Entries March.''25'!M16&lt;1,0,'Entries March.''25'!M17-'Entries March.''25'!M16)</f>
        <v>0</v>
      </c>
      <c r="L47" s="235">
        <f>IF('Entries March.''25'!M18-'Entries March.''25'!M17&lt;1,0,'Entries March.''25'!M18-'Entries March.''25'!M17)</f>
        <v>0</v>
      </c>
      <c r="M47" s="236">
        <f>IF('Entries March.''25'!M19-'Entries March.''25'!M18&lt;1,0,'Entries March.''25'!M19-'Entries March.''25'!M18)</f>
        <v>0</v>
      </c>
      <c r="N47" s="236">
        <f>IF('Entries March.''25'!M20-'Entries March.''25'!M19&lt;1,0,'Entries March.''25'!M20-'Entries March.''25'!M19)</f>
        <v>0</v>
      </c>
      <c r="O47" s="236">
        <f>IF('Entries March.''25'!M21-'Entries March.''25'!M20&lt;1,0,'Entries March.''25'!M21-'Entries March.''25'!M20)</f>
        <v>0</v>
      </c>
      <c r="P47" s="236">
        <f>IF('Entries March.''25'!M22-'Entries March.''25'!M21&lt;1,0,'Entries March.''25'!M22-'Entries March.''25'!M21)</f>
        <v>0</v>
      </c>
      <c r="Q47" s="236">
        <f>IF('Entries March.''25'!M23-'Entries March.''25'!M22&lt;1,0,'Entries March.''25'!M23-'Entries March.''25'!M22)</f>
        <v>0</v>
      </c>
      <c r="R47" s="236">
        <f>IF('Entries March.''25'!M24-'Entries March.''25'!M23&lt;1,0,'Entries March.''25'!M24-'Entries March.''25'!M23)</f>
        <v>0</v>
      </c>
      <c r="S47" s="236">
        <f>IF('Entries March.''25'!N24-'Entries March.''25'!N23&lt;1,0,'Entries March.''25'!N24-'Entries March.''25'!N23)</f>
        <v>26.889999999999873</v>
      </c>
      <c r="T47" s="236">
        <f>IF('Entries March.''25'!O24-'Entries March.''25'!O23&lt;1,0,'Entries March.''25'!O24-'Entries March.''25'!O23)</f>
        <v>105</v>
      </c>
      <c r="U47" s="236">
        <f>IF('Entries March.''25'!P24-'Entries March.''25'!P23&lt;1,0,'Entries March.''25'!P24-'Entries March.''25'!P23)</f>
        <v>133</v>
      </c>
      <c r="V47" s="236">
        <f>IF('Entries March.''25'!O25-'Entries March.''25'!O24&lt;1,0,'Entries March.''25'!O25-'Entries March.''25'!O24)</f>
        <v>252</v>
      </c>
      <c r="W47" s="236">
        <f>IF('Entries March.''25'!P25-'Entries March.''25'!P24&lt;1,0,'Entries March.''25'!P25-'Entries March.''25'!P24)</f>
        <v>38</v>
      </c>
      <c r="X47" s="236">
        <f>IF('Entries March.''25'!Q25-'Entries March.''25'!Q24&lt;1,0,'Entries March.''25'!Q25-'Entries March.''25'!Q24)</f>
        <v>167</v>
      </c>
      <c r="Y47" s="236">
        <f>IF('Entries March.''25'!R25-'Entries March.''25'!R24&lt;1,0,'Entries March.''25'!R25-'Entries March.''25'!R24)</f>
        <v>0</v>
      </c>
      <c r="Z47" s="236">
        <f>IF('Entries March.''25'!S25-'Entries March.''25'!S24&lt;1,0,'Entries March.''25'!S25-'Entries March.''25'!S24)</f>
        <v>144</v>
      </c>
      <c r="AA47" s="236">
        <f>IF('Entries March.''25'!T25-'Entries March.''25'!T24&lt;1,0,'Entries March.''25'!T25-'Entries March.''25'!T24)</f>
        <v>0</v>
      </c>
      <c r="AB47" s="236">
        <f>IF('Entries March.''25'!U25-'Entries March.''25'!U24&lt;1,0,'Entries March.''25'!U25-'Entries March.''25'!U24)</f>
        <v>0</v>
      </c>
      <c r="AC47" s="236">
        <f>IF('Entries March.''25'!V25-'Entries March.''25'!V24&lt;1,0,'Entries March.''25'!V25-'Entries March.''25'!V24)</f>
        <v>30</v>
      </c>
      <c r="AD47" s="236">
        <f>IF('Entries March.''25'!W25-'Entries March.''25'!W24&lt;1,0,'Entries March.''25'!W25-'Entries March.''25'!W24)</f>
        <v>0</v>
      </c>
      <c r="AE47" s="236">
        <f>IF('Entries March.''25'!X25-'Entries March.''25'!X24&lt;1,0,'Entries March.''25'!X25-'Entries March.''25'!X24)</f>
        <v>31</v>
      </c>
      <c r="AF47" s="236">
        <f>IF('Entries March.''25'!Y25-'Entries March.''25'!Y24&lt;1,0,'Entries March.''25'!Y25-'Entries March.''25'!Y24)</f>
        <v>61</v>
      </c>
      <c r="AG47" s="334">
        <f>SUM($B47:AF47)</f>
        <v>987.88999999999987</v>
      </c>
      <c r="AH47" s="335"/>
      <c r="AI47" s="335"/>
      <c r="AJ47" s="380"/>
      <c r="AK47" s="380"/>
    </row>
    <row r="48" spans="1:37" ht="20.25" hidden="1" x14ac:dyDescent="0.3">
      <c r="A48" s="136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336"/>
      <c r="AH48" s="317"/>
      <c r="AI48" s="381"/>
    </row>
    <row r="49" spans="1:37" s="283" customFormat="1" ht="20.25" x14ac:dyDescent="0.3">
      <c r="A49" s="281" t="s">
        <v>208</v>
      </c>
      <c r="B49" s="282" t="str">
        <f>'Daily KPIs'!B76</f>
        <v>0</v>
      </c>
      <c r="C49" s="282">
        <f>'Daily KPIs'!C76</f>
        <v>0</v>
      </c>
      <c r="D49" s="282">
        <f>'Daily KPIs'!D76</f>
        <v>0</v>
      </c>
      <c r="E49" s="282">
        <f>'Daily KPIs'!E76</f>
        <v>141.87</v>
      </c>
      <c r="F49" s="282">
        <f>'Daily KPIs'!F76</f>
        <v>28.960000000000036</v>
      </c>
      <c r="G49" s="282">
        <f>'Daily KPIs'!G76</f>
        <v>35.049999999999955</v>
      </c>
      <c r="H49" s="282">
        <f>'Daily KPIs'!H76</f>
        <v>37.670000000000073</v>
      </c>
      <c r="I49" s="282">
        <f>'Daily KPIs'!I76</f>
        <v>4.9599999999999227</v>
      </c>
      <c r="J49" s="282">
        <f>'Daily KPIs'!J76</f>
        <v>0</v>
      </c>
      <c r="K49" s="282">
        <f>'Daily KPIs'!K76</f>
        <v>20.139999999999986</v>
      </c>
      <c r="L49" s="282">
        <f>'Daily KPIs'!L76</f>
        <v>25.490000000000009</v>
      </c>
      <c r="M49" s="282">
        <f>'Daily KPIs'!M76</f>
        <v>16.740000000000009</v>
      </c>
      <c r="N49" s="282">
        <f>'Daily KPIs'!N76</f>
        <v>33.089999999999918</v>
      </c>
      <c r="O49" s="282">
        <f>'Daily KPIs'!O76</f>
        <v>23.870000000000118</v>
      </c>
      <c r="P49" s="282">
        <f>'Daily KPIs'!P76</f>
        <v>0</v>
      </c>
      <c r="Q49" s="282">
        <f>'Daily KPIs'!Q76</f>
        <v>0</v>
      </c>
      <c r="R49" s="282">
        <f>'Daily KPIs'!R76</f>
        <v>26.889999999999873</v>
      </c>
      <c r="S49" s="282">
        <f>'Daily KPIs'!S76</f>
        <v>30.670000000000073</v>
      </c>
      <c r="T49" s="282">
        <f>'Daily KPIs'!T76</f>
        <v>45.910000000000082</v>
      </c>
      <c r="U49" s="282">
        <f>'Daily KPIs'!U76</f>
        <v>32.049999999999955</v>
      </c>
      <c r="V49" s="282">
        <f>'Daily KPIs'!V76</f>
        <v>6.3499999999999091</v>
      </c>
      <c r="W49" s="282">
        <f>'Daily KPIs'!W76</f>
        <v>0</v>
      </c>
      <c r="X49" s="282">
        <f>'Daily KPIs'!X76</f>
        <v>0</v>
      </c>
      <c r="Y49" s="282">
        <f>'Daily KPIs'!Y76</f>
        <v>15.450000000000045</v>
      </c>
      <c r="Z49" s="282">
        <f>'Daily KPIs'!Z76</f>
        <v>55.900000000000091</v>
      </c>
      <c r="AA49" s="282">
        <f>'Daily KPIs'!AA76</f>
        <v>48.950000000000045</v>
      </c>
      <c r="AB49" s="282">
        <f>'Daily KPIs'!AB76</f>
        <v>47.209999999999809</v>
      </c>
      <c r="AC49" s="282">
        <f>'Daily KPIs'!AC76</f>
        <v>14.240000000000009</v>
      </c>
      <c r="AD49" s="282">
        <f>'Daily KPIs'!AD76</f>
        <v>0</v>
      </c>
      <c r="AE49" s="282">
        <f>'Daily KPIs'!AE76</f>
        <v>0</v>
      </c>
      <c r="AF49" s="282">
        <f>'Daily KPIs'!AF76</f>
        <v>42.060000000000173</v>
      </c>
      <c r="AG49" s="337">
        <f>SUM($B49:AF49)</f>
        <v>733.5200000000001</v>
      </c>
      <c r="AH49" s="338"/>
      <c r="AI49" s="382"/>
      <c r="AJ49" s="383"/>
      <c r="AK49" s="383"/>
    </row>
    <row r="50" spans="1:37" ht="18" hidden="1" x14ac:dyDescent="0.25">
      <c r="A50" s="13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323"/>
      <c r="AH50" s="323"/>
    </row>
    <row r="51" spans="1:37" ht="18" x14ac:dyDescent="0.25">
      <c r="A51" s="13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323"/>
      <c r="AH51" s="323"/>
    </row>
    <row r="52" spans="1:37" s="118" customFormat="1" ht="20.25" x14ac:dyDescent="0.3">
      <c r="A52" s="168" t="s">
        <v>136</v>
      </c>
      <c r="B52" s="172">
        <f>'Elec.March''25'!$B$7</f>
        <v>4482</v>
      </c>
      <c r="C52" s="172">
        <f>'Elec.March''25'!$B$8</f>
        <v>4216</v>
      </c>
      <c r="D52" s="172">
        <f>'Elec.March''25'!$B$9</f>
        <v>7948</v>
      </c>
      <c r="E52" s="172">
        <f>'Elec.March''25'!$B$10</f>
        <v>8547</v>
      </c>
      <c r="F52" s="172">
        <f>'Elec.March''25'!$B$11</f>
        <v>8241</v>
      </c>
      <c r="G52" s="172">
        <f>'Elec.March''25'!$B$12</f>
        <v>8066</v>
      </c>
      <c r="H52" s="172">
        <f>'Elec.March''25'!$B$13</f>
        <v>7348</v>
      </c>
      <c r="I52" s="172">
        <f>'Elec.March''25'!$B$14</f>
        <v>4624</v>
      </c>
      <c r="J52" s="172">
        <f>'Elec.March''25'!$B$15</f>
        <v>4173</v>
      </c>
      <c r="K52" s="172">
        <f>'Elec.March''25'!$B$16</f>
        <v>8000</v>
      </c>
      <c r="L52" s="172">
        <f>'Elec.March''25'!$B$17</f>
        <v>8338</v>
      </c>
      <c r="M52" s="172">
        <f>'Elec.March''25'!$B$18</f>
        <v>8475</v>
      </c>
      <c r="N52" s="172">
        <f>'Elec.March''25'!$B$19</f>
        <v>7841</v>
      </c>
      <c r="O52" s="172">
        <f>'Elec.March''25'!$B$20</f>
        <v>7679</v>
      </c>
      <c r="P52" s="172">
        <f>'Elec.March''25'!$B$21</f>
        <v>4867</v>
      </c>
      <c r="Q52" s="172">
        <f>'Elec.March''25'!$B$22</f>
        <v>5536</v>
      </c>
      <c r="R52" s="172">
        <f>'Elec.March''25'!$B$23</f>
        <v>8321</v>
      </c>
      <c r="S52" s="172">
        <f>'Elec.March''25'!$B$24</f>
        <v>7150</v>
      </c>
      <c r="T52" s="172">
        <f>'Elec.March''25'!$B$24</f>
        <v>7150</v>
      </c>
      <c r="U52" s="172">
        <f>'Elec.March''25'!$B$24</f>
        <v>7150</v>
      </c>
      <c r="V52" s="172">
        <f>'Elec.March''25'!$B$24</f>
        <v>7150</v>
      </c>
      <c r="W52" s="172">
        <f>'Elec.March''25'!$B$24</f>
        <v>7150</v>
      </c>
      <c r="X52" s="172">
        <f>'Elec.March''25'!$B$24</f>
        <v>7150</v>
      </c>
      <c r="Y52" s="172">
        <f>'Elec.March''25'!$B$24</f>
        <v>7150</v>
      </c>
      <c r="Z52" s="172">
        <f>'Elec.March''25'!$B$24</f>
        <v>7150</v>
      </c>
      <c r="AA52" s="172">
        <f>'Elec.March''25'!$B$24</f>
        <v>7150</v>
      </c>
      <c r="AB52" s="172">
        <f>'Elec.March''25'!$B$24</f>
        <v>7150</v>
      </c>
      <c r="AC52" s="172">
        <f>'Elec.March''25'!$B$24</f>
        <v>7150</v>
      </c>
      <c r="AD52" s="172">
        <f>'Elec.March''25'!$B$24</f>
        <v>7150</v>
      </c>
      <c r="AE52" s="172">
        <f>'Elec.March''25'!$B$24</f>
        <v>7150</v>
      </c>
      <c r="AF52" s="172">
        <f>'Elec.March''25'!$B$24</f>
        <v>7150</v>
      </c>
      <c r="AG52" s="326">
        <f>SUM(B52:AC52)</f>
        <v>195352</v>
      </c>
      <c r="AH52" s="326"/>
      <c r="AI52" s="378"/>
      <c r="AJ52" s="379"/>
      <c r="AK52" s="379"/>
    </row>
    <row r="53" spans="1:37" ht="20.25" x14ac:dyDescent="0.3">
      <c r="A53" s="136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317"/>
      <c r="AH53" s="317"/>
      <c r="AI53" s="381"/>
    </row>
    <row r="54" spans="1:37" s="118" customFormat="1" ht="20.25" x14ac:dyDescent="0.3">
      <c r="A54" s="168" t="s">
        <v>137</v>
      </c>
      <c r="B54" s="174">
        <f>+'Fuel '!$K7</f>
        <v>410</v>
      </c>
      <c r="C54" s="174">
        <f>+'Fuel '!$K8</f>
        <v>540</v>
      </c>
      <c r="D54" s="174">
        <f>+'Fuel '!$K9</f>
        <v>2480</v>
      </c>
      <c r="E54" s="174">
        <f>+'Fuel '!$K10</f>
        <v>3270</v>
      </c>
      <c r="F54" s="174">
        <f>+'Fuel '!$K11</f>
        <v>3040</v>
      </c>
      <c r="G54" s="174">
        <f>+'Fuel '!$K12</f>
        <v>2720</v>
      </c>
      <c r="H54" s="174">
        <f>+'Fuel '!$K13</f>
        <v>2380</v>
      </c>
      <c r="I54" s="174">
        <f>+'Fuel '!$K14</f>
        <v>1000</v>
      </c>
      <c r="J54" s="174">
        <f>+'Fuel '!$K15</f>
        <v>100</v>
      </c>
      <c r="K54" s="174">
        <f>+'Fuel '!$K16</f>
        <v>3100</v>
      </c>
      <c r="L54" s="174">
        <f>+'Fuel '!$K17</f>
        <v>3040</v>
      </c>
      <c r="M54" s="174">
        <f>+'Fuel '!$K18</f>
        <v>2800</v>
      </c>
      <c r="N54" s="174">
        <f>+'Fuel '!$K19</f>
        <v>3010</v>
      </c>
      <c r="O54" s="174">
        <f>+'Fuel '!$K20</f>
        <v>2410</v>
      </c>
      <c r="P54" s="174">
        <f>+'Fuel '!$K21</f>
        <v>0</v>
      </c>
      <c r="Q54" s="174">
        <f>+'Fuel '!$K22</f>
        <v>1320</v>
      </c>
      <c r="R54" s="174">
        <f>+'Fuel '!$K23</f>
        <v>2510</v>
      </c>
      <c r="S54" s="174">
        <f>+'Fuel '!$K24</f>
        <v>2490</v>
      </c>
      <c r="T54" s="174">
        <f>+'Fuel '!$K24</f>
        <v>2490</v>
      </c>
      <c r="U54" s="174">
        <f>+'Fuel '!$K24</f>
        <v>2490</v>
      </c>
      <c r="V54" s="174">
        <f>+'Fuel '!$K24</f>
        <v>2490</v>
      </c>
      <c r="W54" s="174">
        <f>+'Fuel '!$K24</f>
        <v>2490</v>
      </c>
      <c r="X54" s="174">
        <f>+'Fuel '!$K24</f>
        <v>2490</v>
      </c>
      <c r="Y54" s="174">
        <f>+'Fuel '!$K24</f>
        <v>2490</v>
      </c>
      <c r="Z54" s="174">
        <f>+'Fuel '!$K24</f>
        <v>2490</v>
      </c>
      <c r="AA54" s="174">
        <f>+'Fuel '!$K24</f>
        <v>2490</v>
      </c>
      <c r="AB54" s="174">
        <f>+'Fuel '!$K24</f>
        <v>2490</v>
      </c>
      <c r="AC54" s="174">
        <f>+'Fuel '!$K24</f>
        <v>2490</v>
      </c>
      <c r="AD54" s="174">
        <f>+'Fuel '!$K24</f>
        <v>2490</v>
      </c>
      <c r="AE54" s="174">
        <f>+'Fuel '!$K24</f>
        <v>2490</v>
      </c>
      <c r="AF54" s="174">
        <f>+'Fuel '!$K24</f>
        <v>2490</v>
      </c>
      <c r="AG54" s="339">
        <f>SUM($B54:AF54)</f>
        <v>68990</v>
      </c>
      <c r="AH54" s="326"/>
      <c r="AI54" s="378"/>
      <c r="AJ54" s="379"/>
      <c r="AK54" s="379"/>
    </row>
    <row r="55" spans="1:37" ht="18" hidden="1" x14ac:dyDescent="0.25">
      <c r="A55" s="136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323"/>
      <c r="AH55" s="323"/>
    </row>
    <row r="56" spans="1:37" ht="18" x14ac:dyDescent="0.25">
      <c r="A56" s="13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323"/>
      <c r="AH56" s="323"/>
    </row>
    <row r="57" spans="1:37" ht="18" x14ac:dyDescent="0.25">
      <c r="A57" s="136" t="s">
        <v>204</v>
      </c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</row>
    <row r="58" spans="1:37" s="105" customFormat="1" ht="18" x14ac:dyDescent="0.25">
      <c r="A58" s="137" t="s">
        <v>127</v>
      </c>
      <c r="B58" s="138">
        <v>1</v>
      </c>
      <c r="C58" s="138">
        <v>2</v>
      </c>
      <c r="D58" s="138">
        <v>3</v>
      </c>
      <c r="E58" s="138">
        <v>4</v>
      </c>
      <c r="F58" s="138">
        <v>5</v>
      </c>
      <c r="G58" s="138">
        <v>6</v>
      </c>
      <c r="H58" s="138">
        <v>7</v>
      </c>
      <c r="I58" s="138">
        <v>8</v>
      </c>
      <c r="J58" s="138">
        <v>9</v>
      </c>
      <c r="K58" s="138">
        <v>10</v>
      </c>
      <c r="L58" s="138">
        <v>11</v>
      </c>
      <c r="M58" s="138">
        <v>12</v>
      </c>
      <c r="N58" s="138">
        <v>13</v>
      </c>
      <c r="O58" s="138">
        <v>14</v>
      </c>
      <c r="P58" s="138">
        <v>15</v>
      </c>
      <c r="Q58" s="138">
        <v>16</v>
      </c>
      <c r="R58" s="138">
        <v>17</v>
      </c>
      <c r="S58" s="138">
        <v>18</v>
      </c>
      <c r="T58" s="138">
        <v>19</v>
      </c>
      <c r="U58" s="138">
        <v>20</v>
      </c>
      <c r="V58" s="138">
        <v>21</v>
      </c>
      <c r="W58" s="138">
        <v>22</v>
      </c>
      <c r="X58" s="138">
        <v>9</v>
      </c>
      <c r="Y58" s="138">
        <v>24</v>
      </c>
      <c r="Z58" s="138">
        <v>25</v>
      </c>
      <c r="AA58" s="138">
        <v>26</v>
      </c>
      <c r="AB58" s="138">
        <v>27</v>
      </c>
      <c r="AC58" s="138">
        <v>28</v>
      </c>
      <c r="AD58" s="138">
        <v>29</v>
      </c>
      <c r="AE58" s="138">
        <v>30</v>
      </c>
      <c r="AF58" s="138">
        <v>31</v>
      </c>
      <c r="AG58" s="320" t="s">
        <v>89</v>
      </c>
      <c r="AH58" s="320" t="s">
        <v>157</v>
      </c>
      <c r="AI58" s="320" t="s">
        <v>215</v>
      </c>
      <c r="AJ58" s="369"/>
      <c r="AK58" s="369"/>
    </row>
    <row r="59" spans="1:37" s="106" customFormat="1" ht="20.25" x14ac:dyDescent="0.3">
      <c r="A59" s="155" t="s">
        <v>141</v>
      </c>
      <c r="B59" s="175" t="str">
        <f>IF(B$9=0,"",+(B18*10)/B$9)</f>
        <v/>
      </c>
      <c r="C59" s="175" t="str">
        <f>IF(C$9=0,"",+(C18*10)/C$9)</f>
        <v/>
      </c>
      <c r="D59" s="175">
        <f t="shared" ref="D59:Y59" si="9">IF(D$9=0,"",+(D18*10)/D$9)</f>
        <v>10.970819304152636</v>
      </c>
      <c r="E59" s="175">
        <f t="shared" si="9"/>
        <v>9.2665970623629406</v>
      </c>
      <c r="F59" s="175">
        <f t="shared" si="9"/>
        <v>12.633506609410222</v>
      </c>
      <c r="G59" s="175">
        <f t="shared" si="9"/>
        <v>6.722426326897522</v>
      </c>
      <c r="H59" s="175">
        <f t="shared" si="9"/>
        <v>10.989947698808457</v>
      </c>
      <c r="I59" s="175" t="str">
        <f t="shared" si="9"/>
        <v/>
      </c>
      <c r="J59" s="175" t="str">
        <f t="shared" si="9"/>
        <v/>
      </c>
      <c r="K59" s="175">
        <f>IF(K$9=0,"",+(K18*10)/K$9)</f>
        <v>7.0064809949203006</v>
      </c>
      <c r="L59" s="175">
        <f>IF(L$9=0,"",+(L18*10)/L$9)</f>
        <v>19.560686227352893</v>
      </c>
      <c r="M59" s="175">
        <f>IF(M$9=0,"",+(M18*10)/M$9)</f>
        <v>23.401167096181759</v>
      </c>
      <c r="N59" s="175">
        <f>IF(N$9=0,"",+(N18*10)/N$9)</f>
        <v>7.1542659390389982</v>
      </c>
      <c r="O59" s="175">
        <f t="shared" ref="O59:S59" si="10">IF(O$9=0,"",+(O18*10)/O$9)</f>
        <v>17.507928118393231</v>
      </c>
      <c r="P59" s="175" t="str">
        <f t="shared" si="10"/>
        <v/>
      </c>
      <c r="Q59" s="175" t="str">
        <f t="shared" si="10"/>
        <v/>
      </c>
      <c r="R59" s="175">
        <f t="shared" si="10"/>
        <v>15.68534408899785</v>
      </c>
      <c r="S59" s="175">
        <f t="shared" si="10"/>
        <v>6.7484862447233818</v>
      </c>
      <c r="T59" s="175">
        <f t="shared" si="9"/>
        <v>9.1543312551605283</v>
      </c>
      <c r="U59" s="175">
        <f t="shared" si="9"/>
        <v>11.850555892006669</v>
      </c>
      <c r="V59" s="175">
        <f t="shared" si="9"/>
        <v>17.709563164108616</v>
      </c>
      <c r="W59" s="175" t="str">
        <f t="shared" si="9"/>
        <v/>
      </c>
      <c r="X59" s="175" t="str">
        <f t="shared" si="9"/>
        <v/>
      </c>
      <c r="Y59" s="175">
        <f t="shared" si="9"/>
        <v>35.318908972190066</v>
      </c>
      <c r="Z59" s="175">
        <f>IF(Z$9=0,"",+(Z18*10)/Z$9)</f>
        <v>4.7478810976587811</v>
      </c>
      <c r="AA59" s="175">
        <f t="shared" ref="AA59:AF59" si="11">IF(AA$9=0,"",+(AA18*10)/AA$9)</f>
        <v>10.452831597416656</v>
      </c>
      <c r="AB59" s="175">
        <f t="shared" si="11"/>
        <v>6.2330410895505111</v>
      </c>
      <c r="AC59" s="175">
        <f t="shared" si="11"/>
        <v>24.310505658517695</v>
      </c>
      <c r="AD59" s="175" t="str">
        <f t="shared" si="11"/>
        <v/>
      </c>
      <c r="AE59" s="175" t="str">
        <f t="shared" si="11"/>
        <v/>
      </c>
      <c r="AF59" s="175">
        <f t="shared" si="11"/>
        <v>105.15545060999605</v>
      </c>
      <c r="AG59" s="340">
        <f>IF(AG$9=0,"",+(AG18*10)/AG$9)</f>
        <v>13.700779629602319</v>
      </c>
      <c r="AH59" s="341">
        <f>'Daily KPIs'!AI88</f>
        <v>10.199999999999999</v>
      </c>
      <c r="AI59" s="384">
        <f>+AH59-AG59</f>
        <v>-3.5007796296023201</v>
      </c>
      <c r="AJ59" s="372"/>
      <c r="AK59" s="372"/>
    </row>
    <row r="60" spans="1:37" ht="18" hidden="1" x14ac:dyDescent="0.2">
      <c r="A60" s="140"/>
      <c r="M60" s="112"/>
      <c r="AG60" s="342"/>
      <c r="AH60" s="342"/>
    </row>
    <row r="61" spans="1:37" ht="18" x14ac:dyDescent="0.2">
      <c r="A61" s="157" t="s">
        <v>144</v>
      </c>
      <c r="M61" s="112"/>
      <c r="AF61" s="112"/>
      <c r="AG61" s="320" t="s">
        <v>89</v>
      </c>
      <c r="AH61" s="320" t="s">
        <v>157</v>
      </c>
      <c r="AI61" s="320" t="s">
        <v>215</v>
      </c>
    </row>
    <row r="62" spans="1:37" ht="18" x14ac:dyDescent="0.25">
      <c r="A62" s="140" t="s">
        <v>130</v>
      </c>
      <c r="B62" s="176" t="str">
        <f>IF(B$9=0,"",+(B28*10)/B$9)</f>
        <v/>
      </c>
      <c r="C62" s="176" t="str">
        <f>IF(C$9=0,"",+(C28*10)/C$9)</f>
        <v/>
      </c>
      <c r="D62" s="176">
        <f t="shared" ref="D62:W62" si="12">IF(D$9=0,"",+(D28*10)/D$9)</f>
        <v>5.2469135802469129</v>
      </c>
      <c r="E62" s="176">
        <f t="shared" si="12"/>
        <v>4.4446121656582429</v>
      </c>
      <c r="F62" s="176">
        <f t="shared" si="12"/>
        <v>5.0128363381375429</v>
      </c>
      <c r="G62" s="176">
        <f t="shared" si="12"/>
        <v>5.0287917871752779</v>
      </c>
      <c r="H62" s="176">
        <f t="shared" si="12"/>
        <v>6.5757027782344233</v>
      </c>
      <c r="I62" s="176" t="str">
        <f t="shared" si="12"/>
        <v/>
      </c>
      <c r="J62" s="176" t="str">
        <f t="shared" si="12"/>
        <v/>
      </c>
      <c r="K62" s="176">
        <f t="shared" si="12"/>
        <v>8.3639866876861095</v>
      </c>
      <c r="L62" s="176">
        <f t="shared" si="12"/>
        <v>7.9097856875634651</v>
      </c>
      <c r="M62" s="176">
        <f>IF(M$9=0,"",+(M28*10)/M$9)</f>
        <v>14.14437631446429</v>
      </c>
      <c r="N62" s="176">
        <f>IF(N$9=0,"",+(N28*10)/N$9)</f>
        <v>6.8769688096188828</v>
      </c>
      <c r="O62" s="176">
        <f t="shared" ref="O62:S62" si="13">IF(O$9=0,"",+(O28*10)/O$9)</f>
        <v>5.79927178764388</v>
      </c>
      <c r="P62" s="176" t="str">
        <f t="shared" si="13"/>
        <v/>
      </c>
      <c r="Q62" s="176" t="str">
        <f t="shared" si="13"/>
        <v/>
      </c>
      <c r="R62" s="176">
        <f t="shared" si="13"/>
        <v>10.610673942557369</v>
      </c>
      <c r="S62" s="176">
        <f t="shared" si="13"/>
        <v>3.3509724801385068</v>
      </c>
      <c r="T62" s="176">
        <f t="shared" si="12"/>
        <v>4.8264665876881221</v>
      </c>
      <c r="U62" s="176">
        <f t="shared" si="12"/>
        <v>7.1402403008620627</v>
      </c>
      <c r="V62" s="176">
        <f t="shared" si="12"/>
        <v>7.6998100713515729</v>
      </c>
      <c r="W62" s="176" t="str">
        <f t="shared" si="12"/>
        <v/>
      </c>
      <c r="X62" s="176" t="str">
        <f t="shared" ref="X62" si="14">IF(X$9=0,"",+(X28*10)/X$9)</f>
        <v/>
      </c>
      <c r="Y62" s="176">
        <f t="shared" ref="Y62:AF62" si="15">IF(Y$9=0,"",+(Y28*10)/Y$9)</f>
        <v>22.111417801917309</v>
      </c>
      <c r="Z62" s="176">
        <f t="shared" si="15"/>
        <v>2.5664222149506926</v>
      </c>
      <c r="AA62" s="176">
        <f t="shared" si="15"/>
        <v>4.5137227352481011</v>
      </c>
      <c r="AB62" s="176">
        <f t="shared" si="15"/>
        <v>4.068272327910214</v>
      </c>
      <c r="AC62" s="176">
        <f t="shared" si="15"/>
        <v>8.6351796117359232</v>
      </c>
      <c r="AD62" s="176" t="str">
        <f t="shared" si="15"/>
        <v/>
      </c>
      <c r="AE62" s="176" t="str">
        <f t="shared" si="15"/>
        <v/>
      </c>
      <c r="AF62" s="176">
        <f t="shared" si="15"/>
        <v>68.634395907123178</v>
      </c>
      <c r="AG62" s="343">
        <f>IF(+(AG28*10)/AG$9&lt;1,0,+(AG28*10)/AG$9)</f>
        <v>6.7628862239201055</v>
      </c>
      <c r="AH62" s="343">
        <v>2.5</v>
      </c>
      <c r="AI62" s="344">
        <f t="shared" ref="AI62:AI78" si="16">AH62-AG62</f>
        <v>-4.2628862239201055</v>
      </c>
    </row>
    <row r="63" spans="1:37" ht="18.75" x14ac:dyDescent="0.3">
      <c r="A63" s="198" t="s">
        <v>228</v>
      </c>
      <c r="B63" s="199" t="str">
        <f>IF(B$93=0,"",+(B28*10)/B$93)</f>
        <v/>
      </c>
      <c r="C63" s="199" t="str">
        <f t="shared" ref="C63:X63" si="17">IF(C$93=0,"",+(C28*10)/C$93)</f>
        <v/>
      </c>
      <c r="D63" s="199">
        <f t="shared" si="17"/>
        <v>4.5810877021068102</v>
      </c>
      <c r="E63" s="199">
        <f t="shared" si="17"/>
        <v>4.9964647654961114</v>
      </c>
      <c r="F63" s="199">
        <f t="shared" si="17"/>
        <v>3.6124451868866152</v>
      </c>
      <c r="G63" s="199">
        <f t="shared" si="17"/>
        <v>5.1784276898309631</v>
      </c>
      <c r="H63" s="199">
        <f t="shared" si="17"/>
        <v>8.513992905005912</v>
      </c>
      <c r="I63" s="199">
        <f>IF(I$93=0,"",+(I28*10)/I$93)</f>
        <v>7.0717131474103585</v>
      </c>
      <c r="J63" s="199" t="str">
        <f t="shared" si="17"/>
        <v/>
      </c>
      <c r="K63" s="199">
        <f t="shared" si="17"/>
        <v>4.4804128547970912</v>
      </c>
      <c r="L63" s="199">
        <f t="shared" si="17"/>
        <v>4.8130081300813012</v>
      </c>
      <c r="M63" s="199">
        <f t="shared" si="17"/>
        <v>5.4092325120362501</v>
      </c>
      <c r="N63" s="199">
        <f t="shared" si="17"/>
        <v>5.5001108893324462</v>
      </c>
      <c r="O63" s="199">
        <f t="shared" ref="O63:S63" si="18">IF(O$93=0,"",+(O28*10)/O$93)</f>
        <v>7.7794190054160515</v>
      </c>
      <c r="P63" s="199" t="str">
        <f t="shared" si="18"/>
        <v/>
      </c>
      <c r="Q63" s="199">
        <f t="shared" si="18"/>
        <v>2.1428571428571428</v>
      </c>
      <c r="R63" s="199">
        <f t="shared" si="18"/>
        <v>4.562198923207708</v>
      </c>
      <c r="S63" s="199">
        <f t="shared" si="18"/>
        <v>4.8144433299899694</v>
      </c>
      <c r="T63" s="199">
        <f t="shared" si="17"/>
        <v>6.8633011911514457</v>
      </c>
      <c r="U63" s="199">
        <f t="shared" si="17"/>
        <v>4.6699266503667483</v>
      </c>
      <c r="V63" s="199">
        <f t="shared" si="17"/>
        <v>16.666666666666668</v>
      </c>
      <c r="W63" s="199" t="str">
        <f t="shared" si="17"/>
        <v/>
      </c>
      <c r="X63" s="199" t="str">
        <f t="shared" si="17"/>
        <v/>
      </c>
      <c r="Y63" s="199">
        <f t="shared" ref="Y63:AF63" si="19">IF(Y$93=0,"",+(Y28*10)/Y$93)</f>
        <v>3.6762891685171475</v>
      </c>
      <c r="Z63" s="199">
        <f t="shared" si="19"/>
        <v>5.3999325008437395</v>
      </c>
      <c r="AA63" s="199">
        <f t="shared" si="19"/>
        <v>6.6750313676286073</v>
      </c>
      <c r="AB63" s="199">
        <f t="shared" si="19"/>
        <v>6.2125961812482196</v>
      </c>
      <c r="AC63" s="199" t="str">
        <f t="shared" si="19"/>
        <v/>
      </c>
      <c r="AD63" s="199" t="str">
        <f t="shared" si="19"/>
        <v/>
      </c>
      <c r="AE63" s="199" t="str">
        <f t="shared" si="19"/>
        <v/>
      </c>
      <c r="AF63" s="199" t="str">
        <f t="shared" si="19"/>
        <v/>
      </c>
      <c r="AG63" s="345">
        <f>IF(+(AG28*10)/AG$93&lt;1,0,+(AG28*10)/AG$93)</f>
        <v>6.4859815812134212</v>
      </c>
      <c r="AH63" s="345">
        <v>2.5</v>
      </c>
      <c r="AI63" s="346">
        <f t="shared" si="16"/>
        <v>-3.9859815812134212</v>
      </c>
    </row>
    <row r="64" spans="1:37" s="120" customFormat="1" ht="18" x14ac:dyDescent="0.25">
      <c r="A64" s="177" t="s">
        <v>180</v>
      </c>
      <c r="B64" s="178" t="str">
        <f>IF(B$9=0,"",+(B29*10)/B$9)</f>
        <v/>
      </c>
      <c r="C64" s="178" t="str">
        <f t="shared" ref="C64:X64" si="20">IF(C$9=0,"",+(C29*10)/C$9)</f>
        <v/>
      </c>
      <c r="D64" s="178">
        <f t="shared" si="20"/>
        <v>0</v>
      </c>
      <c r="E64" s="178">
        <f t="shared" si="20"/>
        <v>0</v>
      </c>
      <c r="F64" s="178">
        <f t="shared" si="20"/>
        <v>0</v>
      </c>
      <c r="G64" s="178">
        <f t="shared" si="20"/>
        <v>0</v>
      </c>
      <c r="H64" s="178">
        <f t="shared" si="20"/>
        <v>0</v>
      </c>
      <c r="I64" s="178" t="str">
        <f t="shared" si="20"/>
        <v/>
      </c>
      <c r="J64" s="178" t="str">
        <f t="shared" si="20"/>
        <v/>
      </c>
      <c r="K64" s="178">
        <f t="shared" si="20"/>
        <v>0</v>
      </c>
      <c r="L64" s="178">
        <f t="shared" si="20"/>
        <v>0</v>
      </c>
      <c r="M64" s="178">
        <f>IF(M$9=0,"",+(M29*10)/M$9)</f>
        <v>0</v>
      </c>
      <c r="N64" s="178">
        <f t="shared" si="20"/>
        <v>0</v>
      </c>
      <c r="O64" s="178">
        <f t="shared" ref="O64:S64" si="21">IF(O$9=0,"",+(O29*10)/O$9)</f>
        <v>0</v>
      </c>
      <c r="P64" s="178" t="str">
        <f t="shared" si="21"/>
        <v/>
      </c>
      <c r="Q64" s="178" t="str">
        <f t="shared" si="21"/>
        <v/>
      </c>
      <c r="R64" s="178">
        <f t="shared" si="21"/>
        <v>0</v>
      </c>
      <c r="S64" s="178">
        <f t="shared" si="21"/>
        <v>0</v>
      </c>
      <c r="T64" s="178">
        <f t="shared" si="20"/>
        <v>0</v>
      </c>
      <c r="U64" s="178">
        <f t="shared" si="20"/>
        <v>0</v>
      </c>
      <c r="V64" s="178">
        <f t="shared" si="20"/>
        <v>0</v>
      </c>
      <c r="W64" s="178" t="str">
        <f t="shared" si="20"/>
        <v/>
      </c>
      <c r="X64" s="178" t="str">
        <f t="shared" si="20"/>
        <v/>
      </c>
      <c r="Y64" s="178">
        <f t="shared" ref="Y64:AF64" si="22">IF(Y$9=0,"",+(Y29*10)/Y$9)</f>
        <v>0</v>
      </c>
      <c r="Z64" s="178">
        <f t="shared" si="22"/>
        <v>0</v>
      </c>
      <c r="AA64" s="178">
        <f t="shared" si="22"/>
        <v>0</v>
      </c>
      <c r="AB64" s="178">
        <f t="shared" si="22"/>
        <v>0</v>
      </c>
      <c r="AC64" s="178">
        <f t="shared" si="22"/>
        <v>0</v>
      </c>
      <c r="AD64" s="178" t="str">
        <f t="shared" si="22"/>
        <v/>
      </c>
      <c r="AE64" s="178" t="str">
        <f t="shared" si="22"/>
        <v/>
      </c>
      <c r="AF64" s="178">
        <f t="shared" si="22"/>
        <v>1.9623899534200742</v>
      </c>
      <c r="AG64" s="347">
        <f>+(AG29*10)/AG$9</f>
        <v>3.2617920386350641E-2</v>
      </c>
      <c r="AH64" s="347">
        <v>0.1</v>
      </c>
      <c r="AI64" s="348">
        <f>AH64-AG64</f>
        <v>6.7382079613649365E-2</v>
      </c>
      <c r="AJ64" s="385"/>
      <c r="AK64" s="385"/>
    </row>
    <row r="65" spans="1:37" s="117" customFormat="1" ht="18" x14ac:dyDescent="0.25">
      <c r="A65" s="166" t="s">
        <v>201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349"/>
      <c r="AH65" s="349">
        <v>0.1</v>
      </c>
      <c r="AI65" s="350">
        <f>AH65-AG65</f>
        <v>0.1</v>
      </c>
      <c r="AJ65" s="376"/>
      <c r="AK65" s="376"/>
    </row>
    <row r="66" spans="1:37" ht="18" x14ac:dyDescent="0.25">
      <c r="A66" s="140" t="s">
        <v>179</v>
      </c>
      <c r="B66" s="176" t="str">
        <f t="shared" ref="B66:V66" si="23">IF(B$9=0,"",+(B31*10)/B$9)</f>
        <v/>
      </c>
      <c r="C66" s="176" t="str">
        <f t="shared" si="23"/>
        <v/>
      </c>
      <c r="D66" s="176">
        <f t="shared" si="23"/>
        <v>0</v>
      </c>
      <c r="E66" s="176">
        <f t="shared" si="23"/>
        <v>0</v>
      </c>
      <c r="F66" s="176">
        <f t="shared" si="23"/>
        <v>0</v>
      </c>
      <c r="G66" s="176">
        <f t="shared" si="23"/>
        <v>0</v>
      </c>
      <c r="H66" s="176">
        <f t="shared" si="23"/>
        <v>0</v>
      </c>
      <c r="I66" s="176" t="str">
        <f t="shared" si="23"/>
        <v/>
      </c>
      <c r="J66" s="176" t="str">
        <f t="shared" si="23"/>
        <v/>
      </c>
      <c r="K66" s="176">
        <f t="shared" si="23"/>
        <v>0</v>
      </c>
      <c r="L66" s="176">
        <f t="shared" si="23"/>
        <v>0</v>
      </c>
      <c r="M66" s="176">
        <f t="shared" si="23"/>
        <v>0</v>
      </c>
      <c r="N66" s="176">
        <f t="shared" si="23"/>
        <v>0</v>
      </c>
      <c r="O66" s="176">
        <f t="shared" ref="O66:S66" si="24">IF(O$9=0,"",+(O31*10)/O$9)</f>
        <v>0</v>
      </c>
      <c r="P66" s="176" t="str">
        <f t="shared" si="24"/>
        <v/>
      </c>
      <c r="Q66" s="176" t="str">
        <f t="shared" si="24"/>
        <v/>
      </c>
      <c r="R66" s="176">
        <f t="shared" si="24"/>
        <v>0</v>
      </c>
      <c r="S66" s="176">
        <f t="shared" si="24"/>
        <v>0</v>
      </c>
      <c r="T66" s="176">
        <f t="shared" si="23"/>
        <v>0</v>
      </c>
      <c r="U66" s="176">
        <f t="shared" si="23"/>
        <v>0</v>
      </c>
      <c r="V66" s="176">
        <f t="shared" si="23"/>
        <v>0</v>
      </c>
      <c r="W66" s="176" t="s">
        <v>224</v>
      </c>
      <c r="X66" s="176"/>
      <c r="Y66" s="176"/>
      <c r="Z66" s="176"/>
      <c r="AA66" s="176"/>
      <c r="AB66" s="176"/>
      <c r="AC66" s="176"/>
      <c r="AD66" s="176"/>
      <c r="AE66" s="176"/>
      <c r="AF66" s="176"/>
      <c r="AG66" s="343">
        <f>+(AG31*10)/AG$9</f>
        <v>0</v>
      </c>
      <c r="AH66" s="343">
        <v>0.7</v>
      </c>
      <c r="AI66" s="344">
        <f t="shared" si="16"/>
        <v>0.7</v>
      </c>
    </row>
    <row r="67" spans="1:37" s="121" customFormat="1" ht="18" x14ac:dyDescent="0.25">
      <c r="A67" s="180" t="s">
        <v>181</v>
      </c>
      <c r="B67" s="181" t="str">
        <f t="shared" ref="B67:X67" si="25">IF(B$9=0,"",+(B32*10)/B$9)</f>
        <v/>
      </c>
      <c r="C67" s="181" t="str">
        <f t="shared" si="25"/>
        <v/>
      </c>
      <c r="D67" s="181">
        <f t="shared" si="25"/>
        <v>0</v>
      </c>
      <c r="E67" s="181">
        <f t="shared" si="25"/>
        <v>0</v>
      </c>
      <c r="F67" s="181">
        <f t="shared" si="25"/>
        <v>0</v>
      </c>
      <c r="G67" s="181">
        <f t="shared" si="25"/>
        <v>0</v>
      </c>
      <c r="H67" s="181">
        <f t="shared" si="25"/>
        <v>0</v>
      </c>
      <c r="I67" s="181" t="str">
        <f t="shared" si="25"/>
        <v/>
      </c>
      <c r="J67" s="181" t="str">
        <f t="shared" si="25"/>
        <v/>
      </c>
      <c r="K67" s="181">
        <f t="shared" si="25"/>
        <v>0</v>
      </c>
      <c r="L67" s="181">
        <f t="shared" si="25"/>
        <v>0</v>
      </c>
      <c r="M67" s="181">
        <f t="shared" si="25"/>
        <v>0</v>
      </c>
      <c r="N67" s="181">
        <f t="shared" si="25"/>
        <v>0</v>
      </c>
      <c r="O67" s="181">
        <f t="shared" ref="O67:S67" si="26">IF(O$9=0,"",+(O32*10)/O$9)</f>
        <v>0</v>
      </c>
      <c r="P67" s="181" t="str">
        <f t="shared" si="26"/>
        <v/>
      </c>
      <c r="Q67" s="181" t="str">
        <f t="shared" si="26"/>
        <v/>
      </c>
      <c r="R67" s="181">
        <f t="shared" si="26"/>
        <v>0</v>
      </c>
      <c r="S67" s="181">
        <f t="shared" si="26"/>
        <v>0.37233027557094522</v>
      </c>
      <c r="T67" s="181">
        <f t="shared" si="25"/>
        <v>0</v>
      </c>
      <c r="U67" s="181">
        <f t="shared" si="25"/>
        <v>0</v>
      </c>
      <c r="V67" s="181">
        <f t="shared" si="25"/>
        <v>0</v>
      </c>
      <c r="W67" s="181" t="str">
        <f t="shared" si="25"/>
        <v/>
      </c>
      <c r="X67" s="181" t="str">
        <f t="shared" si="25"/>
        <v/>
      </c>
      <c r="Y67" s="181">
        <f t="shared" ref="Y67:AF67" si="27">IF(Y$9=0,"",+(Y32*10)/Y$9)</f>
        <v>0</v>
      </c>
      <c r="Z67" s="181">
        <f t="shared" si="27"/>
        <v>0</v>
      </c>
      <c r="AA67" s="181">
        <f t="shared" si="27"/>
        <v>0</v>
      </c>
      <c r="AB67" s="181">
        <f t="shared" si="27"/>
        <v>0</v>
      </c>
      <c r="AC67" s="181">
        <f t="shared" si="27"/>
        <v>0</v>
      </c>
      <c r="AD67" s="181" t="str">
        <f t="shared" si="27"/>
        <v/>
      </c>
      <c r="AE67" s="181" t="str">
        <f t="shared" si="27"/>
        <v/>
      </c>
      <c r="AF67" s="181">
        <f t="shared" si="27"/>
        <v>7.2412436048799682</v>
      </c>
      <c r="AG67" s="351">
        <f>+(AG32*10)/AG$9</f>
        <v>0.20239961021183034</v>
      </c>
      <c r="AH67" s="351">
        <v>1</v>
      </c>
      <c r="AI67" s="352">
        <f>AH67-AG67</f>
        <v>0.79760038978816961</v>
      </c>
      <c r="AJ67" s="386"/>
      <c r="AK67" s="386"/>
    </row>
    <row r="68" spans="1:37" ht="18" x14ac:dyDescent="0.25">
      <c r="A68" s="152" t="s">
        <v>103</v>
      </c>
      <c r="B68" s="176" t="str">
        <f t="shared" ref="B68:X68" si="28">IF(B$9=0,"",+(B33*10)/B$9)</f>
        <v/>
      </c>
      <c r="C68" s="176" t="str">
        <f t="shared" si="28"/>
        <v/>
      </c>
      <c r="D68" s="176">
        <f t="shared" si="28"/>
        <v>0.58922558922558921</v>
      </c>
      <c r="E68" s="176">
        <f t="shared" si="28"/>
        <v>0.94343182761613642</v>
      </c>
      <c r="F68" s="176">
        <f t="shared" si="28"/>
        <v>2.0283152813273295</v>
      </c>
      <c r="G68" s="176">
        <f t="shared" si="28"/>
        <v>2.2147528596367803</v>
      </c>
      <c r="H68" s="176">
        <f t="shared" si="28"/>
        <v>0.63930443677279114</v>
      </c>
      <c r="I68" s="176" t="str">
        <f t="shared" si="28"/>
        <v/>
      </c>
      <c r="J68" s="176" t="str">
        <f t="shared" si="28"/>
        <v/>
      </c>
      <c r="K68" s="176">
        <f t="shared" si="28"/>
        <v>2.5836398668768608</v>
      </c>
      <c r="L68" s="176">
        <f t="shared" si="28"/>
        <v>1.0154454598899043</v>
      </c>
      <c r="M68" s="176">
        <f t="shared" si="28"/>
        <v>3.110281702657069</v>
      </c>
      <c r="N68" s="176">
        <f t="shared" si="28"/>
        <v>1.2755667953325347</v>
      </c>
      <c r="O68" s="176">
        <f t="shared" ref="O68:S68" si="29">IF(O$9=0,"",+(O33*10)/O$9)</f>
        <v>1.6883955837444207</v>
      </c>
      <c r="P68" s="176" t="str">
        <f t="shared" si="29"/>
        <v/>
      </c>
      <c r="Q68" s="176" t="str">
        <f t="shared" si="29"/>
        <v/>
      </c>
      <c r="R68" s="176">
        <f t="shared" si="29"/>
        <v>1.0544769135460741</v>
      </c>
      <c r="S68" s="176">
        <f t="shared" si="29"/>
        <v>0.37233027557094522</v>
      </c>
      <c r="T68" s="176">
        <f t="shared" si="28"/>
        <v>0.61826638106748666</v>
      </c>
      <c r="U68" s="176">
        <f t="shared" si="28"/>
        <v>1.6074886541207785</v>
      </c>
      <c r="V68" s="176">
        <f t="shared" si="28"/>
        <v>1.4544085690330748</v>
      </c>
      <c r="W68" s="176" t="str">
        <f t="shared" si="28"/>
        <v/>
      </c>
      <c r="X68" s="176" t="str">
        <f t="shared" si="28"/>
        <v/>
      </c>
      <c r="Y68" s="176">
        <f t="shared" ref="Y68:AF68" si="30">IF(Y$9=0,"",+(Y33*10)/Y$9)</f>
        <v>4.6003620930163525</v>
      </c>
      <c r="Z68" s="176">
        <f t="shared" si="30"/>
        <v>0.72180624795488224</v>
      </c>
      <c r="AA68" s="176">
        <f t="shared" si="30"/>
        <v>0.74663082838690398</v>
      </c>
      <c r="AB68" s="176">
        <f t="shared" si="30"/>
        <v>0.69048658776457761</v>
      </c>
      <c r="AC68" s="176">
        <f t="shared" si="30"/>
        <v>4.4550926659274515</v>
      </c>
      <c r="AD68" s="176" t="str">
        <f t="shared" si="30"/>
        <v/>
      </c>
      <c r="AE68" s="176" t="str">
        <f t="shared" si="30"/>
        <v/>
      </c>
      <c r="AF68" s="176">
        <f t="shared" si="30"/>
        <v>11.648957103502557</v>
      </c>
      <c r="AG68" s="343">
        <f>+(AG33*10)/AG$9</f>
        <v>1.547672207409259</v>
      </c>
      <c r="AH68" s="343">
        <v>0.7</v>
      </c>
      <c r="AI68" s="344">
        <f t="shared" si="16"/>
        <v>-0.84767220740925908</v>
      </c>
    </row>
    <row r="69" spans="1:37" ht="18" x14ac:dyDescent="0.25">
      <c r="A69" s="152" t="s">
        <v>132</v>
      </c>
      <c r="B69" s="176" t="str">
        <f t="shared" ref="B69:X69" si="31">IF(B$9=0,"",+(B34*10)/B$9)</f>
        <v/>
      </c>
      <c r="C69" s="176" t="str">
        <f t="shared" si="31"/>
        <v/>
      </c>
      <c r="D69" s="176">
        <f t="shared" si="31"/>
        <v>1.7676767676767675</v>
      </c>
      <c r="E69" s="176">
        <f t="shared" si="31"/>
        <v>1.7401075931586516</v>
      </c>
      <c r="F69" s="176">
        <f t="shared" si="31"/>
        <v>1.7385559554234251</v>
      </c>
      <c r="G69" s="176">
        <f t="shared" si="31"/>
        <v>1.5112431277521561</v>
      </c>
      <c r="H69" s="176">
        <f t="shared" si="31"/>
        <v>1.4612672840520942</v>
      </c>
      <c r="I69" s="176" t="str">
        <f t="shared" si="31"/>
        <v/>
      </c>
      <c r="J69" s="176" t="str">
        <f t="shared" si="31"/>
        <v/>
      </c>
      <c r="K69" s="176">
        <f t="shared" si="31"/>
        <v>1.7078297425118234</v>
      </c>
      <c r="L69" s="176">
        <f t="shared" si="31"/>
        <v>1.8705574261129816</v>
      </c>
      <c r="M69" s="176">
        <f t="shared" si="31"/>
        <v>3.0362273764033296</v>
      </c>
      <c r="N69" s="176">
        <f t="shared" si="31"/>
        <v>1.6360530635786856</v>
      </c>
      <c r="O69" s="176">
        <f t="shared" ref="O69:S69" si="32">IF(O$9=0,"",+(O34*10)/O$9)</f>
        <v>2.165550857411322</v>
      </c>
      <c r="P69" s="176" t="str">
        <f t="shared" si="32"/>
        <v/>
      </c>
      <c r="Q69" s="176" t="str">
        <f t="shared" si="32"/>
        <v/>
      </c>
      <c r="R69" s="176">
        <f t="shared" si="32"/>
        <v>3.8883836187011478</v>
      </c>
      <c r="S69" s="176">
        <f t="shared" si="32"/>
        <v>1.3729678911678604</v>
      </c>
      <c r="T69" s="176">
        <f t="shared" si="31"/>
        <v>1.455917607029888</v>
      </c>
      <c r="U69" s="176">
        <f t="shared" si="31"/>
        <v>2.8411427375157947</v>
      </c>
      <c r="V69" s="176">
        <f t="shared" si="31"/>
        <v>3.2510309190151085</v>
      </c>
      <c r="W69" s="176" t="str">
        <f t="shared" si="31"/>
        <v/>
      </c>
      <c r="X69" s="176" t="str">
        <f t="shared" si="31"/>
        <v/>
      </c>
      <c r="Y69" s="176">
        <f t="shared" ref="Y69:AF69" si="33">IF(Y$9=0,"",+(Y34*10)/Y$9)</f>
        <v>8.9039266316445538</v>
      </c>
      <c r="Z69" s="176">
        <f t="shared" si="33"/>
        <v>2.2937398546121814</v>
      </c>
      <c r="AA69" s="176">
        <f t="shared" si="33"/>
        <v>1.8326393060405826</v>
      </c>
      <c r="AB69" s="176">
        <f t="shared" si="33"/>
        <v>1.7728709685847264</v>
      </c>
      <c r="AC69" s="176">
        <f t="shared" si="33"/>
        <v>3.3550697854515374</v>
      </c>
      <c r="AD69" s="176" t="str">
        <f t="shared" si="33"/>
        <v/>
      </c>
      <c r="AE69" s="176" t="str">
        <f t="shared" si="33"/>
        <v/>
      </c>
      <c r="AF69" s="176">
        <f t="shared" si="33"/>
        <v>29.909484454938998</v>
      </c>
      <c r="AG69" s="343">
        <f>+(AG34*10)/AG$9</f>
        <v>2.8533779635126457</v>
      </c>
      <c r="AH69" s="343">
        <v>2.6</v>
      </c>
      <c r="AI69" s="344">
        <f t="shared" si="16"/>
        <v>-0.25337796351264563</v>
      </c>
    </row>
    <row r="70" spans="1:37" ht="18.75" x14ac:dyDescent="0.3">
      <c r="A70" s="200" t="s">
        <v>104</v>
      </c>
      <c r="B70" s="201" t="str">
        <f>IF(B$86=0,"",+(B34*10)/B$86)</f>
        <v/>
      </c>
      <c r="C70" s="201" t="str">
        <f t="shared" ref="C70:X70" si="34">IF(C$86=0,"",+(C34*10)/C$86)</f>
        <v/>
      </c>
      <c r="D70" s="201" t="str">
        <f t="shared" si="34"/>
        <v/>
      </c>
      <c r="E70" s="201" t="str">
        <f t="shared" si="34"/>
        <v/>
      </c>
      <c r="F70" s="201" t="str">
        <f t="shared" si="34"/>
        <v/>
      </c>
      <c r="G70" s="201" t="str">
        <f t="shared" si="34"/>
        <v/>
      </c>
      <c r="H70" s="201" t="str">
        <f t="shared" si="34"/>
        <v/>
      </c>
      <c r="I70" s="201" t="str">
        <f t="shared" si="34"/>
        <v/>
      </c>
      <c r="J70" s="201" t="str">
        <f t="shared" si="34"/>
        <v/>
      </c>
      <c r="K70" s="201" t="str">
        <f t="shared" si="34"/>
        <v/>
      </c>
      <c r="L70" s="201" t="str">
        <f t="shared" si="34"/>
        <v/>
      </c>
      <c r="M70" s="201" t="str">
        <f t="shared" si="34"/>
        <v/>
      </c>
      <c r="N70" s="201" t="str">
        <f t="shared" si="34"/>
        <v/>
      </c>
      <c r="O70" s="201" t="str">
        <f t="shared" ref="O70:S70" si="35">IF(O$86=0,"",+(O34*10)/O$86)</f>
        <v/>
      </c>
      <c r="P70" s="201" t="str">
        <f t="shared" si="35"/>
        <v/>
      </c>
      <c r="Q70" s="201" t="str">
        <f t="shared" si="35"/>
        <v/>
      </c>
      <c r="R70" s="201" t="str">
        <f t="shared" si="35"/>
        <v/>
      </c>
      <c r="S70" s="201" t="str">
        <f t="shared" si="35"/>
        <v/>
      </c>
      <c r="T70" s="201" t="str">
        <f t="shared" si="34"/>
        <v/>
      </c>
      <c r="U70" s="201" t="str">
        <f t="shared" si="34"/>
        <v/>
      </c>
      <c r="V70" s="201" t="str">
        <f t="shared" si="34"/>
        <v/>
      </c>
      <c r="W70" s="201" t="str">
        <f t="shared" si="34"/>
        <v/>
      </c>
      <c r="X70" s="201" t="str">
        <f t="shared" si="34"/>
        <v/>
      </c>
      <c r="Y70" s="201" t="str">
        <f t="shared" ref="Y70:AF70" si="36">IF(Y$86=0,"",+(Y34*10)/Y$86)</f>
        <v/>
      </c>
      <c r="Z70" s="201" t="str">
        <f t="shared" si="36"/>
        <v/>
      </c>
      <c r="AA70" s="201" t="str">
        <f t="shared" si="36"/>
        <v/>
      </c>
      <c r="AB70" s="201" t="str">
        <f t="shared" si="36"/>
        <v/>
      </c>
      <c r="AC70" s="201" t="str">
        <f t="shared" si="36"/>
        <v/>
      </c>
      <c r="AD70" s="201" t="str">
        <f t="shared" si="36"/>
        <v/>
      </c>
      <c r="AE70" s="201" t="str">
        <f t="shared" si="36"/>
        <v/>
      </c>
      <c r="AF70" s="201" t="str">
        <f t="shared" si="36"/>
        <v/>
      </c>
      <c r="AG70" s="353"/>
      <c r="AH70" s="353">
        <v>2.6</v>
      </c>
      <c r="AI70" s="354">
        <f t="shared" si="16"/>
        <v>2.6</v>
      </c>
    </row>
    <row r="71" spans="1:37" ht="18" x14ac:dyDescent="0.25">
      <c r="A71" s="152" t="s">
        <v>177</v>
      </c>
      <c r="B71" s="176" t="str">
        <f t="shared" ref="B71:X71" si="37">IF(B$9=0,"",+(B35*10)/B$9)</f>
        <v/>
      </c>
      <c r="C71" s="176" t="str">
        <f t="shared" si="37"/>
        <v/>
      </c>
      <c r="D71" s="176">
        <f t="shared" si="37"/>
        <v>5.6116722783389444E-2</v>
      </c>
      <c r="E71" s="176">
        <f t="shared" si="37"/>
        <v>0.46123333794566668</v>
      </c>
      <c r="F71" s="176">
        <f t="shared" si="37"/>
        <v>0.43463898885585628</v>
      </c>
      <c r="G71" s="176">
        <f t="shared" si="37"/>
        <v>0.59928606790171701</v>
      </c>
      <c r="H71" s="176">
        <f t="shared" si="37"/>
        <v>0.39575988943077545</v>
      </c>
      <c r="I71" s="176" t="str">
        <f t="shared" si="37"/>
        <v/>
      </c>
      <c r="J71" s="176" t="str">
        <f t="shared" si="37"/>
        <v/>
      </c>
      <c r="K71" s="176">
        <f t="shared" si="37"/>
        <v>0.61306708705552637</v>
      </c>
      <c r="L71" s="176">
        <f t="shared" si="37"/>
        <v>0.74822297044519259</v>
      </c>
      <c r="M71" s="176">
        <f t="shared" si="37"/>
        <v>0.59243461002991793</v>
      </c>
      <c r="N71" s="176">
        <f t="shared" si="37"/>
        <v>0.3882159811881627</v>
      </c>
      <c r="O71" s="176">
        <f t="shared" ref="O71:S71" si="38">IF(O$9=0,"",+(O35*10)/O$9)</f>
        <v>0.40374677002583975</v>
      </c>
      <c r="P71" s="176" t="str">
        <f t="shared" si="38"/>
        <v/>
      </c>
      <c r="Q71" s="176" t="str">
        <f t="shared" si="38"/>
        <v/>
      </c>
      <c r="R71" s="176">
        <f t="shared" si="38"/>
        <v>1.3840009490292222</v>
      </c>
      <c r="S71" s="176">
        <f t="shared" si="38"/>
        <v>0.44214220224049744</v>
      </c>
      <c r="T71" s="176">
        <f t="shared" si="37"/>
        <v>0.4786578434070865</v>
      </c>
      <c r="U71" s="176">
        <f t="shared" si="37"/>
        <v>0.8598195126692536</v>
      </c>
      <c r="V71" s="176">
        <f t="shared" si="37"/>
        <v>0.4277672261861985</v>
      </c>
      <c r="W71" s="176" t="str">
        <f t="shared" si="37"/>
        <v/>
      </c>
      <c r="X71" s="176" t="str">
        <f t="shared" si="37"/>
        <v/>
      </c>
      <c r="Y71" s="176">
        <f t="shared" ref="Y71:AF71" si="39">IF(Y$9=0,"",+(Y35*10)/Y$9)</f>
        <v>1.1871902175526072</v>
      </c>
      <c r="Z71" s="176">
        <f t="shared" si="39"/>
        <v>0.40100347108604567</v>
      </c>
      <c r="AA71" s="176">
        <f t="shared" si="39"/>
        <v>0.39028429665679071</v>
      </c>
      <c r="AB71" s="176">
        <f t="shared" si="39"/>
        <v>0.42922139239419688</v>
      </c>
      <c r="AC71" s="176">
        <f t="shared" si="39"/>
        <v>0.55001144023795689</v>
      </c>
      <c r="AD71" s="176" t="str">
        <f t="shared" si="39"/>
        <v/>
      </c>
      <c r="AE71" s="176" t="str">
        <f t="shared" si="39"/>
        <v/>
      </c>
      <c r="AF71" s="176">
        <f t="shared" si="39"/>
        <v>7.2412436048799682</v>
      </c>
      <c r="AG71" s="343">
        <f>+(AG35*10)/AG$9</f>
        <v>0.59045901324955008</v>
      </c>
      <c r="AH71" s="343">
        <v>0.7</v>
      </c>
      <c r="AI71" s="344">
        <f>AH71-AG71</f>
        <v>0.10954098675044988</v>
      </c>
    </row>
    <row r="72" spans="1:37" ht="18" x14ac:dyDescent="0.25">
      <c r="A72" s="140" t="s">
        <v>131</v>
      </c>
      <c r="B72" s="176" t="str">
        <f t="shared" ref="B72:X72" si="40">IF(B$9=0,"",+(B36*10)/B$9)</f>
        <v/>
      </c>
      <c r="C72" s="176" t="str">
        <f t="shared" si="40"/>
        <v/>
      </c>
      <c r="D72" s="176">
        <f t="shared" si="40"/>
        <v>0</v>
      </c>
      <c r="E72" s="176">
        <f t="shared" si="40"/>
        <v>0.16772121379842425</v>
      </c>
      <c r="F72" s="176">
        <f t="shared" si="40"/>
        <v>0</v>
      </c>
      <c r="G72" s="176">
        <f t="shared" si="40"/>
        <v>0</v>
      </c>
      <c r="H72" s="176">
        <f t="shared" si="40"/>
        <v>0</v>
      </c>
      <c r="I72" s="176" t="str">
        <f t="shared" si="40"/>
        <v/>
      </c>
      <c r="J72" s="176" t="str">
        <f t="shared" si="40"/>
        <v/>
      </c>
      <c r="K72" s="176">
        <f t="shared" si="40"/>
        <v>0.96339113680154131</v>
      </c>
      <c r="L72" s="176">
        <f t="shared" si="40"/>
        <v>0.16033349366682698</v>
      </c>
      <c r="M72" s="176">
        <f t="shared" si="40"/>
        <v>0.22216297876121924</v>
      </c>
      <c r="N72" s="176">
        <f t="shared" si="40"/>
        <v>0</v>
      </c>
      <c r="O72" s="176">
        <f t="shared" ref="O72:S72" si="41">IF(O$9=0,"",+(O36*10)/O$9)</f>
        <v>0</v>
      </c>
      <c r="P72" s="176" t="str">
        <f t="shared" si="41"/>
        <v/>
      </c>
      <c r="Q72" s="176" t="str">
        <f t="shared" si="41"/>
        <v/>
      </c>
      <c r="R72" s="176">
        <f t="shared" si="41"/>
        <v>0.32952403548314813</v>
      </c>
      <c r="S72" s="176">
        <f t="shared" si="41"/>
        <v>0</v>
      </c>
      <c r="T72" s="176">
        <f t="shared" si="40"/>
        <v>0</v>
      </c>
      <c r="U72" s="176">
        <f t="shared" si="40"/>
        <v>0</v>
      </c>
      <c r="V72" s="176">
        <f t="shared" si="40"/>
        <v>0</v>
      </c>
      <c r="W72" s="176" t="str">
        <f t="shared" si="40"/>
        <v/>
      </c>
      <c r="X72" s="176" t="str">
        <f t="shared" si="40"/>
        <v/>
      </c>
      <c r="Y72" s="176">
        <f t="shared" ref="Y72:AF72" si="42">IF(Y$9=0,"",+(Y36*10)/Y$9)</f>
        <v>0</v>
      </c>
      <c r="Z72" s="176">
        <f t="shared" si="42"/>
        <v>0</v>
      </c>
      <c r="AA72" s="176">
        <f t="shared" si="42"/>
        <v>0</v>
      </c>
      <c r="AB72" s="176">
        <f t="shared" si="42"/>
        <v>1.8661799669312907E-2</v>
      </c>
      <c r="AC72" s="176">
        <f t="shared" si="42"/>
        <v>0</v>
      </c>
      <c r="AD72" s="176" t="str">
        <f t="shared" si="42"/>
        <v/>
      </c>
      <c r="AE72" s="176" t="str">
        <f t="shared" si="42"/>
        <v/>
      </c>
      <c r="AF72" s="176">
        <f t="shared" si="42"/>
        <v>0.31483667847304209</v>
      </c>
      <c r="AG72" s="343">
        <f>+(AG36*10)/AG$9</f>
        <v>6.5437467963223334E-2</v>
      </c>
      <c r="AH72" s="343">
        <v>0.1</v>
      </c>
      <c r="AI72" s="344">
        <f>AH72-AG72</f>
        <v>3.4562532036776672E-2</v>
      </c>
    </row>
    <row r="73" spans="1:37" ht="18" x14ac:dyDescent="0.25">
      <c r="A73" s="152" t="s">
        <v>133</v>
      </c>
      <c r="B73" s="176" t="str">
        <f t="shared" ref="B73:X73" si="43">IF(B$9=0,"",+(B37*10)/B$9)</f>
        <v/>
      </c>
      <c r="C73" s="176" t="str">
        <f t="shared" si="43"/>
        <v/>
      </c>
      <c r="D73" s="176">
        <f t="shared" si="43"/>
        <v>0.25252525252525249</v>
      </c>
      <c r="E73" s="176">
        <f t="shared" si="43"/>
        <v>0.37737273104645458</v>
      </c>
      <c r="F73" s="176">
        <f t="shared" si="43"/>
        <v>0.43463898885585628</v>
      </c>
      <c r="G73" s="176">
        <f t="shared" si="43"/>
        <v>0.46900648792308292</v>
      </c>
      <c r="H73" s="176">
        <f t="shared" si="43"/>
        <v>0</v>
      </c>
      <c r="I73" s="176" t="str">
        <f t="shared" si="43"/>
        <v/>
      </c>
      <c r="J73" s="176" t="str">
        <f t="shared" si="43"/>
        <v/>
      </c>
      <c r="K73" s="176">
        <f t="shared" si="43"/>
        <v>1.1385531616745488</v>
      </c>
      <c r="L73" s="176">
        <f t="shared" si="43"/>
        <v>1.9240019240019239</v>
      </c>
      <c r="M73" s="176">
        <f t="shared" si="43"/>
        <v>2.81406439764211</v>
      </c>
      <c r="N73" s="176">
        <f t="shared" si="43"/>
        <v>1.6637827765206974</v>
      </c>
      <c r="O73" s="176">
        <f t="shared" ref="O73:S73" si="44">IF(O$9=0,"",+(O37*10)/O$9)</f>
        <v>2.202255109231853</v>
      </c>
      <c r="P73" s="176" t="str">
        <f t="shared" si="44"/>
        <v/>
      </c>
      <c r="Q73" s="176" t="str">
        <f t="shared" si="44"/>
        <v/>
      </c>
      <c r="R73" s="176">
        <f t="shared" si="44"/>
        <v>0.46133364967640739</v>
      </c>
      <c r="S73" s="176">
        <f t="shared" si="44"/>
        <v>0.30251834890139301</v>
      </c>
      <c r="T73" s="176">
        <f t="shared" si="43"/>
        <v>0.6382104578761153</v>
      </c>
      <c r="U73" s="176">
        <f t="shared" si="43"/>
        <v>1.1215037121772873</v>
      </c>
      <c r="V73" s="176">
        <f t="shared" si="43"/>
        <v>0.76998100713515727</v>
      </c>
      <c r="W73" s="176" t="str">
        <f t="shared" si="43"/>
        <v/>
      </c>
      <c r="X73" s="176" t="str">
        <f t="shared" si="43"/>
        <v/>
      </c>
      <c r="Y73" s="176">
        <f t="shared" ref="Y73:AF73" si="45">IF(Y$9=0,"",+(Y37*10)/Y$9)</f>
        <v>6.3811474193452637</v>
      </c>
      <c r="Z73" s="176">
        <f t="shared" si="45"/>
        <v>0.56140485952046393</v>
      </c>
      <c r="AA73" s="176">
        <f t="shared" si="45"/>
        <v>0.7635997108502427</v>
      </c>
      <c r="AB73" s="176">
        <f t="shared" si="45"/>
        <v>0.87710458445770667</v>
      </c>
      <c r="AC73" s="176">
        <f t="shared" si="45"/>
        <v>2.4200503370470106</v>
      </c>
      <c r="AD73" s="176" t="str">
        <f t="shared" si="45"/>
        <v/>
      </c>
      <c r="AE73" s="176" t="str">
        <f t="shared" si="45"/>
        <v/>
      </c>
      <c r="AF73" s="176">
        <f t="shared" si="45"/>
        <v>14.797323888232977</v>
      </c>
      <c r="AG73" s="343">
        <f>+(AG37*10)/AG$9</f>
        <v>1.1489601933077587</v>
      </c>
      <c r="AH73" s="343">
        <v>0.6</v>
      </c>
      <c r="AI73" s="344">
        <f t="shared" si="16"/>
        <v>-0.54896019330775869</v>
      </c>
    </row>
    <row r="74" spans="1:37" s="121" customFormat="1" ht="18" x14ac:dyDescent="0.25">
      <c r="A74" s="180" t="s">
        <v>174</v>
      </c>
      <c r="B74" s="181" t="str">
        <f t="shared" ref="B74:X74" si="46">IF(B$9=0,"",+(B38*10)/B$9)</f>
        <v/>
      </c>
      <c r="C74" s="181" t="str">
        <f t="shared" si="46"/>
        <v/>
      </c>
      <c r="D74" s="181">
        <f t="shared" si="46"/>
        <v>0</v>
      </c>
      <c r="E74" s="181">
        <f t="shared" si="46"/>
        <v>0</v>
      </c>
      <c r="F74" s="181">
        <f t="shared" si="46"/>
        <v>0</v>
      </c>
      <c r="G74" s="181">
        <f t="shared" si="46"/>
        <v>0</v>
      </c>
      <c r="H74" s="181">
        <f t="shared" si="46"/>
        <v>0</v>
      </c>
      <c r="I74" s="181" t="str">
        <f t="shared" si="46"/>
        <v/>
      </c>
      <c r="J74" s="181" t="str">
        <f t="shared" si="46"/>
        <v/>
      </c>
      <c r="K74" s="181">
        <f t="shared" si="46"/>
        <v>0</v>
      </c>
      <c r="L74" s="181">
        <f t="shared" si="46"/>
        <v>0</v>
      </c>
      <c r="M74" s="181">
        <f t="shared" si="46"/>
        <v>0</v>
      </c>
      <c r="N74" s="181">
        <f t="shared" si="46"/>
        <v>0</v>
      </c>
      <c r="O74" s="181">
        <f t="shared" ref="O74:S74" si="47">IF(O$9=0,"",+(O38*10)/O$9)</f>
        <v>0</v>
      </c>
      <c r="P74" s="181" t="str">
        <f t="shared" si="47"/>
        <v/>
      </c>
      <c r="Q74" s="181" t="str">
        <f t="shared" si="47"/>
        <v/>
      </c>
      <c r="R74" s="181">
        <f t="shared" si="47"/>
        <v>0</v>
      </c>
      <c r="S74" s="181">
        <f t="shared" si="47"/>
        <v>0</v>
      </c>
      <c r="T74" s="181">
        <f t="shared" si="46"/>
        <v>0</v>
      </c>
      <c r="U74" s="181">
        <f t="shared" si="46"/>
        <v>0</v>
      </c>
      <c r="V74" s="181">
        <f t="shared" si="46"/>
        <v>0</v>
      </c>
      <c r="W74" s="181" t="str">
        <f t="shared" si="46"/>
        <v/>
      </c>
      <c r="X74" s="181" t="str">
        <f t="shared" si="46"/>
        <v/>
      </c>
      <c r="Y74" s="181">
        <f t="shared" ref="Y74:AF74" si="48">IF(Y$9=0,"",+(Y38*10)/Y$9)</f>
        <v>0</v>
      </c>
      <c r="Z74" s="181">
        <f t="shared" si="48"/>
        <v>0</v>
      </c>
      <c r="AA74" s="181">
        <f t="shared" si="48"/>
        <v>0</v>
      </c>
      <c r="AB74" s="181">
        <f t="shared" si="48"/>
        <v>0</v>
      </c>
      <c r="AC74" s="181">
        <f t="shared" si="48"/>
        <v>0</v>
      </c>
      <c r="AD74" s="181" t="str">
        <f t="shared" si="48"/>
        <v/>
      </c>
      <c r="AE74" s="181" t="str">
        <f t="shared" si="48"/>
        <v/>
      </c>
      <c r="AF74" s="181">
        <f t="shared" si="48"/>
        <v>0</v>
      </c>
      <c r="AG74" s="351">
        <f>+(AG38*10)/AG$9</f>
        <v>0</v>
      </c>
      <c r="AH74" s="351">
        <v>0.5</v>
      </c>
      <c r="AI74" s="352">
        <f t="shared" si="16"/>
        <v>0.5</v>
      </c>
      <c r="AJ74" s="386"/>
      <c r="AK74" s="386"/>
    </row>
    <row r="75" spans="1:37" ht="18" x14ac:dyDescent="0.25">
      <c r="A75" s="152" t="s">
        <v>214</v>
      </c>
      <c r="B75" s="176" t="str">
        <f t="shared" ref="B75:X75" si="49">IF(B$9=0,"",+(B39*10)/B$9)</f>
        <v/>
      </c>
      <c r="C75" s="176" t="str">
        <f t="shared" si="49"/>
        <v/>
      </c>
      <c r="D75" s="176">
        <f t="shared" si="49"/>
        <v>0</v>
      </c>
      <c r="E75" s="176">
        <f t="shared" si="49"/>
        <v>0</v>
      </c>
      <c r="F75" s="176">
        <f t="shared" si="49"/>
        <v>0</v>
      </c>
      <c r="G75" s="176">
        <f t="shared" si="49"/>
        <v>0</v>
      </c>
      <c r="H75" s="176">
        <f t="shared" si="49"/>
        <v>0</v>
      </c>
      <c r="I75" s="176" t="str">
        <f t="shared" si="49"/>
        <v/>
      </c>
      <c r="J75" s="176" t="str">
        <f t="shared" si="49"/>
        <v/>
      </c>
      <c r="K75" s="176">
        <f t="shared" si="49"/>
        <v>0</v>
      </c>
      <c r="L75" s="176">
        <f t="shared" si="49"/>
        <v>0</v>
      </c>
      <c r="M75" s="176">
        <f t="shared" si="49"/>
        <v>0</v>
      </c>
      <c r="N75" s="176">
        <f t="shared" si="49"/>
        <v>0</v>
      </c>
      <c r="O75" s="176">
        <f t="shared" ref="O75:S75" si="50">IF(O$9=0,"",+(O39*10)/O$9)</f>
        <v>0</v>
      </c>
      <c r="P75" s="176" t="str">
        <f t="shared" si="50"/>
        <v/>
      </c>
      <c r="Q75" s="176" t="str">
        <f t="shared" si="50"/>
        <v/>
      </c>
      <c r="R75" s="176">
        <f t="shared" si="50"/>
        <v>0</v>
      </c>
      <c r="S75" s="176">
        <f t="shared" si="50"/>
        <v>0</v>
      </c>
      <c r="T75" s="176">
        <f t="shared" si="49"/>
        <v>0</v>
      </c>
      <c r="U75" s="176">
        <f t="shared" si="49"/>
        <v>0</v>
      </c>
      <c r="V75" s="176">
        <f t="shared" si="49"/>
        <v>0</v>
      </c>
      <c r="W75" s="176" t="str">
        <f t="shared" si="49"/>
        <v/>
      </c>
      <c r="X75" s="176" t="str">
        <f t="shared" si="49"/>
        <v/>
      </c>
      <c r="Y75" s="176">
        <f t="shared" ref="Y75:AF75" si="51">IF(Y$9=0,"",+(Y39*10)/Y$9)</f>
        <v>0</v>
      </c>
      <c r="Z75" s="176">
        <f t="shared" si="51"/>
        <v>0</v>
      </c>
      <c r="AA75" s="176">
        <f t="shared" si="51"/>
        <v>0</v>
      </c>
      <c r="AB75" s="176">
        <f t="shared" si="51"/>
        <v>0</v>
      </c>
      <c r="AC75" s="176">
        <f t="shared" si="51"/>
        <v>0</v>
      </c>
      <c r="AD75" s="176" t="str">
        <f t="shared" si="51"/>
        <v/>
      </c>
      <c r="AE75" s="176" t="str">
        <f t="shared" si="51"/>
        <v/>
      </c>
      <c r="AF75" s="176">
        <f t="shared" si="51"/>
        <v>0</v>
      </c>
      <c r="AG75" s="343">
        <f>+(AG39*10)/AG$9</f>
        <v>0</v>
      </c>
      <c r="AH75" s="343">
        <v>0.3</v>
      </c>
      <c r="AI75" s="344">
        <f t="shared" si="16"/>
        <v>0.3</v>
      </c>
    </row>
    <row r="76" spans="1:37" s="121" customFormat="1" ht="18" x14ac:dyDescent="0.25">
      <c r="A76" s="180" t="s">
        <v>200</v>
      </c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351"/>
      <c r="AH76" s="351">
        <v>0.4</v>
      </c>
      <c r="AI76" s="352">
        <f t="shared" si="16"/>
        <v>0.4</v>
      </c>
      <c r="AJ76" s="386"/>
      <c r="AK76" s="386"/>
    </row>
    <row r="77" spans="1:37" s="121" customFormat="1" ht="18" x14ac:dyDescent="0.25">
      <c r="A77" s="180" t="s">
        <v>213</v>
      </c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351"/>
      <c r="AH77" s="351">
        <v>0.2</v>
      </c>
      <c r="AI77" s="352">
        <f t="shared" si="16"/>
        <v>0.2</v>
      </c>
      <c r="AJ77" s="386"/>
      <c r="AK77" s="386"/>
    </row>
    <row r="78" spans="1:37" s="1" customFormat="1" ht="18" x14ac:dyDescent="0.25">
      <c r="A78" s="182" t="s">
        <v>209</v>
      </c>
      <c r="B78" s="183">
        <f t="shared" ref="B78:AH78" si="52">SUM(B62:B77)</f>
        <v>0</v>
      </c>
      <c r="C78" s="183">
        <f t="shared" si="52"/>
        <v>0</v>
      </c>
      <c r="D78" s="183">
        <f t="shared" si="52"/>
        <v>12.493545614564724</v>
      </c>
      <c r="E78" s="183">
        <f t="shared" si="52"/>
        <v>13.130943634719687</v>
      </c>
      <c r="F78" s="183">
        <f t="shared" si="52"/>
        <v>13.261430739486624</v>
      </c>
      <c r="G78" s="183">
        <f t="shared" si="52"/>
        <v>15.001508020219978</v>
      </c>
      <c r="H78" s="183">
        <f t="shared" si="52"/>
        <v>17.586027293495995</v>
      </c>
      <c r="I78" s="183">
        <f t="shared" si="52"/>
        <v>7.0717131474103585</v>
      </c>
      <c r="J78" s="183">
        <f t="shared" si="52"/>
        <v>0</v>
      </c>
      <c r="K78" s="183">
        <f t="shared" si="52"/>
        <v>19.850880537403498</v>
      </c>
      <c r="L78" s="183">
        <f t="shared" si="52"/>
        <v>18.441355091761594</v>
      </c>
      <c r="M78" s="183">
        <f t="shared" si="52"/>
        <v>29.328779891994184</v>
      </c>
      <c r="N78" s="183">
        <f>SUM(N62:N77)</f>
        <v>17.340698315571409</v>
      </c>
      <c r="O78" s="183">
        <f t="shared" si="52"/>
        <v>20.038639113473366</v>
      </c>
      <c r="P78" s="183">
        <f t="shared" si="52"/>
        <v>0</v>
      </c>
      <c r="Q78" s="183">
        <f t="shared" si="52"/>
        <v>2.1428571428571428</v>
      </c>
      <c r="R78" s="183">
        <f t="shared" si="52"/>
        <v>22.290592032201079</v>
      </c>
      <c r="S78" s="183">
        <f t="shared" si="52"/>
        <v>11.027704803580116</v>
      </c>
      <c r="T78" s="183">
        <f t="shared" si="52"/>
        <v>14.880820068220142</v>
      </c>
      <c r="U78" s="183">
        <f t="shared" si="52"/>
        <v>18.240121567711927</v>
      </c>
      <c r="V78" s="183">
        <f t="shared" si="52"/>
        <v>30.26966445938778</v>
      </c>
      <c r="W78" s="183">
        <f>SUM(W62:W77)</f>
        <v>0</v>
      </c>
      <c r="X78" s="183">
        <f>SUM(X62:X77)</f>
        <v>0</v>
      </c>
      <c r="Y78" s="183">
        <f t="shared" si="52"/>
        <v>46.860333331993225</v>
      </c>
      <c r="Z78" s="183">
        <f t="shared" si="52"/>
        <v>11.944309148968005</v>
      </c>
      <c r="AA78" s="183">
        <f t="shared" si="52"/>
        <v>14.921908244811226</v>
      </c>
      <c r="AB78" s="183">
        <f t="shared" si="52"/>
        <v>14.069213842028956</v>
      </c>
      <c r="AC78" s="183">
        <f t="shared" si="52"/>
        <v>19.415403840399875</v>
      </c>
      <c r="AD78" s="183">
        <f t="shared" ref="AD78:AF78" si="53">SUM(AD62:AD77)</f>
        <v>0</v>
      </c>
      <c r="AE78" s="183">
        <f t="shared" si="53"/>
        <v>0</v>
      </c>
      <c r="AF78" s="183">
        <f t="shared" si="53"/>
        <v>141.74987519545076</v>
      </c>
      <c r="AG78" s="355">
        <f>SUM(AG62:AG77)</f>
        <v>19.689792181174145</v>
      </c>
      <c r="AH78" s="355">
        <f t="shared" si="52"/>
        <v>15.599999999999998</v>
      </c>
      <c r="AI78" s="355">
        <f t="shared" si="16"/>
        <v>-4.0897921811741469</v>
      </c>
      <c r="AJ78" s="312"/>
      <c r="AK78" s="312"/>
    </row>
    <row r="79" spans="1:37" s="119" customFormat="1" ht="19.5" thickBot="1" x14ac:dyDescent="0.35">
      <c r="A79" s="184" t="s">
        <v>216</v>
      </c>
      <c r="B79" s="185">
        <f>SUM(B69:B72)</f>
        <v>0</v>
      </c>
      <c r="C79" s="185">
        <f t="shared" ref="C79:AI79" si="54">SUM(C69:C72)</f>
        <v>0</v>
      </c>
      <c r="D79" s="185">
        <f>SUM(D69:D72)</f>
        <v>1.8237934904601569</v>
      </c>
      <c r="E79" s="185">
        <f t="shared" si="54"/>
        <v>2.3690621449027423</v>
      </c>
      <c r="F79" s="185">
        <f t="shared" si="54"/>
        <v>2.1731949442792815</v>
      </c>
      <c r="G79" s="185">
        <f t="shared" si="54"/>
        <v>2.1105291956538732</v>
      </c>
      <c r="H79" s="185">
        <f t="shared" si="54"/>
        <v>1.8570271734828696</v>
      </c>
      <c r="I79" s="185">
        <f t="shared" si="54"/>
        <v>0</v>
      </c>
      <c r="J79" s="185">
        <f t="shared" si="54"/>
        <v>0</v>
      </c>
      <c r="K79" s="185">
        <f t="shared" si="54"/>
        <v>3.2842879663688911</v>
      </c>
      <c r="L79" s="185">
        <f t="shared" si="54"/>
        <v>2.779113890225001</v>
      </c>
      <c r="M79" s="185">
        <f>SUM(M69:M72)</f>
        <v>3.8508249651944668</v>
      </c>
      <c r="N79" s="185">
        <f t="shared" si="54"/>
        <v>2.0242690447668483</v>
      </c>
      <c r="O79" s="185">
        <f t="shared" si="54"/>
        <v>2.5692976274371619</v>
      </c>
      <c r="P79" s="185">
        <f t="shared" si="54"/>
        <v>0</v>
      </c>
      <c r="Q79" s="185">
        <f t="shared" si="54"/>
        <v>0</v>
      </c>
      <c r="R79" s="185">
        <f t="shared" si="54"/>
        <v>5.6019086032135181</v>
      </c>
      <c r="S79" s="185">
        <f t="shared" si="54"/>
        <v>1.8151100934083579</v>
      </c>
      <c r="T79" s="185">
        <f t="shared" si="54"/>
        <v>1.9345754504369745</v>
      </c>
      <c r="U79" s="185">
        <f t="shared" si="54"/>
        <v>3.7009622501850483</v>
      </c>
      <c r="V79" s="185">
        <f t="shared" si="54"/>
        <v>3.678798145201307</v>
      </c>
      <c r="W79" s="185">
        <f t="shared" si="54"/>
        <v>0</v>
      </c>
      <c r="X79" s="185">
        <f t="shared" si="54"/>
        <v>0</v>
      </c>
      <c r="Y79" s="185">
        <f t="shared" si="54"/>
        <v>10.09111684919716</v>
      </c>
      <c r="Z79" s="185">
        <f t="shared" si="54"/>
        <v>2.6947433256982269</v>
      </c>
      <c r="AA79" s="185">
        <f t="shared" si="54"/>
        <v>2.2229236026973731</v>
      </c>
      <c r="AB79" s="185">
        <f t="shared" si="54"/>
        <v>2.2207541606482359</v>
      </c>
      <c r="AC79" s="185">
        <f t="shared" si="54"/>
        <v>3.9050812256894942</v>
      </c>
      <c r="AD79" s="185">
        <f t="shared" ref="AD79:AF79" si="55">SUM(AD69:AD72)</f>
        <v>0</v>
      </c>
      <c r="AE79" s="185">
        <f t="shared" si="55"/>
        <v>0</v>
      </c>
      <c r="AF79" s="185">
        <f t="shared" si="55"/>
        <v>37.465564738292009</v>
      </c>
      <c r="AG79" s="356">
        <f t="shared" si="54"/>
        <v>3.5092744447254192</v>
      </c>
      <c r="AH79" s="356">
        <f t="shared" si="54"/>
        <v>6</v>
      </c>
      <c r="AI79" s="356">
        <f t="shared" si="54"/>
        <v>2.4907255552745808</v>
      </c>
      <c r="AJ79" s="387"/>
      <c r="AK79" s="387"/>
    </row>
    <row r="80" spans="1:37" s="106" customFormat="1" ht="20.25" x14ac:dyDescent="0.3">
      <c r="A80" s="168" t="s">
        <v>210</v>
      </c>
      <c r="B80" s="186" t="str">
        <f t="shared" ref="B80:W80" si="56">IF(B$9=0,"",+B47/B$9)</f>
        <v/>
      </c>
      <c r="C80" s="186" t="str">
        <f>IF(C$9=0,"",+C47/C$9)</f>
        <v/>
      </c>
      <c r="D80" s="186">
        <f t="shared" si="56"/>
        <v>0</v>
      </c>
      <c r="E80" s="186">
        <f t="shared" si="56"/>
        <v>0</v>
      </c>
      <c r="F80" s="186">
        <f t="shared" si="56"/>
        <v>0</v>
      </c>
      <c r="G80" s="186">
        <f t="shared" si="56"/>
        <v>0</v>
      </c>
      <c r="H80" s="186">
        <f t="shared" si="56"/>
        <v>0</v>
      </c>
      <c r="I80" s="186" t="str">
        <f t="shared" si="56"/>
        <v/>
      </c>
      <c r="J80" s="186" t="str">
        <f t="shared" si="56"/>
        <v/>
      </c>
      <c r="K80" s="186">
        <f t="shared" si="56"/>
        <v>0</v>
      </c>
      <c r="L80" s="186">
        <f t="shared" si="56"/>
        <v>0</v>
      </c>
      <c r="M80" s="186">
        <f t="shared" si="56"/>
        <v>0</v>
      </c>
      <c r="N80" s="186">
        <f t="shared" si="56"/>
        <v>0</v>
      </c>
      <c r="O80" s="186">
        <f t="shared" si="56"/>
        <v>0</v>
      </c>
      <c r="P80" s="186" t="str">
        <f t="shared" si="56"/>
        <v/>
      </c>
      <c r="Q80" s="186" t="str">
        <f t="shared" si="56"/>
        <v/>
      </c>
      <c r="R80" s="186">
        <f t="shared" si="56"/>
        <v>0</v>
      </c>
      <c r="S80" s="186">
        <f t="shared" si="56"/>
        <v>6.2574756938141685E-2</v>
      </c>
      <c r="T80" s="186">
        <f t="shared" si="56"/>
        <v>0.20941280649060035</v>
      </c>
      <c r="U80" s="186">
        <f t="shared" si="56"/>
        <v>0.49719997906526403</v>
      </c>
      <c r="V80" s="186">
        <f t="shared" si="56"/>
        <v>2.1559468199784404</v>
      </c>
      <c r="W80" s="186" t="str">
        <f t="shared" si="56"/>
        <v/>
      </c>
      <c r="X80" s="186" t="str">
        <f>IF(X$9=0,"",+X47/X$9)</f>
        <v/>
      </c>
      <c r="Y80" s="186">
        <f>IF(Y$9=0,"",+Y47/Y$9)</f>
        <v>0</v>
      </c>
      <c r="Z80" s="186">
        <f>IF(Z$9=0,"",+Z47/Z$9)</f>
        <v>0.23097799934556232</v>
      </c>
      <c r="AA80" s="186">
        <f t="shared" ref="AA80:AF80" si="57">IF(AA$9=0,"",+AA47/AA$9)</f>
        <v>0</v>
      </c>
      <c r="AB80" s="186">
        <f t="shared" si="57"/>
        <v>0</v>
      </c>
      <c r="AC80" s="186">
        <f t="shared" si="57"/>
        <v>0.16500343207138707</v>
      </c>
      <c r="AD80" s="186" t="str">
        <f t="shared" si="57"/>
        <v/>
      </c>
      <c r="AE80" s="186" t="str">
        <f t="shared" si="57"/>
        <v/>
      </c>
      <c r="AF80" s="186">
        <f t="shared" si="57"/>
        <v>1.9205037386855568</v>
      </c>
      <c r="AG80" s="357">
        <f>+(AG47)/AG$9</f>
        <v>0.15033725633997372</v>
      </c>
      <c r="AH80" s="358">
        <f>'Daily KPIs'!AI90</f>
        <v>5</v>
      </c>
      <c r="AI80" s="388">
        <f>AH80-AG80</f>
        <v>4.8496627436600264</v>
      </c>
      <c r="AJ80" s="372"/>
      <c r="AK80" s="372"/>
    </row>
    <row r="81" spans="1:37" s="1" customFormat="1" ht="20.25" x14ac:dyDescent="0.3">
      <c r="A81" s="187" t="s">
        <v>211</v>
      </c>
      <c r="B81" s="188" t="str">
        <f t="shared" ref="B81:Z81" si="58">IF(B$9=0,"",+B49/B$9)</f>
        <v/>
      </c>
      <c r="C81" s="188" t="str">
        <f>IF(C$9=0,"",+C49/C$9)</f>
        <v/>
      </c>
      <c r="D81" s="188">
        <f>IF(D$9=0,"",+D49/D$9)</f>
        <v>0</v>
      </c>
      <c r="E81" s="188">
        <f t="shared" si="58"/>
        <v>0.29743260751978062</v>
      </c>
      <c r="F81" s="188">
        <f t="shared" si="58"/>
        <v>8.3914300781770756E-2</v>
      </c>
      <c r="G81" s="188">
        <f t="shared" si="58"/>
        <v>9.1325985565022416E-2</v>
      </c>
      <c r="H81" s="188">
        <f t="shared" si="58"/>
        <v>0.11467903872967185</v>
      </c>
      <c r="I81" s="188" t="str">
        <f t="shared" si="58"/>
        <v/>
      </c>
      <c r="J81" s="188" t="str">
        <f t="shared" si="58"/>
        <v/>
      </c>
      <c r="K81" s="188">
        <f t="shared" si="58"/>
        <v>8.8194079523559232E-2</v>
      </c>
      <c r="L81" s="188">
        <f t="shared" si="58"/>
        <v>0.13623002511891405</v>
      </c>
      <c r="M81" s="188">
        <f t="shared" si="58"/>
        <v>0.1239669421487604</v>
      </c>
      <c r="N81" s="188">
        <f t="shared" si="58"/>
        <v>9.1757620125116235E-2</v>
      </c>
      <c r="O81" s="188">
        <f t="shared" ref="O81:S81" si="59">IF(O$9=0,"",+O49/O$9)</f>
        <v>8.7613049095607659E-2</v>
      </c>
      <c r="P81" s="188" t="str">
        <f t="shared" si="59"/>
        <v/>
      </c>
      <c r="Q81" s="188" t="str">
        <f t="shared" si="59"/>
        <v/>
      </c>
      <c r="R81" s="188">
        <f t="shared" si="59"/>
        <v>0.17721802628283623</v>
      </c>
      <c r="S81" s="188">
        <f t="shared" si="59"/>
        <v>7.1371059698505726E-2</v>
      </c>
      <c r="T81" s="188">
        <f t="shared" si="58"/>
        <v>9.156325662841408E-2</v>
      </c>
      <c r="U81" s="188">
        <f t="shared" si="58"/>
        <v>0.1198139799176067</v>
      </c>
      <c r="V81" s="188">
        <f>IF(V$9=0,"",+V49/V$9)</f>
        <v>5.432643772564643E-2</v>
      </c>
      <c r="W81" s="188" t="str">
        <f t="shared" si="58"/>
        <v/>
      </c>
      <c r="X81" s="188" t="str">
        <f t="shared" si="58"/>
        <v/>
      </c>
      <c r="Y81" s="188">
        <f t="shared" si="58"/>
        <v>0.22927611076484794</v>
      </c>
      <c r="Z81" s="188">
        <f t="shared" si="58"/>
        <v>8.9664376134839963E-2</v>
      </c>
      <c r="AA81" s="188">
        <f t="shared" ref="AA81:AF81" si="60">IF(AA$9=0,"",+AA49/AA$9)</f>
        <v>8.3062679658043148E-2</v>
      </c>
      <c r="AB81" s="188">
        <f t="shared" si="60"/>
        <v>8.8102356238825882E-2</v>
      </c>
      <c r="AC81" s="188">
        <f t="shared" si="60"/>
        <v>7.8321629089885117E-2</v>
      </c>
      <c r="AD81" s="188" t="str">
        <f t="shared" si="60"/>
        <v/>
      </c>
      <c r="AE81" s="188" t="str">
        <f t="shared" si="60"/>
        <v/>
      </c>
      <c r="AF81" s="188">
        <f t="shared" si="60"/>
        <v>1.3242030696576204</v>
      </c>
      <c r="AG81" s="389">
        <f>IF(AG$9=0,"",+AG49/AG$9)</f>
        <v>0.11162718953577579</v>
      </c>
      <c r="AH81" s="389">
        <f>'Daily KPIs'!AI91</f>
        <v>1.7</v>
      </c>
      <c r="AI81" s="388">
        <f>AH81-AG81</f>
        <v>1.5883728104642241</v>
      </c>
      <c r="AJ81" s="312"/>
      <c r="AK81" s="312"/>
    </row>
    <row r="82" spans="1:37" s="106" customFormat="1" ht="20.25" x14ac:dyDescent="0.3">
      <c r="A82" s="168" t="s">
        <v>202</v>
      </c>
      <c r="B82" s="175" t="str">
        <f>IF(B$9=0,"",B52/B$9)</f>
        <v/>
      </c>
      <c r="C82" s="175" t="str">
        <f t="shared" ref="C82:Y82" si="61">IF(C$9=0,"",C52/C$9)</f>
        <v/>
      </c>
      <c r="D82" s="175">
        <f t="shared" si="61"/>
        <v>22.300785634118967</v>
      </c>
      <c r="E82" s="175">
        <f t="shared" si="61"/>
        <v>17.918915179189149</v>
      </c>
      <c r="F82" s="175">
        <f t="shared" si="61"/>
        <v>23.879066047740743</v>
      </c>
      <c r="G82" s="175">
        <f t="shared" si="61"/>
        <v>21.01670184215326</v>
      </c>
      <c r="H82" s="175">
        <f t="shared" si="61"/>
        <v>22.36956667336414</v>
      </c>
      <c r="I82" s="175" t="str">
        <f t="shared" si="61"/>
        <v/>
      </c>
      <c r="J82" s="175" t="str">
        <f t="shared" si="61"/>
        <v/>
      </c>
      <c r="K82" s="175">
        <f t="shared" si="61"/>
        <v>35.032404974601505</v>
      </c>
      <c r="L82" s="175">
        <f t="shared" si="61"/>
        <v>44.562022339800116</v>
      </c>
      <c r="M82" s="175">
        <f t="shared" si="61"/>
        <v>62.761041500044435</v>
      </c>
      <c r="N82" s="175">
        <f>IF(N$9=0,"",N52/N$9)</f>
        <v>21.742867917831312</v>
      </c>
      <c r="O82" s="175">
        <f t="shared" ref="O82:S82" si="62">IF(O$9=0,"",O52/O$9)</f>
        <v>28.185194972985666</v>
      </c>
      <c r="P82" s="175" t="str">
        <f t="shared" si="62"/>
        <v/>
      </c>
      <c r="Q82" s="175" t="str">
        <f t="shared" si="62"/>
        <v/>
      </c>
      <c r="R82" s="175">
        <f t="shared" si="62"/>
        <v>54.839389985105512</v>
      </c>
      <c r="S82" s="175">
        <f t="shared" si="62"/>
        <v>16.638509189576613</v>
      </c>
      <c r="T82" s="175">
        <f t="shared" si="61"/>
        <v>14.260014918169452</v>
      </c>
      <c r="U82" s="175">
        <f t="shared" si="61"/>
        <v>26.729171806892015</v>
      </c>
      <c r="V82" s="175">
        <f t="shared" si="61"/>
        <v>61.170713344626385</v>
      </c>
      <c r="W82" s="175" t="str">
        <f t="shared" si="61"/>
        <v/>
      </c>
      <c r="X82" s="175" t="str">
        <f t="shared" si="61"/>
        <v/>
      </c>
      <c r="Y82" s="175">
        <f t="shared" si="61"/>
        <v>106.10512569376426</v>
      </c>
      <c r="Z82" s="175">
        <f>IF(Z$9=0,"",Z52/Z$9)</f>
        <v>11.468699273060906</v>
      </c>
      <c r="AA82" s="175">
        <f t="shared" ref="AA82:AF82" si="63">IF(AA$9=0,"",AA52/AA$9)</f>
        <v>12.13275096128719</v>
      </c>
      <c r="AB82" s="175">
        <f t="shared" si="63"/>
        <v>13.34318676355873</v>
      </c>
      <c r="AC82" s="175">
        <f t="shared" si="63"/>
        <v>39.325817977013919</v>
      </c>
      <c r="AD82" s="175" t="str">
        <f t="shared" si="63"/>
        <v/>
      </c>
      <c r="AE82" s="175" t="str">
        <f t="shared" si="63"/>
        <v/>
      </c>
      <c r="AF82" s="175">
        <f t="shared" si="63"/>
        <v>225.1082251082251</v>
      </c>
      <c r="AG82" s="340">
        <f>+(AG52)/AG$9</f>
        <v>29.728698236166526</v>
      </c>
      <c r="AH82" s="341">
        <f>'Daily KPIs'!AI92</f>
        <v>22</v>
      </c>
      <c r="AI82" s="388">
        <f>AH82-AG82</f>
        <v>-7.728698236166526</v>
      </c>
      <c r="AJ82" s="372"/>
      <c r="AK82" s="372"/>
    </row>
    <row r="83" spans="1:37" s="1" customFormat="1" ht="20.25" x14ac:dyDescent="0.3">
      <c r="A83" s="136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359"/>
      <c r="AH83" s="359">
        <f>SUM(AH62:AH78)</f>
        <v>31.199999999999996</v>
      </c>
      <c r="AI83" s="388">
        <f>AH83-AG83</f>
        <v>31.199999999999996</v>
      </c>
      <c r="AJ83" s="312"/>
      <c r="AK83" s="312"/>
    </row>
    <row r="84" spans="1:37" s="106" customFormat="1" ht="20.25" x14ac:dyDescent="0.3">
      <c r="A84" s="168" t="s">
        <v>203</v>
      </c>
      <c r="B84" s="175" t="str">
        <f>IF(B$9=0,"",B54/B$9)</f>
        <v/>
      </c>
      <c r="C84" s="175" t="str">
        <f t="shared" ref="C84:Z84" si="64">IF(C$9=0,"",C54/C$9)</f>
        <v/>
      </c>
      <c r="D84" s="175">
        <f t="shared" si="64"/>
        <v>6.9584736251402912</v>
      </c>
      <c r="E84" s="175">
        <f t="shared" si="64"/>
        <v>6.8556046140105913</v>
      </c>
      <c r="F84" s="175">
        <f t="shared" si="64"/>
        <v>8.8086835074786869</v>
      </c>
      <c r="G84" s="175">
        <f>IF(G$9=0,"",G54/G$9)</f>
        <v>7.0872091508376975</v>
      </c>
      <c r="H84" s="175">
        <f t="shared" si="64"/>
        <v>7.2454502834249661</v>
      </c>
      <c r="I84" s="175" t="str">
        <f t="shared" si="64"/>
        <v/>
      </c>
      <c r="J84" s="175" t="str">
        <f t="shared" si="64"/>
        <v/>
      </c>
      <c r="K84" s="175">
        <f t="shared" si="64"/>
        <v>13.575056927658084</v>
      </c>
      <c r="L84" s="175">
        <f t="shared" si="64"/>
        <v>16.247127358238469</v>
      </c>
      <c r="M84" s="175">
        <f t="shared" si="64"/>
        <v>20.735211351047127</v>
      </c>
      <c r="N84" s="175">
        <f>IF(N$9=0,"",N54/N$9)</f>
        <v>8.3466435955454976</v>
      </c>
      <c r="O84" s="175">
        <f t="shared" ref="O84:S84" si="65">IF(O$9=0,"",O54/O$9)</f>
        <v>8.8457246887479428</v>
      </c>
      <c r="P84" s="175" t="str">
        <f t="shared" si="65"/>
        <v/>
      </c>
      <c r="Q84" s="175" t="str">
        <f t="shared" si="65"/>
        <v/>
      </c>
      <c r="R84" s="175">
        <f t="shared" si="65"/>
        <v>16.542106581254036</v>
      </c>
      <c r="S84" s="175">
        <f t="shared" si="65"/>
        <v>5.7943899135728349</v>
      </c>
      <c r="T84" s="175">
        <f t="shared" si="64"/>
        <v>4.9660751253485227</v>
      </c>
      <c r="U84" s="175">
        <f t="shared" si="64"/>
        <v>9.308480811071485</v>
      </c>
      <c r="V84" s="175">
        <f t="shared" si="64"/>
        <v>21.302807864072683</v>
      </c>
      <c r="W84" s="175" t="str">
        <f t="shared" si="64"/>
        <v/>
      </c>
      <c r="X84" s="175" t="str">
        <f t="shared" si="64"/>
        <v/>
      </c>
      <c r="Y84" s="175">
        <f t="shared" si="64"/>
        <v>36.951295521324901</v>
      </c>
      <c r="Z84" s="175">
        <f t="shared" si="64"/>
        <v>3.9939945720170154</v>
      </c>
      <c r="AA84" s="175">
        <f t="shared" ref="AA84:AF84" si="66">IF(AA$9=0,"",AA54/AA$9)</f>
        <v>4.2252517333713433</v>
      </c>
      <c r="AB84" s="175">
        <f t="shared" si="66"/>
        <v>4.6467881176589145</v>
      </c>
      <c r="AC84" s="175">
        <f t="shared" si="66"/>
        <v>13.695284861925128</v>
      </c>
      <c r="AD84" s="175" t="str">
        <f t="shared" si="66"/>
        <v/>
      </c>
      <c r="AE84" s="175" t="str">
        <f t="shared" si="66"/>
        <v/>
      </c>
      <c r="AF84" s="175">
        <f t="shared" si="66"/>
        <v>78.394332939787475</v>
      </c>
      <c r="AG84" s="357">
        <f>+(AG54)/AG$9</f>
        <v>10.498909104145996</v>
      </c>
      <c r="AH84" s="358">
        <f>'Daily KPIs'!AI94</f>
        <v>7.2</v>
      </c>
      <c r="AI84" s="388">
        <f>AH84-AG84</f>
        <v>-3.2989091041459959</v>
      </c>
      <c r="AJ84" s="372"/>
      <c r="AK84" s="372"/>
    </row>
    <row r="85" spans="1:37" s="1" customFormat="1" ht="18" x14ac:dyDescent="0.25">
      <c r="A85" s="136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312"/>
      <c r="AH85" s="312"/>
      <c r="AI85" s="312"/>
      <c r="AJ85" s="312"/>
      <c r="AK85" s="312"/>
    </row>
    <row r="86" spans="1:37" ht="18.75" x14ac:dyDescent="0.3">
      <c r="A86" s="202" t="s">
        <v>230</v>
      </c>
      <c r="B86" s="203">
        <f>'Daily KPIs'!B97</f>
        <v>0</v>
      </c>
      <c r="C86" s="203">
        <f>'Daily KPIs'!C97</f>
        <v>0</v>
      </c>
      <c r="D86" s="203">
        <f>'Daily KPIs'!D97</f>
        <v>0</v>
      </c>
      <c r="E86" s="203">
        <f>'Daily KPIs'!E97</f>
        <v>0</v>
      </c>
      <c r="F86" s="203">
        <f>'Daily KPIs'!F97</f>
        <v>0</v>
      </c>
      <c r="G86" s="203">
        <f>'Daily KPIs'!G97</f>
        <v>0</v>
      </c>
      <c r="H86" s="203">
        <f>'Daily KPIs'!H97</f>
        <v>0</v>
      </c>
      <c r="I86" s="203">
        <f>'Daily KPIs'!I97</f>
        <v>0</v>
      </c>
      <c r="J86" s="203">
        <f>'Daily KPIs'!J97</f>
        <v>0</v>
      </c>
      <c r="K86" s="203">
        <f>'Daily KPIs'!K97</f>
        <v>0</v>
      </c>
      <c r="L86" s="203">
        <f>'Daily KPIs'!L97</f>
        <v>0</v>
      </c>
      <c r="M86" s="203">
        <f>'Daily KPIs'!M97</f>
        <v>0</v>
      </c>
      <c r="N86" s="203">
        <f>'Daily KPIs'!N97</f>
        <v>0</v>
      </c>
      <c r="O86" s="203">
        <f>'Daily KPIs'!O97</f>
        <v>0</v>
      </c>
      <c r="P86" s="203">
        <f>'Daily KPIs'!P97</f>
        <v>0</v>
      </c>
      <c r="Q86" s="203">
        <f>'Daily KPIs'!Q97</f>
        <v>0</v>
      </c>
      <c r="R86" s="203">
        <f>'Daily KPIs'!R97</f>
        <v>0</v>
      </c>
      <c r="S86" s="203">
        <f>'Daily KPIs'!S97</f>
        <v>0</v>
      </c>
      <c r="T86" s="203">
        <f>'Daily KPIs'!T97</f>
        <v>0</v>
      </c>
      <c r="U86" s="203">
        <f>'Daily KPIs'!U97</f>
        <v>0</v>
      </c>
      <c r="V86" s="203">
        <f>'Daily KPIs'!V97</f>
        <v>0</v>
      </c>
      <c r="W86" s="203">
        <f>'Daily KPIs'!W97</f>
        <v>0</v>
      </c>
      <c r="X86" s="203">
        <f>'Daily KPIs'!X97</f>
        <v>0</v>
      </c>
      <c r="Y86" s="203">
        <f>'Daily KPIs'!Y97</f>
        <v>0</v>
      </c>
      <c r="Z86" s="203">
        <f>'Daily KPIs'!Z97</f>
        <v>0</v>
      </c>
      <c r="AA86" s="203">
        <f>'Daily KPIs'!AA97</f>
        <v>0</v>
      </c>
      <c r="AB86" s="203">
        <f>'Daily KPIs'!AB97</f>
        <v>0</v>
      </c>
      <c r="AC86" s="203">
        <f>'Daily KPIs'!AC97</f>
        <v>0</v>
      </c>
      <c r="AD86" s="203">
        <f>'Daily KPIs'!AD97</f>
        <v>0</v>
      </c>
      <c r="AE86" s="203">
        <f>'Daily KPIs'!AE97</f>
        <v>0</v>
      </c>
      <c r="AF86" s="203">
        <f>'Daily KPIs'!AF97</f>
        <v>0</v>
      </c>
      <c r="AG86" s="360">
        <f>SUM($B86:AF86)</f>
        <v>0</v>
      </c>
      <c r="AH86" s="360"/>
      <c r="AI86" s="390" t="s">
        <v>199</v>
      </c>
    </row>
    <row r="87" spans="1:37" ht="18" x14ac:dyDescent="0.25">
      <c r="A87" s="136" t="s">
        <v>217</v>
      </c>
      <c r="B87" s="190">
        <f>IF('Entries March.''25'!L8-'Entries March.''25'!L7&lt;1,0,'Entries March.''25'!L8-'Entries March.''25'!L7)</f>
        <v>0</v>
      </c>
      <c r="C87" s="190">
        <f>IF('Entries March.''25'!L9-'Entries March.''25'!L8&lt;1,0,'Entries March.''25'!L9-'Entries March.''25'!L8)</f>
        <v>0</v>
      </c>
      <c r="D87" s="190">
        <f>IF('Entries March.''25'!L10-'Entries March.''25'!L9&lt;1,0,'Entries March.''25'!L10-'Entries March.''25'!L9)</f>
        <v>0</v>
      </c>
      <c r="E87" s="190">
        <f>IF('Entries March.''25'!L11-'Entries March.''25'!L10&lt;1,0,'Entries March.''25'!L11-'Entries March.''25'!L10)</f>
        <v>0</v>
      </c>
      <c r="F87" s="190">
        <f>IF('Entries March.''25'!L12-'Entries March.''25'!L11&lt;1,0,'Entries March.''25'!L12-'Entries March.''25'!L11)</f>
        <v>0</v>
      </c>
      <c r="G87" s="190">
        <f>IF('Entries March.''25'!L13-'Entries March.''25'!L12&lt;1,0,'Entries March.''25'!L13-'Entries March.''25'!L12)</f>
        <v>0</v>
      </c>
      <c r="H87" s="190">
        <f>IF('Entries March.''25'!L14-'Entries March.''25'!L13&lt;1,0,'Entries March.''25'!L14-'Entries March.''25'!L13)</f>
        <v>0</v>
      </c>
      <c r="I87" s="190">
        <f>IF('Entries March.''25'!L15-'Entries March.''25'!L14&lt;1,0,'Entries March.''25'!L15-'Entries March.''25'!L14)</f>
        <v>0</v>
      </c>
      <c r="J87" s="190">
        <f>IF('Entries March.''25'!L16-'Entries March.''25'!L15&lt;1,0,'Entries March.''25'!L16-'Entries March.''25'!L15)</f>
        <v>0</v>
      </c>
      <c r="K87" s="190">
        <f>IF('Entries March.''25'!L17-'Entries March.''25'!L16&lt;1,0,'Entries March.''25'!L17-'Entries March.''25'!L16)</f>
        <v>0</v>
      </c>
      <c r="L87" s="190">
        <f>IF('Entries March.''25'!L18-'Entries March.''25'!L17&lt;1,0,'Entries March.''25'!L18-'Entries March.''25'!L17)</f>
        <v>0</v>
      </c>
      <c r="M87" s="190">
        <f>IF('Entries March.''25'!L19-'Entries March.''25'!L18&lt;1,0,'Entries March.''25'!L19-'Entries March.''25'!L18)</f>
        <v>0</v>
      </c>
      <c r="N87" s="150">
        <f>IF('Entries March.''25'!L20-'Entries March.''25'!L19&lt;1,0,'Entries March.''25'!L20-'Entries March.''25'!L19)</f>
        <v>0</v>
      </c>
      <c r="O87" s="150">
        <f>IF('Entries March.''25'!L21-'Entries March.''25'!L20&lt;1,0,'Entries March.''25'!L21-'Entries March.''25'!L20)</f>
        <v>0</v>
      </c>
      <c r="P87" s="150">
        <f>IF('Entries March.''25'!L22-'Entries March.''25'!L21&lt;1,0,'Entries March.''25'!L22-'Entries March.''25'!L21)</f>
        <v>0</v>
      </c>
      <c r="Q87" s="150">
        <f>IF('Entries March.''25'!L23-'Entries March.''25'!L22&lt;1,0,'Entries March.''25'!L23-'Entries March.''25'!L22)</f>
        <v>0</v>
      </c>
      <c r="R87" s="150">
        <f>IF('Entries March.''25'!L24-'Entries March.''25'!L23&lt;1,0,'Entries March.''25'!L24-'Entries March.''25'!L23)</f>
        <v>0</v>
      </c>
      <c r="S87" s="150">
        <f>IF('Entries March.''25'!L25-'Entries March.''25'!L24&lt;1,0,'Entries March.''25'!L25-'Entries March.''25'!L24)</f>
        <v>0</v>
      </c>
      <c r="T87" s="150">
        <f>IF('Entries March.''25'!L26-'Entries March.''25'!L25&lt;1,0,'Entries March.''25'!L26-'Entries March.''25'!L25)</f>
        <v>0</v>
      </c>
      <c r="U87" s="150">
        <f>IF('Entries March.''25'!L27-'Entries March.''25'!L26&lt;1,0,'Entries March.''25'!L27-'Entries March.''25'!L26)</f>
        <v>0</v>
      </c>
      <c r="V87" s="150">
        <f>IF('Entries March.''25'!L28-'Entries March.''25'!L27&lt;1,0,'Entries March.''25'!L28-'Entries March.''25'!L27)</f>
        <v>0</v>
      </c>
      <c r="W87" s="150">
        <f>IF('Entries March.''25'!L29-'Entries March.''25'!L28&lt;1,0,'Entries March.''25'!L29-'Entries March.''25'!L28)</f>
        <v>0</v>
      </c>
      <c r="X87" s="150">
        <f>IF('Entries March.''25'!L30-'Entries March.''25'!L29&lt;1,0,'Entries March.''25'!L30-'Entries March.''25'!L29)</f>
        <v>0</v>
      </c>
      <c r="Y87" s="150">
        <f>IF('Entries March.''25'!L31-'Entries March.''25'!L30&lt;1,0,'Entries March.''25'!L31-'Entries March.''25'!L30)</f>
        <v>0</v>
      </c>
      <c r="Z87" s="150">
        <f>IF('Entries March.''25'!L32-'Entries March.''25'!L31&lt;1,0,'Entries March.''25'!L32-'Entries March.''25'!L31)</f>
        <v>0</v>
      </c>
      <c r="AA87" s="150">
        <f>IF('Entries March.''25'!L33-'Entries March.''25'!L32&lt;1,0,'Entries March.''25'!L33-'Entries March.''25'!L32)</f>
        <v>0</v>
      </c>
      <c r="AB87" s="150">
        <f>IF('Entries March.''25'!L34-'Entries March.''25'!L33&lt;1,0,'Entries March.''25'!L34-'Entries March.''25'!L33)</f>
        <v>0</v>
      </c>
      <c r="AC87" s="150">
        <f>IF('Entries March.''25'!L35-'Entries March.''25'!L34&lt;1,0,'Entries March.''25'!L35-'Entries March.''25'!L34)</f>
        <v>0</v>
      </c>
      <c r="AD87" s="150">
        <f>IF('Entries March.''25'!L36-'Entries March.''25'!L35&lt;1,0,'Entries March.''25'!L36-'Entries March.''25'!L35)</f>
        <v>0</v>
      </c>
      <c r="AE87" s="150">
        <f>IF('Entries March.''25'!L37-'Entries March.''25'!L36&lt;1,0,'Entries March.''25'!L37-'Entries March.''25'!L36)</f>
        <v>0</v>
      </c>
      <c r="AF87" s="150">
        <f>IF('Entries March.''25'!L38-'Entries March.''25'!L37&lt;1,0,'Entries March.''25'!L38-'Entries March.''25'!L37)</f>
        <v>0</v>
      </c>
      <c r="AG87" s="322">
        <f>SUM($B87:AF87)</f>
        <v>0</v>
      </c>
      <c r="AH87" s="322"/>
      <c r="AI87" s="373"/>
    </row>
    <row r="88" spans="1:37" ht="18" x14ac:dyDescent="0.25">
      <c r="A88" s="136" t="s">
        <v>218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313">
        <f>SUM(B88:AF88)</f>
        <v>0</v>
      </c>
      <c r="AH88" s="313"/>
      <c r="AI88" s="373"/>
    </row>
    <row r="89" spans="1:37" ht="18" x14ac:dyDescent="0.25">
      <c r="A89" s="136" t="s">
        <v>219</v>
      </c>
      <c r="B89" s="191" t="str">
        <f t="shared" ref="B89:AD89" si="67">IF(B87=0,"",B88/B87)</f>
        <v/>
      </c>
      <c r="C89" s="191" t="str">
        <f t="shared" si="67"/>
        <v/>
      </c>
      <c r="D89" s="191" t="str">
        <f t="shared" si="67"/>
        <v/>
      </c>
      <c r="E89" s="191" t="str">
        <f t="shared" si="67"/>
        <v/>
      </c>
      <c r="F89" s="191" t="str">
        <f t="shared" si="67"/>
        <v/>
      </c>
      <c r="G89" s="191" t="str">
        <f t="shared" si="67"/>
        <v/>
      </c>
      <c r="H89" s="191" t="str">
        <f t="shared" si="67"/>
        <v/>
      </c>
      <c r="I89" s="191" t="str">
        <f>IF(I87=0,"",I88/I87)</f>
        <v/>
      </c>
      <c r="J89" s="191" t="str">
        <f t="shared" si="67"/>
        <v/>
      </c>
      <c r="K89" s="191" t="str">
        <f t="shared" si="67"/>
        <v/>
      </c>
      <c r="L89" s="191" t="str">
        <f t="shared" si="67"/>
        <v/>
      </c>
      <c r="M89" s="191" t="str">
        <f t="shared" si="67"/>
        <v/>
      </c>
      <c r="N89" s="191" t="str">
        <f t="shared" si="67"/>
        <v/>
      </c>
      <c r="O89" s="191" t="str">
        <f t="shared" ref="O89:S89" si="68">IF(O87=0,"",O88/O87)</f>
        <v/>
      </c>
      <c r="P89" s="191" t="str">
        <f t="shared" si="68"/>
        <v/>
      </c>
      <c r="Q89" s="191" t="str">
        <f t="shared" si="68"/>
        <v/>
      </c>
      <c r="R89" s="191" t="str">
        <f t="shared" si="68"/>
        <v/>
      </c>
      <c r="S89" s="191" t="str">
        <f t="shared" si="68"/>
        <v/>
      </c>
      <c r="T89" s="191" t="str">
        <f t="shared" si="67"/>
        <v/>
      </c>
      <c r="U89" s="191" t="str">
        <f>IF(U87=0,"",U88/U87)</f>
        <v/>
      </c>
      <c r="V89" s="191" t="str">
        <f t="shared" si="67"/>
        <v/>
      </c>
      <c r="W89" s="191" t="str">
        <f t="shared" si="67"/>
        <v/>
      </c>
      <c r="X89" s="191" t="str">
        <f t="shared" si="67"/>
        <v/>
      </c>
      <c r="Y89" s="191" t="str">
        <f t="shared" si="67"/>
        <v/>
      </c>
      <c r="Z89" s="191" t="str">
        <f t="shared" si="67"/>
        <v/>
      </c>
      <c r="AA89" s="191" t="str">
        <f t="shared" si="67"/>
        <v/>
      </c>
      <c r="AB89" s="191" t="str">
        <f t="shared" si="67"/>
        <v/>
      </c>
      <c r="AC89" s="191" t="str">
        <f t="shared" si="67"/>
        <v/>
      </c>
      <c r="AD89" s="191" t="str">
        <f t="shared" si="67"/>
        <v/>
      </c>
      <c r="AE89" s="191" t="str">
        <f t="shared" ref="AE89" si="69">IF(AE87=0,"",AE88/AE87)</f>
        <v/>
      </c>
      <c r="AF89" s="191" t="str">
        <f>IF(AF87=0,"",AF88/AF87)</f>
        <v/>
      </c>
      <c r="AG89" s="361" t="str">
        <f>IF(AG87=0,"",AG88/AG87)</f>
        <v/>
      </c>
      <c r="AH89" s="313"/>
      <c r="AI89" s="373"/>
    </row>
    <row r="90" spans="1:37" ht="18" x14ac:dyDescent="0.25">
      <c r="A90" s="136" t="s">
        <v>212</v>
      </c>
      <c r="B90" s="190">
        <f>IF('Entries March.''25'!$AF8-'Entries March.''25'!$AF7&lt;1,0,'Entries March.''25'!$AF8-'Entries March.''25'!$AF7)</f>
        <v>0</v>
      </c>
      <c r="C90" s="190">
        <f>IF('Entries March.''25'!$AF9-'Entries March.''25'!$AF8&lt;1,0,'Entries March.''25'!$AF9-'Entries March.''25'!$AF8)</f>
        <v>0</v>
      </c>
      <c r="D90" s="190">
        <f>IF('Entries March.''25'!$AF10-'Entries March.''25'!$AF9&lt;1,0,'Entries March.''25'!$AF10-'Entries March.''25'!$AF9)</f>
        <v>0</v>
      </c>
      <c r="E90" s="190">
        <f>IF('Entries March.''25'!$AF11-'Entries March.''25'!$AF10&lt;1,0,'Entries March.''25'!$AF11-'Entries March.''25'!$AF10)</f>
        <v>0</v>
      </c>
      <c r="F90" s="190">
        <f>IF('Entries March.''25'!$AF12-'Entries March.''25'!$AF11&lt;1,0,'Entries March.''25'!$AF12-'Entries March.''25'!$AF11)</f>
        <v>0</v>
      </c>
      <c r="G90" s="190">
        <f>IF('Entries March.''25'!$AF13-'Entries March.''25'!$AF12&lt;1,0,'Entries March.''25'!$AF13-'Entries March.''25'!$AF12)</f>
        <v>0</v>
      </c>
      <c r="H90" s="190">
        <f>IF('Entries March.''25'!$AF14-'Entries March.''25'!$AF13&lt;1,0,'Entries March.''25'!$AF14-'Entries March.''25'!$AF13)</f>
        <v>0</v>
      </c>
      <c r="I90" s="190">
        <f>IF('Entries March.''25'!AF15-'Entries March.''25'!AF14&lt;1,0,'Entries March.''25'!AF15-'Entries March.''25'!AF14)</f>
        <v>0</v>
      </c>
      <c r="J90" s="190">
        <f>IF('Entries March.''25'!AF16-'Entries March.''25'!AF15&lt;1,0,'Entries March.''25'!AF16-'Entries March.''25'!AF15)</f>
        <v>0</v>
      </c>
      <c r="K90" s="190">
        <f>IF('Entries March.''25'!AF17-'Entries March.''25'!AF16&lt;1,0,'Entries March.''25'!AF17-'Entries March.''25'!AF16)</f>
        <v>0</v>
      </c>
      <c r="L90" s="190">
        <f>IF('Entries March.''25'!$AF18-'Entries March.''25'!$AF17&lt;1,0,'Entries March.''25'!$AF18-'Entries March.''25'!$AF17)</f>
        <v>0</v>
      </c>
      <c r="M90" s="190">
        <f>IF('Entries March.''25'!$AF19-'Entries March.''25'!$AF18&lt;1,0,'Entries March.''25'!$AF19-'Entries March.''25'!$AF18)</f>
        <v>0</v>
      </c>
      <c r="N90" s="190">
        <f>IF('Entries March.''25'!$AF20-'Entries March.''25'!$AF19&lt;1,0,'Entries March.''25'!$AF20-'Entries March.''25'!$AF19)</f>
        <v>0</v>
      </c>
      <c r="O90" s="190">
        <f>IF('Entries March.''25'!$AF21-'Entries March.''25'!$AF20&lt;1,0,'Entries March.''25'!$AF21-'Entries March.''25'!$AF20)</f>
        <v>0</v>
      </c>
      <c r="P90" s="190">
        <f>IF('Entries March.''25'!$AF22-'Entries March.''25'!$AF21&lt;1,0,'Entries March.''25'!$AF22-'Entries March.''25'!$AF21)</f>
        <v>0</v>
      </c>
      <c r="Q90" s="190">
        <f>IF('Entries March.''25'!$AF23-'Entries March.''25'!$AF22&lt;1,0,'Entries March.''25'!$AF23-'Entries March.''25'!$AF22)</f>
        <v>0</v>
      </c>
      <c r="R90" s="190">
        <f>IF('Entries March.''25'!$AF24-'Entries March.''25'!$AF23&lt;1,0,'Entries March.''25'!$AF24-'Entries March.''25'!$AF23)</f>
        <v>0</v>
      </c>
      <c r="S90" s="190">
        <f>IF('Entries March.''25'!$AF25-'Entries March.''25'!$AF24&lt;1,0,'Entries March.''25'!$AF25-'Entries March.''25'!$AF24)</f>
        <v>0</v>
      </c>
      <c r="T90" s="190">
        <f>IF('Entries March.''25'!$AF26-'Entries March.''25'!$AF25&lt;1,0,'Entries March.''25'!$AF26-'Entries March.''25'!$AF25)</f>
        <v>0</v>
      </c>
      <c r="U90" s="190">
        <f>IF('Entries March.''25'!$AF27-'Entries March.''25'!$AF26&lt;1,0,'Entries March.''25'!$AF27-'Entries March.''25'!$AF26)</f>
        <v>0</v>
      </c>
      <c r="V90" s="190">
        <f>IF('Entries March.''25'!$AF28-'Entries March.''25'!$AF27&lt;1,0,'Entries March.''25'!$AF28-'Entries March.''25'!$AF27)</f>
        <v>0</v>
      </c>
      <c r="W90" s="190">
        <f>IF('Entries March.''25'!$AF29-'Entries March.''25'!$AF28&lt;1,0,'Entries March.''25'!$AF29-'Entries March.''25'!$AF28)</f>
        <v>0</v>
      </c>
      <c r="X90" s="190">
        <f>IF('Entries March.''25'!$AF30-'Entries March.''25'!$AF29&lt;1,0,'Entries March.''25'!$AF30-'Entries March.''25'!$AF29)</f>
        <v>0</v>
      </c>
      <c r="Y90" s="190">
        <f>IF('Entries March.''25'!$AF31-'Entries March.''25'!$AF30&lt;1,0,'Entries March.''25'!$AF31-'Entries March.''25'!$AF30)</f>
        <v>0</v>
      </c>
      <c r="Z90" s="190">
        <f>IF('Entries March.''25'!$AF32-'Entries March.''25'!$AF31&lt;1,0,'Entries March.''25'!$AF32-'Entries March.''25'!$AF31)</f>
        <v>0</v>
      </c>
      <c r="AA90" s="190">
        <f>IF('Entries March.''25'!$AF33-'Entries March.''25'!$AF32&lt;1,0,'Entries March.''25'!$AF33-'Entries March.''25'!$AF32)</f>
        <v>0</v>
      </c>
      <c r="AB90" s="190">
        <f>IF('Entries March.''25'!$AF34-'Entries March.''25'!$AF33&lt;1,0,'Entries March.''25'!$AF34-'Entries March.''25'!$AF33)</f>
        <v>0</v>
      </c>
      <c r="AC90" s="190">
        <f>IF('Entries March.''25'!$AF35-'Entries March.''25'!$AF34&lt;1,0,'Entries March.''25'!$AF35-'Entries March.''25'!$AF34)</f>
        <v>0</v>
      </c>
      <c r="AD90" s="190">
        <f>IF('Entries March.''25'!$AF36-'Entries March.''25'!$AF35&lt;1,0,'Entries March.''25'!$AF36-'Entries March.''25'!$AF35)</f>
        <v>0</v>
      </c>
      <c r="AE90" s="190">
        <f>IF('Entries March.''25'!$AF37-'Entries March.''25'!$AF36&lt;1,0,'Entries March.''25'!$AF37-'Entries March.''25'!$AF36)</f>
        <v>0</v>
      </c>
      <c r="AF90" s="190">
        <f>IF('Entries March.''25'!$AF27-'Entries March.''25'!$AF26&lt;1,0,'Entries March.''25'!$AF27-'Entries March.''25'!$AF26)</f>
        <v>0</v>
      </c>
      <c r="AG90" s="322">
        <f>SUM(B90:AF90)</f>
        <v>0</v>
      </c>
      <c r="AH90" s="322"/>
      <c r="AI90" s="373"/>
    </row>
    <row r="91" spans="1:37" ht="18" x14ac:dyDescent="0.25">
      <c r="A91" s="13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313"/>
      <c r="AH91" s="313"/>
      <c r="AI91" s="373"/>
    </row>
    <row r="92" spans="1:37" ht="18" x14ac:dyDescent="0.25">
      <c r="A92" s="135" t="s">
        <v>169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313"/>
      <c r="AH92" s="313"/>
      <c r="AI92" s="373"/>
    </row>
    <row r="93" spans="1:37" ht="18" x14ac:dyDescent="0.25">
      <c r="A93" s="195" t="s">
        <v>226</v>
      </c>
      <c r="B93" s="196">
        <f>'Daily KPIs'!B12</f>
        <v>0</v>
      </c>
      <c r="C93" s="196">
        <f>'Daily KPIs'!C12</f>
        <v>0</v>
      </c>
      <c r="D93" s="196">
        <f>'Daily KPIs'!D12</f>
        <v>408.2</v>
      </c>
      <c r="E93" s="196">
        <f>'Daily KPIs'!E12</f>
        <v>424.3</v>
      </c>
      <c r="F93" s="196">
        <f>'Daily KPIs'!F12</f>
        <v>478.9</v>
      </c>
      <c r="G93" s="196">
        <f>'Daily KPIs'!G12</f>
        <v>372.7</v>
      </c>
      <c r="H93" s="196">
        <f>'Daily KPIs'!H12</f>
        <v>253.7</v>
      </c>
      <c r="I93" s="196">
        <f>'Daily KPIs'!I12</f>
        <v>100.4</v>
      </c>
      <c r="J93" s="196">
        <f>'Daily KPIs'!J12</f>
        <v>0</v>
      </c>
      <c r="K93" s="196">
        <f>'Daily KPIs'!K12</f>
        <v>426.3</v>
      </c>
      <c r="L93" s="196">
        <f>'Daily KPIs'!L12</f>
        <v>307.5</v>
      </c>
      <c r="M93" s="196">
        <f>'Daily KPIs'!M12</f>
        <v>353.1</v>
      </c>
      <c r="N93" s="196">
        <f>'Daily KPIs'!N12</f>
        <v>450.9</v>
      </c>
      <c r="O93" s="196">
        <f>'Daily KPIs'!O12</f>
        <v>203.1</v>
      </c>
      <c r="P93" s="196">
        <f>'Daily KPIs'!P12</f>
        <v>0</v>
      </c>
      <c r="Q93" s="196">
        <f>'Daily KPIs'!Q12</f>
        <v>154</v>
      </c>
      <c r="R93" s="196">
        <f>'Daily KPIs'!R12</f>
        <v>352.9</v>
      </c>
      <c r="S93" s="196">
        <f>'Daily KPIs'!S12</f>
        <v>299.10000000000002</v>
      </c>
      <c r="T93" s="196">
        <f>'Daily KPIs'!T12</f>
        <v>352.6</v>
      </c>
      <c r="U93" s="196">
        <f>'Daily KPIs'!U12</f>
        <v>409</v>
      </c>
      <c r="V93" s="196">
        <f>'Daily KPIs'!V12</f>
        <v>54</v>
      </c>
      <c r="W93" s="196">
        <f>'Daily KPIs'!W12</f>
        <v>0</v>
      </c>
      <c r="X93" s="196">
        <f>'Daily KPIs'!X12</f>
        <v>0</v>
      </c>
      <c r="Y93" s="196">
        <f>'Daily KPIs'!Y12</f>
        <v>405.3</v>
      </c>
      <c r="Z93" s="196">
        <f>'Daily KPIs'!Z12</f>
        <v>296.3</v>
      </c>
      <c r="AA93" s="196">
        <f>'Daily KPIs'!AA12</f>
        <v>398.5</v>
      </c>
      <c r="AB93" s="196">
        <f>'Daily KPIs'!AB12</f>
        <v>350.9</v>
      </c>
      <c r="AC93" s="196">
        <f>'Daily KPIs'!AC12</f>
        <v>0</v>
      </c>
      <c r="AD93" s="196">
        <f>'Daily KPIs'!AD12</f>
        <v>0</v>
      </c>
      <c r="AE93" s="196">
        <f>'Daily KPIs'!AE12</f>
        <v>0</v>
      </c>
      <c r="AF93" s="310">
        <f>'Daily KPIs'!AD12</f>
        <v>0</v>
      </c>
      <c r="AG93" s="362">
        <f>SUM(B93:AF93)</f>
        <v>6851.7000000000007</v>
      </c>
      <c r="AH93" s="363"/>
      <c r="AI93" s="391"/>
    </row>
    <row r="94" spans="1:37" ht="18" x14ac:dyDescent="0.25">
      <c r="A94" s="195" t="s">
        <v>227</v>
      </c>
      <c r="B94" s="197">
        <f>'Daily KPIs'!B13</f>
        <v>0</v>
      </c>
      <c r="C94" s="197">
        <f>'Daily KPIs'!C13</f>
        <v>0</v>
      </c>
      <c r="D94" s="197" t="str">
        <f>'Daily KPIs'!D13</f>
        <v xml:space="preserve">Starmalt </v>
      </c>
      <c r="E94" s="197" t="str">
        <f>'Daily KPIs'!E13</f>
        <v>Carib/Stag</v>
      </c>
      <c r="F94" s="197" t="str">
        <f>'Daily KPIs'!F13</f>
        <v>Stag/ Carib</v>
      </c>
      <c r="G94" s="197" t="str">
        <f>'Daily KPIs'!G10</f>
        <v>GN/SM/ST</v>
      </c>
      <c r="H94" s="197" t="str">
        <f>'Daily KPIs'!H13</f>
        <v>Carib/ Stag</v>
      </c>
      <c r="I94" s="197" t="str">
        <f>'Daily KPIs'!I13</f>
        <v>Stag</v>
      </c>
      <c r="J94" s="197">
        <f>'Daily KPIs'!J13</f>
        <v>0</v>
      </c>
      <c r="K94" s="197" t="str">
        <f>'Daily KPIs'!K13</f>
        <v>Guinness</v>
      </c>
      <c r="L94" s="197" t="str">
        <f>'Daily KPIs'!L13</f>
        <v>Carib</v>
      </c>
      <c r="M94" s="197" t="str">
        <f>'Daily KPIs'!M13</f>
        <v>Carib/Stag</v>
      </c>
      <c r="N94" s="197" t="str">
        <f>'Daily KPIs'!N13</f>
        <v>Stag/ Carib</v>
      </c>
      <c r="O94" s="197" t="str">
        <f>'Daily KPIs'!O13</f>
        <v>Carib</v>
      </c>
      <c r="P94" s="197">
        <f>'Daily KPIs'!P13</f>
        <v>0</v>
      </c>
      <c r="Q94" s="197" t="str">
        <f>'Daily KPIs'!Q13</f>
        <v>Stag</v>
      </c>
      <c r="R94" s="197" t="str">
        <f>'Daily KPIs'!R13</f>
        <v>Stag/ Carib</v>
      </c>
      <c r="S94" s="197" t="str">
        <f>'Daily KPIs'!S13</f>
        <v>Carib</v>
      </c>
      <c r="T94" s="197" t="str">
        <f>'Daily KPIs'!T13</f>
        <v>Carib</v>
      </c>
      <c r="U94" s="197" t="str">
        <f>'Daily KPIs'!U13</f>
        <v>Carib</v>
      </c>
      <c r="V94" s="197" t="str">
        <f>'Daily KPIs'!V13</f>
        <v>Carib</v>
      </c>
      <c r="W94" s="197">
        <f>'Daily KPIs'!W13</f>
        <v>0</v>
      </c>
      <c r="X94" s="197">
        <f>'Daily KPIs'!X13</f>
        <v>0</v>
      </c>
      <c r="Y94" s="197" t="str">
        <f>'Daily KPIs'!Y13</f>
        <v>Stag</v>
      </c>
      <c r="Z94" s="197" t="str">
        <f>'Daily KPIs'!Z13</f>
        <v>Carib</v>
      </c>
      <c r="AA94" s="197" t="str">
        <f>'Daily KPIs'!AA13</f>
        <v>Carib/Vmalt</v>
      </c>
      <c r="AB94" s="197" t="str">
        <f>'Daily KPIs'!AB13</f>
        <v>Vmalt/Carib</v>
      </c>
      <c r="AC94" s="197">
        <f>'Daily KPIs'!AC13</f>
        <v>0</v>
      </c>
      <c r="AD94" s="197">
        <f>'Daily KPIs'!AD13</f>
        <v>0</v>
      </c>
      <c r="AE94" s="197">
        <f>'Daily KPIs'!AE13</f>
        <v>0</v>
      </c>
      <c r="AF94" s="311">
        <f>'Daily KPIs'!AD13</f>
        <v>0</v>
      </c>
      <c r="AG94" s="363"/>
      <c r="AH94" s="363"/>
      <c r="AI94" s="391"/>
    </row>
    <row r="95" spans="1:37" ht="18" x14ac:dyDescent="0.25">
      <c r="A95" s="204" t="s">
        <v>229</v>
      </c>
      <c r="B95" s="205">
        <f>'Daily KPIs'!B14</f>
        <v>0</v>
      </c>
      <c r="C95" s="205">
        <f>'Daily KPIs'!C14</f>
        <v>0</v>
      </c>
      <c r="D95" s="205">
        <f>'Daily KPIs'!D14</f>
        <v>8</v>
      </c>
      <c r="E95" s="205">
        <f>'Daily KPIs'!E14</f>
        <v>8</v>
      </c>
      <c r="F95" s="205">
        <f>'Daily KPIs'!F14</f>
        <v>9</v>
      </c>
      <c r="G95" s="205">
        <f>'Daily KPIs'!G14</f>
        <v>7</v>
      </c>
      <c r="H95" s="205">
        <f>'Daily KPIs'!H14</f>
        <v>5</v>
      </c>
      <c r="I95" s="205">
        <f>'Daily KPIs'!I14</f>
        <v>2</v>
      </c>
      <c r="J95" s="205">
        <f>'Daily KPIs'!J14</f>
        <v>0</v>
      </c>
      <c r="K95" s="205">
        <f>'Daily KPIs'!K14</f>
        <v>8</v>
      </c>
      <c r="L95" s="205">
        <f>'Daily KPIs'!L14</f>
        <v>6</v>
      </c>
      <c r="M95" s="205">
        <f>'Daily KPIs'!M14</f>
        <v>7</v>
      </c>
      <c r="N95" s="205">
        <f>'Daily KPIs'!N14</f>
        <v>9</v>
      </c>
      <c r="O95" s="205">
        <f>'Daily KPIs'!O14</f>
        <v>4</v>
      </c>
      <c r="P95" s="205">
        <f>'Daily KPIs'!P14</f>
        <v>0</v>
      </c>
      <c r="Q95" s="205">
        <f>'Daily KPIs'!Q14</f>
        <v>3</v>
      </c>
      <c r="R95" s="205">
        <f>'Daily KPIs'!R14</f>
        <v>7</v>
      </c>
      <c r="S95" s="205">
        <f>'Daily KPIs'!S14</f>
        <v>6</v>
      </c>
      <c r="T95" s="205">
        <f>'Daily KPIs'!T14</f>
        <v>7</v>
      </c>
      <c r="U95" s="205">
        <f>'Daily KPIs'!U14</f>
        <v>8</v>
      </c>
      <c r="V95" s="205">
        <f>'Daily KPIs'!V14</f>
        <v>1</v>
      </c>
      <c r="W95" s="205">
        <f>'Daily KPIs'!W14</f>
        <v>0</v>
      </c>
      <c r="X95" s="205">
        <f>'Daily KPIs'!X14</f>
        <v>0</v>
      </c>
      <c r="Y95" s="205">
        <f>'Daily KPIs'!Y14</f>
        <v>8</v>
      </c>
      <c r="Z95" s="205">
        <f>'Daily KPIs'!Z14</f>
        <v>6</v>
      </c>
      <c r="AA95" s="205">
        <f>'Daily KPIs'!AA14</f>
        <v>8</v>
      </c>
      <c r="AB95" s="205">
        <f>'Daily KPIs'!AB14</f>
        <v>7</v>
      </c>
      <c r="AC95" s="205">
        <f>'Daily KPIs'!AC14</f>
        <v>0</v>
      </c>
      <c r="AD95" s="205">
        <f>'Daily KPIs'!AD14</f>
        <v>0</v>
      </c>
      <c r="AE95" s="205">
        <f>'Daily KPIs'!AE14</f>
        <v>0</v>
      </c>
      <c r="AF95" s="308">
        <f>'Daily KPIs'!AD14</f>
        <v>0</v>
      </c>
      <c r="AG95" s="364">
        <f>SUM($B95:AF95)</f>
        <v>134</v>
      </c>
      <c r="AH95" s="364"/>
      <c r="AI95" s="392"/>
    </row>
    <row r="96" spans="1:37" ht="18" x14ac:dyDescent="0.25">
      <c r="A96" s="140" t="s">
        <v>152</v>
      </c>
      <c r="B96" s="141">
        <f>+'Water '!$F7</f>
        <v>196</v>
      </c>
      <c r="C96" s="141" t="str">
        <f>+'Water '!$F8</f>
        <v>0</v>
      </c>
      <c r="D96" s="141">
        <f>+'Water '!$F9</f>
        <v>12</v>
      </c>
      <c r="E96" s="141">
        <f>+'Water '!$F10</f>
        <v>1</v>
      </c>
      <c r="F96" s="141" t="str">
        <f>+'Water '!$F11</f>
        <v>0</v>
      </c>
      <c r="G96" s="141" t="str">
        <f>+'Water '!$F12</f>
        <v>0</v>
      </c>
      <c r="H96" s="141">
        <f>+'Water '!$F13</f>
        <v>130</v>
      </c>
      <c r="I96" s="141">
        <f>+'Water '!$F14</f>
        <v>82</v>
      </c>
      <c r="J96" s="141">
        <f>+'Water '!$F15</f>
        <v>22</v>
      </c>
      <c r="K96" s="141">
        <f>+'Water '!$F16</f>
        <v>152</v>
      </c>
      <c r="L96" s="141" t="str">
        <f>+'Water '!$F17</f>
        <v>0</v>
      </c>
      <c r="M96" s="141">
        <f>+'Water '!$F18</f>
        <v>113</v>
      </c>
      <c r="N96" s="141" t="str">
        <f>+'Water '!$F19</f>
        <v>0</v>
      </c>
      <c r="O96" s="141" t="str">
        <f>+'Water '!$F19</f>
        <v>0</v>
      </c>
      <c r="P96" s="141" t="str">
        <f>+'Water '!$F19</f>
        <v>0</v>
      </c>
      <c r="Q96" s="141" t="str">
        <f>+'Water '!$F19</f>
        <v>0</v>
      </c>
      <c r="R96" s="141" t="str">
        <f>+'Water '!$F19</f>
        <v>0</v>
      </c>
      <c r="S96" s="141" t="str">
        <f>+'Water '!$F19</f>
        <v>0</v>
      </c>
      <c r="T96" s="141">
        <f>+'Water '!$F25</f>
        <v>90</v>
      </c>
      <c r="U96" s="141">
        <f>+'Water '!$F26</f>
        <v>267</v>
      </c>
      <c r="V96" s="141">
        <f>+'Water '!$F27</f>
        <v>181</v>
      </c>
      <c r="W96" s="141" t="str">
        <f>+'Water '!$F28</f>
        <v>0</v>
      </c>
      <c r="X96" s="141">
        <f>+'Water '!$F29</f>
        <v>141</v>
      </c>
      <c r="Y96" s="141">
        <f>+'Water '!$F30</f>
        <v>220</v>
      </c>
      <c r="Z96" s="141">
        <f>+'Water '!$F31</f>
        <v>124</v>
      </c>
      <c r="AA96" s="141">
        <f>+'Water '!$F31</f>
        <v>124</v>
      </c>
      <c r="AB96" s="141">
        <f>+'Water '!$F31</f>
        <v>124</v>
      </c>
      <c r="AC96" s="141">
        <f>+'Water '!$F31</f>
        <v>124</v>
      </c>
      <c r="AD96" s="141">
        <f>+'Water '!$F31</f>
        <v>124</v>
      </c>
      <c r="AE96" s="141">
        <f>+'Water '!$F31</f>
        <v>124</v>
      </c>
      <c r="AF96" s="307">
        <f>+'Water '!$F35</f>
        <v>161</v>
      </c>
      <c r="AG96" s="322">
        <f>SUM($B96:AF96)</f>
        <v>2512</v>
      </c>
      <c r="AH96" s="322"/>
      <c r="AI96" s="373"/>
    </row>
    <row r="97" spans="1:35" ht="18" x14ac:dyDescent="0.25">
      <c r="A97" s="135" t="s">
        <v>153</v>
      </c>
      <c r="B97" s="192" t="s">
        <v>154</v>
      </c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308"/>
      <c r="AG97" s="322">
        <f>SUM($B97:AC97)</f>
        <v>0</v>
      </c>
      <c r="AH97" s="322"/>
      <c r="AI97" s="373"/>
    </row>
    <row r="98" spans="1:35" ht="18" x14ac:dyDescent="0.25">
      <c r="A98" s="13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308"/>
      <c r="AG98" s="313"/>
      <c r="AH98" s="313"/>
      <c r="AI98" s="373"/>
    </row>
    <row r="99" spans="1:35" ht="18" x14ac:dyDescent="0.25">
      <c r="A99" s="13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308"/>
      <c r="AG99" s="313"/>
      <c r="AH99" s="313"/>
      <c r="AI99" s="373"/>
    </row>
    <row r="100" spans="1:35" ht="18" x14ac:dyDescent="0.25">
      <c r="A100" s="13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308"/>
      <c r="AG100" s="313"/>
      <c r="AH100" s="313"/>
      <c r="AI100" s="373"/>
    </row>
    <row r="101" spans="1:35" ht="18" x14ac:dyDescent="0.25">
      <c r="A101" s="135"/>
      <c r="B101" s="190">
        <f>'Daily KPIs CO2'!B52</f>
        <v>4482</v>
      </c>
      <c r="C101" s="190">
        <f>'Daily KPIs CO2'!C52</f>
        <v>4216</v>
      </c>
      <c r="D101" s="190">
        <f>'Daily KPIs CO2'!D52</f>
        <v>7948</v>
      </c>
      <c r="E101" s="190">
        <f>'Daily KPIs CO2'!E52</f>
        <v>8547</v>
      </c>
      <c r="F101" s="190">
        <f>'Daily KPIs CO2'!F52</f>
        <v>8241</v>
      </c>
      <c r="G101" s="190">
        <f>'Daily KPIs CO2'!G52</f>
        <v>8066</v>
      </c>
      <c r="H101" s="190">
        <f>'Daily KPIs CO2'!H52</f>
        <v>7348</v>
      </c>
      <c r="I101" s="190">
        <f>'Daily KPIs CO2'!I52</f>
        <v>4624</v>
      </c>
      <c r="J101" s="190">
        <f>'Daily KPIs CO2'!J52</f>
        <v>4173</v>
      </c>
      <c r="K101" s="190">
        <f>'Daily KPIs CO2'!K52</f>
        <v>8000</v>
      </c>
      <c r="L101" s="190">
        <f>'Daily KPIs CO2'!L52</f>
        <v>8338</v>
      </c>
      <c r="M101" s="190">
        <f>'Daily KPIs CO2'!M52</f>
        <v>8475</v>
      </c>
      <c r="N101" s="190">
        <f>'Daily KPIs CO2'!N52</f>
        <v>7841</v>
      </c>
      <c r="O101" s="190">
        <f>'Daily KPIs CO2'!O52</f>
        <v>7679</v>
      </c>
      <c r="P101" s="190">
        <f>'Daily KPIs CO2'!P52</f>
        <v>4867</v>
      </c>
      <c r="Q101" s="190">
        <f>'Daily KPIs CO2'!Q52</f>
        <v>5536</v>
      </c>
      <c r="R101" s="190">
        <f>'Daily KPIs CO2'!R52</f>
        <v>8321</v>
      </c>
      <c r="S101" s="190">
        <f>'Daily KPIs CO2'!S52</f>
        <v>7150</v>
      </c>
      <c r="T101" s="190">
        <f>'Daily KPIs CO2'!T52</f>
        <v>7150</v>
      </c>
      <c r="U101" s="190">
        <f>'Daily KPIs CO2'!U52</f>
        <v>7150</v>
      </c>
      <c r="V101" s="190">
        <f>'Daily KPIs CO2'!V52</f>
        <v>7150</v>
      </c>
      <c r="W101" s="190">
        <f>'Daily KPIs CO2'!W52</f>
        <v>7150</v>
      </c>
      <c r="X101" s="190">
        <f>'Daily KPIs CO2'!X52</f>
        <v>7150</v>
      </c>
      <c r="Y101" s="190">
        <f>'Daily KPIs CO2'!Y52</f>
        <v>7150</v>
      </c>
      <c r="Z101" s="190">
        <f>'Daily KPIs CO2'!Z52</f>
        <v>7150</v>
      </c>
      <c r="AA101" s="190">
        <f>'Daily KPIs CO2'!AA52</f>
        <v>7150</v>
      </c>
      <c r="AB101" s="190">
        <f>'Daily KPIs CO2'!AB52</f>
        <v>7150</v>
      </c>
      <c r="AC101" s="190">
        <f>'Daily KPIs CO2'!AC52</f>
        <v>7150</v>
      </c>
      <c r="AD101" s="190">
        <f>'Daily KPIs CO2'!AD52</f>
        <v>7150</v>
      </c>
      <c r="AE101" s="190">
        <f>'Daily KPIs CO2'!AE52</f>
        <v>7150</v>
      </c>
      <c r="AF101" s="309">
        <f>'Daily KPIs CO2'!AF52</f>
        <v>7150</v>
      </c>
      <c r="AG101" s="365">
        <f>'Daily KPIs CO2'!AG52</f>
        <v>195352</v>
      </c>
      <c r="AH101" s="313"/>
      <c r="AI101" s="373"/>
    </row>
    <row r="102" spans="1:35" x14ac:dyDescent="0.2">
      <c r="M102" s="112"/>
    </row>
    <row r="103" spans="1:35" x14ac:dyDescent="0.2">
      <c r="M103" s="112"/>
    </row>
    <row r="104" spans="1:35" x14ac:dyDescent="0.2">
      <c r="M104" s="112"/>
    </row>
    <row r="105" spans="1:35" x14ac:dyDescent="0.2">
      <c r="M105" s="112"/>
    </row>
    <row r="106" spans="1:35" x14ac:dyDescent="0.2">
      <c r="M106" s="112"/>
    </row>
    <row r="107" spans="1:35" x14ac:dyDescent="0.2">
      <c r="M107" s="112"/>
    </row>
    <row r="108" spans="1:35" x14ac:dyDescent="0.2">
      <c r="H108" s="112" t="s">
        <v>224</v>
      </c>
      <c r="M108" s="112"/>
    </row>
    <row r="109" spans="1:35" x14ac:dyDescent="0.2">
      <c r="M109" s="112"/>
    </row>
    <row r="110" spans="1:35" x14ac:dyDescent="0.2">
      <c r="M110" s="112"/>
    </row>
    <row r="111" spans="1:35" x14ac:dyDescent="0.2">
      <c r="M111" s="112"/>
    </row>
    <row r="112" spans="1:35" x14ac:dyDescent="0.2">
      <c r="M112" s="112"/>
    </row>
    <row r="113" spans="13:13" x14ac:dyDescent="0.2">
      <c r="M113" s="112"/>
    </row>
    <row r="114" spans="13:13" x14ac:dyDescent="0.2">
      <c r="M114" s="112"/>
    </row>
    <row r="115" spans="13:13" x14ac:dyDescent="0.2">
      <c r="M115" s="112"/>
    </row>
    <row r="116" spans="13:13" x14ac:dyDescent="0.2">
      <c r="M116" s="112"/>
    </row>
    <row r="117" spans="13:13" x14ac:dyDescent="0.2">
      <c r="M117" s="112"/>
    </row>
    <row r="118" spans="13:13" x14ac:dyDescent="0.2">
      <c r="M118" s="112"/>
    </row>
    <row r="119" spans="13:13" x14ac:dyDescent="0.2">
      <c r="M119" s="112"/>
    </row>
    <row r="120" spans="13:13" x14ac:dyDescent="0.2">
      <c r="M120" s="112"/>
    </row>
    <row r="121" spans="13:13" x14ac:dyDescent="0.2">
      <c r="M121" s="112"/>
    </row>
    <row r="122" spans="13:13" x14ac:dyDescent="0.2">
      <c r="M122" s="112"/>
    </row>
    <row r="123" spans="13:13" x14ac:dyDescent="0.2">
      <c r="M123" s="112"/>
    </row>
    <row r="124" spans="13:13" x14ac:dyDescent="0.2">
      <c r="M124" s="112"/>
    </row>
    <row r="125" spans="13:13" x14ac:dyDescent="0.2">
      <c r="M125" s="112"/>
    </row>
    <row r="126" spans="13:13" x14ac:dyDescent="0.2">
      <c r="M126" s="112"/>
    </row>
    <row r="127" spans="13:13" x14ac:dyDescent="0.2">
      <c r="M127" s="112"/>
    </row>
    <row r="128" spans="13:13" x14ac:dyDescent="0.2">
      <c r="M128" s="112"/>
    </row>
    <row r="129" spans="13:13" x14ac:dyDescent="0.2">
      <c r="M129" s="112"/>
    </row>
    <row r="130" spans="13:13" x14ac:dyDescent="0.2">
      <c r="M130" s="112"/>
    </row>
    <row r="131" spans="13:13" x14ac:dyDescent="0.2">
      <c r="M131" s="112"/>
    </row>
    <row r="132" spans="13:13" x14ac:dyDescent="0.2">
      <c r="M132" s="112"/>
    </row>
    <row r="133" spans="13:13" x14ac:dyDescent="0.2">
      <c r="M133" s="112"/>
    </row>
    <row r="134" spans="13:13" x14ac:dyDescent="0.2">
      <c r="M134" s="112"/>
    </row>
    <row r="135" spans="13:13" x14ac:dyDescent="0.2">
      <c r="M135" s="112"/>
    </row>
    <row r="136" spans="13:13" x14ac:dyDescent="0.2">
      <c r="M136" s="112"/>
    </row>
    <row r="137" spans="13:13" x14ac:dyDescent="0.2">
      <c r="M137" s="112"/>
    </row>
    <row r="138" spans="13:13" x14ac:dyDescent="0.2">
      <c r="M138" s="112"/>
    </row>
    <row r="139" spans="13:13" x14ac:dyDescent="0.2">
      <c r="M139" s="112"/>
    </row>
    <row r="140" spans="13:13" x14ac:dyDescent="0.2">
      <c r="M140" s="112"/>
    </row>
    <row r="141" spans="13:13" x14ac:dyDescent="0.2">
      <c r="M141" s="112"/>
    </row>
    <row r="142" spans="13:13" x14ac:dyDescent="0.2">
      <c r="M142" s="112"/>
    </row>
    <row r="143" spans="13:13" x14ac:dyDescent="0.2">
      <c r="M143" s="112"/>
    </row>
  </sheetData>
  <mergeCells count="2">
    <mergeCell ref="Y10:Z10"/>
    <mergeCell ref="AH6:AH7"/>
  </mergeCells>
  <conditionalFormatting sqref="B82:AF82">
    <cfRule type="cellIs" dxfId="26" priority="3" operator="greaterThan">
      <formula>26</formula>
    </cfRule>
  </conditionalFormatting>
  <conditionalFormatting sqref="B84:AF84">
    <cfRule type="cellIs" dxfId="25" priority="4" operator="greaterThan">
      <formula>6.8</formula>
    </cfRule>
  </conditionalFormatting>
  <conditionalFormatting sqref="D64:D65 D67 T69:AI70 D71 D73:D77">
    <cfRule type="cellIs" dxfId="24" priority="5" stopIfTrue="1" operator="greaterThan">
      <formula>3.8</formula>
    </cfRule>
  </conditionalFormatting>
  <conditionalFormatting sqref="D69:S69 B70:S70">
    <cfRule type="cellIs" dxfId="23" priority="13" stopIfTrue="1" operator="greaterThan">
      <formula>3.8</formula>
    </cfRule>
  </conditionalFormatting>
  <conditionalFormatting sqref="AI8">
    <cfRule type="cellIs" dxfId="22" priority="1" operator="greaterThan">
      <formula>0</formula>
    </cfRule>
    <cfRule type="cellIs" dxfId="21" priority="2" operator="lessThan">
      <formula>0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2"/>
  <sheetViews>
    <sheetView showGridLines="0" tabSelected="1" topLeftCell="A5" zoomScale="60" zoomScaleNormal="60" zoomScaleSheetLayoutView="50" workbookViewId="0">
      <pane xSplit="1" ySplit="10" topLeftCell="AA75" activePane="bottomRight" state="frozen"/>
      <selection activeCell="A5" sqref="A5"/>
      <selection pane="topRight" activeCell="B5" sqref="B5"/>
      <selection pane="bottomLeft" activeCell="A15" sqref="A15"/>
      <selection pane="bottomRight" activeCell="AI146" sqref="AI146"/>
    </sheetView>
  </sheetViews>
  <sheetFormatPr defaultColWidth="9.28515625" defaultRowHeight="26.25" outlineLevelRow="1" x14ac:dyDescent="0.35"/>
  <cols>
    <col min="1" max="1" width="57.5703125" style="208" customWidth="1"/>
    <col min="2" max="2" width="42.28515625" style="395" customWidth="1"/>
    <col min="3" max="3" width="24.140625" style="395" customWidth="1"/>
    <col min="4" max="4" width="42" style="395" customWidth="1"/>
    <col min="5" max="5" width="23.28515625" style="395" customWidth="1"/>
    <col min="6" max="6" width="30.140625" style="395" customWidth="1"/>
    <col min="7" max="7" width="36.42578125" style="395" customWidth="1"/>
    <col min="8" max="8" width="35.5703125" style="395" customWidth="1"/>
    <col min="9" max="9" width="30.85546875" style="395" customWidth="1"/>
    <col min="10" max="10" width="13" style="396" customWidth="1"/>
    <col min="11" max="12" width="29.7109375" style="396" customWidth="1"/>
    <col min="13" max="13" width="29.7109375" style="397" customWidth="1"/>
    <col min="14" max="33" width="29.7109375" style="396" customWidth="1"/>
    <col min="34" max="34" width="29.7109375" style="394" customWidth="1"/>
    <col min="35" max="35" width="24.7109375" style="394" customWidth="1"/>
    <col min="36" max="36" width="24.7109375" style="395" customWidth="1"/>
    <col min="37" max="37" width="9.28515625" style="395" bestFit="1" customWidth="1"/>
    <col min="38" max="38" width="20.7109375" style="395" customWidth="1"/>
    <col min="39" max="59" width="9.28515625" style="395"/>
    <col min="60" max="16384" width="9.28515625" style="208"/>
  </cols>
  <sheetData>
    <row r="1" spans="1:149" x14ac:dyDescent="0.35">
      <c r="B1" s="394"/>
      <c r="AH1" s="395"/>
      <c r="AI1" s="395"/>
    </row>
    <row r="2" spans="1:149" x14ac:dyDescent="0.35">
      <c r="B2" s="394"/>
      <c r="AH2" s="395"/>
      <c r="AI2" s="395"/>
    </row>
    <row r="3" spans="1:149" x14ac:dyDescent="0.4">
      <c r="A3" s="209" t="s">
        <v>138</v>
      </c>
      <c r="B3" s="394"/>
      <c r="C3" s="394"/>
      <c r="AH3" s="395"/>
      <c r="AI3" s="395"/>
    </row>
    <row r="4" spans="1:149" hidden="1" x14ac:dyDescent="0.4">
      <c r="A4" s="209"/>
      <c r="M4" s="398"/>
    </row>
    <row r="5" spans="1:149" hidden="1" x14ac:dyDescent="0.35">
      <c r="B5" s="399"/>
      <c r="C5" s="399"/>
      <c r="D5" s="399"/>
      <c r="E5" s="399"/>
      <c r="F5" s="399"/>
      <c r="G5" s="399"/>
      <c r="H5" s="399"/>
      <c r="I5" s="399"/>
      <c r="J5" s="399"/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>
        <v>1800</v>
      </c>
      <c r="Z5" s="399"/>
      <c r="AA5" s="399"/>
      <c r="AB5" s="399"/>
      <c r="AC5" s="399"/>
      <c r="AD5" s="399"/>
      <c r="AE5" s="399"/>
      <c r="AF5" s="399"/>
      <c r="AG5" s="399"/>
      <c r="AH5" s="399"/>
      <c r="AI5" s="399"/>
      <c r="AJ5" s="399"/>
    </row>
    <row r="6" spans="1:149" x14ac:dyDescent="0.4">
      <c r="A6" s="255">
        <v>45718</v>
      </c>
      <c r="B6" s="395">
        <v>1</v>
      </c>
      <c r="C6" s="395">
        <v>2</v>
      </c>
      <c r="D6" s="395">
        <v>3</v>
      </c>
      <c r="E6" s="395">
        <v>4</v>
      </c>
      <c r="F6" s="395">
        <v>5</v>
      </c>
      <c r="G6" s="395">
        <v>6</v>
      </c>
      <c r="H6" s="395">
        <v>7</v>
      </c>
      <c r="I6" s="395">
        <v>8</v>
      </c>
      <c r="J6" s="395">
        <v>9</v>
      </c>
      <c r="K6" s="395">
        <v>10</v>
      </c>
      <c r="L6" s="395">
        <v>11</v>
      </c>
      <c r="M6" s="395">
        <v>12</v>
      </c>
      <c r="N6" s="395">
        <v>13</v>
      </c>
      <c r="O6" s="395">
        <v>14</v>
      </c>
      <c r="P6" s="395">
        <v>15</v>
      </c>
      <c r="Q6" s="395">
        <v>16</v>
      </c>
      <c r="R6" s="395">
        <v>17</v>
      </c>
      <c r="S6" s="395">
        <v>18</v>
      </c>
      <c r="T6" s="395">
        <v>19</v>
      </c>
      <c r="U6" s="395">
        <v>20</v>
      </c>
      <c r="V6" s="395">
        <v>21</v>
      </c>
      <c r="W6" s="395">
        <v>22</v>
      </c>
      <c r="X6" s="395">
        <v>23</v>
      </c>
      <c r="Y6" s="395">
        <v>24</v>
      </c>
      <c r="Z6" s="395">
        <v>25</v>
      </c>
      <c r="AA6" s="395">
        <v>26</v>
      </c>
      <c r="AB6" s="395">
        <v>27</v>
      </c>
      <c r="AC6" s="395">
        <v>28</v>
      </c>
      <c r="AD6" s="395">
        <v>29</v>
      </c>
      <c r="AE6" s="395">
        <v>30</v>
      </c>
      <c r="AF6" s="395">
        <v>31</v>
      </c>
      <c r="AG6" s="395"/>
      <c r="AI6" s="863" t="s">
        <v>232</v>
      </c>
    </row>
    <row r="7" spans="1:149" s="211" customFormat="1" x14ac:dyDescent="0.4">
      <c r="A7" s="210"/>
      <c r="B7" s="400" t="s">
        <v>150</v>
      </c>
      <c r="C7" s="400" t="s">
        <v>151</v>
      </c>
      <c r="D7" s="400" t="s">
        <v>145</v>
      </c>
      <c r="E7" s="400" t="s">
        <v>146</v>
      </c>
      <c r="F7" s="400" t="s">
        <v>147</v>
      </c>
      <c r="G7" s="400" t="s">
        <v>148</v>
      </c>
      <c r="H7" s="400" t="s">
        <v>149</v>
      </c>
      <c r="I7" s="400" t="s">
        <v>150</v>
      </c>
      <c r="J7" s="400" t="s">
        <v>151</v>
      </c>
      <c r="K7" s="400" t="s">
        <v>145</v>
      </c>
      <c r="L7" s="400" t="s">
        <v>146</v>
      </c>
      <c r="M7" s="400" t="s">
        <v>147</v>
      </c>
      <c r="N7" s="400" t="s">
        <v>148</v>
      </c>
      <c r="O7" s="400" t="s">
        <v>149</v>
      </c>
      <c r="P7" s="400" t="s">
        <v>150</v>
      </c>
      <c r="Q7" s="400" t="s">
        <v>151</v>
      </c>
      <c r="R7" s="400" t="s">
        <v>145</v>
      </c>
      <c r="S7" s="400" t="s">
        <v>146</v>
      </c>
      <c r="T7" s="400" t="s">
        <v>147</v>
      </c>
      <c r="U7" s="400" t="s">
        <v>148</v>
      </c>
      <c r="V7" s="400" t="s">
        <v>149</v>
      </c>
      <c r="W7" s="400" t="s">
        <v>150</v>
      </c>
      <c r="X7" s="400" t="s">
        <v>151</v>
      </c>
      <c r="Y7" s="400" t="s">
        <v>145</v>
      </c>
      <c r="Z7" s="400" t="s">
        <v>146</v>
      </c>
      <c r="AA7" s="400" t="s">
        <v>147</v>
      </c>
      <c r="AB7" s="400" t="s">
        <v>148</v>
      </c>
      <c r="AC7" s="400" t="s">
        <v>149</v>
      </c>
      <c r="AD7" s="400" t="s">
        <v>150</v>
      </c>
      <c r="AE7" s="400" t="s">
        <v>151</v>
      </c>
      <c r="AF7" s="400" t="s">
        <v>145</v>
      </c>
      <c r="AG7" s="400"/>
      <c r="AH7" s="400" t="s">
        <v>19</v>
      </c>
      <c r="AI7" s="863"/>
      <c r="AJ7" s="401" t="s">
        <v>246</v>
      </c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</row>
    <row r="8" spans="1:149" s="257" customFormat="1" x14ac:dyDescent="0.35">
      <c r="A8" s="256" t="s">
        <v>140</v>
      </c>
      <c r="B8" s="657"/>
      <c r="C8" s="657"/>
      <c r="D8" s="657">
        <f>698+1290+657+661+1393+701</f>
        <v>5400</v>
      </c>
      <c r="E8" s="657">
        <f>1703+5524</f>
        <v>7227</v>
      </c>
      <c r="F8" s="657">
        <f>2856+1789+584</f>
        <v>5229</v>
      </c>
      <c r="G8" s="657">
        <f>2928+2887</f>
        <v>5815</v>
      </c>
      <c r="H8" s="657">
        <v>4977</v>
      </c>
      <c r="I8" s="657"/>
      <c r="J8" s="657"/>
      <c r="K8" s="657">
        <v>3460</v>
      </c>
      <c r="L8" s="657">
        <f>1640+359+836</f>
        <v>2835</v>
      </c>
      <c r="M8" s="657">
        <v>2046</v>
      </c>
      <c r="N8" s="657">
        <v>5464</v>
      </c>
      <c r="O8" s="657">
        <f>1410+2718</f>
        <v>4128</v>
      </c>
      <c r="P8" s="657"/>
      <c r="Q8" s="657"/>
      <c r="R8" s="657">
        <f>1568+731</f>
        <v>2299</v>
      </c>
      <c r="S8" s="657">
        <f>1880+4631</f>
        <v>6511</v>
      </c>
      <c r="T8" s="657">
        <f>864+1358+5375</f>
        <v>7597</v>
      </c>
      <c r="U8" s="657">
        <v>4053</v>
      </c>
      <c r="V8" s="657">
        <v>1771</v>
      </c>
      <c r="W8" s="657"/>
      <c r="X8" s="657"/>
      <c r="Y8" s="657">
        <v>1021</v>
      </c>
      <c r="Z8" s="657">
        <f>7792+1654</f>
        <v>9446</v>
      </c>
      <c r="AA8" s="657">
        <f>4013+4916</f>
        <v>8929</v>
      </c>
      <c r="AB8" s="657">
        <v>8119</v>
      </c>
      <c r="AC8" s="657">
        <v>2568</v>
      </c>
      <c r="AD8" s="864">
        <f>(147+28)*2.75</f>
        <v>481.25</v>
      </c>
      <c r="AE8" s="402"/>
      <c r="AF8" s="657">
        <f>5471+940</f>
        <v>6411</v>
      </c>
      <c r="AG8" s="402"/>
      <c r="AH8" s="403">
        <f>SUM(B8:AF8)</f>
        <v>105787.25</v>
      </c>
      <c r="AI8" s="404">
        <v>106825</v>
      </c>
      <c r="AJ8" s="405">
        <f>AH8-AI8</f>
        <v>-1037.75</v>
      </c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406"/>
      <c r="BC8" s="406"/>
      <c r="BD8" s="406"/>
      <c r="BE8" s="406"/>
      <c r="BF8" s="406"/>
      <c r="BG8" s="406"/>
    </row>
    <row r="9" spans="1:149" x14ac:dyDescent="0.4">
      <c r="A9" s="212" t="s">
        <v>142</v>
      </c>
      <c r="B9" s="407"/>
      <c r="C9" s="407"/>
      <c r="D9" s="672">
        <f>D8*0.066</f>
        <v>356.40000000000003</v>
      </c>
      <c r="E9" s="672">
        <f>E8*0.066</f>
        <v>476.98200000000003</v>
      </c>
      <c r="F9" s="672">
        <f>F8*0.066</f>
        <v>345.11400000000003</v>
      </c>
      <c r="G9" s="672">
        <f>G8*0.066</f>
        <v>383.79</v>
      </c>
      <c r="H9" s="672">
        <f>H8*0.066</f>
        <v>328.48200000000003</v>
      </c>
      <c r="I9" s="672">
        <f t="shared" ref="I9:K9" si="0">I8*0.066</f>
        <v>0</v>
      </c>
      <c r="J9" s="672">
        <f t="shared" si="0"/>
        <v>0</v>
      </c>
      <c r="K9" s="672">
        <f t="shared" si="0"/>
        <v>228.36</v>
      </c>
      <c r="L9" s="672">
        <f>L8*0.066</f>
        <v>187.11</v>
      </c>
      <c r="M9" s="672">
        <f>M8*0.066</f>
        <v>135.036</v>
      </c>
      <c r="N9" s="672">
        <f>N8*0.066</f>
        <v>360.62400000000002</v>
      </c>
      <c r="O9" s="672">
        <f>O8*0.066</f>
        <v>272.44800000000004</v>
      </c>
      <c r="P9" s="672">
        <f t="shared" ref="P9:AD9" si="1">P8*0.066</f>
        <v>0</v>
      </c>
      <c r="Q9" s="672">
        <f t="shared" si="1"/>
        <v>0</v>
      </c>
      <c r="R9" s="672">
        <f t="shared" si="1"/>
        <v>151.73400000000001</v>
      </c>
      <c r="S9" s="672">
        <f t="shared" si="1"/>
        <v>429.726</v>
      </c>
      <c r="T9" s="672">
        <f t="shared" si="1"/>
        <v>501.40200000000004</v>
      </c>
      <c r="U9" s="672">
        <f t="shared" si="1"/>
        <v>267.49799999999999</v>
      </c>
      <c r="V9" s="672">
        <f t="shared" si="1"/>
        <v>116.88600000000001</v>
      </c>
      <c r="W9" s="672">
        <f t="shared" si="1"/>
        <v>0</v>
      </c>
      <c r="X9" s="672">
        <f t="shared" si="1"/>
        <v>0</v>
      </c>
      <c r="Y9" s="672">
        <f t="shared" si="1"/>
        <v>67.38600000000001</v>
      </c>
      <c r="Z9" s="672">
        <f t="shared" si="1"/>
        <v>623.43600000000004</v>
      </c>
      <c r="AA9" s="672">
        <f t="shared" si="1"/>
        <v>589.31400000000008</v>
      </c>
      <c r="AB9" s="672">
        <f t="shared" si="1"/>
        <v>535.85400000000004</v>
      </c>
      <c r="AC9" s="672">
        <f>AC8*0.0708</f>
        <v>181.81440000000001</v>
      </c>
      <c r="AD9" s="865">
        <f t="shared" si="1"/>
        <v>31.762500000000003</v>
      </c>
      <c r="AE9" s="407"/>
      <c r="AF9" s="672">
        <f>AF8*0.066</f>
        <v>423.12600000000003</v>
      </c>
      <c r="AG9" s="672"/>
      <c r="AH9" s="408">
        <f>SUM($B9:AF9)</f>
        <v>6994.2849000000015</v>
      </c>
      <c r="AI9" s="408"/>
    </row>
    <row r="10" spans="1:149" s="213" customFormat="1" x14ac:dyDescent="0.35">
      <c r="A10" s="213" t="s">
        <v>139</v>
      </c>
      <c r="B10" s="658"/>
      <c r="C10" s="409"/>
      <c r="D10" s="402" t="s">
        <v>280</v>
      </c>
      <c r="E10" s="665" t="s">
        <v>282</v>
      </c>
      <c r="F10" s="694" t="s">
        <v>283</v>
      </c>
      <c r="G10" s="659" t="s">
        <v>284</v>
      </c>
      <c r="H10" s="661" t="s">
        <v>289</v>
      </c>
      <c r="I10" s="660"/>
      <c r="J10" s="660"/>
      <c r="K10" s="662" t="s">
        <v>292</v>
      </c>
      <c r="L10" s="409" t="s">
        <v>293</v>
      </c>
      <c r="M10" s="705" t="s">
        <v>294</v>
      </c>
      <c r="N10" s="409" t="s">
        <v>292</v>
      </c>
      <c r="O10" s="665" t="s">
        <v>282</v>
      </c>
      <c r="P10" s="661"/>
      <c r="Q10" s="661"/>
      <c r="R10" s="409" t="s">
        <v>298</v>
      </c>
      <c r="S10" s="665" t="s">
        <v>282</v>
      </c>
      <c r="T10" s="409" t="s">
        <v>298</v>
      </c>
      <c r="U10" s="659" t="s">
        <v>299</v>
      </c>
      <c r="V10" s="659" t="s">
        <v>299</v>
      </c>
      <c r="W10" s="658"/>
      <c r="X10" s="662"/>
      <c r="Y10" s="409" t="s">
        <v>292</v>
      </c>
      <c r="Z10" s="409" t="s">
        <v>298</v>
      </c>
      <c r="AA10" s="665" t="s">
        <v>282</v>
      </c>
      <c r="AB10" s="409" t="s">
        <v>292</v>
      </c>
      <c r="AC10" s="659" t="s">
        <v>302</v>
      </c>
      <c r="AD10" s="866" t="s">
        <v>8</v>
      </c>
      <c r="AE10" s="409"/>
      <c r="AF10" s="665" t="s">
        <v>282</v>
      </c>
      <c r="AG10" s="409"/>
      <c r="AH10" s="411"/>
      <c r="AI10" s="411"/>
      <c r="AJ10" s="395"/>
      <c r="AK10" s="406"/>
      <c r="AL10" s="406"/>
      <c r="AM10" s="406"/>
      <c r="AN10" s="406"/>
      <c r="AO10" s="406"/>
      <c r="AP10" s="406"/>
      <c r="AQ10" s="406"/>
      <c r="AR10" s="406"/>
      <c r="AS10" s="406"/>
      <c r="AT10" s="406"/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</row>
    <row r="11" spans="1:149" s="215" customFormat="1" ht="1.5" customHeight="1" x14ac:dyDescent="0.35">
      <c r="A11" s="214"/>
      <c r="B11" s="412"/>
      <c r="C11" s="412"/>
      <c r="D11" s="412"/>
      <c r="E11" s="413"/>
      <c r="F11" s="412"/>
      <c r="G11" s="412"/>
      <c r="H11" s="656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4"/>
      <c r="AI11" s="414"/>
      <c r="AJ11" s="415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  <c r="AV11" s="406"/>
      <c r="AW11" s="406"/>
      <c r="AX11" s="406"/>
      <c r="AY11" s="406"/>
      <c r="AZ11" s="406"/>
      <c r="BA11" s="406"/>
      <c r="BB11" s="406"/>
      <c r="BC11" s="406"/>
      <c r="BD11" s="406"/>
      <c r="BE11" s="406"/>
      <c r="BF11" s="406"/>
      <c r="BG11" s="406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13"/>
      <c r="CO11" s="213"/>
      <c r="CP11" s="213"/>
      <c r="CQ11" s="213"/>
      <c r="CR11" s="213"/>
      <c r="CS11" s="213"/>
      <c r="CT11" s="213"/>
      <c r="CU11" s="213"/>
      <c r="CV11" s="213"/>
      <c r="CW11" s="213"/>
      <c r="CX11" s="213"/>
      <c r="CY11" s="213"/>
      <c r="CZ11" s="213"/>
      <c r="DA11" s="213"/>
      <c r="DB11" s="213"/>
      <c r="DC11" s="213"/>
      <c r="DD11" s="213"/>
      <c r="DE11" s="213"/>
      <c r="DF11" s="213"/>
      <c r="DG11" s="213"/>
      <c r="DH11" s="213"/>
      <c r="DI11" s="213"/>
      <c r="DJ11" s="213"/>
      <c r="DK11" s="213"/>
      <c r="DL11" s="213"/>
      <c r="DM11" s="213"/>
      <c r="DN11" s="213"/>
      <c r="DO11" s="213"/>
      <c r="DP11" s="213"/>
      <c r="DQ11" s="213"/>
      <c r="DR11" s="213"/>
      <c r="DS11" s="213"/>
      <c r="DT11" s="213"/>
      <c r="DU11" s="213"/>
      <c r="DV11" s="213"/>
      <c r="DW11" s="213"/>
      <c r="DX11" s="213"/>
      <c r="DY11" s="213"/>
      <c r="DZ11" s="213"/>
      <c r="EA11" s="213"/>
      <c r="EB11" s="213"/>
      <c r="EC11" s="213"/>
      <c r="ED11" s="213"/>
      <c r="EE11" s="213"/>
      <c r="EF11" s="213"/>
      <c r="EG11" s="213"/>
      <c r="EH11" s="213"/>
      <c r="EI11" s="213"/>
      <c r="EJ11" s="213"/>
      <c r="EK11" s="213"/>
      <c r="EL11" s="213"/>
      <c r="EM11" s="213"/>
      <c r="EN11" s="213"/>
      <c r="EO11" s="213"/>
      <c r="EP11" s="213"/>
      <c r="EQ11" s="213"/>
      <c r="ER11" s="213"/>
      <c r="ES11" s="213"/>
    </row>
    <row r="12" spans="1:149" ht="27.75" customHeight="1" x14ac:dyDescent="0.4">
      <c r="A12" s="216" t="s">
        <v>226</v>
      </c>
      <c r="B12" s="416"/>
      <c r="C12" s="416"/>
      <c r="D12" s="416">
        <v>408.2</v>
      </c>
      <c r="E12" s="416">
        <v>424.3</v>
      </c>
      <c r="F12" s="416">
        <v>478.9</v>
      </c>
      <c r="G12" s="416">
        <v>372.7</v>
      </c>
      <c r="H12" s="416">
        <v>253.7</v>
      </c>
      <c r="I12" s="416">
        <v>100.4</v>
      </c>
      <c r="J12" s="416"/>
      <c r="K12" s="416">
        <v>426.3</v>
      </c>
      <c r="L12" s="416">
        <v>307.5</v>
      </c>
      <c r="M12" s="416">
        <v>353.1</v>
      </c>
      <c r="N12" s="416">
        <v>450.9</v>
      </c>
      <c r="O12" s="416">
        <v>203.1</v>
      </c>
      <c r="P12" s="416"/>
      <c r="Q12" s="416">
        <v>154</v>
      </c>
      <c r="R12" s="416">
        <v>352.9</v>
      </c>
      <c r="S12" s="416">
        <v>299.10000000000002</v>
      </c>
      <c r="T12" s="416">
        <v>352.6</v>
      </c>
      <c r="U12" s="416">
        <v>409</v>
      </c>
      <c r="V12" s="416">
        <v>54</v>
      </c>
      <c r="W12" s="416"/>
      <c r="X12" s="416"/>
      <c r="Y12" s="416">
        <v>405.3</v>
      </c>
      <c r="Z12" s="416">
        <v>296.3</v>
      </c>
      <c r="AA12" s="416">
        <v>398.5</v>
      </c>
      <c r="AB12" s="416">
        <v>350.9</v>
      </c>
      <c r="AC12" s="416"/>
      <c r="AD12" s="416"/>
      <c r="AE12" s="416"/>
      <c r="AF12" s="416"/>
      <c r="AG12" s="416"/>
      <c r="AH12" s="417">
        <f>SUM(B12:AF12)</f>
        <v>6851.7000000000007</v>
      </c>
      <c r="AI12" s="418"/>
      <c r="AJ12" s="396"/>
    </row>
    <row r="13" spans="1:149" x14ac:dyDescent="0.35">
      <c r="A13" s="217" t="s">
        <v>227</v>
      </c>
      <c r="B13" s="658"/>
      <c r="C13" s="663"/>
      <c r="D13" s="663" t="s">
        <v>281</v>
      </c>
      <c r="E13" s="409" t="s">
        <v>285</v>
      </c>
      <c r="F13" s="409" t="s">
        <v>286</v>
      </c>
      <c r="G13" s="409" t="s">
        <v>287</v>
      </c>
      <c r="H13" s="662" t="s">
        <v>290</v>
      </c>
      <c r="I13" s="664" t="s">
        <v>288</v>
      </c>
      <c r="J13" s="664"/>
      <c r="K13" s="659" t="s">
        <v>291</v>
      </c>
      <c r="L13" s="409" t="s">
        <v>287</v>
      </c>
      <c r="M13" s="409" t="s">
        <v>285</v>
      </c>
      <c r="N13" s="717" t="s">
        <v>286</v>
      </c>
      <c r="O13" s="409" t="s">
        <v>287</v>
      </c>
      <c r="P13" s="409"/>
      <c r="Q13" s="665" t="s">
        <v>288</v>
      </c>
      <c r="R13" s="409" t="s">
        <v>286</v>
      </c>
      <c r="S13" s="409" t="s">
        <v>287</v>
      </c>
      <c r="T13" s="409" t="s">
        <v>287</v>
      </c>
      <c r="U13" s="409" t="s">
        <v>287</v>
      </c>
      <c r="V13" s="409" t="s">
        <v>287</v>
      </c>
      <c r="W13" s="409"/>
      <c r="X13" s="409"/>
      <c r="Y13" s="665" t="s">
        <v>288</v>
      </c>
      <c r="Z13" s="409" t="s">
        <v>287</v>
      </c>
      <c r="AA13" s="409" t="s">
        <v>300</v>
      </c>
      <c r="AB13" s="410" t="s">
        <v>301</v>
      </c>
      <c r="AC13" s="665"/>
      <c r="AD13" s="410"/>
      <c r="AE13" s="409"/>
      <c r="AF13" s="410"/>
      <c r="AG13" s="410"/>
      <c r="AH13" s="418"/>
      <c r="AI13" s="418"/>
      <c r="AJ13" s="396"/>
    </row>
    <row r="14" spans="1:149" ht="24.75" customHeight="1" x14ac:dyDescent="0.35">
      <c r="A14" s="208" t="s">
        <v>229</v>
      </c>
      <c r="B14" s="396"/>
      <c r="C14" s="396"/>
      <c r="D14" s="396">
        <v>8</v>
      </c>
      <c r="E14" s="396">
        <f>7+1</f>
        <v>8</v>
      </c>
      <c r="F14" s="396">
        <f>3+6</f>
        <v>9</v>
      </c>
      <c r="G14" s="396">
        <v>7</v>
      </c>
      <c r="H14" s="396">
        <f>3+2</f>
        <v>5</v>
      </c>
      <c r="I14" s="396">
        <v>2</v>
      </c>
      <c r="K14" s="396">
        <v>8</v>
      </c>
      <c r="L14" s="396">
        <v>6</v>
      </c>
      <c r="M14" s="396">
        <v>7</v>
      </c>
      <c r="N14" s="396">
        <f>4+5</f>
        <v>9</v>
      </c>
      <c r="O14" s="396">
        <v>4</v>
      </c>
      <c r="Q14" s="396">
        <v>3</v>
      </c>
      <c r="R14" s="396">
        <f>5+2</f>
        <v>7</v>
      </c>
      <c r="S14" s="396">
        <v>6</v>
      </c>
      <c r="T14" s="396">
        <v>7</v>
      </c>
      <c r="U14" s="396">
        <v>8</v>
      </c>
      <c r="V14" s="396">
        <v>1</v>
      </c>
      <c r="Y14" s="396">
        <v>8</v>
      </c>
      <c r="Z14" s="396">
        <v>6</v>
      </c>
      <c r="AA14" s="396">
        <f>6+2</f>
        <v>8</v>
      </c>
      <c r="AB14" s="396">
        <f>2+5</f>
        <v>7</v>
      </c>
      <c r="AH14" s="394">
        <f>SUM($B14:AF14)</f>
        <v>134</v>
      </c>
    </row>
    <row r="15" spans="1:149" s="219" customFormat="1" ht="26.25" customHeight="1" x14ac:dyDescent="0.35">
      <c r="A15" s="218" t="s">
        <v>228</v>
      </c>
      <c r="B15" s="419" t="str">
        <f>IF(B$12=0,"",+(B36*10)/B$12)</f>
        <v/>
      </c>
      <c r="C15" s="419" t="str">
        <f>IF(C$12=0,"",+(C36*10)/C$12)</f>
        <v/>
      </c>
      <c r="D15" s="419">
        <f>IF(D$12=0,"",+(D36*10)/D$12)</f>
        <v>4.5810877021068102</v>
      </c>
      <c r="E15" s="419">
        <f t="shared" ref="E15:AB15" si="2">IF(E$12=0,"",+(E36*10)/E$12)</f>
        <v>4.9964647654961114</v>
      </c>
      <c r="F15" s="419">
        <f>IF(F$12=0,"",+(F36*10)/F$12)</f>
        <v>3.6124451868866152</v>
      </c>
      <c r="G15" s="419">
        <f t="shared" ref="G15:K15" si="3">IF(G$12=0,"",+(G36*10)/G$12)</f>
        <v>5.1784276898309631</v>
      </c>
      <c r="H15" s="419">
        <f t="shared" si="3"/>
        <v>8.513992905005912</v>
      </c>
      <c r="I15" s="419">
        <f>IF(I$12=0,"",+(I36*10)/I$12)</f>
        <v>7.0717131474103585</v>
      </c>
      <c r="J15" s="419" t="str">
        <f>IF(J$12=0,"",+(J36*10)/J$12)</f>
        <v/>
      </c>
      <c r="K15" s="419">
        <f t="shared" si="3"/>
        <v>4.4804128547970912</v>
      </c>
      <c r="L15" s="419">
        <f>IF(L$12=0,"",+(L36*10)/L$12)</f>
        <v>4.8130081300813012</v>
      </c>
      <c r="M15" s="420">
        <f t="shared" ref="M15:O15" si="4">IF(M$12=0,"",+(M36*10)/M$12)</f>
        <v>5.4092325120362501</v>
      </c>
      <c r="N15" s="420">
        <f t="shared" si="4"/>
        <v>5.5001108893324462</v>
      </c>
      <c r="O15" s="420">
        <f t="shared" si="4"/>
        <v>7.7794190054160515</v>
      </c>
      <c r="P15" s="420" t="str">
        <f>IF(P$12=0,"",+(P36*10)/P$12)</f>
        <v/>
      </c>
      <c r="Q15" s="420">
        <f>IF(Q$12=0,"",+(Q36*10)/Q$12)</f>
        <v>2.1428571428571428</v>
      </c>
      <c r="R15" s="420">
        <f>IF(R$12=0,"",+(R36*10)/R$12)</f>
        <v>4.562198923207708</v>
      </c>
      <c r="S15" s="420">
        <f t="shared" si="2"/>
        <v>4.8144433299899694</v>
      </c>
      <c r="T15" s="420">
        <f>IF(T$12=0,"",+(T36*10)/T$12)</f>
        <v>6.8633011911514457</v>
      </c>
      <c r="U15" s="420">
        <f t="shared" si="2"/>
        <v>4.6699266503667483</v>
      </c>
      <c r="V15" s="420">
        <f t="shared" si="2"/>
        <v>16.666666666666668</v>
      </c>
      <c r="W15" s="420" t="str">
        <f t="shared" si="2"/>
        <v/>
      </c>
      <c r="X15" s="420" t="str">
        <f>IF(X$12=0,"",+(X36*10)/X$12)</f>
        <v/>
      </c>
      <c r="Y15" s="420">
        <f>IF(Y$12=0,"",+(Y36*10)/Y$12)</f>
        <v>3.6762891685171475</v>
      </c>
      <c r="Z15" s="420">
        <f>IF(Z$12=0,"",+(Z36*10)/Z$12)</f>
        <v>5.3999325008437395</v>
      </c>
      <c r="AA15" s="420">
        <f>IF(AA$12=0,"",+(AA36*10)/AA$12)</f>
        <v>6.6750313676286073</v>
      </c>
      <c r="AB15" s="420">
        <f t="shared" si="2"/>
        <v>6.2125961812482196</v>
      </c>
      <c r="AC15" s="420" t="str">
        <f>IF(AC$12=0,"",+(AC36*10)/AC$12)</f>
        <v/>
      </c>
      <c r="AD15" s="420" t="str">
        <f>IF(AD$12=0,"",+(AD36*10)/AD$12)</f>
        <v/>
      </c>
      <c r="AE15" s="420" t="str">
        <f>IF(AE$12=0,"",+(AE36*10)/AE$12)</f>
        <v/>
      </c>
      <c r="AF15" s="420" t="str">
        <f>IF(AF$12=0,"",+(AF36*10)/AF$12)</f>
        <v/>
      </c>
      <c r="AG15" s="420"/>
      <c r="AH15" s="419">
        <f>IF(AH12=0,"",+(AH36*10)/AH12)</f>
        <v>5.6978560065385224</v>
      </c>
      <c r="AI15" s="421">
        <v>3.2</v>
      </c>
      <c r="AJ15" s="422">
        <f>AI15-AH15</f>
        <v>-2.4978560065385222</v>
      </c>
      <c r="AK15" s="395"/>
      <c r="AL15" s="395"/>
      <c r="AM15" s="395"/>
      <c r="AN15" s="395"/>
      <c r="AO15" s="395"/>
      <c r="AP15" s="395"/>
      <c r="AQ15" s="395"/>
      <c r="AR15" s="395"/>
      <c r="AS15" s="395"/>
      <c r="AT15" s="395"/>
      <c r="AU15" s="395"/>
      <c r="AV15" s="395"/>
      <c r="AW15" s="395"/>
      <c r="AX15" s="395"/>
      <c r="AY15" s="395"/>
      <c r="AZ15" s="395"/>
      <c r="BA15" s="395"/>
      <c r="BB15" s="395"/>
      <c r="BC15" s="395"/>
      <c r="BD15" s="395"/>
      <c r="BE15" s="395"/>
      <c r="BF15" s="395"/>
      <c r="BG15" s="395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8"/>
      <c r="DA15" s="208"/>
      <c r="DB15" s="208"/>
      <c r="DC15" s="208"/>
      <c r="DD15" s="208"/>
      <c r="DE15" s="208"/>
      <c r="DF15" s="208"/>
      <c r="DG15" s="208"/>
      <c r="DH15" s="208"/>
      <c r="DI15" s="208"/>
      <c r="DJ15" s="208"/>
      <c r="DK15" s="208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  <c r="DZ15" s="208"/>
      <c r="EA15" s="208"/>
      <c r="EB15" s="208"/>
      <c r="EC15" s="208"/>
      <c r="ED15" s="208"/>
      <c r="EE15" s="208"/>
      <c r="EF15" s="208"/>
      <c r="EG15" s="208"/>
      <c r="EH15" s="208"/>
      <c r="EI15" s="208"/>
      <c r="EJ15" s="208"/>
      <c r="EK15" s="208"/>
      <c r="EL15" s="208"/>
      <c r="EM15" s="208"/>
      <c r="EN15" s="208"/>
      <c r="EO15" s="208"/>
      <c r="EP15" s="208"/>
      <c r="EQ15" s="208"/>
      <c r="ER15" s="208"/>
      <c r="ES15" s="208"/>
    </row>
    <row r="16" spans="1:149" ht="19.5" customHeight="1" x14ac:dyDescent="0.35">
      <c r="M16" s="396"/>
    </row>
    <row r="17" spans="1:149" ht="30" x14ac:dyDescent="0.4">
      <c r="A17" s="209" t="s">
        <v>234</v>
      </c>
      <c r="M17" s="396"/>
    </row>
    <row r="18" spans="1:149" s="221" customFormat="1" outlineLevel="1" x14ac:dyDescent="0.4">
      <c r="A18" s="220" t="s">
        <v>127</v>
      </c>
      <c r="B18" s="423">
        <v>1</v>
      </c>
      <c r="C18" s="423">
        <v>2</v>
      </c>
      <c r="D18" s="423">
        <v>3</v>
      </c>
      <c r="E18" s="423">
        <v>4</v>
      </c>
      <c r="F18" s="423">
        <v>5</v>
      </c>
      <c r="G18" s="423">
        <v>6</v>
      </c>
      <c r="H18" s="423">
        <v>7</v>
      </c>
      <c r="I18" s="423">
        <v>8</v>
      </c>
      <c r="J18" s="423">
        <v>9</v>
      </c>
      <c r="K18" s="423">
        <v>10</v>
      </c>
      <c r="L18" s="423">
        <v>11</v>
      </c>
      <c r="M18" s="423">
        <v>12</v>
      </c>
      <c r="N18" s="423">
        <v>13</v>
      </c>
      <c r="O18" s="423">
        <v>14</v>
      </c>
      <c r="P18" s="423">
        <v>15</v>
      </c>
      <c r="Q18" s="423">
        <v>16</v>
      </c>
      <c r="R18" s="423">
        <v>17</v>
      </c>
      <c r="S18" s="423">
        <v>18</v>
      </c>
      <c r="T18" s="423">
        <v>19</v>
      </c>
      <c r="U18" s="423">
        <v>20</v>
      </c>
      <c r="V18" s="423">
        <v>21</v>
      </c>
      <c r="W18" s="423">
        <v>22</v>
      </c>
      <c r="X18" s="423">
        <v>23</v>
      </c>
      <c r="Y18" s="423">
        <v>24</v>
      </c>
      <c r="Z18" s="423">
        <v>25</v>
      </c>
      <c r="AA18" s="423">
        <v>26</v>
      </c>
      <c r="AB18" s="423">
        <v>27</v>
      </c>
      <c r="AC18" s="423">
        <v>28</v>
      </c>
      <c r="AD18" s="423">
        <v>29</v>
      </c>
      <c r="AE18" s="423">
        <v>30</v>
      </c>
      <c r="AF18" s="423">
        <v>31</v>
      </c>
      <c r="AG18" s="423"/>
      <c r="AH18" s="401" t="s">
        <v>89</v>
      </c>
      <c r="AI18" s="401"/>
      <c r="AJ18" s="423"/>
      <c r="AK18" s="423"/>
      <c r="AL18" s="423"/>
      <c r="AM18" s="423"/>
      <c r="AN18" s="423"/>
      <c r="AO18" s="423"/>
      <c r="AP18" s="423"/>
      <c r="AQ18" s="423"/>
      <c r="AR18" s="423"/>
      <c r="AS18" s="423"/>
      <c r="AT18" s="423"/>
      <c r="AU18" s="423"/>
      <c r="AV18" s="423"/>
      <c r="AW18" s="423"/>
      <c r="AX18" s="423"/>
      <c r="AY18" s="423"/>
      <c r="AZ18" s="423"/>
      <c r="BA18" s="423"/>
      <c r="BB18" s="423"/>
      <c r="BC18" s="423"/>
      <c r="BD18" s="423"/>
      <c r="BE18" s="423"/>
      <c r="BF18" s="423"/>
      <c r="BG18" s="423"/>
    </row>
    <row r="19" spans="1:149" ht="45.75" customHeight="1" outlineLevel="1" x14ac:dyDescent="0.35">
      <c r="A19" s="222" t="s">
        <v>143</v>
      </c>
      <c r="B19" s="424" t="str">
        <f>+'Water '!$C7</f>
        <v>0</v>
      </c>
      <c r="C19" s="424" t="str">
        <f>+'Water '!$C8</f>
        <v>0</v>
      </c>
      <c r="D19" s="424" t="str">
        <f>+'Water '!$C9</f>
        <v>0</v>
      </c>
      <c r="E19" s="424" t="str">
        <f>+'Water '!$C10</f>
        <v>0</v>
      </c>
      <c r="F19" s="424" t="str">
        <f>+'Water '!$C11</f>
        <v>0</v>
      </c>
      <c r="G19" s="424" t="str">
        <f>+'Water '!$C12</f>
        <v>0</v>
      </c>
      <c r="H19" s="424" t="str">
        <f>+'Water '!$C13</f>
        <v>0</v>
      </c>
      <c r="I19" s="424" t="str">
        <f>+'Water '!$C14</f>
        <v>0</v>
      </c>
      <c r="J19" s="425" t="str">
        <f>+'Water '!$C15</f>
        <v>0</v>
      </c>
      <c r="K19" s="425" t="str">
        <f>+'Water '!$C16</f>
        <v>0</v>
      </c>
      <c r="L19" s="425" t="str">
        <f>+'Water '!$C17</f>
        <v>0</v>
      </c>
      <c r="M19" s="425" t="str">
        <f>+'Water '!$C18</f>
        <v>0</v>
      </c>
      <c r="N19" s="425" t="str">
        <f>+'Water '!$C18</f>
        <v>0</v>
      </c>
      <c r="O19" s="425" t="str">
        <f>+'Water '!$C20</f>
        <v>0</v>
      </c>
      <c r="P19" s="425" t="str">
        <f>+'Water '!$C21</f>
        <v>0</v>
      </c>
      <c r="Q19" s="425" t="str">
        <f>+'Water '!$C22</f>
        <v>0</v>
      </c>
      <c r="R19" s="425" t="str">
        <f>+'Water '!$C23</f>
        <v>0</v>
      </c>
      <c r="S19" s="425" t="str">
        <f>+'Water '!$C24</f>
        <v>0</v>
      </c>
      <c r="T19" s="425" t="str">
        <f>+'Water '!$C25</f>
        <v>0</v>
      </c>
      <c r="U19" s="425" t="str">
        <f>+'Water '!$C26</f>
        <v>0</v>
      </c>
      <c r="V19" s="425" t="str">
        <f>+'Water '!$C27</f>
        <v>0</v>
      </c>
      <c r="W19" s="425" t="str">
        <f>+'Water '!$C28</f>
        <v>0</v>
      </c>
      <c r="X19" s="425" t="str">
        <f>+'Water '!$C29</f>
        <v>0</v>
      </c>
      <c r="Y19" s="425" t="str">
        <f>+'Water '!$C30</f>
        <v>0</v>
      </c>
      <c r="Z19" s="425" t="str">
        <f>+'Water '!$C31</f>
        <v>0</v>
      </c>
      <c r="AA19" s="425" t="str">
        <f>+'Water '!$C32</f>
        <v>0</v>
      </c>
      <c r="AB19" s="425" t="str">
        <f>+'Water '!$C33</f>
        <v>0</v>
      </c>
      <c r="AC19" s="425" t="str">
        <f>+'Water '!$C34</f>
        <v>0</v>
      </c>
      <c r="AD19" s="425" t="str">
        <f>+'Water '!$C35</f>
        <v>0</v>
      </c>
      <c r="AE19" s="425" t="str">
        <f>+'Water '!$C36</f>
        <v>0</v>
      </c>
      <c r="AF19" s="425" t="str">
        <f>+'Water '!$C37</f>
        <v>0</v>
      </c>
      <c r="AG19" s="425"/>
      <c r="AH19" s="408">
        <f>SUM($B19:AF19)</f>
        <v>0</v>
      </c>
      <c r="AI19" s="408"/>
      <c r="AN19" s="395" t="s">
        <v>61</v>
      </c>
    </row>
    <row r="20" spans="1:149" outlineLevel="1" x14ac:dyDescent="0.35">
      <c r="A20" s="222" t="s">
        <v>128</v>
      </c>
      <c r="B20" s="424" t="str">
        <f>+'Water '!$D7</f>
        <v>0</v>
      </c>
      <c r="C20" s="424" t="str">
        <f>+'Water '!$D8</f>
        <v>0</v>
      </c>
      <c r="D20" s="424">
        <f>+'Water '!$D9</f>
        <v>379</v>
      </c>
      <c r="E20" s="424">
        <f>+'Water '!$D10</f>
        <v>442</v>
      </c>
      <c r="F20" s="424">
        <f>+'Water '!$D11</f>
        <v>436</v>
      </c>
      <c r="G20" s="424">
        <f>+'Water '!$D12</f>
        <v>258</v>
      </c>
      <c r="H20" s="424">
        <f>+'Water '!$D13</f>
        <v>241</v>
      </c>
      <c r="I20" s="424">
        <f>+'Water '!$D14</f>
        <v>142</v>
      </c>
      <c r="J20" s="425">
        <f>+'Water '!$D15</f>
        <v>77</v>
      </c>
      <c r="K20" s="425">
        <f>+'Water '!$D16</f>
        <v>65</v>
      </c>
      <c r="L20" s="425">
        <f>+'Water '!$D17</f>
        <v>248</v>
      </c>
      <c r="M20" s="425">
        <f>+'Water '!$D18</f>
        <v>132</v>
      </c>
      <c r="N20" s="425">
        <f>+'Water '!$D19</f>
        <v>5</v>
      </c>
      <c r="O20" s="425">
        <f>+'Water '!$D20</f>
        <v>226</v>
      </c>
      <c r="P20" s="425">
        <f>+'Water '!$D21</f>
        <v>36</v>
      </c>
      <c r="Q20" s="425">
        <f>+'Water '!$D22</f>
        <v>2</v>
      </c>
      <c r="R20" s="425">
        <f>+'Water '!$D23</f>
        <v>105</v>
      </c>
      <c r="S20" s="733">
        <f>+'Water '!$D24</f>
        <v>252</v>
      </c>
      <c r="T20" s="425">
        <f>+'Water '!$D25</f>
        <v>375</v>
      </c>
      <c r="U20" s="425">
        <f>+'Water '!$D26</f>
        <v>63</v>
      </c>
      <c r="V20" s="425">
        <f>+'Water '!$D27</f>
        <v>36</v>
      </c>
      <c r="W20" s="425" t="str">
        <f>+'Water '!$D28</f>
        <v>0</v>
      </c>
      <c r="X20" s="425" t="str">
        <f>+'Water '!$D29</f>
        <v>0</v>
      </c>
      <c r="Y20" s="425">
        <f>+'Water '!$D30</f>
        <v>31</v>
      </c>
      <c r="Z20" s="425">
        <f>+'Water '!$D31</f>
        <v>173</v>
      </c>
      <c r="AA20" s="425">
        <f>+'Water '!$D32</f>
        <v>460</v>
      </c>
      <c r="AB20" s="425">
        <f>+'Water '!$D33</f>
        <v>52</v>
      </c>
      <c r="AC20" s="425">
        <f>+'Water '!$D34</f>
        <v>167</v>
      </c>
      <c r="AD20" s="425" t="str">
        <f>+'Water '!$D35</f>
        <v>0</v>
      </c>
      <c r="AE20" s="425" t="str">
        <f>+'Water '!$D36</f>
        <v>0</v>
      </c>
      <c r="AF20" s="425">
        <f>+'Water '!$D37</f>
        <v>75</v>
      </c>
      <c r="AG20" s="425"/>
      <c r="AH20" s="408">
        <f>SUM($B20:AF20)</f>
        <v>4478</v>
      </c>
      <c r="AI20" s="408"/>
    </row>
    <row r="21" spans="1:149" outlineLevel="1" x14ac:dyDescent="0.35">
      <c r="A21" s="222" t="s">
        <v>129</v>
      </c>
      <c r="B21" s="426">
        <f>+'Water '!$E7</f>
        <v>186</v>
      </c>
      <c r="C21" s="427" t="str">
        <f>+'Water '!$E8</f>
        <v>0</v>
      </c>
      <c r="D21" s="427">
        <f>+'Water '!$E9</f>
        <v>12</v>
      </c>
      <c r="E21" s="427" t="str">
        <f>+'Water '!$E10</f>
        <v>0</v>
      </c>
      <c r="F21" s="427" t="str">
        <f>+'Water '!$E11</f>
        <v>0</v>
      </c>
      <c r="G21" s="427" t="str">
        <f>+'Water '!$E12</f>
        <v>0</v>
      </c>
      <c r="H21" s="427">
        <f>+'Water '!$E13</f>
        <v>120</v>
      </c>
      <c r="I21" s="427">
        <f>+'Water '!$E14</f>
        <v>81</v>
      </c>
      <c r="J21" s="427">
        <f>+'Water '!$E15</f>
        <v>21</v>
      </c>
      <c r="K21" s="427">
        <f>+'Water '!$E16</f>
        <v>95</v>
      </c>
      <c r="L21" s="427">
        <f>+'Water '!$E17</f>
        <v>118</v>
      </c>
      <c r="M21" s="427">
        <f>+'Water '!$E18</f>
        <v>184</v>
      </c>
      <c r="N21" s="427">
        <f>+'Water '!$E19</f>
        <v>253</v>
      </c>
      <c r="O21" s="427">
        <f>+'Water '!$E20</f>
        <v>251</v>
      </c>
      <c r="P21" s="427">
        <f>+'Water '!$E21</f>
        <v>80</v>
      </c>
      <c r="Q21" s="427">
        <f>+'Water '!$E22</f>
        <v>96</v>
      </c>
      <c r="R21" s="427">
        <f>+'Water '!$E23</f>
        <v>133</v>
      </c>
      <c r="S21" s="427">
        <f>+'Water '!$E24</f>
        <v>38</v>
      </c>
      <c r="T21" s="427">
        <f>+'Water '!$E25</f>
        <v>84</v>
      </c>
      <c r="U21" s="427">
        <f>+'Water '!$E26</f>
        <v>254</v>
      </c>
      <c r="V21" s="427">
        <f>+'Water '!$E27</f>
        <v>171</v>
      </c>
      <c r="W21" s="427" t="str">
        <f>+'Water '!$E28</f>
        <v>0</v>
      </c>
      <c r="X21" s="427">
        <f>+'Water '!$E29</f>
        <v>134</v>
      </c>
      <c r="Y21" s="428">
        <f>+'Water '!$E30</f>
        <v>207</v>
      </c>
      <c r="Z21" s="427">
        <f>+'Water '!$E31</f>
        <v>123</v>
      </c>
      <c r="AA21" s="429">
        <f>+'Water '!$E32</f>
        <v>156</v>
      </c>
      <c r="AB21" s="429">
        <f>+'Water '!$E33</f>
        <v>282</v>
      </c>
      <c r="AC21" s="429">
        <f>+'Water '!$E34</f>
        <v>275</v>
      </c>
      <c r="AD21" s="429">
        <f>+'Water '!$E35</f>
        <v>157</v>
      </c>
      <c r="AE21" s="429" t="str">
        <f>+'Water '!$E36</f>
        <v>0</v>
      </c>
      <c r="AF21" s="429">
        <f>+'Water '!$E37</f>
        <v>251</v>
      </c>
      <c r="AG21" s="429"/>
      <c r="AH21" s="430">
        <f>SUM($B21:AF21)</f>
        <v>3762</v>
      </c>
      <c r="AI21" s="430"/>
      <c r="AJ21" s="431"/>
    </row>
    <row r="22" spans="1:149" s="224" customFormat="1" x14ac:dyDescent="0.4">
      <c r="A22" s="223" t="s">
        <v>175</v>
      </c>
      <c r="B22" s="432">
        <f>SUM(B19:B21)</f>
        <v>186</v>
      </c>
      <c r="C22" s="432">
        <f>SUM(C19:C21)</f>
        <v>0</v>
      </c>
      <c r="D22" s="432">
        <f>SUM(D19:D21)</f>
        <v>391</v>
      </c>
      <c r="E22" s="432">
        <f>SUM(E19:E21)</f>
        <v>442</v>
      </c>
      <c r="F22" s="432">
        <f t="shared" ref="F22:AF22" si="5">SUM(F19:F21)</f>
        <v>436</v>
      </c>
      <c r="G22" s="432">
        <f t="shared" si="5"/>
        <v>258</v>
      </c>
      <c r="H22" s="432">
        <f t="shared" si="5"/>
        <v>361</v>
      </c>
      <c r="I22" s="432">
        <f>SUM(I19:I21)</f>
        <v>223</v>
      </c>
      <c r="J22" s="432">
        <f>SUM(J19:J21)</f>
        <v>98</v>
      </c>
      <c r="K22" s="432">
        <f t="shared" si="5"/>
        <v>160</v>
      </c>
      <c r="L22" s="432">
        <f>SUM(L19:L21)</f>
        <v>366</v>
      </c>
      <c r="M22" s="432">
        <f t="shared" si="5"/>
        <v>316</v>
      </c>
      <c r="N22" s="432">
        <f>SUM(N19:N21)</f>
        <v>258</v>
      </c>
      <c r="O22" s="432">
        <f t="shared" si="5"/>
        <v>477</v>
      </c>
      <c r="P22" s="432">
        <f>SUM(P19:P21)</f>
        <v>116</v>
      </c>
      <c r="Q22" s="432">
        <f t="shared" si="5"/>
        <v>98</v>
      </c>
      <c r="R22" s="432">
        <f t="shared" si="5"/>
        <v>238</v>
      </c>
      <c r="S22" s="432">
        <f>SUM(S19:S21)</f>
        <v>290</v>
      </c>
      <c r="T22" s="432">
        <f t="shared" si="5"/>
        <v>459</v>
      </c>
      <c r="U22" s="432">
        <f t="shared" si="5"/>
        <v>317</v>
      </c>
      <c r="V22" s="432">
        <f>SUM(V19:V21)</f>
        <v>207</v>
      </c>
      <c r="W22" s="432">
        <f t="shared" si="5"/>
        <v>0</v>
      </c>
      <c r="X22" s="432">
        <f t="shared" si="5"/>
        <v>134</v>
      </c>
      <c r="Y22" s="432">
        <f>SUM(Y19:Y21)</f>
        <v>238</v>
      </c>
      <c r="Z22" s="432">
        <f t="shared" si="5"/>
        <v>296</v>
      </c>
      <c r="AA22" s="433">
        <f>SUM(AA19:AA21)</f>
        <v>616</v>
      </c>
      <c r="AB22" s="433">
        <f>SUM(AB19:AB21)</f>
        <v>334</v>
      </c>
      <c r="AC22" s="433">
        <f>SUM(AC19:AC21)</f>
        <v>442</v>
      </c>
      <c r="AD22" s="433">
        <f>SUM(AD19:AD21)</f>
        <v>157</v>
      </c>
      <c r="AE22" s="433">
        <f t="shared" si="5"/>
        <v>0</v>
      </c>
      <c r="AF22" s="433">
        <f t="shared" si="5"/>
        <v>326</v>
      </c>
      <c r="AG22" s="433"/>
      <c r="AH22" s="434">
        <f>SUM($B22:AF22)</f>
        <v>8240</v>
      </c>
      <c r="AI22" s="432"/>
      <c r="AJ22" s="435"/>
      <c r="AK22" s="394"/>
      <c r="AL22" s="394"/>
      <c r="AM22" s="394"/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209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09"/>
      <c r="CT22" s="209"/>
      <c r="CU22" s="209"/>
      <c r="CV22" s="209"/>
      <c r="CW22" s="209"/>
      <c r="CX22" s="209"/>
      <c r="CY22" s="209"/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09"/>
      <c r="DL22" s="209"/>
      <c r="DM22" s="209"/>
      <c r="DN22" s="209"/>
      <c r="DO22" s="209"/>
      <c r="DP22" s="209"/>
      <c r="DQ22" s="209"/>
      <c r="DR22" s="209"/>
      <c r="DS22" s="209"/>
      <c r="DT22" s="209"/>
      <c r="DU22" s="209"/>
      <c r="DV22" s="209"/>
      <c r="DW22" s="209"/>
      <c r="DX22" s="209"/>
      <c r="DY22" s="209"/>
      <c r="DZ22" s="209"/>
      <c r="EA22" s="209"/>
      <c r="EB22" s="209"/>
      <c r="EC22" s="209"/>
      <c r="ED22" s="209"/>
      <c r="EE22" s="209"/>
      <c r="EF22" s="209"/>
      <c r="EG22" s="209"/>
      <c r="EH22" s="209"/>
      <c r="EI22" s="209"/>
      <c r="EJ22" s="209"/>
      <c r="EK22" s="209"/>
      <c r="EL22" s="209"/>
      <c r="EM22" s="209"/>
      <c r="EN22" s="209"/>
      <c r="EO22" s="209"/>
      <c r="EP22" s="209"/>
      <c r="EQ22" s="209"/>
      <c r="ER22" s="209"/>
      <c r="ES22" s="209"/>
    </row>
    <row r="23" spans="1:149" s="209" customFormat="1" hidden="1" x14ac:dyDescent="0.4">
      <c r="A23" s="225"/>
      <c r="B23" s="408"/>
      <c r="C23" s="408"/>
      <c r="D23" s="408"/>
      <c r="E23" s="408"/>
      <c r="F23" s="408"/>
      <c r="G23" s="408"/>
      <c r="H23" s="408"/>
      <c r="I23" s="408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  <c r="AB23" s="436"/>
      <c r="AC23" s="436"/>
      <c r="AD23" s="436"/>
      <c r="AE23" s="436"/>
      <c r="AF23" s="436"/>
      <c r="AG23" s="436"/>
      <c r="AH23" s="408"/>
      <c r="AI23" s="408"/>
      <c r="AJ23" s="394"/>
      <c r="AK23" s="394"/>
      <c r="AL23" s="394"/>
      <c r="AM23" s="394"/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</row>
    <row r="24" spans="1:149" hidden="1" x14ac:dyDescent="0.35">
      <c r="B24" s="437"/>
      <c r="C24" s="437"/>
      <c r="D24" s="437"/>
      <c r="E24" s="437"/>
      <c r="F24" s="437"/>
      <c r="G24" s="437"/>
      <c r="H24" s="437"/>
      <c r="I24" s="437"/>
      <c r="J24" s="438"/>
      <c r="K24" s="438"/>
      <c r="L24" s="438"/>
      <c r="M24" s="438"/>
      <c r="N24" s="438"/>
      <c r="O24" s="438"/>
      <c r="P24" s="438"/>
      <c r="Q24" s="438"/>
      <c r="R24" s="438"/>
      <c r="S24" s="438"/>
      <c r="T24" s="438"/>
      <c r="U24" s="438"/>
      <c r="V24" s="438"/>
      <c r="W24" s="438"/>
      <c r="X24" s="438"/>
      <c r="Y24" s="438"/>
      <c r="Z24" s="438"/>
      <c r="AA24" s="438"/>
      <c r="AB24" s="438"/>
      <c r="AC24" s="438"/>
      <c r="AD24" s="438"/>
      <c r="AE24" s="438"/>
      <c r="AH24" s="408"/>
      <c r="AI24" s="408"/>
    </row>
    <row r="25" spans="1:149" x14ac:dyDescent="0.35">
      <c r="A25" s="222"/>
      <c r="B25" s="437"/>
      <c r="C25" s="437"/>
      <c r="D25" s="437"/>
      <c r="E25" s="437"/>
      <c r="F25" s="437"/>
      <c r="G25" s="437"/>
      <c r="H25" s="437"/>
      <c r="I25" s="437"/>
      <c r="J25" s="438"/>
      <c r="K25" s="438"/>
      <c r="L25" s="438"/>
      <c r="M25" s="438"/>
      <c r="AH25" s="408">
        <f>SUM($B25:AF25)</f>
        <v>0</v>
      </c>
      <c r="AI25" s="408"/>
    </row>
    <row r="26" spans="1:149" outlineLevel="1" x14ac:dyDescent="0.35">
      <c r="A26" s="226" t="s">
        <v>155</v>
      </c>
      <c r="B26" s="437">
        <f>0.73*(B71+B19)</f>
        <v>143.07999999999998</v>
      </c>
      <c r="C26" s="437">
        <f>0.73*(C110+C19)</f>
        <v>0</v>
      </c>
      <c r="D26" s="437">
        <f t="shared" ref="D26:AF26" si="6">0.73*(D71+D19)</f>
        <v>8.76</v>
      </c>
      <c r="E26" s="437">
        <f t="shared" si="6"/>
        <v>0.73</v>
      </c>
      <c r="F26" s="437">
        <f t="shared" si="6"/>
        <v>0</v>
      </c>
      <c r="G26" s="437">
        <f t="shared" si="6"/>
        <v>0</v>
      </c>
      <c r="H26" s="437">
        <f t="shared" si="6"/>
        <v>94.899999999999991</v>
      </c>
      <c r="I26" s="437">
        <f t="shared" si="6"/>
        <v>59.86</v>
      </c>
      <c r="J26" s="438">
        <f t="shared" si="6"/>
        <v>16.059999999999999</v>
      </c>
      <c r="K26" s="438">
        <f>0.73*(K71+K19)</f>
        <v>110.96</v>
      </c>
      <c r="L26" s="438">
        <f t="shared" si="6"/>
        <v>0</v>
      </c>
      <c r="M26" s="438">
        <f t="shared" si="6"/>
        <v>82.49</v>
      </c>
      <c r="N26" s="438">
        <f t="shared" si="6"/>
        <v>0</v>
      </c>
      <c r="O26" s="438">
        <f t="shared" si="6"/>
        <v>124.83</v>
      </c>
      <c r="P26" s="438">
        <f t="shared" si="6"/>
        <v>59.86</v>
      </c>
      <c r="Q26" s="438">
        <f t="shared" si="6"/>
        <v>73.73</v>
      </c>
      <c r="R26" s="438">
        <f t="shared" si="6"/>
        <v>102.92999999999999</v>
      </c>
      <c r="S26" s="438">
        <f t="shared" si="6"/>
        <v>21.9</v>
      </c>
      <c r="T26" s="438">
        <f t="shared" si="6"/>
        <v>65.7</v>
      </c>
      <c r="U26" s="438">
        <f t="shared" si="6"/>
        <v>194.91</v>
      </c>
      <c r="V26" s="438">
        <f t="shared" si="6"/>
        <v>132.13</v>
      </c>
      <c r="W26" s="438">
        <f t="shared" si="6"/>
        <v>0</v>
      </c>
      <c r="X26" s="438">
        <f t="shared" si="6"/>
        <v>102.92999999999999</v>
      </c>
      <c r="Y26" s="438">
        <f t="shared" si="6"/>
        <v>160.6</v>
      </c>
      <c r="Z26" s="438">
        <f t="shared" si="6"/>
        <v>90.52</v>
      </c>
      <c r="AA26" s="438">
        <f t="shared" si="6"/>
        <v>120.45</v>
      </c>
      <c r="AB26" s="438">
        <f t="shared" si="6"/>
        <v>214.62</v>
      </c>
      <c r="AC26" s="438">
        <f t="shared" si="6"/>
        <v>216.81</v>
      </c>
      <c r="AD26" s="438">
        <f t="shared" si="6"/>
        <v>117.53</v>
      </c>
      <c r="AE26" s="438">
        <f t="shared" si="6"/>
        <v>0</v>
      </c>
      <c r="AF26" s="438">
        <f t="shared" si="6"/>
        <v>192.72</v>
      </c>
      <c r="AG26" s="438"/>
      <c r="AH26" s="408">
        <f>SUM($B26:AF26)</f>
        <v>2509.0099999999998</v>
      </c>
      <c r="AI26" s="439">
        <f>AH29+AH45+AH36</f>
        <v>8898</v>
      </c>
      <c r="AK26" s="440">
        <f>(AI26*10)/AH9</f>
        <v>12.721815206583875</v>
      </c>
    </row>
    <row r="27" spans="1:149" outlineLevel="1" x14ac:dyDescent="0.35">
      <c r="E27" s="437">
        <f>0.73*(E110+E20)</f>
        <v>322.65999999999997</v>
      </c>
      <c r="M27" s="396"/>
      <c r="AI27" s="408"/>
    </row>
    <row r="28" spans="1:149" outlineLevel="1" x14ac:dyDescent="0.35">
      <c r="A28" s="226" t="s">
        <v>134</v>
      </c>
      <c r="B28" s="437" t="str">
        <f>'Water '!R7</f>
        <v>0</v>
      </c>
      <c r="C28" s="437" t="str">
        <f>'Water '!R8</f>
        <v>0</v>
      </c>
      <c r="D28" s="437" t="str">
        <f>'Water '!R9</f>
        <v>0</v>
      </c>
      <c r="E28" s="437" t="str">
        <f>'Water '!R10</f>
        <v>0</v>
      </c>
      <c r="F28" s="437" t="str">
        <f>'Water '!R11</f>
        <v>0</v>
      </c>
      <c r="G28" s="437" t="str">
        <f>'Water '!R12</f>
        <v>0</v>
      </c>
      <c r="H28" s="437" t="str">
        <f>'Water '!R13</f>
        <v>0</v>
      </c>
      <c r="I28" s="437" t="str">
        <f>'Water '!R14</f>
        <v>0</v>
      </c>
      <c r="J28" s="438" t="str">
        <f>'Water '!R15</f>
        <v>0</v>
      </c>
      <c r="K28" s="438" t="str">
        <f>'Water '!R16</f>
        <v>0</v>
      </c>
      <c r="L28" s="438" t="str">
        <f>'Water '!R17</f>
        <v>0</v>
      </c>
      <c r="M28" s="438" t="str">
        <f>'Water '!R18</f>
        <v>0</v>
      </c>
      <c r="N28" s="438" t="str">
        <f>'Water '!R19</f>
        <v>0</v>
      </c>
      <c r="O28" s="438" t="str">
        <f>'Water '!R20</f>
        <v>0</v>
      </c>
      <c r="P28" s="438" t="str">
        <f>'Water '!R21</f>
        <v>0</v>
      </c>
      <c r="Q28" s="438" t="str">
        <f>'Water '!R22</f>
        <v>0</v>
      </c>
      <c r="R28" s="438" t="str">
        <f>'Water '!R23</f>
        <v>0</v>
      </c>
      <c r="S28" s="438" t="str">
        <f>'Water '!R24</f>
        <v>0</v>
      </c>
      <c r="T28" s="438" t="str">
        <f>'Water '!R25</f>
        <v>0</v>
      </c>
      <c r="U28" s="438" t="str">
        <f>'Water '!R26</f>
        <v>0</v>
      </c>
      <c r="V28" s="438" t="str">
        <f>'Water '!R27</f>
        <v>0</v>
      </c>
      <c r="W28" s="438" t="str">
        <f>'Water '!R28</f>
        <v>0</v>
      </c>
      <c r="X28" s="438" t="str">
        <f>'Water '!R29</f>
        <v>0</v>
      </c>
      <c r="Y28" s="438" t="str">
        <f>'Water '!R30</f>
        <v>0</v>
      </c>
      <c r="Z28" s="438" t="str">
        <f>'Water '!R31</f>
        <v>0</v>
      </c>
      <c r="AA28" s="438" t="str">
        <f>'Water '!R32</f>
        <v>0</v>
      </c>
      <c r="AB28" s="438" t="str">
        <f>'Water '!R33</f>
        <v>0</v>
      </c>
      <c r="AC28" s="438" t="str">
        <f>'Water '!R32</f>
        <v>0</v>
      </c>
      <c r="AD28" s="438" t="str">
        <f>'Water '!R35</f>
        <v>0</v>
      </c>
      <c r="AE28" s="438" t="str">
        <f>'Water '!R36</f>
        <v>0</v>
      </c>
      <c r="AF28" s="438" t="str">
        <f>'Water '!R37</f>
        <v>0</v>
      </c>
      <c r="AG28" s="438"/>
      <c r="AH28" s="408">
        <f>SUM($B28:AF28)</f>
        <v>0</v>
      </c>
      <c r="AI28" s="408"/>
      <c r="AR28" s="395" t="s">
        <v>61</v>
      </c>
    </row>
    <row r="29" spans="1:149" outlineLevel="1" x14ac:dyDescent="0.35">
      <c r="A29" s="222" t="s">
        <v>173</v>
      </c>
      <c r="B29" s="424">
        <f>'Water '!H7</f>
        <v>74</v>
      </c>
      <c r="C29" s="424">
        <f>'Water '!H8</f>
        <v>31</v>
      </c>
      <c r="D29" s="424">
        <f>'Water '!H9</f>
        <v>107</v>
      </c>
      <c r="E29" s="424">
        <f>'Water '!H10</f>
        <v>232</v>
      </c>
      <c r="F29" s="424">
        <f>'Water '!H11</f>
        <v>206</v>
      </c>
      <c r="G29" s="424">
        <f>'Water '!H12</f>
        <v>201</v>
      </c>
      <c r="H29" s="424">
        <f>'Water '!H13</f>
        <v>154</v>
      </c>
      <c r="I29" s="424">
        <f>'Water '!H14</f>
        <v>100</v>
      </c>
      <c r="J29" s="425">
        <f>'Water '!H15</f>
        <v>10</v>
      </c>
      <c r="K29" s="425">
        <f>'Water '!H16</f>
        <v>165</v>
      </c>
      <c r="L29" s="425">
        <f>'Water '!H17</f>
        <v>122</v>
      </c>
      <c r="M29" s="425">
        <f>'Water '!H18</f>
        <v>154</v>
      </c>
      <c r="N29" s="425">
        <f>'Water '!H19</f>
        <v>167</v>
      </c>
      <c r="O29" s="425">
        <f>'Water '!$H20</f>
        <v>141</v>
      </c>
      <c r="P29" s="425">
        <f>'Water '!$H21</f>
        <v>13</v>
      </c>
      <c r="Q29" s="425">
        <f>'Water '!$H22</f>
        <v>110</v>
      </c>
      <c r="R29" s="425">
        <f>'Water '!$H23</f>
        <v>135</v>
      </c>
      <c r="S29" s="425">
        <f>'Water '!$H24</f>
        <v>167</v>
      </c>
      <c r="T29" s="425">
        <f>'Water '!$H25</f>
        <v>196</v>
      </c>
      <c r="U29" s="425">
        <f>'Water '!$H26</f>
        <v>188</v>
      </c>
      <c r="V29" s="425">
        <f>'Water '!$H27</f>
        <v>114</v>
      </c>
      <c r="W29" s="425">
        <f>'Water '!$H28</f>
        <v>0</v>
      </c>
      <c r="X29" s="425">
        <f>'Water '!$H29</f>
        <v>67</v>
      </c>
      <c r="Y29" s="425">
        <f>'Water '!$H30</f>
        <v>135</v>
      </c>
      <c r="Z29" s="425">
        <f>'Water '!$H31</f>
        <v>276</v>
      </c>
      <c r="AA29" s="425">
        <f>'Water '!$H32</f>
        <v>243</v>
      </c>
      <c r="AB29" s="425">
        <f>'Water '!$H33</f>
        <v>240</v>
      </c>
      <c r="AC29" s="425">
        <f>'Water '!$H34</f>
        <v>221</v>
      </c>
      <c r="AD29" s="425">
        <f>'Water '!$H35</f>
        <v>37</v>
      </c>
      <c r="AE29" s="425">
        <f>'Water '!$H36</f>
        <v>13</v>
      </c>
      <c r="AF29" s="425">
        <f>'Water '!$H37</f>
        <v>207</v>
      </c>
      <c r="AG29" s="425"/>
      <c r="AH29" s="408">
        <f>SUM($B29:AF29)</f>
        <v>4226</v>
      </c>
      <c r="AI29" s="408"/>
      <c r="AJ29" s="408"/>
    </row>
    <row r="30" spans="1:149" outlineLevel="1" x14ac:dyDescent="0.35">
      <c r="A30" s="227" t="str">
        <f t="shared" ref="A30:AF30" si="7">A36</f>
        <v>Brewhouse</v>
      </c>
      <c r="B30" s="441">
        <f t="shared" si="7"/>
        <v>1</v>
      </c>
      <c r="C30" s="441" t="str">
        <f t="shared" si="7"/>
        <v>0</v>
      </c>
      <c r="D30" s="441">
        <f t="shared" si="7"/>
        <v>187</v>
      </c>
      <c r="E30" s="441">
        <f t="shared" si="7"/>
        <v>212</v>
      </c>
      <c r="F30" s="441">
        <f t="shared" si="7"/>
        <v>173</v>
      </c>
      <c r="G30" s="441">
        <f t="shared" si="7"/>
        <v>193</v>
      </c>
      <c r="H30" s="441">
        <f>H36</f>
        <v>216</v>
      </c>
      <c r="I30" s="441">
        <f t="shared" si="7"/>
        <v>71</v>
      </c>
      <c r="J30" s="442" t="str">
        <f t="shared" si="7"/>
        <v>0</v>
      </c>
      <c r="K30" s="442">
        <f t="shared" si="7"/>
        <v>191</v>
      </c>
      <c r="L30" s="442">
        <f t="shared" si="7"/>
        <v>148</v>
      </c>
      <c r="M30" s="442">
        <f t="shared" si="7"/>
        <v>191</v>
      </c>
      <c r="N30" s="442">
        <f t="shared" si="7"/>
        <v>248</v>
      </c>
      <c r="O30" s="442">
        <f t="shared" si="7"/>
        <v>158</v>
      </c>
      <c r="P30" s="442" t="str">
        <f t="shared" si="7"/>
        <v>0</v>
      </c>
      <c r="Q30" s="442">
        <f t="shared" si="7"/>
        <v>33</v>
      </c>
      <c r="R30" s="442">
        <f t="shared" si="7"/>
        <v>161</v>
      </c>
      <c r="S30" s="442">
        <f t="shared" si="7"/>
        <v>144</v>
      </c>
      <c r="T30" s="442">
        <f t="shared" si="7"/>
        <v>242</v>
      </c>
      <c r="U30" s="442">
        <f t="shared" si="7"/>
        <v>191</v>
      </c>
      <c r="V30" s="442">
        <f t="shared" si="7"/>
        <v>90</v>
      </c>
      <c r="W30" s="442" t="str">
        <f t="shared" si="7"/>
        <v>0</v>
      </c>
      <c r="X30" s="442" t="str">
        <f t="shared" si="7"/>
        <v>0</v>
      </c>
      <c r="Y30" s="442">
        <f>Y36</f>
        <v>149</v>
      </c>
      <c r="Z30" s="442">
        <f t="shared" si="7"/>
        <v>160</v>
      </c>
      <c r="AA30" s="442">
        <f t="shared" si="7"/>
        <v>266</v>
      </c>
      <c r="AB30" s="442">
        <f t="shared" si="7"/>
        <v>218</v>
      </c>
      <c r="AC30" s="442">
        <f>AC36</f>
        <v>157</v>
      </c>
      <c r="AD30" s="442">
        <f t="shared" si="7"/>
        <v>29</v>
      </c>
      <c r="AE30" s="442" t="str">
        <f t="shared" si="7"/>
        <v>0</v>
      </c>
      <c r="AF30" s="442">
        <f t="shared" si="7"/>
        <v>75</v>
      </c>
      <c r="AG30" s="442"/>
      <c r="AH30" s="443">
        <f>AH36</f>
        <v>3904</v>
      </c>
      <c r="AI30" s="443"/>
      <c r="AJ30" s="443"/>
    </row>
    <row r="31" spans="1:149" outlineLevel="1" x14ac:dyDescent="0.35">
      <c r="A31" s="222" t="str">
        <f t="shared" ref="A31:AF31" si="8">A45</f>
        <v>Boiler Supply</v>
      </c>
      <c r="B31" s="424">
        <f t="shared" si="8"/>
        <v>6</v>
      </c>
      <c r="C31" s="424" t="str">
        <f t="shared" si="8"/>
        <v>0</v>
      </c>
      <c r="D31" s="424">
        <f t="shared" si="8"/>
        <v>9</v>
      </c>
      <c r="E31" s="424">
        <f t="shared" si="8"/>
        <v>18</v>
      </c>
      <c r="F31" s="424">
        <f t="shared" si="8"/>
        <v>15</v>
      </c>
      <c r="G31" s="424">
        <f t="shared" si="8"/>
        <v>18</v>
      </c>
      <c r="H31" s="424" t="str">
        <f t="shared" si="8"/>
        <v>0</v>
      </c>
      <c r="I31" s="424">
        <f t="shared" si="8"/>
        <v>15</v>
      </c>
      <c r="J31" s="425">
        <f>J45</f>
        <v>1</v>
      </c>
      <c r="K31" s="425">
        <f>K45</f>
        <v>26</v>
      </c>
      <c r="L31" s="425">
        <f t="shared" si="8"/>
        <v>36</v>
      </c>
      <c r="M31" s="425">
        <f>M45</f>
        <v>38</v>
      </c>
      <c r="N31" s="425">
        <f t="shared" si="8"/>
        <v>60</v>
      </c>
      <c r="O31" s="425">
        <f t="shared" si="8"/>
        <v>37</v>
      </c>
      <c r="P31" s="425">
        <f t="shared" si="8"/>
        <v>3</v>
      </c>
      <c r="Q31" s="425">
        <f t="shared" si="8"/>
        <v>7</v>
      </c>
      <c r="R31" s="425">
        <f t="shared" si="8"/>
        <v>27</v>
      </c>
      <c r="S31" s="425">
        <f t="shared" si="8"/>
        <v>13</v>
      </c>
      <c r="T31" s="425">
        <f t="shared" si="8"/>
        <v>32</v>
      </c>
      <c r="U31" s="425">
        <f t="shared" si="8"/>
        <v>30</v>
      </c>
      <c r="V31" s="425">
        <f>V45</f>
        <v>9</v>
      </c>
      <c r="W31" s="425">
        <f t="shared" si="8"/>
        <v>11</v>
      </c>
      <c r="X31" s="425" t="str">
        <f t="shared" si="8"/>
        <v>0</v>
      </c>
      <c r="Y31" s="425">
        <f t="shared" si="8"/>
        <v>43</v>
      </c>
      <c r="Z31" s="425">
        <f t="shared" si="8"/>
        <v>35</v>
      </c>
      <c r="AA31" s="425">
        <f t="shared" si="8"/>
        <v>45</v>
      </c>
      <c r="AB31" s="425">
        <f t="shared" si="8"/>
        <v>47</v>
      </c>
      <c r="AC31" s="425">
        <f t="shared" si="8"/>
        <v>44</v>
      </c>
      <c r="AD31" s="425">
        <f t="shared" si="8"/>
        <v>30</v>
      </c>
      <c r="AE31" s="425">
        <f t="shared" si="8"/>
        <v>20</v>
      </c>
      <c r="AF31" s="425">
        <f t="shared" si="8"/>
        <v>93</v>
      </c>
      <c r="AG31" s="425"/>
      <c r="AH31" s="408">
        <f>AH45</f>
        <v>768</v>
      </c>
      <c r="AI31" s="408"/>
      <c r="AJ31" s="408"/>
    </row>
    <row r="32" spans="1:149" s="259" customFormat="1" x14ac:dyDescent="0.4">
      <c r="A32" s="258" t="s">
        <v>156</v>
      </c>
      <c r="B32" s="444">
        <f>SUM(B28:B31)</f>
        <v>81</v>
      </c>
      <c r="C32" s="444">
        <f>SUM(C28:C31)</f>
        <v>31</v>
      </c>
      <c r="D32" s="444">
        <f t="shared" ref="D32:AF32" si="9">SUM(D28:D31)</f>
        <v>303</v>
      </c>
      <c r="E32" s="444">
        <f t="shared" si="9"/>
        <v>462</v>
      </c>
      <c r="F32" s="444">
        <f t="shared" si="9"/>
        <v>394</v>
      </c>
      <c r="G32" s="444">
        <f t="shared" si="9"/>
        <v>412</v>
      </c>
      <c r="H32" s="444">
        <f t="shared" si="9"/>
        <v>370</v>
      </c>
      <c r="I32" s="444">
        <f t="shared" si="9"/>
        <v>186</v>
      </c>
      <c r="J32" s="445">
        <f t="shared" si="9"/>
        <v>11</v>
      </c>
      <c r="K32" s="445">
        <f>SUM(K28:K31)</f>
        <v>382</v>
      </c>
      <c r="L32" s="445">
        <f t="shared" si="9"/>
        <v>306</v>
      </c>
      <c r="M32" s="445">
        <f t="shared" si="9"/>
        <v>383</v>
      </c>
      <c r="N32" s="445">
        <f t="shared" si="9"/>
        <v>475</v>
      </c>
      <c r="O32" s="445">
        <f t="shared" si="9"/>
        <v>336</v>
      </c>
      <c r="P32" s="445">
        <f t="shared" si="9"/>
        <v>16</v>
      </c>
      <c r="Q32" s="445">
        <f t="shared" si="9"/>
        <v>150</v>
      </c>
      <c r="R32" s="445">
        <f t="shared" si="9"/>
        <v>323</v>
      </c>
      <c r="S32" s="445">
        <f t="shared" si="9"/>
        <v>324</v>
      </c>
      <c r="T32" s="445">
        <f t="shared" si="9"/>
        <v>470</v>
      </c>
      <c r="U32" s="445">
        <f t="shared" si="9"/>
        <v>409</v>
      </c>
      <c r="V32" s="445">
        <f t="shared" si="9"/>
        <v>213</v>
      </c>
      <c r="W32" s="444">
        <f t="shared" si="9"/>
        <v>11</v>
      </c>
      <c r="X32" s="445">
        <f t="shared" si="9"/>
        <v>67</v>
      </c>
      <c r="Y32" s="445">
        <f t="shared" si="9"/>
        <v>327</v>
      </c>
      <c r="Z32" s="445">
        <f t="shared" si="9"/>
        <v>471</v>
      </c>
      <c r="AA32" s="445">
        <f t="shared" si="9"/>
        <v>554</v>
      </c>
      <c r="AB32" s="445">
        <f t="shared" si="9"/>
        <v>505</v>
      </c>
      <c r="AC32" s="445">
        <f>SUM(AC28:AC31)</f>
        <v>422</v>
      </c>
      <c r="AD32" s="445">
        <f t="shared" si="9"/>
        <v>96</v>
      </c>
      <c r="AE32" s="445">
        <f t="shared" si="9"/>
        <v>33</v>
      </c>
      <c r="AF32" s="445">
        <f t="shared" si="9"/>
        <v>375</v>
      </c>
      <c r="AG32" s="445"/>
      <c r="AH32" s="444">
        <f>SUM($B32:AF32)</f>
        <v>8898</v>
      </c>
      <c r="AI32" s="444"/>
      <c r="AJ32" s="446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  <c r="BF32" s="447"/>
      <c r="BG32" s="447"/>
    </row>
    <row r="33" spans="1:149" s="209" customFormat="1" x14ac:dyDescent="0.4">
      <c r="A33" s="228"/>
      <c r="B33" s="408"/>
      <c r="C33" s="408"/>
      <c r="D33" s="408"/>
      <c r="E33" s="408"/>
      <c r="F33" s="408"/>
      <c r="G33" s="408"/>
      <c r="H33" s="408"/>
      <c r="I33" s="408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/>
      <c r="AF33" s="436"/>
      <c r="AG33" s="436"/>
      <c r="AH33" s="408"/>
      <c r="AI33" s="408"/>
      <c r="AJ33" s="394"/>
      <c r="AK33" s="394"/>
      <c r="AL33" s="394"/>
      <c r="AM33" s="394"/>
      <c r="AN33" s="394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</row>
    <row r="34" spans="1:149" x14ac:dyDescent="0.35">
      <c r="A34" s="222"/>
      <c r="B34" s="448" t="str">
        <f>IF(B$9=0,"",+(B32*10)/B$9)</f>
        <v/>
      </c>
      <c r="C34" s="448" t="str">
        <f t="shared" ref="C34:AF34" si="10">IF(C$9=0,"",+(C32*10)/C$9)</f>
        <v/>
      </c>
      <c r="D34" s="448">
        <f t="shared" si="10"/>
        <v>8.5016835016835017</v>
      </c>
      <c r="E34" s="448">
        <f>IF(E$9=0,"",+(E32*10)/E$9)</f>
        <v>9.685900096859001</v>
      </c>
      <c r="F34" s="448">
        <f t="shared" si="10"/>
        <v>11.416517440613825</v>
      </c>
      <c r="G34" s="448">
        <f>IF(G$9=0,"",+(G32*10)/G$9)</f>
        <v>10.735037390239453</v>
      </c>
      <c r="H34" s="448">
        <f t="shared" si="10"/>
        <v>11.263935314568226</v>
      </c>
      <c r="I34" s="448" t="str">
        <f t="shared" si="10"/>
        <v/>
      </c>
      <c r="J34" s="416" t="str">
        <f t="shared" si="10"/>
        <v/>
      </c>
      <c r="K34" s="416">
        <f>IF(K$9=0,"",+(K32*10)/K$9)</f>
        <v>16.727973375372219</v>
      </c>
      <c r="L34" s="416">
        <f>IF(L$9=0,"",+(L32*10)/L$9)</f>
        <v>16.354016354016352</v>
      </c>
      <c r="M34" s="416">
        <f t="shared" si="10"/>
        <v>28.362806955182322</v>
      </c>
      <c r="N34" s="416">
        <f>IF(N$9=0,"",+(N32*10)/N$9)</f>
        <v>13.171613647455521</v>
      </c>
      <c r="O34" s="416">
        <f>IF(O$9=0,"",+(O32*10)/O$9)</f>
        <v>12.332628611698377</v>
      </c>
      <c r="P34" s="416" t="str">
        <f t="shared" si="10"/>
        <v/>
      </c>
      <c r="Q34" s="416" t="str">
        <f>IF(Q$9=0,"",+(Q32*10)/Q$9)</f>
        <v/>
      </c>
      <c r="R34" s="416">
        <f t="shared" si="10"/>
        <v>21.287252692211368</v>
      </c>
      <c r="S34" s="416">
        <f t="shared" si="10"/>
        <v>7.5396880803116408</v>
      </c>
      <c r="T34" s="416">
        <f t="shared" si="10"/>
        <v>9.373716100055443</v>
      </c>
      <c r="U34" s="416">
        <f t="shared" si="10"/>
        <v>15.289833942683684</v>
      </c>
      <c r="V34" s="416">
        <f t="shared" si="10"/>
        <v>18.222883835532055</v>
      </c>
      <c r="W34" s="416" t="str">
        <f>IF(W$9=0,"",+(W32*10)/W$9)</f>
        <v/>
      </c>
      <c r="X34" s="416" t="str">
        <f t="shared" si="10"/>
        <v/>
      </c>
      <c r="Y34" s="416">
        <f>IF(Y$9=0,"",+(Y32*10)/Y$9)</f>
        <v>48.526400142462819</v>
      </c>
      <c r="Z34" s="416">
        <f t="shared" si="10"/>
        <v>7.5549053952611009</v>
      </c>
      <c r="AA34" s="416">
        <f t="shared" si="10"/>
        <v>9.4007608846896549</v>
      </c>
      <c r="AB34" s="416">
        <f>IF(AB$9=0,"",+(AB32*10)/AB$9)</f>
        <v>9.4242088330030196</v>
      </c>
      <c r="AC34" s="416">
        <f>IF(AC$9=0,"",+(AC32*10)/AC$9)</f>
        <v>23.210482778041783</v>
      </c>
      <c r="AD34" s="416">
        <f t="shared" si="10"/>
        <v>30.22432113341204</v>
      </c>
      <c r="AE34" s="416" t="str">
        <f>IF(AE$9=0,"",+(AE32*10)/AE$9)</f>
        <v/>
      </c>
      <c r="AF34" s="416">
        <f t="shared" si="10"/>
        <v>8.862608301073438</v>
      </c>
      <c r="AG34" s="416"/>
      <c r="AH34" s="449">
        <f>IF(AH$9=0,"",+(AH32*10)/AH$9)</f>
        <v>12.721815206583875</v>
      </c>
      <c r="AI34" s="450" t="s">
        <v>224</v>
      </c>
    </row>
    <row r="35" spans="1:149" x14ac:dyDescent="0.35">
      <c r="A35" s="229" t="s">
        <v>176</v>
      </c>
      <c r="B35" s="437"/>
      <c r="C35" s="437"/>
      <c r="D35" s="437"/>
      <c r="E35" s="437"/>
      <c r="F35" s="437"/>
      <c r="G35" s="437"/>
      <c r="H35" s="437"/>
      <c r="I35" s="437"/>
      <c r="J35" s="438"/>
      <c r="K35" s="438"/>
      <c r="L35" s="438"/>
      <c r="M35" s="438"/>
      <c r="AH35" s="408">
        <f>SUM($B35:AF35)</f>
        <v>0</v>
      </c>
      <c r="AI35" s="408"/>
    </row>
    <row r="36" spans="1:149" x14ac:dyDescent="0.35">
      <c r="A36" s="274" t="s">
        <v>77</v>
      </c>
      <c r="B36" s="451">
        <f>+'Water '!$J7</f>
        <v>1</v>
      </c>
      <c r="C36" s="451" t="str">
        <f>+'Water '!$J8</f>
        <v>0</v>
      </c>
      <c r="D36" s="451">
        <f>+'Water '!$J9</f>
        <v>187</v>
      </c>
      <c r="E36" s="451">
        <f>+'Water '!$J10</f>
        <v>212</v>
      </c>
      <c r="F36" s="451">
        <f>+'Water '!$J11</f>
        <v>173</v>
      </c>
      <c r="G36" s="451">
        <f>+'Water '!$J12</f>
        <v>193</v>
      </c>
      <c r="H36" s="452">
        <f>+'Water '!$J13</f>
        <v>216</v>
      </c>
      <c r="I36" s="451">
        <f>+'Water '!$J14</f>
        <v>71</v>
      </c>
      <c r="J36" s="453" t="str">
        <f>+'Water '!$J15</f>
        <v>0</v>
      </c>
      <c r="K36" s="453">
        <f>+'Water '!$J16</f>
        <v>191</v>
      </c>
      <c r="L36" s="454">
        <f>+'Water '!$J17</f>
        <v>148</v>
      </c>
      <c r="M36" s="453">
        <f>+'Water '!$J18</f>
        <v>191</v>
      </c>
      <c r="N36" s="453">
        <f>+'Water '!$J19</f>
        <v>248</v>
      </c>
      <c r="O36" s="453">
        <f>+'Water '!$J20</f>
        <v>158</v>
      </c>
      <c r="P36" s="454" t="str">
        <f>+'Water '!$J21</f>
        <v>0</v>
      </c>
      <c r="Q36" s="453">
        <f>+'Water '!$J22</f>
        <v>33</v>
      </c>
      <c r="R36" s="454">
        <f>+'Water '!$J23</f>
        <v>161</v>
      </c>
      <c r="S36" s="453">
        <f>+'Water '!$J24</f>
        <v>144</v>
      </c>
      <c r="T36" s="454">
        <f>+'Water '!$J25</f>
        <v>242</v>
      </c>
      <c r="U36" s="453">
        <f>+'Water '!$J26</f>
        <v>191</v>
      </c>
      <c r="V36" s="453">
        <f>+'Water '!$J27</f>
        <v>90</v>
      </c>
      <c r="W36" s="453" t="str">
        <f>+'Water '!$J28</f>
        <v>0</v>
      </c>
      <c r="X36" s="453" t="str">
        <f>+'Water '!$J29</f>
        <v>0</v>
      </c>
      <c r="Y36" s="453">
        <f>+'Water '!$J30</f>
        <v>149</v>
      </c>
      <c r="Z36" s="453">
        <f>+'Water '!$J31</f>
        <v>160</v>
      </c>
      <c r="AA36" s="453">
        <f>+'Water '!$J32</f>
        <v>266</v>
      </c>
      <c r="AB36" s="453">
        <f>+'Water '!$J33</f>
        <v>218</v>
      </c>
      <c r="AC36" s="454">
        <f>+'Water '!$J34</f>
        <v>157</v>
      </c>
      <c r="AD36" s="454">
        <f>+'Water '!$J35</f>
        <v>29</v>
      </c>
      <c r="AE36" s="454" t="str">
        <f>+'Water '!$J36</f>
        <v>0</v>
      </c>
      <c r="AF36" s="454">
        <f>+'Water '!$J37</f>
        <v>75</v>
      </c>
      <c r="AG36" s="454"/>
      <c r="AH36" s="455">
        <f>SUM($B36:AF36)</f>
        <v>3904</v>
      </c>
      <c r="AI36" s="455"/>
      <c r="AJ36" s="456"/>
    </row>
    <row r="37" spans="1:149" s="219" customFormat="1" x14ac:dyDescent="0.35">
      <c r="A37" s="250" t="s">
        <v>243</v>
      </c>
      <c r="B37" s="457" t="str">
        <f>'Water '!X7</f>
        <v>0</v>
      </c>
      <c r="C37" s="457" t="str">
        <f>'Water '!X8</f>
        <v>0</v>
      </c>
      <c r="D37" s="457" t="str">
        <f>'Water '!X9</f>
        <v>0</v>
      </c>
      <c r="E37" s="457" t="str">
        <f>'Water '!X10</f>
        <v>0</v>
      </c>
      <c r="F37" s="457" t="str">
        <f>'Water '!X11</f>
        <v>0</v>
      </c>
      <c r="G37" s="457" t="str">
        <f>'Water '!X12</f>
        <v>0</v>
      </c>
      <c r="H37" s="457" t="str">
        <f>'Water '!X13</f>
        <v>0</v>
      </c>
      <c r="I37" s="457" t="str">
        <f>'Water '!X14</f>
        <v>0</v>
      </c>
      <c r="J37" s="458" t="str">
        <f>'Water '!X15</f>
        <v>0</v>
      </c>
      <c r="K37" s="458" t="str">
        <f>'Water '!X16</f>
        <v>0</v>
      </c>
      <c r="L37" s="458" t="str">
        <f>'Water '!X17</f>
        <v>0</v>
      </c>
      <c r="M37" s="458" t="str">
        <f>'Water '!X18</f>
        <v>0</v>
      </c>
      <c r="N37" s="458" t="str">
        <f>'Water '!X19</f>
        <v>0</v>
      </c>
      <c r="O37" s="458" t="str">
        <f>'Water '!X20</f>
        <v>0</v>
      </c>
      <c r="P37" s="458" t="str">
        <f>'Water '!X21</f>
        <v>0</v>
      </c>
      <c r="Q37" s="458" t="str">
        <f>'Water '!X22</f>
        <v>0</v>
      </c>
      <c r="R37" s="458" t="str">
        <f>'Water '!X23</f>
        <v>0</v>
      </c>
      <c r="S37" s="458" t="str">
        <f>'Water '!X24</f>
        <v>0</v>
      </c>
      <c r="T37" s="458" t="str">
        <f>'Water '!X25</f>
        <v>0</v>
      </c>
      <c r="U37" s="458" t="str">
        <f>'Water '!X26</f>
        <v>0</v>
      </c>
      <c r="V37" s="458" t="str">
        <f>'Water '!X27</f>
        <v>0</v>
      </c>
      <c r="W37" s="458" t="str">
        <f>'Water '!X28</f>
        <v>0</v>
      </c>
      <c r="X37" s="458" t="str">
        <f>'Water '!X29</f>
        <v>0</v>
      </c>
      <c r="Y37" s="458" t="str">
        <f>'Water '!X30</f>
        <v>0</v>
      </c>
      <c r="Z37" s="458" t="str">
        <f>'Water '!X31</f>
        <v>0</v>
      </c>
      <c r="AA37" s="458" t="str">
        <f>'Water '!X32</f>
        <v>0</v>
      </c>
      <c r="AB37" s="458" t="str">
        <f>'Water '!X33</f>
        <v>0</v>
      </c>
      <c r="AC37" s="458" t="str">
        <f>'Water '!X34</f>
        <v>0</v>
      </c>
      <c r="AD37" s="458" t="str">
        <f>'Water '!X35</f>
        <v>0</v>
      </c>
      <c r="AE37" s="458" t="str">
        <f>'Water '!Y35</f>
        <v>0</v>
      </c>
      <c r="AF37" s="458">
        <f>'Water '!Z35</f>
        <v>157</v>
      </c>
      <c r="AG37" s="458"/>
      <c r="AH37" s="459">
        <f>SUM($B37:AF37)</f>
        <v>157</v>
      </c>
      <c r="AI37" s="459"/>
      <c r="AJ37" s="460"/>
      <c r="AK37" s="395"/>
      <c r="AL37" s="395"/>
      <c r="AM37" s="395"/>
      <c r="AN37" s="395"/>
      <c r="AO37" s="395"/>
      <c r="AP37" s="395"/>
      <c r="AQ37" s="395"/>
      <c r="AR37" s="395"/>
      <c r="AS37" s="395"/>
      <c r="AT37" s="395"/>
      <c r="AU37" s="395"/>
      <c r="AV37" s="395"/>
      <c r="AW37" s="395"/>
      <c r="AX37" s="395"/>
      <c r="AY37" s="395"/>
      <c r="AZ37" s="395"/>
      <c r="BA37" s="395"/>
      <c r="BB37" s="395"/>
      <c r="BC37" s="395"/>
      <c r="BD37" s="395"/>
      <c r="BE37" s="395"/>
      <c r="BF37" s="395"/>
      <c r="BG37" s="395"/>
      <c r="BH37" s="208"/>
      <c r="BI37" s="208"/>
      <c r="BJ37" s="208"/>
      <c r="BK37" s="208"/>
      <c r="BL37" s="208"/>
      <c r="BM37" s="208"/>
      <c r="BN37" s="208"/>
      <c r="BO37" s="208"/>
      <c r="BP37" s="208"/>
      <c r="BQ37" s="208"/>
      <c r="BR37" s="208"/>
      <c r="BS37" s="208"/>
      <c r="BT37" s="208"/>
      <c r="BU37" s="208"/>
      <c r="BV37" s="208"/>
      <c r="BW37" s="208"/>
      <c r="BX37" s="208"/>
      <c r="BY37" s="208"/>
      <c r="BZ37" s="208"/>
      <c r="CA37" s="208"/>
      <c r="CB37" s="208"/>
      <c r="CC37" s="208"/>
      <c r="CD37" s="208"/>
      <c r="CE37" s="208"/>
      <c r="CF37" s="208"/>
      <c r="CG37" s="208"/>
      <c r="CH37" s="208"/>
      <c r="CI37" s="208"/>
      <c r="CJ37" s="208"/>
      <c r="CK37" s="208"/>
      <c r="CL37" s="208"/>
      <c r="CM37" s="208"/>
      <c r="CN37" s="208"/>
      <c r="CO37" s="208"/>
      <c r="CP37" s="208"/>
      <c r="CQ37" s="208"/>
      <c r="CR37" s="208"/>
      <c r="CS37" s="208"/>
      <c r="CT37" s="208"/>
      <c r="CU37" s="208"/>
      <c r="CV37" s="208"/>
      <c r="CW37" s="208"/>
      <c r="CX37" s="208"/>
      <c r="CY37" s="208"/>
      <c r="CZ37" s="208"/>
      <c r="DA37" s="208"/>
      <c r="DB37" s="208"/>
      <c r="DC37" s="208"/>
      <c r="DD37" s="208"/>
      <c r="DE37" s="208"/>
      <c r="DF37" s="208"/>
      <c r="DG37" s="208"/>
      <c r="DH37" s="208"/>
      <c r="DI37" s="208"/>
      <c r="DJ37" s="208"/>
      <c r="DK37" s="208"/>
      <c r="DL37" s="208"/>
      <c r="DM37" s="208"/>
      <c r="DN37" s="208"/>
      <c r="DO37" s="208"/>
      <c r="DP37" s="208"/>
      <c r="DQ37" s="208"/>
      <c r="DR37" s="208"/>
      <c r="DS37" s="208"/>
      <c r="DT37" s="208"/>
      <c r="DU37" s="208"/>
      <c r="DV37" s="208"/>
      <c r="DW37" s="208"/>
      <c r="DX37" s="208"/>
      <c r="DY37" s="208"/>
      <c r="DZ37" s="208"/>
      <c r="EA37" s="208"/>
      <c r="EB37" s="208"/>
      <c r="EC37" s="208"/>
      <c r="ED37" s="208"/>
      <c r="EE37" s="208"/>
      <c r="EF37" s="208"/>
      <c r="EG37" s="208"/>
      <c r="EH37" s="208"/>
      <c r="EI37" s="208"/>
      <c r="EJ37" s="208"/>
      <c r="EK37" s="208"/>
      <c r="EL37" s="208"/>
      <c r="EM37" s="208"/>
      <c r="EN37" s="208"/>
      <c r="EO37" s="208"/>
      <c r="EP37" s="208"/>
      <c r="EQ37" s="208"/>
      <c r="ER37" s="208"/>
      <c r="ES37" s="208"/>
    </row>
    <row r="38" spans="1:149" ht="32.25" customHeight="1" x14ac:dyDescent="0.35">
      <c r="A38" s="231" t="s">
        <v>201</v>
      </c>
      <c r="B38" s="461"/>
      <c r="C38" s="461"/>
      <c r="D38" s="461"/>
      <c r="E38" s="461"/>
      <c r="F38" s="461"/>
      <c r="G38" s="461"/>
      <c r="H38" s="461"/>
      <c r="I38" s="461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3"/>
      <c r="AI38" s="463"/>
      <c r="AJ38" s="464"/>
    </row>
    <row r="39" spans="1:149" x14ac:dyDescent="0.35">
      <c r="A39" s="232" t="s">
        <v>233</v>
      </c>
      <c r="B39" s="465" t="str">
        <f>+'Water '!$K7</f>
        <v>0</v>
      </c>
      <c r="C39" s="465" t="str">
        <f>+'Water '!$K8</f>
        <v>0</v>
      </c>
      <c r="D39" s="465" t="str">
        <f>+'Water '!$K9</f>
        <v>0</v>
      </c>
      <c r="E39" s="465" t="str">
        <f>+'Water '!$K10</f>
        <v>0</v>
      </c>
      <c r="F39" s="465" t="str">
        <f>+'Water '!$K9</f>
        <v>0</v>
      </c>
      <c r="G39" s="465" t="str">
        <f>+'Water '!$K12</f>
        <v>0</v>
      </c>
      <c r="H39" s="465" t="str">
        <f>+'Water '!$K13</f>
        <v>0</v>
      </c>
      <c r="I39" s="465" t="str">
        <f>+'Water '!$K14</f>
        <v>0</v>
      </c>
      <c r="J39" s="466" t="str">
        <f>+'Water '!$K15</f>
        <v>0</v>
      </c>
      <c r="K39" s="466" t="str">
        <f>+'Water '!$K16</f>
        <v>0</v>
      </c>
      <c r="L39" s="466" t="str">
        <f>+'Water '!$K17</f>
        <v>0</v>
      </c>
      <c r="M39" s="466" t="str">
        <f>+'Water '!$K18</f>
        <v>0</v>
      </c>
      <c r="N39" s="466" t="str">
        <f>+'Water '!$K19</f>
        <v>0</v>
      </c>
      <c r="O39" s="466" t="str">
        <f>+'Water '!$K20</f>
        <v>0</v>
      </c>
      <c r="P39" s="466" t="str">
        <f>+'Water '!$K21</f>
        <v>0</v>
      </c>
      <c r="Q39" s="466" t="str">
        <f>+'Water '!$K22</f>
        <v>0</v>
      </c>
      <c r="R39" s="466" t="str">
        <f>+'Water '!$K23</f>
        <v>0</v>
      </c>
      <c r="S39" s="466" t="str">
        <f>+'Water '!$K24</f>
        <v>0</v>
      </c>
      <c r="T39" s="466" t="str">
        <f>+'Water '!$K25</f>
        <v>0</v>
      </c>
      <c r="U39" s="466" t="str">
        <f>+'Water '!$K26</f>
        <v>0</v>
      </c>
      <c r="V39" s="466" t="str">
        <f>+'Water '!$K27</f>
        <v>0</v>
      </c>
      <c r="W39" s="466" t="str">
        <f>+'Water '!$K28</f>
        <v>0</v>
      </c>
      <c r="X39" s="466" t="str">
        <f>+'Water '!$K29</f>
        <v>0</v>
      </c>
      <c r="Y39" s="466" t="str">
        <f>+'Water '!$K30</f>
        <v>0</v>
      </c>
      <c r="Z39" s="466" t="str">
        <f>+'Water '!$K31</f>
        <v>0</v>
      </c>
      <c r="AA39" s="466" t="str">
        <f>+'Water '!$K32</f>
        <v>0</v>
      </c>
      <c r="AB39" s="466" t="str">
        <f>+'Water '!$K33</f>
        <v>0</v>
      </c>
      <c r="AC39" s="466" t="str">
        <f>+'Water '!$K34</f>
        <v>0</v>
      </c>
      <c r="AD39" s="466" t="str">
        <f>+'Water '!$K35</f>
        <v>0</v>
      </c>
      <c r="AE39" s="466" t="str">
        <f>+'Water '!$K36</f>
        <v>0</v>
      </c>
      <c r="AF39" s="466" t="str">
        <f>+'Water '!$K37</f>
        <v>0</v>
      </c>
      <c r="AG39" s="466"/>
      <c r="AH39" s="463">
        <f>SUM($B39:AF39)</f>
        <v>0</v>
      </c>
      <c r="AI39" s="463"/>
      <c r="AJ39" s="463"/>
    </row>
    <row r="40" spans="1:149" s="219" customFormat="1" ht="27" customHeight="1" x14ac:dyDescent="0.35">
      <c r="A40" s="230" t="s">
        <v>181</v>
      </c>
      <c r="B40" s="457" t="str">
        <f>'Water '!L7</f>
        <v>0</v>
      </c>
      <c r="C40" s="457" t="str">
        <f>'Water '!L8</f>
        <v>0</v>
      </c>
      <c r="D40" s="457" t="str">
        <f>'Water '!L9</f>
        <v>0</v>
      </c>
      <c r="E40" s="457" t="str">
        <f>'Water '!L10</f>
        <v>0</v>
      </c>
      <c r="F40" s="457" t="str">
        <f>'Water '!L11</f>
        <v>0</v>
      </c>
      <c r="G40" s="457" t="str">
        <f>'Water '!L12</f>
        <v>0</v>
      </c>
      <c r="H40" s="457" t="str">
        <f>'Water '!L13</f>
        <v>0</v>
      </c>
      <c r="I40" s="457" t="str">
        <f>'Water '!L14</f>
        <v>0</v>
      </c>
      <c r="J40" s="458" t="str">
        <f>'Water '!L15</f>
        <v>0</v>
      </c>
      <c r="K40" s="458" t="str">
        <f>'Water '!L16</f>
        <v>0</v>
      </c>
      <c r="L40" s="458" t="str">
        <f>'Water '!L17</f>
        <v>0</v>
      </c>
      <c r="M40" s="458" t="str">
        <f>'Water '!L18</f>
        <v>0</v>
      </c>
      <c r="N40" s="458" t="str">
        <f>'Water '!L19</f>
        <v>0</v>
      </c>
      <c r="O40" s="458" t="str">
        <f>'Water '!L20</f>
        <v>0</v>
      </c>
      <c r="P40" s="458" t="str">
        <f>'Water '!L21</f>
        <v>0</v>
      </c>
      <c r="Q40" s="458" t="str">
        <f>'Water '!L22</f>
        <v>0</v>
      </c>
      <c r="R40" s="458" t="str">
        <f>'Water '!L23</f>
        <v>0</v>
      </c>
      <c r="S40" s="458" t="str">
        <f>'Water '!L24</f>
        <v>0</v>
      </c>
      <c r="T40" s="458" t="str">
        <f>'Water '!L25</f>
        <v>0</v>
      </c>
      <c r="U40" s="458" t="str">
        <f>'Water '!L26</f>
        <v>0</v>
      </c>
      <c r="V40" s="458" t="str">
        <f>'Water '!L27</f>
        <v>0</v>
      </c>
      <c r="W40" s="458" t="str">
        <f>'Water '!L28</f>
        <v>0</v>
      </c>
      <c r="X40" s="458" t="str">
        <f>'Water '!L29</f>
        <v>0</v>
      </c>
      <c r="Y40" s="458" t="str">
        <f>'Water '!L30</f>
        <v>0</v>
      </c>
      <c r="Z40" s="458" t="str">
        <f>'Water '!L31</f>
        <v>0</v>
      </c>
      <c r="AA40" s="458" t="str">
        <f>'Water '!L32</f>
        <v>0</v>
      </c>
      <c r="AB40" s="458" t="str">
        <f>'Water '!L33</f>
        <v>0</v>
      </c>
      <c r="AC40" s="458" t="str">
        <f>'Water '!L34</f>
        <v>0</v>
      </c>
      <c r="AD40" s="458" t="str">
        <f>'Water '!L35</f>
        <v>0</v>
      </c>
      <c r="AE40" s="458" t="str">
        <f>'Water '!L36</f>
        <v>0</v>
      </c>
      <c r="AF40" s="458" t="str">
        <f>'Water '!L37</f>
        <v>0</v>
      </c>
      <c r="AG40" s="458"/>
      <c r="AH40" s="459">
        <f>SUM($B40:AF40)</f>
        <v>0</v>
      </c>
      <c r="AI40" s="459"/>
      <c r="AJ40" s="459"/>
      <c r="AK40" s="395"/>
      <c r="AL40" s="395"/>
      <c r="AM40" s="395"/>
      <c r="AN40" s="395"/>
      <c r="AO40" s="395"/>
      <c r="AP40" s="395"/>
      <c r="AQ40" s="395"/>
      <c r="AR40" s="395"/>
      <c r="AS40" s="395"/>
      <c r="AT40" s="395"/>
      <c r="AU40" s="395"/>
      <c r="AV40" s="395"/>
      <c r="AW40" s="395"/>
      <c r="AX40" s="395"/>
      <c r="AY40" s="395"/>
      <c r="AZ40" s="395"/>
      <c r="BA40" s="395"/>
      <c r="BB40" s="395"/>
      <c r="BC40" s="395"/>
      <c r="BD40" s="395"/>
      <c r="BE40" s="395"/>
      <c r="BF40" s="395"/>
      <c r="BG40" s="395"/>
      <c r="BH40" s="208"/>
      <c r="BI40" s="208"/>
      <c r="BJ40" s="208"/>
      <c r="BK40" s="208"/>
      <c r="BL40" s="208"/>
      <c r="BM40" s="208"/>
      <c r="BN40" s="208"/>
      <c r="BO40" s="208"/>
      <c r="BP40" s="208"/>
      <c r="BQ40" s="208"/>
      <c r="BR40" s="208"/>
      <c r="BS40" s="208"/>
      <c r="BT40" s="208"/>
      <c r="BU40" s="208"/>
      <c r="BV40" s="208"/>
      <c r="BW40" s="208"/>
      <c r="BX40" s="208"/>
      <c r="BY40" s="208"/>
      <c r="BZ40" s="208"/>
      <c r="CA40" s="208"/>
      <c r="CB40" s="208"/>
      <c r="CC40" s="208"/>
      <c r="CD40" s="208"/>
      <c r="CE40" s="208"/>
      <c r="CF40" s="208"/>
      <c r="CG40" s="208"/>
      <c r="CH40" s="208"/>
      <c r="CI40" s="208"/>
      <c r="CJ40" s="208"/>
      <c r="CK40" s="208"/>
      <c r="CL40" s="208"/>
      <c r="CM40" s="208"/>
      <c r="CN40" s="208"/>
      <c r="CO40" s="208"/>
      <c r="CP40" s="208"/>
      <c r="CQ40" s="208"/>
      <c r="CR40" s="208"/>
      <c r="CS40" s="208"/>
      <c r="CT40" s="208"/>
      <c r="CU40" s="208"/>
      <c r="CV40" s="208"/>
      <c r="CW40" s="208"/>
      <c r="CX40" s="208"/>
      <c r="CY40" s="208"/>
      <c r="CZ40" s="208"/>
      <c r="DA40" s="208"/>
      <c r="DB40" s="208"/>
      <c r="DC40" s="208"/>
      <c r="DD40" s="208"/>
      <c r="DE40" s="208"/>
      <c r="DF40" s="208"/>
      <c r="DG40" s="208"/>
      <c r="DH40" s="208"/>
      <c r="DI40" s="208"/>
      <c r="DJ40" s="208"/>
      <c r="DK40" s="208"/>
      <c r="DL40" s="208"/>
      <c r="DM40" s="208"/>
      <c r="DN40" s="208"/>
      <c r="DO40" s="208"/>
      <c r="DP40" s="208"/>
      <c r="DQ40" s="208"/>
      <c r="DR40" s="208"/>
      <c r="DS40" s="208"/>
      <c r="DT40" s="208"/>
      <c r="DU40" s="208"/>
      <c r="DV40" s="208"/>
      <c r="DW40" s="208"/>
      <c r="DX40" s="208"/>
      <c r="DY40" s="208"/>
      <c r="DZ40" s="208"/>
      <c r="EA40" s="208"/>
      <c r="EB40" s="208"/>
      <c r="EC40" s="208"/>
      <c r="ED40" s="208"/>
      <c r="EE40" s="208"/>
      <c r="EF40" s="208"/>
      <c r="EG40" s="208"/>
      <c r="EH40" s="208"/>
      <c r="EI40" s="208"/>
      <c r="EJ40" s="208"/>
      <c r="EK40" s="208"/>
      <c r="EL40" s="208"/>
      <c r="EM40" s="208"/>
      <c r="EN40" s="208"/>
      <c r="EO40" s="208"/>
      <c r="EP40" s="208"/>
      <c r="EQ40" s="208"/>
      <c r="ER40" s="208"/>
      <c r="ES40" s="208"/>
    </row>
    <row r="41" spans="1:149" s="219" customFormat="1" x14ac:dyDescent="0.35">
      <c r="A41" s="230" t="s">
        <v>103</v>
      </c>
      <c r="B41" s="467" t="str">
        <f>+'Water '!$N7</f>
        <v>0</v>
      </c>
      <c r="C41" s="467" t="str">
        <f>+'Water '!$N8</f>
        <v>0</v>
      </c>
      <c r="D41" s="467">
        <f>+'Water '!$N9</f>
        <v>21</v>
      </c>
      <c r="E41" s="467">
        <f>+'Water '!$N10</f>
        <v>45</v>
      </c>
      <c r="F41" s="467">
        <f>+'Water '!$N11</f>
        <v>70</v>
      </c>
      <c r="G41" s="467">
        <f>+'Water '!$N12</f>
        <v>85</v>
      </c>
      <c r="H41" s="467">
        <f>+'Water '!$N13</f>
        <v>21</v>
      </c>
      <c r="I41" s="467">
        <f>+'Water '!$N14</f>
        <v>14</v>
      </c>
      <c r="J41" s="468" t="str">
        <f>+'Water '!$N15</f>
        <v>0</v>
      </c>
      <c r="K41" s="468">
        <f>+'Water '!$N16</f>
        <v>59</v>
      </c>
      <c r="L41" s="468">
        <f>+'Water '!$N17</f>
        <v>19</v>
      </c>
      <c r="M41" s="468">
        <f>+'Water '!$N18</f>
        <v>42</v>
      </c>
      <c r="N41" s="468">
        <f>+'Water '!$N19</f>
        <v>46</v>
      </c>
      <c r="O41" s="468">
        <f>+'Water '!$N20</f>
        <v>37</v>
      </c>
      <c r="P41" s="468" t="str">
        <f>+'Water '!$N21</f>
        <v>0</v>
      </c>
      <c r="Q41" s="468">
        <f>+'Water '!$N22</f>
        <v>16</v>
      </c>
      <c r="R41" s="468">
        <f>+'Water '!$N23</f>
        <v>33</v>
      </c>
      <c r="S41" s="468">
        <f>+'Water '!$N24</f>
        <v>31</v>
      </c>
      <c r="T41" s="468">
        <f>+'Water '!$N25</f>
        <v>31</v>
      </c>
      <c r="U41" s="468">
        <f>+'Water '!$N26</f>
        <v>43</v>
      </c>
      <c r="V41" s="468">
        <f>+'Water '!$N27</f>
        <v>17</v>
      </c>
      <c r="W41" s="468" t="str">
        <f>+'Water '!$N28</f>
        <v>0</v>
      </c>
      <c r="X41" s="468" t="str">
        <f>+'Water '!$N29</f>
        <v>0</v>
      </c>
      <c r="Y41" s="468">
        <f>+'Water '!$N30</f>
        <v>31</v>
      </c>
      <c r="Z41" s="468">
        <f>+'Water '!$N31</f>
        <v>45</v>
      </c>
      <c r="AA41" s="468">
        <f>+'Water '!$N32</f>
        <v>44</v>
      </c>
      <c r="AB41" s="468">
        <f>+'Water '!$N33</f>
        <v>37</v>
      </c>
      <c r="AC41" s="468">
        <f>+'Water '!$N34</f>
        <v>81</v>
      </c>
      <c r="AD41" s="468">
        <f>+'Water '!$N35</f>
        <v>18</v>
      </c>
      <c r="AE41" s="468" t="str">
        <f>+'Water '!$N36</f>
        <v>0</v>
      </c>
      <c r="AF41" s="468">
        <f>+'Water '!$N37</f>
        <v>35</v>
      </c>
      <c r="AG41" s="468"/>
      <c r="AH41" s="459">
        <f>SUM($B41:AF41)</f>
        <v>921</v>
      </c>
      <c r="AI41" s="459"/>
      <c r="AJ41" s="459"/>
      <c r="AK41" s="395"/>
      <c r="AL41" s="395"/>
      <c r="AM41" s="395"/>
      <c r="AN41" s="395"/>
      <c r="AO41" s="395"/>
      <c r="AP41" s="395"/>
      <c r="AQ41" s="395"/>
      <c r="AR41" s="395"/>
      <c r="AS41" s="395"/>
      <c r="AT41" s="395"/>
      <c r="AU41" s="395"/>
      <c r="AV41" s="395"/>
      <c r="AW41" s="395"/>
      <c r="AX41" s="395"/>
      <c r="AY41" s="395"/>
      <c r="AZ41" s="395"/>
      <c r="BA41" s="395"/>
      <c r="BB41" s="395"/>
      <c r="BC41" s="395"/>
      <c r="BD41" s="395"/>
      <c r="BE41" s="395"/>
      <c r="BF41" s="395"/>
      <c r="BG41" s="395"/>
      <c r="BH41" s="208"/>
      <c r="BI41" s="208"/>
      <c r="BJ41" s="208"/>
      <c r="BK41" s="208"/>
      <c r="BL41" s="208"/>
      <c r="BM41" s="208"/>
      <c r="BN41" s="208"/>
      <c r="BO41" s="208"/>
      <c r="BP41" s="208"/>
      <c r="BQ41" s="208"/>
      <c r="BR41" s="208"/>
      <c r="BS41" s="208"/>
      <c r="BT41" s="208"/>
      <c r="BU41" s="208"/>
      <c r="BV41" s="208"/>
      <c r="BW41" s="208"/>
      <c r="BX41" s="208"/>
      <c r="BY41" s="208"/>
      <c r="BZ41" s="208"/>
      <c r="CA41" s="208"/>
      <c r="CB41" s="208"/>
      <c r="CC41" s="208"/>
      <c r="CD41" s="208"/>
      <c r="CE41" s="208"/>
      <c r="CF41" s="208"/>
      <c r="CG41" s="208"/>
      <c r="CH41" s="208"/>
      <c r="CI41" s="208"/>
      <c r="CJ41" s="208"/>
      <c r="CK41" s="208"/>
      <c r="CL41" s="208"/>
      <c r="CM41" s="208"/>
      <c r="CN41" s="208"/>
      <c r="CO41" s="208"/>
      <c r="CP41" s="208"/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208"/>
      <c r="DH41" s="208"/>
      <c r="DI41" s="208"/>
      <c r="DJ41" s="208"/>
      <c r="DK41" s="208"/>
      <c r="DL41" s="208"/>
      <c r="DM41" s="208"/>
      <c r="DN41" s="208"/>
      <c r="DO41" s="208"/>
      <c r="DP41" s="208"/>
      <c r="DQ41" s="208"/>
      <c r="DR41" s="208"/>
      <c r="DS41" s="208"/>
      <c r="DT41" s="208"/>
      <c r="DU41" s="208"/>
      <c r="DV41" s="208"/>
      <c r="DW41" s="208"/>
      <c r="DX41" s="208"/>
      <c r="DY41" s="208"/>
      <c r="DZ41" s="208"/>
      <c r="EA41" s="208"/>
      <c r="EB41" s="208"/>
      <c r="EC41" s="208"/>
      <c r="ED41" s="208"/>
      <c r="EE41" s="208"/>
      <c r="EF41" s="208"/>
      <c r="EG41" s="208"/>
      <c r="EH41" s="208"/>
      <c r="EI41" s="208"/>
      <c r="EJ41" s="208"/>
      <c r="EK41" s="208"/>
      <c r="EL41" s="208"/>
      <c r="EM41" s="208"/>
      <c r="EN41" s="208"/>
      <c r="EO41" s="208"/>
      <c r="EP41" s="208"/>
      <c r="EQ41" s="208"/>
      <c r="ER41" s="208"/>
      <c r="ES41" s="208"/>
    </row>
    <row r="42" spans="1:149" s="219" customFormat="1" x14ac:dyDescent="0.35">
      <c r="A42" s="231" t="s">
        <v>132</v>
      </c>
      <c r="B42" s="465">
        <f>+'Water '!$O7</f>
        <v>36</v>
      </c>
      <c r="C42" s="465" t="str">
        <f>+'Water '!$O8</f>
        <v>0</v>
      </c>
      <c r="D42" s="465">
        <f>+'Water '!$O9</f>
        <v>63</v>
      </c>
      <c r="E42" s="465">
        <f>+'Water '!$O10</f>
        <v>83</v>
      </c>
      <c r="F42" s="465">
        <f>+'Water '!$O11</f>
        <v>60</v>
      </c>
      <c r="G42" s="465">
        <f>+'Water '!$O12</f>
        <v>58</v>
      </c>
      <c r="H42" s="465">
        <f>+'Water '!$O13</f>
        <v>48</v>
      </c>
      <c r="I42" s="465">
        <f>+'Water '!$O14</f>
        <v>25</v>
      </c>
      <c r="J42" s="466" t="str">
        <f>+'Water '!$O15</f>
        <v>0</v>
      </c>
      <c r="K42" s="466">
        <f>+'Water '!$O16</f>
        <v>39</v>
      </c>
      <c r="L42" s="466">
        <f>+'Water '!$O17</f>
        <v>35</v>
      </c>
      <c r="M42" s="465">
        <f>+'Water '!$O18</f>
        <v>41</v>
      </c>
      <c r="N42" s="466">
        <f>+'Water '!$O19</f>
        <v>59</v>
      </c>
      <c r="O42" s="466">
        <f>+'Water '!$O20</f>
        <v>47</v>
      </c>
      <c r="P42" s="466" t="str">
        <f>+'Water '!$O21</f>
        <v>0</v>
      </c>
      <c r="Q42" s="466">
        <f>+'Water '!$O22</f>
        <v>36</v>
      </c>
      <c r="R42" s="466">
        <f>+'Water '!$O23</f>
        <v>32</v>
      </c>
      <c r="S42" s="466">
        <f>+'Water '!$O24</f>
        <v>61</v>
      </c>
      <c r="T42" s="466">
        <f>+'Water '!$O25</f>
        <v>73</v>
      </c>
      <c r="U42" s="466">
        <f>+'Water '!$O26</f>
        <v>76</v>
      </c>
      <c r="V42" s="466">
        <f>+'Water '!$O27</f>
        <v>38</v>
      </c>
      <c r="W42" s="466" t="str">
        <f>+'Water '!$O28</f>
        <v>0</v>
      </c>
      <c r="X42" s="466">
        <f>+'Water '!$O29</f>
        <v>33</v>
      </c>
      <c r="Y42" s="466">
        <f>+'Water '!$O30</f>
        <v>60</v>
      </c>
      <c r="Z42" s="466">
        <f>+'Water '!$O31</f>
        <v>143</v>
      </c>
      <c r="AA42" s="466">
        <f>+'Water '!$O32</f>
        <v>108</v>
      </c>
      <c r="AB42" s="466">
        <f>+'Water '!$O33</f>
        <v>95</v>
      </c>
      <c r="AC42" s="466">
        <f>+'Water '!$O34</f>
        <v>61</v>
      </c>
      <c r="AD42" s="466" t="str">
        <f>+'Water '!$O35</f>
        <v>0</v>
      </c>
      <c r="AE42" s="466" t="str">
        <f>+'Water '!$O36</f>
        <v>0</v>
      </c>
      <c r="AF42" s="466">
        <f>+'Water '!$O37</f>
        <v>86</v>
      </c>
      <c r="AG42" s="466"/>
      <c r="AH42" s="469">
        <f>SUM($B42:AF42)</f>
        <v>1496</v>
      </c>
      <c r="AI42" s="465"/>
      <c r="AJ42" s="465"/>
      <c r="AK42" s="395"/>
      <c r="AL42" s="395"/>
      <c r="AM42" s="395"/>
      <c r="AN42" s="395"/>
      <c r="AO42" s="395"/>
      <c r="AP42" s="395"/>
      <c r="AQ42" s="395"/>
      <c r="AR42" s="395"/>
      <c r="AS42" s="395"/>
      <c r="AT42" s="395"/>
      <c r="AU42" s="395"/>
      <c r="AV42" s="395"/>
      <c r="AW42" s="395"/>
      <c r="AX42" s="395"/>
      <c r="AY42" s="395"/>
      <c r="AZ42" s="395"/>
      <c r="BA42" s="395"/>
      <c r="BB42" s="395"/>
      <c r="BC42" s="395"/>
      <c r="BD42" s="395"/>
      <c r="BE42" s="395"/>
      <c r="BF42" s="395"/>
      <c r="BG42" s="395"/>
      <c r="BH42" s="208"/>
      <c r="BI42" s="208"/>
      <c r="BJ42" s="208"/>
      <c r="BK42" s="208"/>
      <c r="BL42" s="208"/>
      <c r="BM42" s="208"/>
      <c r="BN42" s="208"/>
      <c r="BO42" s="208"/>
      <c r="BP42" s="208"/>
      <c r="BQ42" s="208"/>
      <c r="BR42" s="208"/>
      <c r="BS42" s="208"/>
      <c r="BT42" s="208"/>
      <c r="BU42" s="208"/>
      <c r="BV42" s="208"/>
      <c r="BW42" s="208"/>
      <c r="BX42" s="208"/>
      <c r="BY42" s="208"/>
      <c r="BZ42" s="208"/>
      <c r="CA42" s="208"/>
      <c r="CB42" s="208"/>
      <c r="CC42" s="208"/>
      <c r="CD42" s="208"/>
      <c r="CE42" s="208"/>
      <c r="CF42" s="208"/>
      <c r="CG42" s="208"/>
      <c r="CH42" s="208"/>
      <c r="CI42" s="208"/>
      <c r="CJ42" s="208"/>
      <c r="CK42" s="208"/>
      <c r="CL42" s="208"/>
      <c r="CM42" s="208"/>
      <c r="CN42" s="208"/>
      <c r="CO42" s="208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208"/>
      <c r="DH42" s="208"/>
      <c r="DI42" s="208"/>
      <c r="DJ42" s="208"/>
      <c r="DK42" s="208"/>
      <c r="DL42" s="208"/>
      <c r="DM42" s="208"/>
      <c r="DN42" s="208"/>
      <c r="DO42" s="208"/>
      <c r="DP42" s="208"/>
      <c r="DQ42" s="208"/>
      <c r="DR42" s="208"/>
      <c r="DS42" s="208"/>
      <c r="DT42" s="208"/>
      <c r="DU42" s="208"/>
      <c r="DV42" s="208"/>
      <c r="DW42" s="208"/>
      <c r="DX42" s="208"/>
      <c r="DY42" s="208"/>
      <c r="DZ42" s="208"/>
      <c r="EA42" s="208"/>
      <c r="EB42" s="208"/>
      <c r="EC42" s="208"/>
      <c r="ED42" s="208"/>
      <c r="EE42" s="208"/>
      <c r="EF42" s="208"/>
      <c r="EG42" s="208"/>
      <c r="EH42" s="208"/>
      <c r="EI42" s="208"/>
      <c r="EJ42" s="208"/>
      <c r="EK42" s="208"/>
      <c r="EL42" s="208"/>
      <c r="EM42" s="208"/>
      <c r="EN42" s="208"/>
      <c r="EO42" s="208"/>
      <c r="EP42" s="208"/>
      <c r="EQ42" s="208"/>
      <c r="ER42" s="208"/>
      <c r="ES42" s="208"/>
    </row>
    <row r="43" spans="1:149" s="219" customFormat="1" x14ac:dyDescent="0.35">
      <c r="A43" s="230" t="s">
        <v>177</v>
      </c>
      <c r="B43" s="571" t="str" cm="1">
        <f t="array" ref="B43:AF43">TRANSPOSE('Water '!P7:P37)</f>
        <v>0</v>
      </c>
      <c r="C43" s="571" t="str">
        <v>0</v>
      </c>
      <c r="D43" s="571">
        <v>2</v>
      </c>
      <c r="E43" s="571">
        <v>22</v>
      </c>
      <c r="F43" s="572">
        <v>15</v>
      </c>
      <c r="G43" s="572">
        <v>23</v>
      </c>
      <c r="H43" s="572">
        <v>13</v>
      </c>
      <c r="I43" s="572" t="str">
        <v>0</v>
      </c>
      <c r="J43" s="573" t="str">
        <v>0</v>
      </c>
      <c r="K43" s="573">
        <v>14</v>
      </c>
      <c r="L43" s="573">
        <v>14</v>
      </c>
      <c r="M43" s="573">
        <v>8</v>
      </c>
      <c r="N43" s="573">
        <v>14</v>
      </c>
      <c r="O43" s="573">
        <v>11</v>
      </c>
      <c r="P43" s="573" t="str">
        <v>0</v>
      </c>
      <c r="Q43" s="573" t="str">
        <v>0</v>
      </c>
      <c r="R43" s="573">
        <v>21</v>
      </c>
      <c r="S43" s="573">
        <v>19</v>
      </c>
      <c r="T43" s="573">
        <v>24</v>
      </c>
      <c r="U43" s="573">
        <v>23</v>
      </c>
      <c r="V43" s="573">
        <v>5</v>
      </c>
      <c r="W43" s="573" t="str">
        <v>0</v>
      </c>
      <c r="X43" s="573" t="str">
        <v>0</v>
      </c>
      <c r="Y43" s="573">
        <v>8</v>
      </c>
      <c r="Z43" s="573">
        <v>25</v>
      </c>
      <c r="AA43" s="573">
        <v>23</v>
      </c>
      <c r="AB43" s="573">
        <v>23</v>
      </c>
      <c r="AC43" s="573">
        <v>10</v>
      </c>
      <c r="AD43" s="573" t="str">
        <v>0</v>
      </c>
      <c r="AE43" s="573" t="str">
        <v>0</v>
      </c>
      <c r="AF43" s="573">
        <v>22</v>
      </c>
      <c r="AG43" s="573"/>
      <c r="AH43" s="574">
        <f>SUM($B43:AF43)</f>
        <v>339</v>
      </c>
      <c r="AI43" s="575"/>
      <c r="AJ43" s="460"/>
      <c r="AK43" s="395"/>
      <c r="AL43" s="437"/>
      <c r="AM43" s="395"/>
      <c r="AN43" s="395"/>
      <c r="AO43" s="395"/>
      <c r="AP43" s="395"/>
      <c r="AQ43" s="395"/>
      <c r="AR43" s="395"/>
      <c r="AS43" s="395"/>
      <c r="AT43" s="395"/>
      <c r="AU43" s="395"/>
      <c r="AV43" s="395"/>
      <c r="AW43" s="395"/>
      <c r="AX43" s="395"/>
      <c r="AY43" s="395"/>
      <c r="AZ43" s="395"/>
      <c r="BA43" s="395"/>
      <c r="BB43" s="395"/>
      <c r="BC43" s="395"/>
      <c r="BD43" s="395"/>
      <c r="BE43" s="395"/>
      <c r="BF43" s="395"/>
      <c r="BG43" s="395"/>
      <c r="BH43" s="208"/>
      <c r="BI43" s="208"/>
      <c r="BJ43" s="208"/>
      <c r="BK43" s="208"/>
      <c r="BL43" s="208"/>
      <c r="BM43" s="208"/>
      <c r="BN43" s="208"/>
      <c r="BO43" s="208"/>
      <c r="BP43" s="208"/>
      <c r="BQ43" s="208"/>
      <c r="BR43" s="208"/>
      <c r="BS43" s="208"/>
      <c r="BT43" s="208"/>
      <c r="BU43" s="208"/>
      <c r="BV43" s="208"/>
      <c r="BW43" s="208"/>
      <c r="BX43" s="208"/>
      <c r="BY43" s="208"/>
      <c r="BZ43" s="208"/>
      <c r="CA43" s="208"/>
      <c r="CB43" s="208"/>
      <c r="CC43" s="208"/>
      <c r="CD43" s="208"/>
      <c r="CE43" s="208"/>
      <c r="CF43" s="208"/>
      <c r="CG43" s="208"/>
      <c r="CH43" s="208"/>
      <c r="CI43" s="208"/>
      <c r="CJ43" s="208"/>
      <c r="CK43" s="208"/>
      <c r="CL43" s="208"/>
      <c r="CM43" s="208"/>
      <c r="CN43" s="208"/>
      <c r="CO43" s="208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208"/>
      <c r="DH43" s="208"/>
      <c r="DI43" s="208"/>
      <c r="DJ43" s="208"/>
      <c r="DK43" s="208"/>
      <c r="DL43" s="208"/>
      <c r="DM43" s="208"/>
      <c r="DN43" s="208"/>
      <c r="DO43" s="208"/>
      <c r="DP43" s="208"/>
      <c r="DQ43" s="208"/>
      <c r="DR43" s="208"/>
      <c r="DS43" s="208"/>
      <c r="DT43" s="208"/>
      <c r="DU43" s="208"/>
      <c r="DV43" s="208"/>
      <c r="DW43" s="208"/>
      <c r="DX43" s="208"/>
      <c r="DY43" s="208"/>
      <c r="DZ43" s="208"/>
      <c r="EA43" s="208"/>
      <c r="EB43" s="208"/>
      <c r="EC43" s="208"/>
      <c r="ED43" s="208"/>
      <c r="EE43" s="208"/>
      <c r="EF43" s="208"/>
      <c r="EG43" s="208"/>
      <c r="EH43" s="208"/>
      <c r="EI43" s="208"/>
      <c r="EJ43" s="208"/>
      <c r="EK43" s="208"/>
      <c r="EL43" s="208"/>
      <c r="EM43" s="208"/>
      <c r="EN43" s="208"/>
      <c r="EO43" s="208"/>
      <c r="EP43" s="208"/>
      <c r="EQ43" s="208"/>
      <c r="ER43" s="208"/>
      <c r="ES43" s="208"/>
    </row>
    <row r="44" spans="1:149" s="219" customFormat="1" x14ac:dyDescent="0.35">
      <c r="A44" s="232" t="s">
        <v>131</v>
      </c>
      <c r="B44" s="470" t="str">
        <f>+'Water '!$M7</f>
        <v>0</v>
      </c>
      <c r="C44" s="466" t="str">
        <f>+'Water '!$M8</f>
        <v>0</v>
      </c>
      <c r="D44" s="466" t="str">
        <f>+'Water '!$M9</f>
        <v>0</v>
      </c>
      <c r="E44" s="466">
        <f>+'Water '!$M10</f>
        <v>8</v>
      </c>
      <c r="F44" s="466" t="str">
        <f>+'Water '!$M11</f>
        <v>0</v>
      </c>
      <c r="G44" s="466" t="str">
        <f>+'Water '!$M12</f>
        <v>0</v>
      </c>
      <c r="H44" s="471" t="str">
        <f>+'Water '!$M13</f>
        <v>0</v>
      </c>
      <c r="I44" s="466" t="str">
        <f>+'Water '!$M14</f>
        <v>0</v>
      </c>
      <c r="J44" s="466" t="str">
        <f>+'Water '!$M15</f>
        <v>0</v>
      </c>
      <c r="K44" s="466">
        <f>+'Water '!$M16</f>
        <v>22</v>
      </c>
      <c r="L44" s="466">
        <f>+'Water '!$M17</f>
        <v>3</v>
      </c>
      <c r="M44" s="466">
        <f>+'Water '!$M18</f>
        <v>3</v>
      </c>
      <c r="N44" s="466" t="str">
        <f>+'Water '!$M19</f>
        <v>0</v>
      </c>
      <c r="O44" s="472" t="str">
        <f>+'Water '!$M20</f>
        <v>0</v>
      </c>
      <c r="P44" s="466" t="str">
        <f>+'Water '!$M21</f>
        <v>0</v>
      </c>
      <c r="Q44" s="466" t="str">
        <f>+'Water '!$M22</f>
        <v>0</v>
      </c>
      <c r="R44" s="466">
        <f>+'Water '!$M23</f>
        <v>5</v>
      </c>
      <c r="S44" s="466" t="str">
        <f>+'Water '!$M24</f>
        <v>0</v>
      </c>
      <c r="T44" s="466" t="str">
        <f>+'Water '!$M25</f>
        <v>0</v>
      </c>
      <c r="U44" s="466" t="str">
        <f>+'Water '!$M26</f>
        <v>0</v>
      </c>
      <c r="V44" s="466" t="str">
        <f>+'Water '!$M27</f>
        <v>0</v>
      </c>
      <c r="W44" s="466" t="str">
        <f>+'Water '!$M28</f>
        <v>0</v>
      </c>
      <c r="X44" s="466" t="str">
        <f>+'Water '!$M29</f>
        <v>0</v>
      </c>
      <c r="Y44" s="466" t="str">
        <f>+'Water '!$M30</f>
        <v>0</v>
      </c>
      <c r="Z44" s="466" t="str">
        <f>+'Water '!$M31</f>
        <v>0</v>
      </c>
      <c r="AA44" s="466" t="str">
        <f>+'Water '!$M32</f>
        <v>0</v>
      </c>
      <c r="AB44" s="466">
        <f>+'Water '!$M33</f>
        <v>1</v>
      </c>
      <c r="AC44" s="466" t="str">
        <f>+'Water '!$M34</f>
        <v>0</v>
      </c>
      <c r="AD44" s="466" t="str">
        <f>+'Water '!$M35</f>
        <v>0</v>
      </c>
      <c r="AE44" s="466" t="str">
        <f>+'Water '!$M36</f>
        <v>0</v>
      </c>
      <c r="AF44" s="466" t="str">
        <f>+'Water '!$M37</f>
        <v>0</v>
      </c>
      <c r="AG44" s="466"/>
      <c r="AH44" s="463">
        <f>SUM($B44:AF44)</f>
        <v>42</v>
      </c>
      <c r="AI44" s="463"/>
      <c r="AJ44" s="464"/>
      <c r="AK44" s="395"/>
      <c r="AL44" s="395"/>
      <c r="AM44" s="395"/>
      <c r="AN44" s="395"/>
      <c r="AO44" s="395"/>
      <c r="AP44" s="395"/>
      <c r="AQ44" s="395"/>
      <c r="AR44" s="395"/>
      <c r="AS44" s="395"/>
      <c r="AT44" s="395"/>
      <c r="AU44" s="395"/>
      <c r="AV44" s="395"/>
      <c r="AW44" s="395"/>
      <c r="AX44" s="395"/>
      <c r="AY44" s="395"/>
      <c r="AZ44" s="395"/>
      <c r="BA44" s="395"/>
      <c r="BB44" s="395"/>
      <c r="BC44" s="395"/>
      <c r="BD44" s="395"/>
      <c r="BE44" s="395"/>
      <c r="BF44" s="395"/>
      <c r="BG44" s="395"/>
      <c r="BH44" s="208"/>
      <c r="BI44" s="208"/>
      <c r="BJ44" s="208"/>
      <c r="BK44" s="208"/>
      <c r="BL44" s="208"/>
      <c r="BM44" s="208"/>
      <c r="BN44" s="208"/>
      <c r="BO44" s="208"/>
      <c r="BP44" s="208"/>
      <c r="BQ44" s="208"/>
      <c r="BR44" s="208"/>
      <c r="BS44" s="208"/>
      <c r="BT44" s="208"/>
      <c r="BU44" s="208"/>
      <c r="BV44" s="208"/>
      <c r="BW44" s="208"/>
      <c r="BX44" s="208"/>
      <c r="BY44" s="208"/>
      <c r="BZ44" s="208"/>
      <c r="CA44" s="208"/>
      <c r="CB44" s="208"/>
      <c r="CC44" s="208"/>
      <c r="CD44" s="208"/>
      <c r="CE44" s="208"/>
      <c r="CF44" s="208"/>
      <c r="CG44" s="208"/>
      <c r="CH44" s="208"/>
      <c r="CI44" s="208"/>
      <c r="CJ44" s="208"/>
      <c r="CK44" s="208"/>
      <c r="CL44" s="208"/>
      <c r="CM44" s="208"/>
      <c r="CN44" s="208"/>
      <c r="CO44" s="208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208"/>
      <c r="DH44" s="208"/>
      <c r="DI44" s="208"/>
      <c r="DJ44" s="208"/>
      <c r="DK44" s="208"/>
      <c r="DL44" s="208"/>
      <c r="DM44" s="208"/>
      <c r="DN44" s="208"/>
      <c r="DO44" s="208"/>
      <c r="DP44" s="208"/>
      <c r="DQ44" s="208"/>
      <c r="DR44" s="208"/>
      <c r="DS44" s="208"/>
      <c r="DT44" s="208"/>
      <c r="DU44" s="208"/>
      <c r="DV44" s="208"/>
      <c r="DW44" s="208"/>
      <c r="DX44" s="208"/>
      <c r="DY44" s="208"/>
      <c r="DZ44" s="208"/>
      <c r="EA44" s="208"/>
      <c r="EB44" s="208"/>
      <c r="EC44" s="208"/>
      <c r="ED44" s="208"/>
      <c r="EE44" s="208"/>
      <c r="EF44" s="208"/>
      <c r="EG44" s="208"/>
      <c r="EH44" s="208"/>
      <c r="EI44" s="208"/>
      <c r="EJ44" s="208"/>
      <c r="EK44" s="208"/>
      <c r="EL44" s="208"/>
      <c r="EM44" s="208"/>
      <c r="EN44" s="208"/>
      <c r="EO44" s="208"/>
      <c r="EP44" s="208"/>
      <c r="EQ44" s="208"/>
      <c r="ER44" s="208"/>
      <c r="ES44" s="208"/>
    </row>
    <row r="45" spans="1:149" s="219" customFormat="1" ht="35.25" customHeight="1" x14ac:dyDescent="0.35">
      <c r="A45" s="230" t="s">
        <v>133</v>
      </c>
      <c r="B45" s="467">
        <f>+'Water '!$Q7</f>
        <v>6</v>
      </c>
      <c r="C45" s="467" t="str">
        <f>+'Water '!$Q8</f>
        <v>0</v>
      </c>
      <c r="D45" s="467">
        <f>+'Water '!$Q9</f>
        <v>9</v>
      </c>
      <c r="E45" s="467">
        <f>+'Water '!$Q10</f>
        <v>18</v>
      </c>
      <c r="F45" s="467">
        <f>+'Water '!$Q11</f>
        <v>15</v>
      </c>
      <c r="G45" s="467">
        <f>+'Water '!$Q12</f>
        <v>18</v>
      </c>
      <c r="H45" s="467" t="str">
        <f>+'Water '!$Q13</f>
        <v>0</v>
      </c>
      <c r="I45" s="467">
        <f>+'Water '!$Q14</f>
        <v>15</v>
      </c>
      <c r="J45" s="468">
        <f>+'Water '!$Q15</f>
        <v>1</v>
      </c>
      <c r="K45" s="468">
        <f>+'Water '!$Q16</f>
        <v>26</v>
      </c>
      <c r="L45" s="468">
        <f>+'Water '!$Q17</f>
        <v>36</v>
      </c>
      <c r="M45" s="468">
        <f>+'Water '!$Q18</f>
        <v>38</v>
      </c>
      <c r="N45" s="468">
        <f>+'Water '!$Q19</f>
        <v>60</v>
      </c>
      <c r="O45" s="468">
        <f>'Water '!$Q20</f>
        <v>37</v>
      </c>
      <c r="P45" s="468">
        <f>'Water '!$Q21</f>
        <v>3</v>
      </c>
      <c r="Q45" s="468">
        <f>+'Water '!$Q22</f>
        <v>7</v>
      </c>
      <c r="R45" s="468">
        <f>'Water '!$Q23</f>
        <v>27</v>
      </c>
      <c r="S45" s="468">
        <f>+'Water '!$Q24</f>
        <v>13</v>
      </c>
      <c r="T45" s="468">
        <f>+'Water '!$Q25</f>
        <v>32</v>
      </c>
      <c r="U45" s="468">
        <f>+'Water '!$Q26</f>
        <v>30</v>
      </c>
      <c r="V45" s="468">
        <f>+'Water '!$Q27</f>
        <v>9</v>
      </c>
      <c r="W45" s="468">
        <f>+'Water '!$Q28</f>
        <v>11</v>
      </c>
      <c r="X45" s="468" t="str">
        <f>+'Water '!$Q29</f>
        <v>0</v>
      </c>
      <c r="Y45" s="468">
        <f>+'Water '!$Q30</f>
        <v>43</v>
      </c>
      <c r="Z45" s="468">
        <f>+'Water '!$Q31</f>
        <v>35</v>
      </c>
      <c r="AA45" s="468">
        <f>+'Water '!$Q32</f>
        <v>45</v>
      </c>
      <c r="AB45" s="468">
        <f>+'Water '!$Q33</f>
        <v>47</v>
      </c>
      <c r="AC45" s="468">
        <f>+'Water '!$Q34</f>
        <v>44</v>
      </c>
      <c r="AD45" s="468">
        <f>+'Water '!$Q35</f>
        <v>30</v>
      </c>
      <c r="AE45" s="468">
        <f>+'Water '!$Q36</f>
        <v>20</v>
      </c>
      <c r="AF45" s="468">
        <f>+'Water '!$Q37</f>
        <v>93</v>
      </c>
      <c r="AG45" s="468"/>
      <c r="AH45" s="459">
        <f>SUM($B45:AF45)</f>
        <v>768</v>
      </c>
      <c r="AI45" s="459"/>
      <c r="AJ45" s="459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5"/>
      <c r="BF45" s="395"/>
      <c r="BG45" s="395"/>
      <c r="BH45" s="208"/>
      <c r="BI45" s="208"/>
      <c r="BJ45" s="208"/>
      <c r="BK45" s="208"/>
      <c r="BL45" s="208"/>
      <c r="BM45" s="208"/>
      <c r="BN45" s="208"/>
      <c r="BO45" s="208"/>
      <c r="BP45" s="208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208"/>
      <c r="CD45" s="208"/>
      <c r="CE45" s="208"/>
      <c r="CF45" s="208"/>
      <c r="CG45" s="208"/>
      <c r="CH45" s="208"/>
      <c r="CI45" s="208"/>
      <c r="CJ45" s="208"/>
      <c r="CK45" s="208"/>
      <c r="CL45" s="208"/>
      <c r="CM45" s="208"/>
      <c r="CN45" s="208"/>
      <c r="CO45" s="208"/>
      <c r="CP45" s="208"/>
      <c r="CQ45" s="208"/>
      <c r="CR45" s="208"/>
      <c r="CS45" s="208"/>
      <c r="CT45" s="208"/>
      <c r="CU45" s="208"/>
      <c r="CV45" s="208"/>
      <c r="CW45" s="208"/>
      <c r="CX45" s="208"/>
      <c r="CY45" s="208"/>
      <c r="CZ45" s="208"/>
      <c r="DA45" s="208"/>
      <c r="DB45" s="208"/>
      <c r="DC45" s="208"/>
      <c r="DD45" s="208"/>
      <c r="DE45" s="208"/>
      <c r="DF45" s="208"/>
      <c r="DG45" s="208"/>
      <c r="DH45" s="208"/>
      <c r="DI45" s="208"/>
      <c r="DJ45" s="208"/>
      <c r="DK45" s="208"/>
      <c r="DL45" s="208"/>
      <c r="DM45" s="208"/>
      <c r="DN45" s="208"/>
      <c r="DO45" s="208"/>
      <c r="DP45" s="208"/>
      <c r="DQ45" s="208"/>
      <c r="DR45" s="208"/>
      <c r="DS45" s="208"/>
      <c r="DT45" s="208"/>
      <c r="DU45" s="208"/>
      <c r="DV45" s="208"/>
      <c r="DW45" s="208"/>
      <c r="DX45" s="208"/>
      <c r="DY45" s="208"/>
      <c r="DZ45" s="208"/>
      <c r="EA45" s="208"/>
      <c r="EB45" s="208"/>
      <c r="EC45" s="208"/>
      <c r="ED45" s="208"/>
      <c r="EE45" s="208"/>
      <c r="EF45" s="208"/>
      <c r="EG45" s="208"/>
      <c r="EH45" s="208"/>
      <c r="EI45" s="208"/>
      <c r="EJ45" s="208"/>
      <c r="EK45" s="208"/>
      <c r="EL45" s="208"/>
      <c r="EM45" s="208"/>
      <c r="EN45" s="208"/>
      <c r="EO45" s="208"/>
      <c r="EP45" s="208"/>
      <c r="EQ45" s="208"/>
      <c r="ER45" s="208"/>
      <c r="ES45" s="208"/>
    </row>
    <row r="46" spans="1:149" s="219" customFormat="1" x14ac:dyDescent="0.35">
      <c r="A46" s="231" t="s">
        <v>214</v>
      </c>
      <c r="B46" s="461" t="str">
        <f>'Water '!Y7</f>
        <v>0</v>
      </c>
      <c r="C46" s="461" t="str">
        <f>'Water '!Y8</f>
        <v>0</v>
      </c>
      <c r="D46" s="461" t="str">
        <f>'Water '!Y9</f>
        <v>0</v>
      </c>
      <c r="E46" s="461" t="str">
        <f>'Water '!Y10</f>
        <v>0</v>
      </c>
      <c r="F46" s="461" t="str">
        <f>'Water '!Y11</f>
        <v>0</v>
      </c>
      <c r="G46" s="461" t="str">
        <f>'Water '!Y12</f>
        <v>0</v>
      </c>
      <c r="H46" s="461" t="str">
        <f>'Water '!Y13</f>
        <v>0</v>
      </c>
      <c r="I46" s="461" t="str">
        <f>'Water '!Y14</f>
        <v>0</v>
      </c>
      <c r="J46" s="462" t="str">
        <f>'Water '!Y15</f>
        <v>0</v>
      </c>
      <c r="K46" s="462" t="str">
        <f>'Water '!Y16</f>
        <v>0</v>
      </c>
      <c r="L46" s="462" t="str">
        <f>'Water '!Y17</f>
        <v>0</v>
      </c>
      <c r="M46" s="462" t="str">
        <f>'Water '!Y18</f>
        <v>0</v>
      </c>
      <c r="N46" s="462" t="str">
        <f>'Water '!Y19</f>
        <v>0</v>
      </c>
      <c r="O46" s="462" t="str">
        <f>'Water '!Y20</f>
        <v>0</v>
      </c>
      <c r="P46" s="462" t="str">
        <f>'Water '!Y21</f>
        <v>0</v>
      </c>
      <c r="Q46" s="462" t="str">
        <f>'Water '!Y22</f>
        <v>0</v>
      </c>
      <c r="R46" s="462" t="str">
        <f>'Water '!Y23</f>
        <v>0</v>
      </c>
      <c r="S46" s="462" t="str">
        <f>'Water '!Y24</f>
        <v>0</v>
      </c>
      <c r="T46" s="462" t="str">
        <f>'Water '!Y25</f>
        <v>0</v>
      </c>
      <c r="U46" s="462" t="str">
        <f>'Water '!Y26</f>
        <v>0</v>
      </c>
      <c r="V46" s="462" t="str">
        <f>'Water '!Y27</f>
        <v>0</v>
      </c>
      <c r="W46" s="462" t="str">
        <f>'Water '!Y28</f>
        <v>0</v>
      </c>
      <c r="X46" s="462" t="str">
        <f>'Water '!Y29</f>
        <v>0</v>
      </c>
      <c r="Y46" s="462" t="str">
        <f>'Water '!Y30</f>
        <v>0</v>
      </c>
      <c r="Z46" s="462" t="str">
        <f>'Water '!Y31</f>
        <v>0</v>
      </c>
      <c r="AA46" s="462" t="str">
        <f>'Water '!Y32</f>
        <v>0</v>
      </c>
      <c r="AB46" s="462" t="str">
        <f>'Water '!Y33</f>
        <v>0</v>
      </c>
      <c r="AC46" s="462" t="str">
        <f>'Water '!Y34</f>
        <v>0</v>
      </c>
      <c r="AD46" s="462" t="str">
        <f>'Water '!Y35</f>
        <v>0</v>
      </c>
      <c r="AE46" s="462" t="str">
        <f>'Water '!Y36</f>
        <v>0</v>
      </c>
      <c r="AF46" s="462" t="str">
        <f>'Water '!Y37</f>
        <v>0</v>
      </c>
      <c r="AG46" s="462"/>
      <c r="AH46" s="463">
        <f>SUM($B46:AF46)</f>
        <v>0</v>
      </c>
      <c r="AI46" s="463"/>
      <c r="AJ46" s="464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208"/>
      <c r="BI46" s="208"/>
      <c r="BJ46" s="208"/>
      <c r="BK46" s="208"/>
      <c r="BL46" s="208"/>
      <c r="BM46" s="208"/>
      <c r="BN46" s="208"/>
      <c r="BO46" s="208"/>
      <c r="BP46" s="208"/>
      <c r="BQ46" s="208"/>
      <c r="BR46" s="208"/>
      <c r="BS46" s="208"/>
      <c r="BT46" s="208"/>
      <c r="BU46" s="208"/>
      <c r="BV46" s="208"/>
      <c r="BW46" s="208"/>
      <c r="BX46" s="208"/>
      <c r="BY46" s="208"/>
      <c r="BZ46" s="208"/>
      <c r="CA46" s="208"/>
      <c r="CB46" s="208"/>
      <c r="CC46" s="208"/>
      <c r="CD46" s="208"/>
      <c r="CE46" s="208"/>
      <c r="CF46" s="208"/>
      <c r="CG46" s="208"/>
      <c r="CH46" s="208"/>
      <c r="CI46" s="208"/>
      <c r="CJ46" s="208"/>
      <c r="CK46" s="208"/>
      <c r="CL46" s="208"/>
      <c r="CM46" s="208"/>
      <c r="CN46" s="208"/>
      <c r="CO46" s="208"/>
      <c r="CP46" s="208"/>
      <c r="CQ46" s="208"/>
      <c r="CR46" s="208"/>
      <c r="CS46" s="208"/>
      <c r="CT46" s="208"/>
      <c r="CU46" s="208"/>
      <c r="CV46" s="208"/>
      <c r="CW46" s="208"/>
      <c r="CX46" s="208"/>
      <c r="CY46" s="208"/>
      <c r="CZ46" s="208"/>
      <c r="DA46" s="208"/>
      <c r="DB46" s="208"/>
      <c r="DC46" s="208"/>
      <c r="DD46" s="208"/>
      <c r="DE46" s="208"/>
      <c r="DF46" s="208"/>
      <c r="DG46" s="208"/>
      <c r="DH46" s="208"/>
      <c r="DI46" s="208"/>
      <c r="DJ46" s="208"/>
      <c r="DK46" s="208"/>
      <c r="DL46" s="208"/>
      <c r="DM46" s="208"/>
      <c r="DN46" s="208"/>
      <c r="DO46" s="208"/>
      <c r="DP46" s="208"/>
      <c r="DQ46" s="208"/>
      <c r="DR46" s="208"/>
      <c r="DS46" s="208"/>
      <c r="DT46" s="208"/>
      <c r="DU46" s="208"/>
      <c r="DV46" s="208"/>
      <c r="DW46" s="208"/>
      <c r="DX46" s="208"/>
      <c r="DY46" s="208"/>
      <c r="DZ46" s="208"/>
      <c r="EA46" s="208"/>
      <c r="EB46" s="208"/>
      <c r="EC46" s="208"/>
      <c r="ED46" s="208"/>
      <c r="EE46" s="208"/>
      <c r="EF46" s="208"/>
      <c r="EG46" s="208"/>
      <c r="EH46" s="208"/>
      <c r="EI46" s="208"/>
      <c r="EJ46" s="208"/>
      <c r="EK46" s="208"/>
      <c r="EL46" s="208"/>
      <c r="EM46" s="208"/>
      <c r="EN46" s="208"/>
      <c r="EO46" s="208"/>
      <c r="EP46" s="208"/>
      <c r="EQ46" s="208"/>
      <c r="ER46" s="208"/>
      <c r="ES46" s="208"/>
    </row>
    <row r="47" spans="1:149" x14ac:dyDescent="0.35">
      <c r="A47" s="233" t="s">
        <v>200</v>
      </c>
      <c r="B47" s="473">
        <f>'Water '!I7</f>
        <v>0</v>
      </c>
      <c r="C47" s="473">
        <f>'Water '!I8</f>
        <v>0</v>
      </c>
      <c r="D47" s="473">
        <f>'Water '!I9</f>
        <v>0</v>
      </c>
      <c r="E47" s="473">
        <f>'Water '!I10</f>
        <v>0</v>
      </c>
      <c r="F47" s="473">
        <f>'Water '!I11</f>
        <v>0</v>
      </c>
      <c r="G47" s="473">
        <f>'Water '!I12</f>
        <v>0</v>
      </c>
      <c r="H47" s="473">
        <f>'Water '!I13</f>
        <v>0</v>
      </c>
      <c r="I47" s="473">
        <f>'Water '!I14</f>
        <v>0</v>
      </c>
      <c r="J47" s="474">
        <f>'Water '!I15</f>
        <v>0</v>
      </c>
      <c r="K47" s="474">
        <f>'Water '!I16</f>
        <v>0</v>
      </c>
      <c r="L47" s="474">
        <f>'Water '!I17</f>
        <v>0</v>
      </c>
      <c r="M47" s="474">
        <f>'Water '!I18</f>
        <v>0</v>
      </c>
      <c r="N47" s="474">
        <f>'Water '!I19</f>
        <v>0</v>
      </c>
      <c r="O47" s="474">
        <f>'Water '!I20</f>
        <v>0</v>
      </c>
      <c r="P47" s="474">
        <f>'Water '!I21</f>
        <v>0</v>
      </c>
      <c r="Q47" s="474">
        <f>'Water '!I22</f>
        <v>0</v>
      </c>
      <c r="R47" s="474">
        <f>'Water '!I23</f>
        <v>0</v>
      </c>
      <c r="S47" s="474">
        <f>'Water '!I24</f>
        <v>0</v>
      </c>
      <c r="T47" s="474">
        <f>'Water '!I25</f>
        <v>0</v>
      </c>
      <c r="U47" s="474">
        <f>'Water '!I26</f>
        <v>0</v>
      </c>
      <c r="V47" s="474">
        <f>'Water '!I27</f>
        <v>0</v>
      </c>
      <c r="W47" s="474">
        <f>'Water '!I28</f>
        <v>0</v>
      </c>
      <c r="X47" s="474">
        <f>'Water '!I29</f>
        <v>0</v>
      </c>
      <c r="Y47" s="474">
        <f>'Water '!I30</f>
        <v>0</v>
      </c>
      <c r="Z47" s="474">
        <f>'Water '!I31</f>
        <v>0</v>
      </c>
      <c r="AA47" s="474">
        <f>'Water '!I32</f>
        <v>0</v>
      </c>
      <c r="AB47" s="474">
        <f>'Water '!I33</f>
        <v>0</v>
      </c>
      <c r="AC47" s="474">
        <f>'Water '!I34</f>
        <v>0</v>
      </c>
      <c r="AD47" s="474">
        <f>'Water '!I35</f>
        <v>0</v>
      </c>
      <c r="AE47" s="474">
        <f>'Water '!I36</f>
        <v>0</v>
      </c>
      <c r="AF47" s="474">
        <f>'Water '!I37</f>
        <v>0</v>
      </c>
      <c r="AG47" s="474"/>
      <c r="AH47" s="475">
        <f>SUM($B47:AF47)</f>
        <v>0</v>
      </c>
      <c r="AI47" s="475"/>
      <c r="AJ47" s="476"/>
    </row>
    <row r="48" spans="1:149" ht="24" customHeight="1" x14ac:dyDescent="0.35">
      <c r="A48" s="226" t="s">
        <v>213</v>
      </c>
      <c r="B48" s="437"/>
      <c r="C48" s="437"/>
      <c r="D48" s="437"/>
      <c r="E48" s="437"/>
      <c r="F48" s="437"/>
      <c r="G48" s="437"/>
      <c r="H48" s="437"/>
      <c r="I48" s="437"/>
      <c r="J48" s="438"/>
      <c r="K48" s="438"/>
      <c r="L48" s="438"/>
      <c r="M48" s="438"/>
      <c r="N48" s="438"/>
      <c r="O48" s="438"/>
      <c r="P48" s="438"/>
      <c r="Q48" s="438"/>
      <c r="R48" s="438"/>
      <c r="S48" s="438"/>
      <c r="T48" s="438"/>
      <c r="U48" s="438"/>
      <c r="V48" s="438"/>
      <c r="W48" s="438"/>
      <c r="X48" s="438"/>
      <c r="Y48" s="438"/>
      <c r="Z48" s="438"/>
      <c r="AA48" s="438"/>
      <c r="AB48" s="438"/>
      <c r="AC48" s="438"/>
      <c r="AD48" s="438"/>
      <c r="AE48" s="438"/>
      <c r="AF48" s="438"/>
      <c r="AG48" s="438"/>
      <c r="AH48" s="408"/>
      <c r="AI48" s="408"/>
    </row>
    <row r="49" spans="1:59" x14ac:dyDescent="0.35">
      <c r="A49" s="226" t="s">
        <v>174</v>
      </c>
      <c r="B49" s="424"/>
      <c r="C49" s="424"/>
      <c r="D49" s="424"/>
      <c r="E49" s="424"/>
      <c r="F49" s="424"/>
      <c r="G49" s="424"/>
      <c r="H49" s="424"/>
      <c r="I49" s="424"/>
      <c r="J49" s="425"/>
      <c r="K49" s="425"/>
      <c r="L49" s="425"/>
      <c r="M49" s="425"/>
      <c r="N49" s="425"/>
      <c r="O49" s="425"/>
      <c r="P49" s="425"/>
      <c r="Q49" s="425"/>
      <c r="R49" s="425"/>
      <c r="S49" s="425"/>
      <c r="T49" s="425"/>
      <c r="U49" s="425"/>
      <c r="V49" s="425"/>
      <c r="W49" s="425"/>
      <c r="X49" s="425"/>
      <c r="Y49" s="425"/>
      <c r="Z49" s="425"/>
      <c r="AA49" s="425"/>
      <c r="AB49" s="425"/>
      <c r="AC49" s="425"/>
      <c r="AD49" s="425"/>
      <c r="AE49" s="425"/>
      <c r="AF49" s="425"/>
      <c r="AG49" s="425"/>
      <c r="AH49" s="408">
        <f>SUM($B49:AF49)</f>
        <v>0</v>
      </c>
      <c r="AI49" s="408"/>
      <c r="AJ49" s="430"/>
    </row>
    <row r="50" spans="1:59" ht="30" x14ac:dyDescent="0.4">
      <c r="A50" s="209" t="s">
        <v>235</v>
      </c>
      <c r="B50" s="477">
        <f>SUM(B36:B48)</f>
        <v>43</v>
      </c>
      <c r="C50" s="477">
        <f t="shared" ref="C50:AF50" si="11">SUM(C36:C48)</f>
        <v>0</v>
      </c>
      <c r="D50" s="477">
        <f t="shared" si="11"/>
        <v>282</v>
      </c>
      <c r="E50" s="477">
        <f t="shared" si="11"/>
        <v>388</v>
      </c>
      <c r="F50" s="477">
        <f t="shared" si="11"/>
        <v>333</v>
      </c>
      <c r="G50" s="477">
        <f t="shared" si="11"/>
        <v>377</v>
      </c>
      <c r="H50" s="477">
        <f t="shared" si="11"/>
        <v>298</v>
      </c>
      <c r="I50" s="477">
        <f t="shared" si="11"/>
        <v>125</v>
      </c>
      <c r="J50" s="477">
        <f t="shared" si="11"/>
        <v>1</v>
      </c>
      <c r="K50" s="477">
        <f t="shared" si="11"/>
        <v>351</v>
      </c>
      <c r="L50" s="477">
        <f t="shared" si="11"/>
        <v>255</v>
      </c>
      <c r="M50" s="477">
        <f t="shared" si="11"/>
        <v>323</v>
      </c>
      <c r="N50" s="477">
        <f t="shared" si="11"/>
        <v>427</v>
      </c>
      <c r="O50" s="477">
        <f t="shared" si="11"/>
        <v>290</v>
      </c>
      <c r="P50" s="477">
        <f t="shared" si="11"/>
        <v>3</v>
      </c>
      <c r="Q50" s="477">
        <f t="shared" si="11"/>
        <v>92</v>
      </c>
      <c r="R50" s="477">
        <f t="shared" si="11"/>
        <v>279</v>
      </c>
      <c r="S50" s="477">
        <f t="shared" si="11"/>
        <v>268</v>
      </c>
      <c r="T50" s="477">
        <f t="shared" si="11"/>
        <v>402</v>
      </c>
      <c r="U50" s="477">
        <f t="shared" si="11"/>
        <v>363</v>
      </c>
      <c r="V50" s="477">
        <f t="shared" si="11"/>
        <v>159</v>
      </c>
      <c r="W50" s="477">
        <f t="shared" si="11"/>
        <v>11</v>
      </c>
      <c r="X50" s="477">
        <f t="shared" si="11"/>
        <v>33</v>
      </c>
      <c r="Y50" s="477">
        <f t="shared" si="11"/>
        <v>291</v>
      </c>
      <c r="Z50" s="477">
        <f t="shared" si="11"/>
        <v>408</v>
      </c>
      <c r="AA50" s="477">
        <f t="shared" si="11"/>
        <v>486</v>
      </c>
      <c r="AB50" s="477">
        <f t="shared" si="11"/>
        <v>421</v>
      </c>
      <c r="AC50" s="477">
        <f t="shared" si="11"/>
        <v>353</v>
      </c>
      <c r="AD50" s="477">
        <f t="shared" si="11"/>
        <v>77</v>
      </c>
      <c r="AE50" s="477">
        <f t="shared" si="11"/>
        <v>20</v>
      </c>
      <c r="AF50" s="477">
        <f t="shared" si="11"/>
        <v>468</v>
      </c>
      <c r="AG50" s="776"/>
      <c r="AH50" s="477">
        <f>SUM($B50:AF50)</f>
        <v>7627</v>
      </c>
      <c r="AI50" s="477"/>
    </row>
    <row r="51" spans="1:59" x14ac:dyDescent="0.35">
      <c r="A51" s="228"/>
      <c r="B51" s="408"/>
      <c r="C51" s="408"/>
      <c r="D51" s="408"/>
      <c r="E51" s="408"/>
      <c r="F51" s="408"/>
      <c r="G51" s="408"/>
      <c r="H51" s="408"/>
      <c r="I51" s="408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  <c r="AB51" s="436"/>
      <c r="AC51" s="436"/>
      <c r="AD51" s="436"/>
      <c r="AE51" s="436"/>
      <c r="AH51" s="408"/>
      <c r="AI51" s="408"/>
    </row>
    <row r="52" spans="1:59" x14ac:dyDescent="0.35">
      <c r="A52" s="228"/>
      <c r="B52" s="408"/>
      <c r="C52" s="408"/>
      <c r="D52" s="408"/>
      <c r="E52" s="408"/>
      <c r="F52" s="408"/>
      <c r="G52" s="408"/>
      <c r="H52" s="408"/>
      <c r="I52" s="408"/>
      <c r="J52" s="436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  <c r="AB52" s="436"/>
      <c r="AC52" s="436"/>
      <c r="AD52" s="436"/>
      <c r="AE52" s="436"/>
      <c r="AH52" s="408"/>
      <c r="AI52" s="408"/>
    </row>
    <row r="53" spans="1:59" x14ac:dyDescent="0.35">
      <c r="A53" s="229" t="s">
        <v>144</v>
      </c>
      <c r="M53" s="396"/>
      <c r="O53" s="396" t="s">
        <v>61</v>
      </c>
      <c r="AH53" s="401" t="s">
        <v>89</v>
      </c>
      <c r="AI53" s="401" t="s">
        <v>157</v>
      </c>
      <c r="AJ53" s="401" t="s">
        <v>215</v>
      </c>
    </row>
    <row r="54" spans="1:59" x14ac:dyDescent="0.35">
      <c r="A54" s="237" t="s">
        <v>242</v>
      </c>
      <c r="B54" s="478" t="str">
        <f>IF(B$9=0,"",+(B36*10)/B$9)</f>
        <v/>
      </c>
      <c r="C54" s="478" t="str">
        <f>IF(C$9=0,"",+(C36*10)/C$9)</f>
        <v/>
      </c>
      <c r="D54" s="478">
        <f>IF(D$9=0,"",+(D36*10)/D$9)</f>
        <v>5.2469135802469129</v>
      </c>
      <c r="E54" s="478">
        <f t="shared" ref="E54:F54" si="12">IF(E$9=0,"",+(E36*10)/E$9)</f>
        <v>4.4446121656582429</v>
      </c>
      <c r="F54" s="478">
        <f t="shared" si="12"/>
        <v>5.0128363381375429</v>
      </c>
      <c r="G54" s="478">
        <f t="shared" ref="G54:AF54" si="13">IF(G$9=0,"",+(G36*10)/G$9)</f>
        <v>5.0287917871752779</v>
      </c>
      <c r="H54" s="478">
        <f t="shared" si="13"/>
        <v>6.5757027782344233</v>
      </c>
      <c r="I54" s="478" t="str">
        <f t="shared" si="13"/>
        <v/>
      </c>
      <c r="J54" s="478" t="str">
        <f t="shared" si="13"/>
        <v/>
      </c>
      <c r="K54" s="478">
        <f t="shared" si="13"/>
        <v>8.3639866876861095</v>
      </c>
      <c r="L54" s="478">
        <f t="shared" si="13"/>
        <v>7.9097856875634651</v>
      </c>
      <c r="M54" s="478">
        <f t="shared" si="13"/>
        <v>14.14437631446429</v>
      </c>
      <c r="N54" s="478">
        <f t="shared" si="13"/>
        <v>6.8769688096188828</v>
      </c>
      <c r="O54" s="478">
        <f t="shared" si="13"/>
        <v>5.79927178764388</v>
      </c>
      <c r="P54" s="478" t="str">
        <f t="shared" si="13"/>
        <v/>
      </c>
      <c r="Q54" s="478" t="str">
        <f t="shared" si="13"/>
        <v/>
      </c>
      <c r="R54" s="478">
        <f t="shared" si="13"/>
        <v>10.610673942557369</v>
      </c>
      <c r="S54" s="478">
        <f t="shared" si="13"/>
        <v>3.3509724801385068</v>
      </c>
      <c r="T54" s="478">
        <f t="shared" si="13"/>
        <v>4.8264665876881221</v>
      </c>
      <c r="U54" s="478">
        <f t="shared" si="13"/>
        <v>7.1402403008620627</v>
      </c>
      <c r="V54" s="478">
        <f t="shared" si="13"/>
        <v>7.6998100713515729</v>
      </c>
      <c r="W54" s="478" t="str">
        <f t="shared" si="13"/>
        <v/>
      </c>
      <c r="X54" s="478" t="str">
        <f t="shared" si="13"/>
        <v/>
      </c>
      <c r="Y54" s="478">
        <f>IF(Y$9=0,"",+(Y36*10)/Y$9)</f>
        <v>22.111417801917309</v>
      </c>
      <c r="Z54" s="478">
        <f t="shared" si="13"/>
        <v>2.5664222149506926</v>
      </c>
      <c r="AA54" s="478">
        <f t="shared" si="13"/>
        <v>4.5137227352481011</v>
      </c>
      <c r="AB54" s="478">
        <f t="shared" si="13"/>
        <v>4.068272327910214</v>
      </c>
      <c r="AC54" s="478">
        <f>IF(AC$9=0,"",+(AC36*10)/AC$9)</f>
        <v>8.6351796117359232</v>
      </c>
      <c r="AD54" s="478">
        <f t="shared" si="13"/>
        <v>9.1302636757182203</v>
      </c>
      <c r="AE54" s="478" t="str">
        <f t="shared" si="13"/>
        <v/>
      </c>
      <c r="AF54" s="478">
        <f t="shared" si="13"/>
        <v>1.7725216602146876</v>
      </c>
      <c r="AG54" s="478"/>
      <c r="AH54" s="479">
        <f>+(AH36*10)/AH$9</f>
        <v>5.5816999962354972</v>
      </c>
      <c r="AI54" s="479">
        <v>3.2</v>
      </c>
      <c r="AJ54" s="480">
        <f t="shared" ref="AJ54" si="14">AI54-AH54</f>
        <v>-2.381699996235497</v>
      </c>
    </row>
    <row r="55" spans="1:59" s="240" customFormat="1" ht="25.5" customHeight="1" x14ac:dyDescent="0.35">
      <c r="A55" s="249" t="s">
        <v>180</v>
      </c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481"/>
      <c r="AC55" s="481"/>
      <c r="AD55" s="481"/>
      <c r="AE55" s="481"/>
      <c r="AF55" s="481"/>
      <c r="AG55" s="481"/>
      <c r="AH55" s="482">
        <f t="shared" ref="AH55:AH63" si="15">+(AH37*10)/AH$9</f>
        <v>0.22446898038139676</v>
      </c>
      <c r="AI55" s="483">
        <v>0.1</v>
      </c>
      <c r="AJ55" s="484">
        <f>AI55-AH55</f>
        <v>-0.12446898038139675</v>
      </c>
      <c r="AK55" s="485"/>
      <c r="AL55" s="486"/>
      <c r="AM55" s="485"/>
      <c r="AN55" s="485"/>
      <c r="AO55" s="485"/>
      <c r="AP55" s="485"/>
      <c r="AQ55" s="485"/>
      <c r="AR55" s="485"/>
      <c r="AS55" s="485"/>
      <c r="AT55" s="485"/>
      <c r="AU55" s="485"/>
      <c r="AV55" s="485"/>
      <c r="AW55" s="485"/>
      <c r="AX55" s="485"/>
      <c r="AY55" s="485"/>
      <c r="AZ55" s="485"/>
      <c r="BA55" s="485"/>
      <c r="BB55" s="485"/>
      <c r="BC55" s="485"/>
      <c r="BD55" s="485"/>
      <c r="BE55" s="485"/>
      <c r="BF55" s="485"/>
      <c r="BG55" s="485"/>
    </row>
    <row r="56" spans="1:59" s="260" customFormat="1" x14ac:dyDescent="0.35">
      <c r="A56" s="261" t="s">
        <v>201</v>
      </c>
      <c r="B56" s="478" t="str">
        <f t="shared" ref="B56:C56" si="16">IF(B$9=0,"",+(B38*10)/B$9)</f>
        <v/>
      </c>
      <c r="C56" s="478" t="str">
        <f t="shared" si="16"/>
        <v/>
      </c>
      <c r="D56" s="478">
        <f t="shared" ref="D56:F62" si="17">IF(D$9=0,"",+(D38*10)/D$9)</f>
        <v>0</v>
      </c>
      <c r="E56" s="478">
        <f t="shared" si="17"/>
        <v>0</v>
      </c>
      <c r="F56" s="478">
        <f t="shared" si="17"/>
        <v>0</v>
      </c>
      <c r="G56" s="478">
        <f t="shared" ref="G56:AF56" si="18">IF(G$9=0,"",+(G38*10)/G$9)</f>
        <v>0</v>
      </c>
      <c r="H56" s="478">
        <f t="shared" si="18"/>
        <v>0</v>
      </c>
      <c r="I56" s="478" t="str">
        <f t="shared" si="18"/>
        <v/>
      </c>
      <c r="J56" s="478" t="str">
        <f t="shared" si="18"/>
        <v/>
      </c>
      <c r="K56" s="478">
        <f t="shared" si="18"/>
        <v>0</v>
      </c>
      <c r="L56" s="478">
        <f t="shared" si="18"/>
        <v>0</v>
      </c>
      <c r="M56" s="478">
        <f t="shared" si="18"/>
        <v>0</v>
      </c>
      <c r="N56" s="478">
        <f t="shared" si="18"/>
        <v>0</v>
      </c>
      <c r="O56" s="478">
        <f t="shared" si="18"/>
        <v>0</v>
      </c>
      <c r="P56" s="478" t="str">
        <f t="shared" si="18"/>
        <v/>
      </c>
      <c r="Q56" s="478" t="str">
        <f t="shared" si="18"/>
        <v/>
      </c>
      <c r="R56" s="478">
        <f t="shared" si="18"/>
        <v>0</v>
      </c>
      <c r="S56" s="478">
        <f t="shared" si="18"/>
        <v>0</v>
      </c>
      <c r="T56" s="478">
        <f t="shared" si="18"/>
        <v>0</v>
      </c>
      <c r="U56" s="478">
        <f t="shared" si="18"/>
        <v>0</v>
      </c>
      <c r="V56" s="478">
        <f t="shared" si="18"/>
        <v>0</v>
      </c>
      <c r="W56" s="478" t="str">
        <f t="shared" si="18"/>
        <v/>
      </c>
      <c r="X56" s="478" t="str">
        <f t="shared" si="18"/>
        <v/>
      </c>
      <c r="Y56" s="478">
        <f t="shared" ref="Y56:Y63" si="19">IF(Y$9=0,"",+(Y38*10)/Y$9)</f>
        <v>0</v>
      </c>
      <c r="Z56" s="478">
        <f t="shared" si="18"/>
        <v>0</v>
      </c>
      <c r="AA56" s="478">
        <f t="shared" si="18"/>
        <v>0</v>
      </c>
      <c r="AB56" s="478">
        <f t="shared" si="18"/>
        <v>0</v>
      </c>
      <c r="AC56" s="478">
        <f t="shared" ref="AC56:AC63" si="20">IF(AC$9=0,"",+(AC38*10)/AC$9)</f>
        <v>0</v>
      </c>
      <c r="AD56" s="478">
        <f t="shared" si="18"/>
        <v>0</v>
      </c>
      <c r="AE56" s="478" t="str">
        <f t="shared" si="18"/>
        <v/>
      </c>
      <c r="AF56" s="478">
        <f t="shared" si="18"/>
        <v>0</v>
      </c>
      <c r="AG56" s="478"/>
      <c r="AH56" s="487">
        <f t="shared" si="15"/>
        <v>0</v>
      </c>
      <c r="AI56" s="488">
        <v>0.1</v>
      </c>
      <c r="AJ56" s="489">
        <f>AI56-AH56</f>
        <v>0.1</v>
      </c>
      <c r="AK56" s="490"/>
      <c r="AL56" s="490"/>
      <c r="AM56" s="490"/>
      <c r="AN56" s="490"/>
      <c r="AO56" s="490"/>
      <c r="AP56" s="490"/>
      <c r="AQ56" s="490"/>
      <c r="AR56" s="490"/>
      <c r="AS56" s="490"/>
      <c r="AT56" s="490"/>
      <c r="AU56" s="490"/>
      <c r="AV56" s="490"/>
      <c r="AW56" s="490"/>
      <c r="AX56" s="490"/>
      <c r="AY56" s="490"/>
      <c r="AZ56" s="490"/>
      <c r="BA56" s="490"/>
      <c r="BB56" s="490"/>
      <c r="BC56" s="490"/>
      <c r="BD56" s="490"/>
      <c r="BE56" s="490"/>
      <c r="BF56" s="490"/>
      <c r="BG56" s="490"/>
    </row>
    <row r="57" spans="1:59" s="219" customFormat="1" x14ac:dyDescent="0.35">
      <c r="A57" s="262" t="s">
        <v>233</v>
      </c>
      <c r="B57" s="481" t="str">
        <f t="shared" ref="B57:C57" si="21">IF(B$9=0,"",+(B39*10)/B$9)</f>
        <v/>
      </c>
      <c r="C57" s="481" t="str">
        <f t="shared" si="21"/>
        <v/>
      </c>
      <c r="D57" s="481">
        <f t="shared" si="17"/>
        <v>0</v>
      </c>
      <c r="E57" s="481">
        <f t="shared" si="17"/>
        <v>0</v>
      </c>
      <c r="F57" s="481">
        <f t="shared" si="17"/>
        <v>0</v>
      </c>
      <c r="G57" s="481">
        <f t="shared" ref="G57:AF57" si="22">IF(G$9=0,"",+(G39*10)/G$9)</f>
        <v>0</v>
      </c>
      <c r="H57" s="481">
        <f t="shared" si="22"/>
        <v>0</v>
      </c>
      <c r="I57" s="481" t="str">
        <f t="shared" si="22"/>
        <v/>
      </c>
      <c r="J57" s="481" t="str">
        <f t="shared" si="22"/>
        <v/>
      </c>
      <c r="K57" s="481">
        <f t="shared" si="22"/>
        <v>0</v>
      </c>
      <c r="L57" s="481">
        <f t="shared" si="22"/>
        <v>0</v>
      </c>
      <c r="M57" s="481">
        <f t="shared" si="22"/>
        <v>0</v>
      </c>
      <c r="N57" s="481">
        <f t="shared" si="22"/>
        <v>0</v>
      </c>
      <c r="O57" s="481">
        <f t="shared" si="22"/>
        <v>0</v>
      </c>
      <c r="P57" s="481" t="str">
        <f t="shared" si="22"/>
        <v/>
      </c>
      <c r="Q57" s="481" t="str">
        <f t="shared" si="22"/>
        <v/>
      </c>
      <c r="R57" s="481">
        <f t="shared" si="22"/>
        <v>0</v>
      </c>
      <c r="S57" s="481">
        <f t="shared" si="22"/>
        <v>0</v>
      </c>
      <c r="T57" s="481">
        <f t="shared" si="22"/>
        <v>0</v>
      </c>
      <c r="U57" s="481">
        <f t="shared" si="22"/>
        <v>0</v>
      </c>
      <c r="V57" s="481">
        <f t="shared" si="22"/>
        <v>0</v>
      </c>
      <c r="W57" s="481" t="str">
        <f t="shared" si="22"/>
        <v/>
      </c>
      <c r="X57" s="481" t="str">
        <f t="shared" si="22"/>
        <v/>
      </c>
      <c r="Y57" s="481">
        <f t="shared" si="19"/>
        <v>0</v>
      </c>
      <c r="Z57" s="481">
        <f t="shared" si="22"/>
        <v>0</v>
      </c>
      <c r="AA57" s="481">
        <f t="shared" si="22"/>
        <v>0</v>
      </c>
      <c r="AB57" s="481">
        <f t="shared" si="22"/>
        <v>0</v>
      </c>
      <c r="AC57" s="481">
        <f t="shared" si="20"/>
        <v>0</v>
      </c>
      <c r="AD57" s="481">
        <f t="shared" si="22"/>
        <v>0</v>
      </c>
      <c r="AE57" s="481" t="str">
        <f t="shared" si="22"/>
        <v/>
      </c>
      <c r="AF57" s="481">
        <f t="shared" si="22"/>
        <v>0</v>
      </c>
      <c r="AG57" s="481"/>
      <c r="AH57" s="482">
        <f t="shared" si="15"/>
        <v>0</v>
      </c>
      <c r="AI57" s="483">
        <v>0.7</v>
      </c>
      <c r="AJ57" s="484">
        <f t="shared" ref="AJ57" si="23">AI57-AH57</f>
        <v>0.7</v>
      </c>
      <c r="AK57" s="486"/>
      <c r="AL57" s="486"/>
      <c r="AM57" s="486"/>
      <c r="AN57" s="486"/>
      <c r="AO57" s="486"/>
      <c r="AP57" s="486"/>
      <c r="AQ57" s="486"/>
      <c r="AR57" s="486"/>
      <c r="AS57" s="486"/>
      <c r="AT57" s="486"/>
      <c r="AU57" s="486"/>
      <c r="AV57" s="486"/>
      <c r="AW57" s="486"/>
      <c r="AX57" s="486"/>
      <c r="AY57" s="486"/>
      <c r="AZ57" s="486"/>
      <c r="BA57" s="486"/>
      <c r="BB57" s="486"/>
      <c r="BC57" s="486"/>
      <c r="BD57" s="486"/>
      <c r="BE57" s="486"/>
      <c r="BF57" s="486"/>
      <c r="BG57" s="486"/>
    </row>
    <row r="58" spans="1:59" s="269" customFormat="1" x14ac:dyDescent="0.35">
      <c r="A58" s="268" t="s">
        <v>181</v>
      </c>
      <c r="B58" s="478" t="str">
        <f t="shared" ref="B58:C58" si="24">IF(B$9=0,"",+(B40*10)/B$9)</f>
        <v/>
      </c>
      <c r="C58" s="478" t="str">
        <f t="shared" si="24"/>
        <v/>
      </c>
      <c r="D58" s="478">
        <f t="shared" si="17"/>
        <v>0</v>
      </c>
      <c r="E58" s="478">
        <f t="shared" si="17"/>
        <v>0</v>
      </c>
      <c r="F58" s="478">
        <f t="shared" si="17"/>
        <v>0</v>
      </c>
      <c r="G58" s="478">
        <f t="shared" ref="G58:AF58" si="25">IF(G$9=0,"",+(G40*10)/G$9)</f>
        <v>0</v>
      </c>
      <c r="H58" s="478">
        <f t="shared" si="25"/>
        <v>0</v>
      </c>
      <c r="I58" s="478" t="str">
        <f t="shared" si="25"/>
        <v/>
      </c>
      <c r="J58" s="478" t="str">
        <f t="shared" si="25"/>
        <v/>
      </c>
      <c r="K58" s="478">
        <f t="shared" si="25"/>
        <v>0</v>
      </c>
      <c r="L58" s="478">
        <f t="shared" si="25"/>
        <v>0</v>
      </c>
      <c r="M58" s="478">
        <f t="shared" si="25"/>
        <v>0</v>
      </c>
      <c r="N58" s="478">
        <f t="shared" si="25"/>
        <v>0</v>
      </c>
      <c r="O58" s="478">
        <f t="shared" si="25"/>
        <v>0</v>
      </c>
      <c r="P58" s="478" t="str">
        <f t="shared" si="25"/>
        <v/>
      </c>
      <c r="Q58" s="478" t="str">
        <f t="shared" si="25"/>
        <v/>
      </c>
      <c r="R58" s="478">
        <f t="shared" si="25"/>
        <v>0</v>
      </c>
      <c r="S58" s="478">
        <f t="shared" si="25"/>
        <v>0</v>
      </c>
      <c r="T58" s="478">
        <f t="shared" si="25"/>
        <v>0</v>
      </c>
      <c r="U58" s="478">
        <f t="shared" si="25"/>
        <v>0</v>
      </c>
      <c r="V58" s="478">
        <f t="shared" si="25"/>
        <v>0</v>
      </c>
      <c r="W58" s="478" t="str">
        <f t="shared" si="25"/>
        <v/>
      </c>
      <c r="X58" s="478" t="str">
        <f t="shared" si="25"/>
        <v/>
      </c>
      <c r="Y58" s="478">
        <f t="shared" si="19"/>
        <v>0</v>
      </c>
      <c r="Z58" s="478">
        <f t="shared" si="25"/>
        <v>0</v>
      </c>
      <c r="AA58" s="478">
        <f t="shared" si="25"/>
        <v>0</v>
      </c>
      <c r="AB58" s="478">
        <f t="shared" si="25"/>
        <v>0</v>
      </c>
      <c r="AC58" s="478">
        <f t="shared" si="20"/>
        <v>0</v>
      </c>
      <c r="AD58" s="478">
        <f t="shared" si="25"/>
        <v>0</v>
      </c>
      <c r="AE58" s="478" t="str">
        <f t="shared" si="25"/>
        <v/>
      </c>
      <c r="AF58" s="478">
        <f t="shared" si="25"/>
        <v>0</v>
      </c>
      <c r="AG58" s="478"/>
      <c r="AH58" s="487">
        <f t="shared" si="15"/>
        <v>0</v>
      </c>
      <c r="AI58" s="491">
        <v>1</v>
      </c>
      <c r="AJ58" s="492">
        <f>AI58-AH58</f>
        <v>1</v>
      </c>
      <c r="AK58" s="493"/>
      <c r="AL58" s="493"/>
      <c r="AM58" s="493"/>
      <c r="AN58" s="493"/>
      <c r="AO58" s="493"/>
      <c r="AP58" s="493"/>
      <c r="AQ58" s="493"/>
      <c r="AR58" s="493"/>
      <c r="AS58" s="493"/>
      <c r="AT58" s="493"/>
      <c r="AU58" s="493"/>
      <c r="AV58" s="493"/>
      <c r="AW58" s="493"/>
      <c r="AX58" s="493"/>
      <c r="AY58" s="493"/>
      <c r="AZ58" s="493"/>
      <c r="BA58" s="493"/>
      <c r="BB58" s="493"/>
      <c r="BC58" s="493"/>
      <c r="BD58" s="493"/>
      <c r="BE58" s="493"/>
      <c r="BF58" s="493"/>
      <c r="BG58" s="493"/>
    </row>
    <row r="59" spans="1:59" s="219" customFormat="1" x14ac:dyDescent="0.35">
      <c r="A59" s="238" t="s">
        <v>103</v>
      </c>
      <c r="B59" s="481" t="str">
        <f t="shared" ref="B59:C59" si="26">IF(B$9=0,"",+(B41*10)/B$9)</f>
        <v/>
      </c>
      <c r="C59" s="481" t="str">
        <f t="shared" si="26"/>
        <v/>
      </c>
      <c r="D59" s="481">
        <f t="shared" si="17"/>
        <v>0.58922558922558921</v>
      </c>
      <c r="E59" s="481">
        <f t="shared" si="17"/>
        <v>0.94343182761613642</v>
      </c>
      <c r="F59" s="481">
        <f t="shared" si="17"/>
        <v>2.0283152813273295</v>
      </c>
      <c r="G59" s="481">
        <f t="shared" ref="G59:AF59" si="27">IF(G$9=0,"",+(G41*10)/G$9)</f>
        <v>2.2147528596367803</v>
      </c>
      <c r="H59" s="481">
        <f t="shared" si="27"/>
        <v>0.63930443677279114</v>
      </c>
      <c r="I59" s="481" t="str">
        <f t="shared" si="27"/>
        <v/>
      </c>
      <c r="J59" s="481" t="str">
        <f t="shared" si="27"/>
        <v/>
      </c>
      <c r="K59" s="481">
        <f t="shared" si="27"/>
        <v>2.5836398668768608</v>
      </c>
      <c r="L59" s="481">
        <f t="shared" si="27"/>
        <v>1.0154454598899043</v>
      </c>
      <c r="M59" s="481">
        <f t="shared" si="27"/>
        <v>3.110281702657069</v>
      </c>
      <c r="N59" s="481">
        <f t="shared" si="27"/>
        <v>1.2755667953325347</v>
      </c>
      <c r="O59" s="481">
        <f t="shared" si="27"/>
        <v>1.3580573173596429</v>
      </c>
      <c r="P59" s="481" t="str">
        <f t="shared" si="27"/>
        <v/>
      </c>
      <c r="Q59" s="481" t="str">
        <f t="shared" si="27"/>
        <v/>
      </c>
      <c r="R59" s="481">
        <f t="shared" si="27"/>
        <v>2.1748586341887775</v>
      </c>
      <c r="S59" s="481">
        <f t="shared" si="27"/>
        <v>0.72138990891870636</v>
      </c>
      <c r="T59" s="481">
        <f t="shared" si="27"/>
        <v>0.61826638106748666</v>
      </c>
      <c r="U59" s="481">
        <f t="shared" si="27"/>
        <v>1.6074886541207785</v>
      </c>
      <c r="V59" s="481">
        <f t="shared" si="27"/>
        <v>1.4544085690330748</v>
      </c>
      <c r="W59" s="481" t="str">
        <f t="shared" si="27"/>
        <v/>
      </c>
      <c r="X59" s="481" t="str">
        <f t="shared" si="27"/>
        <v/>
      </c>
      <c r="Y59" s="481">
        <f t="shared" si="19"/>
        <v>4.6003620930163525</v>
      </c>
      <c r="Z59" s="481">
        <f t="shared" si="27"/>
        <v>0.72180624795488224</v>
      </c>
      <c r="AA59" s="481">
        <f t="shared" si="27"/>
        <v>0.74663082838690398</v>
      </c>
      <c r="AB59" s="481">
        <f t="shared" si="27"/>
        <v>0.69048658776457761</v>
      </c>
      <c r="AC59" s="481">
        <f t="shared" si="20"/>
        <v>4.4550926659274515</v>
      </c>
      <c r="AD59" s="481">
        <f t="shared" si="27"/>
        <v>5.6670602125147571</v>
      </c>
      <c r="AE59" s="481" t="str">
        <f t="shared" si="27"/>
        <v/>
      </c>
      <c r="AF59" s="481">
        <f t="shared" si="27"/>
        <v>0.82717677476685425</v>
      </c>
      <c r="AG59" s="481"/>
      <c r="AH59" s="481">
        <f t="shared" si="15"/>
        <v>1.316789368988958</v>
      </c>
      <c r="AI59" s="483">
        <v>0.7</v>
      </c>
      <c r="AJ59" s="484">
        <f t="shared" ref="AJ59:AJ60" si="28">AI59-AH59</f>
        <v>-0.61678936898895809</v>
      </c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</row>
    <row r="60" spans="1:59" x14ac:dyDescent="0.35">
      <c r="A60" s="275" t="s">
        <v>132</v>
      </c>
      <c r="B60" s="478" t="str">
        <f t="shared" ref="B60:C60" si="29">IF(B$9=0,"",+(B42*10)/B$9)</f>
        <v/>
      </c>
      <c r="C60" s="478" t="str">
        <f t="shared" si="29"/>
        <v/>
      </c>
      <c r="D60" s="478">
        <f t="shared" si="17"/>
        <v>1.7676767676767675</v>
      </c>
      <c r="E60" s="478">
        <f t="shared" si="17"/>
        <v>1.7401075931586516</v>
      </c>
      <c r="F60" s="494">
        <f t="shared" si="17"/>
        <v>1.7385559554234251</v>
      </c>
      <c r="G60" s="478">
        <f t="shared" ref="G60:AF60" si="30">IF(G$9=0,"",+(G42*10)/G$9)</f>
        <v>1.5112431277521561</v>
      </c>
      <c r="H60" s="478">
        <f t="shared" si="30"/>
        <v>1.4612672840520942</v>
      </c>
      <c r="I60" s="478" t="str">
        <f t="shared" si="30"/>
        <v/>
      </c>
      <c r="J60" s="478" t="str">
        <f t="shared" si="30"/>
        <v/>
      </c>
      <c r="K60" s="478">
        <f t="shared" si="30"/>
        <v>1.7078297425118234</v>
      </c>
      <c r="L60" s="478">
        <f>IF(L$9=0,"",+(L42*10)/L$9)</f>
        <v>1.8705574261129816</v>
      </c>
      <c r="M60" s="478">
        <f t="shared" si="30"/>
        <v>3.0362273764033296</v>
      </c>
      <c r="N60" s="478">
        <f t="shared" si="30"/>
        <v>1.6360530635786856</v>
      </c>
      <c r="O60" s="478">
        <f t="shared" si="30"/>
        <v>1.7250998355649516</v>
      </c>
      <c r="P60" s="478" t="str">
        <f t="shared" si="30"/>
        <v/>
      </c>
      <c r="Q60" s="478" t="str">
        <f t="shared" si="30"/>
        <v/>
      </c>
      <c r="R60" s="478">
        <f t="shared" si="30"/>
        <v>2.1089538270921482</v>
      </c>
      <c r="S60" s="478">
        <f t="shared" si="30"/>
        <v>1.4195091756142286</v>
      </c>
      <c r="T60" s="478">
        <f t="shared" si="30"/>
        <v>1.455917607029888</v>
      </c>
      <c r="U60" s="478">
        <f t="shared" si="30"/>
        <v>2.8411427375157947</v>
      </c>
      <c r="V60" s="478">
        <f t="shared" si="30"/>
        <v>3.2510309190151085</v>
      </c>
      <c r="W60" s="478" t="str">
        <f t="shared" si="30"/>
        <v/>
      </c>
      <c r="X60" s="478" t="str">
        <f t="shared" si="30"/>
        <v/>
      </c>
      <c r="Y60" s="478">
        <f t="shared" si="19"/>
        <v>8.9039266316445538</v>
      </c>
      <c r="Z60" s="478">
        <f t="shared" si="30"/>
        <v>2.2937398546121814</v>
      </c>
      <c r="AA60" s="478">
        <f t="shared" si="30"/>
        <v>1.8326393060405826</v>
      </c>
      <c r="AB60" s="478">
        <f t="shared" si="30"/>
        <v>1.7728709685847264</v>
      </c>
      <c r="AC60" s="478">
        <f t="shared" si="20"/>
        <v>3.3550697854515374</v>
      </c>
      <c r="AD60" s="478">
        <f t="shared" si="30"/>
        <v>0</v>
      </c>
      <c r="AE60" s="478" t="str">
        <f t="shared" si="30"/>
        <v/>
      </c>
      <c r="AF60" s="478">
        <f t="shared" si="30"/>
        <v>2.0324915037128419</v>
      </c>
      <c r="AG60" s="478"/>
      <c r="AH60" s="495">
        <f t="shared" si="15"/>
        <v>2.138889137901717</v>
      </c>
      <c r="AI60" s="496">
        <v>2.1</v>
      </c>
      <c r="AJ60" s="497">
        <f t="shared" si="28"/>
        <v>-3.8889137901716886E-2</v>
      </c>
    </row>
    <row r="61" spans="1:59" s="219" customFormat="1" x14ac:dyDescent="0.35">
      <c r="A61" s="238" t="s">
        <v>177</v>
      </c>
      <c r="B61" s="481" t="str">
        <f t="shared" ref="B61:C61" si="31">IF(B$9=0,"",+(B43*10)/B$9)</f>
        <v/>
      </c>
      <c r="C61" s="481" t="str">
        <f t="shared" si="31"/>
        <v/>
      </c>
      <c r="D61" s="481">
        <f t="shared" si="17"/>
        <v>5.6116722783389444E-2</v>
      </c>
      <c r="E61" s="481">
        <f t="shared" si="17"/>
        <v>0.46123333794566668</v>
      </c>
      <c r="F61" s="481">
        <f t="shared" si="17"/>
        <v>0.43463898885585628</v>
      </c>
      <c r="G61" s="481">
        <f t="shared" ref="G61:AF61" si="32">IF(G$9=0,"",+(G43*10)/G$9)</f>
        <v>0.59928606790171701</v>
      </c>
      <c r="H61" s="481">
        <f t="shared" si="32"/>
        <v>0.39575988943077545</v>
      </c>
      <c r="I61" s="481" t="str">
        <f t="shared" si="32"/>
        <v/>
      </c>
      <c r="J61" s="481" t="str">
        <f t="shared" si="32"/>
        <v/>
      </c>
      <c r="K61" s="481">
        <f t="shared" si="32"/>
        <v>0.61306708705552637</v>
      </c>
      <c r="L61" s="481">
        <f t="shared" si="32"/>
        <v>0.74822297044519259</v>
      </c>
      <c r="M61" s="481">
        <f t="shared" si="32"/>
        <v>0.59243461002991793</v>
      </c>
      <c r="N61" s="481">
        <f t="shared" si="32"/>
        <v>0.3882159811881627</v>
      </c>
      <c r="O61" s="481">
        <f t="shared" si="32"/>
        <v>0.40374677002583975</v>
      </c>
      <c r="P61" s="481" t="str">
        <f t="shared" si="32"/>
        <v/>
      </c>
      <c r="Q61" s="481" t="str">
        <f t="shared" si="32"/>
        <v/>
      </c>
      <c r="R61" s="481">
        <f t="shared" si="32"/>
        <v>1.3840009490292222</v>
      </c>
      <c r="S61" s="481">
        <f t="shared" si="32"/>
        <v>0.44214220224049744</v>
      </c>
      <c r="T61" s="481">
        <f t="shared" si="32"/>
        <v>0.4786578434070865</v>
      </c>
      <c r="U61" s="481">
        <f t="shared" si="32"/>
        <v>0.8598195126692536</v>
      </c>
      <c r="V61" s="481">
        <f t="shared" si="32"/>
        <v>0.4277672261861985</v>
      </c>
      <c r="W61" s="481" t="str">
        <f t="shared" si="32"/>
        <v/>
      </c>
      <c r="X61" s="481" t="str">
        <f t="shared" si="32"/>
        <v/>
      </c>
      <c r="Y61" s="481">
        <f t="shared" si="19"/>
        <v>1.1871902175526072</v>
      </c>
      <c r="Z61" s="481">
        <f t="shared" si="32"/>
        <v>0.40100347108604567</v>
      </c>
      <c r="AA61" s="481">
        <f t="shared" si="32"/>
        <v>0.39028429665679071</v>
      </c>
      <c r="AB61" s="481">
        <f t="shared" si="32"/>
        <v>0.42922139239419688</v>
      </c>
      <c r="AC61" s="481">
        <f t="shared" si="20"/>
        <v>0.55001144023795689</v>
      </c>
      <c r="AD61" s="481">
        <f t="shared" si="32"/>
        <v>0</v>
      </c>
      <c r="AE61" s="481" t="str">
        <f t="shared" si="32"/>
        <v/>
      </c>
      <c r="AF61" s="481">
        <f t="shared" si="32"/>
        <v>0.51993968699630844</v>
      </c>
      <c r="AG61" s="481"/>
      <c r="AH61" s="482">
        <f t="shared" si="15"/>
        <v>0.48468142897639177</v>
      </c>
      <c r="AI61" s="483">
        <v>0.7</v>
      </c>
      <c r="AJ61" s="484">
        <f>AI61-AH61</f>
        <v>0.21531857102360819</v>
      </c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</row>
    <row r="62" spans="1:59" x14ac:dyDescent="0.35">
      <c r="A62" s="241" t="s">
        <v>131</v>
      </c>
      <c r="B62" s="478" t="str">
        <f t="shared" ref="B62:C62" si="33">IF(B$9=0,"",+(B44*10)/B$9)</f>
        <v/>
      </c>
      <c r="C62" s="478" t="str">
        <f t="shared" si="33"/>
        <v/>
      </c>
      <c r="D62" s="478">
        <f t="shared" si="17"/>
        <v>0</v>
      </c>
      <c r="E62" s="478">
        <f t="shared" si="17"/>
        <v>0.16772121379842425</v>
      </c>
      <c r="F62" s="478">
        <f t="shared" si="17"/>
        <v>0</v>
      </c>
      <c r="G62" s="478">
        <f t="shared" ref="G62:AF62" si="34">IF(G$9=0,"",+(G44*10)/G$9)</f>
        <v>0</v>
      </c>
      <c r="H62" s="478">
        <f t="shared" si="34"/>
        <v>0</v>
      </c>
      <c r="I62" s="478" t="str">
        <f t="shared" si="34"/>
        <v/>
      </c>
      <c r="J62" s="478" t="str">
        <f t="shared" si="34"/>
        <v/>
      </c>
      <c r="K62" s="478">
        <f t="shared" si="34"/>
        <v>0.96339113680154131</v>
      </c>
      <c r="L62" s="478">
        <f t="shared" si="34"/>
        <v>0.16033349366682698</v>
      </c>
      <c r="M62" s="478">
        <f t="shared" si="34"/>
        <v>0.22216297876121924</v>
      </c>
      <c r="N62" s="478">
        <f t="shared" si="34"/>
        <v>0</v>
      </c>
      <c r="O62" s="478">
        <f t="shared" si="34"/>
        <v>0</v>
      </c>
      <c r="P62" s="478" t="str">
        <f t="shared" si="34"/>
        <v/>
      </c>
      <c r="Q62" s="478" t="str">
        <f t="shared" si="34"/>
        <v/>
      </c>
      <c r="R62" s="478">
        <f t="shared" si="34"/>
        <v>0.32952403548314813</v>
      </c>
      <c r="S62" s="478">
        <f t="shared" si="34"/>
        <v>0</v>
      </c>
      <c r="T62" s="478">
        <f t="shared" si="34"/>
        <v>0</v>
      </c>
      <c r="U62" s="478">
        <f t="shared" si="34"/>
        <v>0</v>
      </c>
      <c r="V62" s="478">
        <f t="shared" si="34"/>
        <v>0</v>
      </c>
      <c r="W62" s="478" t="str">
        <f t="shared" si="34"/>
        <v/>
      </c>
      <c r="X62" s="478" t="str">
        <f t="shared" si="34"/>
        <v/>
      </c>
      <c r="Y62" s="478">
        <f t="shared" si="19"/>
        <v>0</v>
      </c>
      <c r="Z62" s="478">
        <f t="shared" si="34"/>
        <v>0</v>
      </c>
      <c r="AA62" s="478">
        <f t="shared" si="34"/>
        <v>0</v>
      </c>
      <c r="AB62" s="478">
        <f t="shared" si="34"/>
        <v>1.8661799669312907E-2</v>
      </c>
      <c r="AC62" s="478">
        <f t="shared" si="20"/>
        <v>0</v>
      </c>
      <c r="AD62" s="478">
        <f t="shared" si="34"/>
        <v>0</v>
      </c>
      <c r="AE62" s="478" t="str">
        <f t="shared" si="34"/>
        <v/>
      </c>
      <c r="AF62" s="478">
        <f t="shared" si="34"/>
        <v>0</v>
      </c>
      <c r="AG62" s="478"/>
      <c r="AH62" s="487">
        <f t="shared" si="15"/>
        <v>6.0049026598844993E-2</v>
      </c>
      <c r="AI62" s="496">
        <v>0.1</v>
      </c>
      <c r="AJ62" s="497">
        <f>AI62-AH62</f>
        <v>3.9950973401155013E-2</v>
      </c>
    </row>
    <row r="63" spans="1:59" s="219" customFormat="1" x14ac:dyDescent="0.35">
      <c r="A63" s="238" t="s">
        <v>133</v>
      </c>
      <c r="B63" s="481" t="str">
        <f t="shared" ref="B63:C63" si="35">IF(B$9=0,"",+(B45*10)/B$9)</f>
        <v/>
      </c>
      <c r="C63" s="481" t="str">
        <f t="shared" si="35"/>
        <v/>
      </c>
      <c r="D63" s="481">
        <f>IF(D$9=0,"",+(D45*10)/D$9)</f>
        <v>0.25252525252525249</v>
      </c>
      <c r="E63" s="498">
        <f t="shared" ref="E63:AF63" si="36">IF(E$9=0,"",+(E45*10)/E$9)</f>
        <v>0.37737273104645458</v>
      </c>
      <c r="F63" s="498">
        <f t="shared" si="36"/>
        <v>0.43463898885585628</v>
      </c>
      <c r="G63" s="498">
        <f t="shared" si="36"/>
        <v>0.46900648792308292</v>
      </c>
      <c r="H63" s="498">
        <f t="shared" si="36"/>
        <v>0</v>
      </c>
      <c r="I63" s="498" t="str">
        <f t="shared" si="36"/>
        <v/>
      </c>
      <c r="J63" s="498" t="str">
        <f t="shared" si="36"/>
        <v/>
      </c>
      <c r="K63" s="498">
        <f t="shared" si="36"/>
        <v>1.1385531616745488</v>
      </c>
      <c r="L63" s="498">
        <f t="shared" si="36"/>
        <v>1.9240019240019239</v>
      </c>
      <c r="M63" s="498">
        <f t="shared" si="36"/>
        <v>2.81406439764211</v>
      </c>
      <c r="N63" s="498">
        <f t="shared" si="36"/>
        <v>1.6637827765206974</v>
      </c>
      <c r="O63" s="498">
        <f t="shared" si="36"/>
        <v>1.3580573173596429</v>
      </c>
      <c r="P63" s="481" t="str">
        <f t="shared" si="36"/>
        <v/>
      </c>
      <c r="Q63" s="481" t="str">
        <f t="shared" si="36"/>
        <v/>
      </c>
      <c r="R63" s="498">
        <f t="shared" si="36"/>
        <v>1.7794297916089998</v>
      </c>
      <c r="S63" s="498">
        <f t="shared" si="36"/>
        <v>0.30251834890139301</v>
      </c>
      <c r="T63" s="481">
        <f t="shared" si="36"/>
        <v>0.6382104578761153</v>
      </c>
      <c r="U63" s="481">
        <f t="shared" si="36"/>
        <v>1.1215037121772873</v>
      </c>
      <c r="V63" s="481">
        <f t="shared" si="36"/>
        <v>0.76998100713515727</v>
      </c>
      <c r="W63" s="481" t="str">
        <f t="shared" si="36"/>
        <v/>
      </c>
      <c r="X63" s="481" t="str">
        <f t="shared" si="36"/>
        <v/>
      </c>
      <c r="Y63" s="481">
        <f t="shared" si="19"/>
        <v>6.3811474193452637</v>
      </c>
      <c r="Z63" s="481">
        <f t="shared" si="36"/>
        <v>0.56140485952046393</v>
      </c>
      <c r="AA63" s="481">
        <f t="shared" si="36"/>
        <v>0.7635997108502427</v>
      </c>
      <c r="AB63" s="481">
        <f t="shared" si="36"/>
        <v>0.87710458445770667</v>
      </c>
      <c r="AC63" s="481">
        <f t="shared" si="20"/>
        <v>2.4200503370470106</v>
      </c>
      <c r="AD63" s="481">
        <f t="shared" si="36"/>
        <v>9.445100354191263</v>
      </c>
      <c r="AE63" s="481" t="str">
        <f t="shared" si="36"/>
        <v/>
      </c>
      <c r="AF63" s="481">
        <f t="shared" si="36"/>
        <v>2.1979268586662126</v>
      </c>
      <c r="AG63" s="481"/>
      <c r="AH63" s="482">
        <f t="shared" si="15"/>
        <v>1.098039343521737</v>
      </c>
      <c r="AI63" s="483">
        <v>0.6</v>
      </c>
      <c r="AJ63" s="484">
        <f t="shared" ref="AJ63:AJ67" si="37">AI63-AH63</f>
        <v>-0.49803934352173707</v>
      </c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W63" s="486"/>
      <c r="AX63" s="486"/>
      <c r="AY63" s="486"/>
      <c r="AZ63" s="486"/>
      <c r="BA63" s="486"/>
      <c r="BB63" s="486"/>
      <c r="BC63" s="486"/>
      <c r="BD63" s="486"/>
      <c r="BE63" s="486"/>
      <c r="BF63" s="486"/>
      <c r="BG63" s="486"/>
    </row>
    <row r="64" spans="1:59" s="239" customFormat="1" x14ac:dyDescent="0.35">
      <c r="A64" s="242" t="s">
        <v>174</v>
      </c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8"/>
      <c r="AB64" s="478"/>
      <c r="AC64" s="478"/>
      <c r="AD64" s="478"/>
      <c r="AE64" s="478"/>
      <c r="AF64" s="478"/>
      <c r="AG64" s="478"/>
      <c r="AH64" s="487"/>
      <c r="AI64" s="499">
        <v>0.5</v>
      </c>
      <c r="AJ64" s="500">
        <f t="shared" si="37"/>
        <v>0.5</v>
      </c>
      <c r="AK64" s="501"/>
      <c r="AL64" s="395"/>
      <c r="AM64" s="501"/>
      <c r="AN64" s="501"/>
      <c r="AO64" s="501"/>
      <c r="AP64" s="501"/>
      <c r="AQ64" s="501"/>
      <c r="AR64" s="501"/>
      <c r="AS64" s="501"/>
      <c r="AT64" s="501"/>
      <c r="AU64" s="501"/>
      <c r="AV64" s="501"/>
      <c r="AW64" s="501"/>
      <c r="AX64" s="501"/>
      <c r="AY64" s="501"/>
      <c r="AZ64" s="501"/>
      <c r="BA64" s="501"/>
      <c r="BB64" s="501"/>
      <c r="BC64" s="501"/>
      <c r="BD64" s="501"/>
      <c r="BE64" s="501"/>
      <c r="BF64" s="501"/>
      <c r="BG64" s="501"/>
    </row>
    <row r="65" spans="1:59" s="219" customFormat="1" x14ac:dyDescent="0.35">
      <c r="A65" s="238" t="s">
        <v>214</v>
      </c>
      <c r="B65" s="481" t="str">
        <f t="shared" ref="B65:C65" si="38">IF(B$9=0,"",+(B46*10)/B$9)</f>
        <v/>
      </c>
      <c r="C65" s="481" t="str">
        <f t="shared" si="38"/>
        <v/>
      </c>
      <c r="D65" s="481">
        <f>IF(D$9=0,"",+(D46*10)/D$9)</f>
        <v>0</v>
      </c>
      <c r="E65" s="502">
        <f t="shared" ref="E65:AF65" si="39">IF(E$9=0,"",+(E46*10)/E$9)</f>
        <v>0</v>
      </c>
      <c r="F65" s="502">
        <f t="shared" si="39"/>
        <v>0</v>
      </c>
      <c r="G65" s="502">
        <f t="shared" si="39"/>
        <v>0</v>
      </c>
      <c r="H65" s="481">
        <f t="shared" si="39"/>
        <v>0</v>
      </c>
      <c r="I65" s="481" t="str">
        <f t="shared" si="39"/>
        <v/>
      </c>
      <c r="J65" s="481" t="str">
        <f>IF(J$9=0,"",+(J46*10)/J$9)</f>
        <v/>
      </c>
      <c r="K65" s="481">
        <f t="shared" si="39"/>
        <v>0</v>
      </c>
      <c r="L65" s="502">
        <f t="shared" si="39"/>
        <v>0</v>
      </c>
      <c r="M65" s="481">
        <f t="shared" si="39"/>
        <v>0</v>
      </c>
      <c r="N65" s="481">
        <f t="shared" si="39"/>
        <v>0</v>
      </c>
      <c r="O65" s="481">
        <f t="shared" si="39"/>
        <v>0</v>
      </c>
      <c r="P65" s="481" t="str">
        <f t="shared" si="39"/>
        <v/>
      </c>
      <c r="Q65" s="481" t="str">
        <f t="shared" si="39"/>
        <v/>
      </c>
      <c r="R65" s="481">
        <f t="shared" si="39"/>
        <v>0</v>
      </c>
      <c r="S65" s="481">
        <f t="shared" si="39"/>
        <v>0</v>
      </c>
      <c r="T65" s="481">
        <f t="shared" si="39"/>
        <v>0</v>
      </c>
      <c r="U65" s="481">
        <f t="shared" si="39"/>
        <v>0</v>
      </c>
      <c r="V65" s="502">
        <f t="shared" si="39"/>
        <v>0</v>
      </c>
      <c r="W65" s="502" t="str">
        <f t="shared" si="39"/>
        <v/>
      </c>
      <c r="X65" s="502" t="str">
        <f t="shared" si="39"/>
        <v/>
      </c>
      <c r="Y65" s="502">
        <f>IF(Y$9=0,"",+(Y46*10)/Y$9)</f>
        <v>0</v>
      </c>
      <c r="Z65" s="502">
        <f t="shared" si="39"/>
        <v>0</v>
      </c>
      <c r="AA65" s="502">
        <f t="shared" si="39"/>
        <v>0</v>
      </c>
      <c r="AB65" s="502">
        <f t="shared" si="39"/>
        <v>0</v>
      </c>
      <c r="AC65" s="502">
        <f>IF(AC$9=0,"",+(AC46*10)/AC$9)</f>
        <v>0</v>
      </c>
      <c r="AD65" s="502">
        <f t="shared" si="39"/>
        <v>0</v>
      </c>
      <c r="AE65" s="502" t="str">
        <f t="shared" si="39"/>
        <v/>
      </c>
      <c r="AF65" s="502">
        <f t="shared" si="39"/>
        <v>0</v>
      </c>
      <c r="AG65" s="502"/>
      <c r="AH65" s="482">
        <f>+(AH46*10)/AH$9</f>
        <v>0</v>
      </c>
      <c r="AI65" s="483">
        <v>0.3</v>
      </c>
      <c r="AJ65" s="484">
        <f t="shared" si="37"/>
        <v>0.3</v>
      </c>
      <c r="AK65" s="486"/>
      <c r="AL65" s="486"/>
      <c r="AM65" s="486"/>
      <c r="AN65" s="486"/>
      <c r="AO65" s="486"/>
      <c r="AP65" s="486"/>
      <c r="AQ65" s="486"/>
      <c r="AR65" s="486"/>
      <c r="AS65" s="486"/>
      <c r="AT65" s="486"/>
      <c r="AU65" s="486"/>
      <c r="AV65" s="486"/>
      <c r="AW65" s="486"/>
      <c r="AX65" s="486"/>
      <c r="AY65" s="486"/>
      <c r="AZ65" s="486"/>
      <c r="BA65" s="486"/>
      <c r="BB65" s="486"/>
      <c r="BC65" s="486"/>
      <c r="BD65" s="486"/>
      <c r="BE65" s="486"/>
      <c r="BF65" s="486"/>
      <c r="BG65" s="486"/>
    </row>
    <row r="66" spans="1:59" s="239" customFormat="1" hidden="1" x14ac:dyDescent="0.35">
      <c r="A66" s="243" t="s">
        <v>200</v>
      </c>
      <c r="B66" s="503"/>
      <c r="C66" s="503"/>
      <c r="D66" s="503"/>
      <c r="E66" s="503"/>
      <c r="F66" s="503"/>
      <c r="G66" s="503"/>
      <c r="H66" s="503"/>
      <c r="I66" s="503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5"/>
      <c r="AI66" s="505">
        <v>0.4</v>
      </c>
      <c r="AJ66" s="506">
        <f t="shared" si="37"/>
        <v>0.4</v>
      </c>
      <c r="AK66" s="501"/>
      <c r="AL66" s="395"/>
      <c r="AM66" s="501"/>
      <c r="AN66" s="501"/>
      <c r="AO66" s="501"/>
      <c r="AP66" s="501"/>
      <c r="AQ66" s="501"/>
      <c r="AR66" s="501"/>
      <c r="AS66" s="501"/>
      <c r="AT66" s="501"/>
      <c r="AU66" s="501"/>
      <c r="AV66" s="501"/>
      <c r="AW66" s="501"/>
      <c r="AX66" s="501"/>
      <c r="AY66" s="501"/>
      <c r="AZ66" s="501"/>
      <c r="BA66" s="501"/>
      <c r="BB66" s="501"/>
      <c r="BC66" s="501"/>
      <c r="BD66" s="501"/>
      <c r="BE66" s="501"/>
      <c r="BF66" s="501"/>
      <c r="BG66" s="501"/>
    </row>
    <row r="67" spans="1:59" s="240" customFormat="1" hidden="1" x14ac:dyDescent="0.35">
      <c r="A67" s="270" t="s">
        <v>213</v>
      </c>
      <c r="B67" s="507"/>
      <c r="C67" s="507"/>
      <c r="D67" s="507"/>
      <c r="E67" s="507"/>
      <c r="F67" s="507"/>
      <c r="G67" s="507"/>
      <c r="H67" s="507"/>
      <c r="I67" s="507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8"/>
      <c r="AB67" s="508"/>
      <c r="AC67" s="508"/>
      <c r="AD67" s="508"/>
      <c r="AE67" s="508"/>
      <c r="AF67" s="508"/>
      <c r="AG67" s="508"/>
      <c r="AH67" s="509"/>
      <c r="AI67" s="509">
        <v>0.2</v>
      </c>
      <c r="AJ67" s="510">
        <f t="shared" si="37"/>
        <v>0.2</v>
      </c>
      <c r="AK67" s="485"/>
      <c r="AL67" s="486"/>
      <c r="AM67" s="485"/>
      <c r="AN67" s="485"/>
      <c r="AO67" s="485"/>
      <c r="AP67" s="485"/>
      <c r="AQ67" s="485"/>
      <c r="AR67" s="485"/>
      <c r="AS67" s="485"/>
      <c r="AT67" s="485"/>
      <c r="AU67" s="485"/>
      <c r="AV67" s="485"/>
      <c r="AW67" s="485"/>
      <c r="AX67" s="485"/>
      <c r="AY67" s="485"/>
      <c r="AZ67" s="485"/>
      <c r="BA67" s="485"/>
      <c r="BB67" s="485"/>
      <c r="BC67" s="485"/>
      <c r="BD67" s="485"/>
      <c r="BE67" s="485"/>
      <c r="BF67" s="485"/>
      <c r="BG67" s="485"/>
    </row>
    <row r="68" spans="1:59" s="209" customFormat="1" ht="30" x14ac:dyDescent="0.4">
      <c r="A68" s="244" t="s">
        <v>237</v>
      </c>
      <c r="B68" s="511">
        <f>SUM(B54:B63,B65)</f>
        <v>0</v>
      </c>
      <c r="C68" s="511">
        <f>SUM(C54:C63,C65)</f>
        <v>0</v>
      </c>
      <c r="D68" s="511">
        <f>SUM(D54:D63,D65)</f>
        <v>7.9124579124579117</v>
      </c>
      <c r="E68" s="511">
        <f>SUM(E54:E63,E65)</f>
        <v>8.1344788692235763</v>
      </c>
      <c r="F68" s="511">
        <f t="shared" ref="F68:AJ68" si="40">SUM(F54:F63,F65)</f>
        <v>9.6489855526000081</v>
      </c>
      <c r="G68" s="511">
        <f t="shared" si="40"/>
        <v>9.8230803303890148</v>
      </c>
      <c r="H68" s="511">
        <f t="shared" si="40"/>
        <v>9.0720343884900849</v>
      </c>
      <c r="I68" s="511">
        <f t="shared" si="40"/>
        <v>0</v>
      </c>
      <c r="J68" s="512">
        <f t="shared" si="40"/>
        <v>0</v>
      </c>
      <c r="K68" s="512">
        <f t="shared" si="40"/>
        <v>15.370467682606408</v>
      </c>
      <c r="L68" s="512">
        <f t="shared" si="40"/>
        <v>13.628346961680293</v>
      </c>
      <c r="M68" s="512">
        <f t="shared" si="40"/>
        <v>23.919547379957933</v>
      </c>
      <c r="N68" s="512">
        <f t="shared" si="40"/>
        <v>11.840587426238963</v>
      </c>
      <c r="O68" s="512">
        <f t="shared" si="40"/>
        <v>10.644233027953957</v>
      </c>
      <c r="P68" s="512">
        <f t="shared" si="40"/>
        <v>0</v>
      </c>
      <c r="Q68" s="512">
        <f t="shared" si="40"/>
        <v>0</v>
      </c>
      <c r="R68" s="512">
        <f t="shared" si="40"/>
        <v>18.387441179959662</v>
      </c>
      <c r="S68" s="512">
        <f t="shared" si="40"/>
        <v>6.2365321158133327</v>
      </c>
      <c r="T68" s="512">
        <f t="shared" si="40"/>
        <v>8.0175188770686994</v>
      </c>
      <c r="U68" s="512">
        <f t="shared" si="40"/>
        <v>13.570194917345177</v>
      </c>
      <c r="V68" s="512">
        <f t="shared" si="40"/>
        <v>13.602997792721112</v>
      </c>
      <c r="W68" s="512">
        <f t="shared" si="40"/>
        <v>0</v>
      </c>
      <c r="X68" s="512">
        <f t="shared" si="40"/>
        <v>0</v>
      </c>
      <c r="Y68" s="512">
        <f t="shared" si="40"/>
        <v>43.184044163476081</v>
      </c>
      <c r="Z68" s="512">
        <f t="shared" si="40"/>
        <v>6.544376648124266</v>
      </c>
      <c r="AA68" s="512">
        <f t="shared" si="40"/>
        <v>8.2468768771826202</v>
      </c>
      <c r="AB68" s="512">
        <f t="shared" si="40"/>
        <v>7.8566176607807341</v>
      </c>
      <c r="AC68" s="512">
        <f t="shared" si="40"/>
        <v>19.415403840399875</v>
      </c>
      <c r="AD68" s="512">
        <f t="shared" si="40"/>
        <v>24.242424242424242</v>
      </c>
      <c r="AE68" s="512">
        <f t="shared" si="40"/>
        <v>0</v>
      </c>
      <c r="AF68" s="512">
        <f t="shared" si="40"/>
        <v>7.3500564843569052</v>
      </c>
      <c r="AG68" s="777"/>
      <c r="AH68" s="511">
        <f t="shared" si="40"/>
        <v>10.904617282604544</v>
      </c>
      <c r="AI68" s="511">
        <f t="shared" si="40"/>
        <v>9.6</v>
      </c>
      <c r="AJ68" s="513">
        <f t="shared" si="40"/>
        <v>-1.3046172826045426</v>
      </c>
      <c r="AK68" s="394"/>
      <c r="AL68" s="395"/>
      <c r="AM68" s="394"/>
      <c r="AN68" s="394"/>
      <c r="AO68" s="394"/>
      <c r="AP68" s="394"/>
      <c r="AQ68" s="394"/>
      <c r="AR68" s="394"/>
      <c r="AS68" s="394"/>
      <c r="AT68" s="394"/>
      <c r="AU68" s="394"/>
      <c r="AV68" s="394"/>
      <c r="AW68" s="394"/>
      <c r="AX68" s="394"/>
      <c r="AY68" s="394"/>
      <c r="AZ68" s="394"/>
      <c r="BA68" s="394"/>
      <c r="BB68" s="394"/>
      <c r="BC68" s="394"/>
      <c r="BD68" s="394"/>
      <c r="BE68" s="394"/>
      <c r="BF68" s="394"/>
      <c r="BG68" s="394"/>
    </row>
    <row r="69" spans="1:59" s="246" customFormat="1" thickBot="1" x14ac:dyDescent="0.4">
      <c r="A69" s="245" t="s">
        <v>216</v>
      </c>
      <c r="B69" s="514">
        <f t="shared" ref="B69" si="41">SUM(B60:B62)</f>
        <v>0</v>
      </c>
      <c r="C69" s="514">
        <f>SUM(C60:C62)</f>
        <v>0</v>
      </c>
      <c r="D69" s="514">
        <f t="shared" ref="D69:AJ69" si="42">SUM(D60:D62)</f>
        <v>1.8237934904601569</v>
      </c>
      <c r="E69" s="514">
        <f t="shared" si="42"/>
        <v>2.3690621449027423</v>
      </c>
      <c r="F69" s="514">
        <f t="shared" si="42"/>
        <v>2.1731949442792815</v>
      </c>
      <c r="G69" s="514">
        <f t="shared" si="42"/>
        <v>2.1105291956538732</v>
      </c>
      <c r="H69" s="514">
        <f t="shared" si="42"/>
        <v>1.8570271734828696</v>
      </c>
      <c r="I69" s="514">
        <f t="shared" si="42"/>
        <v>0</v>
      </c>
      <c r="J69" s="515">
        <f t="shared" si="42"/>
        <v>0</v>
      </c>
      <c r="K69" s="515">
        <f t="shared" si="42"/>
        <v>3.2842879663688911</v>
      </c>
      <c r="L69" s="515">
        <f t="shared" si="42"/>
        <v>2.779113890225001</v>
      </c>
      <c r="M69" s="515">
        <f t="shared" si="42"/>
        <v>3.8508249651944668</v>
      </c>
      <c r="N69" s="515">
        <f t="shared" si="42"/>
        <v>2.0242690447668483</v>
      </c>
      <c r="O69" s="515">
        <f t="shared" si="42"/>
        <v>2.1288466055907915</v>
      </c>
      <c r="P69" s="515">
        <f t="shared" si="42"/>
        <v>0</v>
      </c>
      <c r="Q69" s="515">
        <f t="shared" si="42"/>
        <v>0</v>
      </c>
      <c r="R69" s="515">
        <f t="shared" si="42"/>
        <v>3.8224788116045185</v>
      </c>
      <c r="S69" s="515">
        <f t="shared" si="42"/>
        <v>1.8616513778547261</v>
      </c>
      <c r="T69" s="515">
        <f t="shared" si="42"/>
        <v>1.9345754504369745</v>
      </c>
      <c r="U69" s="515">
        <f t="shared" si="42"/>
        <v>3.7009622501850483</v>
      </c>
      <c r="V69" s="515">
        <f t="shared" si="42"/>
        <v>3.678798145201307</v>
      </c>
      <c r="W69" s="515">
        <f t="shared" si="42"/>
        <v>0</v>
      </c>
      <c r="X69" s="515">
        <f t="shared" si="42"/>
        <v>0</v>
      </c>
      <c r="Y69" s="515">
        <f t="shared" si="42"/>
        <v>10.09111684919716</v>
      </c>
      <c r="Z69" s="515">
        <f t="shared" si="42"/>
        <v>2.6947433256982269</v>
      </c>
      <c r="AA69" s="515">
        <f t="shared" si="42"/>
        <v>2.2229236026973731</v>
      </c>
      <c r="AB69" s="515">
        <f t="shared" si="42"/>
        <v>2.2207541606482359</v>
      </c>
      <c r="AC69" s="515">
        <f t="shared" si="42"/>
        <v>3.9050812256894942</v>
      </c>
      <c r="AD69" s="515">
        <f t="shared" si="42"/>
        <v>0</v>
      </c>
      <c r="AE69" s="515">
        <f t="shared" si="42"/>
        <v>0</v>
      </c>
      <c r="AF69" s="515">
        <f t="shared" si="42"/>
        <v>2.5524311907091501</v>
      </c>
      <c r="AG69" s="515"/>
      <c r="AH69" s="514">
        <f t="shared" si="42"/>
        <v>2.683619593476954</v>
      </c>
      <c r="AI69" s="514">
        <f t="shared" si="42"/>
        <v>2.9</v>
      </c>
      <c r="AJ69" s="514">
        <f t="shared" si="42"/>
        <v>0.2163804065230463</v>
      </c>
      <c r="AK69" s="516"/>
      <c r="AL69" s="395"/>
      <c r="AM69" s="516"/>
      <c r="AN69" s="516"/>
      <c r="AO69" s="516"/>
      <c r="AP69" s="516"/>
      <c r="AQ69" s="516"/>
      <c r="AR69" s="516"/>
      <c r="AS69" s="516"/>
      <c r="AT69" s="516"/>
      <c r="AU69" s="516"/>
      <c r="AV69" s="516"/>
      <c r="AW69" s="516"/>
      <c r="AX69" s="516"/>
      <c r="AY69" s="516"/>
      <c r="AZ69" s="516"/>
      <c r="BA69" s="516"/>
      <c r="BB69" s="516"/>
      <c r="BC69" s="516"/>
      <c r="BD69" s="516"/>
      <c r="BE69" s="516"/>
      <c r="BF69" s="516"/>
      <c r="BG69" s="516"/>
    </row>
    <row r="70" spans="1:59" x14ac:dyDescent="0.35">
      <c r="A70" s="228"/>
      <c r="B70" s="408"/>
      <c r="C70" s="408"/>
      <c r="D70" s="408"/>
      <c r="E70" s="408"/>
      <c r="F70" s="408"/>
      <c r="G70" s="408"/>
      <c r="H70" s="408"/>
      <c r="I70" s="408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H70" s="408"/>
      <c r="AI70" s="408"/>
    </row>
    <row r="71" spans="1:59" s="271" customFormat="1" ht="52.5" x14ac:dyDescent="0.4">
      <c r="A71" s="273" t="s">
        <v>247</v>
      </c>
      <c r="B71" s="517">
        <f>+'Water '!$F7</f>
        <v>196</v>
      </c>
      <c r="C71" s="517" t="str">
        <f>+'Water '!$F8</f>
        <v>0</v>
      </c>
      <c r="D71" s="517">
        <f>+'Water '!$F9</f>
        <v>12</v>
      </c>
      <c r="E71" s="517">
        <f>+'Water '!$F10</f>
        <v>1</v>
      </c>
      <c r="F71" s="517" t="str">
        <f>+'Water '!$F11</f>
        <v>0</v>
      </c>
      <c r="G71" s="517" t="str">
        <f>+'Water '!$F12</f>
        <v>0</v>
      </c>
      <c r="H71" s="517">
        <f>+'Water '!$F13</f>
        <v>130</v>
      </c>
      <c r="I71" s="517">
        <f>+'Water '!$F14</f>
        <v>82</v>
      </c>
      <c r="J71" s="518">
        <f>+'Water '!$F15</f>
        <v>22</v>
      </c>
      <c r="K71" s="518">
        <f>+'Water '!$F16</f>
        <v>152</v>
      </c>
      <c r="L71" s="518" t="str">
        <f>+'Water '!$F17</f>
        <v>0</v>
      </c>
      <c r="M71" s="518">
        <f>+'Water '!$F18</f>
        <v>113</v>
      </c>
      <c r="N71" s="518" t="str">
        <f>+'Water '!$F19</f>
        <v>0</v>
      </c>
      <c r="O71" s="518">
        <f>+'Water '!$F20</f>
        <v>171</v>
      </c>
      <c r="P71" s="518">
        <f>+'Water '!$F21</f>
        <v>82</v>
      </c>
      <c r="Q71" s="518">
        <f>+'Water '!$F22</f>
        <v>101</v>
      </c>
      <c r="R71" s="518">
        <f>+'Water '!$F23</f>
        <v>141</v>
      </c>
      <c r="S71" s="518">
        <f>+'Water '!$F24</f>
        <v>30</v>
      </c>
      <c r="T71" s="518">
        <f>+'Water '!$F25</f>
        <v>90</v>
      </c>
      <c r="U71" s="518">
        <f>+'Water '!$F26</f>
        <v>267</v>
      </c>
      <c r="V71" s="518">
        <f>+'Water '!$F27</f>
        <v>181</v>
      </c>
      <c r="W71" s="518" t="str">
        <f>+'Water '!$F28</f>
        <v>0</v>
      </c>
      <c r="X71" s="518">
        <f>+'Water '!$F29</f>
        <v>141</v>
      </c>
      <c r="Y71" s="518">
        <f>+'Water '!$F30</f>
        <v>220</v>
      </c>
      <c r="Z71" s="518">
        <f>+'Water '!$F31</f>
        <v>124</v>
      </c>
      <c r="AA71" s="518">
        <f>+'Water '!$F32</f>
        <v>165</v>
      </c>
      <c r="AB71" s="518">
        <f>+'Water '!$F33</f>
        <v>294</v>
      </c>
      <c r="AC71" s="518">
        <f>+'Water '!$F34</f>
        <v>297</v>
      </c>
      <c r="AD71" s="518">
        <f>+'Water '!$F35</f>
        <v>161</v>
      </c>
      <c r="AE71" s="518" t="str">
        <f>+'Water '!$F36</f>
        <v>0</v>
      </c>
      <c r="AF71" s="518">
        <f>+'Water '!$F37</f>
        <v>264</v>
      </c>
      <c r="AG71" s="518"/>
      <c r="AH71" s="519">
        <f>SUM($B71:AF71)</f>
        <v>3437</v>
      </c>
      <c r="AI71" s="519"/>
      <c r="AJ71" s="520"/>
      <c r="AK71" s="520"/>
      <c r="AL71" s="520"/>
      <c r="AM71" s="520"/>
      <c r="AN71" s="520"/>
      <c r="AO71" s="520"/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</row>
    <row r="72" spans="1:59" x14ac:dyDescent="0.35">
      <c r="A72" s="228"/>
      <c r="B72" s="408"/>
      <c r="C72" s="408"/>
      <c r="D72" s="408"/>
      <c r="E72" s="408"/>
      <c r="F72" s="408"/>
      <c r="G72" s="408"/>
      <c r="H72" s="408"/>
      <c r="I72" s="408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  <c r="AB72" s="436"/>
      <c r="AC72" s="436"/>
      <c r="AD72" s="436"/>
      <c r="AE72" s="436"/>
      <c r="AH72" s="408"/>
      <c r="AI72" s="408"/>
    </row>
    <row r="73" spans="1:59" ht="25.5" hidden="1" customHeight="1" x14ac:dyDescent="0.5">
      <c r="A73" s="234" t="s">
        <v>256</v>
      </c>
      <c r="B73" s="408"/>
      <c r="C73" s="408"/>
      <c r="D73" s="408"/>
      <c r="E73" s="408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36"/>
      <c r="AF73" s="436"/>
      <c r="AG73" s="436"/>
      <c r="AH73" s="436">
        <f>SUM(B73:AF73)</f>
        <v>0</v>
      </c>
      <c r="AI73" s="521"/>
    </row>
    <row r="74" spans="1:59" s="219" customFormat="1" ht="37.5" customHeight="1" x14ac:dyDescent="0.5">
      <c r="A74" s="259" t="s">
        <v>236</v>
      </c>
      <c r="B74" s="666">
        <v>0</v>
      </c>
      <c r="C74" s="696">
        <v>3700</v>
      </c>
      <c r="D74" s="666">
        <v>2500</v>
      </c>
      <c r="E74" s="676">
        <f>800+1300</f>
        <v>2100</v>
      </c>
      <c r="F74" s="676">
        <f>800+700</f>
        <v>1500</v>
      </c>
      <c r="G74" s="695">
        <v>1500</v>
      </c>
      <c r="H74" s="695">
        <v>1400</v>
      </c>
      <c r="I74" s="702">
        <v>600</v>
      </c>
      <c r="J74" s="701">
        <v>0</v>
      </c>
      <c r="K74" s="701">
        <v>900</v>
      </c>
      <c r="L74" s="701">
        <v>1500</v>
      </c>
      <c r="M74" s="701">
        <v>1400</v>
      </c>
      <c r="N74" s="734">
        <v>1500</v>
      </c>
      <c r="O74" s="701">
        <v>900</v>
      </c>
      <c r="P74" s="701">
        <v>0</v>
      </c>
      <c r="Q74" s="702">
        <v>3900</v>
      </c>
      <c r="R74" s="701">
        <v>400</v>
      </c>
      <c r="S74" s="701">
        <v>1800</v>
      </c>
      <c r="T74" s="735">
        <f>2400+700</f>
        <v>3100</v>
      </c>
      <c r="U74" s="695">
        <v>1600</v>
      </c>
      <c r="V74" s="695">
        <v>600</v>
      </c>
      <c r="W74" s="695">
        <v>0</v>
      </c>
      <c r="X74" s="736"/>
      <c r="Y74" s="695">
        <v>1200</v>
      </c>
      <c r="Z74" s="775">
        <f>2300+800</f>
        <v>3100</v>
      </c>
      <c r="AA74" s="774">
        <v>2400</v>
      </c>
      <c r="AB74" s="774">
        <v>2500</v>
      </c>
      <c r="AC74" s="774">
        <v>1600</v>
      </c>
      <c r="AD74" s="774">
        <v>0</v>
      </c>
      <c r="AE74" s="774">
        <v>0</v>
      </c>
      <c r="AF74" s="774">
        <v>1700</v>
      </c>
      <c r="AG74" s="774">
        <v>0</v>
      </c>
      <c r="AH74" s="524">
        <f>SUM(B74:AF74)</f>
        <v>43400</v>
      </c>
      <c r="AI74" s="525"/>
      <c r="AJ74" s="525"/>
      <c r="AK74" s="486"/>
      <c r="AL74" s="486"/>
      <c r="AM74" s="486"/>
      <c r="AN74" s="486"/>
      <c r="AO74" s="486"/>
      <c r="AP74" s="486"/>
      <c r="AQ74" s="486"/>
      <c r="AR74" s="486"/>
      <c r="AS74" s="486"/>
      <c r="AT74" s="486"/>
      <c r="AU74" s="486"/>
      <c r="AV74" s="486"/>
      <c r="AW74" s="486"/>
      <c r="AX74" s="486"/>
      <c r="AY74" s="486"/>
      <c r="AZ74" s="486"/>
      <c r="BA74" s="486"/>
      <c r="BB74" s="486"/>
      <c r="BC74" s="486"/>
      <c r="BD74" s="486"/>
      <c r="BE74" s="486"/>
      <c r="BF74" s="486"/>
      <c r="BG74" s="486"/>
    </row>
    <row r="75" spans="1:59" x14ac:dyDescent="0.4">
      <c r="A75" s="259"/>
      <c r="B75" s="438"/>
      <c r="C75" s="438"/>
      <c r="D75" s="438"/>
      <c r="E75" s="438"/>
      <c r="F75" s="438"/>
      <c r="G75" s="438"/>
      <c r="H75" s="438"/>
      <c r="I75" s="438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  <c r="AA75" s="438"/>
      <c r="AB75" s="438"/>
      <c r="AC75" s="438"/>
      <c r="AD75" s="438"/>
      <c r="AE75" s="438"/>
      <c r="AF75" s="438"/>
      <c r="AG75" s="438"/>
      <c r="AH75" s="433">
        <f>SUM($B75:AF75)</f>
        <v>0</v>
      </c>
      <c r="AI75" s="408"/>
    </row>
    <row r="76" spans="1:59" s="284" customFormat="1" x14ac:dyDescent="0.2">
      <c r="A76" s="284" t="s">
        <v>257</v>
      </c>
      <c r="B76" s="285" t="str">
        <f>IF('Entries March.''25'!$N8-'Entries March.''25'!$N7&lt;1,"0",'Entries March.''25'!$N8-'Entries March.''25'!$N7)</f>
        <v>0</v>
      </c>
      <c r="C76" s="285">
        <f>IF('Entries March.''25'!$N9-'Entries March.''25'!$N8&lt;1,0,'Entries March.''25'!$N9-'Entries March.''25'!$N8)</f>
        <v>0</v>
      </c>
      <c r="D76" s="285">
        <f>IF('Entries March.''25'!$N10-'Entries March.''25'!$N9&lt;1,0,'Entries March.''25'!$N10-'Entries March.''25'!$N9)</f>
        <v>0</v>
      </c>
      <c r="E76" s="285">
        <f>IF('Entries March.''25'!$N11-'Entries March.''25'!$N10&lt;1,0,'Entries March.''25'!$N11-'Entries March.''25'!$N10)</f>
        <v>141.87</v>
      </c>
      <c r="F76" s="285">
        <f>IF('Entries March.''25'!$N12-'Entries March.''25'!$N11&lt;1,0,'Entries March.''25'!$N12-'Entries March.''25'!$N11)</f>
        <v>28.960000000000036</v>
      </c>
      <c r="G76" s="285">
        <f>IF('Entries March.''25'!$N13-'Entries March.''25'!$N12&lt;1,0,'Entries March.''25'!$N13-'Entries March.''25'!$N12)</f>
        <v>35.049999999999955</v>
      </c>
      <c r="H76" s="285">
        <f>IF('Entries March.''25'!$N14-'Entries March.''25'!$N13&lt;1,0,'Entries March.''25'!$N14-'Entries March.''25'!$N13)</f>
        <v>37.670000000000073</v>
      </c>
      <c r="I76" s="285">
        <f>IF('Entries March.''25'!$N15-'Entries March.''25'!$N14&lt;1,0,'Entries March.''25'!$N15-'Entries March.''25'!$N14)</f>
        <v>4.9599999999999227</v>
      </c>
      <c r="J76" s="285">
        <f>IF('Entries March.''25'!$N16-'Entries March.''25'!$N15&lt;1,0,'Entries March.''25'!$N16-'Entries March.''25'!$N15)</f>
        <v>0</v>
      </c>
      <c r="K76" s="285">
        <f>IF('Entries March.''25'!$N17-'Entries March.''25'!$N16&lt;1,0,'Entries March.''25'!$N17-'Entries March.''25'!$N16)</f>
        <v>20.139999999999986</v>
      </c>
      <c r="L76" s="285">
        <f>IF('Entries March.''25'!$N18-'Entries March.''25'!$N17&lt;1,0,'Entries March.''25'!$N18-'Entries March.''25'!$N17)</f>
        <v>25.490000000000009</v>
      </c>
      <c r="M76" s="285">
        <f>IF('Entries March.''25'!$N19-'Entries March.''25'!$N18&lt;1,0,'Entries March.''25'!$N19-'Entries March.''25'!$N18)</f>
        <v>16.740000000000009</v>
      </c>
      <c r="N76" s="285">
        <f>IF('Entries March.''25'!$N20-'Entries March.''25'!$N19&lt;1,0,'Entries March.''25'!$N20-'Entries March.''25'!$N19)</f>
        <v>33.089999999999918</v>
      </c>
      <c r="O76" s="285">
        <f>IF('Entries March.''25'!$N21-'Entries March.''25'!$N20&lt;1,0,'Entries March.''25'!$N21-'Entries March.''25'!$N20)</f>
        <v>23.870000000000118</v>
      </c>
      <c r="P76" s="285">
        <f>IF('Entries March.''25'!$N22-'Entries March.''25'!$N21&lt;1,0,'Entries March.''25'!$N22-'Entries March.''25'!$N21)</f>
        <v>0</v>
      </c>
      <c r="Q76" s="285">
        <f>IF('Entries March.''25'!$N23-'Entries March.''25'!$N22&lt;1,0,'Entries March.''25'!$N23-'Entries March.''25'!$N22)</f>
        <v>0</v>
      </c>
      <c r="R76" s="285">
        <f>IF('Entries March.''25'!$N24-'Entries March.''25'!$N23&lt;1,0,'Entries March.''25'!$N24-'Entries March.''25'!$N23)</f>
        <v>26.889999999999873</v>
      </c>
      <c r="S76" s="285">
        <f>IF('Entries March.''25'!$N25-'Entries March.''25'!$N24&lt;1,0,'Entries March.''25'!$N25-'Entries March.''25'!$N24)</f>
        <v>30.670000000000073</v>
      </c>
      <c r="T76" s="285">
        <f>IF('Entries March.''25'!$N26-'Entries March.''25'!$N25&lt;1,0,'Entries March.''25'!$N26-'Entries March.''25'!$N25)</f>
        <v>45.910000000000082</v>
      </c>
      <c r="U76" s="285">
        <f>IF('Entries March.''25'!$N27-'Entries March.''25'!$N26&lt;1,0,'Entries March.''25'!$N27-'Entries March.''25'!$N26)</f>
        <v>32.049999999999955</v>
      </c>
      <c r="V76" s="285">
        <f>IF('Entries March.''25'!$N28-'Entries March.''25'!$N27&lt;1,0,'Entries March.''25'!$N28-'Entries March.''25'!$N27)</f>
        <v>6.3499999999999091</v>
      </c>
      <c r="W76" s="285">
        <f>IF('Entries March.''25'!$N29-'Entries March.''25'!$N28&lt;1,0,'Entries March.''25'!$N29-'Entries March.''25'!$N28)</f>
        <v>0</v>
      </c>
      <c r="X76" s="285">
        <f>IF('Entries March.''25'!$N30-'Entries March.''25'!$N29&lt;1,0,'Entries March.''25'!$N30-'Entries March.''25'!$N29)</f>
        <v>0</v>
      </c>
      <c r="Y76" s="285">
        <f>IF('Entries March.''25'!$N31-'Entries March.''25'!$N30&lt;1,0,'Entries March.''25'!$N31-'Entries March.''25'!$N30)</f>
        <v>15.450000000000045</v>
      </c>
      <c r="Z76" s="285">
        <f>IF('Entries March.''25'!$N32-'Entries March.''25'!$N31&lt;1,0,'Entries March.''25'!$N32-'Entries March.''25'!$N31)</f>
        <v>55.900000000000091</v>
      </c>
      <c r="AA76" s="285">
        <f>IF('Entries March.''25'!$N33-'Entries March.''25'!$N32&lt;1,0,'Entries March.''25'!$N33-'Entries March.''25'!$N32)</f>
        <v>48.950000000000045</v>
      </c>
      <c r="AB76" s="285">
        <f>IF('Entries March.''25'!$N34-'Entries March.''25'!$N33&lt;1,0,'Entries March.''25'!$N34-'Entries March.''25'!$N33)</f>
        <v>47.209999999999809</v>
      </c>
      <c r="AC76" s="285">
        <f>IF('Entries March.''25'!$N35-'Entries March.''25'!$N34&lt;1,0,'Entries March.''25'!$N35-'Entries March.''25'!$N34)</f>
        <v>14.240000000000009</v>
      </c>
      <c r="AD76" s="285">
        <f>IF('Entries March.''25'!$N36-'Entries March.''25'!$N35&lt;1,0,'Entries March.''25'!$N36-'Entries March.''25'!$N35)</f>
        <v>0</v>
      </c>
      <c r="AE76" s="285">
        <f>IF('Entries March.''25'!$N37-'Entries March.''25'!$N36&lt;1,0,'Entries March.''25'!$N37-'Entries March.''25'!$N36)</f>
        <v>0</v>
      </c>
      <c r="AF76" s="285">
        <f>IF('Entries March.''25'!$N38-'Entries March.''25'!$N37&lt;1,0,'Entries March.''25'!$N38-'Entries March.''25'!$N37)</f>
        <v>42.060000000000173</v>
      </c>
      <c r="AG76" s="285"/>
      <c r="AH76" s="285">
        <f>SUM($B76:AF76)</f>
        <v>733.5200000000001</v>
      </c>
      <c r="AI76" s="286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  <c r="AZ76" s="393"/>
      <c r="BA76" s="393"/>
      <c r="BB76" s="393"/>
      <c r="BC76" s="393"/>
      <c r="BD76" s="393"/>
      <c r="BE76" s="393"/>
      <c r="BF76" s="393"/>
      <c r="BG76" s="393"/>
    </row>
    <row r="77" spans="1:59" x14ac:dyDescent="0.4">
      <c r="A77" s="259"/>
      <c r="B77" s="437"/>
      <c r="C77" s="437"/>
      <c r="D77" s="437"/>
      <c r="E77" s="437"/>
      <c r="F77" s="437"/>
      <c r="G77" s="437"/>
      <c r="H77" s="437"/>
      <c r="I77" s="437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  <c r="AA77" s="438"/>
      <c r="AB77" s="438"/>
      <c r="AC77" s="438"/>
      <c r="AD77" s="438"/>
      <c r="AE77" s="438"/>
      <c r="AF77" s="438"/>
      <c r="AG77" s="438"/>
      <c r="AH77" s="433">
        <f>SUM($B77:AF77)</f>
        <v>0</v>
      </c>
      <c r="AI77" s="408"/>
    </row>
    <row r="78" spans="1:59" ht="35.450000000000003" hidden="1" customHeight="1" x14ac:dyDescent="0.5">
      <c r="A78" s="276" t="s">
        <v>249</v>
      </c>
      <c r="B78" s="522">
        <f>'Daily KPIs CO2'!B47</f>
        <v>0</v>
      </c>
      <c r="C78" s="522">
        <f>'Daily KPIs CO2'!C47</f>
        <v>0</v>
      </c>
      <c r="D78" s="522">
        <f>'Daily KPIs CO2'!D47</f>
        <v>0</v>
      </c>
      <c r="E78" s="522">
        <f>'Daily KPIs CO2'!E47</f>
        <v>0</v>
      </c>
      <c r="F78" s="522">
        <f>'Daily KPIs CO2'!F47</f>
        <v>0</v>
      </c>
      <c r="G78" s="522">
        <f>'Daily KPIs CO2'!G47</f>
        <v>0</v>
      </c>
      <c r="H78" s="522">
        <f>'Daily KPIs CO2'!H47</f>
        <v>0</v>
      </c>
      <c r="I78" s="522">
        <f>'Daily KPIs CO2'!I47</f>
        <v>0</v>
      </c>
      <c r="J78" s="526">
        <f>'Daily KPIs CO2'!J47</f>
        <v>0</v>
      </c>
      <c r="K78" s="526">
        <f>'Daily KPIs CO2'!K47</f>
        <v>0</v>
      </c>
      <c r="L78" s="526" t="s">
        <v>255</v>
      </c>
      <c r="M78" s="526">
        <f>'Daily KPIs CO2'!M47</f>
        <v>0</v>
      </c>
      <c r="N78" s="526"/>
      <c r="O78" s="526">
        <f>'Daily KPIs CO2'!O47</f>
        <v>0</v>
      </c>
      <c r="P78" s="526">
        <f>'Daily KPIs CO2'!P47</f>
        <v>0</v>
      </c>
      <c r="Q78" s="526">
        <f>'Daily KPIs CO2'!Q47</f>
        <v>0</v>
      </c>
      <c r="R78" s="526">
        <f>'Daily KPIs CO2'!R47</f>
        <v>0</v>
      </c>
      <c r="S78" s="526">
        <f>'Daily KPIs CO2'!S47</f>
        <v>26.889999999999873</v>
      </c>
      <c r="T78" s="526">
        <f>'Daily KPIs CO2'!T47</f>
        <v>105</v>
      </c>
      <c r="U78" s="526">
        <f>'Daily KPIs CO2'!U47</f>
        <v>133</v>
      </c>
      <c r="V78" s="526">
        <f>'Daily KPIs CO2'!V47</f>
        <v>252</v>
      </c>
      <c r="W78" s="526">
        <f>'Daily KPIs CO2'!W47</f>
        <v>38</v>
      </c>
      <c r="X78" s="526">
        <f>'Daily KPIs CO2'!X47</f>
        <v>167</v>
      </c>
      <c r="Y78" s="526">
        <f>'Daily KPIs CO2'!Y47</f>
        <v>0</v>
      </c>
      <c r="Z78" s="526">
        <f>'Daily KPIs CO2'!Z47</f>
        <v>144</v>
      </c>
      <c r="AA78" s="526">
        <f>'Daily KPIs CO2'!AA47</f>
        <v>0</v>
      </c>
      <c r="AB78" s="526">
        <f>'Daily KPIs CO2'!AB47</f>
        <v>0</v>
      </c>
      <c r="AC78" s="522">
        <f>'Daily KPIs CO2'!AC47</f>
        <v>30</v>
      </c>
      <c r="AD78" s="526">
        <f>'Daily KPIs CO2'!AF47</f>
        <v>61</v>
      </c>
      <c r="AE78" s="522">
        <f>'Daily KPIs CO2'!AG47</f>
        <v>987.88999999999987</v>
      </c>
      <c r="AF78" s="526">
        <f>'Daily KPIs CO2'!AH47</f>
        <v>0</v>
      </c>
      <c r="AG78" s="526"/>
      <c r="AH78" s="527"/>
      <c r="AI78" s="408"/>
      <c r="AL78" s="290"/>
    </row>
    <row r="79" spans="1:59" s="272" customFormat="1" ht="32.450000000000003" customHeight="1" x14ac:dyDescent="0.4">
      <c r="A79" s="271" t="s">
        <v>136</v>
      </c>
      <c r="B79" s="528" cm="1">
        <f t="array" ref="B79:AF79">TRANSPOSE('Elec.March''25'!D7:D37)</f>
        <v>4482</v>
      </c>
      <c r="C79" s="528">
        <v>4216</v>
      </c>
      <c r="D79" s="528">
        <v>7948</v>
      </c>
      <c r="E79" s="528">
        <v>8547</v>
      </c>
      <c r="F79" s="528">
        <v>8241</v>
      </c>
      <c r="G79" s="528">
        <v>8066</v>
      </c>
      <c r="H79" s="528">
        <v>7348</v>
      </c>
      <c r="I79" s="528">
        <v>4624</v>
      </c>
      <c r="J79" s="528">
        <v>4173</v>
      </c>
      <c r="K79" s="529">
        <v>8000</v>
      </c>
      <c r="L79" s="529">
        <v>8338</v>
      </c>
      <c r="M79" s="529">
        <v>8475</v>
      </c>
      <c r="N79" s="529">
        <v>7841</v>
      </c>
      <c r="O79" s="529">
        <v>7679</v>
      </c>
      <c r="P79" s="529">
        <v>4867</v>
      </c>
      <c r="Q79" s="529">
        <v>5536</v>
      </c>
      <c r="R79" s="529">
        <v>8321</v>
      </c>
      <c r="S79" s="529">
        <v>8750</v>
      </c>
      <c r="T79" s="529">
        <v>9722</v>
      </c>
      <c r="U79" s="778">
        <v>5891</v>
      </c>
      <c r="V79" s="778">
        <v>10696</v>
      </c>
      <c r="W79" s="529">
        <v>4542</v>
      </c>
      <c r="X79" s="529">
        <v>4634</v>
      </c>
      <c r="Y79" s="529">
        <v>6456</v>
      </c>
      <c r="Z79" s="529">
        <v>7927</v>
      </c>
      <c r="AA79" s="529">
        <v>8652</v>
      </c>
      <c r="AB79" s="529">
        <v>8051</v>
      </c>
      <c r="AC79" s="529">
        <v>6960</v>
      </c>
      <c r="AD79" s="529">
        <v>4648</v>
      </c>
      <c r="AE79" s="529">
        <v>4825</v>
      </c>
      <c r="AF79" s="529">
        <v>7462</v>
      </c>
      <c r="AG79" s="529"/>
      <c r="AH79" s="519">
        <f>SUM(B79:AF79)</f>
        <v>215918</v>
      </c>
      <c r="AI79" s="519"/>
      <c r="AJ79" s="530"/>
      <c r="AK79" s="530"/>
      <c r="AL79" s="530"/>
      <c r="AM79" s="530"/>
      <c r="AN79" s="530"/>
      <c r="AO79" s="530"/>
      <c r="AP79" s="530"/>
      <c r="AQ79" s="530"/>
      <c r="AR79" s="530"/>
      <c r="AS79" s="530"/>
      <c r="AT79" s="530"/>
      <c r="AU79" s="530"/>
      <c r="AV79" s="530"/>
      <c r="AW79" s="530"/>
      <c r="AX79" s="530"/>
      <c r="AY79" s="530"/>
      <c r="AZ79" s="530"/>
      <c r="BA79" s="530"/>
      <c r="BB79" s="530"/>
      <c r="BC79" s="530"/>
      <c r="BD79" s="530"/>
      <c r="BE79" s="530"/>
      <c r="BF79" s="530"/>
      <c r="BG79" s="530"/>
    </row>
    <row r="80" spans="1:59" s="272" customFormat="1" hidden="1" x14ac:dyDescent="0.4">
      <c r="A80" s="271"/>
      <c r="B80" s="528"/>
      <c r="C80" s="528"/>
      <c r="D80" s="528" t="s">
        <v>61</v>
      </c>
      <c r="E80" s="528"/>
      <c r="F80" s="528"/>
      <c r="G80" s="528"/>
      <c r="H80" s="528"/>
      <c r="I80" s="528"/>
      <c r="J80" s="529"/>
      <c r="K80" s="529"/>
      <c r="L80" s="529"/>
      <c r="M80" s="529"/>
      <c r="N80" s="529"/>
      <c r="O80" s="529"/>
      <c r="P80" s="531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19"/>
      <c r="AI80" s="519"/>
      <c r="AJ80" s="530"/>
      <c r="AK80" s="530"/>
      <c r="AL80" s="530"/>
      <c r="AM80" s="530"/>
      <c r="AN80" s="530"/>
      <c r="AO80" s="530"/>
      <c r="AP80" s="530"/>
      <c r="AQ80" s="530"/>
      <c r="AR80" s="530"/>
      <c r="AS80" s="530"/>
      <c r="AT80" s="530"/>
      <c r="AU80" s="530"/>
      <c r="AV80" s="530"/>
      <c r="AW80" s="530"/>
      <c r="AX80" s="530"/>
      <c r="AY80" s="530"/>
      <c r="AZ80" s="530"/>
      <c r="BA80" s="530"/>
      <c r="BB80" s="530"/>
      <c r="BC80" s="530"/>
      <c r="BD80" s="530"/>
      <c r="BE80" s="530"/>
      <c r="BF80" s="530"/>
      <c r="BG80" s="530"/>
    </row>
    <row r="81" spans="1:59" s="272" customFormat="1" hidden="1" x14ac:dyDescent="0.4">
      <c r="A81" s="271"/>
      <c r="B81" s="530"/>
      <c r="C81" s="530"/>
      <c r="D81" s="530"/>
      <c r="E81" s="530"/>
      <c r="F81" s="530"/>
      <c r="G81" s="530"/>
      <c r="H81" s="530"/>
      <c r="I81" s="530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3"/>
      <c r="Z81" s="533"/>
      <c r="AA81" s="532"/>
      <c r="AB81" s="532"/>
      <c r="AC81" s="532"/>
      <c r="AD81" s="532"/>
      <c r="AE81" s="532"/>
      <c r="AF81" s="532"/>
      <c r="AG81" s="532"/>
      <c r="AH81" s="519"/>
      <c r="AI81" s="519"/>
      <c r="AJ81" s="530"/>
      <c r="AK81" s="530"/>
      <c r="AL81" s="530"/>
      <c r="AM81" s="530"/>
      <c r="AN81" s="530"/>
      <c r="AO81" s="530"/>
      <c r="AP81" s="530"/>
      <c r="AQ81" s="530"/>
      <c r="AR81" s="530"/>
      <c r="AS81" s="530"/>
      <c r="AT81" s="530"/>
      <c r="AU81" s="530"/>
      <c r="AV81" s="530"/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</row>
    <row r="82" spans="1:59" s="272" customFormat="1" x14ac:dyDescent="0.4">
      <c r="A82" s="271" t="s">
        <v>137</v>
      </c>
      <c r="B82" s="534">
        <f>+'Fuel '!$K7</f>
        <v>410</v>
      </c>
      <c r="C82" s="534">
        <f>+'Fuel '!$K8</f>
        <v>540</v>
      </c>
      <c r="D82" s="534">
        <f>+'Fuel '!$K9</f>
        <v>2480</v>
      </c>
      <c r="E82" s="534">
        <f>+'Fuel '!$K10</f>
        <v>3270</v>
      </c>
      <c r="F82" s="534">
        <f>+'Fuel '!$K11</f>
        <v>3040</v>
      </c>
      <c r="G82" s="534">
        <f>+'Fuel '!$K12</f>
        <v>2720</v>
      </c>
      <c r="H82" s="534">
        <f>+'Fuel '!$K13</f>
        <v>2380</v>
      </c>
      <c r="I82" s="534">
        <f>+'Fuel '!$K14</f>
        <v>1000</v>
      </c>
      <c r="J82" s="535">
        <f>+'Fuel '!$K15</f>
        <v>100</v>
      </c>
      <c r="K82" s="535">
        <f>+'Fuel '!$K16</f>
        <v>3100</v>
      </c>
      <c r="L82" s="535">
        <f>+'Fuel '!$K17</f>
        <v>3040</v>
      </c>
      <c r="M82" s="535">
        <f>+'Fuel '!$K18</f>
        <v>2800</v>
      </c>
      <c r="N82" s="535">
        <f>+'Fuel '!$K19</f>
        <v>3010</v>
      </c>
      <c r="O82" s="535">
        <f>+'Fuel '!$K20</f>
        <v>2410</v>
      </c>
      <c r="P82" s="535">
        <f>+'Fuel '!$K21</f>
        <v>0</v>
      </c>
      <c r="Q82" s="535">
        <f>+'Fuel '!$K22</f>
        <v>1320</v>
      </c>
      <c r="R82" s="535">
        <f>+'Fuel '!$K23</f>
        <v>2510</v>
      </c>
      <c r="S82" s="535">
        <f>+'Fuel '!$K24</f>
        <v>2490</v>
      </c>
      <c r="T82" s="535">
        <f>+'Fuel '!$K25</f>
        <v>3211</v>
      </c>
      <c r="U82" s="535">
        <f>+'Fuel '!$K26</f>
        <v>3019</v>
      </c>
      <c r="V82" s="535">
        <f>+'Fuel '!$K27</f>
        <v>1270</v>
      </c>
      <c r="W82" s="535">
        <f>+'Fuel '!$K28</f>
        <v>220</v>
      </c>
      <c r="X82" s="535">
        <f>+'Fuel '!$K29</f>
        <v>800</v>
      </c>
      <c r="Y82" s="535">
        <f>+'Fuel '!$K30</f>
        <v>2750</v>
      </c>
      <c r="Z82" s="535">
        <f>+'Fuel '!$K31</f>
        <v>3100</v>
      </c>
      <c r="AA82" s="535">
        <f>+'Fuel '!$K32</f>
        <v>3200</v>
      </c>
      <c r="AB82" s="535">
        <f>+'Fuel '!$K33</f>
        <v>862</v>
      </c>
      <c r="AC82" s="535">
        <f>+'Fuel '!$K34</f>
        <v>4458</v>
      </c>
      <c r="AD82" s="535">
        <f>+'Fuel '!$K35</f>
        <v>580</v>
      </c>
      <c r="AE82" s="535">
        <f>+'Fuel '!$K36</f>
        <v>810</v>
      </c>
      <c r="AF82" s="535">
        <f>+'Fuel '!$K37</f>
        <v>2670</v>
      </c>
      <c r="AG82" s="535"/>
      <c r="AH82" s="536">
        <f>SUM($B82:AF82)</f>
        <v>63570</v>
      </c>
      <c r="AI82" s="520"/>
      <c r="AJ82" s="530"/>
      <c r="AK82" s="530"/>
      <c r="AL82" s="530"/>
      <c r="AM82" s="530"/>
      <c r="AN82" s="530"/>
      <c r="AO82" s="530"/>
      <c r="AP82" s="530"/>
      <c r="AQ82" s="530"/>
      <c r="AR82" s="530"/>
      <c r="AS82" s="530"/>
      <c r="AT82" s="530"/>
      <c r="AU82" s="530"/>
      <c r="AV82" s="530"/>
      <c r="AW82" s="530"/>
      <c r="AX82" s="530"/>
      <c r="AY82" s="530"/>
      <c r="AZ82" s="530"/>
      <c r="BA82" s="530"/>
      <c r="BB82" s="530"/>
      <c r="BC82" s="530"/>
      <c r="BD82" s="530"/>
      <c r="BE82" s="530"/>
      <c r="BF82" s="530"/>
      <c r="BG82" s="530"/>
    </row>
    <row r="83" spans="1:59" s="280" customFormat="1" x14ac:dyDescent="0.4">
      <c r="A83" s="279" t="s">
        <v>252</v>
      </c>
      <c r="B83" s="523" t="str">
        <f>'Steam Mass Flow '!B5</f>
        <v>0</v>
      </c>
      <c r="C83" s="523" t="str">
        <f>'Steam Mass Flow '!B6</f>
        <v>0</v>
      </c>
      <c r="D83" s="523">
        <f>'Steam Mass Flow '!B7</f>
        <v>153.61299999989569</v>
      </c>
      <c r="E83" s="523">
        <f>'Steam Mass Flow '!B8</f>
        <v>124.46700000017881</v>
      </c>
      <c r="F83" s="523">
        <f>'Steam Mass Flow '!B9</f>
        <v>10.484999999403954</v>
      </c>
      <c r="G83" s="523">
        <f>'Steam Mass Flow '!B10</f>
        <v>703.62600000016391</v>
      </c>
      <c r="H83" s="523">
        <f>'Steam Mass Flow '!B11</f>
        <v>335.78299999982119</v>
      </c>
      <c r="I83" s="523">
        <f>'Steam Mass Flow '!B12</f>
        <v>335.7839999999851</v>
      </c>
      <c r="J83" s="523" t="str">
        <f>'Steam Mass Flow '!B13</f>
        <v>0</v>
      </c>
      <c r="K83" s="523">
        <f>'Steam Mass Flow '!B14</f>
        <v>3.8059999998658895</v>
      </c>
      <c r="L83" s="523">
        <f>'Steam Mass Flow '!B15</f>
        <v>130.37100000027567</v>
      </c>
      <c r="M83" s="523">
        <f>'Steam Mass Flow '!B16</f>
        <v>54.878000000491738</v>
      </c>
      <c r="N83" s="523">
        <f>'Steam Mass Flow '!B17</f>
        <v>7.6159999994561076</v>
      </c>
      <c r="O83" s="523" t="str">
        <f>'Steam Mass Flow '!B18</f>
        <v>0</v>
      </c>
      <c r="P83" s="523" t="str">
        <f>'Steam Mass Flow '!B19</f>
        <v>0</v>
      </c>
      <c r="Q83" s="523" t="str">
        <f>'Steam Mass Flow '!B20</f>
        <v>0</v>
      </c>
      <c r="R83" s="523" t="str">
        <f>'Steam Mass Flow '!B21</f>
        <v>0</v>
      </c>
      <c r="S83" s="523">
        <f>'Steam Mass Flow '!B22</f>
        <v>18.782999999821186</v>
      </c>
      <c r="T83" s="523" t="str">
        <f>'Steam Mass Flow '!B23</f>
        <v>0</v>
      </c>
      <c r="U83" s="523" t="str">
        <f>'Steam Mass Flow '!B24</f>
        <v>0</v>
      </c>
      <c r="V83" s="523" t="str">
        <f>'Steam Mass Flow '!B25</f>
        <v>0</v>
      </c>
      <c r="W83" s="523">
        <f>'Steam Mass Flow '!B26</f>
        <v>16.254000000655651</v>
      </c>
      <c r="X83" s="523">
        <f>'Steam Mass Flow '!B27</f>
        <v>1.0889999996870756</v>
      </c>
      <c r="Y83" s="523" t="str">
        <f>'Steam Mass Flow '!B28</f>
        <v>0</v>
      </c>
      <c r="Z83" s="523" t="str">
        <f>'Steam Mass Flow '!B29</f>
        <v>0</v>
      </c>
      <c r="AA83" s="523" t="str">
        <f>'Steam Mass Flow '!B30</f>
        <v>0</v>
      </c>
      <c r="AB83" s="523" t="str">
        <f>'Steam Mass Flow '!B31</f>
        <v>0</v>
      </c>
      <c r="AC83" s="523" t="str">
        <f>'Steam Mass Flow '!B32</f>
        <v>0</v>
      </c>
      <c r="AD83" s="523">
        <f>'Steam Mass Flow '!B33</f>
        <v>6.7709999997168779</v>
      </c>
      <c r="AE83" s="523" t="str">
        <f>'Steam Mass Flow '!B34</f>
        <v>0</v>
      </c>
      <c r="AF83" s="523">
        <f>'Steam Mass Flow '!B35</f>
        <v>24.428000000305474</v>
      </c>
      <c r="AG83" s="523"/>
      <c r="AH83" s="537">
        <f>SUM($B83:AF83)</f>
        <v>1927.7539999997243</v>
      </c>
      <c r="AI83" s="523"/>
      <c r="AJ83" s="538"/>
      <c r="AK83" s="538"/>
      <c r="AL83" s="538"/>
      <c r="AM83" s="538"/>
      <c r="AN83" s="538"/>
      <c r="AO83" s="538"/>
      <c r="AP83" s="538"/>
      <c r="AQ83" s="538"/>
      <c r="AR83" s="538"/>
      <c r="AS83" s="538"/>
      <c r="AT83" s="538"/>
      <c r="AU83" s="538"/>
      <c r="AV83" s="538"/>
      <c r="AW83" s="538"/>
      <c r="AX83" s="538"/>
      <c r="AY83" s="538"/>
      <c r="AZ83" s="538"/>
      <c r="BA83" s="538"/>
      <c r="BB83" s="538"/>
      <c r="BC83" s="538"/>
      <c r="BD83" s="538"/>
      <c r="BE83" s="538"/>
      <c r="BF83" s="538"/>
      <c r="BG83" s="538"/>
    </row>
    <row r="84" spans="1:59" x14ac:dyDescent="0.4">
      <c r="A84" s="209"/>
      <c r="B84" s="394"/>
      <c r="C84" s="394"/>
      <c r="D84" s="394"/>
      <c r="E84" s="394"/>
      <c r="F84" s="394"/>
      <c r="G84" s="394"/>
      <c r="H84" s="394"/>
      <c r="I84" s="394"/>
      <c r="J84" s="418"/>
      <c r="K84" s="418"/>
      <c r="L84" s="418"/>
      <c r="M84" s="418"/>
      <c r="N84" s="418"/>
      <c r="O84" s="418"/>
      <c r="P84" s="418"/>
      <c r="Q84" s="418"/>
      <c r="R84" s="418"/>
      <c r="S84" s="418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H84" s="408"/>
      <c r="AI84" s="408"/>
    </row>
    <row r="85" spans="1:59" hidden="1" x14ac:dyDescent="0.35">
      <c r="B85" s="394"/>
      <c r="C85" s="394"/>
      <c r="D85" s="394"/>
      <c r="E85" s="394"/>
      <c r="F85" s="394"/>
      <c r="G85" s="394"/>
      <c r="H85" s="394"/>
      <c r="I85" s="394"/>
      <c r="J85" s="418"/>
      <c r="K85" s="418"/>
      <c r="L85" s="418"/>
      <c r="M85" s="418"/>
      <c r="N85" s="418"/>
      <c r="O85" s="418"/>
      <c r="P85" s="418"/>
      <c r="Q85" s="418"/>
      <c r="R85" s="418"/>
      <c r="S85" s="418"/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H85" s="408"/>
      <c r="AI85" s="408"/>
    </row>
    <row r="86" spans="1:59" ht="27.75" customHeight="1" x14ac:dyDescent="0.4">
      <c r="A86" s="209" t="s">
        <v>234</v>
      </c>
      <c r="M86" s="396"/>
    </row>
    <row r="87" spans="1:59" s="221" customFormat="1" x14ac:dyDescent="0.4">
      <c r="A87" s="220" t="s">
        <v>127</v>
      </c>
      <c r="B87" s="423">
        <v>1</v>
      </c>
      <c r="C87" s="423">
        <v>2</v>
      </c>
      <c r="D87" s="423">
        <v>3</v>
      </c>
      <c r="E87" s="423">
        <v>4</v>
      </c>
      <c r="F87" s="423">
        <v>5</v>
      </c>
      <c r="G87" s="423">
        <v>6</v>
      </c>
      <c r="H87" s="423">
        <v>7</v>
      </c>
      <c r="I87" s="423">
        <v>8</v>
      </c>
      <c r="J87" s="423">
        <v>9</v>
      </c>
      <c r="K87" s="423">
        <v>10</v>
      </c>
      <c r="L87" s="423">
        <v>11</v>
      </c>
      <c r="M87" s="423">
        <v>12</v>
      </c>
      <c r="N87" s="423">
        <v>13</v>
      </c>
      <c r="O87" s="423">
        <v>14</v>
      </c>
      <c r="P87" s="423">
        <v>15</v>
      </c>
      <c r="Q87" s="423">
        <v>16</v>
      </c>
      <c r="R87" s="423">
        <v>17</v>
      </c>
      <c r="S87" s="423">
        <v>18</v>
      </c>
      <c r="T87" s="423">
        <v>19</v>
      </c>
      <c r="U87" s="423">
        <v>20</v>
      </c>
      <c r="V87" s="423">
        <v>21</v>
      </c>
      <c r="W87" s="423">
        <v>22</v>
      </c>
      <c r="X87" s="423">
        <v>23</v>
      </c>
      <c r="Y87" s="423">
        <v>24</v>
      </c>
      <c r="Z87" s="423">
        <v>25</v>
      </c>
      <c r="AA87" s="423">
        <v>26</v>
      </c>
      <c r="AB87" s="423">
        <v>27</v>
      </c>
      <c r="AC87" s="423">
        <v>28</v>
      </c>
      <c r="AD87" s="423">
        <v>29</v>
      </c>
      <c r="AE87" s="423">
        <v>30</v>
      </c>
      <c r="AF87" s="423">
        <v>31</v>
      </c>
      <c r="AG87" s="423"/>
      <c r="AH87" s="706" t="s">
        <v>89</v>
      </c>
      <c r="AI87" s="706" t="s">
        <v>157</v>
      </c>
      <c r="AJ87" s="706" t="s">
        <v>215</v>
      </c>
      <c r="AK87" s="707" t="s">
        <v>268</v>
      </c>
      <c r="AL87" s="395"/>
      <c r="AM87" s="423"/>
      <c r="AN87" s="423"/>
      <c r="AO87" s="423"/>
      <c r="AP87" s="423"/>
      <c r="AQ87" s="423"/>
      <c r="AR87" s="423"/>
      <c r="AS87" s="423"/>
      <c r="AT87" s="423"/>
      <c r="AU87" s="423"/>
      <c r="AV87" s="423"/>
      <c r="AW87" s="423"/>
      <c r="AX87" s="423"/>
      <c r="AY87" s="423"/>
      <c r="AZ87" s="423"/>
      <c r="BA87" s="423"/>
      <c r="BB87" s="423"/>
      <c r="BC87" s="423"/>
      <c r="BD87" s="423"/>
      <c r="BE87" s="423"/>
      <c r="BF87" s="423"/>
      <c r="BG87" s="423"/>
    </row>
    <row r="88" spans="1:59" s="264" customFormat="1" x14ac:dyDescent="0.4">
      <c r="A88" s="263" t="s">
        <v>141</v>
      </c>
      <c r="B88" s="539" t="str">
        <f t="shared" ref="B88:H88" si="43">IF(B$9=0,"",+(B22*10)/B$9)</f>
        <v/>
      </c>
      <c r="C88" s="539" t="str">
        <f t="shared" si="43"/>
        <v/>
      </c>
      <c r="D88" s="539">
        <f>IF(D$9=0,"",+(D22*10)/D$9)</f>
        <v>10.970819304152636</v>
      </c>
      <c r="E88" s="539">
        <f t="shared" si="43"/>
        <v>9.2665970623629406</v>
      </c>
      <c r="F88" s="539">
        <f t="shared" si="43"/>
        <v>12.633506609410222</v>
      </c>
      <c r="G88" s="539">
        <f t="shared" si="43"/>
        <v>6.722426326897522</v>
      </c>
      <c r="H88" s="539">
        <f t="shared" si="43"/>
        <v>10.989947698808457</v>
      </c>
      <c r="I88" s="539" t="str">
        <f t="shared" ref="I88:AE88" si="44">IF(I$9=0,"",+(I22*10)/I$9)</f>
        <v/>
      </c>
      <c r="J88" s="539" t="str">
        <f t="shared" si="44"/>
        <v/>
      </c>
      <c r="K88" s="539">
        <f t="shared" si="44"/>
        <v>7.0064809949203006</v>
      </c>
      <c r="L88" s="539">
        <f t="shared" si="44"/>
        <v>19.560686227352893</v>
      </c>
      <c r="M88" s="539">
        <f t="shared" si="44"/>
        <v>23.401167096181759</v>
      </c>
      <c r="N88" s="539">
        <f t="shared" si="44"/>
        <v>7.1542659390389982</v>
      </c>
      <c r="O88" s="540">
        <f t="shared" si="44"/>
        <v>17.507928118393231</v>
      </c>
      <c r="P88" s="539" t="str">
        <f t="shared" si="44"/>
        <v/>
      </c>
      <c r="Q88" s="539" t="str">
        <f t="shared" si="44"/>
        <v/>
      </c>
      <c r="R88" s="539">
        <f t="shared" si="44"/>
        <v>15.68534408899785</v>
      </c>
      <c r="S88" s="539">
        <f>IF(S$9=0,"",+(S22*10)/S$9)</f>
        <v>6.7484862447233818</v>
      </c>
      <c r="T88" s="539">
        <f t="shared" si="44"/>
        <v>9.1543312551605283</v>
      </c>
      <c r="U88" s="539">
        <f t="shared" si="44"/>
        <v>11.850555892006669</v>
      </c>
      <c r="V88" s="539">
        <f>IF(V$9=0,"",+(V22*10)/V$9)</f>
        <v>17.709563164108616</v>
      </c>
      <c r="W88" s="539" t="str">
        <f t="shared" si="44"/>
        <v/>
      </c>
      <c r="X88" s="539" t="str">
        <f t="shared" si="44"/>
        <v/>
      </c>
      <c r="Y88" s="539">
        <f>IF(Y$9=0,"",+(Y22*10)/Y$9)</f>
        <v>35.318908972190066</v>
      </c>
      <c r="Z88" s="539">
        <f t="shared" si="44"/>
        <v>4.7478810976587811</v>
      </c>
      <c r="AA88" s="539">
        <f t="shared" si="44"/>
        <v>10.452831597416656</v>
      </c>
      <c r="AB88" s="539">
        <f t="shared" si="44"/>
        <v>6.2330410895505111</v>
      </c>
      <c r="AC88" s="539">
        <f>IF(AC$9=0,"",+(AC22*10)/AC$9)</f>
        <v>24.310505658517695</v>
      </c>
      <c r="AD88" s="539">
        <f>IF(AD$9=0,"",+(AD22*10)/AD$9)</f>
        <v>49.429358520267606</v>
      </c>
      <c r="AE88" s="539" t="str">
        <f t="shared" si="44"/>
        <v/>
      </c>
      <c r="AF88" s="541">
        <f>IF(AF$9=0,"",+(AF22*10)/AF$9)</f>
        <v>7.7045608163998427</v>
      </c>
      <c r="AG88" s="541"/>
      <c r="AH88" s="708">
        <f>IF(AH$9=0,"0",+(AH22*10)/AH$9)</f>
        <v>11.78104712320197</v>
      </c>
      <c r="AI88" s="708">
        <v>10.199999999999999</v>
      </c>
      <c r="AJ88" s="709">
        <f>+AI88-AH88</f>
        <v>-1.5810471232019712</v>
      </c>
      <c r="AK88" s="716">
        <f>AH88/AI88*100</f>
        <v>115.50046199217618</v>
      </c>
      <c r="AL88" s="543"/>
      <c r="AM88" s="542"/>
      <c r="AN88" s="542"/>
      <c r="AO88" s="542"/>
      <c r="AP88" s="542"/>
      <c r="AQ88" s="542"/>
      <c r="AR88" s="542"/>
      <c r="AS88" s="542"/>
      <c r="AT88" s="542"/>
      <c r="AU88" s="542"/>
      <c r="AV88" s="542"/>
      <c r="AW88" s="542"/>
      <c r="AX88" s="542"/>
      <c r="AY88" s="542"/>
      <c r="AZ88" s="542"/>
      <c r="BA88" s="542"/>
      <c r="BB88" s="542"/>
      <c r="BC88" s="542"/>
      <c r="BD88" s="542"/>
      <c r="BE88" s="542"/>
      <c r="BF88" s="542"/>
      <c r="BG88" s="542"/>
    </row>
    <row r="89" spans="1:59" s="265" customFormat="1" hidden="1" x14ac:dyDescent="0.35">
      <c r="A89" s="266"/>
      <c r="B89" s="543"/>
      <c r="C89" s="543"/>
      <c r="D89" s="543"/>
      <c r="E89" s="543"/>
      <c r="F89" s="543"/>
      <c r="G89" s="543"/>
      <c r="H89" s="543"/>
      <c r="I89" s="543"/>
      <c r="J89" s="543"/>
      <c r="K89" s="543"/>
      <c r="L89" s="543"/>
      <c r="M89" s="543"/>
      <c r="N89" s="543"/>
      <c r="O89" s="543"/>
      <c r="P89" s="543"/>
      <c r="Q89" s="543"/>
      <c r="R89" s="543"/>
      <c r="S89" s="543"/>
      <c r="T89" s="543"/>
      <c r="U89" s="543"/>
      <c r="V89" s="543"/>
      <c r="W89" s="543"/>
      <c r="X89" s="543"/>
      <c r="Y89" s="543"/>
      <c r="Z89" s="543"/>
      <c r="AA89" s="543"/>
      <c r="AB89" s="543"/>
      <c r="AC89" s="543"/>
      <c r="AD89" s="543"/>
      <c r="AE89" s="543"/>
      <c r="AF89" s="544"/>
      <c r="AG89" s="544"/>
      <c r="AH89" s="708">
        <f t="shared" ref="AH89" si="45">IF(AH$9=0,"0",+(AH23*10)/AH$9)</f>
        <v>0</v>
      </c>
      <c r="AI89" s="710"/>
      <c r="AJ89" s="711"/>
      <c r="AK89" s="716" t="e">
        <f t="shared" ref="AK89:AK94" si="46">AH89/AI89*100</f>
        <v>#DIV/0!</v>
      </c>
      <c r="AL89" s="543"/>
      <c r="AM89" s="543"/>
      <c r="AN89" s="543"/>
      <c r="AO89" s="543"/>
      <c r="AP89" s="543"/>
      <c r="AQ89" s="543"/>
      <c r="AR89" s="543"/>
      <c r="AS89" s="543"/>
      <c r="AT89" s="543"/>
      <c r="AU89" s="543"/>
      <c r="AV89" s="543"/>
      <c r="AW89" s="543"/>
      <c r="AX89" s="543"/>
      <c r="AY89" s="543"/>
      <c r="AZ89" s="543"/>
      <c r="BA89" s="543"/>
      <c r="BB89" s="543"/>
      <c r="BC89" s="543"/>
      <c r="BD89" s="543"/>
      <c r="BE89" s="543"/>
      <c r="BF89" s="543"/>
      <c r="BG89" s="543"/>
    </row>
    <row r="90" spans="1:59" s="264" customFormat="1" ht="29.25" x14ac:dyDescent="0.5">
      <c r="A90" s="264" t="s">
        <v>238</v>
      </c>
      <c r="B90" s="545" t="str">
        <f t="shared" ref="B90:H90" si="47">IF(B$9=0,"",+B74/B$9)</f>
        <v/>
      </c>
      <c r="C90" s="545" t="str">
        <f t="shared" si="47"/>
        <v/>
      </c>
      <c r="D90" s="545">
        <f>IF(D$9=0,"",+D74/D$9)</f>
        <v>7.0145903479236802</v>
      </c>
      <c r="E90" s="545">
        <f t="shared" si="47"/>
        <v>4.4026818622086363</v>
      </c>
      <c r="F90" s="545">
        <f t="shared" si="47"/>
        <v>4.346389888558563</v>
      </c>
      <c r="G90" s="546">
        <f>IF(G$9=0,"",+G74/G$9)</f>
        <v>3.9083873993590244</v>
      </c>
      <c r="H90" s="546">
        <f t="shared" si="47"/>
        <v>4.262029578485274</v>
      </c>
      <c r="I90" s="546" t="str">
        <f t="shared" ref="I90:AE90" si="48">IF(I$9=0,"",+I74/I$9)</f>
        <v/>
      </c>
      <c r="J90" s="546" t="str">
        <f t="shared" si="48"/>
        <v/>
      </c>
      <c r="K90" s="546">
        <f t="shared" si="48"/>
        <v>3.9411455596426692</v>
      </c>
      <c r="L90" s="546">
        <f t="shared" si="48"/>
        <v>8.0166746833413498</v>
      </c>
      <c r="M90" s="546">
        <f t="shared" si="48"/>
        <v>10.367605675523563</v>
      </c>
      <c r="N90" s="546">
        <f t="shared" si="48"/>
        <v>4.1594569413017437</v>
      </c>
      <c r="O90" s="546">
        <f t="shared" si="48"/>
        <v>3.3033826638477799</v>
      </c>
      <c r="P90" s="546" t="str">
        <f t="shared" si="48"/>
        <v/>
      </c>
      <c r="Q90" s="546" t="str">
        <f t="shared" si="48"/>
        <v/>
      </c>
      <c r="R90" s="546">
        <f t="shared" si="48"/>
        <v>2.636192283865185</v>
      </c>
      <c r="S90" s="546">
        <f t="shared" si="48"/>
        <v>4.1887156001731336</v>
      </c>
      <c r="T90" s="546">
        <f t="shared" si="48"/>
        <v>6.1826638106748675</v>
      </c>
      <c r="U90" s="546">
        <f t="shared" si="48"/>
        <v>5.9813531316121988</v>
      </c>
      <c r="V90" s="546">
        <f>IF(V$9=0,"",+V74/V$9)</f>
        <v>5.1332067142343814</v>
      </c>
      <c r="W90" s="546" t="str">
        <f t="shared" si="48"/>
        <v/>
      </c>
      <c r="X90" s="546" t="str">
        <f t="shared" si="48"/>
        <v/>
      </c>
      <c r="Y90" s="546">
        <f>IF(Y$9=0,"",+Y74/Y$9)</f>
        <v>17.807853263289108</v>
      </c>
      <c r="Z90" s="546">
        <f t="shared" si="48"/>
        <v>4.9724430414669669</v>
      </c>
      <c r="AA90" s="546">
        <f t="shared" si="48"/>
        <v>4.0725317912012944</v>
      </c>
      <c r="AB90" s="546">
        <f t="shared" si="48"/>
        <v>4.6654499173282273</v>
      </c>
      <c r="AC90" s="546">
        <f>IF(AC$9=0,"",+AC74/AC$9)</f>
        <v>8.8001830438073103</v>
      </c>
      <c r="AD90" s="546">
        <f t="shared" si="48"/>
        <v>0</v>
      </c>
      <c r="AE90" s="546" t="str">
        <f t="shared" si="48"/>
        <v/>
      </c>
      <c r="AF90" s="547">
        <f>IF(AF$9=0,"",+AF74/AF$9)</f>
        <v>4.0177157631532925</v>
      </c>
      <c r="AG90" s="547"/>
      <c r="AH90" s="712">
        <f>IF(AH$9=0,"0",+(AH74)/AH$9)</f>
        <v>6.2050660818806493</v>
      </c>
      <c r="AI90" s="713">
        <v>5</v>
      </c>
      <c r="AJ90" s="709">
        <f>AI90-AH90</f>
        <v>-1.2050660818806493</v>
      </c>
      <c r="AK90" s="716">
        <f t="shared" si="46"/>
        <v>124.10132163761298</v>
      </c>
      <c r="AL90" s="543"/>
      <c r="AM90" s="542"/>
      <c r="AN90" s="542"/>
      <c r="AO90" s="542" t="s">
        <v>224</v>
      </c>
      <c r="AP90" s="542"/>
      <c r="AQ90" s="542"/>
      <c r="AR90" s="542"/>
      <c r="AS90" s="542"/>
      <c r="AT90" s="542"/>
      <c r="AU90" s="542"/>
      <c r="AV90" s="542"/>
      <c r="AW90" s="542"/>
      <c r="AX90" s="542"/>
      <c r="AY90" s="542"/>
      <c r="AZ90" s="542"/>
      <c r="BA90" s="542"/>
      <c r="BB90" s="542"/>
      <c r="BC90" s="542"/>
      <c r="BD90" s="542"/>
      <c r="BE90" s="542"/>
      <c r="BF90" s="542"/>
      <c r="BG90" s="542"/>
    </row>
    <row r="91" spans="1:59" s="264" customFormat="1" ht="29.25" x14ac:dyDescent="0.5">
      <c r="A91" s="264" t="s">
        <v>239</v>
      </c>
      <c r="B91" s="267" t="str">
        <f t="shared" ref="B91:AF91" si="49">IF(B$9=0,"",+B76/B$9)</f>
        <v/>
      </c>
      <c r="C91" s="267" t="str">
        <f t="shared" si="49"/>
        <v/>
      </c>
      <c r="D91" s="546">
        <f t="shared" si="49"/>
        <v>0</v>
      </c>
      <c r="E91" s="546">
        <f t="shared" si="49"/>
        <v>0.29743260751978062</v>
      </c>
      <c r="F91" s="546">
        <f t="shared" si="49"/>
        <v>8.3914300781770756E-2</v>
      </c>
      <c r="G91" s="546">
        <f t="shared" si="49"/>
        <v>9.1325985565022416E-2</v>
      </c>
      <c r="H91" s="546">
        <f t="shared" si="49"/>
        <v>0.11467903872967185</v>
      </c>
      <c r="I91" s="546" t="str">
        <f t="shared" ref="I91:AE91" si="50">IF(I$9=0,"",+I76/I$9)</f>
        <v/>
      </c>
      <c r="J91" s="546" t="str">
        <f t="shared" si="50"/>
        <v/>
      </c>
      <c r="K91" s="546">
        <f t="shared" si="50"/>
        <v>8.8194079523559232E-2</v>
      </c>
      <c r="L91" s="546">
        <f t="shared" si="50"/>
        <v>0.13623002511891405</v>
      </c>
      <c r="M91" s="546">
        <f t="shared" si="50"/>
        <v>0.1239669421487604</v>
      </c>
      <c r="N91" s="546">
        <f t="shared" si="50"/>
        <v>9.1757620125116235E-2</v>
      </c>
      <c r="O91" s="546">
        <f t="shared" si="50"/>
        <v>8.7613049095607659E-2</v>
      </c>
      <c r="P91" s="546" t="str">
        <f t="shared" si="50"/>
        <v/>
      </c>
      <c r="Q91" s="546" t="str">
        <f t="shared" si="50"/>
        <v/>
      </c>
      <c r="R91" s="546">
        <f t="shared" si="50"/>
        <v>0.17721802628283623</v>
      </c>
      <c r="S91" s="546">
        <f t="shared" si="50"/>
        <v>7.1371059698505726E-2</v>
      </c>
      <c r="T91" s="546">
        <f t="shared" si="50"/>
        <v>9.156325662841408E-2</v>
      </c>
      <c r="U91" s="546">
        <f t="shared" si="50"/>
        <v>0.1198139799176067</v>
      </c>
      <c r="V91" s="546">
        <f t="shared" si="50"/>
        <v>5.432643772564643E-2</v>
      </c>
      <c r="W91" s="546" t="str">
        <f t="shared" si="50"/>
        <v/>
      </c>
      <c r="X91" s="546" t="str">
        <f t="shared" si="50"/>
        <v/>
      </c>
      <c r="Y91" s="546">
        <f>IF(Y$9=0,"",+Y76/Y$9)</f>
        <v>0.22927611076484794</v>
      </c>
      <c r="Z91" s="546">
        <f t="shared" si="50"/>
        <v>8.9664376134839963E-2</v>
      </c>
      <c r="AA91" s="546">
        <f t="shared" si="50"/>
        <v>8.3062679658043148E-2</v>
      </c>
      <c r="AB91" s="546">
        <f t="shared" si="50"/>
        <v>8.8102356238825882E-2</v>
      </c>
      <c r="AC91" s="546">
        <f>IF(AC$9=0,"",+AC76/AC$9)</f>
        <v>7.8321629089885117E-2</v>
      </c>
      <c r="AD91" s="546">
        <f>IF(AD$9=0,"",+AD76/AD$9)</f>
        <v>0</v>
      </c>
      <c r="AE91" s="546" t="str">
        <f t="shared" si="50"/>
        <v/>
      </c>
      <c r="AF91" s="546">
        <f t="shared" si="49"/>
        <v>9.9403014704840087E-2</v>
      </c>
      <c r="AG91" s="546"/>
      <c r="AH91" s="714">
        <f>IF(AH$9=0,"0",+(AH76)/AH$9)</f>
        <v>0.10487419521615425</v>
      </c>
      <c r="AI91" s="714">
        <v>1.7</v>
      </c>
      <c r="AJ91" s="715">
        <f>AI91-AH91</f>
        <v>1.5951258047838457</v>
      </c>
      <c r="AK91" s="716">
        <f t="shared" si="46"/>
        <v>6.1690703068326034</v>
      </c>
      <c r="AL91" s="704"/>
      <c r="AM91" s="703"/>
      <c r="AN91" s="703"/>
      <c r="AO91" s="703"/>
      <c r="AP91" s="703"/>
      <c r="AQ91" s="703"/>
      <c r="AR91" s="703"/>
      <c r="AS91" s="703"/>
      <c r="AT91" s="703"/>
      <c r="AU91" s="703"/>
      <c r="AV91" s="703"/>
      <c r="AW91" s="703"/>
      <c r="AX91" s="703"/>
      <c r="AY91" s="703"/>
      <c r="AZ91" s="703"/>
      <c r="BA91" s="703"/>
      <c r="BB91" s="703"/>
      <c r="BC91" s="703"/>
      <c r="BD91" s="703"/>
      <c r="BE91" s="703"/>
      <c r="BF91" s="703"/>
      <c r="BG91" s="703"/>
    </row>
    <row r="92" spans="1:59" s="264" customFormat="1" x14ac:dyDescent="0.4">
      <c r="A92" s="264" t="s">
        <v>202</v>
      </c>
      <c r="B92" s="539" t="str">
        <f t="shared" ref="B92:H92" si="51">IF(B$9=0,"",B79/B$9)</f>
        <v/>
      </c>
      <c r="C92" s="539" t="str">
        <f t="shared" si="51"/>
        <v/>
      </c>
      <c r="D92" s="539">
        <f t="shared" si="51"/>
        <v>22.300785634118967</v>
      </c>
      <c r="E92" s="539">
        <f t="shared" si="51"/>
        <v>17.918915179189149</v>
      </c>
      <c r="F92" s="539">
        <f t="shared" si="51"/>
        <v>23.879066047740743</v>
      </c>
      <c r="G92" s="539">
        <f>IF(G$9=0,"",G79/G$9)</f>
        <v>21.01670184215326</v>
      </c>
      <c r="H92" s="539">
        <f t="shared" si="51"/>
        <v>22.36956667336414</v>
      </c>
      <c r="I92" s="539" t="str">
        <f t="shared" ref="I92:AE92" si="52">IF(I$9=0,"",I79/I$9)</f>
        <v/>
      </c>
      <c r="J92" s="539" t="str">
        <f t="shared" si="52"/>
        <v/>
      </c>
      <c r="K92" s="539">
        <f t="shared" si="52"/>
        <v>35.032404974601505</v>
      </c>
      <c r="L92" s="539">
        <f t="shared" si="52"/>
        <v>44.562022339800116</v>
      </c>
      <c r="M92" s="539">
        <f t="shared" si="52"/>
        <v>62.761041500044435</v>
      </c>
      <c r="N92" s="539">
        <f t="shared" si="52"/>
        <v>21.742867917831312</v>
      </c>
      <c r="O92" s="539">
        <f t="shared" si="52"/>
        <v>28.185194972985666</v>
      </c>
      <c r="P92" s="539" t="str">
        <f t="shared" si="52"/>
        <v/>
      </c>
      <c r="Q92" s="539" t="str">
        <f t="shared" si="52"/>
        <v/>
      </c>
      <c r="R92" s="539">
        <f t="shared" si="52"/>
        <v>54.839389985105512</v>
      </c>
      <c r="S92" s="539">
        <f t="shared" si="52"/>
        <v>20.361811945286068</v>
      </c>
      <c r="T92" s="539">
        <f t="shared" si="52"/>
        <v>19.389631473348729</v>
      </c>
      <c r="U92" s="539">
        <f t="shared" si="52"/>
        <v>22.022594561454667</v>
      </c>
      <c r="V92" s="539">
        <f>IF(V$9=0,"",V79/V$9)</f>
        <v>91.507965025751574</v>
      </c>
      <c r="W92" s="539" t="str">
        <f t="shared" si="52"/>
        <v/>
      </c>
      <c r="X92" s="539" t="str">
        <f t="shared" si="52"/>
        <v/>
      </c>
      <c r="Y92" s="539">
        <f>IF(Y$9=0,"",Y79/Y$9)</f>
        <v>95.806250556495399</v>
      </c>
      <c r="Z92" s="539">
        <f t="shared" si="52"/>
        <v>12.715018061196337</v>
      </c>
      <c r="AA92" s="539">
        <f>IF(AA$9=0,"",AA79/AA$9)</f>
        <v>14.681477107280667</v>
      </c>
      <c r="AB92" s="539">
        <f t="shared" si="52"/>
        <v>15.024614913763823</v>
      </c>
      <c r="AC92" s="539">
        <f>IF(AC$9=0,"",AC79/AC$9)</f>
        <v>38.280796240561806</v>
      </c>
      <c r="AD92" s="539">
        <f t="shared" si="52"/>
        <v>146.33608815426996</v>
      </c>
      <c r="AE92" s="539" t="str">
        <f t="shared" si="52"/>
        <v/>
      </c>
      <c r="AF92" s="541">
        <f>IF(AF$9=0,"",AF79/AF$9)</f>
        <v>17.635408838029331</v>
      </c>
      <c r="AG92" s="541"/>
      <c r="AH92" s="708">
        <f>IF(AH$9=0,"0",+(AH79)/AH$9)</f>
        <v>30.870632678974793</v>
      </c>
      <c r="AI92" s="708">
        <v>22</v>
      </c>
      <c r="AJ92" s="709">
        <f>AI92-AH92</f>
        <v>-8.8706326789747934</v>
      </c>
      <c r="AK92" s="716">
        <f>AH92/AI92*100</f>
        <v>140.32105763170361</v>
      </c>
      <c r="AL92" s="543"/>
      <c r="AM92" s="542"/>
      <c r="AN92" s="542"/>
      <c r="AO92" s="542"/>
      <c r="AP92" s="542"/>
      <c r="AQ92" s="542"/>
      <c r="AR92" s="542"/>
      <c r="AS92" s="542"/>
      <c r="AT92" s="542"/>
      <c r="AU92" s="542"/>
      <c r="AV92" s="542"/>
      <c r="AW92" s="542"/>
      <c r="AX92" s="542"/>
      <c r="AY92" s="542"/>
      <c r="AZ92" s="542"/>
      <c r="BA92" s="542"/>
      <c r="BB92" s="542"/>
      <c r="BC92" s="542"/>
      <c r="BD92" s="542"/>
      <c r="BE92" s="542"/>
      <c r="BF92" s="542"/>
      <c r="BG92" s="542"/>
    </row>
    <row r="93" spans="1:59" s="264" customFormat="1" hidden="1" x14ac:dyDescent="0.4">
      <c r="B93" s="542"/>
      <c r="C93" s="542"/>
      <c r="D93" s="542"/>
      <c r="E93" s="542"/>
      <c r="F93" s="542"/>
      <c r="G93" s="542"/>
      <c r="H93" s="542"/>
      <c r="I93" s="542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8"/>
      <c r="AG93" s="548"/>
      <c r="AH93" s="708">
        <f t="shared" ref="AH93" si="53">IF(AH$9=0,"0",+(AH77*10)/AH$9)</f>
        <v>0</v>
      </c>
      <c r="AI93" s="708"/>
      <c r="AJ93" s="715"/>
      <c r="AK93" s="716" t="e">
        <f t="shared" si="46"/>
        <v>#DIV/0!</v>
      </c>
      <c r="AL93" s="543"/>
      <c r="AM93" s="542"/>
      <c r="AN93" s="542"/>
      <c r="AO93" s="542"/>
      <c r="AP93" s="542"/>
      <c r="AQ93" s="542"/>
      <c r="AR93" s="542"/>
      <c r="AS93" s="542"/>
      <c r="AT93" s="542"/>
      <c r="AU93" s="542"/>
      <c r="AV93" s="542"/>
      <c r="AW93" s="542"/>
      <c r="AX93" s="542"/>
      <c r="AY93" s="542"/>
      <c r="AZ93" s="542"/>
      <c r="BA93" s="542"/>
      <c r="BB93" s="542"/>
      <c r="BC93" s="542"/>
      <c r="BD93" s="542"/>
      <c r="BE93" s="542"/>
      <c r="BF93" s="542"/>
      <c r="BG93" s="542"/>
    </row>
    <row r="94" spans="1:59" s="264" customFormat="1" x14ac:dyDescent="0.4">
      <c r="A94" s="264" t="s">
        <v>203</v>
      </c>
      <c r="B94" s="539" t="str">
        <f t="shared" ref="B94:AF94" si="54">IF(B$9=0,"",B82/B$9)</f>
        <v/>
      </c>
      <c r="C94" s="539" t="str">
        <f t="shared" si="54"/>
        <v/>
      </c>
      <c r="D94" s="541">
        <f t="shared" si="54"/>
        <v>6.9584736251402912</v>
      </c>
      <c r="E94" s="539">
        <f>IF(E$9=0,"",E82/E$9)</f>
        <v>6.8556046140105913</v>
      </c>
      <c r="F94" s="539">
        <f t="shared" si="54"/>
        <v>8.8086835074786869</v>
      </c>
      <c r="G94" s="539">
        <f t="shared" si="54"/>
        <v>7.0872091508376975</v>
      </c>
      <c r="H94" s="541">
        <f t="shared" si="54"/>
        <v>7.2454502834249661</v>
      </c>
      <c r="I94" s="541" t="str">
        <f t="shared" ref="I94:AE94" si="55">IF(I$9=0,"",I82/I$9)</f>
        <v/>
      </c>
      <c r="J94" s="541" t="str">
        <f t="shared" si="55"/>
        <v/>
      </c>
      <c r="K94" s="541">
        <f t="shared" si="55"/>
        <v>13.575056927658084</v>
      </c>
      <c r="L94" s="541">
        <f t="shared" si="55"/>
        <v>16.247127358238469</v>
      </c>
      <c r="M94" s="541">
        <f t="shared" si="55"/>
        <v>20.735211351047127</v>
      </c>
      <c r="N94" s="541">
        <f t="shared" si="55"/>
        <v>8.3466435955454976</v>
      </c>
      <c r="O94" s="541">
        <f t="shared" si="55"/>
        <v>8.8457246887479428</v>
      </c>
      <c r="P94" s="541" t="str">
        <f t="shared" si="55"/>
        <v/>
      </c>
      <c r="Q94" s="541" t="str">
        <f t="shared" si="55"/>
        <v/>
      </c>
      <c r="R94" s="541">
        <f t="shared" si="55"/>
        <v>16.542106581254036</v>
      </c>
      <c r="S94" s="541">
        <f t="shared" si="55"/>
        <v>5.7943899135728349</v>
      </c>
      <c r="T94" s="541">
        <f t="shared" si="55"/>
        <v>6.4040430632506444</v>
      </c>
      <c r="U94" s="541">
        <f t="shared" si="55"/>
        <v>11.286065690210769</v>
      </c>
      <c r="V94" s="541">
        <f t="shared" si="55"/>
        <v>10.865287545129441</v>
      </c>
      <c r="W94" s="541" t="str">
        <f t="shared" si="55"/>
        <v/>
      </c>
      <c r="X94" s="541" t="str">
        <f t="shared" si="55"/>
        <v/>
      </c>
      <c r="Y94" s="541">
        <f>IF(Y$9=0,"",Y82/Y$9)</f>
        <v>40.809663728370872</v>
      </c>
      <c r="Z94" s="541">
        <f t="shared" si="55"/>
        <v>4.9724430414669669</v>
      </c>
      <c r="AA94" s="541">
        <f t="shared" si="55"/>
        <v>5.4300423882683928</v>
      </c>
      <c r="AB94" s="541">
        <f t="shared" si="55"/>
        <v>1.6086471314947728</v>
      </c>
      <c r="AC94" s="541">
        <f>IF(AC$9=0,"",AC82/AC$9)</f>
        <v>24.519510005808119</v>
      </c>
      <c r="AD94" s="541">
        <f t="shared" si="55"/>
        <v>18.260527351436441</v>
      </c>
      <c r="AE94" s="541" t="str">
        <f t="shared" si="55"/>
        <v/>
      </c>
      <c r="AF94" s="541">
        <f t="shared" si="54"/>
        <v>6.3101771103642879</v>
      </c>
      <c r="AG94" s="541"/>
      <c r="AH94" s="712">
        <f>IF(AH$9=0,"0",+(AH82)/AH$9)</f>
        <v>9.0888490973537532</v>
      </c>
      <c r="AI94" s="713">
        <v>7.2</v>
      </c>
      <c r="AJ94" s="709">
        <f>AI94-AH94</f>
        <v>-1.8888490973537531</v>
      </c>
      <c r="AK94" s="716">
        <f t="shared" si="46"/>
        <v>126.23401524102435</v>
      </c>
      <c r="AL94" s="543"/>
      <c r="AM94" s="542"/>
      <c r="AN94" s="542"/>
      <c r="AO94" s="542"/>
      <c r="AP94" s="542"/>
      <c r="AQ94" s="542"/>
      <c r="AR94" s="542"/>
      <c r="AS94" s="542"/>
      <c r="AT94" s="542"/>
      <c r="AU94" s="542"/>
      <c r="AV94" s="542"/>
      <c r="AW94" s="542"/>
      <c r="AX94" s="542"/>
      <c r="AY94" s="542"/>
      <c r="AZ94" s="542"/>
      <c r="BA94" s="542"/>
      <c r="BB94" s="542"/>
      <c r="BC94" s="542"/>
      <c r="BD94" s="542"/>
      <c r="BE94" s="542"/>
      <c r="BF94" s="542"/>
      <c r="BG94" s="542"/>
    </row>
    <row r="95" spans="1:59" s="209" customFormat="1" hidden="1" x14ac:dyDescent="0.4">
      <c r="B95" s="394"/>
      <c r="C95" s="394"/>
      <c r="D95" s="394"/>
      <c r="E95" s="394"/>
      <c r="F95" s="394"/>
      <c r="G95" s="394"/>
      <c r="H95" s="394"/>
      <c r="I95" s="394"/>
      <c r="J95" s="418"/>
      <c r="K95" s="418"/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542"/>
      <c r="AI95" s="394"/>
      <c r="AJ95" s="394"/>
      <c r="AK95" s="394"/>
      <c r="AL95" s="395"/>
      <c r="AM95" s="394"/>
      <c r="AN95" s="394"/>
      <c r="AO95" s="394"/>
      <c r="AP95" s="394"/>
      <c r="AQ95" s="394"/>
      <c r="AR95" s="394"/>
      <c r="AS95" s="394"/>
      <c r="AT95" s="394"/>
      <c r="AU95" s="394"/>
      <c r="AV95" s="394"/>
      <c r="AW95" s="394"/>
      <c r="AX95" s="394"/>
      <c r="AY95" s="394"/>
      <c r="AZ95" s="394"/>
      <c r="BA95" s="394"/>
      <c r="BB95" s="394"/>
      <c r="BC95" s="394"/>
      <c r="BD95" s="394"/>
      <c r="BE95" s="394"/>
      <c r="BF95" s="394"/>
      <c r="BG95" s="394"/>
    </row>
    <row r="96" spans="1:59" s="209" customFormat="1" hidden="1" x14ac:dyDescent="0.4">
      <c r="B96" s="394"/>
      <c r="C96" s="394"/>
      <c r="D96" s="394"/>
      <c r="E96" s="394"/>
      <c r="F96" s="394"/>
      <c r="G96" s="394"/>
      <c r="H96" s="394"/>
      <c r="I96" s="394"/>
      <c r="J96" s="418"/>
      <c r="K96" s="418"/>
      <c r="L96" s="418"/>
      <c r="M96" s="418"/>
      <c r="N96" s="418"/>
      <c r="O96" s="418"/>
      <c r="P96" s="418"/>
      <c r="Q96" s="418"/>
      <c r="R96" s="418"/>
      <c r="S96" s="418"/>
      <c r="T96" s="418"/>
      <c r="U96" s="418"/>
      <c r="V96" s="418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542"/>
      <c r="AI96" s="394"/>
      <c r="AJ96" s="394"/>
      <c r="AK96" s="394"/>
      <c r="AL96" s="395"/>
      <c r="AM96" s="394"/>
      <c r="AN96" s="394"/>
      <c r="AO96" s="394"/>
      <c r="AP96" s="394"/>
      <c r="AQ96" s="394"/>
      <c r="AR96" s="394"/>
      <c r="AS96" s="394"/>
      <c r="AT96" s="394"/>
      <c r="AU96" s="394"/>
      <c r="AV96" s="394"/>
      <c r="AW96" s="394"/>
      <c r="AX96" s="394"/>
      <c r="AY96" s="394"/>
      <c r="AZ96" s="394"/>
      <c r="BA96" s="394"/>
      <c r="BB96" s="394"/>
      <c r="BC96" s="394"/>
      <c r="BD96" s="394"/>
      <c r="BE96" s="394"/>
      <c r="BF96" s="394"/>
      <c r="BG96" s="394"/>
    </row>
    <row r="97" spans="1:79" ht="25.5" hidden="1" x14ac:dyDescent="0.35">
      <c r="A97" s="246" t="s">
        <v>230</v>
      </c>
      <c r="B97" s="549"/>
      <c r="C97" s="549"/>
      <c r="D97" s="549"/>
      <c r="E97" s="549"/>
      <c r="F97" s="549"/>
      <c r="G97" s="549"/>
      <c r="H97" s="549"/>
      <c r="I97" s="549"/>
      <c r="J97" s="550"/>
      <c r="K97" s="550"/>
      <c r="L97" s="550"/>
      <c r="M97" s="550"/>
      <c r="N97" s="550"/>
      <c r="O97" s="550"/>
      <c r="P97" s="550"/>
      <c r="Q97" s="550"/>
      <c r="R97" s="550"/>
      <c r="S97" s="550"/>
      <c r="T97" s="550"/>
      <c r="U97" s="550"/>
      <c r="V97" s="550"/>
      <c r="W97" s="550"/>
      <c r="X97" s="550"/>
      <c r="Y97" s="550"/>
      <c r="Z97" s="550"/>
      <c r="AA97" s="550"/>
      <c r="AB97" s="550"/>
      <c r="AC97" s="550"/>
      <c r="AD97" s="550"/>
      <c r="AE97" s="550"/>
      <c r="AF97" s="550"/>
      <c r="AG97" s="550"/>
      <c r="AH97" s="551">
        <f>SUM($B97:AF97)</f>
        <v>0</v>
      </c>
      <c r="AI97" s="552"/>
      <c r="AJ97" s="549" t="s">
        <v>199</v>
      </c>
    </row>
    <row r="98" spans="1:79" s="219" customFormat="1" ht="51" hidden="1" x14ac:dyDescent="0.35">
      <c r="A98" s="247" t="s">
        <v>231</v>
      </c>
      <c r="B98" s="419" t="str">
        <f t="shared" ref="B98:AF98" si="56">IF(B$97=0,"",+(B42*10)/B$97)</f>
        <v/>
      </c>
      <c r="C98" s="419" t="str">
        <f t="shared" si="56"/>
        <v/>
      </c>
      <c r="D98" s="419" t="str">
        <f t="shared" si="56"/>
        <v/>
      </c>
      <c r="E98" s="419" t="str">
        <f t="shared" si="56"/>
        <v/>
      </c>
      <c r="F98" s="419" t="str">
        <f t="shared" si="56"/>
        <v/>
      </c>
      <c r="G98" s="419" t="str">
        <f t="shared" si="56"/>
        <v/>
      </c>
      <c r="H98" s="419" t="str">
        <f t="shared" si="56"/>
        <v/>
      </c>
      <c r="I98" s="419" t="str">
        <f t="shared" si="56"/>
        <v/>
      </c>
      <c r="J98" s="420" t="str">
        <f t="shared" si="56"/>
        <v/>
      </c>
      <c r="K98" s="420" t="str">
        <f t="shared" si="56"/>
        <v/>
      </c>
      <c r="L98" s="420" t="str">
        <f t="shared" si="56"/>
        <v/>
      </c>
      <c r="M98" s="420" t="str">
        <f t="shared" si="56"/>
        <v/>
      </c>
      <c r="N98" s="420" t="str">
        <f t="shared" si="56"/>
        <v/>
      </c>
      <c r="O98" s="420" t="str">
        <f t="shared" si="56"/>
        <v/>
      </c>
      <c r="P98" s="420" t="str">
        <f t="shared" si="56"/>
        <v/>
      </c>
      <c r="Q98" s="420" t="str">
        <f t="shared" si="56"/>
        <v/>
      </c>
      <c r="R98" s="420" t="str">
        <f t="shared" si="56"/>
        <v/>
      </c>
      <c r="S98" s="420" t="str">
        <f t="shared" si="56"/>
        <v/>
      </c>
      <c r="T98" s="420" t="str">
        <f t="shared" si="56"/>
        <v/>
      </c>
      <c r="U98" s="420" t="str">
        <f t="shared" si="56"/>
        <v/>
      </c>
      <c r="V98" s="420" t="str">
        <f t="shared" si="56"/>
        <v/>
      </c>
      <c r="W98" s="420" t="str">
        <f t="shared" si="56"/>
        <v/>
      </c>
      <c r="X98" s="420" t="str">
        <f t="shared" si="56"/>
        <v/>
      </c>
      <c r="Y98" s="420" t="str">
        <f t="shared" si="56"/>
        <v/>
      </c>
      <c r="Z98" s="420" t="str">
        <f t="shared" si="56"/>
        <v/>
      </c>
      <c r="AA98" s="420" t="str">
        <f t="shared" si="56"/>
        <v/>
      </c>
      <c r="AB98" s="420" t="str">
        <f t="shared" si="56"/>
        <v/>
      </c>
      <c r="AC98" s="420" t="str">
        <f t="shared" si="56"/>
        <v/>
      </c>
      <c r="AD98" s="420" t="str">
        <f t="shared" si="56"/>
        <v/>
      </c>
      <c r="AE98" s="420" t="str">
        <f t="shared" si="56"/>
        <v/>
      </c>
      <c r="AF98" s="420" t="str">
        <f t="shared" si="56"/>
        <v/>
      </c>
      <c r="AG98" s="420"/>
      <c r="AH98" s="421" t="e">
        <f>+(AH42*10)/AH$97</f>
        <v>#DIV/0!</v>
      </c>
      <c r="AI98" s="421">
        <v>2.6</v>
      </c>
      <c r="AJ98" s="553" t="e">
        <f>AI98-AH98</f>
        <v>#DIV/0!</v>
      </c>
      <c r="AK98" s="395"/>
      <c r="AL98" s="395"/>
      <c r="AM98" s="395"/>
      <c r="AN98" s="395"/>
      <c r="AO98" s="395"/>
      <c r="AP98" s="395"/>
      <c r="AQ98" s="395"/>
      <c r="AR98" s="395"/>
      <c r="AS98" s="395"/>
      <c r="AT98" s="395"/>
      <c r="AU98" s="395"/>
      <c r="AV98" s="395"/>
      <c r="AW98" s="395"/>
      <c r="AX98" s="395"/>
      <c r="AY98" s="395"/>
      <c r="AZ98" s="395"/>
      <c r="BA98" s="395"/>
      <c r="BB98" s="395"/>
      <c r="BC98" s="395"/>
      <c r="BD98" s="395"/>
      <c r="BE98" s="395"/>
      <c r="BF98" s="395"/>
      <c r="BG98" s="395"/>
      <c r="BH98" s="208"/>
      <c r="BI98" s="208"/>
      <c r="BJ98" s="208"/>
      <c r="BK98" s="208"/>
      <c r="BL98" s="208"/>
      <c r="BM98" s="208"/>
      <c r="BN98" s="208"/>
      <c r="BO98" s="208"/>
      <c r="BP98" s="208"/>
      <c r="BQ98" s="208"/>
      <c r="BR98" s="208"/>
      <c r="BS98" s="208"/>
      <c r="BT98" s="208"/>
      <c r="BU98" s="208"/>
      <c r="BV98" s="208"/>
      <c r="BW98" s="208"/>
      <c r="BX98" s="208"/>
      <c r="BY98" s="208"/>
      <c r="BZ98" s="208"/>
      <c r="CA98" s="208"/>
    </row>
    <row r="99" spans="1:79" ht="25.5" hidden="1" x14ac:dyDescent="0.35">
      <c r="A99" s="248"/>
      <c r="B99" s="554"/>
      <c r="C99" s="554"/>
      <c r="D99" s="554"/>
      <c r="E99" s="554"/>
      <c r="F99" s="554"/>
      <c r="G99" s="554"/>
      <c r="H99" s="554"/>
      <c r="I99" s="554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55"/>
      <c r="AB99" s="555"/>
      <c r="AC99" s="555"/>
      <c r="AD99" s="555"/>
      <c r="AE99" s="555"/>
      <c r="AF99" s="555"/>
      <c r="AG99" s="555"/>
      <c r="AH99" s="556"/>
      <c r="AI99" s="556"/>
      <c r="AJ99" s="557"/>
    </row>
    <row r="100" spans="1:79" ht="25.5" hidden="1" x14ac:dyDescent="0.35">
      <c r="A100" s="248"/>
      <c r="B100" s="554"/>
      <c r="C100" s="554"/>
      <c r="D100" s="554"/>
      <c r="E100" s="554"/>
      <c r="F100" s="554"/>
      <c r="G100" s="554"/>
      <c r="H100" s="554"/>
      <c r="I100" s="554"/>
      <c r="J100" s="555"/>
      <c r="K100" s="555"/>
      <c r="L100" s="555"/>
      <c r="M100" s="555"/>
      <c r="N100" s="555"/>
      <c r="O100" s="555"/>
      <c r="P100" s="555"/>
      <c r="Q100" s="555"/>
      <c r="R100" s="555"/>
      <c r="S100" s="555"/>
      <c r="T100" s="555"/>
      <c r="U100" s="555"/>
      <c r="V100" s="555"/>
      <c r="W100" s="555"/>
      <c r="X100" s="555"/>
      <c r="Y100" s="555"/>
      <c r="Z100" s="555"/>
      <c r="AA100" s="555"/>
      <c r="AB100" s="555"/>
      <c r="AC100" s="555"/>
      <c r="AD100" s="555"/>
      <c r="AE100" s="555"/>
      <c r="AF100" s="555"/>
      <c r="AG100" s="555"/>
      <c r="AH100" s="556"/>
      <c r="AI100" s="556"/>
      <c r="AJ100" s="557"/>
    </row>
    <row r="101" spans="1:79" ht="29.25" hidden="1" x14ac:dyDescent="0.5">
      <c r="A101" s="209" t="s">
        <v>240</v>
      </c>
      <c r="B101" s="558">
        <f>IF('Entries March.''25'!L8-'Entries March.''25'!L7&lt;1,0,'Entries March.''25'!L8-'Entries March.''25'!L7)</f>
        <v>0</v>
      </c>
      <c r="C101" s="558">
        <f>IF('Entries March.''25'!L9-'Entries March.''25'!L8&lt;1,0,'Entries March.''25'!L9-'Entries March.''25'!L8)</f>
        <v>0</v>
      </c>
      <c r="D101" s="558">
        <f>IF('Entries March.''25'!L10-'Entries March.''25'!L9&lt;1,0,'Entries March.''25'!L10-'Entries March.''25'!L9)</f>
        <v>0</v>
      </c>
      <c r="E101" s="558">
        <f>IF('Entries March.''25'!L11-'Entries March.''25'!L10&lt;1,0,'Entries March.''25'!L11-'Entries March.''25'!L10)</f>
        <v>0</v>
      </c>
      <c r="F101" s="558">
        <f>IF('Entries March.''25'!L12-'Entries March.''25'!L11&lt;1,0,'Entries March.''25'!L12-'Entries March.''25'!L11)</f>
        <v>0</v>
      </c>
      <c r="G101" s="558">
        <f>IF('Entries March.''25'!L13-'Entries March.''25'!L12&lt;1,0,'Entries March.''25'!L13-'Entries March.''25'!L12)</f>
        <v>0</v>
      </c>
      <c r="H101" s="558">
        <f>IF('Entries March.''25'!L14-'Entries March.''25'!L13&lt;1,0,'Entries March.''25'!L14-'Entries March.''25'!L13)</f>
        <v>0</v>
      </c>
      <c r="I101" s="558">
        <f>IF('Entries March.''25'!L15-'Entries March.''25'!L14&lt;1,0,'Entries March.''25'!L15-'Entries March.''25'!L14)</f>
        <v>0</v>
      </c>
      <c r="J101" s="559">
        <f>IF('Entries March.''25'!L16-'Entries March.''25'!L15&lt;1,0,'Entries March.''25'!L16-'Entries March.''25'!L15)</f>
        <v>0</v>
      </c>
      <c r="K101" s="559">
        <f>IF('Entries March.''25'!L17-'Entries March.''25'!L16&lt;1,0,'Entries March.''25'!L17-'Entries March.''25'!L16)</f>
        <v>0</v>
      </c>
      <c r="L101" s="559">
        <f>IF('Entries March.''25'!L18-'Entries March.''25'!L17&lt;1,0,'Entries March.''25'!L18-'Entries March.''25'!L17)</f>
        <v>0</v>
      </c>
      <c r="M101" s="559">
        <f>IF('Entries March.''25'!L19-'Entries March.''25'!L18&lt;1,0,'Entries March.''25'!L19-'Entries March.''25'!L18)</f>
        <v>0</v>
      </c>
      <c r="N101" s="438">
        <f>IF('Entries March.''25'!L20-'Entries March.''25'!L19&lt;1,0,'Entries March.''25'!L20-'Entries March.''25'!L19)</f>
        <v>0</v>
      </c>
      <c r="O101" s="438">
        <f>IF('Entries March.''25'!L21-'Entries March.''25'!L20&lt;1,0,'Entries March.''25'!L21-'Entries March.''25'!L20)</f>
        <v>0</v>
      </c>
      <c r="P101" s="438">
        <f>IF('Entries March.''25'!L22-'Entries March.''25'!L21&lt;1,0,'Entries March.''25'!L22-'Entries March.''25'!L21)</f>
        <v>0</v>
      </c>
      <c r="Q101" s="438">
        <f>IF('Entries March.''25'!L23-'Entries March.''25'!L22&lt;1,0,'Entries March.''25'!L23-'Entries March.''25'!L22)</f>
        <v>0</v>
      </c>
      <c r="R101" s="438">
        <f>IF('Entries March.''25'!L24-'Entries March.''25'!L23&lt;1,0,'Entries March.''25'!L24-'Entries March.''25'!L23)</f>
        <v>0</v>
      </c>
      <c r="S101" s="438">
        <f>IF('Entries March.''25'!L25-'Entries March.''25'!L24&lt;1,0,'Entries March.''25'!L25-'Entries March.''25'!L24)</f>
        <v>0</v>
      </c>
      <c r="T101" s="438">
        <f>IF('Entries March.''25'!L26-'Entries March.''25'!L25&lt;1,0,'Entries March.''25'!L26-'Entries March.''25'!L25)</f>
        <v>0</v>
      </c>
      <c r="U101" s="438">
        <f>IF('Entries March.''25'!L27-'Entries March.''25'!L26&lt;1,0,'Entries March.''25'!L27-'Entries March.''25'!L26)</f>
        <v>0</v>
      </c>
      <c r="V101" s="438">
        <f>IF('Entries March.''25'!L28-'Entries March.''25'!L27&lt;1,0,'Entries March.''25'!L28-'Entries March.''25'!L27)</f>
        <v>0</v>
      </c>
      <c r="W101" s="438">
        <f>IF('Entries March.''25'!L29-'Entries March.''25'!L28&lt;1,0,'Entries March.''25'!L29-'Entries March.''25'!L28)</f>
        <v>0</v>
      </c>
      <c r="X101" s="438">
        <f>IF('Entries March.''25'!L30-'Entries March.''25'!L29&lt;1,0,'Entries March.''25'!L30-'Entries March.''25'!L29)</f>
        <v>0</v>
      </c>
      <c r="Y101" s="438">
        <f>IF('Entries March.''25'!L31-'Entries March.''25'!L30&lt;1,0,'Entries March.''25'!L31-'Entries March.''25'!L30)</f>
        <v>0</v>
      </c>
      <c r="Z101" s="438">
        <f>IF('Entries March.''25'!L32-'Entries March.''25'!L31&lt;1,0,'Entries March.''25'!L32-'Entries March.''25'!L31)</f>
        <v>0</v>
      </c>
      <c r="AA101" s="438">
        <f>IF('Entries March.''25'!L33-'Entries March.''25'!L32&lt;1,0,'Entries March.''25'!L33-'Entries March.''25'!L32)</f>
        <v>0</v>
      </c>
      <c r="AB101" s="438">
        <f>IF('Entries March.''25'!L34-'Entries March.''25'!L33&lt;1,0,'Entries March.''25'!L34-'Entries March.''25'!L33)</f>
        <v>0</v>
      </c>
      <c r="AC101" s="438">
        <f>IF('Entries March.''25'!L35-'Entries March.''25'!L34&lt;1,0,'Entries March.''25'!L35-'Entries March.''25'!L34)</f>
        <v>0</v>
      </c>
      <c r="AD101" s="438" t="e">
        <f>IF('Entries March.''25'!#REF!-'Entries March.''25'!L35&lt;1,0,'Entries March.''25'!#REF!-'Entries March.''25'!L35)</f>
        <v>#REF!</v>
      </c>
      <c r="AE101" s="438" t="e">
        <f>IF('Entries March.''25'!L36-'Entries March.''25'!#REF!&lt;1,0,'Entries March.''25'!L36-'Entries March.''25'!#REF!)</f>
        <v>#REF!</v>
      </c>
      <c r="AF101" s="438">
        <f>IF('Entries March.''25'!L37-'Entries March.''25'!L36&lt;1,0,'Entries March.''25'!L37-'Entries March.''25'!L36)</f>
        <v>0</v>
      </c>
      <c r="AG101" s="438"/>
      <c r="AH101" s="408" t="e">
        <f>SUM($B101:AF101)</f>
        <v>#REF!</v>
      </c>
      <c r="AI101" s="408"/>
    </row>
    <row r="102" spans="1:79" hidden="1" x14ac:dyDescent="0.4">
      <c r="A102" s="209" t="s">
        <v>218</v>
      </c>
      <c r="M102" s="396"/>
      <c r="AH102" s="394">
        <f>SUM(B102:AF102)</f>
        <v>0</v>
      </c>
      <c r="AK102" s="395" t="s">
        <v>245</v>
      </c>
    </row>
    <row r="103" spans="1:79" hidden="1" x14ac:dyDescent="0.4">
      <c r="A103" s="209" t="s">
        <v>219</v>
      </c>
      <c r="B103" s="560" t="str">
        <f t="shared" ref="B103:AF103" si="57">IF(B101=0,"",B102/B101)</f>
        <v/>
      </c>
      <c r="C103" s="560" t="str">
        <f>IF(C101=0,"",C102/C101)</f>
        <v/>
      </c>
      <c r="D103" s="560" t="str">
        <f t="shared" si="57"/>
        <v/>
      </c>
      <c r="E103" s="560" t="str">
        <f t="shared" si="57"/>
        <v/>
      </c>
      <c r="F103" s="560" t="str">
        <f t="shared" si="57"/>
        <v/>
      </c>
      <c r="G103" s="560" t="s">
        <v>61</v>
      </c>
      <c r="H103" s="560" t="str">
        <f t="shared" si="57"/>
        <v/>
      </c>
      <c r="I103" s="560" t="str">
        <f>IF(I101=0,"",I102/I101)</f>
        <v/>
      </c>
      <c r="J103" s="561" t="str">
        <f t="shared" si="57"/>
        <v/>
      </c>
      <c r="K103" s="561" t="str">
        <f t="shared" si="57"/>
        <v/>
      </c>
      <c r="L103" s="561" t="str">
        <f t="shared" si="57"/>
        <v/>
      </c>
      <c r="M103" s="561" t="str">
        <f t="shared" si="57"/>
        <v/>
      </c>
      <c r="N103" s="561" t="str">
        <f t="shared" si="57"/>
        <v/>
      </c>
      <c r="O103" s="561" t="str">
        <f t="shared" si="57"/>
        <v/>
      </c>
      <c r="P103" s="561" t="str">
        <f t="shared" si="57"/>
        <v/>
      </c>
      <c r="Q103" s="561" t="str">
        <f t="shared" si="57"/>
        <v/>
      </c>
      <c r="R103" s="561" t="str">
        <f t="shared" si="57"/>
        <v/>
      </c>
      <c r="S103" s="561" t="str">
        <f t="shared" si="57"/>
        <v/>
      </c>
      <c r="T103" s="561" t="str">
        <f t="shared" si="57"/>
        <v/>
      </c>
      <c r="U103" s="561" t="str">
        <f>IF(U101=0,"",U102/U101)</f>
        <v/>
      </c>
      <c r="V103" s="561" t="str">
        <f t="shared" si="57"/>
        <v/>
      </c>
      <c r="W103" s="561" t="str">
        <f t="shared" si="57"/>
        <v/>
      </c>
      <c r="X103" s="561" t="str">
        <f t="shared" si="57"/>
        <v/>
      </c>
      <c r="Y103" s="561" t="str">
        <f t="shared" si="57"/>
        <v/>
      </c>
      <c r="Z103" s="561" t="str">
        <f t="shared" si="57"/>
        <v/>
      </c>
      <c r="AA103" s="561" t="str">
        <f t="shared" si="57"/>
        <v/>
      </c>
      <c r="AB103" s="561" t="str">
        <f t="shared" si="57"/>
        <v/>
      </c>
      <c r="AC103" s="561" t="str">
        <f t="shared" si="57"/>
        <v/>
      </c>
      <c r="AD103" s="561" t="e">
        <f t="shared" si="57"/>
        <v>#REF!</v>
      </c>
      <c r="AE103" s="561" t="e">
        <f t="shared" si="57"/>
        <v>#REF!</v>
      </c>
      <c r="AF103" s="561" t="str">
        <f t="shared" si="57"/>
        <v/>
      </c>
      <c r="AG103" s="561"/>
      <c r="AH103" s="560" t="e">
        <f>IF(AH101=0,"",AH102/AH101)</f>
        <v>#REF!</v>
      </c>
    </row>
    <row r="104" spans="1:79" ht="30" hidden="1" x14ac:dyDescent="0.4">
      <c r="A104" s="209" t="s">
        <v>241</v>
      </c>
      <c r="B104" s="558">
        <f>IF('Entries March.''25'!$AF8-'Entries March.''25'!$AF7&lt;1,0,'Entries March.''25'!$AF8-'Entries March.''25'!$AF7)</f>
        <v>0</v>
      </c>
      <c r="C104" s="558">
        <f>IF('Entries March.''25'!$AF9-'Entries March.''25'!$AF8&lt;1,0,'Entries March.''25'!$AF9-'Entries March.''25'!$AF8)</f>
        <v>0</v>
      </c>
      <c r="D104" s="558">
        <f>IF('Entries March.''25'!$AF10-'Entries March.''25'!$AF9&lt;1,0,'Entries March.''25'!$AF10-'Entries March.''25'!$AF9)</f>
        <v>0</v>
      </c>
      <c r="E104" s="558">
        <f>IF('Entries March.''25'!$AF11-'Entries March.''25'!$AF10&lt;1,0,'Entries March.''25'!$AF11-'Entries March.''25'!$AF10)</f>
        <v>0</v>
      </c>
      <c r="F104" s="558">
        <f>IF('Entries March.''25'!$AF12-'Entries March.''25'!$AF11&lt;1,0,'Entries March.''25'!$AF12-'Entries March.''25'!$AF11)</f>
        <v>0</v>
      </c>
      <c r="G104" s="558">
        <f>IF('Entries March.''25'!$AF13-'Entries March.''25'!$AF12&lt;1,0,'Entries March.''25'!$AF13-'Entries March.''25'!$AF12)</f>
        <v>0</v>
      </c>
      <c r="H104" s="558">
        <f>IF('Entries March.''25'!$AF14-'Entries March.''25'!$AF13&lt;1,0,'Entries March.''25'!$AF14-'Entries March.''25'!$AF13)</f>
        <v>0</v>
      </c>
      <c r="I104" s="558">
        <f>IF('Entries March.''25'!AF15-'Entries March.''25'!AF14&lt;1,0,'Entries March.''25'!AF15-'Entries March.''25'!AF14)</f>
        <v>0</v>
      </c>
      <c r="J104" s="559">
        <f>IF('Entries March.''25'!AF16-'Entries March.''25'!AF15&lt;1,0,'Entries March.''25'!AF16-'Entries March.''25'!AF15)</f>
        <v>0</v>
      </c>
      <c r="K104" s="559">
        <f>IF('Entries March.''25'!AF17-'Entries March.''25'!AF16&lt;1,0,'Entries March.''25'!AF17-'Entries March.''25'!AF16)</f>
        <v>0</v>
      </c>
      <c r="L104" s="559">
        <f>IF('Entries March.''25'!$AF18-'Entries March.''25'!$AF17&lt;1,0,'Entries March.''25'!$AF18-'Entries March.''25'!$AF17)</f>
        <v>0</v>
      </c>
      <c r="M104" s="559">
        <f>IF('Entries March.''25'!$AF19-'Entries March.''25'!$AF18&lt;1,0,'Entries March.''25'!$AF19-'Entries March.''25'!$AF18)</f>
        <v>0</v>
      </c>
      <c r="N104" s="559">
        <f>IF('Entries March.''25'!$AF20-'Entries March.''25'!$AF19&lt;1,0,'Entries March.''25'!$AF20-'Entries March.''25'!$AF19)</f>
        <v>0</v>
      </c>
      <c r="O104" s="559">
        <f>IF('Entries March.''25'!$AF21-'Entries March.''25'!$AF20&lt;1,0,'Entries March.''25'!$AF21-'Entries March.''25'!$AF20)</f>
        <v>0</v>
      </c>
      <c r="P104" s="559">
        <f>IF('Entries March.''25'!$AF22-'Entries March.''25'!$AF21&lt;1,0,'Entries March.''25'!$AF22-'Entries March.''25'!$AF21)</f>
        <v>0</v>
      </c>
      <c r="Q104" s="559">
        <f>IF('Entries March.''25'!$AF23-'Entries March.''25'!$AF22&lt;1,0,'Entries March.''25'!$AF23-'Entries March.''25'!$AF22)</f>
        <v>0</v>
      </c>
      <c r="R104" s="559">
        <f>IF('Entries March.''25'!$AF24-'Entries March.''25'!$AF23&lt;1,0,'Entries March.''25'!$AF24-'Entries March.''25'!$AF23)</f>
        <v>0</v>
      </c>
      <c r="S104" s="559">
        <f>IF('Entries March.''25'!$AF25-'Entries March.''25'!$AF24&lt;1,0,'Entries March.''25'!$AF25-'Entries March.''25'!$AF24)</f>
        <v>0</v>
      </c>
      <c r="T104" s="559">
        <f>IF('Entries March.''25'!$AF26-'Entries March.''25'!$AF25&lt;1,0,'Entries March.''25'!$AF26-'Entries March.''25'!$AF25)</f>
        <v>0</v>
      </c>
      <c r="U104" s="559">
        <f>IF('Entries March.''25'!$AF27-'Entries March.''25'!$AF26&lt;1,0,'Entries March.''25'!$AF27-'Entries March.''25'!$AF26)</f>
        <v>0</v>
      </c>
      <c r="V104" s="559">
        <f>IF('Entries March.''25'!$AF28-'Entries March.''25'!$AF27&lt;1,0,'Entries March.''25'!$AF28-'Entries March.''25'!$AF27)</f>
        <v>0</v>
      </c>
      <c r="W104" s="559">
        <f>IF('Entries March.''25'!$AF29-'Entries March.''25'!$AF28&lt;1,0,'Entries March.''25'!$AF29-'Entries March.''25'!$AF28)</f>
        <v>0</v>
      </c>
      <c r="X104" s="559">
        <f>IF('Entries March.''25'!$AF30-'Entries March.''25'!$AF29&lt;1,0,'Entries March.''25'!$AF30-'Entries March.''25'!$AF29)</f>
        <v>0</v>
      </c>
      <c r="Y104" s="559">
        <f>IF('Entries March.''25'!$AF31-'Entries March.''25'!$AF30&lt;1,0,'Entries March.''25'!$AF31-'Entries March.''25'!$AF30)</f>
        <v>0</v>
      </c>
      <c r="Z104" s="559">
        <f>IF('Entries March.''25'!$AF32-'Entries March.''25'!$AF31&lt;1,0,'Entries March.''25'!$AF32-'Entries March.''25'!$AF31)</f>
        <v>0</v>
      </c>
      <c r="AA104" s="559">
        <f>IF('Entries March.''25'!$AF33-'Entries March.''25'!$AF31&lt;1,0,'Entries March.''25'!$AF33-'Entries March.''25'!$AF31)</f>
        <v>0</v>
      </c>
      <c r="AB104" s="559">
        <f>IF('Entries March.''25'!$AF34-'Entries March.''25'!$AF33&lt;1,0,'Entries March.''25'!$AF34-'Entries March.''25'!$AF33)</f>
        <v>0</v>
      </c>
      <c r="AC104" s="559">
        <f>IF('Entries March.''25'!$AF35-'Entries March.''25'!$AF34&lt;1,0,'Entries March.''25'!$AF35-'Entries March.''25'!$AF34)</f>
        <v>0</v>
      </c>
      <c r="AD104" s="559" t="e">
        <f>IF('Entries March.''25'!#REF!-'Entries March.''25'!$AF35&lt;1,0,'Entries March.''25'!#REF!-'Entries March.''25'!$AF35)</f>
        <v>#REF!</v>
      </c>
      <c r="AE104" s="559" t="e">
        <f>IF('Entries March.''25'!$AF36-'Entries March.''25'!#REF!&lt;1,0,'Entries March.''25'!$AF36-'Entries March.''25'!#REF!)</f>
        <v>#REF!</v>
      </c>
      <c r="AF104" s="559">
        <f>IF('Entries March.''25'!$AF37-'Entries March.''25'!$AF36&lt;1,0,'Entries March.''25'!$AF37-'Entries March.''25'!$AF36)</f>
        <v>0</v>
      </c>
      <c r="AG104" s="559"/>
      <c r="AH104" s="408" t="e">
        <f>SUM(B104:AF104)</f>
        <v>#REF!</v>
      </c>
      <c r="AI104" s="408"/>
    </row>
    <row r="105" spans="1:79" hidden="1" x14ac:dyDescent="0.35">
      <c r="M105" s="396"/>
    </row>
    <row r="106" spans="1:79" hidden="1" x14ac:dyDescent="0.35">
      <c r="A106" s="208" t="s">
        <v>169</v>
      </c>
      <c r="M106" s="396"/>
    </row>
    <row r="107" spans="1:79" hidden="1" x14ac:dyDescent="0.35">
      <c r="M107" s="396"/>
    </row>
    <row r="108" spans="1:79" hidden="1" x14ac:dyDescent="0.35">
      <c r="M108" s="396"/>
    </row>
    <row r="109" spans="1:79" hidden="1" x14ac:dyDescent="0.35">
      <c r="M109" s="396"/>
    </row>
    <row r="110" spans="1:79" hidden="1" x14ac:dyDescent="0.35">
      <c r="A110" s="208" t="s">
        <v>153</v>
      </c>
      <c r="B110" s="440" t="s">
        <v>154</v>
      </c>
      <c r="C110" s="424" t="str">
        <f>+'Water '!$F8</f>
        <v>0</v>
      </c>
      <c r="M110" s="396"/>
      <c r="AB110" s="396" t="s">
        <v>154</v>
      </c>
      <c r="AC110" s="396" t="s">
        <v>154</v>
      </c>
      <c r="AF110" s="396" t="s">
        <v>154</v>
      </c>
      <c r="AH110" s="408">
        <f>SUM($B110:AC110)</f>
        <v>0</v>
      </c>
      <c r="AI110" s="408"/>
    </row>
    <row r="111" spans="1:79" hidden="1" x14ac:dyDescent="0.35">
      <c r="M111" s="396"/>
    </row>
    <row r="112" spans="1:79" hidden="1" x14ac:dyDescent="0.35">
      <c r="M112" s="396"/>
    </row>
    <row r="113" spans="2:34" hidden="1" x14ac:dyDescent="0.35">
      <c r="M113" s="396"/>
    </row>
    <row r="114" spans="2:34" hidden="1" x14ac:dyDescent="0.35">
      <c r="B114" s="558">
        <f>'Daily KPIs'!B79</f>
        <v>4482</v>
      </c>
      <c r="D114" s="558">
        <f>'Daily KPIs'!D79</f>
        <v>7948</v>
      </c>
      <c r="E114" s="558">
        <f>'Daily KPIs'!E79</f>
        <v>8547</v>
      </c>
      <c r="F114" s="558">
        <f>'Daily KPIs'!F79</f>
        <v>8241</v>
      </c>
      <c r="G114" s="558">
        <f>'Daily KPIs'!G79</f>
        <v>8066</v>
      </c>
      <c r="H114" s="558">
        <f>'Daily KPIs'!H79</f>
        <v>7348</v>
      </c>
      <c r="I114" s="558">
        <f>'Daily KPIs'!I79</f>
        <v>4624</v>
      </c>
      <c r="J114" s="559">
        <f>'Daily KPIs'!J79</f>
        <v>4173</v>
      </c>
      <c r="K114" s="559">
        <f>'Daily KPIs'!K79</f>
        <v>8000</v>
      </c>
      <c r="L114" s="559">
        <f>'Daily KPIs'!L79</f>
        <v>8338</v>
      </c>
      <c r="M114" s="559">
        <f>'Daily KPIs'!M79</f>
        <v>8475</v>
      </c>
      <c r="N114" s="559">
        <f>'Daily KPIs'!N79</f>
        <v>7841</v>
      </c>
      <c r="O114" s="559">
        <f>'Daily KPIs'!O79</f>
        <v>7679</v>
      </c>
      <c r="P114" s="559">
        <f>'Daily KPIs'!P79</f>
        <v>4867</v>
      </c>
      <c r="Q114" s="559">
        <f>'Daily KPIs'!Q79</f>
        <v>5536</v>
      </c>
      <c r="R114" s="559">
        <f>'Daily KPIs'!R79</f>
        <v>8321</v>
      </c>
      <c r="S114" s="559">
        <f>'Daily KPIs'!S79</f>
        <v>8750</v>
      </c>
      <c r="T114" s="559">
        <f>'Daily KPIs'!T79</f>
        <v>9722</v>
      </c>
      <c r="U114" s="559">
        <f>'Daily KPIs'!U79</f>
        <v>5891</v>
      </c>
      <c r="V114" s="559">
        <f>'Daily KPIs'!V79</f>
        <v>10696</v>
      </c>
      <c r="W114" s="559">
        <f>'Daily KPIs'!W79</f>
        <v>4542</v>
      </c>
      <c r="X114" s="559">
        <f>'Daily KPIs'!X79</f>
        <v>4634</v>
      </c>
      <c r="Y114" s="559">
        <f>'Daily KPIs'!Y79</f>
        <v>6456</v>
      </c>
      <c r="Z114" s="559">
        <f>'Daily KPIs'!Z79</f>
        <v>7927</v>
      </c>
      <c r="AA114" s="559">
        <f>'Daily KPIs'!AA79</f>
        <v>8652</v>
      </c>
      <c r="AB114" s="559">
        <f>'Daily KPIs'!AB79</f>
        <v>8051</v>
      </c>
      <c r="AC114" s="559">
        <f>'Daily KPIs'!AC79</f>
        <v>6960</v>
      </c>
      <c r="AD114" s="559">
        <f>'Daily KPIs'!AD79</f>
        <v>4648</v>
      </c>
      <c r="AE114" s="559">
        <f>'Daily KPIs'!AE79</f>
        <v>4825</v>
      </c>
      <c r="AF114" s="559">
        <f>'Daily KPIs'!AF79</f>
        <v>7462</v>
      </c>
      <c r="AG114" s="559"/>
      <c r="AH114" s="558">
        <f>'Daily KPIs'!AH79</f>
        <v>215918</v>
      </c>
    </row>
    <row r="115" spans="2:34" hidden="1" x14ac:dyDescent="0.35">
      <c r="C115" s="558">
        <f>'Daily KPIs'!C79</f>
        <v>4216</v>
      </c>
      <c r="M115" s="396"/>
    </row>
    <row r="116" spans="2:34" hidden="1" x14ac:dyDescent="0.35">
      <c r="M116" s="396"/>
    </row>
    <row r="117" spans="2:34" hidden="1" x14ac:dyDescent="0.35">
      <c r="M117" s="396"/>
    </row>
    <row r="118" spans="2:34" hidden="1" x14ac:dyDescent="0.35">
      <c r="M118" s="396"/>
    </row>
    <row r="119" spans="2:34" hidden="1" x14ac:dyDescent="0.35">
      <c r="M119" s="396"/>
    </row>
    <row r="120" spans="2:34" hidden="1" x14ac:dyDescent="0.35">
      <c r="M120" s="396"/>
    </row>
    <row r="121" spans="2:34" hidden="1" x14ac:dyDescent="0.35">
      <c r="H121" s="395" t="s">
        <v>224</v>
      </c>
      <c r="M121" s="396"/>
      <c r="R121" s="418"/>
    </row>
    <row r="122" spans="2:34" hidden="1" x14ac:dyDescent="0.35">
      <c r="M122" s="396"/>
      <c r="R122" s="418"/>
    </row>
    <row r="123" spans="2:34" hidden="1" x14ac:dyDescent="0.35">
      <c r="M123" s="396"/>
    </row>
    <row r="124" spans="2:34" hidden="1" x14ac:dyDescent="0.35">
      <c r="M124" s="396"/>
    </row>
    <row r="125" spans="2:34" hidden="1" x14ac:dyDescent="0.35">
      <c r="M125" s="396"/>
    </row>
    <row r="126" spans="2:34" hidden="1" x14ac:dyDescent="0.35">
      <c r="M126" s="396"/>
    </row>
    <row r="127" spans="2:34" hidden="1" x14ac:dyDescent="0.35">
      <c r="M127" s="396"/>
    </row>
    <row r="128" spans="2:34" hidden="1" x14ac:dyDescent="0.35">
      <c r="M128" s="396"/>
    </row>
    <row r="129" spans="13:13" hidden="1" x14ac:dyDescent="0.35">
      <c r="M129" s="396"/>
    </row>
    <row r="130" spans="13:13" hidden="1" x14ac:dyDescent="0.35">
      <c r="M130" s="396"/>
    </row>
    <row r="131" spans="13:13" hidden="1" x14ac:dyDescent="0.35">
      <c r="M131" s="396"/>
    </row>
    <row r="132" spans="13:13" hidden="1" x14ac:dyDescent="0.35">
      <c r="M132" s="396"/>
    </row>
    <row r="133" spans="13:13" hidden="1" x14ac:dyDescent="0.35">
      <c r="M133" s="396"/>
    </row>
    <row r="134" spans="13:13" hidden="1" x14ac:dyDescent="0.35">
      <c r="M134" s="396"/>
    </row>
    <row r="135" spans="13:13" hidden="1" x14ac:dyDescent="0.35">
      <c r="M135" s="396"/>
    </row>
    <row r="136" spans="13:13" x14ac:dyDescent="0.35">
      <c r="M136" s="396"/>
    </row>
    <row r="137" spans="13:13" x14ac:dyDescent="0.35">
      <c r="M137" s="396"/>
    </row>
    <row r="138" spans="13:13" x14ac:dyDescent="0.35">
      <c r="M138" s="396"/>
    </row>
    <row r="139" spans="13:13" x14ac:dyDescent="0.35">
      <c r="M139" s="396"/>
    </row>
    <row r="140" spans="13:13" x14ac:dyDescent="0.35">
      <c r="M140" s="396"/>
    </row>
    <row r="141" spans="13:13" x14ac:dyDescent="0.35">
      <c r="M141" s="396"/>
    </row>
    <row r="142" spans="13:13" x14ac:dyDescent="0.35">
      <c r="M142" s="396"/>
    </row>
    <row r="143" spans="13:13" x14ac:dyDescent="0.35">
      <c r="M143" s="396"/>
    </row>
    <row r="144" spans="13:13" x14ac:dyDescent="0.35">
      <c r="M144" s="396"/>
    </row>
    <row r="145" spans="13:13" x14ac:dyDescent="0.35">
      <c r="M145" s="396"/>
    </row>
    <row r="146" spans="13:13" x14ac:dyDescent="0.35">
      <c r="M146" s="396"/>
    </row>
    <row r="147" spans="13:13" x14ac:dyDescent="0.35">
      <c r="M147" s="396"/>
    </row>
    <row r="148" spans="13:13" x14ac:dyDescent="0.35">
      <c r="M148" s="396"/>
    </row>
    <row r="149" spans="13:13" x14ac:dyDescent="0.35">
      <c r="M149" s="396"/>
    </row>
    <row r="150" spans="13:13" x14ac:dyDescent="0.35">
      <c r="M150" s="396"/>
    </row>
    <row r="151" spans="13:13" x14ac:dyDescent="0.35">
      <c r="M151" s="396"/>
    </row>
    <row r="152" spans="13:13" x14ac:dyDescent="0.35">
      <c r="M152" s="396"/>
    </row>
    <row r="153" spans="13:13" x14ac:dyDescent="0.35">
      <c r="M153" s="396"/>
    </row>
    <row r="154" spans="13:13" x14ac:dyDescent="0.35">
      <c r="M154" s="396"/>
    </row>
    <row r="155" spans="13:13" x14ac:dyDescent="0.35">
      <c r="M155" s="396"/>
    </row>
    <row r="156" spans="13:13" x14ac:dyDescent="0.35">
      <c r="M156" s="396"/>
    </row>
    <row r="157" spans="13:13" x14ac:dyDescent="0.35">
      <c r="M157" s="396"/>
    </row>
    <row r="158" spans="13:13" x14ac:dyDescent="0.35">
      <c r="M158" s="396"/>
    </row>
    <row r="159" spans="13:13" x14ac:dyDescent="0.35">
      <c r="M159" s="396"/>
    </row>
    <row r="160" spans="13:13" x14ac:dyDescent="0.35">
      <c r="M160" s="396"/>
    </row>
    <row r="161" spans="13:13" x14ac:dyDescent="0.35">
      <c r="M161" s="396"/>
    </row>
    <row r="162" spans="13:13" x14ac:dyDescent="0.35">
      <c r="M162" s="396"/>
    </row>
    <row r="163" spans="13:13" x14ac:dyDescent="0.35">
      <c r="M163" s="396"/>
    </row>
    <row r="164" spans="13:13" x14ac:dyDescent="0.35">
      <c r="M164" s="396"/>
    </row>
    <row r="165" spans="13:13" x14ac:dyDescent="0.35">
      <c r="M165" s="396"/>
    </row>
    <row r="166" spans="13:13" x14ac:dyDescent="0.35">
      <c r="M166" s="396"/>
    </row>
    <row r="167" spans="13:13" x14ac:dyDescent="0.35">
      <c r="M167" s="396"/>
    </row>
    <row r="168" spans="13:13" x14ac:dyDescent="0.35">
      <c r="M168" s="396"/>
    </row>
    <row r="169" spans="13:13" x14ac:dyDescent="0.35">
      <c r="M169" s="396"/>
    </row>
    <row r="170" spans="13:13" x14ac:dyDescent="0.35">
      <c r="M170" s="396"/>
    </row>
    <row r="171" spans="13:13" x14ac:dyDescent="0.35">
      <c r="M171" s="396"/>
    </row>
    <row r="172" spans="13:13" x14ac:dyDescent="0.35">
      <c r="M172" s="396"/>
    </row>
  </sheetData>
  <mergeCells count="1">
    <mergeCell ref="AI6:AI7"/>
  </mergeCells>
  <phoneticPr fontId="33" type="noConversion"/>
  <conditionalFormatting sqref="B91:C91">
    <cfRule type="cellIs" dxfId="20" priority="78" operator="greaterThan">
      <formula>$AI$91</formula>
    </cfRule>
  </conditionalFormatting>
  <conditionalFormatting sqref="B22:AG22">
    <cfRule type="cellIs" dxfId="19" priority="52" operator="greaterThan">
      <formula>400</formula>
    </cfRule>
  </conditionalFormatting>
  <conditionalFormatting sqref="B44:AG44">
    <cfRule type="colorScale" priority="1094">
      <colorScale>
        <cfvo type="min"/>
        <cfvo type="max"/>
        <color theme="0"/>
        <color rgb="FFFF0000"/>
      </colorScale>
    </cfRule>
  </conditionalFormatting>
  <conditionalFormatting sqref="B90:AG90">
    <cfRule type="cellIs" dxfId="18" priority="48" operator="lessThan">
      <formula>4.5</formula>
    </cfRule>
    <cfRule type="cellIs" dxfId="17" priority="49" operator="greaterThan">
      <formula>4.5</formula>
    </cfRule>
  </conditionalFormatting>
  <conditionalFormatting sqref="B92:AG92">
    <cfRule type="cellIs" dxfId="16" priority="1125" operator="greaterThan">
      <formula>$AI$92</formula>
    </cfRule>
  </conditionalFormatting>
  <conditionalFormatting sqref="B94:AG94">
    <cfRule type="cellIs" dxfId="15" priority="1127" operator="greaterThan">
      <formula>$AI$94</formula>
    </cfRule>
  </conditionalFormatting>
  <conditionalFormatting sqref="B15:AH15 B54:AH54">
    <cfRule type="cellIs" dxfId="14" priority="74" operator="greaterThan">
      <formula>3.2</formula>
    </cfRule>
  </conditionalFormatting>
  <conditionalFormatting sqref="B56:AH56">
    <cfRule type="cellIs" dxfId="13" priority="12" operator="greaterThan">
      <formula>0.1</formula>
    </cfRule>
  </conditionalFormatting>
  <conditionalFormatting sqref="B57:AH57 B59:AH59 B61:AH61">
    <cfRule type="cellIs" dxfId="12" priority="13" operator="greaterThan">
      <formula>0.7</formula>
    </cfRule>
  </conditionalFormatting>
  <conditionalFormatting sqref="B58:AH58 B62:AH62">
    <cfRule type="cellIs" dxfId="11" priority="14" operator="greaterThan">
      <formula>1</formula>
    </cfRule>
  </conditionalFormatting>
  <conditionalFormatting sqref="B60:AH60">
    <cfRule type="cellIs" dxfId="10" priority="16" operator="greaterThan">
      <formula>2.1</formula>
    </cfRule>
  </conditionalFormatting>
  <conditionalFormatting sqref="B65:AH65">
    <cfRule type="cellIs" dxfId="9" priority="7" operator="greaterThan">
      <formula>0.3</formula>
    </cfRule>
  </conditionalFormatting>
  <conditionalFormatting sqref="B68:AH68">
    <cfRule type="cellIs" dxfId="8" priority="9" operator="greaterThan">
      <formula>9.6</formula>
    </cfRule>
  </conditionalFormatting>
  <conditionalFormatting sqref="B69:AH69">
    <cfRule type="cellIs" dxfId="7" priority="10" operator="greaterThan">
      <formula>2.9</formula>
    </cfRule>
  </conditionalFormatting>
  <conditionalFormatting sqref="B88:AH88 AH89:AH90 AH92:AH94">
    <cfRule type="cellIs" dxfId="6" priority="1119" operator="greaterThan">
      <formula>$AI$88</formula>
    </cfRule>
  </conditionalFormatting>
  <conditionalFormatting sqref="I63:AH63">
    <cfRule type="cellIs" dxfId="5" priority="19" operator="greaterThan">
      <formula>0.6</formula>
    </cfRule>
  </conditionalFormatting>
  <conditionalFormatting sqref="AC54:AG54">
    <cfRule type="cellIs" dxfId="4" priority="33" operator="greaterThan">
      <formula>$AI$54</formula>
    </cfRule>
  </conditionalFormatting>
  <conditionalFormatting sqref="AC55:AG61 AC63:AG63 B64:AG64">
    <cfRule type="cellIs" dxfId="3" priority="1086" operator="greaterThan">
      <formula>$AI59</formula>
    </cfRule>
  </conditionalFormatting>
  <conditionalFormatting sqref="AJ8">
    <cfRule type="cellIs" dxfId="2" priority="56" operator="greaterThan">
      <formula>0</formula>
    </cfRule>
    <cfRule type="cellIs" dxfId="1" priority="57" operator="lessThan">
      <formula>0</formula>
    </cfRule>
  </conditionalFormatting>
  <conditionalFormatting sqref="AK88:AK94">
    <cfRule type="cellIs" dxfId="0" priority="1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3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topLeftCell="A8" workbookViewId="0">
      <selection activeCell="N7" sqref="N7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94" t="s">
        <v>258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95"/>
      <c r="B4" s="96" t="s">
        <v>18</v>
      </c>
      <c r="C4" s="96" t="s">
        <v>81</v>
      </c>
      <c r="D4" s="97" t="s">
        <v>80</v>
      </c>
      <c r="E4" s="97" t="s">
        <v>78</v>
      </c>
      <c r="F4" s="97" t="s">
        <v>79</v>
      </c>
      <c r="G4" s="97" t="s">
        <v>79</v>
      </c>
      <c r="H4" s="96" t="s">
        <v>75</v>
      </c>
      <c r="I4" s="96" t="s">
        <v>75</v>
      </c>
      <c r="J4" s="96" t="s">
        <v>76</v>
      </c>
      <c r="K4" s="96" t="s">
        <v>76</v>
      </c>
      <c r="L4" s="96" t="s">
        <v>82</v>
      </c>
      <c r="M4" s="97" t="s">
        <v>77</v>
      </c>
      <c r="N4" s="97" t="s">
        <v>162</v>
      </c>
      <c r="O4" s="97" t="s">
        <v>53</v>
      </c>
      <c r="P4" s="97"/>
      <c r="Q4" s="97"/>
      <c r="R4" s="95"/>
    </row>
    <row r="5" spans="1:18" ht="15.75" x14ac:dyDescent="0.25">
      <c r="A5" s="98" t="s">
        <v>7</v>
      </c>
      <c r="B5" s="96" t="s">
        <v>121</v>
      </c>
      <c r="C5" s="96" t="s">
        <v>122</v>
      </c>
      <c r="D5" s="96" t="s">
        <v>123</v>
      </c>
      <c r="E5" s="96" t="s">
        <v>124</v>
      </c>
      <c r="F5" s="96" t="s">
        <v>124</v>
      </c>
      <c r="G5" s="96" t="s">
        <v>122</v>
      </c>
      <c r="H5" s="96" t="s">
        <v>125</v>
      </c>
      <c r="I5" s="96" t="s">
        <v>126</v>
      </c>
      <c r="J5" s="96" t="s">
        <v>125</v>
      </c>
      <c r="K5" s="96" t="s">
        <v>126</v>
      </c>
      <c r="L5" s="96" t="s">
        <v>126</v>
      </c>
      <c r="M5" s="96" t="s">
        <v>125</v>
      </c>
      <c r="N5" s="96" t="s">
        <v>125</v>
      </c>
      <c r="O5" s="96" t="s">
        <v>66</v>
      </c>
      <c r="P5" s="97" t="s">
        <v>54</v>
      </c>
      <c r="Q5" s="97" t="s">
        <v>48</v>
      </c>
      <c r="R5" s="99" t="s">
        <v>15</v>
      </c>
    </row>
    <row r="6" spans="1:18" ht="15.75" thickBot="1" x14ac:dyDescent="0.25">
      <c r="A6" s="82">
        <v>31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1" t="s">
        <v>67</v>
      </c>
    </row>
    <row r="7" spans="1:18" ht="15" x14ac:dyDescent="0.25">
      <c r="A7" s="73">
        <v>1</v>
      </c>
      <c r="B7" s="83">
        <f>'Entries March.''25'!O7</f>
        <v>170538</v>
      </c>
      <c r="C7" s="83">
        <f>B8-B7</f>
        <v>0</v>
      </c>
      <c r="D7" s="83">
        <f>C7-G7</f>
        <v>-196</v>
      </c>
      <c r="E7" s="84">
        <f>'Entries March.''25'!Y7</f>
        <v>29173</v>
      </c>
      <c r="F7" s="85">
        <f>'Entries March.''25'!V7</f>
        <v>1285230</v>
      </c>
      <c r="G7" s="85">
        <f>F8-F7</f>
        <v>196</v>
      </c>
      <c r="H7" s="85">
        <f>'Entries March.''25'!AA7</f>
        <v>97122</v>
      </c>
      <c r="I7" s="86">
        <f>H8-H7</f>
        <v>0</v>
      </c>
      <c r="J7" s="85">
        <f>'Entries March.''25'!V7</f>
        <v>1285230</v>
      </c>
      <c r="K7" s="86">
        <f>J8-J7</f>
        <v>-1285230</v>
      </c>
      <c r="L7" s="86">
        <f>K7+I7</f>
        <v>-1285230</v>
      </c>
      <c r="M7" s="85">
        <f>'Entries March.''25'!R7</f>
        <v>0</v>
      </c>
      <c r="N7" s="85">
        <f>'Entries March.''25'!AC8-'Entries March.''25'!AC7</f>
        <v>0</v>
      </c>
      <c r="O7" s="85">
        <f>C7+D7+G7</f>
        <v>0</v>
      </c>
      <c r="P7" s="87"/>
      <c r="Q7" s="72"/>
      <c r="R7" s="88" t="e">
        <f t="shared" ref="R7:R34" si="0">SUM(O7/Q7)</f>
        <v>#DIV/0!</v>
      </c>
    </row>
    <row r="8" spans="1:18" ht="15" x14ac:dyDescent="0.25">
      <c r="A8" s="73">
        <v>2</v>
      </c>
      <c r="B8" s="83">
        <f>'Entries March.''25'!O8</f>
        <v>170538</v>
      </c>
      <c r="C8" s="83">
        <f t="shared" ref="C8:C34" si="1">B9-B8</f>
        <v>0</v>
      </c>
      <c r="D8" s="83">
        <f t="shared" ref="D8:D35" si="2">C8-G8</f>
        <v>0</v>
      </c>
      <c r="E8" s="84">
        <f>'Entries March.''25'!W8</f>
        <v>0</v>
      </c>
      <c r="F8" s="85">
        <f>'Entries March.''25'!V8</f>
        <v>1285426</v>
      </c>
      <c r="G8" s="70">
        <f>F9-F8</f>
        <v>0</v>
      </c>
      <c r="H8" s="85">
        <f>'Entries March.''25'!AA8</f>
        <v>97122</v>
      </c>
      <c r="I8" s="86">
        <f t="shared" ref="I8:I34" si="3">H9-H8</f>
        <v>0</v>
      </c>
      <c r="J8" s="85">
        <f>'Entries March.''25'!T8</f>
        <v>0</v>
      </c>
      <c r="K8" s="86">
        <f t="shared" ref="K8:K34" si="4">J9-J8</f>
        <v>0</v>
      </c>
      <c r="L8" s="86">
        <f>K8+I8</f>
        <v>0</v>
      </c>
      <c r="M8" s="85">
        <f>'Entries March.''25'!R8</f>
        <v>0</v>
      </c>
      <c r="N8" s="85">
        <f>'Entries March.''25'!AC9-'Entries March.''25'!AC8</f>
        <v>0</v>
      </c>
      <c r="O8" s="85">
        <f t="shared" ref="O8:O34" si="5">C8+D8+G8</f>
        <v>0</v>
      </c>
      <c r="P8" s="90"/>
      <c r="Q8" s="69"/>
      <c r="R8" s="88" t="e">
        <f t="shared" si="0"/>
        <v>#DIV/0!</v>
      </c>
    </row>
    <row r="9" spans="1:18" ht="15" x14ac:dyDescent="0.25">
      <c r="A9" s="73">
        <v>3</v>
      </c>
      <c r="B9" s="83">
        <f>'Entries March.''25'!O9</f>
        <v>170538</v>
      </c>
      <c r="C9" s="83">
        <f t="shared" si="1"/>
        <v>379</v>
      </c>
      <c r="D9" s="83">
        <f t="shared" si="2"/>
        <v>367</v>
      </c>
      <c r="E9" s="84">
        <f>'Entries March.''25'!W9</f>
        <v>0</v>
      </c>
      <c r="F9" s="85">
        <f>'Entries March.''25'!V9</f>
        <v>1285426</v>
      </c>
      <c r="G9" s="85">
        <f>F10-F9</f>
        <v>12</v>
      </c>
      <c r="H9" s="85">
        <f>'Entries March.''25'!AA9</f>
        <v>97122</v>
      </c>
      <c r="I9" s="86">
        <f t="shared" si="3"/>
        <v>0</v>
      </c>
      <c r="J9" s="85">
        <f>'Entries March.''25'!T9</f>
        <v>0</v>
      </c>
      <c r="K9" s="86">
        <f t="shared" si="4"/>
        <v>0</v>
      </c>
      <c r="L9" s="86">
        <f t="shared" ref="L9:L34" si="6">K9+I9</f>
        <v>0</v>
      </c>
      <c r="M9" s="85">
        <f>'Entries March.''25'!R11</f>
        <v>0</v>
      </c>
      <c r="N9" s="85">
        <f>'Entries March.''25'!AC10-'Entries March.''25'!AC9</f>
        <v>2</v>
      </c>
      <c r="O9" s="85">
        <f t="shared" si="5"/>
        <v>758</v>
      </c>
      <c r="P9" s="90"/>
      <c r="Q9" s="69"/>
      <c r="R9" s="88" t="e">
        <f t="shared" si="0"/>
        <v>#DIV/0!</v>
      </c>
    </row>
    <row r="10" spans="1:18" ht="15" x14ac:dyDescent="0.25">
      <c r="A10" s="73">
        <v>4</v>
      </c>
      <c r="B10" s="83">
        <f>'Entries March.''25'!O10</f>
        <v>170917</v>
      </c>
      <c r="C10" s="83">
        <f t="shared" si="1"/>
        <v>442</v>
      </c>
      <c r="D10" s="83">
        <f t="shared" si="2"/>
        <v>441</v>
      </c>
      <c r="E10" s="84">
        <f>'Entries March.''25'!W10</f>
        <v>0</v>
      </c>
      <c r="F10" s="85">
        <f>'Entries March.''25'!V10</f>
        <v>1285438</v>
      </c>
      <c r="G10" s="70">
        <f t="shared" ref="G10:G34" si="7">F11-F10</f>
        <v>1</v>
      </c>
      <c r="H10" s="85">
        <f>'Entries March.''25'!AA10</f>
        <v>97122</v>
      </c>
      <c r="I10" s="86">
        <f t="shared" si="3"/>
        <v>0</v>
      </c>
      <c r="J10" s="85">
        <f>'Entries March.''25'!T10</f>
        <v>0</v>
      </c>
      <c r="K10" s="86">
        <f t="shared" si="4"/>
        <v>0</v>
      </c>
      <c r="L10" s="86">
        <f t="shared" si="6"/>
        <v>0</v>
      </c>
      <c r="M10" s="85">
        <f>'Entries March.''25'!R10</f>
        <v>0</v>
      </c>
      <c r="N10" s="85">
        <f>'Entries March.''25'!AC11-'Entries March.''25'!AC10</f>
        <v>22</v>
      </c>
      <c r="O10" s="85">
        <f t="shared" si="5"/>
        <v>884</v>
      </c>
      <c r="P10" s="90"/>
      <c r="Q10" s="69"/>
      <c r="R10" s="88" t="e">
        <f t="shared" si="0"/>
        <v>#DIV/0!</v>
      </c>
    </row>
    <row r="11" spans="1:18" ht="15" x14ac:dyDescent="0.25">
      <c r="A11" s="73">
        <v>5</v>
      </c>
      <c r="B11" s="83">
        <f>'Entries March.''25'!O11</f>
        <v>171359</v>
      </c>
      <c r="C11" s="83">
        <f t="shared" si="1"/>
        <v>436</v>
      </c>
      <c r="D11" s="83">
        <f t="shared" si="2"/>
        <v>436</v>
      </c>
      <c r="E11" s="84">
        <f>'Entries March.''25'!W11</f>
        <v>0</v>
      </c>
      <c r="F11" s="85">
        <f>'Entries March.''25'!V11</f>
        <v>1285439</v>
      </c>
      <c r="G11" s="85">
        <f t="shared" si="7"/>
        <v>0</v>
      </c>
      <c r="H11" s="85">
        <f>'Entries March.''25'!AA11</f>
        <v>97122</v>
      </c>
      <c r="I11" s="86">
        <f t="shared" si="3"/>
        <v>0</v>
      </c>
      <c r="J11" s="85">
        <f>'Entries March.''25'!T11</f>
        <v>0</v>
      </c>
      <c r="K11" s="86">
        <f t="shared" si="4"/>
        <v>0</v>
      </c>
      <c r="L11" s="86">
        <f t="shared" si="6"/>
        <v>0</v>
      </c>
      <c r="M11" s="85">
        <f>'Entries March.''25'!R11</f>
        <v>0</v>
      </c>
      <c r="N11" s="85">
        <f>'Entries March.''25'!AC12-'Entries March.''25'!AC11</f>
        <v>15</v>
      </c>
      <c r="O11" s="85">
        <f t="shared" si="5"/>
        <v>872</v>
      </c>
      <c r="P11" s="90"/>
      <c r="Q11" s="72"/>
      <c r="R11" s="88" t="e">
        <f t="shared" si="0"/>
        <v>#DIV/0!</v>
      </c>
    </row>
    <row r="12" spans="1:18" ht="15" x14ac:dyDescent="0.25">
      <c r="A12" s="73">
        <v>6</v>
      </c>
      <c r="B12" s="83">
        <f>'Entries March.''25'!O12</f>
        <v>171795</v>
      </c>
      <c r="C12" s="83">
        <f t="shared" si="1"/>
        <v>258</v>
      </c>
      <c r="D12" s="83">
        <f t="shared" si="2"/>
        <v>258</v>
      </c>
      <c r="E12" s="84">
        <f>'Entries March.''25'!W12</f>
        <v>0</v>
      </c>
      <c r="F12" s="85">
        <f>'Entries March.''25'!V12</f>
        <v>1285439</v>
      </c>
      <c r="G12" s="85">
        <f t="shared" si="7"/>
        <v>0</v>
      </c>
      <c r="H12" s="85">
        <f>'Entries March.''25'!AA12</f>
        <v>97122</v>
      </c>
      <c r="I12" s="86">
        <f t="shared" si="3"/>
        <v>0</v>
      </c>
      <c r="J12" s="85">
        <f>'Entries March.''25'!T12</f>
        <v>0</v>
      </c>
      <c r="K12" s="86">
        <f t="shared" si="4"/>
        <v>20644</v>
      </c>
      <c r="L12" s="86">
        <f t="shared" si="6"/>
        <v>20644</v>
      </c>
      <c r="M12" s="85">
        <f>'Entries March.''25'!R12</f>
        <v>0</v>
      </c>
      <c r="N12" s="85">
        <f>'Entries March.''25'!AC13-'Entries March.''25'!AC12</f>
        <v>23</v>
      </c>
      <c r="O12" s="85">
        <f t="shared" si="5"/>
        <v>516</v>
      </c>
      <c r="P12" s="90"/>
      <c r="Q12" s="72"/>
      <c r="R12" s="88" t="e">
        <f t="shared" si="0"/>
        <v>#DIV/0!</v>
      </c>
    </row>
    <row r="13" spans="1:18" ht="15" x14ac:dyDescent="0.25">
      <c r="A13" s="73">
        <v>7</v>
      </c>
      <c r="B13" s="83">
        <f>'Entries March.''25'!O13</f>
        <v>172053</v>
      </c>
      <c r="C13" s="83">
        <f t="shared" si="1"/>
        <v>241</v>
      </c>
      <c r="D13" s="83">
        <f t="shared" si="2"/>
        <v>111</v>
      </c>
      <c r="E13" s="84">
        <f>'Entries March.''25'!W13</f>
        <v>0</v>
      </c>
      <c r="F13" s="85">
        <f>'Entries March.''25'!V13</f>
        <v>1285439</v>
      </c>
      <c r="G13" s="85">
        <f t="shared" si="7"/>
        <v>130</v>
      </c>
      <c r="H13" s="85">
        <f>'Entries March.''25'!AA13</f>
        <v>97122</v>
      </c>
      <c r="I13" s="86">
        <f t="shared" si="3"/>
        <v>0</v>
      </c>
      <c r="J13" s="85">
        <f>'Entries March.''25'!U13</f>
        <v>20644</v>
      </c>
      <c r="K13" s="86">
        <f t="shared" si="4"/>
        <v>-20644</v>
      </c>
      <c r="L13" s="86">
        <f t="shared" si="6"/>
        <v>-20644</v>
      </c>
      <c r="M13" s="85">
        <f>'Entries March.''25'!R13</f>
        <v>0</v>
      </c>
      <c r="N13" s="85">
        <f>'Entries March.''25'!AC14-'Entries March.''25'!AC13</f>
        <v>13</v>
      </c>
      <c r="O13" s="85">
        <f t="shared" si="5"/>
        <v>482</v>
      </c>
      <c r="P13" s="90"/>
      <c r="Q13" s="72"/>
      <c r="R13" s="88" t="e">
        <f t="shared" si="0"/>
        <v>#DIV/0!</v>
      </c>
    </row>
    <row r="14" spans="1:18" ht="15" x14ac:dyDescent="0.25">
      <c r="A14" s="73">
        <v>8</v>
      </c>
      <c r="B14" s="83">
        <f>'Entries March.''25'!O14</f>
        <v>172294</v>
      </c>
      <c r="C14" s="83">
        <f t="shared" si="1"/>
        <v>142</v>
      </c>
      <c r="D14" s="83">
        <f t="shared" si="2"/>
        <v>60</v>
      </c>
      <c r="E14" s="84">
        <f>'Entries March.''25'!W14</f>
        <v>0</v>
      </c>
      <c r="F14" s="85">
        <f>'Entries March.''25'!V14</f>
        <v>1285569</v>
      </c>
      <c r="G14" s="85">
        <f>F15-F14</f>
        <v>82</v>
      </c>
      <c r="H14" s="85">
        <f>'Entries March.''25'!AA14</f>
        <v>97122</v>
      </c>
      <c r="I14" s="86">
        <f t="shared" si="3"/>
        <v>0</v>
      </c>
      <c r="J14" s="85">
        <f>'Entries March.''25'!T14</f>
        <v>0</v>
      </c>
      <c r="K14" s="86">
        <f t="shared" si="4"/>
        <v>0</v>
      </c>
      <c r="L14" s="86">
        <f t="shared" si="6"/>
        <v>0</v>
      </c>
      <c r="M14" s="85">
        <f>'Entries March.''25'!R14</f>
        <v>0</v>
      </c>
      <c r="N14" s="85">
        <f>'Entries March.''25'!AC15-'Entries March.''25'!AC14</f>
        <v>0</v>
      </c>
      <c r="O14" s="85">
        <f t="shared" si="5"/>
        <v>284</v>
      </c>
      <c r="P14" s="90"/>
      <c r="Q14" s="72"/>
      <c r="R14" s="88" t="e">
        <f t="shared" si="0"/>
        <v>#DIV/0!</v>
      </c>
    </row>
    <row r="15" spans="1:18" ht="15" x14ac:dyDescent="0.25">
      <c r="A15" s="73">
        <v>9</v>
      </c>
      <c r="B15" s="83">
        <f>'Entries March.''25'!O15</f>
        <v>172436</v>
      </c>
      <c r="C15" s="83">
        <f t="shared" si="1"/>
        <v>77</v>
      </c>
      <c r="D15" s="83">
        <f t="shared" si="2"/>
        <v>55</v>
      </c>
      <c r="E15" s="84">
        <f>'Entries March.''25'!W15</f>
        <v>0</v>
      </c>
      <c r="F15" s="85">
        <f>'Entries March.''25'!V15</f>
        <v>1285651</v>
      </c>
      <c r="G15" s="85">
        <f t="shared" si="7"/>
        <v>22</v>
      </c>
      <c r="H15" s="85">
        <f>'Entries March.''25'!AA15</f>
        <v>97122</v>
      </c>
      <c r="I15" s="86">
        <f t="shared" si="3"/>
        <v>0</v>
      </c>
      <c r="J15" s="85">
        <f>'Entries March.''25'!T15</f>
        <v>0</v>
      </c>
      <c r="K15" s="86">
        <f t="shared" si="4"/>
        <v>0</v>
      </c>
      <c r="L15" s="86">
        <f t="shared" si="6"/>
        <v>0</v>
      </c>
      <c r="M15" s="85">
        <f>'Entries March.''25'!R15</f>
        <v>0</v>
      </c>
      <c r="N15" s="85">
        <f>'Entries March.''25'!AC16-'Entries March.''25'!AC15</f>
        <v>0</v>
      </c>
      <c r="O15" s="85">
        <f t="shared" si="5"/>
        <v>154</v>
      </c>
      <c r="P15" s="90"/>
      <c r="Q15" s="72"/>
      <c r="R15" s="88" t="e">
        <f t="shared" si="0"/>
        <v>#DIV/0!</v>
      </c>
    </row>
    <row r="16" spans="1:18" ht="15" x14ac:dyDescent="0.25">
      <c r="A16" s="73">
        <v>10</v>
      </c>
      <c r="B16" s="83">
        <f>'Entries March.''25'!O16</f>
        <v>172513</v>
      </c>
      <c r="C16" s="83">
        <f t="shared" si="1"/>
        <v>65</v>
      </c>
      <c r="D16" s="83">
        <f t="shared" si="2"/>
        <v>-87</v>
      </c>
      <c r="E16" s="84">
        <f>'Entries March.''25'!W16</f>
        <v>0</v>
      </c>
      <c r="F16" s="85">
        <f>'Entries March.''25'!V16</f>
        <v>1285673</v>
      </c>
      <c r="G16" s="85">
        <f t="shared" si="7"/>
        <v>152</v>
      </c>
      <c r="H16" s="85">
        <f>'Entries March.''25'!AA16</f>
        <v>97122</v>
      </c>
      <c r="I16" s="86">
        <f t="shared" si="3"/>
        <v>0</v>
      </c>
      <c r="J16" s="85">
        <f>'Entries March.''25'!T16</f>
        <v>0</v>
      </c>
      <c r="K16" s="86">
        <f t="shared" si="4"/>
        <v>0</v>
      </c>
      <c r="L16" s="86">
        <f t="shared" si="6"/>
        <v>0</v>
      </c>
      <c r="M16" s="85">
        <f>'Entries March.''25'!R16</f>
        <v>0</v>
      </c>
      <c r="N16" s="85">
        <f>'Entries March.''25'!AC17-'Entries March.''25'!AC16</f>
        <v>14</v>
      </c>
      <c r="O16" s="85">
        <f t="shared" si="5"/>
        <v>130</v>
      </c>
      <c r="P16" s="90"/>
      <c r="Q16" s="72"/>
      <c r="R16" s="88" t="e">
        <f t="shared" si="0"/>
        <v>#DIV/0!</v>
      </c>
    </row>
    <row r="17" spans="1:18" ht="15" x14ac:dyDescent="0.25">
      <c r="A17" s="73">
        <v>11</v>
      </c>
      <c r="B17" s="83">
        <f>'Entries March.''25'!O17</f>
        <v>172578</v>
      </c>
      <c r="C17" s="83">
        <f t="shared" si="1"/>
        <v>248</v>
      </c>
      <c r="D17" s="83">
        <f t="shared" si="2"/>
        <v>248</v>
      </c>
      <c r="E17" s="84">
        <f>'Entries March.''25'!W17</f>
        <v>0</v>
      </c>
      <c r="F17" s="85">
        <f>'Entries March.''25'!V17</f>
        <v>1285825</v>
      </c>
      <c r="G17" s="85">
        <f t="shared" si="7"/>
        <v>0</v>
      </c>
      <c r="H17" s="85">
        <f>'Entries March.''25'!AA17</f>
        <v>97122</v>
      </c>
      <c r="I17" s="86">
        <f t="shared" si="3"/>
        <v>0</v>
      </c>
      <c r="J17" s="85">
        <f>'Entries March.''25'!T17</f>
        <v>0</v>
      </c>
      <c r="K17" s="86">
        <f t="shared" si="4"/>
        <v>0</v>
      </c>
      <c r="L17" s="86">
        <f t="shared" si="6"/>
        <v>0</v>
      </c>
      <c r="M17" s="85">
        <f>'Entries March.''25'!R17</f>
        <v>0</v>
      </c>
      <c r="N17" s="85">
        <f>'Entries March.''25'!AC18-'Entries March.''25'!AC17</f>
        <v>14</v>
      </c>
      <c r="O17" s="85">
        <f t="shared" si="5"/>
        <v>496</v>
      </c>
      <c r="P17" s="90"/>
      <c r="Q17" s="72"/>
      <c r="R17" s="88" t="e">
        <f t="shared" si="0"/>
        <v>#DIV/0!</v>
      </c>
    </row>
    <row r="18" spans="1:18" ht="15" x14ac:dyDescent="0.25">
      <c r="A18" s="73">
        <v>12</v>
      </c>
      <c r="B18" s="83">
        <f>'Entries March.''25'!O18</f>
        <v>172826</v>
      </c>
      <c r="C18" s="83">
        <f t="shared" si="1"/>
        <v>132</v>
      </c>
      <c r="D18" s="83">
        <f t="shared" si="2"/>
        <v>19</v>
      </c>
      <c r="E18" s="84">
        <f>'Entries March.''25'!W18</f>
        <v>0</v>
      </c>
      <c r="F18" s="85">
        <f>'Entries March.''25'!V18</f>
        <v>1285825</v>
      </c>
      <c r="G18" s="85">
        <f t="shared" si="7"/>
        <v>113</v>
      </c>
      <c r="H18" s="85">
        <f>'Entries March.''25'!AA18</f>
        <v>97122</v>
      </c>
      <c r="I18" s="86">
        <f t="shared" si="3"/>
        <v>0</v>
      </c>
      <c r="J18" s="85">
        <f>'Entries March.''25'!T18</f>
        <v>0</v>
      </c>
      <c r="K18" s="86">
        <f t="shared" si="4"/>
        <v>0</v>
      </c>
      <c r="L18" s="86">
        <f t="shared" si="6"/>
        <v>0</v>
      </c>
      <c r="M18" s="85">
        <f>'Entries March.''25'!R18</f>
        <v>0</v>
      </c>
      <c r="N18" s="85">
        <f>'Entries March.''25'!AC19-'Entries March.''25'!AC18</f>
        <v>8</v>
      </c>
      <c r="O18" s="85">
        <f t="shared" si="5"/>
        <v>264</v>
      </c>
      <c r="P18" s="90"/>
      <c r="Q18" s="72"/>
      <c r="R18" s="88" t="e">
        <f t="shared" si="0"/>
        <v>#DIV/0!</v>
      </c>
    </row>
    <row r="19" spans="1:18" ht="15" x14ac:dyDescent="0.25">
      <c r="A19" s="73">
        <v>13</v>
      </c>
      <c r="B19" s="83">
        <f>'Entries March.''25'!O19</f>
        <v>172958</v>
      </c>
      <c r="C19" s="83">
        <f t="shared" si="1"/>
        <v>5</v>
      </c>
      <c r="D19" s="83">
        <f t="shared" si="2"/>
        <v>5</v>
      </c>
      <c r="E19" s="84">
        <f>'Entries March.''25'!W19</f>
        <v>0</v>
      </c>
      <c r="F19" s="85">
        <f>'Entries March.''25'!V19</f>
        <v>1285938</v>
      </c>
      <c r="G19" s="85">
        <f t="shared" si="7"/>
        <v>0</v>
      </c>
      <c r="H19" s="85">
        <f>'Entries March.''25'!AA19</f>
        <v>97122</v>
      </c>
      <c r="I19" s="86">
        <f t="shared" si="3"/>
        <v>0</v>
      </c>
      <c r="J19" s="85">
        <f>'Entries March.''25'!T19</f>
        <v>0</v>
      </c>
      <c r="K19" s="86">
        <f>J20-J19</f>
        <v>0</v>
      </c>
      <c r="L19" s="86">
        <f t="shared" si="6"/>
        <v>0</v>
      </c>
      <c r="M19" s="85">
        <f>'Entries March.''25'!R19</f>
        <v>0</v>
      </c>
      <c r="N19" s="85">
        <f>'Entries March.''25'!AC20-'Entries March.''25'!AC19</f>
        <v>14</v>
      </c>
      <c r="O19" s="85">
        <f t="shared" si="5"/>
        <v>10</v>
      </c>
      <c r="P19" s="90"/>
      <c r="Q19" s="72"/>
      <c r="R19" s="88" t="e">
        <f t="shared" si="0"/>
        <v>#DIV/0!</v>
      </c>
    </row>
    <row r="20" spans="1:18" ht="15" x14ac:dyDescent="0.25">
      <c r="A20" s="73">
        <v>14</v>
      </c>
      <c r="B20" s="83">
        <f>'Entries March.''25'!O20</f>
        <v>172963</v>
      </c>
      <c r="C20" s="83">
        <f t="shared" si="1"/>
        <v>226</v>
      </c>
      <c r="D20" s="83">
        <f t="shared" si="2"/>
        <v>55</v>
      </c>
      <c r="E20" s="84">
        <f>'Entries March.''25'!W20</f>
        <v>0</v>
      </c>
      <c r="F20" s="85">
        <f>'Entries March.''25'!V20</f>
        <v>1285938</v>
      </c>
      <c r="G20" s="85">
        <f t="shared" si="7"/>
        <v>171</v>
      </c>
      <c r="H20" s="85">
        <f>'Entries March.''25'!AA20</f>
        <v>97122</v>
      </c>
      <c r="I20" s="86">
        <f t="shared" si="3"/>
        <v>0</v>
      </c>
      <c r="J20" s="85">
        <f>'Entries March.''25'!T20</f>
        <v>0</v>
      </c>
      <c r="K20" s="86">
        <f t="shared" si="4"/>
        <v>0</v>
      </c>
      <c r="L20" s="86">
        <f t="shared" si="6"/>
        <v>0</v>
      </c>
      <c r="M20" s="85">
        <f>'Entries March.''25'!R20</f>
        <v>0</v>
      </c>
      <c r="N20" s="85">
        <f>'Entries March.''25'!AC21-'Entries March.''25'!AC20</f>
        <v>11</v>
      </c>
      <c r="O20" s="85">
        <f t="shared" si="5"/>
        <v>452</v>
      </c>
      <c r="P20" s="90"/>
      <c r="Q20" s="72"/>
      <c r="R20" s="88" t="e">
        <f t="shared" si="0"/>
        <v>#DIV/0!</v>
      </c>
    </row>
    <row r="21" spans="1:18" ht="15" x14ac:dyDescent="0.25">
      <c r="A21" s="73">
        <v>15</v>
      </c>
      <c r="B21" s="83">
        <f>'Entries March.''25'!O21</f>
        <v>173189</v>
      </c>
      <c r="C21" s="83">
        <f t="shared" si="1"/>
        <v>36</v>
      </c>
      <c r="D21" s="83">
        <f t="shared" si="2"/>
        <v>-46</v>
      </c>
      <c r="E21" s="84">
        <f>'Entries March.''25'!W21</f>
        <v>0</v>
      </c>
      <c r="F21" s="85">
        <f>'Entries March.''25'!V21</f>
        <v>1286109</v>
      </c>
      <c r="G21" s="85">
        <f t="shared" si="7"/>
        <v>82</v>
      </c>
      <c r="H21" s="85">
        <f>'Entries March.''25'!AA21</f>
        <v>97122</v>
      </c>
      <c r="I21" s="86">
        <f t="shared" si="3"/>
        <v>0</v>
      </c>
      <c r="J21" s="85">
        <f>'Entries March.''25'!T21</f>
        <v>0</v>
      </c>
      <c r="K21" s="86">
        <f t="shared" si="4"/>
        <v>0</v>
      </c>
      <c r="L21" s="86">
        <f t="shared" si="6"/>
        <v>0</v>
      </c>
      <c r="M21" s="85">
        <f>'Entries March.''25'!R21</f>
        <v>0</v>
      </c>
      <c r="N21" s="85">
        <f>'Entries March.''25'!AC22-'Entries March.''25'!AC21</f>
        <v>0</v>
      </c>
      <c r="O21" s="85">
        <f t="shared" si="5"/>
        <v>72</v>
      </c>
      <c r="P21" s="90"/>
      <c r="Q21" s="72"/>
      <c r="R21" s="88" t="e">
        <f t="shared" si="0"/>
        <v>#DIV/0!</v>
      </c>
    </row>
    <row r="22" spans="1:18" ht="15" x14ac:dyDescent="0.25">
      <c r="A22" s="73">
        <v>16</v>
      </c>
      <c r="B22" s="83">
        <f>'Entries March.''25'!O22</f>
        <v>173225</v>
      </c>
      <c r="C22" s="83">
        <f t="shared" si="1"/>
        <v>2</v>
      </c>
      <c r="D22" s="83">
        <f t="shared" si="2"/>
        <v>-99</v>
      </c>
      <c r="E22" s="84">
        <f>'Entries March.''25'!W22</f>
        <v>0</v>
      </c>
      <c r="F22" s="85">
        <f>'Entries March.''25'!V22</f>
        <v>1286191</v>
      </c>
      <c r="G22" s="85">
        <f t="shared" si="7"/>
        <v>101</v>
      </c>
      <c r="H22" s="85">
        <f>'Entries March.''25'!AA22</f>
        <v>97122</v>
      </c>
      <c r="I22" s="86">
        <f t="shared" si="3"/>
        <v>0</v>
      </c>
      <c r="J22" s="85">
        <f>'Entries March.''25'!T22</f>
        <v>0</v>
      </c>
      <c r="K22" s="86">
        <f t="shared" si="4"/>
        <v>0</v>
      </c>
      <c r="L22" s="86">
        <f t="shared" si="6"/>
        <v>0</v>
      </c>
      <c r="M22" s="85">
        <f>'Entries March.''25'!R22</f>
        <v>0</v>
      </c>
      <c r="N22" s="85">
        <f>'Entries March.''25'!AC23-'Entries March.''25'!AC22</f>
        <v>0</v>
      </c>
      <c r="O22" s="85">
        <f t="shared" si="5"/>
        <v>4</v>
      </c>
      <c r="P22" s="90"/>
      <c r="Q22" s="72"/>
      <c r="R22" s="88" t="e">
        <f t="shared" si="0"/>
        <v>#DIV/0!</v>
      </c>
    </row>
    <row r="23" spans="1:18" ht="15" x14ac:dyDescent="0.25">
      <c r="A23" s="73">
        <v>17</v>
      </c>
      <c r="B23" s="83">
        <f>'Entries March.''25'!O23</f>
        <v>173227</v>
      </c>
      <c r="C23" s="83">
        <f t="shared" si="1"/>
        <v>105</v>
      </c>
      <c r="D23" s="83">
        <f t="shared" si="2"/>
        <v>-36</v>
      </c>
      <c r="E23" s="84">
        <f>'Entries March.''25'!W23</f>
        <v>0</v>
      </c>
      <c r="F23" s="85">
        <f>'Entries March.''25'!V23</f>
        <v>1286292</v>
      </c>
      <c r="G23" s="85">
        <f t="shared" si="7"/>
        <v>141</v>
      </c>
      <c r="H23" s="85">
        <f>'Entries March.''25'!AA23</f>
        <v>97122</v>
      </c>
      <c r="I23" s="86">
        <f t="shared" si="3"/>
        <v>0</v>
      </c>
      <c r="J23" s="85">
        <f>'Entries March.''25'!T23</f>
        <v>0</v>
      </c>
      <c r="K23" s="86">
        <f t="shared" si="4"/>
        <v>0</v>
      </c>
      <c r="L23" s="86">
        <f t="shared" si="6"/>
        <v>0</v>
      </c>
      <c r="M23" s="85">
        <f>'Entries March.''25'!R23</f>
        <v>0</v>
      </c>
      <c r="N23" s="85">
        <f>'Entries March.''25'!AC24-'Entries March.''25'!AC23</f>
        <v>21</v>
      </c>
      <c r="O23" s="85">
        <f t="shared" si="5"/>
        <v>210</v>
      </c>
      <c r="P23" s="90"/>
      <c r="Q23" s="72"/>
      <c r="R23" s="88" t="e">
        <f t="shared" si="0"/>
        <v>#DIV/0!</v>
      </c>
    </row>
    <row r="24" spans="1:18" ht="15" x14ac:dyDescent="0.25">
      <c r="A24" s="73">
        <v>18</v>
      </c>
      <c r="B24" s="83">
        <f>'Entries March.''25'!O24</f>
        <v>173332</v>
      </c>
      <c r="C24" s="83">
        <f t="shared" si="1"/>
        <v>252</v>
      </c>
      <c r="D24" s="83">
        <f t="shared" si="2"/>
        <v>222</v>
      </c>
      <c r="E24" s="84">
        <f>'Entries March.''25'!W24</f>
        <v>0</v>
      </c>
      <c r="F24" s="85">
        <f>'Entries March.''25'!V24</f>
        <v>1286433</v>
      </c>
      <c r="G24" s="85">
        <f t="shared" si="7"/>
        <v>30</v>
      </c>
      <c r="H24" s="85">
        <f>'Entries March.''25'!AA24</f>
        <v>97122</v>
      </c>
      <c r="I24" s="86">
        <f t="shared" si="3"/>
        <v>0</v>
      </c>
      <c r="J24" s="85">
        <f>'Entries March.''25'!T24</f>
        <v>0</v>
      </c>
      <c r="K24" s="86">
        <f t="shared" si="4"/>
        <v>0</v>
      </c>
      <c r="L24" s="86">
        <f t="shared" si="6"/>
        <v>0</v>
      </c>
      <c r="M24" s="85">
        <f>'Entries March.''25'!R24</f>
        <v>0</v>
      </c>
      <c r="N24" s="85">
        <f>'Entries March.''25'!AC25-'Entries March.''25'!AC24</f>
        <v>19</v>
      </c>
      <c r="O24" s="85">
        <f t="shared" si="5"/>
        <v>504</v>
      </c>
      <c r="P24" s="90"/>
      <c r="Q24" s="72"/>
      <c r="R24" s="88" t="e">
        <f t="shared" si="0"/>
        <v>#DIV/0!</v>
      </c>
    </row>
    <row r="25" spans="1:18" ht="15" x14ac:dyDescent="0.25">
      <c r="A25" s="73">
        <v>19</v>
      </c>
      <c r="B25" s="83">
        <f>'Entries March.''25'!O25</f>
        <v>173584</v>
      </c>
      <c r="C25" s="83">
        <f t="shared" si="1"/>
        <v>375</v>
      </c>
      <c r="D25" s="83">
        <f t="shared" si="2"/>
        <v>285</v>
      </c>
      <c r="E25" s="84">
        <f>'Entries March.''25'!W25</f>
        <v>0</v>
      </c>
      <c r="F25" s="85">
        <f>'Entries March.''25'!V25</f>
        <v>1286463</v>
      </c>
      <c r="G25" s="85">
        <f t="shared" si="7"/>
        <v>90</v>
      </c>
      <c r="H25" s="85">
        <f>'Entries March.''25'!AA25</f>
        <v>97122</v>
      </c>
      <c r="I25" s="86">
        <f t="shared" si="3"/>
        <v>0</v>
      </c>
      <c r="J25" s="85">
        <f>'Entries March.''25'!T25</f>
        <v>0</v>
      </c>
      <c r="K25" s="86">
        <f t="shared" si="4"/>
        <v>0</v>
      </c>
      <c r="L25" s="86">
        <f t="shared" si="6"/>
        <v>0</v>
      </c>
      <c r="M25" s="85">
        <f>'Entries March.''25'!R25</f>
        <v>0</v>
      </c>
      <c r="N25" s="85">
        <f>'Entries March.''25'!AC26-'Entries March.''25'!AC25</f>
        <v>24</v>
      </c>
      <c r="O25" s="85">
        <f t="shared" si="5"/>
        <v>750</v>
      </c>
      <c r="P25" s="90"/>
      <c r="Q25" s="72"/>
      <c r="R25" s="88" t="e">
        <f t="shared" si="0"/>
        <v>#DIV/0!</v>
      </c>
    </row>
    <row r="26" spans="1:18" ht="15" x14ac:dyDescent="0.25">
      <c r="A26" s="73">
        <v>20</v>
      </c>
      <c r="B26" s="83">
        <f>'Entries March.''25'!O26</f>
        <v>173959</v>
      </c>
      <c r="C26" s="83">
        <f t="shared" si="1"/>
        <v>63</v>
      </c>
      <c r="D26" s="83">
        <f t="shared" si="2"/>
        <v>-204</v>
      </c>
      <c r="E26" s="84">
        <f>'Entries March.''25'!W26</f>
        <v>0</v>
      </c>
      <c r="F26" s="85">
        <f>'Entries March.''25'!V26</f>
        <v>1286553</v>
      </c>
      <c r="G26" s="85">
        <f t="shared" si="7"/>
        <v>267</v>
      </c>
      <c r="H26" s="85">
        <f>'Entries March.''25'!AA26</f>
        <v>97122</v>
      </c>
      <c r="I26" s="86">
        <f t="shared" si="3"/>
        <v>0</v>
      </c>
      <c r="J26" s="85">
        <f>'Entries March.''25'!T26</f>
        <v>0</v>
      </c>
      <c r="K26" s="86">
        <f t="shared" si="4"/>
        <v>0</v>
      </c>
      <c r="L26" s="86">
        <f t="shared" si="6"/>
        <v>0</v>
      </c>
      <c r="M26" s="85">
        <f>'Entries March.''25'!R26</f>
        <v>0</v>
      </c>
      <c r="N26" s="85">
        <f>'Entries March.''25'!AC27-'Entries March.''25'!AC26</f>
        <v>23</v>
      </c>
      <c r="O26" s="85">
        <f t="shared" si="5"/>
        <v>126</v>
      </c>
      <c r="P26" s="90"/>
      <c r="Q26" s="72"/>
      <c r="R26" s="88" t="e">
        <f t="shared" si="0"/>
        <v>#DIV/0!</v>
      </c>
    </row>
    <row r="27" spans="1:18" ht="15" x14ac:dyDescent="0.25">
      <c r="A27" s="73">
        <v>21</v>
      </c>
      <c r="B27" s="83">
        <f>'Entries March.''25'!O27</f>
        <v>174022</v>
      </c>
      <c r="C27" s="83">
        <f t="shared" si="1"/>
        <v>36</v>
      </c>
      <c r="D27" s="83">
        <f t="shared" si="2"/>
        <v>-145</v>
      </c>
      <c r="E27" s="84">
        <f>'Entries March.''25'!W27</f>
        <v>0</v>
      </c>
      <c r="F27" s="85">
        <f>'Entries March.''25'!V27</f>
        <v>1286820</v>
      </c>
      <c r="G27" s="85">
        <f t="shared" si="7"/>
        <v>181</v>
      </c>
      <c r="H27" s="85">
        <f>'Entries March.''25'!AA27</f>
        <v>97122</v>
      </c>
      <c r="I27" s="86">
        <f t="shared" si="3"/>
        <v>0</v>
      </c>
      <c r="J27" s="85">
        <f>'Entries March.''25'!T27</f>
        <v>0</v>
      </c>
      <c r="K27" s="86">
        <f t="shared" si="4"/>
        <v>0</v>
      </c>
      <c r="L27" s="86">
        <f t="shared" si="6"/>
        <v>0</v>
      </c>
      <c r="M27" s="85">
        <f>'Entries March.''25'!R27</f>
        <v>0</v>
      </c>
      <c r="N27" s="85">
        <f>'Entries March.''25'!AC28-'Entries March.''25'!AC27</f>
        <v>5</v>
      </c>
      <c r="O27" s="85">
        <f t="shared" si="5"/>
        <v>72</v>
      </c>
      <c r="P27" s="90"/>
      <c r="Q27" s="72"/>
      <c r="R27" s="88" t="e">
        <f t="shared" si="0"/>
        <v>#DIV/0!</v>
      </c>
    </row>
    <row r="28" spans="1:18" ht="15" x14ac:dyDescent="0.25">
      <c r="A28" s="73">
        <v>22</v>
      </c>
      <c r="B28" s="83">
        <f>'Entries March.''25'!O28</f>
        <v>174058</v>
      </c>
      <c r="C28" s="83">
        <f t="shared" si="1"/>
        <v>0</v>
      </c>
      <c r="D28" s="83">
        <f t="shared" si="2"/>
        <v>0</v>
      </c>
      <c r="E28" s="84">
        <f>'Entries March.''25'!W28</f>
        <v>0</v>
      </c>
      <c r="F28" s="85">
        <f>'Entries March.''25'!V28</f>
        <v>1287001</v>
      </c>
      <c r="G28" s="85">
        <f t="shared" si="7"/>
        <v>0</v>
      </c>
      <c r="H28" s="85">
        <f>'Entries March.''25'!AA28</f>
        <v>97122</v>
      </c>
      <c r="I28" s="86">
        <f t="shared" si="3"/>
        <v>0</v>
      </c>
      <c r="J28" s="85">
        <f>'Entries March.''25'!T28</f>
        <v>0</v>
      </c>
      <c r="K28" s="86">
        <f t="shared" si="4"/>
        <v>0</v>
      </c>
      <c r="L28" s="86">
        <f t="shared" si="6"/>
        <v>0</v>
      </c>
      <c r="M28" s="85">
        <f>'Entries March.''25'!R28</f>
        <v>0</v>
      </c>
      <c r="N28" s="85">
        <f>'Entries March.''25'!AC29-'Entries March.''25'!AC28</f>
        <v>0</v>
      </c>
      <c r="O28" s="85">
        <f t="shared" si="5"/>
        <v>0</v>
      </c>
      <c r="P28" s="90"/>
      <c r="Q28" s="72"/>
      <c r="R28" s="88" t="e">
        <f t="shared" si="0"/>
        <v>#DIV/0!</v>
      </c>
    </row>
    <row r="29" spans="1:18" ht="15" x14ac:dyDescent="0.25">
      <c r="A29" s="73">
        <v>23</v>
      </c>
      <c r="B29" s="83">
        <f>'Entries March.''25'!O29</f>
        <v>174058</v>
      </c>
      <c r="C29" s="83">
        <f t="shared" si="1"/>
        <v>0</v>
      </c>
      <c r="D29" s="83">
        <f t="shared" si="2"/>
        <v>-141</v>
      </c>
      <c r="E29" s="84">
        <f>'Entries March.''25'!W29</f>
        <v>0</v>
      </c>
      <c r="F29" s="85">
        <f>'Entries March.''25'!V29</f>
        <v>1287001</v>
      </c>
      <c r="G29" s="85">
        <f t="shared" si="7"/>
        <v>141</v>
      </c>
      <c r="H29" s="85">
        <f>'Entries March.''25'!AA29</f>
        <v>97122</v>
      </c>
      <c r="I29" s="86">
        <f t="shared" si="3"/>
        <v>0</v>
      </c>
      <c r="J29" s="85">
        <f>'Entries March.''25'!T29</f>
        <v>0</v>
      </c>
      <c r="K29" s="86">
        <f t="shared" si="4"/>
        <v>0</v>
      </c>
      <c r="L29" s="86">
        <f t="shared" si="6"/>
        <v>0</v>
      </c>
      <c r="M29" s="85">
        <f>'Entries March.''25'!R29</f>
        <v>0</v>
      </c>
      <c r="N29" s="85">
        <f>'Entries March.''25'!AC30-'Entries March.''25'!AC29</f>
        <v>0</v>
      </c>
      <c r="O29" s="85">
        <f t="shared" si="5"/>
        <v>0</v>
      </c>
      <c r="P29" s="90"/>
      <c r="Q29" s="72"/>
      <c r="R29" s="88" t="e">
        <f t="shared" si="0"/>
        <v>#DIV/0!</v>
      </c>
    </row>
    <row r="30" spans="1:18" ht="15" x14ac:dyDescent="0.25">
      <c r="A30" s="73">
        <v>24</v>
      </c>
      <c r="B30" s="83">
        <f>'Entries March.''25'!O30</f>
        <v>174058</v>
      </c>
      <c r="C30" s="83">
        <f t="shared" si="1"/>
        <v>31</v>
      </c>
      <c r="D30" s="83">
        <f t="shared" si="2"/>
        <v>-189</v>
      </c>
      <c r="E30" s="84">
        <f>'Entries March.''25'!W30</f>
        <v>0</v>
      </c>
      <c r="F30" s="85">
        <f>'Entries March.''25'!V30</f>
        <v>1287142</v>
      </c>
      <c r="G30" s="85">
        <f t="shared" si="7"/>
        <v>220</v>
      </c>
      <c r="H30" s="85">
        <f>'Entries March.''25'!AA30</f>
        <v>97122</v>
      </c>
      <c r="I30" s="86">
        <f t="shared" si="3"/>
        <v>0</v>
      </c>
      <c r="J30" s="85">
        <f>'Entries March.''25'!T30</f>
        <v>0</v>
      </c>
      <c r="K30" s="86">
        <f t="shared" si="4"/>
        <v>0</v>
      </c>
      <c r="L30" s="86">
        <f t="shared" si="6"/>
        <v>0</v>
      </c>
      <c r="M30" s="85">
        <f>'Entries March.''25'!R30</f>
        <v>0</v>
      </c>
      <c r="N30" s="85">
        <f>'Entries March.''25'!AC31-'Entries March.''25'!AC30</f>
        <v>8</v>
      </c>
      <c r="O30" s="85">
        <f t="shared" si="5"/>
        <v>62</v>
      </c>
      <c r="P30" s="90"/>
      <c r="Q30" s="72"/>
      <c r="R30" s="88" t="e">
        <f t="shared" si="0"/>
        <v>#DIV/0!</v>
      </c>
    </row>
    <row r="31" spans="1:18" ht="15" x14ac:dyDescent="0.25">
      <c r="A31" s="73">
        <v>25</v>
      </c>
      <c r="B31" s="83">
        <f>'Entries March.''25'!O31</f>
        <v>174089</v>
      </c>
      <c r="C31" s="83">
        <f t="shared" si="1"/>
        <v>173</v>
      </c>
      <c r="D31" s="83">
        <f t="shared" si="2"/>
        <v>49</v>
      </c>
      <c r="E31" s="84">
        <f>'Entries March.''25'!W31</f>
        <v>0</v>
      </c>
      <c r="F31" s="85">
        <f>'Entries March.''25'!V31</f>
        <v>1287362</v>
      </c>
      <c r="G31" s="85">
        <f t="shared" si="7"/>
        <v>124</v>
      </c>
      <c r="H31" s="85">
        <f>'Entries March.''25'!AA31</f>
        <v>97122</v>
      </c>
      <c r="I31" s="86">
        <f t="shared" si="3"/>
        <v>0</v>
      </c>
      <c r="J31" s="85">
        <f>'Entries March.''25'!T31</f>
        <v>0</v>
      </c>
      <c r="K31" s="86">
        <f t="shared" si="4"/>
        <v>0</v>
      </c>
      <c r="L31" s="86">
        <f t="shared" si="6"/>
        <v>0</v>
      </c>
      <c r="M31" s="85">
        <f>'Entries March.''25'!R31</f>
        <v>0</v>
      </c>
      <c r="N31" s="85">
        <f>'Entries March.''25'!AC32-'Entries March.''25'!AC31</f>
        <v>25</v>
      </c>
      <c r="O31" s="85">
        <f t="shared" si="5"/>
        <v>346</v>
      </c>
      <c r="P31" s="90"/>
      <c r="Q31" s="72"/>
      <c r="R31" s="88" t="e">
        <f t="shared" si="0"/>
        <v>#DIV/0!</v>
      </c>
    </row>
    <row r="32" spans="1:18" ht="15" x14ac:dyDescent="0.25">
      <c r="A32" s="73">
        <v>26</v>
      </c>
      <c r="B32" s="83">
        <f>'Entries March.''25'!O32</f>
        <v>174262</v>
      </c>
      <c r="C32" s="83">
        <f t="shared" si="1"/>
        <v>460</v>
      </c>
      <c r="D32" s="83">
        <f t="shared" si="2"/>
        <v>295</v>
      </c>
      <c r="E32" s="84">
        <f>'Entries March.''25'!W32</f>
        <v>0</v>
      </c>
      <c r="F32" s="85">
        <f>'Entries March.''25'!V32</f>
        <v>1287486</v>
      </c>
      <c r="G32" s="85">
        <f t="shared" si="7"/>
        <v>165</v>
      </c>
      <c r="H32" s="85">
        <f>'Entries March.''25'!AA32</f>
        <v>97122</v>
      </c>
      <c r="I32" s="86">
        <f t="shared" si="3"/>
        <v>0</v>
      </c>
      <c r="J32" s="85">
        <f>'Entries March.''25'!T32</f>
        <v>0</v>
      </c>
      <c r="K32" s="86">
        <f t="shared" si="4"/>
        <v>0</v>
      </c>
      <c r="L32" s="86">
        <f t="shared" si="6"/>
        <v>0</v>
      </c>
      <c r="M32" s="85">
        <f>'Entries March.''25'!R32</f>
        <v>0</v>
      </c>
      <c r="N32" s="85">
        <f>'Entries March.''25'!AC33-'Entries March.''25'!AC32</f>
        <v>23</v>
      </c>
      <c r="O32" s="85">
        <f t="shared" si="5"/>
        <v>920</v>
      </c>
      <c r="P32" s="90"/>
      <c r="Q32" s="72"/>
      <c r="R32" s="88" t="e">
        <f t="shared" si="0"/>
        <v>#DIV/0!</v>
      </c>
    </row>
    <row r="33" spans="1:18" ht="15" x14ac:dyDescent="0.25">
      <c r="A33" s="73">
        <v>27</v>
      </c>
      <c r="B33" s="83">
        <f>'Entries March.''25'!O33</f>
        <v>174722</v>
      </c>
      <c r="C33" s="83">
        <f t="shared" si="1"/>
        <v>52</v>
      </c>
      <c r="D33" s="83">
        <f t="shared" si="2"/>
        <v>-242</v>
      </c>
      <c r="E33" s="84">
        <f>'Entries March.''25'!W33</f>
        <v>0</v>
      </c>
      <c r="F33" s="85">
        <f>'Entries March.''25'!V33</f>
        <v>1287651</v>
      </c>
      <c r="G33" s="85">
        <f t="shared" si="7"/>
        <v>294</v>
      </c>
      <c r="H33" s="85">
        <f>'Entries March.''25'!AA33</f>
        <v>97122</v>
      </c>
      <c r="I33" s="86">
        <f t="shared" si="3"/>
        <v>0</v>
      </c>
      <c r="J33" s="85">
        <f>'Entries March.''25'!T33</f>
        <v>0</v>
      </c>
      <c r="K33" s="86">
        <f t="shared" si="4"/>
        <v>0</v>
      </c>
      <c r="L33" s="86">
        <f t="shared" si="6"/>
        <v>0</v>
      </c>
      <c r="M33" s="85">
        <f>'Entries March.''25'!R33</f>
        <v>0</v>
      </c>
      <c r="N33" s="85">
        <f>'Entries March.''25'!AC34-'Entries March.''25'!AC33</f>
        <v>23</v>
      </c>
      <c r="O33" s="85">
        <f t="shared" si="5"/>
        <v>104</v>
      </c>
      <c r="P33" s="90"/>
      <c r="Q33" s="72"/>
      <c r="R33" s="88" t="e">
        <f t="shared" si="0"/>
        <v>#DIV/0!</v>
      </c>
    </row>
    <row r="34" spans="1:18" ht="15" x14ac:dyDescent="0.25">
      <c r="A34" s="73">
        <v>28</v>
      </c>
      <c r="B34" s="83">
        <f>'Entries March.''25'!O34</f>
        <v>174774</v>
      </c>
      <c r="C34" s="83">
        <f t="shared" si="1"/>
        <v>167</v>
      </c>
      <c r="D34" s="83">
        <f t="shared" si="2"/>
        <v>-130</v>
      </c>
      <c r="E34" s="84">
        <f>'Entries March.''25'!W34</f>
        <v>0</v>
      </c>
      <c r="F34" s="85">
        <f>'Entries March.''25'!V34</f>
        <v>1287945</v>
      </c>
      <c r="G34" s="85">
        <f t="shared" si="7"/>
        <v>297</v>
      </c>
      <c r="H34" s="85">
        <f>'Entries March.''25'!AA34</f>
        <v>97122</v>
      </c>
      <c r="I34" s="86">
        <f t="shared" si="3"/>
        <v>0</v>
      </c>
      <c r="J34" s="85">
        <f>'Entries March.''25'!T34</f>
        <v>0</v>
      </c>
      <c r="K34" s="86">
        <f t="shared" si="4"/>
        <v>0</v>
      </c>
      <c r="L34" s="86">
        <f t="shared" si="6"/>
        <v>0</v>
      </c>
      <c r="M34" s="85">
        <f>'Entries March.''25'!R34</f>
        <v>0</v>
      </c>
      <c r="N34" s="85">
        <f>'Entries March.''25'!AC35-'Entries March.''25'!AC34</f>
        <v>10</v>
      </c>
      <c r="O34" s="85">
        <f t="shared" si="5"/>
        <v>334</v>
      </c>
      <c r="P34" s="90"/>
      <c r="Q34" s="72"/>
      <c r="R34" s="88" t="e">
        <f t="shared" si="0"/>
        <v>#DIV/0!</v>
      </c>
    </row>
    <row r="35" spans="1:18" ht="15" x14ac:dyDescent="0.25">
      <c r="A35" s="73"/>
      <c r="B35" s="83">
        <f>'Entries March.''25'!O35</f>
        <v>174941</v>
      </c>
      <c r="C35" s="91"/>
      <c r="D35" s="83">
        <f t="shared" si="2"/>
        <v>0</v>
      </c>
      <c r="E35" s="84"/>
      <c r="F35" s="85">
        <f>'Entries March.''25'!V35</f>
        <v>1288242</v>
      </c>
      <c r="G35" s="85"/>
      <c r="H35" s="85">
        <f>'Entries March.''25'!AA35</f>
        <v>97122</v>
      </c>
      <c r="I35" s="86"/>
      <c r="J35" s="85"/>
      <c r="K35" s="86"/>
      <c r="L35" s="86"/>
      <c r="M35" s="85"/>
      <c r="N35" s="85"/>
      <c r="O35" s="85"/>
      <c r="P35" s="90"/>
      <c r="Q35" s="72"/>
      <c r="R35" s="88"/>
    </row>
    <row r="36" spans="1:18" ht="15" x14ac:dyDescent="0.25">
      <c r="A36" s="73"/>
      <c r="B36" s="83"/>
      <c r="C36" s="92"/>
      <c r="D36" s="89"/>
      <c r="E36" s="84"/>
      <c r="F36" s="85"/>
      <c r="G36" s="85"/>
      <c r="H36" s="85"/>
      <c r="I36" s="86"/>
      <c r="J36" s="85"/>
      <c r="K36" s="86"/>
      <c r="L36" s="86"/>
      <c r="M36" s="85"/>
      <c r="N36" s="85"/>
      <c r="O36" s="85"/>
      <c r="P36" s="90"/>
      <c r="Q36" s="72"/>
      <c r="R36" s="88"/>
    </row>
    <row r="37" spans="1:18" ht="15" x14ac:dyDescent="0.25">
      <c r="A37" s="73"/>
      <c r="B37" s="83"/>
      <c r="C37" s="91"/>
      <c r="D37" s="89"/>
      <c r="E37" s="84"/>
      <c r="F37" s="85"/>
      <c r="G37" s="85"/>
      <c r="H37" s="85"/>
      <c r="I37" s="86"/>
      <c r="J37" s="85"/>
      <c r="K37" s="86"/>
      <c r="L37" s="86"/>
      <c r="M37" s="85"/>
      <c r="N37" s="85"/>
      <c r="O37" s="85"/>
      <c r="P37" s="90"/>
      <c r="Q37" s="72"/>
      <c r="R37" s="88"/>
    </row>
    <row r="38" spans="1:18" ht="14.25" x14ac:dyDescent="0.2">
      <c r="A38" s="73" t="s">
        <v>19</v>
      </c>
      <c r="B38" s="93"/>
      <c r="C38" s="93">
        <f>SUM(C7:C34)</f>
        <v>4403</v>
      </c>
      <c r="D38" s="93">
        <f>SUM(D7:D34)</f>
        <v>1391</v>
      </c>
      <c r="E38" s="93"/>
      <c r="F38" s="93"/>
      <c r="G38" s="93">
        <f t="shared" ref="G38:R38" si="8">SUM(G7:G34)</f>
        <v>3012</v>
      </c>
      <c r="H38" s="93"/>
      <c r="I38" s="93">
        <f t="shared" si="8"/>
        <v>0</v>
      </c>
      <c r="J38" s="93">
        <f t="shared" si="8"/>
        <v>1305874</v>
      </c>
      <c r="K38" s="93">
        <f t="shared" si="8"/>
        <v>-1285230</v>
      </c>
      <c r="L38" s="93">
        <f t="shared" si="8"/>
        <v>-1285230</v>
      </c>
      <c r="M38" s="93">
        <f t="shared" si="8"/>
        <v>0</v>
      </c>
      <c r="N38" s="93">
        <f t="shared" si="8"/>
        <v>317</v>
      </c>
      <c r="O38" s="93">
        <f t="shared" si="8"/>
        <v>8806</v>
      </c>
      <c r="P38" s="93">
        <f t="shared" si="8"/>
        <v>0</v>
      </c>
      <c r="Q38" s="93">
        <f t="shared" si="8"/>
        <v>0</v>
      </c>
      <c r="R38" s="93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March.'25</vt:lpstr>
      <vt:lpstr>Utility Analysis March. 2025</vt:lpstr>
      <vt:lpstr>Steam Mass Flow </vt:lpstr>
      <vt:lpstr>CO2</vt:lpstr>
      <vt:lpstr>Fuel </vt:lpstr>
      <vt:lpstr>Water </vt:lpstr>
      <vt:lpstr>Elec.March'25</vt:lpstr>
      <vt:lpstr>PROD.FIG. </vt:lpstr>
      <vt:lpstr>Daily KPIs CO2</vt:lpstr>
      <vt:lpstr>Daily KPIs</vt:lpstr>
      <vt:lpstr>Water Analysis. '25</vt:lpstr>
      <vt:lpstr>Sheet1</vt:lpstr>
      <vt:lpstr>'Daily KPIs'!Print_Area</vt:lpstr>
      <vt:lpstr>'Entries March.''25'!Print_Area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Alexander Dominguez -Ramon</cp:lastModifiedBy>
  <cp:lastPrinted>2019-10-02T13:09:44Z</cp:lastPrinted>
  <dcterms:created xsi:type="dcterms:W3CDTF">2003-05-05T15:42:25Z</dcterms:created>
  <dcterms:modified xsi:type="dcterms:W3CDTF">2025-04-03T09:59:34Z</dcterms:modified>
</cp:coreProperties>
</file>