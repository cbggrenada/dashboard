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drawings/drawing1.xml" ContentType="application/vnd.openxmlformats-officedocument.drawing+xml"/>
  <Override PartName="/xl/comments20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6 Daily Process Report\"/>
    </mc:Choice>
  </mc:AlternateContent>
  <xr:revisionPtr revIDLastSave="0" documentId="13_ncr:1_{785C7CD2-7B10-4C44-B6AB-69C5A42E105A}" xr6:coauthVersionLast="47" xr6:coauthVersionMax="47" xr10:uidLastSave="{00000000-0000-0000-0000-000000000000}"/>
  <bookViews>
    <workbookView xWindow="-120" yWindow="-120" windowWidth="29040" windowHeight="15720" tabRatio="599" firstSheet="10" activeTab="18" xr2:uid="{1120807F-7390-4E10-A66F-84111922E872}"/>
  </bookViews>
  <sheets>
    <sheet name="Dec 18th" sheetId="658" state="hidden" r:id="rId1"/>
    <sheet name="Sept 1st" sheetId="1061" r:id="rId2"/>
    <sheet name="Sept 2nd" sheetId="1062" r:id="rId3"/>
    <sheet name="Sept 3rd" sheetId="1063" r:id="rId4"/>
    <sheet name="Sept 4th" sheetId="1064" r:id="rId5"/>
    <sheet name="Sept 7th" sheetId="1065" r:id="rId6"/>
    <sheet name="Sept 8th" sheetId="1066" r:id="rId7"/>
    <sheet name="Sept 9th" sheetId="1067" r:id="rId8"/>
    <sheet name="Sept 10th" sheetId="1068" r:id="rId9"/>
    <sheet name="Sept 11th " sheetId="1069" r:id="rId10"/>
    <sheet name="Sept 14th" sheetId="1070" r:id="rId11"/>
    <sheet name="Sept 15th" sheetId="1071" r:id="rId12"/>
    <sheet name="Sept 16th" sheetId="1072" r:id="rId13"/>
    <sheet name="Sept 17th " sheetId="1073" r:id="rId14"/>
    <sheet name="Sept 18th" sheetId="1074" r:id="rId15"/>
    <sheet name="Sept 21st" sheetId="1075" r:id="rId16"/>
    <sheet name="Sept 22nd" sheetId="1076" r:id="rId17"/>
    <sheet name="Sept 23rd " sheetId="1077" r:id="rId18"/>
    <sheet name="Sept 24th" sheetId="1078" r:id="rId19"/>
    <sheet name="MTD_Links" sheetId="18" r:id="rId20"/>
    <sheet name="YTD_Links" sheetId="19" r:id="rId21"/>
    <sheet name="KPIs" sheetId="20" state="hidden" r:id="rId22"/>
    <sheet name="Brewer Performance" sheetId="21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_xlnm.Print_Area" localSheetId="22">'Brewer Performance'!$B$2:$K$35</definedName>
    <definedName name="_xlnm.Print_Area" localSheetId="19">MTD_Links!$B$2:$K$65</definedName>
    <definedName name="_xlnm.Print_Area" localSheetId="20">YTD_Links!$B$2:$K$65</definedName>
    <definedName name="ProductList" localSheetId="22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5" i="1078" l="1"/>
  <c r="G62" i="1078"/>
  <c r="D62" i="1078"/>
  <c r="AX64" i="1078"/>
  <c r="AW64" i="1078"/>
  <c r="AV64" i="1078"/>
  <c r="AU64" i="1078"/>
  <c r="AT64" i="1078"/>
  <c r="AS64" i="1078"/>
  <c r="AR64" i="1078"/>
  <c r="AQ64" i="1078"/>
  <c r="AP64" i="1078"/>
  <c r="AO64" i="1078"/>
  <c r="AN64" i="1078"/>
  <c r="AM64" i="1078"/>
  <c r="AL64" i="1078"/>
  <c r="AK64" i="1078"/>
  <c r="AJ64" i="1078"/>
  <c r="AI64" i="1078"/>
  <c r="AH64" i="1078"/>
  <c r="AG64" i="1078"/>
  <c r="AF64" i="1078"/>
  <c r="AE64" i="1078"/>
  <c r="AD64" i="1078"/>
  <c r="AC64" i="1078"/>
  <c r="AB64" i="1078"/>
  <c r="K64" i="1078"/>
  <c r="G64" i="1078"/>
  <c r="D64" i="1078"/>
  <c r="B64" i="1078"/>
  <c r="AX63" i="1078"/>
  <c r="AW63" i="1078"/>
  <c r="AV63" i="1078"/>
  <c r="AU63" i="1078"/>
  <c r="AT63" i="1078"/>
  <c r="AS63" i="1078"/>
  <c r="AR63" i="1078"/>
  <c r="AQ63" i="1078"/>
  <c r="AP63" i="1078"/>
  <c r="AO63" i="1078"/>
  <c r="AN63" i="1078"/>
  <c r="AM63" i="1078"/>
  <c r="AL63" i="1078"/>
  <c r="AK63" i="1078"/>
  <c r="AJ63" i="1078"/>
  <c r="AI63" i="1078"/>
  <c r="AH63" i="1078"/>
  <c r="AG63" i="1078"/>
  <c r="AF63" i="1078"/>
  <c r="AE63" i="1078"/>
  <c r="AD63" i="1078"/>
  <c r="AC63" i="1078"/>
  <c r="AB63" i="1078"/>
  <c r="AX62" i="1078"/>
  <c r="AW62" i="1078"/>
  <c r="AV62" i="1078"/>
  <c r="AU62" i="1078"/>
  <c r="AT62" i="1078"/>
  <c r="AS62" i="1078"/>
  <c r="AR62" i="1078"/>
  <c r="AQ62" i="1078"/>
  <c r="AP62" i="1078"/>
  <c r="AO62" i="1078"/>
  <c r="AN62" i="1078"/>
  <c r="AM62" i="1078"/>
  <c r="AL62" i="1078"/>
  <c r="AK62" i="1078"/>
  <c r="AJ62" i="1078"/>
  <c r="AI62" i="1078"/>
  <c r="AH62" i="1078"/>
  <c r="AG62" i="1078"/>
  <c r="AF62" i="1078"/>
  <c r="AE62" i="1078"/>
  <c r="AD62" i="1078"/>
  <c r="AC62" i="1078"/>
  <c r="AB62" i="1078"/>
  <c r="L62" i="1078"/>
  <c r="C75" i="1078" s="1"/>
  <c r="B62" i="1078"/>
  <c r="K57" i="1078"/>
  <c r="L48" i="1078"/>
  <c r="M48" i="1078" s="1"/>
  <c r="Z44" i="1078"/>
  <c r="Y44" i="1078"/>
  <c r="X44" i="1078"/>
  <c r="W44" i="1078"/>
  <c r="V44" i="1078"/>
  <c r="U44" i="1078"/>
  <c r="T44" i="1078"/>
  <c r="S44" i="1078"/>
  <c r="R44" i="1078"/>
  <c r="Z43" i="1078"/>
  <c r="Y43" i="1078"/>
  <c r="X43" i="1078"/>
  <c r="W43" i="1078"/>
  <c r="V43" i="1078"/>
  <c r="U43" i="1078"/>
  <c r="T43" i="1078"/>
  <c r="S43" i="1078"/>
  <c r="R43" i="1078"/>
  <c r="Z42" i="1078"/>
  <c r="Y42" i="1078"/>
  <c r="X42" i="1078"/>
  <c r="W42" i="1078"/>
  <c r="V42" i="1078"/>
  <c r="U42" i="1078"/>
  <c r="T42" i="1078"/>
  <c r="S42" i="1078"/>
  <c r="R42" i="1078"/>
  <c r="Z41" i="1078"/>
  <c r="Y41" i="1078"/>
  <c r="X41" i="1078"/>
  <c r="W41" i="1078"/>
  <c r="V41" i="1078"/>
  <c r="U41" i="1078"/>
  <c r="T41" i="1078"/>
  <c r="S41" i="1078"/>
  <c r="R41" i="1078"/>
  <c r="Z40" i="1078"/>
  <c r="Y40" i="1078"/>
  <c r="X40" i="1078"/>
  <c r="W40" i="1078"/>
  <c r="V40" i="1078"/>
  <c r="U40" i="1078"/>
  <c r="T40" i="1078"/>
  <c r="S40" i="1078"/>
  <c r="R40" i="1078"/>
  <c r="Z39" i="1078"/>
  <c r="Y39" i="1078"/>
  <c r="X39" i="1078"/>
  <c r="W39" i="1078"/>
  <c r="V39" i="1078"/>
  <c r="U39" i="1078"/>
  <c r="T39" i="1078"/>
  <c r="S39" i="1078"/>
  <c r="R39" i="1078"/>
  <c r="M39" i="1078"/>
  <c r="Z38" i="1078"/>
  <c r="Y38" i="1078"/>
  <c r="X38" i="1078"/>
  <c r="W38" i="1078"/>
  <c r="V38" i="1078"/>
  <c r="U38" i="1078"/>
  <c r="T38" i="1078"/>
  <c r="S38" i="1078"/>
  <c r="R38" i="1078"/>
  <c r="M38" i="1078"/>
  <c r="L38" i="1078"/>
  <c r="K38" i="1078"/>
  <c r="Z37" i="1078"/>
  <c r="Y37" i="1078"/>
  <c r="X37" i="1078"/>
  <c r="W37" i="1078"/>
  <c r="V37" i="1078"/>
  <c r="U37" i="1078"/>
  <c r="T37" i="1078"/>
  <c r="S37" i="1078"/>
  <c r="R37" i="1078"/>
  <c r="Z36" i="1078"/>
  <c r="Y36" i="1078"/>
  <c r="X36" i="1078"/>
  <c r="W36" i="1078"/>
  <c r="V36" i="1078"/>
  <c r="U36" i="1078"/>
  <c r="T36" i="1078"/>
  <c r="S36" i="1078"/>
  <c r="R36" i="1078"/>
  <c r="M36" i="1078"/>
  <c r="Z35" i="1078"/>
  <c r="Y35" i="1078"/>
  <c r="X35" i="1078"/>
  <c r="W35" i="1078"/>
  <c r="V35" i="1078"/>
  <c r="U35" i="1078"/>
  <c r="T35" i="1078"/>
  <c r="S35" i="1078"/>
  <c r="R35" i="1078"/>
  <c r="M35" i="1078"/>
  <c r="L35" i="1078"/>
  <c r="K35" i="1078"/>
  <c r="Z34" i="1078"/>
  <c r="Y34" i="1078"/>
  <c r="X34" i="1078"/>
  <c r="W34" i="1078"/>
  <c r="V34" i="1078"/>
  <c r="U34" i="1078"/>
  <c r="T34" i="1078"/>
  <c r="S34" i="1078"/>
  <c r="R34" i="1078"/>
  <c r="M34" i="1078"/>
  <c r="L34" i="1078"/>
  <c r="K34" i="1078"/>
  <c r="Z33" i="1078"/>
  <c r="Y33" i="1078"/>
  <c r="X33" i="1078"/>
  <c r="W33" i="1078"/>
  <c r="V33" i="1078"/>
  <c r="U33" i="1078"/>
  <c r="T33" i="1078"/>
  <c r="S33" i="1078"/>
  <c r="R33" i="1078"/>
  <c r="M33" i="1078"/>
  <c r="L33" i="1078"/>
  <c r="K33" i="1078"/>
  <c r="Z32" i="1078"/>
  <c r="Y32" i="1078"/>
  <c r="X32" i="1078"/>
  <c r="W32" i="1078"/>
  <c r="V32" i="1078"/>
  <c r="U32" i="1078"/>
  <c r="T32" i="1078"/>
  <c r="S32" i="1078"/>
  <c r="R32" i="1078"/>
  <c r="Z31" i="1078"/>
  <c r="Y31" i="1078"/>
  <c r="X31" i="1078"/>
  <c r="W31" i="1078"/>
  <c r="V31" i="1078"/>
  <c r="U31" i="1078"/>
  <c r="T31" i="1078"/>
  <c r="S31" i="1078"/>
  <c r="R31" i="1078"/>
  <c r="Z30" i="1078"/>
  <c r="Y30" i="1078"/>
  <c r="X30" i="1078"/>
  <c r="W30" i="1078"/>
  <c r="V30" i="1078"/>
  <c r="U30" i="1078"/>
  <c r="T30" i="1078"/>
  <c r="S30" i="1078"/>
  <c r="R30" i="1078"/>
  <c r="Z29" i="1078"/>
  <c r="Y29" i="1078"/>
  <c r="X29" i="1078"/>
  <c r="W29" i="1078"/>
  <c r="V29" i="1078"/>
  <c r="U29" i="1078"/>
  <c r="T29" i="1078"/>
  <c r="S29" i="1078"/>
  <c r="R29" i="1078"/>
  <c r="Z28" i="1078"/>
  <c r="Y28" i="1078"/>
  <c r="X28" i="1078"/>
  <c r="W28" i="1078"/>
  <c r="V28" i="1078"/>
  <c r="U28" i="1078"/>
  <c r="T28" i="1078"/>
  <c r="S28" i="1078"/>
  <c r="R28" i="1078"/>
  <c r="Z27" i="1078"/>
  <c r="Y27" i="1078"/>
  <c r="X27" i="1078"/>
  <c r="W27" i="1078"/>
  <c r="V27" i="1078"/>
  <c r="U27" i="1078"/>
  <c r="T27" i="1078"/>
  <c r="S27" i="1078"/>
  <c r="R27" i="1078"/>
  <c r="Z26" i="1078"/>
  <c r="Y26" i="1078"/>
  <c r="X26" i="1078"/>
  <c r="W26" i="1078"/>
  <c r="V26" i="1078"/>
  <c r="U26" i="1078"/>
  <c r="T26" i="1078"/>
  <c r="S26" i="1078"/>
  <c r="R26" i="1078"/>
  <c r="Z25" i="1078"/>
  <c r="Y25" i="1078"/>
  <c r="X25" i="1078"/>
  <c r="W25" i="1078"/>
  <c r="V25" i="1078"/>
  <c r="U25" i="1078"/>
  <c r="T25" i="1078"/>
  <c r="S25" i="1078"/>
  <c r="R25" i="1078"/>
  <c r="Z24" i="1078"/>
  <c r="Y24" i="1078"/>
  <c r="X24" i="1078"/>
  <c r="W24" i="1078"/>
  <c r="V24" i="1078"/>
  <c r="U24" i="1078"/>
  <c r="T24" i="1078"/>
  <c r="S24" i="1078"/>
  <c r="R24" i="1078"/>
  <c r="Z17" i="1078"/>
  <c r="Y17" i="1078"/>
  <c r="X17" i="1078"/>
  <c r="W17" i="1078"/>
  <c r="V17" i="1078"/>
  <c r="U17" i="1078"/>
  <c r="T17" i="1078"/>
  <c r="S17" i="1078"/>
  <c r="R17" i="1078"/>
  <c r="O17" i="1078"/>
  <c r="N17" i="1078"/>
  <c r="M17" i="1078"/>
  <c r="L17" i="1078"/>
  <c r="K17" i="1078"/>
  <c r="J17" i="1078"/>
  <c r="I17" i="1078"/>
  <c r="G17" i="1078"/>
  <c r="F17" i="1078"/>
  <c r="E17" i="1078"/>
  <c r="D17" i="1078"/>
  <c r="C17" i="1078"/>
  <c r="Z16" i="1078"/>
  <c r="Y16" i="1078"/>
  <c r="X16" i="1078"/>
  <c r="W16" i="1078"/>
  <c r="V16" i="1078"/>
  <c r="U16" i="1078"/>
  <c r="T16" i="1078"/>
  <c r="S16" i="1078"/>
  <c r="R16" i="1078"/>
  <c r="O16" i="1078"/>
  <c r="N16" i="1078"/>
  <c r="M16" i="1078"/>
  <c r="L16" i="1078"/>
  <c r="K16" i="1078"/>
  <c r="J16" i="1078"/>
  <c r="I16" i="1078"/>
  <c r="G16" i="1078"/>
  <c r="F16" i="1078"/>
  <c r="E16" i="1078"/>
  <c r="D16" i="1078"/>
  <c r="C16" i="1078"/>
  <c r="Z15" i="1078"/>
  <c r="Y15" i="1078"/>
  <c r="X15" i="1078"/>
  <c r="W15" i="1078"/>
  <c r="V15" i="1078"/>
  <c r="U15" i="1078"/>
  <c r="T15" i="1078"/>
  <c r="S15" i="1078"/>
  <c r="R15" i="1078"/>
  <c r="O15" i="1078"/>
  <c r="N15" i="1078"/>
  <c r="M15" i="1078"/>
  <c r="L15" i="1078"/>
  <c r="K15" i="1078"/>
  <c r="J15" i="1078"/>
  <c r="I15" i="1078"/>
  <c r="G15" i="1078"/>
  <c r="F15" i="1078"/>
  <c r="E15" i="1078"/>
  <c r="D15" i="1078"/>
  <c r="C15" i="1078"/>
  <c r="Z14" i="1078"/>
  <c r="Y14" i="1078"/>
  <c r="X14" i="1078"/>
  <c r="W14" i="1078"/>
  <c r="V14" i="1078"/>
  <c r="U14" i="1078"/>
  <c r="T14" i="1078"/>
  <c r="S14" i="1078"/>
  <c r="R14" i="1078"/>
  <c r="O14" i="1078"/>
  <c r="N14" i="1078"/>
  <c r="M14" i="1078"/>
  <c r="L14" i="1078"/>
  <c r="K14" i="1078"/>
  <c r="J14" i="1078"/>
  <c r="I14" i="1078"/>
  <c r="G14" i="1078"/>
  <c r="F14" i="1078"/>
  <c r="E14" i="1078"/>
  <c r="D14" i="1078"/>
  <c r="C14" i="1078"/>
  <c r="Z13" i="1078"/>
  <c r="Y13" i="1078"/>
  <c r="X13" i="1078"/>
  <c r="W13" i="1078"/>
  <c r="V13" i="1078"/>
  <c r="U13" i="1078"/>
  <c r="T13" i="1078"/>
  <c r="S13" i="1078"/>
  <c r="R13" i="1078"/>
  <c r="O13" i="1078"/>
  <c r="N13" i="1078"/>
  <c r="M13" i="1078"/>
  <c r="L13" i="1078"/>
  <c r="K13" i="1078"/>
  <c r="J13" i="1078"/>
  <c r="I13" i="1078"/>
  <c r="G13" i="1078"/>
  <c r="F13" i="1078"/>
  <c r="E13" i="1078"/>
  <c r="D13" i="1078"/>
  <c r="C13" i="1078"/>
  <c r="Z12" i="1078"/>
  <c r="Y12" i="1078"/>
  <c r="X12" i="1078"/>
  <c r="W12" i="1078"/>
  <c r="V12" i="1078"/>
  <c r="U12" i="1078"/>
  <c r="T12" i="1078"/>
  <c r="S12" i="1078"/>
  <c r="R12" i="1078"/>
  <c r="O12" i="1078"/>
  <c r="N12" i="1078"/>
  <c r="M12" i="1078"/>
  <c r="L12" i="1078"/>
  <c r="K12" i="1078"/>
  <c r="J12" i="1078"/>
  <c r="I12" i="1078"/>
  <c r="G12" i="1078"/>
  <c r="F12" i="1078"/>
  <c r="E12" i="1078"/>
  <c r="D12" i="1078"/>
  <c r="C12" i="1078"/>
  <c r="Z11" i="1078"/>
  <c r="Y11" i="1078"/>
  <c r="X11" i="1078"/>
  <c r="W11" i="1078"/>
  <c r="V11" i="1078"/>
  <c r="U11" i="1078"/>
  <c r="T11" i="1078"/>
  <c r="S11" i="1078"/>
  <c r="R11" i="1078"/>
  <c r="O11" i="1078"/>
  <c r="N11" i="1078"/>
  <c r="M11" i="1078"/>
  <c r="L11" i="1078"/>
  <c r="K11" i="1078"/>
  <c r="J11" i="1078"/>
  <c r="I11" i="1078"/>
  <c r="G11" i="1078"/>
  <c r="F11" i="1078"/>
  <c r="E11" i="1078"/>
  <c r="D11" i="1078"/>
  <c r="C11" i="1078"/>
  <c r="Z10" i="1078"/>
  <c r="Y10" i="1078"/>
  <c r="X10" i="1078"/>
  <c r="W10" i="1078"/>
  <c r="V10" i="1078"/>
  <c r="U10" i="1078"/>
  <c r="T10" i="1078"/>
  <c r="S10" i="1078"/>
  <c r="R10" i="1078"/>
  <c r="O10" i="1078"/>
  <c r="N10" i="1078"/>
  <c r="M10" i="1078"/>
  <c r="L10" i="1078"/>
  <c r="K10" i="1078"/>
  <c r="J10" i="1078"/>
  <c r="I10" i="1078"/>
  <c r="G10" i="1078"/>
  <c r="F10" i="1078"/>
  <c r="E10" i="1078"/>
  <c r="D10" i="1078"/>
  <c r="C10" i="1078"/>
  <c r="K69" i="1077"/>
  <c r="K56" i="1077"/>
  <c r="G56" i="1077"/>
  <c r="D56" i="1077"/>
  <c r="L64" i="1078" l="1"/>
  <c r="J33" i="1078"/>
  <c r="K43" i="1078"/>
  <c r="L43" i="1078"/>
  <c r="M43" i="1078" s="1"/>
  <c r="L42" i="1077"/>
  <c r="M27" i="1077"/>
  <c r="L27" i="1077"/>
  <c r="K27" i="1077"/>
  <c r="R10" i="1077"/>
  <c r="S10" i="1077"/>
  <c r="T10" i="1077"/>
  <c r="U10" i="1077"/>
  <c r="V10" i="1077"/>
  <c r="W10" i="1077"/>
  <c r="X10" i="1077"/>
  <c r="Y10" i="1077"/>
  <c r="Z10" i="1077"/>
  <c r="R11" i="1077"/>
  <c r="S11" i="1077"/>
  <c r="T11" i="1077"/>
  <c r="U11" i="1077"/>
  <c r="V11" i="1077"/>
  <c r="W11" i="1077"/>
  <c r="X11" i="1077"/>
  <c r="Y11" i="1077"/>
  <c r="Z11" i="1077"/>
  <c r="R12" i="1077"/>
  <c r="S12" i="1077"/>
  <c r="T12" i="1077"/>
  <c r="U12" i="1077"/>
  <c r="V12" i="1077"/>
  <c r="W12" i="1077"/>
  <c r="X12" i="1077"/>
  <c r="Y12" i="1077"/>
  <c r="Z12" i="1077"/>
  <c r="R13" i="1077"/>
  <c r="S13" i="1077"/>
  <c r="T13" i="1077"/>
  <c r="U13" i="1077"/>
  <c r="V13" i="1077"/>
  <c r="W13" i="1077"/>
  <c r="X13" i="1077"/>
  <c r="Y13" i="1077"/>
  <c r="Z13" i="1077"/>
  <c r="R14" i="1077"/>
  <c r="S14" i="1077"/>
  <c r="T14" i="1077"/>
  <c r="U14" i="1077"/>
  <c r="V14" i="1077"/>
  <c r="W14" i="1077"/>
  <c r="X14" i="1077"/>
  <c r="Y14" i="1077"/>
  <c r="Z14" i="1077"/>
  <c r="R15" i="1077"/>
  <c r="S15" i="1077"/>
  <c r="T15" i="1077"/>
  <c r="U15" i="1077"/>
  <c r="V15" i="1077"/>
  <c r="W15" i="1077"/>
  <c r="X15" i="1077"/>
  <c r="Y15" i="1077"/>
  <c r="Z15" i="1077"/>
  <c r="R16" i="1077"/>
  <c r="S16" i="1077"/>
  <c r="T16" i="1077"/>
  <c r="U16" i="1077"/>
  <c r="V16" i="1077"/>
  <c r="W16" i="1077"/>
  <c r="X16" i="1077"/>
  <c r="Y16" i="1077"/>
  <c r="Z16" i="1077"/>
  <c r="R17" i="1077"/>
  <c r="S17" i="1077"/>
  <c r="T17" i="1077"/>
  <c r="U17" i="1077"/>
  <c r="V17" i="1077"/>
  <c r="W17" i="1077"/>
  <c r="X17" i="1077"/>
  <c r="Y17" i="1077"/>
  <c r="Z17" i="1077"/>
  <c r="R18" i="1077"/>
  <c r="S18" i="1077"/>
  <c r="T18" i="1077"/>
  <c r="U18" i="1077"/>
  <c r="V18" i="1077"/>
  <c r="W18" i="1077"/>
  <c r="X18" i="1077"/>
  <c r="Y18" i="1077"/>
  <c r="Z18" i="1077"/>
  <c r="R19" i="1077"/>
  <c r="S19" i="1077"/>
  <c r="T19" i="1077"/>
  <c r="U19" i="1077"/>
  <c r="V19" i="1077"/>
  <c r="W19" i="1077"/>
  <c r="X19" i="1077"/>
  <c r="Y19" i="1077"/>
  <c r="Z19" i="1077"/>
  <c r="I10" i="1077"/>
  <c r="J27" i="1077" s="1"/>
  <c r="J10" i="1077"/>
  <c r="K10" i="1077"/>
  <c r="L10" i="1077"/>
  <c r="M10" i="1077"/>
  <c r="N10" i="1077"/>
  <c r="O10" i="1077"/>
  <c r="I11" i="1077"/>
  <c r="J11" i="1077"/>
  <c r="K11" i="1077"/>
  <c r="L11" i="1077"/>
  <c r="M11" i="1077"/>
  <c r="N11" i="1077"/>
  <c r="O11" i="1077"/>
  <c r="I12" i="1077"/>
  <c r="J12" i="1077"/>
  <c r="K12" i="1077"/>
  <c r="L12" i="1077"/>
  <c r="M12" i="1077"/>
  <c r="N12" i="1077"/>
  <c r="O12" i="1077"/>
  <c r="I13" i="1077"/>
  <c r="J13" i="1077"/>
  <c r="K13" i="1077"/>
  <c r="L13" i="1077"/>
  <c r="M13" i="1077"/>
  <c r="N13" i="1077"/>
  <c r="O13" i="1077"/>
  <c r="I14" i="1077"/>
  <c r="J14" i="1077"/>
  <c r="K14" i="1077"/>
  <c r="L14" i="1077"/>
  <c r="M14" i="1077"/>
  <c r="N14" i="1077"/>
  <c r="O14" i="1077"/>
  <c r="I15" i="1077"/>
  <c r="J15" i="1077"/>
  <c r="K15" i="1077"/>
  <c r="L15" i="1077"/>
  <c r="M15" i="1077"/>
  <c r="N15" i="1077"/>
  <c r="O15" i="1077"/>
  <c r="I16" i="1077"/>
  <c r="J16" i="1077"/>
  <c r="K16" i="1077"/>
  <c r="L16" i="1077"/>
  <c r="M16" i="1077"/>
  <c r="N16" i="1077"/>
  <c r="O16" i="1077"/>
  <c r="I17" i="1077"/>
  <c r="J17" i="1077"/>
  <c r="K17" i="1077"/>
  <c r="L17" i="1077"/>
  <c r="M17" i="1077"/>
  <c r="N17" i="1077"/>
  <c r="O17" i="1077"/>
  <c r="C10" i="1077"/>
  <c r="D10" i="1077"/>
  <c r="E10" i="1077"/>
  <c r="F10" i="1077"/>
  <c r="G10" i="1077"/>
  <c r="C11" i="1077"/>
  <c r="D11" i="1077"/>
  <c r="E11" i="1077"/>
  <c r="F11" i="1077"/>
  <c r="G11" i="1077"/>
  <c r="C12" i="1077"/>
  <c r="D12" i="1077"/>
  <c r="E12" i="1077"/>
  <c r="F12" i="1077"/>
  <c r="G12" i="1077"/>
  <c r="C13" i="1077"/>
  <c r="D13" i="1077"/>
  <c r="E13" i="1077"/>
  <c r="F13" i="1077"/>
  <c r="G13" i="1077"/>
  <c r="C14" i="1077"/>
  <c r="D14" i="1077"/>
  <c r="E14" i="1077"/>
  <c r="F14" i="1077"/>
  <c r="G14" i="1077"/>
  <c r="C15" i="1077"/>
  <c r="D15" i="1077"/>
  <c r="E15" i="1077"/>
  <c r="F15" i="1077"/>
  <c r="G15" i="1077"/>
  <c r="C16" i="1077"/>
  <c r="D16" i="1077"/>
  <c r="E16" i="1077"/>
  <c r="F16" i="1077"/>
  <c r="G16" i="1077"/>
  <c r="C17" i="1077"/>
  <c r="D17" i="1077"/>
  <c r="E17" i="1077"/>
  <c r="F17" i="1077"/>
  <c r="G17" i="1077"/>
  <c r="AX58" i="1077" l="1"/>
  <c r="AW58" i="1077"/>
  <c r="AV58" i="1077"/>
  <c r="AU58" i="1077"/>
  <c r="AT58" i="1077"/>
  <c r="AS58" i="1077"/>
  <c r="AR58" i="1077"/>
  <c r="AQ58" i="1077"/>
  <c r="AP58" i="1077"/>
  <c r="AO58" i="1077"/>
  <c r="AN58" i="1077"/>
  <c r="AM58" i="1077"/>
  <c r="AL58" i="1077"/>
  <c r="AK58" i="1077"/>
  <c r="AJ58" i="1077"/>
  <c r="AI58" i="1077"/>
  <c r="AH58" i="1077"/>
  <c r="AG58" i="1077"/>
  <c r="AF58" i="1077"/>
  <c r="AE58" i="1077"/>
  <c r="AD58" i="1077"/>
  <c r="AC58" i="1077"/>
  <c r="AB58" i="1077"/>
  <c r="K58" i="1077"/>
  <c r="G58" i="1077"/>
  <c r="B58" i="1077"/>
  <c r="AX57" i="1077"/>
  <c r="AW57" i="1077"/>
  <c r="AV57" i="1077"/>
  <c r="AU57" i="1077"/>
  <c r="AT57" i="1077"/>
  <c r="AS57" i="1077"/>
  <c r="AR57" i="1077"/>
  <c r="AQ57" i="1077"/>
  <c r="AP57" i="1077"/>
  <c r="AO57" i="1077"/>
  <c r="AN57" i="1077"/>
  <c r="AM57" i="1077"/>
  <c r="AL57" i="1077"/>
  <c r="AK57" i="1077"/>
  <c r="AJ57" i="1077"/>
  <c r="AI57" i="1077"/>
  <c r="AH57" i="1077"/>
  <c r="AG57" i="1077"/>
  <c r="AF57" i="1077"/>
  <c r="AE57" i="1077"/>
  <c r="AD57" i="1077"/>
  <c r="AC57" i="1077"/>
  <c r="AB57" i="1077"/>
  <c r="AX56" i="1077"/>
  <c r="AW56" i="1077"/>
  <c r="AV56" i="1077"/>
  <c r="AU56" i="1077"/>
  <c r="AT56" i="1077"/>
  <c r="AS56" i="1077"/>
  <c r="AR56" i="1077"/>
  <c r="AQ56" i="1077"/>
  <c r="AP56" i="1077"/>
  <c r="AO56" i="1077"/>
  <c r="AN56" i="1077"/>
  <c r="AM56" i="1077"/>
  <c r="AL56" i="1077"/>
  <c r="AK56" i="1077"/>
  <c r="AJ56" i="1077"/>
  <c r="AI56" i="1077"/>
  <c r="AH56" i="1077"/>
  <c r="AG56" i="1077"/>
  <c r="AF56" i="1077"/>
  <c r="AE56" i="1077"/>
  <c r="AD56" i="1077"/>
  <c r="AC56" i="1077"/>
  <c r="AB56" i="1077"/>
  <c r="B56" i="1077"/>
  <c r="K51" i="1077"/>
  <c r="M42" i="1077" s="1"/>
  <c r="Z38" i="1077"/>
  <c r="Y38" i="1077"/>
  <c r="X38" i="1077"/>
  <c r="W38" i="1077"/>
  <c r="V38" i="1077"/>
  <c r="U38" i="1077"/>
  <c r="T38" i="1077"/>
  <c r="S38" i="1077"/>
  <c r="R38" i="1077"/>
  <c r="Z37" i="1077"/>
  <c r="Y37" i="1077"/>
  <c r="X37" i="1077"/>
  <c r="W37" i="1077"/>
  <c r="V37" i="1077"/>
  <c r="U37" i="1077"/>
  <c r="T37" i="1077"/>
  <c r="S37" i="1077"/>
  <c r="R37" i="1077"/>
  <c r="Z36" i="1077"/>
  <c r="Y36" i="1077"/>
  <c r="X36" i="1077"/>
  <c r="W36" i="1077"/>
  <c r="V36" i="1077"/>
  <c r="U36" i="1077"/>
  <c r="T36" i="1077"/>
  <c r="S36" i="1077"/>
  <c r="R36" i="1077"/>
  <c r="Z35" i="1077"/>
  <c r="Y35" i="1077"/>
  <c r="X35" i="1077"/>
  <c r="W35" i="1077"/>
  <c r="V35" i="1077"/>
  <c r="U35" i="1077"/>
  <c r="T35" i="1077"/>
  <c r="S35" i="1077"/>
  <c r="R35" i="1077"/>
  <c r="Z34" i="1077"/>
  <c r="Y34" i="1077"/>
  <c r="X34" i="1077"/>
  <c r="W34" i="1077"/>
  <c r="V34" i="1077"/>
  <c r="U34" i="1077"/>
  <c r="T34" i="1077"/>
  <c r="S34" i="1077"/>
  <c r="R34" i="1077"/>
  <c r="Z33" i="1077"/>
  <c r="Y33" i="1077"/>
  <c r="X33" i="1077"/>
  <c r="W33" i="1077"/>
  <c r="V33" i="1077"/>
  <c r="U33" i="1077"/>
  <c r="T33" i="1077"/>
  <c r="S33" i="1077"/>
  <c r="R33" i="1077"/>
  <c r="M33" i="1077"/>
  <c r="Z32" i="1077"/>
  <c r="Y32" i="1077"/>
  <c r="X32" i="1077"/>
  <c r="W32" i="1077"/>
  <c r="V32" i="1077"/>
  <c r="U32" i="1077"/>
  <c r="T32" i="1077"/>
  <c r="S32" i="1077"/>
  <c r="R32" i="1077"/>
  <c r="M32" i="1077"/>
  <c r="L32" i="1077"/>
  <c r="K32" i="1077"/>
  <c r="Z31" i="1077"/>
  <c r="Y31" i="1077"/>
  <c r="X31" i="1077"/>
  <c r="W31" i="1077"/>
  <c r="V31" i="1077"/>
  <c r="U31" i="1077"/>
  <c r="T31" i="1077"/>
  <c r="S31" i="1077"/>
  <c r="R31" i="1077"/>
  <c r="Z30" i="1077"/>
  <c r="Y30" i="1077"/>
  <c r="X30" i="1077"/>
  <c r="W30" i="1077"/>
  <c r="V30" i="1077"/>
  <c r="U30" i="1077"/>
  <c r="T30" i="1077"/>
  <c r="S30" i="1077"/>
  <c r="R30" i="1077"/>
  <c r="M30" i="1077"/>
  <c r="Z29" i="1077"/>
  <c r="Y29" i="1077"/>
  <c r="X29" i="1077"/>
  <c r="W29" i="1077"/>
  <c r="V29" i="1077"/>
  <c r="U29" i="1077"/>
  <c r="T29" i="1077"/>
  <c r="S29" i="1077"/>
  <c r="R29" i="1077"/>
  <c r="M29" i="1077"/>
  <c r="L29" i="1077"/>
  <c r="K29" i="1077"/>
  <c r="Z28" i="1077"/>
  <c r="Y28" i="1077"/>
  <c r="X28" i="1077"/>
  <c r="W28" i="1077"/>
  <c r="V28" i="1077"/>
  <c r="U28" i="1077"/>
  <c r="T28" i="1077"/>
  <c r="S28" i="1077"/>
  <c r="R28" i="1077"/>
  <c r="M28" i="1077"/>
  <c r="L28" i="1077"/>
  <c r="K28" i="1077"/>
  <c r="Z27" i="1077"/>
  <c r="Y27" i="1077"/>
  <c r="X27" i="1077"/>
  <c r="W27" i="1077"/>
  <c r="V27" i="1077"/>
  <c r="U27" i="1077"/>
  <c r="T27" i="1077"/>
  <c r="S27" i="1077"/>
  <c r="R27" i="1077"/>
  <c r="Z26" i="1077"/>
  <c r="Y26" i="1077"/>
  <c r="X26" i="1077"/>
  <c r="W26" i="1077"/>
  <c r="V26" i="1077"/>
  <c r="U26" i="1077"/>
  <c r="T26" i="1077"/>
  <c r="S26" i="1077"/>
  <c r="R26" i="1077"/>
  <c r="Z25" i="1077"/>
  <c r="Y25" i="1077"/>
  <c r="X25" i="1077"/>
  <c r="W25" i="1077"/>
  <c r="V25" i="1077"/>
  <c r="U25" i="1077"/>
  <c r="T25" i="1077"/>
  <c r="S25" i="1077"/>
  <c r="R25" i="1077"/>
  <c r="Z24" i="1077"/>
  <c r="Y24" i="1077"/>
  <c r="X24" i="1077"/>
  <c r="W24" i="1077"/>
  <c r="V24" i="1077"/>
  <c r="U24" i="1077"/>
  <c r="T24" i="1077"/>
  <c r="S24" i="1077"/>
  <c r="R24" i="1077"/>
  <c r="Z23" i="1077"/>
  <c r="Y23" i="1077"/>
  <c r="X23" i="1077"/>
  <c r="W23" i="1077"/>
  <c r="V23" i="1077"/>
  <c r="U23" i="1077"/>
  <c r="T23" i="1077"/>
  <c r="S23" i="1077"/>
  <c r="R23" i="1077"/>
  <c r="Z22" i="1077"/>
  <c r="Y22" i="1077"/>
  <c r="X22" i="1077"/>
  <c r="W22" i="1077"/>
  <c r="V22" i="1077"/>
  <c r="U22" i="1077"/>
  <c r="T22" i="1077"/>
  <c r="S22" i="1077"/>
  <c r="R22" i="1077"/>
  <c r="Z21" i="1077"/>
  <c r="Y21" i="1077"/>
  <c r="X21" i="1077"/>
  <c r="W21" i="1077"/>
  <c r="V21" i="1077"/>
  <c r="U21" i="1077"/>
  <c r="T21" i="1077"/>
  <c r="S21" i="1077"/>
  <c r="R21" i="1077"/>
  <c r="Z20" i="1077"/>
  <c r="Y20" i="1077"/>
  <c r="X20" i="1077"/>
  <c r="W20" i="1077"/>
  <c r="V20" i="1077"/>
  <c r="U20" i="1077"/>
  <c r="T20" i="1077"/>
  <c r="S20" i="1077"/>
  <c r="R20" i="1077"/>
  <c r="K53" i="1076"/>
  <c r="K37" i="1077" l="1"/>
  <c r="L37" i="1077" s="1"/>
  <c r="M37" i="1077" s="1"/>
  <c r="L56" i="1077"/>
  <c r="C69" i="1077" s="1"/>
  <c r="G53" i="1076"/>
  <c r="L37" i="1076"/>
  <c r="M22" i="1076"/>
  <c r="L22" i="1076"/>
  <c r="K22" i="1076"/>
  <c r="I10" i="1076"/>
  <c r="J10" i="1076"/>
  <c r="K10" i="1076"/>
  <c r="L10" i="1076"/>
  <c r="M10" i="1076"/>
  <c r="N10" i="1076"/>
  <c r="O10" i="1076"/>
  <c r="I11" i="1076"/>
  <c r="J11" i="1076"/>
  <c r="K11" i="1076"/>
  <c r="L11" i="1076"/>
  <c r="M11" i="1076"/>
  <c r="N11" i="1076"/>
  <c r="O11" i="1076"/>
  <c r="I12" i="1076"/>
  <c r="J12" i="1076"/>
  <c r="K12" i="1076"/>
  <c r="L12" i="1076"/>
  <c r="M12" i="1076"/>
  <c r="N12" i="1076"/>
  <c r="O12" i="1076"/>
  <c r="I13" i="1076"/>
  <c r="J13" i="1076"/>
  <c r="K13" i="1076"/>
  <c r="L13" i="1076"/>
  <c r="M13" i="1076"/>
  <c r="N13" i="1076"/>
  <c r="O13" i="1076"/>
  <c r="I14" i="1076"/>
  <c r="J14" i="1076"/>
  <c r="K14" i="1076"/>
  <c r="L14" i="1076"/>
  <c r="M14" i="1076"/>
  <c r="N14" i="1076"/>
  <c r="O14" i="1076"/>
  <c r="C10" i="1076"/>
  <c r="D10" i="1076"/>
  <c r="E10" i="1076"/>
  <c r="F10" i="1076"/>
  <c r="G10" i="1076"/>
  <c r="C11" i="1076"/>
  <c r="D11" i="1076"/>
  <c r="E11" i="1076"/>
  <c r="F11" i="1076"/>
  <c r="G11" i="1076"/>
  <c r="C12" i="1076"/>
  <c r="D12" i="1076"/>
  <c r="E12" i="1076"/>
  <c r="F12" i="1076"/>
  <c r="G12" i="1076"/>
  <c r="C13" i="1076"/>
  <c r="D13" i="1076"/>
  <c r="E13" i="1076"/>
  <c r="F13" i="1076"/>
  <c r="G13" i="1076"/>
  <c r="C14" i="1076"/>
  <c r="D14" i="1076"/>
  <c r="E14" i="1076"/>
  <c r="F14" i="1076"/>
  <c r="G14" i="1076"/>
  <c r="AX53" i="1076"/>
  <c r="AW53" i="1076"/>
  <c r="AV53" i="1076"/>
  <c r="AU53" i="1076"/>
  <c r="AT53" i="1076"/>
  <c r="AS53" i="1076"/>
  <c r="AR53" i="1076"/>
  <c r="AQ53" i="1076"/>
  <c r="AP53" i="1076"/>
  <c r="AO53" i="1076"/>
  <c r="AN53" i="1076"/>
  <c r="AM53" i="1076"/>
  <c r="AL53" i="1076"/>
  <c r="AK53" i="1076"/>
  <c r="AJ53" i="1076"/>
  <c r="AI53" i="1076"/>
  <c r="AH53" i="1076"/>
  <c r="AG53" i="1076"/>
  <c r="AF53" i="1076"/>
  <c r="AE53" i="1076"/>
  <c r="AD53" i="1076"/>
  <c r="AC53" i="1076"/>
  <c r="AB53" i="1076"/>
  <c r="K65" i="1076"/>
  <c r="B53" i="1076"/>
  <c r="AX52" i="1076"/>
  <c r="AW52" i="1076"/>
  <c r="AV52" i="1076"/>
  <c r="AU52" i="1076"/>
  <c r="AT52" i="1076"/>
  <c r="AS52" i="1076"/>
  <c r="AR52" i="1076"/>
  <c r="AQ52" i="1076"/>
  <c r="AP52" i="1076"/>
  <c r="AO52" i="1076"/>
  <c r="AN52" i="1076"/>
  <c r="AM52" i="1076"/>
  <c r="AL52" i="1076"/>
  <c r="AK52" i="1076"/>
  <c r="AJ52" i="1076"/>
  <c r="AI52" i="1076"/>
  <c r="AH52" i="1076"/>
  <c r="AG52" i="1076"/>
  <c r="AF52" i="1076"/>
  <c r="AE52" i="1076"/>
  <c r="AD52" i="1076"/>
  <c r="AC52" i="1076"/>
  <c r="AB52" i="1076"/>
  <c r="AX51" i="1076"/>
  <c r="AW51" i="1076"/>
  <c r="AV51" i="1076"/>
  <c r="AU51" i="1076"/>
  <c r="AT51" i="1076"/>
  <c r="AS51" i="1076"/>
  <c r="AR51" i="1076"/>
  <c r="AQ51" i="1076"/>
  <c r="AP51" i="1076"/>
  <c r="AO51" i="1076"/>
  <c r="AN51" i="1076"/>
  <c r="AM51" i="1076"/>
  <c r="AL51" i="1076"/>
  <c r="AK51" i="1076"/>
  <c r="AJ51" i="1076"/>
  <c r="AI51" i="1076"/>
  <c r="AH51" i="1076"/>
  <c r="AG51" i="1076"/>
  <c r="AF51" i="1076"/>
  <c r="AE51" i="1076"/>
  <c r="AD51" i="1076"/>
  <c r="AC51" i="1076"/>
  <c r="AB51" i="1076"/>
  <c r="K51" i="1076"/>
  <c r="G51" i="1076"/>
  <c r="D51" i="1076"/>
  <c r="B51" i="1076"/>
  <c r="K46" i="1076"/>
  <c r="M37" i="1076" s="1"/>
  <c r="Z33" i="1076"/>
  <c r="Y33" i="1076"/>
  <c r="X33" i="1076"/>
  <c r="W33" i="1076"/>
  <c r="V33" i="1076"/>
  <c r="U33" i="1076"/>
  <c r="T33" i="1076"/>
  <c r="S33" i="1076"/>
  <c r="R33" i="1076"/>
  <c r="Z32" i="1076"/>
  <c r="Y32" i="1076"/>
  <c r="X32" i="1076"/>
  <c r="W32" i="1076"/>
  <c r="V32" i="1076"/>
  <c r="U32" i="1076"/>
  <c r="T32" i="1076"/>
  <c r="S32" i="1076"/>
  <c r="R32" i="1076"/>
  <c r="Z31" i="1076"/>
  <c r="Y31" i="1076"/>
  <c r="X31" i="1076"/>
  <c r="W31" i="1076"/>
  <c r="V31" i="1076"/>
  <c r="U31" i="1076"/>
  <c r="T31" i="1076"/>
  <c r="S31" i="1076"/>
  <c r="R31" i="1076"/>
  <c r="Z30" i="1076"/>
  <c r="Y30" i="1076"/>
  <c r="X30" i="1076"/>
  <c r="W30" i="1076"/>
  <c r="V30" i="1076"/>
  <c r="U30" i="1076"/>
  <c r="T30" i="1076"/>
  <c r="S30" i="1076"/>
  <c r="R30" i="1076"/>
  <c r="Z29" i="1076"/>
  <c r="Y29" i="1076"/>
  <c r="X29" i="1076"/>
  <c r="W29" i="1076"/>
  <c r="V29" i="1076"/>
  <c r="U29" i="1076"/>
  <c r="T29" i="1076"/>
  <c r="S29" i="1076"/>
  <c r="R29" i="1076"/>
  <c r="Z28" i="1076"/>
  <c r="Y28" i="1076"/>
  <c r="X28" i="1076"/>
  <c r="W28" i="1076"/>
  <c r="V28" i="1076"/>
  <c r="U28" i="1076"/>
  <c r="T28" i="1076"/>
  <c r="S28" i="1076"/>
  <c r="R28" i="1076"/>
  <c r="M28" i="1076"/>
  <c r="Z27" i="1076"/>
  <c r="Y27" i="1076"/>
  <c r="X27" i="1076"/>
  <c r="W27" i="1076"/>
  <c r="V27" i="1076"/>
  <c r="U27" i="1076"/>
  <c r="T27" i="1076"/>
  <c r="S27" i="1076"/>
  <c r="R27" i="1076"/>
  <c r="M27" i="1076"/>
  <c r="L27" i="1076"/>
  <c r="K27" i="1076"/>
  <c r="Z26" i="1076"/>
  <c r="Y26" i="1076"/>
  <c r="X26" i="1076"/>
  <c r="W26" i="1076"/>
  <c r="V26" i="1076"/>
  <c r="U26" i="1076"/>
  <c r="T26" i="1076"/>
  <c r="S26" i="1076"/>
  <c r="R26" i="1076"/>
  <c r="Z25" i="1076"/>
  <c r="Y25" i="1076"/>
  <c r="X25" i="1076"/>
  <c r="W25" i="1076"/>
  <c r="V25" i="1076"/>
  <c r="U25" i="1076"/>
  <c r="T25" i="1076"/>
  <c r="S25" i="1076"/>
  <c r="R25" i="1076"/>
  <c r="M25" i="1076"/>
  <c r="Z24" i="1076"/>
  <c r="Y24" i="1076"/>
  <c r="X24" i="1076"/>
  <c r="W24" i="1076"/>
  <c r="V24" i="1076"/>
  <c r="U24" i="1076"/>
  <c r="T24" i="1076"/>
  <c r="S24" i="1076"/>
  <c r="R24" i="1076"/>
  <c r="M24" i="1076"/>
  <c r="L24" i="1076"/>
  <c r="K24" i="1076"/>
  <c r="Z23" i="1076"/>
  <c r="Y23" i="1076"/>
  <c r="X23" i="1076"/>
  <c r="W23" i="1076"/>
  <c r="V23" i="1076"/>
  <c r="U23" i="1076"/>
  <c r="T23" i="1076"/>
  <c r="S23" i="1076"/>
  <c r="R23" i="1076"/>
  <c r="M23" i="1076"/>
  <c r="L23" i="1076"/>
  <c r="K23" i="1076"/>
  <c r="Z22" i="1076"/>
  <c r="Y22" i="1076"/>
  <c r="X22" i="1076"/>
  <c r="W22" i="1076"/>
  <c r="V22" i="1076"/>
  <c r="U22" i="1076"/>
  <c r="T22" i="1076"/>
  <c r="S22" i="1076"/>
  <c r="R22" i="1076"/>
  <c r="Z21" i="1076"/>
  <c r="Y21" i="1076"/>
  <c r="X21" i="1076"/>
  <c r="W21" i="1076"/>
  <c r="V21" i="1076"/>
  <c r="U21" i="1076"/>
  <c r="T21" i="1076"/>
  <c r="S21" i="1076"/>
  <c r="R21" i="1076"/>
  <c r="Z20" i="1076"/>
  <c r="Y20" i="1076"/>
  <c r="X20" i="1076"/>
  <c r="W20" i="1076"/>
  <c r="V20" i="1076"/>
  <c r="U20" i="1076"/>
  <c r="T20" i="1076"/>
  <c r="S20" i="1076"/>
  <c r="R20" i="1076"/>
  <c r="Z19" i="1076"/>
  <c r="Y19" i="1076"/>
  <c r="X19" i="1076"/>
  <c r="W19" i="1076"/>
  <c r="V19" i="1076"/>
  <c r="U19" i="1076"/>
  <c r="T19" i="1076"/>
  <c r="S19" i="1076"/>
  <c r="R19" i="1076"/>
  <c r="Z18" i="1076"/>
  <c r="Y18" i="1076"/>
  <c r="X18" i="1076"/>
  <c r="W18" i="1076"/>
  <c r="V18" i="1076"/>
  <c r="U18" i="1076"/>
  <c r="T18" i="1076"/>
  <c r="S18" i="1076"/>
  <c r="R18" i="1076"/>
  <c r="Z17" i="1076"/>
  <c r="Y17" i="1076"/>
  <c r="X17" i="1076"/>
  <c r="W17" i="1076"/>
  <c r="V17" i="1076"/>
  <c r="U17" i="1076"/>
  <c r="T17" i="1076"/>
  <c r="S17" i="1076"/>
  <c r="R17" i="1076"/>
  <c r="Z16" i="1076"/>
  <c r="Y16" i="1076"/>
  <c r="X16" i="1076"/>
  <c r="W16" i="1076"/>
  <c r="V16" i="1076"/>
  <c r="U16" i="1076"/>
  <c r="T16" i="1076"/>
  <c r="S16" i="1076"/>
  <c r="R16" i="1076"/>
  <c r="Z15" i="1076"/>
  <c r="Y15" i="1076"/>
  <c r="X15" i="1076"/>
  <c r="W15" i="1076"/>
  <c r="V15" i="1076"/>
  <c r="U15" i="1076"/>
  <c r="T15" i="1076"/>
  <c r="S15" i="1076"/>
  <c r="R15" i="1076"/>
  <c r="Z14" i="1076"/>
  <c r="Y14" i="1076"/>
  <c r="X14" i="1076"/>
  <c r="W14" i="1076"/>
  <c r="V14" i="1076"/>
  <c r="U14" i="1076"/>
  <c r="T14" i="1076"/>
  <c r="S14" i="1076"/>
  <c r="R14" i="1076"/>
  <c r="Z13" i="1076"/>
  <c r="Y13" i="1076"/>
  <c r="X13" i="1076"/>
  <c r="W13" i="1076"/>
  <c r="V13" i="1076"/>
  <c r="U13" i="1076"/>
  <c r="T13" i="1076"/>
  <c r="S13" i="1076"/>
  <c r="R13" i="1076"/>
  <c r="Z12" i="1076"/>
  <c r="Y12" i="1076"/>
  <c r="X12" i="1076"/>
  <c r="W12" i="1076"/>
  <c r="V12" i="1076"/>
  <c r="U12" i="1076"/>
  <c r="T12" i="1076"/>
  <c r="S12" i="1076"/>
  <c r="R12" i="1076"/>
  <c r="Z11" i="1076"/>
  <c r="Y11" i="1076"/>
  <c r="X11" i="1076"/>
  <c r="W11" i="1076"/>
  <c r="V11" i="1076"/>
  <c r="U11" i="1076"/>
  <c r="T11" i="1076"/>
  <c r="S11" i="1076"/>
  <c r="R11" i="1076"/>
  <c r="Z10" i="1076"/>
  <c r="Y10" i="1076"/>
  <c r="X10" i="1076"/>
  <c r="W10" i="1076"/>
  <c r="V10" i="1076"/>
  <c r="U10" i="1076"/>
  <c r="T10" i="1076"/>
  <c r="S10" i="1076"/>
  <c r="R10" i="1076"/>
  <c r="R10" i="1075"/>
  <c r="S10" i="1075"/>
  <c r="T10" i="1075"/>
  <c r="U10" i="1075"/>
  <c r="V10" i="1075"/>
  <c r="W10" i="1075"/>
  <c r="X10" i="1075"/>
  <c r="Y10" i="1075"/>
  <c r="Z10" i="1075"/>
  <c r="R11" i="1075"/>
  <c r="S11" i="1075"/>
  <c r="T11" i="1075"/>
  <c r="U11" i="1075"/>
  <c r="V11" i="1075"/>
  <c r="W11" i="1075"/>
  <c r="X11" i="1075"/>
  <c r="Y11" i="1075"/>
  <c r="Z11" i="1075"/>
  <c r="R12" i="1075"/>
  <c r="S12" i="1075"/>
  <c r="T12" i="1075"/>
  <c r="U12" i="1075"/>
  <c r="V12" i="1075"/>
  <c r="W12" i="1075"/>
  <c r="X12" i="1075"/>
  <c r="Y12" i="1075"/>
  <c r="Z12" i="1075"/>
  <c r="R13" i="1075"/>
  <c r="S13" i="1075"/>
  <c r="T13" i="1075"/>
  <c r="U13" i="1075"/>
  <c r="V13" i="1075"/>
  <c r="W13" i="1075"/>
  <c r="X13" i="1075"/>
  <c r="Y13" i="1075"/>
  <c r="Z13" i="1075"/>
  <c r="R14" i="1075"/>
  <c r="S14" i="1075"/>
  <c r="T14" i="1075"/>
  <c r="U14" i="1075"/>
  <c r="V14" i="1075"/>
  <c r="W14" i="1075"/>
  <c r="X14" i="1075"/>
  <c r="Y14" i="1075"/>
  <c r="Z14" i="1075"/>
  <c r="R15" i="1075"/>
  <c r="S15" i="1075"/>
  <c r="T15" i="1075"/>
  <c r="U15" i="1075"/>
  <c r="V15" i="1075"/>
  <c r="W15" i="1075"/>
  <c r="X15" i="1075"/>
  <c r="Y15" i="1075"/>
  <c r="Z15" i="1075"/>
  <c r="R16" i="1075"/>
  <c r="S16" i="1075"/>
  <c r="T16" i="1075"/>
  <c r="U16" i="1075"/>
  <c r="V16" i="1075"/>
  <c r="W16" i="1075"/>
  <c r="X16" i="1075"/>
  <c r="Y16" i="1075"/>
  <c r="Z16" i="1075"/>
  <c r="R17" i="1075"/>
  <c r="S17" i="1075"/>
  <c r="T17" i="1075"/>
  <c r="U17" i="1075"/>
  <c r="V17" i="1075"/>
  <c r="W17" i="1075"/>
  <c r="X17" i="1075"/>
  <c r="Y17" i="1075"/>
  <c r="Z17" i="1075"/>
  <c r="R18" i="1075"/>
  <c r="S18" i="1075"/>
  <c r="T18" i="1075"/>
  <c r="U18" i="1075"/>
  <c r="V18" i="1075"/>
  <c r="W18" i="1075"/>
  <c r="X18" i="1075"/>
  <c r="Y18" i="1075"/>
  <c r="Z18" i="1075"/>
  <c r="R19" i="1075"/>
  <c r="S19" i="1075"/>
  <c r="T19" i="1075"/>
  <c r="U19" i="1075"/>
  <c r="V19" i="1075"/>
  <c r="W19" i="1075"/>
  <c r="X19" i="1075"/>
  <c r="Y19" i="1075"/>
  <c r="Z19" i="1075"/>
  <c r="R20" i="1075"/>
  <c r="S20" i="1075"/>
  <c r="T20" i="1075"/>
  <c r="U20" i="1075"/>
  <c r="V20" i="1075"/>
  <c r="W20" i="1075"/>
  <c r="X20" i="1075"/>
  <c r="Y20" i="1075"/>
  <c r="Z20" i="1075"/>
  <c r="R21" i="1075"/>
  <c r="S21" i="1075"/>
  <c r="T21" i="1075"/>
  <c r="U21" i="1075"/>
  <c r="V21" i="1075"/>
  <c r="W21" i="1075"/>
  <c r="X21" i="1075"/>
  <c r="Y21" i="1075"/>
  <c r="Z21" i="1075"/>
  <c r="R22" i="1075"/>
  <c r="S22" i="1075"/>
  <c r="T22" i="1075"/>
  <c r="U22" i="1075"/>
  <c r="V22" i="1075"/>
  <c r="W22" i="1075"/>
  <c r="X22" i="1075"/>
  <c r="Y22" i="1075"/>
  <c r="Z22" i="1075"/>
  <c r="R23" i="1075"/>
  <c r="S23" i="1075"/>
  <c r="T23" i="1075"/>
  <c r="U23" i="1075"/>
  <c r="V23" i="1075"/>
  <c r="W23" i="1075"/>
  <c r="X23" i="1075"/>
  <c r="Y23" i="1075"/>
  <c r="Z23" i="1075"/>
  <c r="K67" i="1075"/>
  <c r="K66" i="1075"/>
  <c r="K55" i="1075"/>
  <c r="K53" i="1075"/>
  <c r="L51" i="1076" l="1"/>
  <c r="J22" i="1076"/>
  <c r="K32" i="1076"/>
  <c r="L32" i="1076" s="1"/>
  <c r="M32" i="1076" s="1"/>
  <c r="G66" i="1075"/>
  <c r="G55" i="1075"/>
  <c r="D53" i="1075"/>
  <c r="G53" i="1075"/>
  <c r="B53" i="1075" l="1"/>
  <c r="B55" i="1075"/>
  <c r="L39" i="1075"/>
  <c r="M25" i="1075"/>
  <c r="L25" i="1075"/>
  <c r="K25" i="1075"/>
  <c r="I10" i="1075"/>
  <c r="J10" i="1075"/>
  <c r="L10" i="1075"/>
  <c r="M10" i="1075"/>
  <c r="N10" i="1075"/>
  <c r="O10" i="1075"/>
  <c r="I11" i="1075"/>
  <c r="J11" i="1075"/>
  <c r="L11" i="1075"/>
  <c r="M11" i="1075"/>
  <c r="N11" i="1075"/>
  <c r="O11" i="1075"/>
  <c r="I12" i="1075"/>
  <c r="J12" i="1075"/>
  <c r="L12" i="1075"/>
  <c r="M12" i="1075"/>
  <c r="N12" i="1075"/>
  <c r="O12" i="1075"/>
  <c r="I13" i="1075"/>
  <c r="J13" i="1075"/>
  <c r="L13" i="1075"/>
  <c r="M13" i="1075"/>
  <c r="N13" i="1075"/>
  <c r="O13" i="1075"/>
  <c r="I14" i="1075"/>
  <c r="J14" i="1075"/>
  <c r="L14" i="1075"/>
  <c r="M14" i="1075"/>
  <c r="N14" i="1075"/>
  <c r="O14" i="1075"/>
  <c r="I15" i="1075"/>
  <c r="J15" i="1075"/>
  <c r="L15" i="1075"/>
  <c r="M15" i="1075"/>
  <c r="N15" i="1075"/>
  <c r="O15" i="1075"/>
  <c r="I16" i="1075"/>
  <c r="J16" i="1075"/>
  <c r="L16" i="1075"/>
  <c r="M16" i="1075"/>
  <c r="N16" i="1075"/>
  <c r="O16" i="1075"/>
  <c r="I17" i="1075"/>
  <c r="J17" i="1075"/>
  <c r="L17" i="1075"/>
  <c r="M17" i="1075"/>
  <c r="N17" i="1075"/>
  <c r="O17" i="1075"/>
  <c r="C13" i="1075"/>
  <c r="D13" i="1075"/>
  <c r="E13" i="1075"/>
  <c r="F13" i="1075"/>
  <c r="G13" i="1075"/>
  <c r="C14" i="1075"/>
  <c r="D14" i="1075"/>
  <c r="E14" i="1075"/>
  <c r="F14" i="1075"/>
  <c r="G14" i="1075"/>
  <c r="C15" i="1075"/>
  <c r="D15" i="1075"/>
  <c r="E15" i="1075"/>
  <c r="F15" i="1075"/>
  <c r="G15" i="1075"/>
  <c r="C16" i="1075"/>
  <c r="D16" i="1075"/>
  <c r="E16" i="1075"/>
  <c r="F16" i="1075"/>
  <c r="G16" i="1075"/>
  <c r="C17" i="1075"/>
  <c r="D17" i="1075"/>
  <c r="E17" i="1075"/>
  <c r="F17" i="1075"/>
  <c r="G17" i="1075"/>
  <c r="C10" i="1075"/>
  <c r="D10" i="1075"/>
  <c r="E10" i="1075"/>
  <c r="F10" i="1075"/>
  <c r="G10" i="1075"/>
  <c r="C11" i="1075"/>
  <c r="D11" i="1075"/>
  <c r="E11" i="1075"/>
  <c r="F11" i="1075"/>
  <c r="G11" i="1075"/>
  <c r="C12" i="1075"/>
  <c r="D12" i="1075"/>
  <c r="E12" i="1075"/>
  <c r="F12" i="1075"/>
  <c r="G12" i="1075"/>
  <c r="AX55" i="1075"/>
  <c r="AW55" i="1075"/>
  <c r="AV55" i="1075"/>
  <c r="AU55" i="1075"/>
  <c r="AT55" i="1075"/>
  <c r="AS55" i="1075"/>
  <c r="AR55" i="1075"/>
  <c r="AQ55" i="1075"/>
  <c r="AP55" i="1075"/>
  <c r="AO55" i="1075"/>
  <c r="AN55" i="1075"/>
  <c r="AM55" i="1075"/>
  <c r="AL55" i="1075"/>
  <c r="AK55" i="1075"/>
  <c r="AJ55" i="1075"/>
  <c r="AI55" i="1075"/>
  <c r="AH55" i="1075"/>
  <c r="AG55" i="1075"/>
  <c r="AF55" i="1075"/>
  <c r="AE55" i="1075"/>
  <c r="AD55" i="1075"/>
  <c r="AC55" i="1075"/>
  <c r="AB55" i="1075"/>
  <c r="AX54" i="1075"/>
  <c r="AW54" i="1075"/>
  <c r="AV54" i="1075"/>
  <c r="AU54" i="1075"/>
  <c r="AT54" i="1075"/>
  <c r="AS54" i="1075"/>
  <c r="AR54" i="1075"/>
  <c r="AQ54" i="1075"/>
  <c r="AP54" i="1075"/>
  <c r="AO54" i="1075"/>
  <c r="AN54" i="1075"/>
  <c r="AM54" i="1075"/>
  <c r="AL54" i="1075"/>
  <c r="AK54" i="1075"/>
  <c r="AJ54" i="1075"/>
  <c r="AI54" i="1075"/>
  <c r="AH54" i="1075"/>
  <c r="AG54" i="1075"/>
  <c r="AF54" i="1075"/>
  <c r="AE54" i="1075"/>
  <c r="AD54" i="1075"/>
  <c r="AC54" i="1075"/>
  <c r="AB54" i="1075"/>
  <c r="AX53" i="1075"/>
  <c r="AW53" i="1075"/>
  <c r="AV53" i="1075"/>
  <c r="AU53" i="1075"/>
  <c r="AT53" i="1075"/>
  <c r="AS53" i="1075"/>
  <c r="AR53" i="1075"/>
  <c r="AQ53" i="1075"/>
  <c r="AP53" i="1075"/>
  <c r="AO53" i="1075"/>
  <c r="AN53" i="1075"/>
  <c r="AM53" i="1075"/>
  <c r="AL53" i="1075"/>
  <c r="AK53" i="1075"/>
  <c r="AJ53" i="1075"/>
  <c r="AI53" i="1075"/>
  <c r="AH53" i="1075"/>
  <c r="AG53" i="1075"/>
  <c r="AF53" i="1075"/>
  <c r="AE53" i="1075"/>
  <c r="AD53" i="1075"/>
  <c r="AC53" i="1075"/>
  <c r="AB53" i="1075"/>
  <c r="L53" i="1075"/>
  <c r="C66" i="1075" s="1"/>
  <c r="K48" i="1075"/>
  <c r="M39" i="1075" s="1"/>
  <c r="Z35" i="1075"/>
  <c r="Y35" i="1075"/>
  <c r="X35" i="1075"/>
  <c r="W35" i="1075"/>
  <c r="V35" i="1075"/>
  <c r="U35" i="1075"/>
  <c r="T35" i="1075"/>
  <c r="S35" i="1075"/>
  <c r="R35" i="1075"/>
  <c r="Z34" i="1075"/>
  <c r="Y34" i="1075"/>
  <c r="X34" i="1075"/>
  <c r="W34" i="1075"/>
  <c r="V34" i="1075"/>
  <c r="U34" i="1075"/>
  <c r="T34" i="1075"/>
  <c r="S34" i="1075"/>
  <c r="R34" i="1075"/>
  <c r="Z33" i="1075"/>
  <c r="Y33" i="1075"/>
  <c r="X33" i="1075"/>
  <c r="W33" i="1075"/>
  <c r="V33" i="1075"/>
  <c r="U33" i="1075"/>
  <c r="T33" i="1075"/>
  <c r="S33" i="1075"/>
  <c r="R33" i="1075"/>
  <c r="Z32" i="1075"/>
  <c r="Y32" i="1075"/>
  <c r="X32" i="1075"/>
  <c r="W32" i="1075"/>
  <c r="V32" i="1075"/>
  <c r="U32" i="1075"/>
  <c r="T32" i="1075"/>
  <c r="S32" i="1075"/>
  <c r="R32" i="1075"/>
  <c r="Z31" i="1075"/>
  <c r="Y31" i="1075"/>
  <c r="X31" i="1075"/>
  <c r="W31" i="1075"/>
  <c r="V31" i="1075"/>
  <c r="U31" i="1075"/>
  <c r="T31" i="1075"/>
  <c r="S31" i="1075"/>
  <c r="R31" i="1075"/>
  <c r="Z30" i="1075"/>
  <c r="Y30" i="1075"/>
  <c r="X30" i="1075"/>
  <c r="W30" i="1075"/>
  <c r="V30" i="1075"/>
  <c r="U30" i="1075"/>
  <c r="T30" i="1075"/>
  <c r="S30" i="1075"/>
  <c r="R30" i="1075"/>
  <c r="M30" i="1075"/>
  <c r="Z29" i="1075"/>
  <c r="Y29" i="1075"/>
  <c r="X29" i="1075"/>
  <c r="W29" i="1075"/>
  <c r="V29" i="1075"/>
  <c r="U29" i="1075"/>
  <c r="T29" i="1075"/>
  <c r="S29" i="1075"/>
  <c r="R29" i="1075"/>
  <c r="M29" i="1075"/>
  <c r="L29" i="1075"/>
  <c r="K29" i="1075"/>
  <c r="Z28" i="1075"/>
  <c r="Y28" i="1075"/>
  <c r="X28" i="1075"/>
  <c r="W28" i="1075"/>
  <c r="V28" i="1075"/>
  <c r="U28" i="1075"/>
  <c r="T28" i="1075"/>
  <c r="S28" i="1075"/>
  <c r="R28" i="1075"/>
  <c r="Z27" i="1075"/>
  <c r="Y27" i="1075"/>
  <c r="X27" i="1075"/>
  <c r="W27" i="1075"/>
  <c r="V27" i="1075"/>
  <c r="U27" i="1075"/>
  <c r="T27" i="1075"/>
  <c r="S27" i="1075"/>
  <c r="R27" i="1075"/>
  <c r="M27" i="1075"/>
  <c r="Z26" i="1075"/>
  <c r="Y26" i="1075"/>
  <c r="X26" i="1075"/>
  <c r="W26" i="1075"/>
  <c r="V26" i="1075"/>
  <c r="U26" i="1075"/>
  <c r="T26" i="1075"/>
  <c r="S26" i="1075"/>
  <c r="R26" i="1075"/>
  <c r="M26" i="1075"/>
  <c r="L26" i="1075"/>
  <c r="K26" i="1075"/>
  <c r="Z25" i="1075"/>
  <c r="Y25" i="1075"/>
  <c r="X25" i="1075"/>
  <c r="W25" i="1075"/>
  <c r="V25" i="1075"/>
  <c r="U25" i="1075"/>
  <c r="T25" i="1075"/>
  <c r="S25" i="1075"/>
  <c r="R25" i="1075"/>
  <c r="Z24" i="1075"/>
  <c r="Y24" i="1075"/>
  <c r="X24" i="1075"/>
  <c r="W24" i="1075"/>
  <c r="V24" i="1075"/>
  <c r="U24" i="1075"/>
  <c r="T24" i="1075"/>
  <c r="S24" i="1075"/>
  <c r="R24" i="1075"/>
  <c r="M24" i="1075"/>
  <c r="L24" i="1075"/>
  <c r="K24" i="1075"/>
  <c r="L33" i="1074"/>
  <c r="M20" i="1074"/>
  <c r="L20" i="1074"/>
  <c r="K20" i="1074"/>
  <c r="I10" i="1074"/>
  <c r="J20" i="1074" s="1"/>
  <c r="J10" i="1074"/>
  <c r="K10" i="1074"/>
  <c r="L10" i="1074"/>
  <c r="M10" i="1074"/>
  <c r="N10" i="1074"/>
  <c r="O10" i="1074"/>
  <c r="C10" i="1074"/>
  <c r="D10" i="1074"/>
  <c r="E10" i="1074"/>
  <c r="F10" i="1074"/>
  <c r="G10" i="1074"/>
  <c r="AX49" i="1074"/>
  <c r="AW49" i="1074"/>
  <c r="AV49" i="1074"/>
  <c r="AU49" i="1074"/>
  <c r="AT49" i="1074"/>
  <c r="AS49" i="1074"/>
  <c r="AR49" i="1074"/>
  <c r="AQ49" i="1074"/>
  <c r="AP49" i="1074"/>
  <c r="AO49" i="1074"/>
  <c r="AN49" i="1074"/>
  <c r="AM49" i="1074"/>
  <c r="AL49" i="1074"/>
  <c r="AK49" i="1074"/>
  <c r="AJ49" i="1074"/>
  <c r="AI49" i="1074"/>
  <c r="AH49" i="1074"/>
  <c r="AG49" i="1074"/>
  <c r="AF49" i="1074"/>
  <c r="AE49" i="1074"/>
  <c r="AD49" i="1074"/>
  <c r="AC49" i="1074"/>
  <c r="AB49" i="1074"/>
  <c r="AX48" i="1074"/>
  <c r="AW48" i="1074"/>
  <c r="AV48" i="1074"/>
  <c r="AU48" i="1074"/>
  <c r="AT48" i="1074"/>
  <c r="AS48" i="1074"/>
  <c r="AR48" i="1074"/>
  <c r="AQ48" i="1074"/>
  <c r="AP48" i="1074"/>
  <c r="AO48" i="1074"/>
  <c r="AN48" i="1074"/>
  <c r="AM48" i="1074"/>
  <c r="AL48" i="1074"/>
  <c r="AK48" i="1074"/>
  <c r="AJ48" i="1074"/>
  <c r="AI48" i="1074"/>
  <c r="AH48" i="1074"/>
  <c r="AG48" i="1074"/>
  <c r="AF48" i="1074"/>
  <c r="AE48" i="1074"/>
  <c r="AD48" i="1074"/>
  <c r="AC48" i="1074"/>
  <c r="AB48" i="1074"/>
  <c r="AX47" i="1074"/>
  <c r="AW47" i="1074"/>
  <c r="AV47" i="1074"/>
  <c r="AU47" i="1074"/>
  <c r="AT47" i="1074"/>
  <c r="AS47" i="1074"/>
  <c r="AR47" i="1074"/>
  <c r="AQ47" i="1074"/>
  <c r="AP47" i="1074"/>
  <c r="AO47" i="1074"/>
  <c r="AN47" i="1074"/>
  <c r="AM47" i="1074"/>
  <c r="AL47" i="1074"/>
  <c r="AK47" i="1074"/>
  <c r="AJ47" i="1074"/>
  <c r="AI47" i="1074"/>
  <c r="AH47" i="1074"/>
  <c r="AG47" i="1074"/>
  <c r="AF47" i="1074"/>
  <c r="AE47" i="1074"/>
  <c r="AD47" i="1074"/>
  <c r="AC47" i="1074"/>
  <c r="AB47" i="1074"/>
  <c r="L47" i="1074"/>
  <c r="K42" i="1074"/>
  <c r="M33" i="1074" s="1"/>
  <c r="Z29" i="1074"/>
  <c r="Y29" i="1074"/>
  <c r="X29" i="1074"/>
  <c r="W29" i="1074"/>
  <c r="V29" i="1074"/>
  <c r="U29" i="1074"/>
  <c r="T29" i="1074"/>
  <c r="S29" i="1074"/>
  <c r="R29" i="1074"/>
  <c r="Z28" i="1074"/>
  <c r="Y28" i="1074"/>
  <c r="X28" i="1074"/>
  <c r="W28" i="1074"/>
  <c r="V28" i="1074"/>
  <c r="U28" i="1074"/>
  <c r="T28" i="1074"/>
  <c r="S28" i="1074"/>
  <c r="R28" i="1074"/>
  <c r="Z27" i="1074"/>
  <c r="Y27" i="1074"/>
  <c r="X27" i="1074"/>
  <c r="W27" i="1074"/>
  <c r="V27" i="1074"/>
  <c r="U27" i="1074"/>
  <c r="T27" i="1074"/>
  <c r="S27" i="1074"/>
  <c r="R27" i="1074"/>
  <c r="Z26" i="1074"/>
  <c r="Y26" i="1074"/>
  <c r="X26" i="1074"/>
  <c r="W26" i="1074"/>
  <c r="V26" i="1074"/>
  <c r="U26" i="1074"/>
  <c r="T26" i="1074"/>
  <c r="S26" i="1074"/>
  <c r="R26" i="1074"/>
  <c r="Z25" i="1074"/>
  <c r="Y25" i="1074"/>
  <c r="X25" i="1074"/>
  <c r="W25" i="1074"/>
  <c r="V25" i="1074"/>
  <c r="U25" i="1074"/>
  <c r="T25" i="1074"/>
  <c r="S25" i="1074"/>
  <c r="R25" i="1074"/>
  <c r="Z24" i="1074"/>
  <c r="Y24" i="1074"/>
  <c r="X24" i="1074"/>
  <c r="W24" i="1074"/>
  <c r="V24" i="1074"/>
  <c r="U24" i="1074"/>
  <c r="T24" i="1074"/>
  <c r="S24" i="1074"/>
  <c r="R24" i="1074"/>
  <c r="M24" i="1074"/>
  <c r="Z23" i="1074"/>
  <c r="Y23" i="1074"/>
  <c r="X23" i="1074"/>
  <c r="W23" i="1074"/>
  <c r="V23" i="1074"/>
  <c r="U23" i="1074"/>
  <c r="T23" i="1074"/>
  <c r="S23" i="1074"/>
  <c r="R23" i="1074"/>
  <c r="M23" i="1074"/>
  <c r="L23" i="1074"/>
  <c r="K23" i="1074"/>
  <c r="Z22" i="1074"/>
  <c r="Y22" i="1074"/>
  <c r="X22" i="1074"/>
  <c r="W22" i="1074"/>
  <c r="V22" i="1074"/>
  <c r="U22" i="1074"/>
  <c r="T22" i="1074"/>
  <c r="S22" i="1074"/>
  <c r="R22" i="1074"/>
  <c r="Z21" i="1074"/>
  <c r="Y21" i="1074"/>
  <c r="X21" i="1074"/>
  <c r="W21" i="1074"/>
  <c r="V21" i="1074"/>
  <c r="U21" i="1074"/>
  <c r="T21" i="1074"/>
  <c r="S21" i="1074"/>
  <c r="R21" i="1074"/>
  <c r="M21" i="1074"/>
  <c r="Z20" i="1074"/>
  <c r="Y20" i="1074"/>
  <c r="X20" i="1074"/>
  <c r="W20" i="1074"/>
  <c r="V20" i="1074"/>
  <c r="U20" i="1074"/>
  <c r="T20" i="1074"/>
  <c r="S20" i="1074"/>
  <c r="R20" i="1074"/>
  <c r="Z19" i="1074"/>
  <c r="Y19" i="1074"/>
  <c r="X19" i="1074"/>
  <c r="W19" i="1074"/>
  <c r="V19" i="1074"/>
  <c r="U19" i="1074"/>
  <c r="T19" i="1074"/>
  <c r="S19" i="1074"/>
  <c r="R19" i="1074"/>
  <c r="M19" i="1074"/>
  <c r="L19" i="1074"/>
  <c r="K19" i="1074"/>
  <c r="Z18" i="1074"/>
  <c r="Y18" i="1074"/>
  <c r="X18" i="1074"/>
  <c r="W18" i="1074"/>
  <c r="V18" i="1074"/>
  <c r="U18" i="1074"/>
  <c r="T18" i="1074"/>
  <c r="S18" i="1074"/>
  <c r="R18" i="1074"/>
  <c r="M18" i="1074"/>
  <c r="L18" i="1074"/>
  <c r="K18" i="1074"/>
  <c r="Z17" i="1074"/>
  <c r="Y17" i="1074"/>
  <c r="X17" i="1074"/>
  <c r="W17" i="1074"/>
  <c r="V17" i="1074"/>
  <c r="U17" i="1074"/>
  <c r="T17" i="1074"/>
  <c r="S17" i="1074"/>
  <c r="R17" i="1074"/>
  <c r="Z16" i="1074"/>
  <c r="Y16" i="1074"/>
  <c r="X16" i="1074"/>
  <c r="W16" i="1074"/>
  <c r="V16" i="1074"/>
  <c r="U16" i="1074"/>
  <c r="T16" i="1074"/>
  <c r="S16" i="1074"/>
  <c r="R16" i="1074"/>
  <c r="Z15" i="1074"/>
  <c r="Y15" i="1074"/>
  <c r="X15" i="1074"/>
  <c r="W15" i="1074"/>
  <c r="V15" i="1074"/>
  <c r="U15" i="1074"/>
  <c r="T15" i="1074"/>
  <c r="S15" i="1074"/>
  <c r="R15" i="1074"/>
  <c r="Z14" i="1074"/>
  <c r="Y14" i="1074"/>
  <c r="X14" i="1074"/>
  <c r="W14" i="1074"/>
  <c r="V14" i="1074"/>
  <c r="U14" i="1074"/>
  <c r="T14" i="1074"/>
  <c r="S14" i="1074"/>
  <c r="R14" i="1074"/>
  <c r="Z13" i="1074"/>
  <c r="Y13" i="1074"/>
  <c r="X13" i="1074"/>
  <c r="W13" i="1074"/>
  <c r="V13" i="1074"/>
  <c r="U13" i="1074"/>
  <c r="T13" i="1074"/>
  <c r="S13" i="1074"/>
  <c r="R13" i="1074"/>
  <c r="Z12" i="1074"/>
  <c r="Y12" i="1074"/>
  <c r="X12" i="1074"/>
  <c r="W12" i="1074"/>
  <c r="V12" i="1074"/>
  <c r="U12" i="1074"/>
  <c r="T12" i="1074"/>
  <c r="S12" i="1074"/>
  <c r="R12" i="1074"/>
  <c r="Z11" i="1074"/>
  <c r="Y11" i="1074"/>
  <c r="X11" i="1074"/>
  <c r="W11" i="1074"/>
  <c r="V11" i="1074"/>
  <c r="U11" i="1074"/>
  <c r="T11" i="1074"/>
  <c r="S11" i="1074"/>
  <c r="R11" i="1074"/>
  <c r="Z10" i="1074"/>
  <c r="Y10" i="1074"/>
  <c r="X10" i="1074"/>
  <c r="W10" i="1074"/>
  <c r="V10" i="1074"/>
  <c r="U10" i="1074"/>
  <c r="T10" i="1074"/>
  <c r="S10" i="1074"/>
  <c r="R10" i="1074"/>
  <c r="G57" i="1073"/>
  <c r="J25" i="1075" l="1"/>
  <c r="K34" i="1075"/>
  <c r="L34" i="1075" s="1"/>
  <c r="M34" i="1075" s="1"/>
  <c r="K28" i="1074"/>
  <c r="L28" i="1074" s="1"/>
  <c r="M28" i="1074" s="1"/>
  <c r="B57" i="1073"/>
  <c r="L43" i="1073"/>
  <c r="M30" i="1073"/>
  <c r="L30" i="1073"/>
  <c r="K30" i="1073"/>
  <c r="K18" i="1073"/>
  <c r="K19" i="1073"/>
  <c r="C13" i="1073"/>
  <c r="D13" i="1073"/>
  <c r="E13" i="1073"/>
  <c r="F13" i="1073"/>
  <c r="G13" i="1073"/>
  <c r="I13" i="1073"/>
  <c r="J13" i="1073"/>
  <c r="K13" i="1073"/>
  <c r="L13" i="1073"/>
  <c r="M13" i="1073"/>
  <c r="O13" i="1073"/>
  <c r="C15" i="1073"/>
  <c r="D15" i="1073"/>
  <c r="E15" i="1073"/>
  <c r="F15" i="1073"/>
  <c r="G15" i="1073"/>
  <c r="I15" i="1073"/>
  <c r="J15" i="1073"/>
  <c r="K15" i="1073"/>
  <c r="L15" i="1073"/>
  <c r="M15" i="1073"/>
  <c r="O15" i="1073"/>
  <c r="C16" i="1073"/>
  <c r="D16" i="1073"/>
  <c r="E16" i="1073"/>
  <c r="F16" i="1073"/>
  <c r="G16" i="1073"/>
  <c r="I16" i="1073"/>
  <c r="J16" i="1073"/>
  <c r="K16" i="1073"/>
  <c r="L16" i="1073"/>
  <c r="M16" i="1073"/>
  <c r="O16" i="1073"/>
  <c r="C17" i="1073"/>
  <c r="D17" i="1073"/>
  <c r="E17" i="1073"/>
  <c r="F17" i="1073"/>
  <c r="G17" i="1073"/>
  <c r="I17" i="1073"/>
  <c r="J17" i="1073"/>
  <c r="K17" i="1073"/>
  <c r="L17" i="1073"/>
  <c r="M17" i="1073"/>
  <c r="O17" i="1073"/>
  <c r="C18" i="1073"/>
  <c r="D18" i="1073"/>
  <c r="E18" i="1073"/>
  <c r="F18" i="1073"/>
  <c r="G18" i="1073"/>
  <c r="I18" i="1073"/>
  <c r="J18" i="1073"/>
  <c r="L18" i="1073"/>
  <c r="M18" i="1073"/>
  <c r="O18" i="1073"/>
  <c r="C19" i="1073"/>
  <c r="D19" i="1073"/>
  <c r="E19" i="1073"/>
  <c r="F19" i="1073"/>
  <c r="G19" i="1073"/>
  <c r="I19" i="1073"/>
  <c r="J19" i="1073"/>
  <c r="L19" i="1073"/>
  <c r="M19" i="1073"/>
  <c r="O19" i="1073"/>
  <c r="O14" i="1073"/>
  <c r="M14" i="1073"/>
  <c r="L14" i="1073"/>
  <c r="K14" i="1073"/>
  <c r="J14" i="1073"/>
  <c r="I14" i="1073"/>
  <c r="G14" i="1073"/>
  <c r="F14" i="1073"/>
  <c r="E14" i="1073"/>
  <c r="D14" i="1073"/>
  <c r="C14" i="1073"/>
  <c r="D57" i="1073" l="1"/>
  <c r="L57" i="1073" s="1"/>
  <c r="C70" i="1073" s="1"/>
  <c r="J30" i="1073"/>
  <c r="M28" i="1073"/>
  <c r="L28" i="1073"/>
  <c r="K28" i="1073"/>
  <c r="I11" i="1073"/>
  <c r="J11" i="1073"/>
  <c r="K11" i="1073"/>
  <c r="L11" i="1073"/>
  <c r="M11" i="1073"/>
  <c r="N11" i="1073"/>
  <c r="O11" i="1073"/>
  <c r="D11" i="1073"/>
  <c r="E11" i="1073"/>
  <c r="F11" i="1073"/>
  <c r="G11" i="1073"/>
  <c r="R10" i="1073"/>
  <c r="S10" i="1073"/>
  <c r="T10" i="1073"/>
  <c r="U10" i="1073"/>
  <c r="V10" i="1073"/>
  <c r="W10" i="1073"/>
  <c r="X10" i="1073"/>
  <c r="Y10" i="1073"/>
  <c r="Z10" i="1073"/>
  <c r="R11" i="1073"/>
  <c r="S11" i="1073"/>
  <c r="T11" i="1073"/>
  <c r="U11" i="1073"/>
  <c r="V11" i="1073"/>
  <c r="W11" i="1073"/>
  <c r="X11" i="1073"/>
  <c r="Y11" i="1073"/>
  <c r="Z11" i="1073"/>
  <c r="R13" i="1073"/>
  <c r="S13" i="1073"/>
  <c r="T13" i="1073"/>
  <c r="U13" i="1073"/>
  <c r="V13" i="1073"/>
  <c r="W13" i="1073"/>
  <c r="X13" i="1073"/>
  <c r="Y13" i="1073"/>
  <c r="Z13" i="1073"/>
  <c r="R14" i="1073"/>
  <c r="S14" i="1073"/>
  <c r="T14" i="1073"/>
  <c r="U14" i="1073"/>
  <c r="V14" i="1073"/>
  <c r="W14" i="1073"/>
  <c r="X14" i="1073"/>
  <c r="Y14" i="1073"/>
  <c r="Z14" i="1073"/>
  <c r="R15" i="1073"/>
  <c r="S15" i="1073"/>
  <c r="T15" i="1073"/>
  <c r="U15" i="1073"/>
  <c r="V15" i="1073"/>
  <c r="W15" i="1073"/>
  <c r="X15" i="1073"/>
  <c r="Y15" i="1073"/>
  <c r="Z15" i="1073"/>
  <c r="R16" i="1073"/>
  <c r="S16" i="1073"/>
  <c r="T16" i="1073"/>
  <c r="U16" i="1073"/>
  <c r="V16" i="1073"/>
  <c r="W16" i="1073"/>
  <c r="X16" i="1073"/>
  <c r="Y16" i="1073"/>
  <c r="Z16" i="1073"/>
  <c r="R17" i="1073"/>
  <c r="S17" i="1073"/>
  <c r="T17" i="1073"/>
  <c r="U17" i="1073"/>
  <c r="V17" i="1073"/>
  <c r="W17" i="1073"/>
  <c r="X17" i="1073"/>
  <c r="Y17" i="1073"/>
  <c r="Z17" i="1073"/>
  <c r="R18" i="1073"/>
  <c r="S18" i="1073"/>
  <c r="T18" i="1073"/>
  <c r="U18" i="1073"/>
  <c r="V18" i="1073"/>
  <c r="W18" i="1073"/>
  <c r="X18" i="1073"/>
  <c r="Y18" i="1073"/>
  <c r="Z18" i="1073"/>
  <c r="R19" i="1073"/>
  <c r="S19" i="1073"/>
  <c r="T19" i="1073"/>
  <c r="U19" i="1073"/>
  <c r="V19" i="1073"/>
  <c r="W19" i="1073"/>
  <c r="X19" i="1073"/>
  <c r="Y19" i="1073"/>
  <c r="Z19" i="1073"/>
  <c r="I10" i="1073"/>
  <c r="J10" i="1073"/>
  <c r="K10" i="1073"/>
  <c r="L10" i="1073"/>
  <c r="M10" i="1073"/>
  <c r="N10" i="1073"/>
  <c r="O10" i="1073"/>
  <c r="C10" i="1073"/>
  <c r="D10" i="1073"/>
  <c r="E10" i="1073"/>
  <c r="F10" i="1073"/>
  <c r="G10" i="1073"/>
  <c r="C11" i="1073"/>
  <c r="AX59" i="1073"/>
  <c r="AW59" i="1073"/>
  <c r="AV59" i="1073"/>
  <c r="AU59" i="1073"/>
  <c r="AT59" i="1073"/>
  <c r="AS59" i="1073"/>
  <c r="AR59" i="1073"/>
  <c r="AQ59" i="1073"/>
  <c r="AP59" i="1073"/>
  <c r="AO59" i="1073"/>
  <c r="AN59" i="1073"/>
  <c r="AM59" i="1073"/>
  <c r="AL59" i="1073"/>
  <c r="AK59" i="1073"/>
  <c r="AJ59" i="1073"/>
  <c r="AI59" i="1073"/>
  <c r="AH59" i="1073"/>
  <c r="AG59" i="1073"/>
  <c r="AF59" i="1073"/>
  <c r="AE59" i="1073"/>
  <c r="AD59" i="1073"/>
  <c r="AC59" i="1073"/>
  <c r="AB59" i="1073"/>
  <c r="AX58" i="1073"/>
  <c r="AW58" i="1073"/>
  <c r="AV58" i="1073"/>
  <c r="AU58" i="1073"/>
  <c r="AT58" i="1073"/>
  <c r="AS58" i="1073"/>
  <c r="AR58" i="1073"/>
  <c r="AQ58" i="1073"/>
  <c r="AP58" i="1073"/>
  <c r="AO58" i="1073"/>
  <c r="AN58" i="1073"/>
  <c r="AM58" i="1073"/>
  <c r="AL58" i="1073"/>
  <c r="AK58" i="1073"/>
  <c r="AJ58" i="1073"/>
  <c r="AI58" i="1073"/>
  <c r="AH58" i="1073"/>
  <c r="AG58" i="1073"/>
  <c r="AF58" i="1073"/>
  <c r="AE58" i="1073"/>
  <c r="AD58" i="1073"/>
  <c r="AC58" i="1073"/>
  <c r="AB58" i="1073"/>
  <c r="AX57" i="1073"/>
  <c r="AW57" i="1073"/>
  <c r="AV57" i="1073"/>
  <c r="AU57" i="1073"/>
  <c r="AT57" i="1073"/>
  <c r="AS57" i="1073"/>
  <c r="AR57" i="1073"/>
  <c r="AQ57" i="1073"/>
  <c r="AP57" i="1073"/>
  <c r="AO57" i="1073"/>
  <c r="AN57" i="1073"/>
  <c r="AM57" i="1073"/>
  <c r="AL57" i="1073"/>
  <c r="AK57" i="1073"/>
  <c r="AJ57" i="1073"/>
  <c r="AI57" i="1073"/>
  <c r="AH57" i="1073"/>
  <c r="AG57" i="1073"/>
  <c r="AF57" i="1073"/>
  <c r="AE57" i="1073"/>
  <c r="AD57" i="1073"/>
  <c r="AC57" i="1073"/>
  <c r="AB57" i="1073"/>
  <c r="K52" i="1073"/>
  <c r="M43" i="1073" s="1"/>
  <c r="Z39" i="1073"/>
  <c r="Y39" i="1073"/>
  <c r="X39" i="1073"/>
  <c r="W39" i="1073"/>
  <c r="V39" i="1073"/>
  <c r="U39" i="1073"/>
  <c r="T39" i="1073"/>
  <c r="S39" i="1073"/>
  <c r="R39" i="1073"/>
  <c r="Z38" i="1073"/>
  <c r="Y38" i="1073"/>
  <c r="X38" i="1073"/>
  <c r="W38" i="1073"/>
  <c r="V38" i="1073"/>
  <c r="U38" i="1073"/>
  <c r="T38" i="1073"/>
  <c r="S38" i="1073"/>
  <c r="R38" i="1073"/>
  <c r="Z37" i="1073"/>
  <c r="Y37" i="1073"/>
  <c r="X37" i="1073"/>
  <c r="W37" i="1073"/>
  <c r="V37" i="1073"/>
  <c r="U37" i="1073"/>
  <c r="T37" i="1073"/>
  <c r="S37" i="1073"/>
  <c r="R37" i="1073"/>
  <c r="Z36" i="1073"/>
  <c r="Y36" i="1073"/>
  <c r="X36" i="1073"/>
  <c r="W36" i="1073"/>
  <c r="V36" i="1073"/>
  <c r="U36" i="1073"/>
  <c r="T36" i="1073"/>
  <c r="S36" i="1073"/>
  <c r="R36" i="1073"/>
  <c r="Z35" i="1073"/>
  <c r="Y35" i="1073"/>
  <c r="X35" i="1073"/>
  <c r="W35" i="1073"/>
  <c r="V35" i="1073"/>
  <c r="U35" i="1073"/>
  <c r="T35" i="1073"/>
  <c r="S35" i="1073"/>
  <c r="R35" i="1073"/>
  <c r="Z34" i="1073"/>
  <c r="Y34" i="1073"/>
  <c r="X34" i="1073"/>
  <c r="W34" i="1073"/>
  <c r="V34" i="1073"/>
  <c r="U34" i="1073"/>
  <c r="T34" i="1073"/>
  <c r="S34" i="1073"/>
  <c r="R34" i="1073"/>
  <c r="M34" i="1073"/>
  <c r="Z33" i="1073"/>
  <c r="Y33" i="1073"/>
  <c r="X33" i="1073"/>
  <c r="W33" i="1073"/>
  <c r="V33" i="1073"/>
  <c r="U33" i="1073"/>
  <c r="T33" i="1073"/>
  <c r="S33" i="1073"/>
  <c r="R33" i="1073"/>
  <c r="M33" i="1073"/>
  <c r="L33" i="1073"/>
  <c r="K33" i="1073"/>
  <c r="Z32" i="1073"/>
  <c r="Y32" i="1073"/>
  <c r="X32" i="1073"/>
  <c r="W32" i="1073"/>
  <c r="V32" i="1073"/>
  <c r="U32" i="1073"/>
  <c r="T32" i="1073"/>
  <c r="S32" i="1073"/>
  <c r="R32" i="1073"/>
  <c r="Z31" i="1073"/>
  <c r="Y31" i="1073"/>
  <c r="X31" i="1073"/>
  <c r="W31" i="1073"/>
  <c r="V31" i="1073"/>
  <c r="U31" i="1073"/>
  <c r="T31" i="1073"/>
  <c r="S31" i="1073"/>
  <c r="R31" i="1073"/>
  <c r="M31" i="1073"/>
  <c r="Z30" i="1073"/>
  <c r="Y30" i="1073"/>
  <c r="X30" i="1073"/>
  <c r="W30" i="1073"/>
  <c r="V30" i="1073"/>
  <c r="U30" i="1073"/>
  <c r="T30" i="1073"/>
  <c r="S30" i="1073"/>
  <c r="R30" i="1073"/>
  <c r="Z29" i="1073"/>
  <c r="Y29" i="1073"/>
  <c r="X29" i="1073"/>
  <c r="W29" i="1073"/>
  <c r="V29" i="1073"/>
  <c r="U29" i="1073"/>
  <c r="T29" i="1073"/>
  <c r="S29" i="1073"/>
  <c r="R29" i="1073"/>
  <c r="M29" i="1073"/>
  <c r="L29" i="1073"/>
  <c r="K29" i="1073"/>
  <c r="Z28" i="1073"/>
  <c r="Y28" i="1073"/>
  <c r="X28" i="1073"/>
  <c r="W28" i="1073"/>
  <c r="V28" i="1073"/>
  <c r="U28" i="1073"/>
  <c r="T28" i="1073"/>
  <c r="S28" i="1073"/>
  <c r="R28" i="1073"/>
  <c r="Z27" i="1073"/>
  <c r="Y27" i="1073"/>
  <c r="X27" i="1073"/>
  <c r="W27" i="1073"/>
  <c r="V27" i="1073"/>
  <c r="U27" i="1073"/>
  <c r="T27" i="1073"/>
  <c r="S27" i="1073"/>
  <c r="R27" i="1073"/>
  <c r="Z26" i="1073"/>
  <c r="Y26" i="1073"/>
  <c r="X26" i="1073"/>
  <c r="W26" i="1073"/>
  <c r="V26" i="1073"/>
  <c r="U26" i="1073"/>
  <c r="T26" i="1073"/>
  <c r="S26" i="1073"/>
  <c r="R26" i="1073"/>
  <c r="Z25" i="1073"/>
  <c r="Y25" i="1073"/>
  <c r="X25" i="1073"/>
  <c r="W25" i="1073"/>
  <c r="V25" i="1073"/>
  <c r="U25" i="1073"/>
  <c r="T25" i="1073"/>
  <c r="S25" i="1073"/>
  <c r="R25" i="1073"/>
  <c r="Z24" i="1073"/>
  <c r="Y24" i="1073"/>
  <c r="X24" i="1073"/>
  <c r="W24" i="1073"/>
  <c r="V24" i="1073"/>
  <c r="U24" i="1073"/>
  <c r="T24" i="1073"/>
  <c r="S24" i="1073"/>
  <c r="R24" i="1073"/>
  <c r="Z23" i="1073"/>
  <c r="Y23" i="1073"/>
  <c r="X23" i="1073"/>
  <c r="W23" i="1073"/>
  <c r="V23" i="1073"/>
  <c r="U23" i="1073"/>
  <c r="T23" i="1073"/>
  <c r="S23" i="1073"/>
  <c r="R23" i="1073"/>
  <c r="Z22" i="1073"/>
  <c r="Y22" i="1073"/>
  <c r="X22" i="1073"/>
  <c r="W22" i="1073"/>
  <c r="V22" i="1073"/>
  <c r="U22" i="1073"/>
  <c r="T22" i="1073"/>
  <c r="S22" i="1073"/>
  <c r="R22" i="1073"/>
  <c r="Z21" i="1073"/>
  <c r="Y21" i="1073"/>
  <c r="X21" i="1073"/>
  <c r="W21" i="1073"/>
  <c r="V21" i="1073"/>
  <c r="U21" i="1073"/>
  <c r="T21" i="1073"/>
  <c r="S21" i="1073"/>
  <c r="R21" i="1073"/>
  <c r="Z20" i="1073"/>
  <c r="Y20" i="1073"/>
  <c r="X20" i="1073"/>
  <c r="W20" i="1073"/>
  <c r="V20" i="1073"/>
  <c r="U20" i="1073"/>
  <c r="T20" i="1073"/>
  <c r="S20" i="1073"/>
  <c r="R20" i="1073"/>
  <c r="L42" i="1072"/>
  <c r="K27" i="1072"/>
  <c r="R11" i="1072"/>
  <c r="S11" i="1072"/>
  <c r="T11" i="1072"/>
  <c r="U11" i="1072"/>
  <c r="V11" i="1072"/>
  <c r="W11" i="1072"/>
  <c r="X11" i="1072"/>
  <c r="Y11" i="1072"/>
  <c r="Z11" i="1072"/>
  <c r="R12" i="1072"/>
  <c r="S12" i="1072"/>
  <c r="T12" i="1072"/>
  <c r="U12" i="1072"/>
  <c r="V12" i="1072"/>
  <c r="W12" i="1072"/>
  <c r="X12" i="1072"/>
  <c r="Y12" i="1072"/>
  <c r="Z12" i="1072"/>
  <c r="R13" i="1072"/>
  <c r="S13" i="1072"/>
  <c r="T13" i="1072"/>
  <c r="U13" i="1072"/>
  <c r="V13" i="1072"/>
  <c r="W13" i="1072"/>
  <c r="X13" i="1072"/>
  <c r="Y13" i="1072"/>
  <c r="Z13" i="1072"/>
  <c r="R14" i="1072"/>
  <c r="S14" i="1072"/>
  <c r="T14" i="1072"/>
  <c r="U14" i="1072"/>
  <c r="V14" i="1072"/>
  <c r="W14" i="1072"/>
  <c r="X14" i="1072"/>
  <c r="Y14" i="1072"/>
  <c r="Z14" i="1072"/>
  <c r="R15" i="1072"/>
  <c r="S15" i="1072"/>
  <c r="T15" i="1072"/>
  <c r="U15" i="1072"/>
  <c r="V15" i="1072"/>
  <c r="W15" i="1072"/>
  <c r="X15" i="1072"/>
  <c r="Y15" i="1072"/>
  <c r="Z15" i="1072"/>
  <c r="R16" i="1072"/>
  <c r="S16" i="1072"/>
  <c r="T16" i="1072"/>
  <c r="U16" i="1072"/>
  <c r="V16" i="1072"/>
  <c r="W16" i="1072"/>
  <c r="X16" i="1072"/>
  <c r="Y16" i="1072"/>
  <c r="Z16" i="1072"/>
  <c r="R17" i="1072"/>
  <c r="S17" i="1072"/>
  <c r="T17" i="1072"/>
  <c r="U17" i="1072"/>
  <c r="V17" i="1072"/>
  <c r="W17" i="1072"/>
  <c r="X17" i="1072"/>
  <c r="Y17" i="1072"/>
  <c r="Z17" i="1072"/>
  <c r="R18" i="1072"/>
  <c r="S18" i="1072"/>
  <c r="T18" i="1072"/>
  <c r="U18" i="1072"/>
  <c r="V18" i="1072"/>
  <c r="W18" i="1072"/>
  <c r="X18" i="1072"/>
  <c r="Y18" i="1072"/>
  <c r="Z18" i="1072"/>
  <c r="R19" i="1072"/>
  <c r="S19" i="1072"/>
  <c r="T19" i="1072"/>
  <c r="U19" i="1072"/>
  <c r="V19" i="1072"/>
  <c r="W19" i="1072"/>
  <c r="X19" i="1072"/>
  <c r="Y19" i="1072"/>
  <c r="Z19" i="1072"/>
  <c r="R20" i="1072"/>
  <c r="S20" i="1072"/>
  <c r="T20" i="1072"/>
  <c r="U20" i="1072"/>
  <c r="V20" i="1072"/>
  <c r="W20" i="1072"/>
  <c r="X20" i="1072"/>
  <c r="Y20" i="1072"/>
  <c r="Z20" i="1072"/>
  <c r="R21" i="1072"/>
  <c r="S21" i="1072"/>
  <c r="T21" i="1072"/>
  <c r="U21" i="1072"/>
  <c r="V21" i="1072"/>
  <c r="W21" i="1072"/>
  <c r="X21" i="1072"/>
  <c r="Y21" i="1072"/>
  <c r="Z21" i="1072"/>
  <c r="R22" i="1072"/>
  <c r="S22" i="1072"/>
  <c r="T22" i="1072"/>
  <c r="U22" i="1072"/>
  <c r="V22" i="1072"/>
  <c r="W22" i="1072"/>
  <c r="X22" i="1072"/>
  <c r="Y22" i="1072"/>
  <c r="Z22" i="1072"/>
  <c r="R23" i="1072"/>
  <c r="S23" i="1072"/>
  <c r="T23" i="1072"/>
  <c r="U23" i="1072"/>
  <c r="V23" i="1072"/>
  <c r="W23" i="1072"/>
  <c r="X23" i="1072"/>
  <c r="Y23" i="1072"/>
  <c r="Z23" i="1072"/>
  <c r="R24" i="1072"/>
  <c r="S24" i="1072"/>
  <c r="T24" i="1072"/>
  <c r="U24" i="1072"/>
  <c r="V24" i="1072"/>
  <c r="W24" i="1072"/>
  <c r="X24" i="1072"/>
  <c r="Y24" i="1072"/>
  <c r="Z24" i="1072"/>
  <c r="R25" i="1072"/>
  <c r="S25" i="1072"/>
  <c r="T25" i="1072"/>
  <c r="U25" i="1072"/>
  <c r="V25" i="1072"/>
  <c r="W25" i="1072"/>
  <c r="X25" i="1072"/>
  <c r="Y25" i="1072"/>
  <c r="Z25" i="1072"/>
  <c r="R26" i="1072"/>
  <c r="S26" i="1072"/>
  <c r="T26" i="1072"/>
  <c r="U26" i="1072"/>
  <c r="V26" i="1072"/>
  <c r="W26" i="1072"/>
  <c r="X26" i="1072"/>
  <c r="Y26" i="1072"/>
  <c r="Z26" i="1072"/>
  <c r="R27" i="1072"/>
  <c r="S27" i="1072"/>
  <c r="T27" i="1072"/>
  <c r="U27" i="1072"/>
  <c r="V27" i="1072"/>
  <c r="W27" i="1072"/>
  <c r="X27" i="1072"/>
  <c r="Y27" i="1072"/>
  <c r="Z27" i="1072"/>
  <c r="R28" i="1072"/>
  <c r="S28" i="1072"/>
  <c r="T28" i="1072"/>
  <c r="U28" i="1072"/>
  <c r="V28" i="1072"/>
  <c r="W28" i="1072"/>
  <c r="X28" i="1072"/>
  <c r="Y28" i="1072"/>
  <c r="Z28" i="1072"/>
  <c r="R29" i="1072"/>
  <c r="S29" i="1072"/>
  <c r="T29" i="1072"/>
  <c r="U29" i="1072"/>
  <c r="V29" i="1072"/>
  <c r="W29" i="1072"/>
  <c r="X29" i="1072"/>
  <c r="Y29" i="1072"/>
  <c r="Z29" i="1072"/>
  <c r="I10" i="1072"/>
  <c r="J10" i="1072"/>
  <c r="K10" i="1072"/>
  <c r="L10" i="1072"/>
  <c r="M10" i="1072"/>
  <c r="N10" i="1072"/>
  <c r="O10" i="1072"/>
  <c r="I11" i="1072"/>
  <c r="J11" i="1072"/>
  <c r="K11" i="1072"/>
  <c r="L11" i="1072"/>
  <c r="M11" i="1072"/>
  <c r="N11" i="1072"/>
  <c r="O11" i="1072"/>
  <c r="I12" i="1072"/>
  <c r="J12" i="1072"/>
  <c r="K12" i="1072"/>
  <c r="L12" i="1072"/>
  <c r="M12" i="1072"/>
  <c r="N12" i="1072"/>
  <c r="O12" i="1072"/>
  <c r="I13" i="1072"/>
  <c r="J13" i="1072"/>
  <c r="K13" i="1072"/>
  <c r="L13" i="1072"/>
  <c r="M13" i="1072"/>
  <c r="N13" i="1072"/>
  <c r="O13" i="1072"/>
  <c r="I14" i="1072"/>
  <c r="J14" i="1072"/>
  <c r="K14" i="1072"/>
  <c r="L14" i="1072"/>
  <c r="M14" i="1072"/>
  <c r="N14" i="1072"/>
  <c r="O14" i="1072"/>
  <c r="I15" i="1072"/>
  <c r="J15" i="1072"/>
  <c r="K15" i="1072"/>
  <c r="L15" i="1072"/>
  <c r="M15" i="1072"/>
  <c r="N15" i="1072"/>
  <c r="O15" i="1072"/>
  <c r="I16" i="1072"/>
  <c r="J16" i="1072"/>
  <c r="K16" i="1072"/>
  <c r="L16" i="1072"/>
  <c r="M16" i="1072"/>
  <c r="N16" i="1072"/>
  <c r="O16" i="1072"/>
  <c r="I17" i="1072"/>
  <c r="J17" i="1072"/>
  <c r="K17" i="1072"/>
  <c r="L17" i="1072"/>
  <c r="M17" i="1072"/>
  <c r="N17" i="1072"/>
  <c r="O17" i="1072"/>
  <c r="K18" i="1072"/>
  <c r="L18" i="1072"/>
  <c r="M18" i="1072"/>
  <c r="N18" i="1072"/>
  <c r="O18" i="1072"/>
  <c r="C10" i="1072"/>
  <c r="D10" i="1072"/>
  <c r="E10" i="1072"/>
  <c r="F10" i="1072"/>
  <c r="G10" i="1072"/>
  <c r="C11" i="1072"/>
  <c r="D11" i="1072"/>
  <c r="E11" i="1072"/>
  <c r="F11" i="1072"/>
  <c r="G11" i="1072"/>
  <c r="C12" i="1072"/>
  <c r="D12" i="1072"/>
  <c r="E12" i="1072"/>
  <c r="F12" i="1072"/>
  <c r="G12" i="1072"/>
  <c r="C13" i="1072"/>
  <c r="D13" i="1072"/>
  <c r="E13" i="1072"/>
  <c r="F13" i="1072"/>
  <c r="G13" i="1072"/>
  <c r="C14" i="1072"/>
  <c r="D14" i="1072"/>
  <c r="E14" i="1072"/>
  <c r="F14" i="1072"/>
  <c r="G14" i="1072"/>
  <c r="C15" i="1072"/>
  <c r="D15" i="1072"/>
  <c r="E15" i="1072"/>
  <c r="F15" i="1072"/>
  <c r="G15" i="1072"/>
  <c r="C16" i="1072"/>
  <c r="D16" i="1072"/>
  <c r="E16" i="1072"/>
  <c r="F16" i="1072"/>
  <c r="G16" i="1072"/>
  <c r="C17" i="1072"/>
  <c r="D17" i="1072"/>
  <c r="E17" i="1072"/>
  <c r="F17" i="1072"/>
  <c r="G17" i="1072"/>
  <c r="C18" i="1072"/>
  <c r="D18" i="1072"/>
  <c r="E18" i="1072"/>
  <c r="F18" i="1072"/>
  <c r="G18" i="1072"/>
  <c r="AX58" i="1072"/>
  <c r="AW58" i="1072"/>
  <c r="AV58" i="1072"/>
  <c r="AU58" i="1072"/>
  <c r="AT58" i="1072"/>
  <c r="AS58" i="1072"/>
  <c r="AR58" i="1072"/>
  <c r="AQ58" i="1072"/>
  <c r="AP58" i="1072"/>
  <c r="AO58" i="1072"/>
  <c r="AN58" i="1072"/>
  <c r="AM58" i="1072"/>
  <c r="AL58" i="1072"/>
  <c r="AK58" i="1072"/>
  <c r="AJ58" i="1072"/>
  <c r="AI58" i="1072"/>
  <c r="AH58" i="1072"/>
  <c r="AG58" i="1072"/>
  <c r="AF58" i="1072"/>
  <c r="AE58" i="1072"/>
  <c r="AD58" i="1072"/>
  <c r="AC58" i="1072"/>
  <c r="AB58" i="1072"/>
  <c r="AX57" i="1072"/>
  <c r="AW57" i="1072"/>
  <c r="AV57" i="1072"/>
  <c r="AU57" i="1072"/>
  <c r="AT57" i="1072"/>
  <c r="AS57" i="1072"/>
  <c r="AR57" i="1072"/>
  <c r="AQ57" i="1072"/>
  <c r="AP57" i="1072"/>
  <c r="AO57" i="1072"/>
  <c r="AN57" i="1072"/>
  <c r="AM57" i="1072"/>
  <c r="AL57" i="1072"/>
  <c r="AK57" i="1072"/>
  <c r="AJ57" i="1072"/>
  <c r="AI57" i="1072"/>
  <c r="AH57" i="1072"/>
  <c r="AG57" i="1072"/>
  <c r="AF57" i="1072"/>
  <c r="AE57" i="1072"/>
  <c r="AD57" i="1072"/>
  <c r="AC57" i="1072"/>
  <c r="AB57" i="1072"/>
  <c r="AX56" i="1072"/>
  <c r="AW56" i="1072"/>
  <c r="AV56" i="1072"/>
  <c r="AU56" i="1072"/>
  <c r="AT56" i="1072"/>
  <c r="AS56" i="1072"/>
  <c r="AR56" i="1072"/>
  <c r="AQ56" i="1072"/>
  <c r="AP56" i="1072"/>
  <c r="AO56" i="1072"/>
  <c r="AN56" i="1072"/>
  <c r="AM56" i="1072"/>
  <c r="AL56" i="1072"/>
  <c r="AK56" i="1072"/>
  <c r="AJ56" i="1072"/>
  <c r="AI56" i="1072"/>
  <c r="AH56" i="1072"/>
  <c r="AG56" i="1072"/>
  <c r="AF56" i="1072"/>
  <c r="AE56" i="1072"/>
  <c r="AD56" i="1072"/>
  <c r="AC56" i="1072"/>
  <c r="AB56" i="1072"/>
  <c r="L56" i="1072"/>
  <c r="K51" i="1072"/>
  <c r="M42" i="1072"/>
  <c r="Z38" i="1072"/>
  <c r="Y38" i="1072"/>
  <c r="X38" i="1072"/>
  <c r="W38" i="1072"/>
  <c r="V38" i="1072"/>
  <c r="U38" i="1072"/>
  <c r="T38" i="1072"/>
  <c r="S38" i="1072"/>
  <c r="R38" i="1072"/>
  <c r="Z37" i="1072"/>
  <c r="Y37" i="1072"/>
  <c r="X37" i="1072"/>
  <c r="W37" i="1072"/>
  <c r="V37" i="1072"/>
  <c r="U37" i="1072"/>
  <c r="T37" i="1072"/>
  <c r="S37" i="1072"/>
  <c r="R37" i="1072"/>
  <c r="Z36" i="1072"/>
  <c r="Y36" i="1072"/>
  <c r="X36" i="1072"/>
  <c r="W36" i="1072"/>
  <c r="V36" i="1072"/>
  <c r="U36" i="1072"/>
  <c r="T36" i="1072"/>
  <c r="S36" i="1072"/>
  <c r="R36" i="1072"/>
  <c r="Z35" i="1072"/>
  <c r="Y35" i="1072"/>
  <c r="X35" i="1072"/>
  <c r="W35" i="1072"/>
  <c r="V35" i="1072"/>
  <c r="U35" i="1072"/>
  <c r="T35" i="1072"/>
  <c r="S35" i="1072"/>
  <c r="R35" i="1072"/>
  <c r="Z34" i="1072"/>
  <c r="Y34" i="1072"/>
  <c r="X34" i="1072"/>
  <c r="W34" i="1072"/>
  <c r="V34" i="1072"/>
  <c r="U34" i="1072"/>
  <c r="T34" i="1072"/>
  <c r="S34" i="1072"/>
  <c r="R34" i="1072"/>
  <c r="Z33" i="1072"/>
  <c r="Y33" i="1072"/>
  <c r="X33" i="1072"/>
  <c r="W33" i="1072"/>
  <c r="V33" i="1072"/>
  <c r="U33" i="1072"/>
  <c r="T33" i="1072"/>
  <c r="S33" i="1072"/>
  <c r="R33" i="1072"/>
  <c r="M33" i="1072"/>
  <c r="Z32" i="1072"/>
  <c r="Y32" i="1072"/>
  <c r="X32" i="1072"/>
  <c r="W32" i="1072"/>
  <c r="V32" i="1072"/>
  <c r="U32" i="1072"/>
  <c r="T32" i="1072"/>
  <c r="S32" i="1072"/>
  <c r="R32" i="1072"/>
  <c r="M32" i="1072"/>
  <c r="L32" i="1072"/>
  <c r="K32" i="1072"/>
  <c r="Z31" i="1072"/>
  <c r="Y31" i="1072"/>
  <c r="X31" i="1072"/>
  <c r="W31" i="1072"/>
  <c r="V31" i="1072"/>
  <c r="U31" i="1072"/>
  <c r="T31" i="1072"/>
  <c r="S31" i="1072"/>
  <c r="R31" i="1072"/>
  <c r="Z30" i="1072"/>
  <c r="Y30" i="1072"/>
  <c r="X30" i="1072"/>
  <c r="W30" i="1072"/>
  <c r="V30" i="1072"/>
  <c r="U30" i="1072"/>
  <c r="T30" i="1072"/>
  <c r="S30" i="1072"/>
  <c r="R30" i="1072"/>
  <c r="M30" i="1072"/>
  <c r="M29" i="1072"/>
  <c r="M28" i="1072"/>
  <c r="L28" i="1072"/>
  <c r="K28" i="1072"/>
  <c r="Z10" i="1072"/>
  <c r="Y10" i="1072"/>
  <c r="X10" i="1072"/>
  <c r="W10" i="1072"/>
  <c r="V10" i="1072"/>
  <c r="U10" i="1072"/>
  <c r="T10" i="1072"/>
  <c r="S10" i="1072"/>
  <c r="R10" i="1072"/>
  <c r="G66" i="1071"/>
  <c r="K53" i="1071"/>
  <c r="K66" i="1071" s="1"/>
  <c r="G53" i="1071"/>
  <c r="J28" i="1073" l="1"/>
  <c r="K37" i="1072"/>
  <c r="D53" i="1071"/>
  <c r="L53" i="1071" s="1"/>
  <c r="C66" i="1071" s="1"/>
  <c r="K38" i="1073"/>
  <c r="L38" i="1073" s="1"/>
  <c r="M38" i="1073" s="1"/>
  <c r="M24" i="1071"/>
  <c r="L24" i="1071"/>
  <c r="K24" i="1071"/>
  <c r="I16" i="1071"/>
  <c r="J16" i="1071"/>
  <c r="K16" i="1071"/>
  <c r="L16" i="1071"/>
  <c r="M16" i="1071"/>
  <c r="N16" i="1071"/>
  <c r="O16" i="1071"/>
  <c r="C16" i="1071"/>
  <c r="D16" i="1071"/>
  <c r="E16" i="1071"/>
  <c r="F16" i="1071"/>
  <c r="G16" i="1071"/>
  <c r="B53" i="1071"/>
  <c r="L39" i="1071"/>
  <c r="M39" i="1071" s="1"/>
  <c r="R10" i="1071"/>
  <c r="S10" i="1071"/>
  <c r="T10" i="1071"/>
  <c r="U10" i="1071"/>
  <c r="V10" i="1071"/>
  <c r="W10" i="1071"/>
  <c r="X10" i="1071"/>
  <c r="Y10" i="1071"/>
  <c r="Z10" i="1071"/>
  <c r="R11" i="1071"/>
  <c r="S11" i="1071"/>
  <c r="T11" i="1071"/>
  <c r="U11" i="1071"/>
  <c r="V11" i="1071"/>
  <c r="W11" i="1071"/>
  <c r="X11" i="1071"/>
  <c r="Y11" i="1071"/>
  <c r="Z11" i="1071"/>
  <c r="R12" i="1071"/>
  <c r="S12" i="1071"/>
  <c r="T12" i="1071"/>
  <c r="U12" i="1071"/>
  <c r="V12" i="1071"/>
  <c r="W12" i="1071"/>
  <c r="X12" i="1071"/>
  <c r="Y12" i="1071"/>
  <c r="Z12" i="1071"/>
  <c r="R13" i="1071"/>
  <c r="S13" i="1071"/>
  <c r="T13" i="1071"/>
  <c r="U13" i="1071"/>
  <c r="V13" i="1071"/>
  <c r="W13" i="1071"/>
  <c r="X13" i="1071"/>
  <c r="Y13" i="1071"/>
  <c r="Z13" i="1071"/>
  <c r="R14" i="1071"/>
  <c r="S14" i="1071"/>
  <c r="T14" i="1071"/>
  <c r="U14" i="1071"/>
  <c r="V14" i="1071"/>
  <c r="W14" i="1071"/>
  <c r="X14" i="1071"/>
  <c r="Y14" i="1071"/>
  <c r="Z14" i="1071"/>
  <c r="R15" i="1071"/>
  <c r="S15" i="1071"/>
  <c r="T15" i="1071"/>
  <c r="U15" i="1071"/>
  <c r="V15" i="1071"/>
  <c r="W15" i="1071"/>
  <c r="X15" i="1071"/>
  <c r="Y15" i="1071"/>
  <c r="Z15" i="1071"/>
  <c r="R16" i="1071"/>
  <c r="S16" i="1071"/>
  <c r="T16" i="1071"/>
  <c r="U16" i="1071"/>
  <c r="V16" i="1071"/>
  <c r="W16" i="1071"/>
  <c r="X16" i="1071"/>
  <c r="Y16" i="1071"/>
  <c r="Z16" i="1071"/>
  <c r="R17" i="1071"/>
  <c r="S17" i="1071"/>
  <c r="T17" i="1071"/>
  <c r="U17" i="1071"/>
  <c r="V17" i="1071"/>
  <c r="W17" i="1071"/>
  <c r="X17" i="1071"/>
  <c r="Y17" i="1071"/>
  <c r="Z17" i="1071"/>
  <c r="R18" i="1071"/>
  <c r="S18" i="1071"/>
  <c r="T18" i="1071"/>
  <c r="U18" i="1071"/>
  <c r="V18" i="1071"/>
  <c r="W18" i="1071"/>
  <c r="X18" i="1071"/>
  <c r="Y18" i="1071"/>
  <c r="Z18" i="1071"/>
  <c r="I10" i="1071"/>
  <c r="J10" i="1071"/>
  <c r="K10" i="1071"/>
  <c r="L10" i="1071"/>
  <c r="M10" i="1071"/>
  <c r="N10" i="1071"/>
  <c r="O10" i="1071"/>
  <c r="I11" i="1071"/>
  <c r="J11" i="1071"/>
  <c r="K11" i="1071"/>
  <c r="L11" i="1071"/>
  <c r="M11" i="1071"/>
  <c r="N11" i="1071"/>
  <c r="O11" i="1071"/>
  <c r="I12" i="1071"/>
  <c r="J12" i="1071"/>
  <c r="K12" i="1071"/>
  <c r="L12" i="1071"/>
  <c r="M12" i="1071"/>
  <c r="N12" i="1071"/>
  <c r="O12" i="1071"/>
  <c r="I13" i="1071"/>
  <c r="J13" i="1071"/>
  <c r="K13" i="1071"/>
  <c r="L13" i="1071"/>
  <c r="M13" i="1071"/>
  <c r="N13" i="1071"/>
  <c r="O13" i="1071"/>
  <c r="I14" i="1071"/>
  <c r="J14" i="1071"/>
  <c r="K14" i="1071"/>
  <c r="L14" i="1071"/>
  <c r="M14" i="1071"/>
  <c r="N14" i="1071"/>
  <c r="O14" i="1071"/>
  <c r="I15" i="1071"/>
  <c r="J15" i="1071"/>
  <c r="K15" i="1071"/>
  <c r="L15" i="1071"/>
  <c r="M15" i="1071"/>
  <c r="N15" i="1071"/>
  <c r="O15" i="1071"/>
  <c r="C10" i="1071"/>
  <c r="D10" i="1071"/>
  <c r="E10" i="1071"/>
  <c r="F10" i="1071"/>
  <c r="G10" i="1071"/>
  <c r="C11" i="1071"/>
  <c r="D11" i="1071"/>
  <c r="E11" i="1071"/>
  <c r="F11" i="1071"/>
  <c r="G11" i="1071"/>
  <c r="C12" i="1071"/>
  <c r="D12" i="1071"/>
  <c r="E12" i="1071"/>
  <c r="F12" i="1071"/>
  <c r="G12" i="1071"/>
  <c r="C13" i="1071"/>
  <c r="D13" i="1071"/>
  <c r="E13" i="1071"/>
  <c r="F13" i="1071"/>
  <c r="G13" i="1071"/>
  <c r="C14" i="1071"/>
  <c r="D14" i="1071"/>
  <c r="E14" i="1071"/>
  <c r="F14" i="1071"/>
  <c r="G14" i="1071"/>
  <c r="C15" i="1071"/>
  <c r="D15" i="1071"/>
  <c r="E15" i="1071"/>
  <c r="F15" i="1071"/>
  <c r="G15" i="1071"/>
  <c r="AX55" i="1071"/>
  <c r="AW55" i="1071"/>
  <c r="AV55" i="1071"/>
  <c r="AU55" i="1071"/>
  <c r="AT55" i="1071"/>
  <c r="AS55" i="1071"/>
  <c r="AR55" i="1071"/>
  <c r="AQ55" i="1071"/>
  <c r="AP55" i="1071"/>
  <c r="AO55" i="1071"/>
  <c r="AN55" i="1071"/>
  <c r="AM55" i="1071"/>
  <c r="AL55" i="1071"/>
  <c r="AK55" i="1071"/>
  <c r="AJ55" i="1071"/>
  <c r="AI55" i="1071"/>
  <c r="AH55" i="1071"/>
  <c r="AG55" i="1071"/>
  <c r="AF55" i="1071"/>
  <c r="AE55" i="1071"/>
  <c r="AD55" i="1071"/>
  <c r="AC55" i="1071"/>
  <c r="AB55" i="1071"/>
  <c r="AX54" i="1071"/>
  <c r="AW54" i="1071"/>
  <c r="AV54" i="1071"/>
  <c r="AU54" i="1071"/>
  <c r="AT54" i="1071"/>
  <c r="AS54" i="1071"/>
  <c r="AR54" i="1071"/>
  <c r="AQ54" i="1071"/>
  <c r="AP54" i="1071"/>
  <c r="AO54" i="1071"/>
  <c r="AN54" i="1071"/>
  <c r="AM54" i="1071"/>
  <c r="AL54" i="1071"/>
  <c r="AK54" i="1071"/>
  <c r="AJ54" i="1071"/>
  <c r="AI54" i="1071"/>
  <c r="AH54" i="1071"/>
  <c r="AG54" i="1071"/>
  <c r="AF54" i="1071"/>
  <c r="AE54" i="1071"/>
  <c r="AD54" i="1071"/>
  <c r="AC54" i="1071"/>
  <c r="AB54" i="1071"/>
  <c r="AX53" i="1071"/>
  <c r="AW53" i="1071"/>
  <c r="AV53" i="1071"/>
  <c r="AU53" i="1071"/>
  <c r="AT53" i="1071"/>
  <c r="AS53" i="1071"/>
  <c r="AR53" i="1071"/>
  <c r="AQ53" i="1071"/>
  <c r="AP53" i="1071"/>
  <c r="AO53" i="1071"/>
  <c r="AN53" i="1071"/>
  <c r="AM53" i="1071"/>
  <c r="AL53" i="1071"/>
  <c r="AK53" i="1071"/>
  <c r="AJ53" i="1071"/>
  <c r="AI53" i="1071"/>
  <c r="AH53" i="1071"/>
  <c r="AG53" i="1071"/>
  <c r="AF53" i="1071"/>
  <c r="AE53" i="1071"/>
  <c r="AD53" i="1071"/>
  <c r="AC53" i="1071"/>
  <c r="AB53" i="1071"/>
  <c r="K48" i="1071"/>
  <c r="Z35" i="1071"/>
  <c r="Y35" i="1071"/>
  <c r="X35" i="1071"/>
  <c r="W35" i="1071"/>
  <c r="V35" i="1071"/>
  <c r="U35" i="1071"/>
  <c r="T35" i="1071"/>
  <c r="S35" i="1071"/>
  <c r="R35" i="1071"/>
  <c r="Z34" i="1071"/>
  <c r="Y34" i="1071"/>
  <c r="X34" i="1071"/>
  <c r="W34" i="1071"/>
  <c r="V34" i="1071"/>
  <c r="U34" i="1071"/>
  <c r="T34" i="1071"/>
  <c r="S34" i="1071"/>
  <c r="R34" i="1071"/>
  <c r="Z33" i="1071"/>
  <c r="Y33" i="1071"/>
  <c r="X33" i="1071"/>
  <c r="W33" i="1071"/>
  <c r="V33" i="1071"/>
  <c r="U33" i="1071"/>
  <c r="T33" i="1071"/>
  <c r="S33" i="1071"/>
  <c r="R33" i="1071"/>
  <c r="Z32" i="1071"/>
  <c r="Y32" i="1071"/>
  <c r="X32" i="1071"/>
  <c r="W32" i="1071"/>
  <c r="V32" i="1071"/>
  <c r="U32" i="1071"/>
  <c r="T32" i="1071"/>
  <c r="S32" i="1071"/>
  <c r="R32" i="1071"/>
  <c r="Z31" i="1071"/>
  <c r="Y31" i="1071"/>
  <c r="X31" i="1071"/>
  <c r="W31" i="1071"/>
  <c r="V31" i="1071"/>
  <c r="U31" i="1071"/>
  <c r="T31" i="1071"/>
  <c r="S31" i="1071"/>
  <c r="R31" i="1071"/>
  <c r="Z30" i="1071"/>
  <c r="Y30" i="1071"/>
  <c r="X30" i="1071"/>
  <c r="W30" i="1071"/>
  <c r="V30" i="1071"/>
  <c r="U30" i="1071"/>
  <c r="T30" i="1071"/>
  <c r="S30" i="1071"/>
  <c r="R30" i="1071"/>
  <c r="M30" i="1071"/>
  <c r="Z29" i="1071"/>
  <c r="Y29" i="1071"/>
  <c r="X29" i="1071"/>
  <c r="W29" i="1071"/>
  <c r="V29" i="1071"/>
  <c r="U29" i="1071"/>
  <c r="T29" i="1071"/>
  <c r="S29" i="1071"/>
  <c r="R29" i="1071"/>
  <c r="M29" i="1071"/>
  <c r="L29" i="1071"/>
  <c r="K29" i="1071"/>
  <c r="Z28" i="1071"/>
  <c r="Y28" i="1071"/>
  <c r="X28" i="1071"/>
  <c r="W28" i="1071"/>
  <c r="V28" i="1071"/>
  <c r="U28" i="1071"/>
  <c r="T28" i="1071"/>
  <c r="S28" i="1071"/>
  <c r="R28" i="1071"/>
  <c r="Z27" i="1071"/>
  <c r="Y27" i="1071"/>
  <c r="X27" i="1071"/>
  <c r="W27" i="1071"/>
  <c r="V27" i="1071"/>
  <c r="U27" i="1071"/>
  <c r="T27" i="1071"/>
  <c r="S27" i="1071"/>
  <c r="R27" i="1071"/>
  <c r="M27" i="1071"/>
  <c r="Z26" i="1071"/>
  <c r="Y26" i="1071"/>
  <c r="X26" i="1071"/>
  <c r="W26" i="1071"/>
  <c r="V26" i="1071"/>
  <c r="U26" i="1071"/>
  <c r="T26" i="1071"/>
  <c r="S26" i="1071"/>
  <c r="R26" i="1071"/>
  <c r="M26" i="1071"/>
  <c r="Z25" i="1071"/>
  <c r="Y25" i="1071"/>
  <c r="X25" i="1071"/>
  <c r="W25" i="1071"/>
  <c r="V25" i="1071"/>
  <c r="U25" i="1071"/>
  <c r="T25" i="1071"/>
  <c r="S25" i="1071"/>
  <c r="R25" i="1071"/>
  <c r="M25" i="1071"/>
  <c r="L25" i="1071"/>
  <c r="K25" i="1071"/>
  <c r="Z24" i="1071"/>
  <c r="Y24" i="1071"/>
  <c r="X24" i="1071"/>
  <c r="W24" i="1071"/>
  <c r="V24" i="1071"/>
  <c r="U24" i="1071"/>
  <c r="T24" i="1071"/>
  <c r="S24" i="1071"/>
  <c r="R24" i="1071"/>
  <c r="Z23" i="1071"/>
  <c r="Y23" i="1071"/>
  <c r="X23" i="1071"/>
  <c r="W23" i="1071"/>
  <c r="V23" i="1071"/>
  <c r="U23" i="1071"/>
  <c r="T23" i="1071"/>
  <c r="S23" i="1071"/>
  <c r="R23" i="1071"/>
  <c r="Z22" i="1071"/>
  <c r="Y22" i="1071"/>
  <c r="X22" i="1071"/>
  <c r="W22" i="1071"/>
  <c r="V22" i="1071"/>
  <c r="U22" i="1071"/>
  <c r="T22" i="1071"/>
  <c r="S22" i="1071"/>
  <c r="R22" i="1071"/>
  <c r="Z21" i="1071"/>
  <c r="Y21" i="1071"/>
  <c r="X21" i="1071"/>
  <c r="W21" i="1071"/>
  <c r="V21" i="1071"/>
  <c r="U21" i="1071"/>
  <c r="T21" i="1071"/>
  <c r="S21" i="1071"/>
  <c r="R21" i="1071"/>
  <c r="Z20" i="1071"/>
  <c r="Y20" i="1071"/>
  <c r="X20" i="1071"/>
  <c r="W20" i="1071"/>
  <c r="V20" i="1071"/>
  <c r="U20" i="1071"/>
  <c r="T20" i="1071"/>
  <c r="S20" i="1071"/>
  <c r="R20" i="1071"/>
  <c r="Z19" i="1071"/>
  <c r="Y19" i="1071"/>
  <c r="X19" i="1071"/>
  <c r="W19" i="1071"/>
  <c r="V19" i="1071"/>
  <c r="U19" i="1071"/>
  <c r="T19" i="1071"/>
  <c r="S19" i="1071"/>
  <c r="R19" i="1071"/>
  <c r="K50" i="1070"/>
  <c r="K63" i="1070" s="1"/>
  <c r="G50" i="1070"/>
  <c r="J24" i="1071" l="1"/>
  <c r="K34" i="1071"/>
  <c r="L34" i="1071" s="1"/>
  <c r="M34" i="1071" s="1"/>
  <c r="L36" i="1070"/>
  <c r="M21" i="1070"/>
  <c r="L21" i="1070"/>
  <c r="K21" i="1070"/>
  <c r="R10" i="1070"/>
  <c r="S10" i="1070"/>
  <c r="T10" i="1070"/>
  <c r="U10" i="1070"/>
  <c r="V10" i="1070"/>
  <c r="W10" i="1070"/>
  <c r="X10" i="1070"/>
  <c r="Y10" i="1070"/>
  <c r="Z10" i="1070"/>
  <c r="R11" i="1070"/>
  <c r="S11" i="1070"/>
  <c r="T11" i="1070"/>
  <c r="U11" i="1070"/>
  <c r="V11" i="1070"/>
  <c r="W11" i="1070"/>
  <c r="X11" i="1070"/>
  <c r="Y11" i="1070"/>
  <c r="Z11" i="1070"/>
  <c r="R12" i="1070"/>
  <c r="S12" i="1070"/>
  <c r="T12" i="1070"/>
  <c r="U12" i="1070"/>
  <c r="V12" i="1070"/>
  <c r="W12" i="1070"/>
  <c r="X12" i="1070"/>
  <c r="Y12" i="1070"/>
  <c r="Z12" i="1070"/>
  <c r="R13" i="1070"/>
  <c r="S13" i="1070"/>
  <c r="T13" i="1070"/>
  <c r="U13" i="1070"/>
  <c r="V13" i="1070"/>
  <c r="W13" i="1070"/>
  <c r="X13" i="1070"/>
  <c r="Y13" i="1070"/>
  <c r="Z13" i="1070"/>
  <c r="R14" i="1070"/>
  <c r="S14" i="1070"/>
  <c r="T14" i="1070"/>
  <c r="U14" i="1070"/>
  <c r="V14" i="1070"/>
  <c r="W14" i="1070"/>
  <c r="X14" i="1070"/>
  <c r="Y14" i="1070"/>
  <c r="Z14" i="1070"/>
  <c r="R15" i="1070"/>
  <c r="S15" i="1070"/>
  <c r="T15" i="1070"/>
  <c r="U15" i="1070"/>
  <c r="V15" i="1070"/>
  <c r="W15" i="1070"/>
  <c r="X15" i="1070"/>
  <c r="Y15" i="1070"/>
  <c r="Z15" i="1070"/>
  <c r="I10" i="1070"/>
  <c r="J10" i="1070"/>
  <c r="K10" i="1070"/>
  <c r="L10" i="1070"/>
  <c r="M10" i="1070"/>
  <c r="N10" i="1070"/>
  <c r="O10" i="1070"/>
  <c r="I11" i="1070"/>
  <c r="J11" i="1070"/>
  <c r="K11" i="1070"/>
  <c r="L11" i="1070"/>
  <c r="M11" i="1070"/>
  <c r="N11" i="1070"/>
  <c r="O11" i="1070"/>
  <c r="I12" i="1070"/>
  <c r="J12" i="1070"/>
  <c r="K12" i="1070"/>
  <c r="L12" i="1070"/>
  <c r="M12" i="1070"/>
  <c r="N12" i="1070"/>
  <c r="O12" i="1070"/>
  <c r="I13" i="1070"/>
  <c r="J13" i="1070"/>
  <c r="K13" i="1070"/>
  <c r="L13" i="1070"/>
  <c r="M13" i="1070"/>
  <c r="N13" i="1070"/>
  <c r="O13" i="1070"/>
  <c r="I14" i="1070"/>
  <c r="J14" i="1070"/>
  <c r="K14" i="1070"/>
  <c r="L14" i="1070"/>
  <c r="M14" i="1070"/>
  <c r="N14" i="1070"/>
  <c r="O14" i="1070"/>
  <c r="I15" i="1070"/>
  <c r="J15" i="1070"/>
  <c r="K15" i="1070"/>
  <c r="L15" i="1070"/>
  <c r="M15" i="1070"/>
  <c r="N15" i="1070"/>
  <c r="O15" i="1070"/>
  <c r="C10" i="1070"/>
  <c r="D10" i="1070"/>
  <c r="E10" i="1070"/>
  <c r="F10" i="1070"/>
  <c r="G10" i="1070"/>
  <c r="C11" i="1070"/>
  <c r="D11" i="1070"/>
  <c r="E11" i="1070"/>
  <c r="F11" i="1070"/>
  <c r="G11" i="1070"/>
  <c r="C12" i="1070"/>
  <c r="D12" i="1070"/>
  <c r="E12" i="1070"/>
  <c r="F12" i="1070"/>
  <c r="G12" i="1070"/>
  <c r="C13" i="1070"/>
  <c r="D13" i="1070"/>
  <c r="E13" i="1070"/>
  <c r="F13" i="1070"/>
  <c r="G13" i="1070"/>
  <c r="C14" i="1070"/>
  <c r="D14" i="1070"/>
  <c r="E14" i="1070"/>
  <c r="F14" i="1070"/>
  <c r="G14" i="1070"/>
  <c r="C15" i="1070"/>
  <c r="D15" i="1070"/>
  <c r="E15" i="1070"/>
  <c r="F15" i="1070"/>
  <c r="G15" i="1070"/>
  <c r="B50" i="1070"/>
  <c r="AX52" i="1070"/>
  <c r="AW52" i="1070"/>
  <c r="AV52" i="1070"/>
  <c r="AU52" i="1070"/>
  <c r="AT52" i="1070"/>
  <c r="AS52" i="1070"/>
  <c r="AR52" i="1070"/>
  <c r="AQ52" i="1070"/>
  <c r="AP52" i="1070"/>
  <c r="AO52" i="1070"/>
  <c r="AN52" i="1070"/>
  <c r="AM52" i="1070"/>
  <c r="AL52" i="1070"/>
  <c r="AK52" i="1070"/>
  <c r="AJ52" i="1070"/>
  <c r="AI52" i="1070"/>
  <c r="AH52" i="1070"/>
  <c r="AG52" i="1070"/>
  <c r="AF52" i="1070"/>
  <c r="AE52" i="1070"/>
  <c r="AD52" i="1070"/>
  <c r="AC52" i="1070"/>
  <c r="AB52" i="1070"/>
  <c r="AX51" i="1070"/>
  <c r="AW51" i="1070"/>
  <c r="AV51" i="1070"/>
  <c r="AU51" i="1070"/>
  <c r="AT51" i="1070"/>
  <c r="AS51" i="1070"/>
  <c r="AR51" i="1070"/>
  <c r="AQ51" i="1070"/>
  <c r="AP51" i="1070"/>
  <c r="AO51" i="1070"/>
  <c r="AN51" i="1070"/>
  <c r="AM51" i="1070"/>
  <c r="AL51" i="1070"/>
  <c r="AK51" i="1070"/>
  <c r="AJ51" i="1070"/>
  <c r="AI51" i="1070"/>
  <c r="AH51" i="1070"/>
  <c r="AG51" i="1070"/>
  <c r="AF51" i="1070"/>
  <c r="AE51" i="1070"/>
  <c r="AD51" i="1070"/>
  <c r="AC51" i="1070"/>
  <c r="AB51" i="1070"/>
  <c r="AX50" i="1070"/>
  <c r="AW50" i="1070"/>
  <c r="AV50" i="1070"/>
  <c r="AU50" i="1070"/>
  <c r="AT50" i="1070"/>
  <c r="AS50" i="1070"/>
  <c r="AR50" i="1070"/>
  <c r="AQ50" i="1070"/>
  <c r="AP50" i="1070"/>
  <c r="AO50" i="1070"/>
  <c r="AN50" i="1070"/>
  <c r="AM50" i="1070"/>
  <c r="AL50" i="1070"/>
  <c r="AK50" i="1070"/>
  <c r="AJ50" i="1070"/>
  <c r="AI50" i="1070"/>
  <c r="AH50" i="1070"/>
  <c r="AG50" i="1070"/>
  <c r="AF50" i="1070"/>
  <c r="AE50" i="1070"/>
  <c r="AD50" i="1070"/>
  <c r="AC50" i="1070"/>
  <c r="AB50" i="1070"/>
  <c r="K45" i="1070"/>
  <c r="M36" i="1070"/>
  <c r="Z32" i="1070"/>
  <c r="Y32" i="1070"/>
  <c r="X32" i="1070"/>
  <c r="W32" i="1070"/>
  <c r="V32" i="1070"/>
  <c r="U32" i="1070"/>
  <c r="T32" i="1070"/>
  <c r="S32" i="1070"/>
  <c r="R32" i="1070"/>
  <c r="Z31" i="1070"/>
  <c r="Y31" i="1070"/>
  <c r="X31" i="1070"/>
  <c r="W31" i="1070"/>
  <c r="V31" i="1070"/>
  <c r="U31" i="1070"/>
  <c r="T31" i="1070"/>
  <c r="S31" i="1070"/>
  <c r="R31" i="1070"/>
  <c r="Z30" i="1070"/>
  <c r="Y30" i="1070"/>
  <c r="X30" i="1070"/>
  <c r="W30" i="1070"/>
  <c r="V30" i="1070"/>
  <c r="U30" i="1070"/>
  <c r="T30" i="1070"/>
  <c r="S30" i="1070"/>
  <c r="R30" i="1070"/>
  <c r="Z29" i="1070"/>
  <c r="Y29" i="1070"/>
  <c r="X29" i="1070"/>
  <c r="W29" i="1070"/>
  <c r="V29" i="1070"/>
  <c r="U29" i="1070"/>
  <c r="T29" i="1070"/>
  <c r="S29" i="1070"/>
  <c r="R29" i="1070"/>
  <c r="Z28" i="1070"/>
  <c r="Y28" i="1070"/>
  <c r="X28" i="1070"/>
  <c r="W28" i="1070"/>
  <c r="V28" i="1070"/>
  <c r="U28" i="1070"/>
  <c r="T28" i="1070"/>
  <c r="S28" i="1070"/>
  <c r="R28" i="1070"/>
  <c r="Z27" i="1070"/>
  <c r="Y27" i="1070"/>
  <c r="X27" i="1070"/>
  <c r="W27" i="1070"/>
  <c r="V27" i="1070"/>
  <c r="U27" i="1070"/>
  <c r="T27" i="1070"/>
  <c r="S27" i="1070"/>
  <c r="R27" i="1070"/>
  <c r="M27" i="1070"/>
  <c r="Z26" i="1070"/>
  <c r="Y26" i="1070"/>
  <c r="X26" i="1070"/>
  <c r="W26" i="1070"/>
  <c r="V26" i="1070"/>
  <c r="U26" i="1070"/>
  <c r="T26" i="1070"/>
  <c r="S26" i="1070"/>
  <c r="R26" i="1070"/>
  <c r="M26" i="1070"/>
  <c r="L26" i="1070"/>
  <c r="K26" i="1070"/>
  <c r="Z25" i="1070"/>
  <c r="Y25" i="1070"/>
  <c r="X25" i="1070"/>
  <c r="W25" i="1070"/>
  <c r="V25" i="1070"/>
  <c r="U25" i="1070"/>
  <c r="T25" i="1070"/>
  <c r="S25" i="1070"/>
  <c r="R25" i="1070"/>
  <c r="Z24" i="1070"/>
  <c r="Y24" i="1070"/>
  <c r="X24" i="1070"/>
  <c r="W24" i="1070"/>
  <c r="V24" i="1070"/>
  <c r="U24" i="1070"/>
  <c r="T24" i="1070"/>
  <c r="S24" i="1070"/>
  <c r="R24" i="1070"/>
  <c r="M24" i="1070"/>
  <c r="Z23" i="1070"/>
  <c r="Y23" i="1070"/>
  <c r="X23" i="1070"/>
  <c r="W23" i="1070"/>
  <c r="V23" i="1070"/>
  <c r="U23" i="1070"/>
  <c r="T23" i="1070"/>
  <c r="S23" i="1070"/>
  <c r="R23" i="1070"/>
  <c r="M23" i="1070"/>
  <c r="Z22" i="1070"/>
  <c r="Y22" i="1070"/>
  <c r="X22" i="1070"/>
  <c r="W22" i="1070"/>
  <c r="V22" i="1070"/>
  <c r="U22" i="1070"/>
  <c r="T22" i="1070"/>
  <c r="S22" i="1070"/>
  <c r="R22" i="1070"/>
  <c r="M22" i="1070"/>
  <c r="L22" i="1070"/>
  <c r="K22" i="1070"/>
  <c r="Z21" i="1070"/>
  <c r="Y21" i="1070"/>
  <c r="X21" i="1070"/>
  <c r="W21" i="1070"/>
  <c r="V21" i="1070"/>
  <c r="U21" i="1070"/>
  <c r="T21" i="1070"/>
  <c r="S21" i="1070"/>
  <c r="R21" i="1070"/>
  <c r="Z20" i="1070"/>
  <c r="Y20" i="1070"/>
  <c r="X20" i="1070"/>
  <c r="W20" i="1070"/>
  <c r="V20" i="1070"/>
  <c r="U20" i="1070"/>
  <c r="T20" i="1070"/>
  <c r="S20" i="1070"/>
  <c r="R20" i="1070"/>
  <c r="Z19" i="1070"/>
  <c r="Y19" i="1070"/>
  <c r="X19" i="1070"/>
  <c r="W19" i="1070"/>
  <c r="V19" i="1070"/>
  <c r="U19" i="1070"/>
  <c r="T19" i="1070"/>
  <c r="S19" i="1070"/>
  <c r="R19" i="1070"/>
  <c r="Z18" i="1070"/>
  <c r="Y18" i="1070"/>
  <c r="X18" i="1070"/>
  <c r="W18" i="1070"/>
  <c r="V18" i="1070"/>
  <c r="U18" i="1070"/>
  <c r="T18" i="1070"/>
  <c r="S18" i="1070"/>
  <c r="R18" i="1070"/>
  <c r="Z17" i="1070"/>
  <c r="Y17" i="1070"/>
  <c r="X17" i="1070"/>
  <c r="W17" i="1070"/>
  <c r="V17" i="1070"/>
  <c r="U17" i="1070"/>
  <c r="T17" i="1070"/>
  <c r="S17" i="1070"/>
  <c r="R17" i="1070"/>
  <c r="Z16" i="1070"/>
  <c r="Y16" i="1070"/>
  <c r="X16" i="1070"/>
  <c r="W16" i="1070"/>
  <c r="V16" i="1070"/>
  <c r="U16" i="1070"/>
  <c r="T16" i="1070"/>
  <c r="S16" i="1070"/>
  <c r="R16" i="1070"/>
  <c r="K52" i="1069"/>
  <c r="J21" i="1070" l="1"/>
  <c r="K31" i="1070"/>
  <c r="L31" i="1070" s="1"/>
  <c r="M31" i="1070" s="1"/>
  <c r="G52" i="1069"/>
  <c r="E52" i="1069"/>
  <c r="B52" i="1069"/>
  <c r="K50" i="1069"/>
  <c r="K68" i="1069" s="1"/>
  <c r="E50" i="1069"/>
  <c r="G50" i="1069"/>
  <c r="G67" i="1068" l="1"/>
  <c r="B50" i="1069"/>
  <c r="L36" i="1069"/>
  <c r="M21" i="1069"/>
  <c r="L21" i="1069"/>
  <c r="K21" i="1069"/>
  <c r="R14" i="1069"/>
  <c r="S14" i="1069"/>
  <c r="T14" i="1069"/>
  <c r="U14" i="1069"/>
  <c r="V14" i="1069"/>
  <c r="W14" i="1069"/>
  <c r="X14" i="1069"/>
  <c r="Y14" i="1069"/>
  <c r="Z14" i="1069"/>
  <c r="R15" i="1069"/>
  <c r="S15" i="1069"/>
  <c r="T15" i="1069"/>
  <c r="U15" i="1069"/>
  <c r="V15" i="1069"/>
  <c r="W15" i="1069"/>
  <c r="X15" i="1069"/>
  <c r="Y15" i="1069"/>
  <c r="Z15" i="1069"/>
  <c r="R16" i="1069"/>
  <c r="S16" i="1069"/>
  <c r="T16" i="1069"/>
  <c r="U16" i="1069"/>
  <c r="V16" i="1069"/>
  <c r="W16" i="1069"/>
  <c r="X16" i="1069"/>
  <c r="Y16" i="1069"/>
  <c r="Z16" i="1069"/>
  <c r="R17" i="1069"/>
  <c r="S17" i="1069"/>
  <c r="T17" i="1069"/>
  <c r="U17" i="1069"/>
  <c r="V17" i="1069"/>
  <c r="W17" i="1069"/>
  <c r="X17" i="1069"/>
  <c r="Y17" i="1069"/>
  <c r="Z17" i="1069"/>
  <c r="R18" i="1069"/>
  <c r="S18" i="1069"/>
  <c r="T18" i="1069"/>
  <c r="U18" i="1069"/>
  <c r="V18" i="1069"/>
  <c r="W18" i="1069"/>
  <c r="X18" i="1069"/>
  <c r="Y18" i="1069"/>
  <c r="Z18" i="1069"/>
  <c r="R19" i="1069"/>
  <c r="S19" i="1069"/>
  <c r="T19" i="1069"/>
  <c r="U19" i="1069"/>
  <c r="V19" i="1069"/>
  <c r="W19" i="1069"/>
  <c r="X19" i="1069"/>
  <c r="Y19" i="1069"/>
  <c r="Z19" i="1069"/>
  <c r="R20" i="1069"/>
  <c r="S20" i="1069"/>
  <c r="T20" i="1069"/>
  <c r="U20" i="1069"/>
  <c r="V20" i="1069"/>
  <c r="W20" i="1069"/>
  <c r="X20" i="1069"/>
  <c r="Y20" i="1069"/>
  <c r="Z20" i="1069"/>
  <c r="R21" i="1069"/>
  <c r="S21" i="1069"/>
  <c r="T21" i="1069"/>
  <c r="U21" i="1069"/>
  <c r="V21" i="1069"/>
  <c r="W21" i="1069"/>
  <c r="X21" i="1069"/>
  <c r="Y21" i="1069"/>
  <c r="Z21" i="1069"/>
  <c r="R22" i="1069"/>
  <c r="S22" i="1069"/>
  <c r="T22" i="1069"/>
  <c r="U22" i="1069"/>
  <c r="V22" i="1069"/>
  <c r="W22" i="1069"/>
  <c r="X22" i="1069"/>
  <c r="Y22" i="1069"/>
  <c r="Z22" i="1069"/>
  <c r="R23" i="1069"/>
  <c r="S23" i="1069"/>
  <c r="T23" i="1069"/>
  <c r="U23" i="1069"/>
  <c r="V23" i="1069"/>
  <c r="W23" i="1069"/>
  <c r="X23" i="1069"/>
  <c r="Y23" i="1069"/>
  <c r="Z23" i="1069"/>
  <c r="I15" i="1069"/>
  <c r="J15" i="1069"/>
  <c r="K15" i="1069"/>
  <c r="L15" i="1069"/>
  <c r="M15" i="1069"/>
  <c r="N15" i="1069"/>
  <c r="O15" i="1069"/>
  <c r="C15" i="1069"/>
  <c r="D15" i="1069"/>
  <c r="E15" i="1069"/>
  <c r="F15" i="1069"/>
  <c r="G15" i="1069"/>
  <c r="I11" i="1069"/>
  <c r="J11" i="1069"/>
  <c r="K11" i="1069"/>
  <c r="L11" i="1069"/>
  <c r="M11" i="1069"/>
  <c r="N11" i="1069"/>
  <c r="O11" i="1069"/>
  <c r="I12" i="1069"/>
  <c r="J12" i="1069"/>
  <c r="K12" i="1069"/>
  <c r="L12" i="1069"/>
  <c r="M12" i="1069"/>
  <c r="N12" i="1069"/>
  <c r="O12" i="1069"/>
  <c r="I13" i="1069"/>
  <c r="J13" i="1069"/>
  <c r="K13" i="1069"/>
  <c r="L13" i="1069"/>
  <c r="M13" i="1069"/>
  <c r="N13" i="1069"/>
  <c r="O13" i="1069"/>
  <c r="I14" i="1069"/>
  <c r="J14" i="1069"/>
  <c r="K14" i="1069"/>
  <c r="L14" i="1069"/>
  <c r="M14" i="1069"/>
  <c r="N14" i="1069"/>
  <c r="O14" i="1069"/>
  <c r="C11" i="1069"/>
  <c r="D11" i="1069"/>
  <c r="E11" i="1069"/>
  <c r="F11" i="1069"/>
  <c r="G11" i="1069"/>
  <c r="C12" i="1069"/>
  <c r="D12" i="1069"/>
  <c r="E12" i="1069"/>
  <c r="F12" i="1069"/>
  <c r="G12" i="1069"/>
  <c r="C13" i="1069"/>
  <c r="D13" i="1069"/>
  <c r="E13" i="1069"/>
  <c r="F13" i="1069"/>
  <c r="G13" i="1069"/>
  <c r="C14" i="1069"/>
  <c r="D14" i="1069"/>
  <c r="E14" i="1069"/>
  <c r="F14" i="1069"/>
  <c r="G14" i="1069"/>
  <c r="AX52" i="1069"/>
  <c r="AW52" i="1069"/>
  <c r="AV52" i="1069"/>
  <c r="AU52" i="1069"/>
  <c r="AT52" i="1069"/>
  <c r="AS52" i="1069"/>
  <c r="AR52" i="1069"/>
  <c r="AQ52" i="1069"/>
  <c r="AP52" i="1069"/>
  <c r="AO52" i="1069"/>
  <c r="AN52" i="1069"/>
  <c r="AM52" i="1069"/>
  <c r="AL52" i="1069"/>
  <c r="AK52" i="1069"/>
  <c r="AJ52" i="1069"/>
  <c r="AI52" i="1069"/>
  <c r="AH52" i="1069"/>
  <c r="AG52" i="1069"/>
  <c r="AF52" i="1069"/>
  <c r="AE52" i="1069"/>
  <c r="AD52" i="1069"/>
  <c r="AC52" i="1069"/>
  <c r="AB52" i="1069"/>
  <c r="AX51" i="1069"/>
  <c r="AW51" i="1069"/>
  <c r="AV51" i="1069"/>
  <c r="AU51" i="1069"/>
  <c r="AT51" i="1069"/>
  <c r="AS51" i="1069"/>
  <c r="AR51" i="1069"/>
  <c r="AQ51" i="1069"/>
  <c r="AP51" i="1069"/>
  <c r="AO51" i="1069"/>
  <c r="AN51" i="1069"/>
  <c r="AM51" i="1069"/>
  <c r="AL51" i="1069"/>
  <c r="AK51" i="1069"/>
  <c r="AJ51" i="1069"/>
  <c r="AI51" i="1069"/>
  <c r="AH51" i="1069"/>
  <c r="AG51" i="1069"/>
  <c r="AF51" i="1069"/>
  <c r="AE51" i="1069"/>
  <c r="AD51" i="1069"/>
  <c r="AC51" i="1069"/>
  <c r="AB51" i="1069"/>
  <c r="AX50" i="1069"/>
  <c r="AW50" i="1069"/>
  <c r="AV50" i="1069"/>
  <c r="AU50" i="1069"/>
  <c r="AT50" i="1069"/>
  <c r="AS50" i="1069"/>
  <c r="AR50" i="1069"/>
  <c r="AQ50" i="1069"/>
  <c r="AP50" i="1069"/>
  <c r="AO50" i="1069"/>
  <c r="AN50" i="1069"/>
  <c r="AM50" i="1069"/>
  <c r="AL50" i="1069"/>
  <c r="AK50" i="1069"/>
  <c r="AJ50" i="1069"/>
  <c r="AI50" i="1069"/>
  <c r="AH50" i="1069"/>
  <c r="AG50" i="1069"/>
  <c r="AF50" i="1069"/>
  <c r="AE50" i="1069"/>
  <c r="AD50" i="1069"/>
  <c r="AC50" i="1069"/>
  <c r="AB50" i="1069"/>
  <c r="K45" i="1069"/>
  <c r="M36" i="1069"/>
  <c r="Z32" i="1069"/>
  <c r="Y32" i="1069"/>
  <c r="X32" i="1069"/>
  <c r="W32" i="1069"/>
  <c r="V32" i="1069"/>
  <c r="U32" i="1069"/>
  <c r="T32" i="1069"/>
  <c r="S32" i="1069"/>
  <c r="R32" i="1069"/>
  <c r="Z31" i="1069"/>
  <c r="Y31" i="1069"/>
  <c r="X31" i="1069"/>
  <c r="W31" i="1069"/>
  <c r="V31" i="1069"/>
  <c r="U31" i="1069"/>
  <c r="T31" i="1069"/>
  <c r="S31" i="1069"/>
  <c r="R31" i="1069"/>
  <c r="Z30" i="1069"/>
  <c r="Y30" i="1069"/>
  <c r="X30" i="1069"/>
  <c r="W30" i="1069"/>
  <c r="V30" i="1069"/>
  <c r="U30" i="1069"/>
  <c r="T30" i="1069"/>
  <c r="S30" i="1069"/>
  <c r="R30" i="1069"/>
  <c r="Z29" i="1069"/>
  <c r="Y29" i="1069"/>
  <c r="X29" i="1069"/>
  <c r="W29" i="1069"/>
  <c r="V29" i="1069"/>
  <c r="U29" i="1069"/>
  <c r="T29" i="1069"/>
  <c r="S29" i="1069"/>
  <c r="R29" i="1069"/>
  <c r="Z28" i="1069"/>
  <c r="Y28" i="1069"/>
  <c r="X28" i="1069"/>
  <c r="W28" i="1069"/>
  <c r="V28" i="1069"/>
  <c r="U28" i="1069"/>
  <c r="T28" i="1069"/>
  <c r="S28" i="1069"/>
  <c r="R28" i="1069"/>
  <c r="Z27" i="1069"/>
  <c r="Y27" i="1069"/>
  <c r="X27" i="1069"/>
  <c r="W27" i="1069"/>
  <c r="V27" i="1069"/>
  <c r="U27" i="1069"/>
  <c r="T27" i="1069"/>
  <c r="S27" i="1069"/>
  <c r="R27" i="1069"/>
  <c r="M27" i="1069"/>
  <c r="Z26" i="1069"/>
  <c r="Y26" i="1069"/>
  <c r="X26" i="1069"/>
  <c r="W26" i="1069"/>
  <c r="V26" i="1069"/>
  <c r="U26" i="1069"/>
  <c r="T26" i="1069"/>
  <c r="S26" i="1069"/>
  <c r="R26" i="1069"/>
  <c r="M26" i="1069"/>
  <c r="L26" i="1069"/>
  <c r="K26" i="1069"/>
  <c r="Z25" i="1069"/>
  <c r="Y25" i="1069"/>
  <c r="X25" i="1069"/>
  <c r="W25" i="1069"/>
  <c r="V25" i="1069"/>
  <c r="U25" i="1069"/>
  <c r="T25" i="1069"/>
  <c r="S25" i="1069"/>
  <c r="R25" i="1069"/>
  <c r="Z24" i="1069"/>
  <c r="Y24" i="1069"/>
  <c r="X24" i="1069"/>
  <c r="W24" i="1069"/>
  <c r="V24" i="1069"/>
  <c r="U24" i="1069"/>
  <c r="T24" i="1069"/>
  <c r="S24" i="1069"/>
  <c r="R24" i="1069"/>
  <c r="M24" i="1069"/>
  <c r="M23" i="1069"/>
  <c r="M22" i="1069"/>
  <c r="L22" i="1069"/>
  <c r="K22" i="1069"/>
  <c r="Z13" i="1069"/>
  <c r="Y13" i="1069"/>
  <c r="X13" i="1069"/>
  <c r="W13" i="1069"/>
  <c r="V13" i="1069"/>
  <c r="U13" i="1069"/>
  <c r="T13" i="1069"/>
  <c r="S13" i="1069"/>
  <c r="R13" i="1069"/>
  <c r="Z12" i="1069"/>
  <c r="Y12" i="1069"/>
  <c r="X12" i="1069"/>
  <c r="W12" i="1069"/>
  <c r="V12" i="1069"/>
  <c r="U12" i="1069"/>
  <c r="T12" i="1069"/>
  <c r="S12" i="1069"/>
  <c r="R12" i="1069"/>
  <c r="Z11" i="1069"/>
  <c r="Y11" i="1069"/>
  <c r="X11" i="1069"/>
  <c r="W11" i="1069"/>
  <c r="V11" i="1069"/>
  <c r="U11" i="1069"/>
  <c r="T11" i="1069"/>
  <c r="S11" i="1069"/>
  <c r="R11" i="1069"/>
  <c r="Z10" i="1069"/>
  <c r="Y10" i="1069"/>
  <c r="X10" i="1069"/>
  <c r="W10" i="1069"/>
  <c r="V10" i="1069"/>
  <c r="U10" i="1069"/>
  <c r="T10" i="1069"/>
  <c r="S10" i="1069"/>
  <c r="R10" i="1069"/>
  <c r="O10" i="1069"/>
  <c r="N10" i="1069"/>
  <c r="M10" i="1069"/>
  <c r="L10" i="1069"/>
  <c r="K10" i="1069"/>
  <c r="J10" i="1069"/>
  <c r="I10" i="1069"/>
  <c r="G10" i="1069"/>
  <c r="F10" i="1069"/>
  <c r="E10" i="1069"/>
  <c r="D10" i="1069"/>
  <c r="C10" i="1069"/>
  <c r="K54" i="1068"/>
  <c r="G54" i="1068"/>
  <c r="K31" i="1069" l="1"/>
  <c r="L31" i="1069" s="1"/>
  <c r="M31" i="1069" s="1"/>
  <c r="J21" i="1069"/>
  <c r="D54" i="1068"/>
  <c r="D55" i="1067" l="1"/>
  <c r="L40" i="1068"/>
  <c r="K25" i="1068"/>
  <c r="R12" i="1068"/>
  <c r="S12" i="1068"/>
  <c r="T12" i="1068"/>
  <c r="U12" i="1068"/>
  <c r="V12" i="1068"/>
  <c r="W12" i="1068"/>
  <c r="X12" i="1068"/>
  <c r="Y12" i="1068"/>
  <c r="Z12" i="1068"/>
  <c r="R13" i="1068"/>
  <c r="S13" i="1068"/>
  <c r="T13" i="1068"/>
  <c r="U13" i="1068"/>
  <c r="V13" i="1068"/>
  <c r="W13" i="1068"/>
  <c r="X13" i="1068"/>
  <c r="Y13" i="1068"/>
  <c r="Z13" i="1068"/>
  <c r="R14" i="1068"/>
  <c r="S14" i="1068"/>
  <c r="T14" i="1068"/>
  <c r="U14" i="1068"/>
  <c r="V14" i="1068"/>
  <c r="W14" i="1068"/>
  <c r="X14" i="1068"/>
  <c r="Y14" i="1068"/>
  <c r="Z14" i="1068"/>
  <c r="R15" i="1068"/>
  <c r="S15" i="1068"/>
  <c r="T15" i="1068"/>
  <c r="U15" i="1068"/>
  <c r="V15" i="1068"/>
  <c r="W15" i="1068"/>
  <c r="X15" i="1068"/>
  <c r="Y15" i="1068"/>
  <c r="Z15" i="1068"/>
  <c r="R17" i="1068"/>
  <c r="S17" i="1068"/>
  <c r="T17" i="1068"/>
  <c r="U17" i="1068"/>
  <c r="V17" i="1068"/>
  <c r="W17" i="1068"/>
  <c r="X17" i="1068"/>
  <c r="Y17" i="1068"/>
  <c r="Z17" i="1068"/>
  <c r="R18" i="1068"/>
  <c r="S18" i="1068"/>
  <c r="T18" i="1068"/>
  <c r="U18" i="1068"/>
  <c r="V18" i="1068"/>
  <c r="W18" i="1068"/>
  <c r="X18" i="1068"/>
  <c r="Y18" i="1068"/>
  <c r="Z18" i="1068"/>
  <c r="R19" i="1068"/>
  <c r="S19" i="1068"/>
  <c r="T19" i="1068"/>
  <c r="U19" i="1068"/>
  <c r="V19" i="1068"/>
  <c r="W19" i="1068"/>
  <c r="X19" i="1068"/>
  <c r="Y19" i="1068"/>
  <c r="Z19" i="1068"/>
  <c r="R20" i="1068"/>
  <c r="S20" i="1068"/>
  <c r="T20" i="1068"/>
  <c r="U20" i="1068"/>
  <c r="V20" i="1068"/>
  <c r="W20" i="1068"/>
  <c r="X20" i="1068"/>
  <c r="Y20" i="1068"/>
  <c r="Z20" i="1068"/>
  <c r="R21" i="1068"/>
  <c r="S21" i="1068"/>
  <c r="T21" i="1068"/>
  <c r="U21" i="1068"/>
  <c r="V21" i="1068"/>
  <c r="W21" i="1068"/>
  <c r="X21" i="1068"/>
  <c r="Y21" i="1068"/>
  <c r="Z21" i="1068"/>
  <c r="R22" i="1068"/>
  <c r="S22" i="1068"/>
  <c r="T22" i="1068"/>
  <c r="U22" i="1068"/>
  <c r="V22" i="1068"/>
  <c r="W22" i="1068"/>
  <c r="X22" i="1068"/>
  <c r="Y22" i="1068"/>
  <c r="Z22" i="1068"/>
  <c r="R23" i="1068"/>
  <c r="S23" i="1068"/>
  <c r="T23" i="1068"/>
  <c r="U23" i="1068"/>
  <c r="V23" i="1068"/>
  <c r="W23" i="1068"/>
  <c r="X23" i="1068"/>
  <c r="Y23" i="1068"/>
  <c r="Z23" i="1068"/>
  <c r="R24" i="1068"/>
  <c r="S24" i="1068"/>
  <c r="T24" i="1068"/>
  <c r="U24" i="1068"/>
  <c r="V24" i="1068"/>
  <c r="W24" i="1068"/>
  <c r="X24" i="1068"/>
  <c r="Y24" i="1068"/>
  <c r="Z24" i="1068"/>
  <c r="R25" i="1068"/>
  <c r="S25" i="1068"/>
  <c r="T25" i="1068"/>
  <c r="U25" i="1068"/>
  <c r="V25" i="1068"/>
  <c r="W25" i="1068"/>
  <c r="X25" i="1068"/>
  <c r="Y25" i="1068"/>
  <c r="Z25" i="1068"/>
  <c r="R26" i="1068"/>
  <c r="S26" i="1068"/>
  <c r="T26" i="1068"/>
  <c r="U26" i="1068"/>
  <c r="V26" i="1068"/>
  <c r="W26" i="1068"/>
  <c r="X26" i="1068"/>
  <c r="Y26" i="1068"/>
  <c r="Z26" i="1068"/>
  <c r="K10" i="1068"/>
  <c r="L10" i="1068"/>
  <c r="M10" i="1068"/>
  <c r="N10" i="1068"/>
  <c r="O10" i="1068"/>
  <c r="K11" i="1068"/>
  <c r="L11" i="1068"/>
  <c r="M11" i="1068"/>
  <c r="N11" i="1068"/>
  <c r="O11" i="1068"/>
  <c r="K12" i="1068"/>
  <c r="L12" i="1068"/>
  <c r="M12" i="1068"/>
  <c r="N12" i="1068"/>
  <c r="O12" i="1068"/>
  <c r="K13" i="1068"/>
  <c r="L13" i="1068"/>
  <c r="M13" i="1068"/>
  <c r="N13" i="1068"/>
  <c r="O13" i="1068"/>
  <c r="K14" i="1068"/>
  <c r="L14" i="1068"/>
  <c r="M14" i="1068"/>
  <c r="N14" i="1068"/>
  <c r="O14" i="1068"/>
  <c r="K15" i="1068"/>
  <c r="L15" i="1068"/>
  <c r="M15" i="1068"/>
  <c r="N15" i="1068"/>
  <c r="O15" i="1068"/>
  <c r="K17" i="1068"/>
  <c r="L17" i="1068"/>
  <c r="M17" i="1068"/>
  <c r="N17" i="1068"/>
  <c r="O17" i="1068"/>
  <c r="C10" i="1068"/>
  <c r="D10" i="1068"/>
  <c r="E10" i="1068"/>
  <c r="F10" i="1068"/>
  <c r="G10" i="1068"/>
  <c r="C11" i="1068"/>
  <c r="D11" i="1068"/>
  <c r="E11" i="1068"/>
  <c r="F11" i="1068"/>
  <c r="G11" i="1068"/>
  <c r="C12" i="1068"/>
  <c r="D12" i="1068"/>
  <c r="E12" i="1068"/>
  <c r="F12" i="1068"/>
  <c r="G12" i="1068"/>
  <c r="C13" i="1068"/>
  <c r="D13" i="1068"/>
  <c r="E13" i="1068"/>
  <c r="F13" i="1068"/>
  <c r="G13" i="1068"/>
  <c r="C14" i="1068"/>
  <c r="D14" i="1068"/>
  <c r="E14" i="1068"/>
  <c r="F14" i="1068"/>
  <c r="G14" i="1068"/>
  <c r="C15" i="1068"/>
  <c r="D15" i="1068"/>
  <c r="E15" i="1068"/>
  <c r="F15" i="1068"/>
  <c r="G15" i="1068"/>
  <c r="C17" i="1068"/>
  <c r="D17" i="1068"/>
  <c r="E17" i="1068"/>
  <c r="F17" i="1068"/>
  <c r="G17" i="1068"/>
  <c r="AX56" i="1068"/>
  <c r="AW56" i="1068"/>
  <c r="AV56" i="1068"/>
  <c r="AU56" i="1068"/>
  <c r="AT56" i="1068"/>
  <c r="AS56" i="1068"/>
  <c r="AR56" i="1068"/>
  <c r="AQ56" i="1068"/>
  <c r="AP56" i="1068"/>
  <c r="AO56" i="1068"/>
  <c r="AN56" i="1068"/>
  <c r="AM56" i="1068"/>
  <c r="AL56" i="1068"/>
  <c r="AK56" i="1068"/>
  <c r="AJ56" i="1068"/>
  <c r="AI56" i="1068"/>
  <c r="AH56" i="1068"/>
  <c r="AG56" i="1068"/>
  <c r="AF56" i="1068"/>
  <c r="AE56" i="1068"/>
  <c r="AD56" i="1068"/>
  <c r="AC56" i="1068"/>
  <c r="AB56" i="1068"/>
  <c r="AX55" i="1068"/>
  <c r="AW55" i="1068"/>
  <c r="AV55" i="1068"/>
  <c r="AU55" i="1068"/>
  <c r="AT55" i="1068"/>
  <c r="AS55" i="1068"/>
  <c r="AR55" i="1068"/>
  <c r="AQ55" i="1068"/>
  <c r="AP55" i="1068"/>
  <c r="AO55" i="1068"/>
  <c r="AN55" i="1068"/>
  <c r="AM55" i="1068"/>
  <c r="AL55" i="1068"/>
  <c r="AK55" i="1068"/>
  <c r="AJ55" i="1068"/>
  <c r="AI55" i="1068"/>
  <c r="AH55" i="1068"/>
  <c r="AG55" i="1068"/>
  <c r="AF55" i="1068"/>
  <c r="AE55" i="1068"/>
  <c r="AD55" i="1068"/>
  <c r="AC55" i="1068"/>
  <c r="AB55" i="1068"/>
  <c r="AX54" i="1068"/>
  <c r="AW54" i="1068"/>
  <c r="AV54" i="1068"/>
  <c r="AU54" i="1068"/>
  <c r="AT54" i="1068"/>
  <c r="AS54" i="1068"/>
  <c r="AR54" i="1068"/>
  <c r="AQ54" i="1068"/>
  <c r="AP54" i="1068"/>
  <c r="AO54" i="1068"/>
  <c r="AN54" i="1068"/>
  <c r="AM54" i="1068"/>
  <c r="AL54" i="1068"/>
  <c r="AK54" i="1068"/>
  <c r="AJ54" i="1068"/>
  <c r="AI54" i="1068"/>
  <c r="AH54" i="1068"/>
  <c r="AG54" i="1068"/>
  <c r="AF54" i="1068"/>
  <c r="AE54" i="1068"/>
  <c r="AD54" i="1068"/>
  <c r="AC54" i="1068"/>
  <c r="AB54" i="1068"/>
  <c r="B54" i="1068"/>
  <c r="K49" i="1068"/>
  <c r="Z36" i="1068"/>
  <c r="Y36" i="1068"/>
  <c r="X36" i="1068"/>
  <c r="W36" i="1068"/>
  <c r="V36" i="1068"/>
  <c r="U36" i="1068"/>
  <c r="T36" i="1068"/>
  <c r="S36" i="1068"/>
  <c r="R36" i="1068"/>
  <c r="Z35" i="1068"/>
  <c r="Y35" i="1068"/>
  <c r="X35" i="1068"/>
  <c r="W35" i="1068"/>
  <c r="V35" i="1068"/>
  <c r="U35" i="1068"/>
  <c r="T35" i="1068"/>
  <c r="S35" i="1068"/>
  <c r="R35" i="1068"/>
  <c r="Z34" i="1068"/>
  <c r="Y34" i="1068"/>
  <c r="X34" i="1068"/>
  <c r="W34" i="1068"/>
  <c r="V34" i="1068"/>
  <c r="U34" i="1068"/>
  <c r="T34" i="1068"/>
  <c r="S34" i="1068"/>
  <c r="R34" i="1068"/>
  <c r="Z33" i="1068"/>
  <c r="Y33" i="1068"/>
  <c r="X33" i="1068"/>
  <c r="W33" i="1068"/>
  <c r="V33" i="1068"/>
  <c r="U33" i="1068"/>
  <c r="T33" i="1068"/>
  <c r="S33" i="1068"/>
  <c r="R33" i="1068"/>
  <c r="Z32" i="1068"/>
  <c r="Y32" i="1068"/>
  <c r="X32" i="1068"/>
  <c r="W32" i="1068"/>
  <c r="V32" i="1068"/>
  <c r="U32" i="1068"/>
  <c r="T32" i="1068"/>
  <c r="S32" i="1068"/>
  <c r="R32" i="1068"/>
  <c r="Z31" i="1068"/>
  <c r="Y31" i="1068"/>
  <c r="X31" i="1068"/>
  <c r="W31" i="1068"/>
  <c r="V31" i="1068"/>
  <c r="U31" i="1068"/>
  <c r="T31" i="1068"/>
  <c r="S31" i="1068"/>
  <c r="R31" i="1068"/>
  <c r="M31" i="1068"/>
  <c r="Z30" i="1068"/>
  <c r="Y30" i="1068"/>
  <c r="X30" i="1068"/>
  <c r="W30" i="1068"/>
  <c r="V30" i="1068"/>
  <c r="U30" i="1068"/>
  <c r="T30" i="1068"/>
  <c r="S30" i="1068"/>
  <c r="R30" i="1068"/>
  <c r="M30" i="1068"/>
  <c r="L30" i="1068"/>
  <c r="K30" i="1068"/>
  <c r="Z29" i="1068"/>
  <c r="Y29" i="1068"/>
  <c r="X29" i="1068"/>
  <c r="W29" i="1068"/>
  <c r="V29" i="1068"/>
  <c r="U29" i="1068"/>
  <c r="T29" i="1068"/>
  <c r="S29" i="1068"/>
  <c r="R29" i="1068"/>
  <c r="Z28" i="1068"/>
  <c r="Y28" i="1068"/>
  <c r="X28" i="1068"/>
  <c r="W28" i="1068"/>
  <c r="V28" i="1068"/>
  <c r="U28" i="1068"/>
  <c r="T28" i="1068"/>
  <c r="S28" i="1068"/>
  <c r="R28" i="1068"/>
  <c r="M28" i="1068"/>
  <c r="Z27" i="1068"/>
  <c r="Y27" i="1068"/>
  <c r="X27" i="1068"/>
  <c r="W27" i="1068"/>
  <c r="V27" i="1068"/>
  <c r="U27" i="1068"/>
  <c r="T27" i="1068"/>
  <c r="S27" i="1068"/>
  <c r="R27" i="1068"/>
  <c r="M27" i="1068"/>
  <c r="M26" i="1068"/>
  <c r="L26" i="1068"/>
  <c r="K26" i="1068"/>
  <c r="Z11" i="1068"/>
  <c r="Y11" i="1068"/>
  <c r="X11" i="1068"/>
  <c r="W11" i="1068"/>
  <c r="V11" i="1068"/>
  <c r="U11" i="1068"/>
  <c r="T11" i="1068"/>
  <c r="S11" i="1068"/>
  <c r="R11" i="1068"/>
  <c r="Z10" i="1068"/>
  <c r="Y10" i="1068"/>
  <c r="X10" i="1068"/>
  <c r="W10" i="1068"/>
  <c r="V10" i="1068"/>
  <c r="U10" i="1068"/>
  <c r="T10" i="1068"/>
  <c r="S10" i="1068"/>
  <c r="R10" i="1068"/>
  <c r="B57" i="1067"/>
  <c r="G57" i="1067"/>
  <c r="G55" i="1067"/>
  <c r="D57" i="1067"/>
  <c r="L57" i="1067" s="1"/>
  <c r="M40" i="1068" l="1"/>
  <c r="K35" i="1068"/>
  <c r="L54" i="1068"/>
  <c r="C67" i="1068" s="1"/>
  <c r="G66" i="1066"/>
  <c r="R11" i="1067"/>
  <c r="S11" i="1067"/>
  <c r="T11" i="1067"/>
  <c r="U11" i="1067"/>
  <c r="V11" i="1067"/>
  <c r="W11" i="1067"/>
  <c r="X11" i="1067"/>
  <c r="Y11" i="1067"/>
  <c r="Z11" i="1067"/>
  <c r="R12" i="1067"/>
  <c r="S12" i="1067"/>
  <c r="T12" i="1067"/>
  <c r="U12" i="1067"/>
  <c r="V12" i="1067"/>
  <c r="W12" i="1067"/>
  <c r="X12" i="1067"/>
  <c r="Y12" i="1067"/>
  <c r="Z12" i="1067"/>
  <c r="R13" i="1067"/>
  <c r="S13" i="1067"/>
  <c r="T13" i="1067"/>
  <c r="U13" i="1067"/>
  <c r="V13" i="1067"/>
  <c r="W13" i="1067"/>
  <c r="X13" i="1067"/>
  <c r="Y13" i="1067"/>
  <c r="Z13" i="1067"/>
  <c r="R14" i="1067"/>
  <c r="S14" i="1067"/>
  <c r="T14" i="1067"/>
  <c r="U14" i="1067"/>
  <c r="V14" i="1067"/>
  <c r="W14" i="1067"/>
  <c r="X14" i="1067"/>
  <c r="Y14" i="1067"/>
  <c r="Z14" i="1067"/>
  <c r="R15" i="1067"/>
  <c r="S15" i="1067"/>
  <c r="T15" i="1067"/>
  <c r="U15" i="1067"/>
  <c r="V15" i="1067"/>
  <c r="W15" i="1067"/>
  <c r="X15" i="1067"/>
  <c r="Y15" i="1067"/>
  <c r="Z15" i="1067"/>
  <c r="R16" i="1067"/>
  <c r="S16" i="1067"/>
  <c r="T16" i="1067"/>
  <c r="U16" i="1067"/>
  <c r="V16" i="1067"/>
  <c r="W16" i="1067"/>
  <c r="X16" i="1067"/>
  <c r="Y16" i="1067"/>
  <c r="Z16" i="1067"/>
  <c r="R17" i="1067"/>
  <c r="S17" i="1067"/>
  <c r="T17" i="1067"/>
  <c r="U17" i="1067"/>
  <c r="V17" i="1067"/>
  <c r="W17" i="1067"/>
  <c r="X17" i="1067"/>
  <c r="Y17" i="1067"/>
  <c r="Z17" i="1067"/>
  <c r="R18" i="1067"/>
  <c r="S18" i="1067"/>
  <c r="T18" i="1067"/>
  <c r="U18" i="1067"/>
  <c r="V18" i="1067"/>
  <c r="W18" i="1067"/>
  <c r="X18" i="1067"/>
  <c r="Y18" i="1067"/>
  <c r="Z18" i="1067"/>
  <c r="R19" i="1067"/>
  <c r="S19" i="1067"/>
  <c r="T19" i="1067"/>
  <c r="U19" i="1067"/>
  <c r="V19" i="1067"/>
  <c r="W19" i="1067"/>
  <c r="X19" i="1067"/>
  <c r="Y19" i="1067"/>
  <c r="Z19" i="1067"/>
  <c r="R20" i="1067"/>
  <c r="S20" i="1067"/>
  <c r="T20" i="1067"/>
  <c r="U20" i="1067"/>
  <c r="V20" i="1067"/>
  <c r="W20" i="1067"/>
  <c r="X20" i="1067"/>
  <c r="Y20" i="1067"/>
  <c r="Z20" i="1067"/>
  <c r="R21" i="1067"/>
  <c r="S21" i="1067"/>
  <c r="T21" i="1067"/>
  <c r="U21" i="1067"/>
  <c r="V21" i="1067"/>
  <c r="W21" i="1067"/>
  <c r="X21" i="1067"/>
  <c r="Y21" i="1067"/>
  <c r="Z21" i="1067"/>
  <c r="R22" i="1067"/>
  <c r="S22" i="1067"/>
  <c r="T22" i="1067"/>
  <c r="U22" i="1067"/>
  <c r="V22" i="1067"/>
  <c r="W22" i="1067"/>
  <c r="X22" i="1067"/>
  <c r="Y22" i="1067"/>
  <c r="Z22" i="1067"/>
  <c r="R23" i="1067"/>
  <c r="S23" i="1067"/>
  <c r="T23" i="1067"/>
  <c r="U23" i="1067"/>
  <c r="V23" i="1067"/>
  <c r="W23" i="1067"/>
  <c r="X23" i="1067"/>
  <c r="Y23" i="1067"/>
  <c r="Z23" i="1067"/>
  <c r="R24" i="1067"/>
  <c r="S24" i="1067"/>
  <c r="T24" i="1067"/>
  <c r="U24" i="1067"/>
  <c r="V24" i="1067"/>
  <c r="W24" i="1067"/>
  <c r="X24" i="1067"/>
  <c r="Y24" i="1067"/>
  <c r="Z24" i="1067"/>
  <c r="R25" i="1067"/>
  <c r="S25" i="1067"/>
  <c r="T25" i="1067"/>
  <c r="U25" i="1067"/>
  <c r="V25" i="1067"/>
  <c r="W25" i="1067"/>
  <c r="X25" i="1067"/>
  <c r="Y25" i="1067"/>
  <c r="Z25" i="1067"/>
  <c r="R26" i="1067"/>
  <c r="S26" i="1067"/>
  <c r="T26" i="1067"/>
  <c r="U26" i="1067"/>
  <c r="V26" i="1067"/>
  <c r="W26" i="1067"/>
  <c r="X26" i="1067"/>
  <c r="Y26" i="1067"/>
  <c r="Z26" i="1067"/>
  <c r="R27" i="1067"/>
  <c r="S27" i="1067"/>
  <c r="T27" i="1067"/>
  <c r="U27" i="1067"/>
  <c r="V27" i="1067"/>
  <c r="W27" i="1067"/>
  <c r="X27" i="1067"/>
  <c r="Y27" i="1067"/>
  <c r="Z27" i="1067"/>
  <c r="R28" i="1067"/>
  <c r="S28" i="1067"/>
  <c r="T28" i="1067"/>
  <c r="U28" i="1067"/>
  <c r="V28" i="1067"/>
  <c r="W28" i="1067"/>
  <c r="X28" i="1067"/>
  <c r="Y28" i="1067"/>
  <c r="Z28" i="1067"/>
  <c r="L41" i="1067"/>
  <c r="M26" i="1067"/>
  <c r="L26" i="1067"/>
  <c r="K26" i="1067"/>
  <c r="I11" i="1067"/>
  <c r="J11" i="1067"/>
  <c r="K11" i="1067"/>
  <c r="L11" i="1067"/>
  <c r="M11" i="1067"/>
  <c r="N11" i="1067"/>
  <c r="O11" i="1067"/>
  <c r="I12" i="1067"/>
  <c r="J12" i="1067"/>
  <c r="K12" i="1067"/>
  <c r="L12" i="1067"/>
  <c r="M12" i="1067"/>
  <c r="N12" i="1067"/>
  <c r="O12" i="1067"/>
  <c r="I13" i="1067"/>
  <c r="J13" i="1067"/>
  <c r="K13" i="1067"/>
  <c r="L13" i="1067"/>
  <c r="M13" i="1067"/>
  <c r="N13" i="1067"/>
  <c r="O13" i="1067"/>
  <c r="I14" i="1067"/>
  <c r="J14" i="1067"/>
  <c r="K14" i="1067"/>
  <c r="L14" i="1067"/>
  <c r="M14" i="1067"/>
  <c r="N14" i="1067"/>
  <c r="O14" i="1067"/>
  <c r="I15" i="1067"/>
  <c r="J15" i="1067"/>
  <c r="K15" i="1067"/>
  <c r="L15" i="1067"/>
  <c r="M15" i="1067"/>
  <c r="N15" i="1067"/>
  <c r="O15" i="1067"/>
  <c r="I16" i="1067"/>
  <c r="J16" i="1067"/>
  <c r="K16" i="1067"/>
  <c r="L16" i="1067"/>
  <c r="M16" i="1067"/>
  <c r="N16" i="1067"/>
  <c r="O16" i="1067"/>
  <c r="C11" i="1067"/>
  <c r="D11" i="1067"/>
  <c r="E11" i="1067"/>
  <c r="F11" i="1067"/>
  <c r="G11" i="1067"/>
  <c r="C12" i="1067"/>
  <c r="D12" i="1067"/>
  <c r="E12" i="1067"/>
  <c r="F12" i="1067"/>
  <c r="G12" i="1067"/>
  <c r="C13" i="1067"/>
  <c r="D13" i="1067"/>
  <c r="E13" i="1067"/>
  <c r="F13" i="1067"/>
  <c r="G13" i="1067"/>
  <c r="C14" i="1067"/>
  <c r="D14" i="1067"/>
  <c r="E14" i="1067"/>
  <c r="F14" i="1067"/>
  <c r="G14" i="1067"/>
  <c r="C15" i="1067"/>
  <c r="D15" i="1067"/>
  <c r="E15" i="1067"/>
  <c r="F15" i="1067"/>
  <c r="G15" i="1067"/>
  <c r="C16" i="1067"/>
  <c r="D16" i="1067"/>
  <c r="E16" i="1067"/>
  <c r="F16" i="1067"/>
  <c r="G16" i="1067"/>
  <c r="AX57" i="1067"/>
  <c r="AW57" i="1067"/>
  <c r="AV57" i="1067"/>
  <c r="AU57" i="1067"/>
  <c r="AT57" i="1067"/>
  <c r="AS57" i="1067"/>
  <c r="AR57" i="1067"/>
  <c r="AQ57" i="1067"/>
  <c r="AP57" i="1067"/>
  <c r="AO57" i="1067"/>
  <c r="AN57" i="1067"/>
  <c r="AM57" i="1067"/>
  <c r="AL57" i="1067"/>
  <c r="AK57" i="1067"/>
  <c r="AJ57" i="1067"/>
  <c r="AI57" i="1067"/>
  <c r="AH57" i="1067"/>
  <c r="AG57" i="1067"/>
  <c r="AF57" i="1067"/>
  <c r="AE57" i="1067"/>
  <c r="AD57" i="1067"/>
  <c r="AC57" i="1067"/>
  <c r="AB57" i="1067"/>
  <c r="AX56" i="1067"/>
  <c r="AW56" i="1067"/>
  <c r="AV56" i="1067"/>
  <c r="AU56" i="1067"/>
  <c r="AT56" i="1067"/>
  <c r="AS56" i="1067"/>
  <c r="AR56" i="1067"/>
  <c r="AQ56" i="1067"/>
  <c r="AP56" i="1067"/>
  <c r="AO56" i="1067"/>
  <c r="AN56" i="1067"/>
  <c r="AM56" i="1067"/>
  <c r="AL56" i="1067"/>
  <c r="AK56" i="1067"/>
  <c r="AJ56" i="1067"/>
  <c r="AI56" i="1067"/>
  <c r="AH56" i="1067"/>
  <c r="AG56" i="1067"/>
  <c r="AF56" i="1067"/>
  <c r="AE56" i="1067"/>
  <c r="AD56" i="1067"/>
  <c r="AC56" i="1067"/>
  <c r="AB56" i="1067"/>
  <c r="AX55" i="1067"/>
  <c r="AW55" i="1067"/>
  <c r="AV55" i="1067"/>
  <c r="AU55" i="1067"/>
  <c r="AT55" i="1067"/>
  <c r="AS55" i="1067"/>
  <c r="AR55" i="1067"/>
  <c r="AQ55" i="1067"/>
  <c r="AP55" i="1067"/>
  <c r="AO55" i="1067"/>
  <c r="AN55" i="1067"/>
  <c r="AM55" i="1067"/>
  <c r="AL55" i="1067"/>
  <c r="AK55" i="1067"/>
  <c r="AJ55" i="1067"/>
  <c r="AI55" i="1067"/>
  <c r="AH55" i="1067"/>
  <c r="AG55" i="1067"/>
  <c r="AF55" i="1067"/>
  <c r="AE55" i="1067"/>
  <c r="AD55" i="1067"/>
  <c r="AC55" i="1067"/>
  <c r="AB55" i="1067"/>
  <c r="L55" i="1067"/>
  <c r="C68" i="1067" s="1"/>
  <c r="B55" i="1067"/>
  <c r="K50" i="1067"/>
  <c r="M41" i="1067"/>
  <c r="Z37" i="1067"/>
  <c r="Y37" i="1067"/>
  <c r="X37" i="1067"/>
  <c r="W37" i="1067"/>
  <c r="V37" i="1067"/>
  <c r="U37" i="1067"/>
  <c r="T37" i="1067"/>
  <c r="S37" i="1067"/>
  <c r="R37" i="1067"/>
  <c r="Z36" i="1067"/>
  <c r="Y36" i="1067"/>
  <c r="X36" i="1067"/>
  <c r="W36" i="1067"/>
  <c r="V36" i="1067"/>
  <c r="U36" i="1067"/>
  <c r="T36" i="1067"/>
  <c r="S36" i="1067"/>
  <c r="R36" i="1067"/>
  <c r="Z35" i="1067"/>
  <c r="Y35" i="1067"/>
  <c r="X35" i="1067"/>
  <c r="W35" i="1067"/>
  <c r="V35" i="1067"/>
  <c r="U35" i="1067"/>
  <c r="T35" i="1067"/>
  <c r="S35" i="1067"/>
  <c r="R35" i="1067"/>
  <c r="Z34" i="1067"/>
  <c r="Y34" i="1067"/>
  <c r="X34" i="1067"/>
  <c r="W34" i="1067"/>
  <c r="V34" i="1067"/>
  <c r="U34" i="1067"/>
  <c r="T34" i="1067"/>
  <c r="S34" i="1067"/>
  <c r="R34" i="1067"/>
  <c r="Z33" i="1067"/>
  <c r="Y33" i="1067"/>
  <c r="X33" i="1067"/>
  <c r="W33" i="1067"/>
  <c r="V33" i="1067"/>
  <c r="U33" i="1067"/>
  <c r="T33" i="1067"/>
  <c r="S33" i="1067"/>
  <c r="R33" i="1067"/>
  <c r="Z32" i="1067"/>
  <c r="Y32" i="1067"/>
  <c r="X32" i="1067"/>
  <c r="W32" i="1067"/>
  <c r="V32" i="1067"/>
  <c r="U32" i="1067"/>
  <c r="T32" i="1067"/>
  <c r="S32" i="1067"/>
  <c r="R32" i="1067"/>
  <c r="M32" i="1067"/>
  <c r="Z31" i="1067"/>
  <c r="Y31" i="1067"/>
  <c r="X31" i="1067"/>
  <c r="W31" i="1067"/>
  <c r="V31" i="1067"/>
  <c r="U31" i="1067"/>
  <c r="T31" i="1067"/>
  <c r="S31" i="1067"/>
  <c r="R31" i="1067"/>
  <c r="M31" i="1067"/>
  <c r="L31" i="1067"/>
  <c r="K31" i="1067"/>
  <c r="Z30" i="1067"/>
  <c r="Y30" i="1067"/>
  <c r="X30" i="1067"/>
  <c r="W30" i="1067"/>
  <c r="V30" i="1067"/>
  <c r="U30" i="1067"/>
  <c r="T30" i="1067"/>
  <c r="S30" i="1067"/>
  <c r="R30" i="1067"/>
  <c r="Z29" i="1067"/>
  <c r="Y29" i="1067"/>
  <c r="X29" i="1067"/>
  <c r="W29" i="1067"/>
  <c r="V29" i="1067"/>
  <c r="U29" i="1067"/>
  <c r="T29" i="1067"/>
  <c r="S29" i="1067"/>
  <c r="R29" i="1067"/>
  <c r="M29" i="1067"/>
  <c r="M28" i="1067"/>
  <c r="M27" i="1067"/>
  <c r="L27" i="1067"/>
  <c r="K27" i="1067"/>
  <c r="Z10" i="1067"/>
  <c r="Y10" i="1067"/>
  <c r="X10" i="1067"/>
  <c r="W10" i="1067"/>
  <c r="V10" i="1067"/>
  <c r="U10" i="1067"/>
  <c r="T10" i="1067"/>
  <c r="S10" i="1067"/>
  <c r="R10" i="1067"/>
  <c r="O10" i="1067"/>
  <c r="N10" i="1067"/>
  <c r="M10" i="1067"/>
  <c r="L10" i="1067"/>
  <c r="K10" i="1067"/>
  <c r="J10" i="1067"/>
  <c r="I10" i="1067"/>
  <c r="G10" i="1067"/>
  <c r="F10" i="1067"/>
  <c r="E10" i="1067"/>
  <c r="D10" i="1067"/>
  <c r="C10" i="1067"/>
  <c r="G53" i="1066"/>
  <c r="D53" i="1066"/>
  <c r="L39" i="1066"/>
  <c r="M24" i="1066"/>
  <c r="L24" i="1066"/>
  <c r="K24" i="1066"/>
  <c r="M25" i="1066"/>
  <c r="L25" i="1066"/>
  <c r="K25" i="1066"/>
  <c r="R10" i="1066"/>
  <c r="S10" i="1066"/>
  <c r="T10" i="1066"/>
  <c r="U10" i="1066"/>
  <c r="V10" i="1066"/>
  <c r="W10" i="1066"/>
  <c r="X10" i="1066"/>
  <c r="Y10" i="1066"/>
  <c r="Z10" i="1066"/>
  <c r="R11" i="1066"/>
  <c r="S11" i="1066"/>
  <c r="T11" i="1066"/>
  <c r="U11" i="1066"/>
  <c r="V11" i="1066"/>
  <c r="W11" i="1066"/>
  <c r="X11" i="1066"/>
  <c r="Y11" i="1066"/>
  <c r="Z11" i="1066"/>
  <c r="R12" i="1066"/>
  <c r="S12" i="1066"/>
  <c r="T12" i="1066"/>
  <c r="U12" i="1066"/>
  <c r="V12" i="1066"/>
  <c r="W12" i="1066"/>
  <c r="X12" i="1066"/>
  <c r="Y12" i="1066"/>
  <c r="Z12" i="1066"/>
  <c r="R13" i="1066"/>
  <c r="S13" i="1066"/>
  <c r="T13" i="1066"/>
  <c r="U13" i="1066"/>
  <c r="V13" i="1066"/>
  <c r="W13" i="1066"/>
  <c r="X13" i="1066"/>
  <c r="Y13" i="1066"/>
  <c r="Z13" i="1066"/>
  <c r="R14" i="1066"/>
  <c r="S14" i="1066"/>
  <c r="T14" i="1066"/>
  <c r="U14" i="1066"/>
  <c r="V14" i="1066"/>
  <c r="W14" i="1066"/>
  <c r="X14" i="1066"/>
  <c r="Y14" i="1066"/>
  <c r="Z14" i="1066"/>
  <c r="R15" i="1066"/>
  <c r="S15" i="1066"/>
  <c r="T15" i="1066"/>
  <c r="U15" i="1066"/>
  <c r="V15" i="1066"/>
  <c r="W15" i="1066"/>
  <c r="X15" i="1066"/>
  <c r="Y15" i="1066"/>
  <c r="Z15" i="1066"/>
  <c r="R16" i="1066"/>
  <c r="S16" i="1066"/>
  <c r="T16" i="1066"/>
  <c r="U16" i="1066"/>
  <c r="V16" i="1066"/>
  <c r="W16" i="1066"/>
  <c r="X16" i="1066"/>
  <c r="Y16" i="1066"/>
  <c r="Z16" i="1066"/>
  <c r="C12" i="1066"/>
  <c r="D12" i="1066"/>
  <c r="E12" i="1066"/>
  <c r="F12" i="1066"/>
  <c r="G12" i="1066"/>
  <c r="K12" i="1066"/>
  <c r="L12" i="1066"/>
  <c r="M12" i="1066"/>
  <c r="N12" i="1066"/>
  <c r="O12" i="1066"/>
  <c r="C13" i="1066"/>
  <c r="D13" i="1066"/>
  <c r="E13" i="1066"/>
  <c r="F13" i="1066"/>
  <c r="G13" i="1066"/>
  <c r="K13" i="1066"/>
  <c r="L13" i="1066"/>
  <c r="M13" i="1066"/>
  <c r="N13" i="1066"/>
  <c r="O13" i="1066"/>
  <c r="C14" i="1066"/>
  <c r="D14" i="1066"/>
  <c r="E14" i="1066"/>
  <c r="F14" i="1066"/>
  <c r="G14" i="1066"/>
  <c r="K14" i="1066"/>
  <c r="L14" i="1066"/>
  <c r="M14" i="1066"/>
  <c r="N14" i="1066"/>
  <c r="O14" i="1066"/>
  <c r="C15" i="1066"/>
  <c r="D15" i="1066"/>
  <c r="E15" i="1066"/>
  <c r="F15" i="1066"/>
  <c r="G15" i="1066"/>
  <c r="K15" i="1066"/>
  <c r="L15" i="1066"/>
  <c r="M15" i="1066"/>
  <c r="N15" i="1066"/>
  <c r="O15" i="1066"/>
  <c r="C16" i="1066"/>
  <c r="D16" i="1066"/>
  <c r="E16" i="1066"/>
  <c r="F16" i="1066"/>
  <c r="G16" i="1066"/>
  <c r="K16" i="1066"/>
  <c r="L16" i="1066"/>
  <c r="M16" i="1066"/>
  <c r="N16" i="1066"/>
  <c r="O16" i="1066"/>
  <c r="C19" i="1066"/>
  <c r="D19" i="1066"/>
  <c r="E19" i="1066"/>
  <c r="F19" i="1066"/>
  <c r="G19" i="1066"/>
  <c r="K19" i="1066"/>
  <c r="L19" i="1066"/>
  <c r="M19" i="1066"/>
  <c r="N19" i="1066"/>
  <c r="O19" i="1066"/>
  <c r="I10" i="1066"/>
  <c r="J25" i="1066" s="1"/>
  <c r="J10" i="1066"/>
  <c r="L10" i="1066"/>
  <c r="M10" i="1066"/>
  <c r="N10" i="1066"/>
  <c r="O10" i="1066"/>
  <c r="C10" i="1066"/>
  <c r="D10" i="1066"/>
  <c r="E10" i="1066"/>
  <c r="F10" i="1066"/>
  <c r="G10" i="1066"/>
  <c r="AX55" i="1066"/>
  <c r="AW55" i="1066"/>
  <c r="AV55" i="1066"/>
  <c r="AU55" i="1066"/>
  <c r="AT55" i="1066"/>
  <c r="AS55" i="1066"/>
  <c r="AR55" i="1066"/>
  <c r="AQ55" i="1066"/>
  <c r="AP55" i="1066"/>
  <c r="AO55" i="1066"/>
  <c r="AN55" i="1066"/>
  <c r="AM55" i="1066"/>
  <c r="AL55" i="1066"/>
  <c r="AK55" i="1066"/>
  <c r="AJ55" i="1066"/>
  <c r="AI55" i="1066"/>
  <c r="AH55" i="1066"/>
  <c r="AG55" i="1066"/>
  <c r="AF55" i="1066"/>
  <c r="AE55" i="1066"/>
  <c r="AD55" i="1066"/>
  <c r="AC55" i="1066"/>
  <c r="AB55" i="1066"/>
  <c r="AX54" i="1066"/>
  <c r="AW54" i="1066"/>
  <c r="AV54" i="1066"/>
  <c r="AU54" i="1066"/>
  <c r="AT54" i="1066"/>
  <c r="AS54" i="1066"/>
  <c r="AR54" i="1066"/>
  <c r="AQ54" i="1066"/>
  <c r="AP54" i="1066"/>
  <c r="AO54" i="1066"/>
  <c r="AN54" i="1066"/>
  <c r="AM54" i="1066"/>
  <c r="AL54" i="1066"/>
  <c r="AK54" i="1066"/>
  <c r="AJ54" i="1066"/>
  <c r="AI54" i="1066"/>
  <c r="AH54" i="1066"/>
  <c r="AG54" i="1066"/>
  <c r="AF54" i="1066"/>
  <c r="AE54" i="1066"/>
  <c r="AD54" i="1066"/>
  <c r="AC54" i="1066"/>
  <c r="AB54" i="1066"/>
  <c r="AX53" i="1066"/>
  <c r="AW53" i="1066"/>
  <c r="AV53" i="1066"/>
  <c r="AU53" i="1066"/>
  <c r="AT53" i="1066"/>
  <c r="AS53" i="1066"/>
  <c r="AR53" i="1066"/>
  <c r="AQ53" i="1066"/>
  <c r="AP53" i="1066"/>
  <c r="AO53" i="1066"/>
  <c r="AN53" i="1066"/>
  <c r="AM53" i="1066"/>
  <c r="AL53" i="1066"/>
  <c r="AK53" i="1066"/>
  <c r="AJ53" i="1066"/>
  <c r="AI53" i="1066"/>
  <c r="AH53" i="1066"/>
  <c r="AG53" i="1066"/>
  <c r="AF53" i="1066"/>
  <c r="AE53" i="1066"/>
  <c r="AD53" i="1066"/>
  <c r="AC53" i="1066"/>
  <c r="AB53" i="1066"/>
  <c r="B53" i="1066"/>
  <c r="K48" i="1066"/>
  <c r="M39" i="1066" s="1"/>
  <c r="Z35" i="1066"/>
  <c r="Y35" i="1066"/>
  <c r="X35" i="1066"/>
  <c r="W35" i="1066"/>
  <c r="V35" i="1066"/>
  <c r="U35" i="1066"/>
  <c r="T35" i="1066"/>
  <c r="S35" i="1066"/>
  <c r="R35" i="1066"/>
  <c r="Z34" i="1066"/>
  <c r="Y34" i="1066"/>
  <c r="X34" i="1066"/>
  <c r="W34" i="1066"/>
  <c r="V34" i="1066"/>
  <c r="U34" i="1066"/>
  <c r="T34" i="1066"/>
  <c r="S34" i="1066"/>
  <c r="R34" i="1066"/>
  <c r="Z33" i="1066"/>
  <c r="Y33" i="1066"/>
  <c r="X33" i="1066"/>
  <c r="W33" i="1066"/>
  <c r="V33" i="1066"/>
  <c r="U33" i="1066"/>
  <c r="T33" i="1066"/>
  <c r="S33" i="1066"/>
  <c r="R33" i="1066"/>
  <c r="Z32" i="1066"/>
  <c r="Y32" i="1066"/>
  <c r="X32" i="1066"/>
  <c r="W32" i="1066"/>
  <c r="V32" i="1066"/>
  <c r="U32" i="1066"/>
  <c r="T32" i="1066"/>
  <c r="S32" i="1066"/>
  <c r="R32" i="1066"/>
  <c r="Z31" i="1066"/>
  <c r="Y31" i="1066"/>
  <c r="X31" i="1066"/>
  <c r="W31" i="1066"/>
  <c r="V31" i="1066"/>
  <c r="U31" i="1066"/>
  <c r="T31" i="1066"/>
  <c r="S31" i="1066"/>
  <c r="R31" i="1066"/>
  <c r="Z30" i="1066"/>
  <c r="Y30" i="1066"/>
  <c r="X30" i="1066"/>
  <c r="W30" i="1066"/>
  <c r="V30" i="1066"/>
  <c r="U30" i="1066"/>
  <c r="T30" i="1066"/>
  <c r="S30" i="1066"/>
  <c r="R30" i="1066"/>
  <c r="M30" i="1066"/>
  <c r="Z29" i="1066"/>
  <c r="Y29" i="1066"/>
  <c r="X29" i="1066"/>
  <c r="W29" i="1066"/>
  <c r="V29" i="1066"/>
  <c r="U29" i="1066"/>
  <c r="T29" i="1066"/>
  <c r="S29" i="1066"/>
  <c r="R29" i="1066"/>
  <c r="M29" i="1066"/>
  <c r="L29" i="1066"/>
  <c r="K29" i="1066"/>
  <c r="Z28" i="1066"/>
  <c r="Y28" i="1066"/>
  <c r="X28" i="1066"/>
  <c r="W28" i="1066"/>
  <c r="V28" i="1066"/>
  <c r="U28" i="1066"/>
  <c r="T28" i="1066"/>
  <c r="S28" i="1066"/>
  <c r="R28" i="1066"/>
  <c r="Z27" i="1066"/>
  <c r="Y27" i="1066"/>
  <c r="X27" i="1066"/>
  <c r="W27" i="1066"/>
  <c r="V27" i="1066"/>
  <c r="U27" i="1066"/>
  <c r="T27" i="1066"/>
  <c r="S27" i="1066"/>
  <c r="R27" i="1066"/>
  <c r="M27" i="1066"/>
  <c r="Z26" i="1066"/>
  <c r="Y26" i="1066"/>
  <c r="X26" i="1066"/>
  <c r="W26" i="1066"/>
  <c r="V26" i="1066"/>
  <c r="U26" i="1066"/>
  <c r="T26" i="1066"/>
  <c r="S26" i="1066"/>
  <c r="R26" i="1066"/>
  <c r="M26" i="1066"/>
  <c r="Z25" i="1066"/>
  <c r="Y25" i="1066"/>
  <c r="X25" i="1066"/>
  <c r="W25" i="1066"/>
  <c r="V25" i="1066"/>
  <c r="U25" i="1066"/>
  <c r="T25" i="1066"/>
  <c r="S25" i="1066"/>
  <c r="R25" i="1066"/>
  <c r="Z24" i="1066"/>
  <c r="Y24" i="1066"/>
  <c r="X24" i="1066"/>
  <c r="W24" i="1066"/>
  <c r="V24" i="1066"/>
  <c r="U24" i="1066"/>
  <c r="T24" i="1066"/>
  <c r="S24" i="1066"/>
  <c r="R24" i="1066"/>
  <c r="Z23" i="1066"/>
  <c r="Y23" i="1066"/>
  <c r="X23" i="1066"/>
  <c r="W23" i="1066"/>
  <c r="V23" i="1066"/>
  <c r="U23" i="1066"/>
  <c r="T23" i="1066"/>
  <c r="S23" i="1066"/>
  <c r="R23" i="1066"/>
  <c r="Z22" i="1066"/>
  <c r="Y22" i="1066"/>
  <c r="X22" i="1066"/>
  <c r="W22" i="1066"/>
  <c r="V22" i="1066"/>
  <c r="U22" i="1066"/>
  <c r="T22" i="1066"/>
  <c r="S22" i="1066"/>
  <c r="R22" i="1066"/>
  <c r="Z21" i="1066"/>
  <c r="Y21" i="1066"/>
  <c r="X21" i="1066"/>
  <c r="W21" i="1066"/>
  <c r="V21" i="1066"/>
  <c r="U21" i="1066"/>
  <c r="T21" i="1066"/>
  <c r="S21" i="1066"/>
  <c r="R21" i="1066"/>
  <c r="Z20" i="1066"/>
  <c r="Y20" i="1066"/>
  <c r="X20" i="1066"/>
  <c r="W20" i="1066"/>
  <c r="V20" i="1066"/>
  <c r="U20" i="1066"/>
  <c r="T20" i="1066"/>
  <c r="S20" i="1066"/>
  <c r="R20" i="1066"/>
  <c r="Z19" i="1066"/>
  <c r="Y19" i="1066"/>
  <c r="X19" i="1066"/>
  <c r="W19" i="1066"/>
  <c r="V19" i="1066"/>
  <c r="U19" i="1066"/>
  <c r="T19" i="1066"/>
  <c r="S19" i="1066"/>
  <c r="R19" i="1066"/>
  <c r="J26" i="1067" l="1"/>
  <c r="G68" i="1067"/>
  <c r="K53" i="1066"/>
  <c r="K66" i="1066" s="1"/>
  <c r="K36" i="1067"/>
  <c r="L36" i="1067" s="1"/>
  <c r="M36" i="1067" s="1"/>
  <c r="L53" i="1066"/>
  <c r="C66" i="1066" s="1"/>
  <c r="K34" i="1066"/>
  <c r="L34" i="1066" s="1"/>
  <c r="M34" i="1066" s="1"/>
  <c r="K55" i="1067" l="1"/>
  <c r="K67" i="1068"/>
  <c r="K57" i="1067"/>
  <c r="J13" i="1066"/>
  <c r="J12" i="1066"/>
  <c r="J19" i="1066"/>
  <c r="J16" i="1066"/>
  <c r="J15" i="1066"/>
  <c r="J14" i="1066"/>
  <c r="K68" i="1067" l="1"/>
  <c r="I14" i="1066"/>
  <c r="I15" i="1066"/>
  <c r="I16" i="1066"/>
  <c r="I19" i="1066"/>
  <c r="I12" i="1066"/>
  <c r="I13" i="1066"/>
  <c r="J24" i="1066" l="1"/>
  <c r="G66" i="1065"/>
  <c r="G53" i="1065"/>
  <c r="D53" i="1065"/>
  <c r="B53" i="1065"/>
  <c r="K53" i="1065" l="1"/>
  <c r="K66" i="1065" s="1"/>
  <c r="M25" i="1065" l="1"/>
  <c r="L25" i="1065"/>
  <c r="K25" i="1065"/>
  <c r="R10" i="1065"/>
  <c r="S10" i="1065"/>
  <c r="T10" i="1065"/>
  <c r="U10" i="1065"/>
  <c r="V10" i="1065"/>
  <c r="W10" i="1065"/>
  <c r="X10" i="1065"/>
  <c r="Y10" i="1065"/>
  <c r="Z10" i="1065"/>
  <c r="R11" i="1065"/>
  <c r="S11" i="1065"/>
  <c r="T11" i="1065"/>
  <c r="U11" i="1065"/>
  <c r="V11" i="1065"/>
  <c r="W11" i="1065"/>
  <c r="X11" i="1065"/>
  <c r="Y11" i="1065"/>
  <c r="Z11" i="1065"/>
  <c r="R12" i="1065"/>
  <c r="S12" i="1065"/>
  <c r="T12" i="1065"/>
  <c r="U12" i="1065"/>
  <c r="V12" i="1065"/>
  <c r="W12" i="1065"/>
  <c r="X12" i="1065"/>
  <c r="Y12" i="1065"/>
  <c r="Z12" i="1065"/>
  <c r="R13" i="1065"/>
  <c r="S13" i="1065"/>
  <c r="T13" i="1065"/>
  <c r="U13" i="1065"/>
  <c r="V13" i="1065"/>
  <c r="W13" i="1065"/>
  <c r="X13" i="1065"/>
  <c r="Y13" i="1065"/>
  <c r="Z13" i="1065"/>
  <c r="R14" i="1065"/>
  <c r="S14" i="1065"/>
  <c r="T14" i="1065"/>
  <c r="U14" i="1065"/>
  <c r="V14" i="1065"/>
  <c r="W14" i="1065"/>
  <c r="X14" i="1065"/>
  <c r="Y14" i="1065"/>
  <c r="Z14" i="1065"/>
  <c r="R15" i="1065"/>
  <c r="S15" i="1065"/>
  <c r="T15" i="1065"/>
  <c r="U15" i="1065"/>
  <c r="V15" i="1065"/>
  <c r="W15" i="1065"/>
  <c r="X15" i="1065"/>
  <c r="Y15" i="1065"/>
  <c r="Z15" i="1065"/>
  <c r="R16" i="1065"/>
  <c r="S16" i="1065"/>
  <c r="T16" i="1065"/>
  <c r="U16" i="1065"/>
  <c r="V16" i="1065"/>
  <c r="W16" i="1065"/>
  <c r="X16" i="1065"/>
  <c r="Y16" i="1065"/>
  <c r="Z16" i="1065"/>
  <c r="I10" i="1065"/>
  <c r="J10" i="1065"/>
  <c r="L10" i="1065"/>
  <c r="M10" i="1065"/>
  <c r="N10" i="1065"/>
  <c r="O10" i="1065"/>
  <c r="I11" i="1065"/>
  <c r="J11" i="1065"/>
  <c r="L11" i="1065"/>
  <c r="M11" i="1065"/>
  <c r="N11" i="1065"/>
  <c r="O11" i="1065"/>
  <c r="I12" i="1065"/>
  <c r="J12" i="1065"/>
  <c r="L12" i="1065"/>
  <c r="M12" i="1065"/>
  <c r="N12" i="1065"/>
  <c r="O12" i="1065"/>
  <c r="I13" i="1065"/>
  <c r="J13" i="1065"/>
  <c r="L13" i="1065"/>
  <c r="M13" i="1065"/>
  <c r="N13" i="1065"/>
  <c r="O13" i="1065"/>
  <c r="I14" i="1065"/>
  <c r="J14" i="1065"/>
  <c r="L14" i="1065"/>
  <c r="M14" i="1065"/>
  <c r="N14" i="1065"/>
  <c r="O14" i="1065"/>
  <c r="I15" i="1065"/>
  <c r="J15" i="1065"/>
  <c r="L15" i="1065"/>
  <c r="M15" i="1065"/>
  <c r="N15" i="1065"/>
  <c r="O15" i="1065"/>
  <c r="I16" i="1065"/>
  <c r="J16" i="1065"/>
  <c r="L16" i="1065"/>
  <c r="M16" i="1065"/>
  <c r="N16" i="1065"/>
  <c r="O16" i="1065"/>
  <c r="I17" i="1065"/>
  <c r="J17" i="1065"/>
  <c r="L17" i="1065"/>
  <c r="M17" i="1065"/>
  <c r="N17" i="1065"/>
  <c r="O17" i="1065"/>
  <c r="I18" i="1065"/>
  <c r="J18" i="1065"/>
  <c r="L18" i="1065"/>
  <c r="M18" i="1065"/>
  <c r="N18" i="1065"/>
  <c r="O18" i="1065"/>
  <c r="C15" i="1065"/>
  <c r="D15" i="1065"/>
  <c r="E15" i="1065"/>
  <c r="F15" i="1065"/>
  <c r="G15" i="1065"/>
  <c r="C16" i="1065"/>
  <c r="D16" i="1065"/>
  <c r="E16" i="1065"/>
  <c r="F16" i="1065"/>
  <c r="G16" i="1065"/>
  <c r="C17" i="1065"/>
  <c r="D17" i="1065"/>
  <c r="E17" i="1065"/>
  <c r="F17" i="1065"/>
  <c r="G17" i="1065"/>
  <c r="C18" i="1065"/>
  <c r="D18" i="1065"/>
  <c r="E18" i="1065"/>
  <c r="F18" i="1065"/>
  <c r="G18" i="1065"/>
  <c r="J25" i="1065" l="1"/>
  <c r="C10" i="1065"/>
  <c r="D10" i="1065"/>
  <c r="E10" i="1065"/>
  <c r="F10" i="1065"/>
  <c r="G10" i="1065"/>
  <c r="C11" i="1065"/>
  <c r="D11" i="1065"/>
  <c r="E11" i="1065"/>
  <c r="F11" i="1065"/>
  <c r="G11" i="1065"/>
  <c r="C12" i="1065"/>
  <c r="D12" i="1065"/>
  <c r="E12" i="1065"/>
  <c r="F12" i="1065"/>
  <c r="G12" i="1065"/>
  <c r="C13" i="1065"/>
  <c r="D13" i="1065"/>
  <c r="E13" i="1065"/>
  <c r="F13" i="1065"/>
  <c r="G13" i="1065"/>
  <c r="C14" i="1065"/>
  <c r="D14" i="1065"/>
  <c r="E14" i="1065"/>
  <c r="F14" i="1065"/>
  <c r="G14" i="1065"/>
  <c r="AX55" i="1065" l="1"/>
  <c r="AW55" i="1065"/>
  <c r="AV55" i="1065"/>
  <c r="AU55" i="1065"/>
  <c r="AT55" i="1065"/>
  <c r="AS55" i="1065"/>
  <c r="AR55" i="1065"/>
  <c r="AQ55" i="1065"/>
  <c r="AP55" i="1065"/>
  <c r="AO55" i="1065"/>
  <c r="AN55" i="1065"/>
  <c r="AM55" i="1065"/>
  <c r="AL55" i="1065"/>
  <c r="AK55" i="1065"/>
  <c r="AJ55" i="1065"/>
  <c r="AI55" i="1065"/>
  <c r="AH55" i="1065"/>
  <c r="AG55" i="1065"/>
  <c r="AF55" i="1065"/>
  <c r="AE55" i="1065"/>
  <c r="AD55" i="1065"/>
  <c r="AC55" i="1065"/>
  <c r="AB55" i="1065"/>
  <c r="AX54" i="1065"/>
  <c r="AW54" i="1065"/>
  <c r="AV54" i="1065"/>
  <c r="AU54" i="1065"/>
  <c r="AT54" i="1065"/>
  <c r="AS54" i="1065"/>
  <c r="AR54" i="1065"/>
  <c r="AQ54" i="1065"/>
  <c r="AP54" i="1065"/>
  <c r="AO54" i="1065"/>
  <c r="AN54" i="1065"/>
  <c r="AM54" i="1065"/>
  <c r="AL54" i="1065"/>
  <c r="AK54" i="1065"/>
  <c r="AJ54" i="1065"/>
  <c r="AI54" i="1065"/>
  <c r="AH54" i="1065"/>
  <c r="AG54" i="1065"/>
  <c r="AF54" i="1065"/>
  <c r="AE54" i="1065"/>
  <c r="AD54" i="1065"/>
  <c r="AC54" i="1065"/>
  <c r="AB54" i="1065"/>
  <c r="AX53" i="1065"/>
  <c r="AW53" i="1065"/>
  <c r="AV53" i="1065"/>
  <c r="AU53" i="1065"/>
  <c r="AT53" i="1065"/>
  <c r="AS53" i="1065"/>
  <c r="AR53" i="1065"/>
  <c r="AQ53" i="1065"/>
  <c r="AP53" i="1065"/>
  <c r="AO53" i="1065"/>
  <c r="AN53" i="1065"/>
  <c r="AM53" i="1065"/>
  <c r="AL53" i="1065"/>
  <c r="AK53" i="1065"/>
  <c r="AJ53" i="1065"/>
  <c r="AI53" i="1065"/>
  <c r="AH53" i="1065"/>
  <c r="AG53" i="1065"/>
  <c r="AF53" i="1065"/>
  <c r="AE53" i="1065"/>
  <c r="AD53" i="1065"/>
  <c r="AC53" i="1065"/>
  <c r="AB53" i="1065"/>
  <c r="L53" i="1065"/>
  <c r="C66" i="1065" s="1"/>
  <c r="K48" i="1065"/>
  <c r="L39" i="1065"/>
  <c r="M39" i="1065" s="1"/>
  <c r="Z35" i="1065"/>
  <c r="Y35" i="1065"/>
  <c r="X35" i="1065"/>
  <c r="W35" i="1065"/>
  <c r="V35" i="1065"/>
  <c r="U35" i="1065"/>
  <c r="T35" i="1065"/>
  <c r="S35" i="1065"/>
  <c r="R35" i="1065"/>
  <c r="Z34" i="1065"/>
  <c r="Y34" i="1065"/>
  <c r="X34" i="1065"/>
  <c r="W34" i="1065"/>
  <c r="V34" i="1065"/>
  <c r="U34" i="1065"/>
  <c r="T34" i="1065"/>
  <c r="S34" i="1065"/>
  <c r="R34" i="1065"/>
  <c r="Z33" i="1065"/>
  <c r="Y33" i="1065"/>
  <c r="X33" i="1065"/>
  <c r="W33" i="1065"/>
  <c r="V33" i="1065"/>
  <c r="U33" i="1065"/>
  <c r="T33" i="1065"/>
  <c r="S33" i="1065"/>
  <c r="R33" i="1065"/>
  <c r="Z32" i="1065"/>
  <c r="Y32" i="1065"/>
  <c r="X32" i="1065"/>
  <c r="W32" i="1065"/>
  <c r="V32" i="1065"/>
  <c r="U32" i="1065"/>
  <c r="T32" i="1065"/>
  <c r="S32" i="1065"/>
  <c r="R32" i="1065"/>
  <c r="Z31" i="1065"/>
  <c r="Y31" i="1065"/>
  <c r="X31" i="1065"/>
  <c r="W31" i="1065"/>
  <c r="V31" i="1065"/>
  <c r="U31" i="1065"/>
  <c r="T31" i="1065"/>
  <c r="S31" i="1065"/>
  <c r="R31" i="1065"/>
  <c r="Z30" i="1065"/>
  <c r="Y30" i="1065"/>
  <c r="X30" i="1065"/>
  <c r="W30" i="1065"/>
  <c r="V30" i="1065"/>
  <c r="U30" i="1065"/>
  <c r="T30" i="1065"/>
  <c r="S30" i="1065"/>
  <c r="R30" i="1065"/>
  <c r="M30" i="1065"/>
  <c r="Z29" i="1065"/>
  <c r="Y29" i="1065"/>
  <c r="X29" i="1065"/>
  <c r="W29" i="1065"/>
  <c r="V29" i="1065"/>
  <c r="U29" i="1065"/>
  <c r="T29" i="1065"/>
  <c r="S29" i="1065"/>
  <c r="R29" i="1065"/>
  <c r="M29" i="1065"/>
  <c r="L29" i="1065"/>
  <c r="K29" i="1065"/>
  <c r="Z28" i="1065"/>
  <c r="Y28" i="1065"/>
  <c r="X28" i="1065"/>
  <c r="W28" i="1065"/>
  <c r="V28" i="1065"/>
  <c r="U28" i="1065"/>
  <c r="T28" i="1065"/>
  <c r="S28" i="1065"/>
  <c r="R28" i="1065"/>
  <c r="Z27" i="1065"/>
  <c r="Y27" i="1065"/>
  <c r="X27" i="1065"/>
  <c r="W27" i="1065"/>
  <c r="V27" i="1065"/>
  <c r="U27" i="1065"/>
  <c r="T27" i="1065"/>
  <c r="S27" i="1065"/>
  <c r="R27" i="1065"/>
  <c r="M27" i="1065"/>
  <c r="Z26" i="1065"/>
  <c r="Y26" i="1065"/>
  <c r="X26" i="1065"/>
  <c r="W26" i="1065"/>
  <c r="V26" i="1065"/>
  <c r="U26" i="1065"/>
  <c r="T26" i="1065"/>
  <c r="S26" i="1065"/>
  <c r="R26" i="1065"/>
  <c r="M26" i="1065"/>
  <c r="Z25" i="1065"/>
  <c r="Y25" i="1065"/>
  <c r="X25" i="1065"/>
  <c r="W25" i="1065"/>
  <c r="V25" i="1065"/>
  <c r="U25" i="1065"/>
  <c r="T25" i="1065"/>
  <c r="S25" i="1065"/>
  <c r="R25" i="1065"/>
  <c r="Z24" i="1065"/>
  <c r="Y24" i="1065"/>
  <c r="X24" i="1065"/>
  <c r="W24" i="1065"/>
  <c r="V24" i="1065"/>
  <c r="U24" i="1065"/>
  <c r="T24" i="1065"/>
  <c r="S24" i="1065"/>
  <c r="R24" i="1065"/>
  <c r="M24" i="1065"/>
  <c r="L24" i="1065"/>
  <c r="K24" i="1065"/>
  <c r="Z23" i="1065"/>
  <c r="Y23" i="1065"/>
  <c r="X23" i="1065"/>
  <c r="W23" i="1065"/>
  <c r="V23" i="1065"/>
  <c r="U23" i="1065"/>
  <c r="T23" i="1065"/>
  <c r="S23" i="1065"/>
  <c r="R23" i="1065"/>
  <c r="Z22" i="1065"/>
  <c r="Y22" i="1065"/>
  <c r="X22" i="1065"/>
  <c r="W22" i="1065"/>
  <c r="V22" i="1065"/>
  <c r="U22" i="1065"/>
  <c r="T22" i="1065"/>
  <c r="S22" i="1065"/>
  <c r="R22" i="1065"/>
  <c r="Z21" i="1065"/>
  <c r="Y21" i="1065"/>
  <c r="X21" i="1065"/>
  <c r="W21" i="1065"/>
  <c r="V21" i="1065"/>
  <c r="U21" i="1065"/>
  <c r="T21" i="1065"/>
  <c r="S21" i="1065"/>
  <c r="R21" i="1065"/>
  <c r="Z20" i="1065"/>
  <c r="Y20" i="1065"/>
  <c r="X20" i="1065"/>
  <c r="W20" i="1065"/>
  <c r="V20" i="1065"/>
  <c r="U20" i="1065"/>
  <c r="T20" i="1065"/>
  <c r="S20" i="1065"/>
  <c r="R20" i="1065"/>
  <c r="Z19" i="1065"/>
  <c r="Y19" i="1065"/>
  <c r="X19" i="1065"/>
  <c r="W19" i="1065"/>
  <c r="V19" i="1065"/>
  <c r="U19" i="1065"/>
  <c r="T19" i="1065"/>
  <c r="S19" i="1065"/>
  <c r="R19" i="1065"/>
  <c r="Z18" i="1065"/>
  <c r="Y18" i="1065"/>
  <c r="X18" i="1065"/>
  <c r="W18" i="1065"/>
  <c r="V18" i="1065"/>
  <c r="U18" i="1065"/>
  <c r="T18" i="1065"/>
  <c r="S18" i="1065"/>
  <c r="R18" i="1065"/>
  <c r="Z17" i="1065"/>
  <c r="Y17" i="1065"/>
  <c r="X17" i="1065"/>
  <c r="W17" i="1065"/>
  <c r="V17" i="1065"/>
  <c r="U17" i="1065"/>
  <c r="T17" i="1065"/>
  <c r="S17" i="1065"/>
  <c r="R17" i="1065"/>
  <c r="L37" i="1064"/>
  <c r="M27" i="1064"/>
  <c r="L27" i="1064"/>
  <c r="K27" i="1064"/>
  <c r="R10" i="1064"/>
  <c r="S10" i="1064"/>
  <c r="T10" i="1064"/>
  <c r="U10" i="1064"/>
  <c r="V10" i="1064"/>
  <c r="W10" i="1064"/>
  <c r="X10" i="1064"/>
  <c r="Y10" i="1064"/>
  <c r="Z10" i="1064"/>
  <c r="R11" i="1064"/>
  <c r="S11" i="1064"/>
  <c r="T11" i="1064"/>
  <c r="U11" i="1064"/>
  <c r="V11" i="1064"/>
  <c r="W11" i="1064"/>
  <c r="X11" i="1064"/>
  <c r="Y11" i="1064"/>
  <c r="Z11" i="1064"/>
  <c r="R12" i="1064"/>
  <c r="S12" i="1064"/>
  <c r="T12" i="1064"/>
  <c r="U12" i="1064"/>
  <c r="V12" i="1064"/>
  <c r="W12" i="1064"/>
  <c r="X12" i="1064"/>
  <c r="Y12" i="1064"/>
  <c r="Z12" i="1064"/>
  <c r="R13" i="1064"/>
  <c r="S13" i="1064"/>
  <c r="T13" i="1064"/>
  <c r="U13" i="1064"/>
  <c r="V13" i="1064"/>
  <c r="W13" i="1064"/>
  <c r="X13" i="1064"/>
  <c r="Y13" i="1064"/>
  <c r="Z13" i="1064"/>
  <c r="R14" i="1064"/>
  <c r="S14" i="1064"/>
  <c r="T14" i="1064"/>
  <c r="U14" i="1064"/>
  <c r="V14" i="1064"/>
  <c r="W14" i="1064"/>
  <c r="X14" i="1064"/>
  <c r="Y14" i="1064"/>
  <c r="Z14" i="1064"/>
  <c r="R15" i="1064"/>
  <c r="S15" i="1064"/>
  <c r="T15" i="1064"/>
  <c r="U15" i="1064"/>
  <c r="V15" i="1064"/>
  <c r="W15" i="1064"/>
  <c r="X15" i="1064"/>
  <c r="Y15" i="1064"/>
  <c r="Z15" i="1064"/>
  <c r="R16" i="1064"/>
  <c r="S16" i="1064"/>
  <c r="T16" i="1064"/>
  <c r="U16" i="1064"/>
  <c r="V16" i="1064"/>
  <c r="W16" i="1064"/>
  <c r="X16" i="1064"/>
  <c r="Y16" i="1064"/>
  <c r="Z16" i="1064"/>
  <c r="R17" i="1064"/>
  <c r="S17" i="1064"/>
  <c r="T17" i="1064"/>
  <c r="U17" i="1064"/>
  <c r="V17" i="1064"/>
  <c r="W17" i="1064"/>
  <c r="X17" i="1064"/>
  <c r="Y17" i="1064"/>
  <c r="Z17" i="1064"/>
  <c r="R18" i="1064"/>
  <c r="S18" i="1064"/>
  <c r="T18" i="1064"/>
  <c r="U18" i="1064"/>
  <c r="V18" i="1064"/>
  <c r="W18" i="1064"/>
  <c r="X18" i="1064"/>
  <c r="Y18" i="1064"/>
  <c r="Z18" i="1064"/>
  <c r="R19" i="1064"/>
  <c r="S19" i="1064"/>
  <c r="T19" i="1064"/>
  <c r="U19" i="1064"/>
  <c r="V19" i="1064"/>
  <c r="W19" i="1064"/>
  <c r="X19" i="1064"/>
  <c r="Y19" i="1064"/>
  <c r="Z19" i="1064"/>
  <c r="R20" i="1064"/>
  <c r="S20" i="1064"/>
  <c r="T20" i="1064"/>
  <c r="U20" i="1064"/>
  <c r="V20" i="1064"/>
  <c r="W20" i="1064"/>
  <c r="X20" i="1064"/>
  <c r="Y20" i="1064"/>
  <c r="Z20" i="1064"/>
  <c r="I10" i="1064"/>
  <c r="J10" i="1064"/>
  <c r="K10" i="1064"/>
  <c r="L10" i="1064"/>
  <c r="M10" i="1064"/>
  <c r="N10" i="1064"/>
  <c r="O10" i="1064"/>
  <c r="I11" i="1064"/>
  <c r="J11" i="1064"/>
  <c r="K11" i="1064"/>
  <c r="L11" i="1064"/>
  <c r="M11" i="1064"/>
  <c r="N11" i="1064"/>
  <c r="O11" i="1064"/>
  <c r="I12" i="1064"/>
  <c r="J12" i="1064"/>
  <c r="K12" i="1064"/>
  <c r="L12" i="1064"/>
  <c r="M12" i="1064"/>
  <c r="N12" i="1064"/>
  <c r="O12" i="1064"/>
  <c r="I13" i="1064"/>
  <c r="J13" i="1064"/>
  <c r="K13" i="1064"/>
  <c r="L13" i="1064"/>
  <c r="M13" i="1064"/>
  <c r="N13" i="1064"/>
  <c r="O13" i="1064"/>
  <c r="I14" i="1064"/>
  <c r="J14" i="1064"/>
  <c r="K14" i="1064"/>
  <c r="L14" i="1064"/>
  <c r="M14" i="1064"/>
  <c r="N14" i="1064"/>
  <c r="O14" i="1064"/>
  <c r="J27" i="1064" l="1"/>
  <c r="K34" i="1065"/>
  <c r="L34" i="1065" s="1"/>
  <c r="M34" i="1065" s="1"/>
  <c r="C10" i="1064"/>
  <c r="D10" i="1064"/>
  <c r="E10" i="1064"/>
  <c r="F10" i="1064"/>
  <c r="G10" i="1064"/>
  <c r="C11" i="1064"/>
  <c r="D11" i="1064"/>
  <c r="E11" i="1064"/>
  <c r="F11" i="1064"/>
  <c r="G11" i="1064"/>
  <c r="C12" i="1064"/>
  <c r="D12" i="1064"/>
  <c r="E12" i="1064"/>
  <c r="F12" i="1064"/>
  <c r="G12" i="1064"/>
  <c r="C13" i="1064"/>
  <c r="D13" i="1064"/>
  <c r="E13" i="1064"/>
  <c r="F13" i="1064"/>
  <c r="G13" i="1064"/>
  <c r="C14" i="1064"/>
  <c r="D14" i="1064"/>
  <c r="E14" i="1064"/>
  <c r="F14" i="1064"/>
  <c r="G14" i="1064"/>
  <c r="AX53" i="1064"/>
  <c r="AW53" i="1064"/>
  <c r="AV53" i="1064"/>
  <c r="AU53" i="1064"/>
  <c r="AT53" i="1064"/>
  <c r="AS53" i="1064"/>
  <c r="AR53" i="1064"/>
  <c r="AQ53" i="1064"/>
  <c r="AP53" i="1064"/>
  <c r="AO53" i="1064"/>
  <c r="AN53" i="1064"/>
  <c r="AM53" i="1064"/>
  <c r="AL53" i="1064"/>
  <c r="AK53" i="1064"/>
  <c r="AJ53" i="1064"/>
  <c r="AI53" i="1064"/>
  <c r="AH53" i="1064"/>
  <c r="AG53" i="1064"/>
  <c r="AF53" i="1064"/>
  <c r="AE53" i="1064"/>
  <c r="AD53" i="1064"/>
  <c r="AC53" i="1064"/>
  <c r="AB53" i="1064"/>
  <c r="AX52" i="1064"/>
  <c r="AW52" i="1064"/>
  <c r="AV52" i="1064"/>
  <c r="AU52" i="1064"/>
  <c r="AT52" i="1064"/>
  <c r="AS52" i="1064"/>
  <c r="AR52" i="1064"/>
  <c r="AQ52" i="1064"/>
  <c r="AP52" i="1064"/>
  <c r="AO52" i="1064"/>
  <c r="AN52" i="1064"/>
  <c r="AM52" i="1064"/>
  <c r="AL52" i="1064"/>
  <c r="AK52" i="1064"/>
  <c r="AJ52" i="1064"/>
  <c r="AI52" i="1064"/>
  <c r="AH52" i="1064"/>
  <c r="AG52" i="1064"/>
  <c r="AF52" i="1064"/>
  <c r="AE52" i="1064"/>
  <c r="AD52" i="1064"/>
  <c r="AC52" i="1064"/>
  <c r="AB52" i="1064"/>
  <c r="AX51" i="1064"/>
  <c r="AW51" i="1064"/>
  <c r="AV51" i="1064"/>
  <c r="AU51" i="1064"/>
  <c r="AT51" i="1064"/>
  <c r="AS51" i="1064"/>
  <c r="AR51" i="1064"/>
  <c r="AQ51" i="1064"/>
  <c r="AP51" i="1064"/>
  <c r="AO51" i="1064"/>
  <c r="AN51" i="1064"/>
  <c r="AM51" i="1064"/>
  <c r="AL51" i="1064"/>
  <c r="AK51" i="1064"/>
  <c r="AJ51" i="1064"/>
  <c r="AI51" i="1064"/>
  <c r="AH51" i="1064"/>
  <c r="AG51" i="1064"/>
  <c r="AF51" i="1064"/>
  <c r="AE51" i="1064"/>
  <c r="AD51" i="1064"/>
  <c r="AC51" i="1064"/>
  <c r="AB51" i="1064"/>
  <c r="L51" i="1064"/>
  <c r="K46" i="1064"/>
  <c r="M37" i="1064" s="1"/>
  <c r="Z33" i="1064"/>
  <c r="Y33" i="1064"/>
  <c r="X33" i="1064"/>
  <c r="W33" i="1064"/>
  <c r="V33" i="1064"/>
  <c r="U33" i="1064"/>
  <c r="T33" i="1064"/>
  <c r="S33" i="1064"/>
  <c r="R33" i="1064"/>
  <c r="Z32" i="1064"/>
  <c r="Y32" i="1064"/>
  <c r="X32" i="1064"/>
  <c r="W32" i="1064"/>
  <c r="V32" i="1064"/>
  <c r="U32" i="1064"/>
  <c r="T32" i="1064"/>
  <c r="S32" i="1064"/>
  <c r="R32" i="1064"/>
  <c r="Z31" i="1064"/>
  <c r="Y31" i="1064"/>
  <c r="X31" i="1064"/>
  <c r="W31" i="1064"/>
  <c r="V31" i="1064"/>
  <c r="U31" i="1064"/>
  <c r="T31" i="1064"/>
  <c r="S31" i="1064"/>
  <c r="R31" i="1064"/>
  <c r="Z30" i="1064"/>
  <c r="Y30" i="1064"/>
  <c r="X30" i="1064"/>
  <c r="W30" i="1064"/>
  <c r="V30" i="1064"/>
  <c r="U30" i="1064"/>
  <c r="T30" i="1064"/>
  <c r="S30" i="1064"/>
  <c r="R30" i="1064"/>
  <c r="Z29" i="1064"/>
  <c r="Y29" i="1064"/>
  <c r="X29" i="1064"/>
  <c r="W29" i="1064"/>
  <c r="V29" i="1064"/>
  <c r="U29" i="1064"/>
  <c r="T29" i="1064"/>
  <c r="S29" i="1064"/>
  <c r="R29" i="1064"/>
  <c r="Z28" i="1064"/>
  <c r="Y28" i="1064"/>
  <c r="X28" i="1064"/>
  <c r="W28" i="1064"/>
  <c r="V28" i="1064"/>
  <c r="U28" i="1064"/>
  <c r="T28" i="1064"/>
  <c r="S28" i="1064"/>
  <c r="R28" i="1064"/>
  <c r="M28" i="1064"/>
  <c r="Z27" i="1064"/>
  <c r="Y27" i="1064"/>
  <c r="X27" i="1064"/>
  <c r="W27" i="1064"/>
  <c r="V27" i="1064"/>
  <c r="U27" i="1064"/>
  <c r="T27" i="1064"/>
  <c r="S27" i="1064"/>
  <c r="R27" i="1064"/>
  <c r="Z26" i="1064"/>
  <c r="Y26" i="1064"/>
  <c r="X26" i="1064"/>
  <c r="W26" i="1064"/>
  <c r="V26" i="1064"/>
  <c r="U26" i="1064"/>
  <c r="T26" i="1064"/>
  <c r="S26" i="1064"/>
  <c r="R26" i="1064"/>
  <c r="Z25" i="1064"/>
  <c r="Y25" i="1064"/>
  <c r="X25" i="1064"/>
  <c r="W25" i="1064"/>
  <c r="V25" i="1064"/>
  <c r="U25" i="1064"/>
  <c r="T25" i="1064"/>
  <c r="S25" i="1064"/>
  <c r="R25" i="1064"/>
  <c r="M25" i="1064"/>
  <c r="Z24" i="1064"/>
  <c r="Y24" i="1064"/>
  <c r="X24" i="1064"/>
  <c r="W24" i="1064"/>
  <c r="V24" i="1064"/>
  <c r="U24" i="1064"/>
  <c r="T24" i="1064"/>
  <c r="S24" i="1064"/>
  <c r="R24" i="1064"/>
  <c r="M24" i="1064"/>
  <c r="Z23" i="1064"/>
  <c r="Y23" i="1064"/>
  <c r="X23" i="1064"/>
  <c r="W23" i="1064"/>
  <c r="V23" i="1064"/>
  <c r="U23" i="1064"/>
  <c r="T23" i="1064"/>
  <c r="S23" i="1064"/>
  <c r="R23" i="1064"/>
  <c r="M23" i="1064"/>
  <c r="Z22" i="1064"/>
  <c r="Y22" i="1064"/>
  <c r="X22" i="1064"/>
  <c r="W22" i="1064"/>
  <c r="V22" i="1064"/>
  <c r="U22" i="1064"/>
  <c r="T22" i="1064"/>
  <c r="S22" i="1064"/>
  <c r="R22" i="1064"/>
  <c r="M22" i="1064"/>
  <c r="L22" i="1064"/>
  <c r="K22" i="1064"/>
  <c r="Z21" i="1064"/>
  <c r="Y21" i="1064"/>
  <c r="X21" i="1064"/>
  <c r="W21" i="1064"/>
  <c r="V21" i="1064"/>
  <c r="U21" i="1064"/>
  <c r="T21" i="1064"/>
  <c r="S21" i="1064"/>
  <c r="R21" i="1064"/>
  <c r="M23" i="1062"/>
  <c r="L23" i="1062"/>
  <c r="K23" i="1062"/>
  <c r="I18" i="1062"/>
  <c r="J18" i="1062"/>
  <c r="K18" i="1062"/>
  <c r="L18" i="1062"/>
  <c r="M18" i="1062"/>
  <c r="N18" i="1062"/>
  <c r="O18" i="1062"/>
  <c r="C18" i="1062"/>
  <c r="D18" i="1062"/>
  <c r="E18" i="1062"/>
  <c r="F18" i="1062"/>
  <c r="G18" i="1062"/>
  <c r="L21" i="1061"/>
  <c r="K21" i="1061"/>
  <c r="K49" i="1063"/>
  <c r="K63" i="1063" s="1"/>
  <c r="K32" i="1064" l="1"/>
  <c r="L32" i="1064" s="1"/>
  <c r="M32" i="1064" s="1"/>
  <c r="G49" i="1063"/>
  <c r="B49" i="1063"/>
  <c r="M25" i="1063"/>
  <c r="L25" i="1063"/>
  <c r="K25" i="1063"/>
  <c r="N16" i="1063"/>
  <c r="R16" i="1063"/>
  <c r="S16" i="1063"/>
  <c r="T16" i="1063"/>
  <c r="U16" i="1063"/>
  <c r="V16" i="1063"/>
  <c r="W16" i="1063"/>
  <c r="X16" i="1063"/>
  <c r="Y16" i="1063"/>
  <c r="Z16" i="1063"/>
  <c r="R17" i="1063"/>
  <c r="S17" i="1063"/>
  <c r="T17" i="1063"/>
  <c r="U17" i="1063"/>
  <c r="V17" i="1063"/>
  <c r="W17" i="1063"/>
  <c r="X17" i="1063"/>
  <c r="Y17" i="1063"/>
  <c r="Z17" i="1063"/>
  <c r="R18" i="1063"/>
  <c r="S18" i="1063"/>
  <c r="T18" i="1063"/>
  <c r="U18" i="1063"/>
  <c r="V18" i="1063"/>
  <c r="W18" i="1063"/>
  <c r="X18" i="1063"/>
  <c r="Y18" i="1063"/>
  <c r="Z18" i="1063"/>
  <c r="R19" i="1063"/>
  <c r="S19" i="1063"/>
  <c r="T19" i="1063"/>
  <c r="U19" i="1063"/>
  <c r="V19" i="1063"/>
  <c r="W19" i="1063"/>
  <c r="X19" i="1063"/>
  <c r="Y19" i="1063"/>
  <c r="Z19" i="1063"/>
  <c r="R20" i="1063"/>
  <c r="S20" i="1063"/>
  <c r="T20" i="1063"/>
  <c r="U20" i="1063"/>
  <c r="V20" i="1063"/>
  <c r="W20" i="1063"/>
  <c r="X20" i="1063"/>
  <c r="Y20" i="1063"/>
  <c r="Z20" i="1063"/>
  <c r="R21" i="1063"/>
  <c r="S21" i="1063"/>
  <c r="T21" i="1063"/>
  <c r="U21" i="1063"/>
  <c r="V21" i="1063"/>
  <c r="W21" i="1063"/>
  <c r="X21" i="1063"/>
  <c r="Y21" i="1063"/>
  <c r="Z21" i="1063"/>
  <c r="R22" i="1063"/>
  <c r="S22" i="1063"/>
  <c r="T22" i="1063"/>
  <c r="U22" i="1063"/>
  <c r="V22" i="1063"/>
  <c r="W22" i="1063"/>
  <c r="X22" i="1063"/>
  <c r="Y22" i="1063"/>
  <c r="Z22" i="1063"/>
  <c r="R23" i="1063"/>
  <c r="S23" i="1063"/>
  <c r="T23" i="1063"/>
  <c r="U23" i="1063"/>
  <c r="V23" i="1063"/>
  <c r="W23" i="1063"/>
  <c r="X23" i="1063"/>
  <c r="Y23" i="1063"/>
  <c r="Z23" i="1063"/>
  <c r="R24" i="1063"/>
  <c r="S24" i="1063"/>
  <c r="T24" i="1063"/>
  <c r="U24" i="1063"/>
  <c r="V24" i="1063"/>
  <c r="W24" i="1063"/>
  <c r="X24" i="1063"/>
  <c r="Y24" i="1063"/>
  <c r="Z24" i="1063"/>
  <c r="R25" i="1063"/>
  <c r="S25" i="1063"/>
  <c r="T25" i="1063"/>
  <c r="U25" i="1063"/>
  <c r="V25" i="1063"/>
  <c r="W25" i="1063"/>
  <c r="X25" i="1063"/>
  <c r="Y25" i="1063"/>
  <c r="Z25" i="1063"/>
  <c r="R26" i="1063"/>
  <c r="S26" i="1063"/>
  <c r="T26" i="1063"/>
  <c r="U26" i="1063"/>
  <c r="V26" i="1063"/>
  <c r="W26" i="1063"/>
  <c r="X26" i="1063"/>
  <c r="Y26" i="1063"/>
  <c r="Z26" i="1063"/>
  <c r="C16" i="1063"/>
  <c r="D16" i="1063"/>
  <c r="E16" i="1063"/>
  <c r="F16" i="1063"/>
  <c r="G16" i="1063"/>
  <c r="I16" i="1063"/>
  <c r="J16" i="1063"/>
  <c r="K16" i="1063"/>
  <c r="L16" i="1063"/>
  <c r="M16" i="1063"/>
  <c r="O16" i="1063"/>
  <c r="C17" i="1063"/>
  <c r="D17" i="1063"/>
  <c r="E17" i="1063"/>
  <c r="F17" i="1063"/>
  <c r="G17" i="1063"/>
  <c r="I17" i="1063"/>
  <c r="J17" i="1063"/>
  <c r="K17" i="1063"/>
  <c r="L17" i="1063"/>
  <c r="M17" i="1063"/>
  <c r="N17" i="1063"/>
  <c r="O17" i="1063"/>
  <c r="C15" i="1063"/>
  <c r="D15" i="1063"/>
  <c r="E15" i="1063"/>
  <c r="F15" i="1063"/>
  <c r="G15" i="1063"/>
  <c r="I15" i="1063"/>
  <c r="J15" i="1063"/>
  <c r="K15" i="1063"/>
  <c r="L15" i="1063"/>
  <c r="M15" i="1063"/>
  <c r="N15" i="1063"/>
  <c r="O15" i="1063"/>
  <c r="J25" i="1063" l="1"/>
  <c r="M20" i="1063"/>
  <c r="L20" i="1063"/>
  <c r="K20" i="1063"/>
  <c r="K30" i="1063" s="1"/>
  <c r="R10" i="1063"/>
  <c r="S10" i="1063"/>
  <c r="T10" i="1063"/>
  <c r="U10" i="1063"/>
  <c r="V10" i="1063"/>
  <c r="W10" i="1063"/>
  <c r="X10" i="1063"/>
  <c r="Y10" i="1063"/>
  <c r="Z10" i="1063"/>
  <c r="R11" i="1063"/>
  <c r="S11" i="1063"/>
  <c r="T11" i="1063"/>
  <c r="U11" i="1063"/>
  <c r="V11" i="1063"/>
  <c r="W11" i="1063"/>
  <c r="X11" i="1063"/>
  <c r="Y11" i="1063"/>
  <c r="Z11" i="1063"/>
  <c r="R12" i="1063"/>
  <c r="S12" i="1063"/>
  <c r="T12" i="1063"/>
  <c r="U12" i="1063"/>
  <c r="V12" i="1063"/>
  <c r="W12" i="1063"/>
  <c r="X12" i="1063"/>
  <c r="Y12" i="1063"/>
  <c r="Z12" i="1063"/>
  <c r="R13" i="1063"/>
  <c r="S13" i="1063"/>
  <c r="T13" i="1063"/>
  <c r="U13" i="1063"/>
  <c r="V13" i="1063"/>
  <c r="W13" i="1063"/>
  <c r="X13" i="1063"/>
  <c r="Y13" i="1063"/>
  <c r="Z13" i="1063"/>
  <c r="R14" i="1063"/>
  <c r="S14" i="1063"/>
  <c r="T14" i="1063"/>
  <c r="U14" i="1063"/>
  <c r="V14" i="1063"/>
  <c r="W14" i="1063"/>
  <c r="X14" i="1063"/>
  <c r="Y14" i="1063"/>
  <c r="Z14" i="1063"/>
  <c r="I10" i="1063"/>
  <c r="J10" i="1063"/>
  <c r="L10" i="1063"/>
  <c r="M10" i="1063"/>
  <c r="N10" i="1063"/>
  <c r="O10" i="1063"/>
  <c r="I11" i="1063"/>
  <c r="J11" i="1063"/>
  <c r="L11" i="1063"/>
  <c r="M11" i="1063"/>
  <c r="N11" i="1063"/>
  <c r="O11" i="1063"/>
  <c r="I12" i="1063"/>
  <c r="J12" i="1063"/>
  <c r="L12" i="1063"/>
  <c r="M12" i="1063"/>
  <c r="N12" i="1063"/>
  <c r="O12" i="1063"/>
  <c r="I13" i="1063"/>
  <c r="J13" i="1063"/>
  <c r="L13" i="1063"/>
  <c r="M13" i="1063"/>
  <c r="N13" i="1063"/>
  <c r="O13" i="1063"/>
  <c r="C10" i="1063"/>
  <c r="D10" i="1063"/>
  <c r="E10" i="1063"/>
  <c r="F10" i="1063"/>
  <c r="G10" i="1063"/>
  <c r="C11" i="1063"/>
  <c r="D11" i="1063"/>
  <c r="E11" i="1063"/>
  <c r="F11" i="1063"/>
  <c r="G11" i="1063"/>
  <c r="C12" i="1063"/>
  <c r="D12" i="1063"/>
  <c r="E12" i="1063"/>
  <c r="F12" i="1063"/>
  <c r="G12" i="1063"/>
  <c r="C13" i="1063"/>
  <c r="D13" i="1063"/>
  <c r="E13" i="1063"/>
  <c r="F13" i="1063"/>
  <c r="G13" i="1063"/>
  <c r="AX51" i="1063"/>
  <c r="AW51" i="1063"/>
  <c r="AV51" i="1063"/>
  <c r="AU51" i="1063"/>
  <c r="AT51" i="1063"/>
  <c r="AS51" i="1063"/>
  <c r="AR51" i="1063"/>
  <c r="AQ51" i="1063"/>
  <c r="AP51" i="1063"/>
  <c r="AO51" i="1063"/>
  <c r="AN51" i="1063"/>
  <c r="AM51" i="1063"/>
  <c r="AL51" i="1063"/>
  <c r="AK51" i="1063"/>
  <c r="AJ51" i="1063"/>
  <c r="AI51" i="1063"/>
  <c r="AH51" i="1063"/>
  <c r="AG51" i="1063"/>
  <c r="AF51" i="1063"/>
  <c r="AE51" i="1063"/>
  <c r="AD51" i="1063"/>
  <c r="AC51" i="1063"/>
  <c r="AB51" i="1063"/>
  <c r="AX50" i="1063"/>
  <c r="AW50" i="1063"/>
  <c r="AV50" i="1063"/>
  <c r="AU50" i="1063"/>
  <c r="AT50" i="1063"/>
  <c r="AS50" i="1063"/>
  <c r="AR50" i="1063"/>
  <c r="AQ50" i="1063"/>
  <c r="AP50" i="1063"/>
  <c r="AO50" i="1063"/>
  <c r="AN50" i="1063"/>
  <c r="AM50" i="1063"/>
  <c r="AL50" i="1063"/>
  <c r="AK50" i="1063"/>
  <c r="AJ50" i="1063"/>
  <c r="AI50" i="1063"/>
  <c r="AH50" i="1063"/>
  <c r="AG50" i="1063"/>
  <c r="AF50" i="1063"/>
  <c r="AE50" i="1063"/>
  <c r="AD50" i="1063"/>
  <c r="AC50" i="1063"/>
  <c r="AB50" i="1063"/>
  <c r="AX49" i="1063"/>
  <c r="AW49" i="1063"/>
  <c r="AV49" i="1063"/>
  <c r="AU49" i="1063"/>
  <c r="AT49" i="1063"/>
  <c r="AS49" i="1063"/>
  <c r="AR49" i="1063"/>
  <c r="AQ49" i="1063"/>
  <c r="AP49" i="1063"/>
  <c r="AO49" i="1063"/>
  <c r="AN49" i="1063"/>
  <c r="AM49" i="1063"/>
  <c r="AL49" i="1063"/>
  <c r="AK49" i="1063"/>
  <c r="AJ49" i="1063"/>
  <c r="AI49" i="1063"/>
  <c r="AH49" i="1063"/>
  <c r="AG49" i="1063"/>
  <c r="AF49" i="1063"/>
  <c r="AE49" i="1063"/>
  <c r="AD49" i="1063"/>
  <c r="AC49" i="1063"/>
  <c r="AB49" i="1063"/>
  <c r="K44" i="1063"/>
  <c r="Z31" i="1063"/>
  <c r="Y31" i="1063"/>
  <c r="X31" i="1063"/>
  <c r="W31" i="1063"/>
  <c r="V31" i="1063"/>
  <c r="U31" i="1063"/>
  <c r="T31" i="1063"/>
  <c r="S31" i="1063"/>
  <c r="R31" i="1063"/>
  <c r="Z30" i="1063"/>
  <c r="Y30" i="1063"/>
  <c r="X30" i="1063"/>
  <c r="W30" i="1063"/>
  <c r="V30" i="1063"/>
  <c r="U30" i="1063"/>
  <c r="T30" i="1063"/>
  <c r="S30" i="1063"/>
  <c r="R30" i="1063"/>
  <c r="Z29" i="1063"/>
  <c r="Y29" i="1063"/>
  <c r="X29" i="1063"/>
  <c r="W29" i="1063"/>
  <c r="V29" i="1063"/>
  <c r="U29" i="1063"/>
  <c r="T29" i="1063"/>
  <c r="S29" i="1063"/>
  <c r="R29" i="1063"/>
  <c r="Z28" i="1063"/>
  <c r="Y28" i="1063"/>
  <c r="X28" i="1063"/>
  <c r="W28" i="1063"/>
  <c r="V28" i="1063"/>
  <c r="U28" i="1063"/>
  <c r="T28" i="1063"/>
  <c r="S28" i="1063"/>
  <c r="R28" i="1063"/>
  <c r="Z27" i="1063"/>
  <c r="Y27" i="1063"/>
  <c r="X27" i="1063"/>
  <c r="W27" i="1063"/>
  <c r="V27" i="1063"/>
  <c r="U27" i="1063"/>
  <c r="T27" i="1063"/>
  <c r="S27" i="1063"/>
  <c r="R27" i="1063"/>
  <c r="M26" i="1063"/>
  <c r="M23" i="1063"/>
  <c r="M22" i="1063"/>
  <c r="M21" i="1063"/>
  <c r="Z15" i="1063"/>
  <c r="Y15" i="1063"/>
  <c r="X15" i="1063"/>
  <c r="W15" i="1063"/>
  <c r="V15" i="1063"/>
  <c r="U15" i="1063"/>
  <c r="T15" i="1063"/>
  <c r="S15" i="1063"/>
  <c r="R15" i="1063"/>
  <c r="L30" i="1063" l="1"/>
  <c r="M30" i="1063" s="1"/>
  <c r="J20" i="1063"/>
  <c r="K10" i="1063" l="1"/>
  <c r="K11" i="1063"/>
  <c r="K12" i="1063"/>
  <c r="K13" i="1063"/>
  <c r="I12" i="1062" l="1"/>
  <c r="I13" i="1062"/>
  <c r="J14" i="1062"/>
  <c r="I15" i="1062"/>
  <c r="I16" i="1062"/>
  <c r="I17" i="1062"/>
  <c r="I14" i="1062"/>
  <c r="R10" i="1062"/>
  <c r="S10" i="1062"/>
  <c r="T10" i="1062"/>
  <c r="U10" i="1062"/>
  <c r="V10" i="1062"/>
  <c r="W10" i="1062"/>
  <c r="X10" i="1062"/>
  <c r="Y10" i="1062"/>
  <c r="Z10" i="1062"/>
  <c r="R11" i="1062"/>
  <c r="S11" i="1062"/>
  <c r="T11" i="1062"/>
  <c r="U11" i="1062"/>
  <c r="V11" i="1062"/>
  <c r="W11" i="1062"/>
  <c r="X11" i="1062"/>
  <c r="Y11" i="1062"/>
  <c r="Z11" i="1062"/>
  <c r="R12" i="1062"/>
  <c r="S12" i="1062"/>
  <c r="T12" i="1062"/>
  <c r="U12" i="1062"/>
  <c r="V12" i="1062"/>
  <c r="W12" i="1062"/>
  <c r="X12" i="1062"/>
  <c r="Y12" i="1062"/>
  <c r="Z12" i="1062"/>
  <c r="R13" i="1062"/>
  <c r="S13" i="1062"/>
  <c r="T13" i="1062"/>
  <c r="U13" i="1062"/>
  <c r="V13" i="1062"/>
  <c r="W13" i="1062"/>
  <c r="X13" i="1062"/>
  <c r="Y13" i="1062"/>
  <c r="Z13" i="1062"/>
  <c r="R14" i="1062"/>
  <c r="S14" i="1062"/>
  <c r="T14" i="1062"/>
  <c r="U14" i="1062"/>
  <c r="V14" i="1062"/>
  <c r="W14" i="1062"/>
  <c r="X14" i="1062"/>
  <c r="Y14" i="1062"/>
  <c r="Z14" i="1062"/>
  <c r="R15" i="1062"/>
  <c r="S15" i="1062"/>
  <c r="T15" i="1062"/>
  <c r="U15" i="1062"/>
  <c r="V15" i="1062"/>
  <c r="W15" i="1062"/>
  <c r="X15" i="1062"/>
  <c r="Y15" i="1062"/>
  <c r="Z15" i="1062"/>
  <c r="R16" i="1062"/>
  <c r="S16" i="1062"/>
  <c r="T16" i="1062"/>
  <c r="U16" i="1062"/>
  <c r="V16" i="1062"/>
  <c r="W16" i="1062"/>
  <c r="X16" i="1062"/>
  <c r="Y16" i="1062"/>
  <c r="Z16" i="1062"/>
  <c r="R17" i="1062"/>
  <c r="S17" i="1062"/>
  <c r="T17" i="1062"/>
  <c r="U17" i="1062"/>
  <c r="V17" i="1062"/>
  <c r="W17" i="1062"/>
  <c r="X17" i="1062"/>
  <c r="Y17" i="1062"/>
  <c r="Z17" i="1062"/>
  <c r="R18" i="1062"/>
  <c r="S18" i="1062"/>
  <c r="T18" i="1062"/>
  <c r="U18" i="1062"/>
  <c r="V18" i="1062"/>
  <c r="W18" i="1062"/>
  <c r="X18" i="1062"/>
  <c r="Y18" i="1062"/>
  <c r="Z18" i="1062"/>
  <c r="I11" i="1062"/>
  <c r="J11" i="1062"/>
  <c r="L11" i="1062"/>
  <c r="M11" i="1062"/>
  <c r="N11" i="1062"/>
  <c r="O11" i="1062"/>
  <c r="L12" i="1062"/>
  <c r="M12" i="1062"/>
  <c r="N12" i="1062"/>
  <c r="O12" i="1062"/>
  <c r="L13" i="1062"/>
  <c r="M13" i="1062"/>
  <c r="N13" i="1062"/>
  <c r="O13" i="1062"/>
  <c r="L14" i="1062"/>
  <c r="M14" i="1062"/>
  <c r="N14" i="1062"/>
  <c r="O14" i="1062"/>
  <c r="L15" i="1062"/>
  <c r="M15" i="1062"/>
  <c r="N15" i="1062"/>
  <c r="O15" i="1062"/>
  <c r="L16" i="1062"/>
  <c r="M16" i="1062"/>
  <c r="N16" i="1062"/>
  <c r="O16" i="1062"/>
  <c r="L17" i="1062"/>
  <c r="M17" i="1062"/>
  <c r="N17" i="1062"/>
  <c r="O17" i="1062"/>
  <c r="C17" i="1062"/>
  <c r="D17" i="1062"/>
  <c r="E17" i="1062"/>
  <c r="F17" i="1062"/>
  <c r="G17" i="1062"/>
  <c r="C11" i="1062"/>
  <c r="D11" i="1062"/>
  <c r="E11" i="1062"/>
  <c r="F11" i="1062"/>
  <c r="G11" i="1062"/>
  <c r="C12" i="1062"/>
  <c r="D12" i="1062"/>
  <c r="E12" i="1062"/>
  <c r="F12" i="1062"/>
  <c r="G12" i="1062"/>
  <c r="C13" i="1062"/>
  <c r="D13" i="1062"/>
  <c r="E13" i="1062"/>
  <c r="F13" i="1062"/>
  <c r="G13" i="1062"/>
  <c r="C14" i="1062"/>
  <c r="D14" i="1062"/>
  <c r="E14" i="1062"/>
  <c r="F14" i="1062"/>
  <c r="G14" i="1062"/>
  <c r="C15" i="1062"/>
  <c r="D15" i="1062"/>
  <c r="E15" i="1062"/>
  <c r="F15" i="1062"/>
  <c r="G15" i="1062"/>
  <c r="C16" i="1062"/>
  <c r="D16" i="1062"/>
  <c r="E16" i="1062"/>
  <c r="F16" i="1062"/>
  <c r="G16" i="1062"/>
  <c r="J17" i="1062" l="1"/>
  <c r="J16" i="1062"/>
  <c r="J15" i="1062"/>
  <c r="J13" i="1062"/>
  <c r="J12" i="1062"/>
  <c r="AX54" i="1062"/>
  <c r="AW54" i="1062"/>
  <c r="AV54" i="1062"/>
  <c r="AU54" i="1062"/>
  <c r="AT54" i="1062"/>
  <c r="AS54" i="1062"/>
  <c r="AR54" i="1062"/>
  <c r="AQ54" i="1062"/>
  <c r="AP54" i="1062"/>
  <c r="AO54" i="1062"/>
  <c r="AN54" i="1062"/>
  <c r="AM54" i="1062"/>
  <c r="AL54" i="1062"/>
  <c r="AK54" i="1062"/>
  <c r="AJ54" i="1062"/>
  <c r="AI54" i="1062"/>
  <c r="AH54" i="1062"/>
  <c r="AG54" i="1062"/>
  <c r="AF54" i="1062"/>
  <c r="AE54" i="1062"/>
  <c r="AD54" i="1062"/>
  <c r="AC54" i="1062"/>
  <c r="AB54" i="1062"/>
  <c r="AX53" i="1062"/>
  <c r="AW53" i="1062"/>
  <c r="AV53" i="1062"/>
  <c r="AU53" i="1062"/>
  <c r="AT53" i="1062"/>
  <c r="AS53" i="1062"/>
  <c r="AR53" i="1062"/>
  <c r="AQ53" i="1062"/>
  <c r="AP53" i="1062"/>
  <c r="AO53" i="1062"/>
  <c r="AN53" i="1062"/>
  <c r="AM53" i="1062"/>
  <c r="AL53" i="1062"/>
  <c r="AK53" i="1062"/>
  <c r="AJ53" i="1062"/>
  <c r="AI53" i="1062"/>
  <c r="AH53" i="1062"/>
  <c r="AG53" i="1062"/>
  <c r="AF53" i="1062"/>
  <c r="AE53" i="1062"/>
  <c r="AD53" i="1062"/>
  <c r="AC53" i="1062"/>
  <c r="AB53" i="1062"/>
  <c r="AX52" i="1062"/>
  <c r="AW52" i="1062"/>
  <c r="AV52" i="1062"/>
  <c r="AU52" i="1062"/>
  <c r="AT52" i="1062"/>
  <c r="AS52" i="1062"/>
  <c r="AR52" i="1062"/>
  <c r="AQ52" i="1062"/>
  <c r="AP52" i="1062"/>
  <c r="AO52" i="1062"/>
  <c r="AN52" i="1062"/>
  <c r="AM52" i="1062"/>
  <c r="AL52" i="1062"/>
  <c r="AK52" i="1062"/>
  <c r="AJ52" i="1062"/>
  <c r="AI52" i="1062"/>
  <c r="AH52" i="1062"/>
  <c r="AG52" i="1062"/>
  <c r="AF52" i="1062"/>
  <c r="AE52" i="1062"/>
  <c r="AD52" i="1062"/>
  <c r="AC52" i="1062"/>
  <c r="AB52" i="1062"/>
  <c r="B52" i="1062"/>
  <c r="K47" i="1062"/>
  <c r="Z34" i="1062"/>
  <c r="Y34" i="1062"/>
  <c r="X34" i="1062"/>
  <c r="W34" i="1062"/>
  <c r="V34" i="1062"/>
  <c r="U34" i="1062"/>
  <c r="T34" i="1062"/>
  <c r="S34" i="1062"/>
  <c r="R34" i="1062"/>
  <c r="Z33" i="1062"/>
  <c r="Y33" i="1062"/>
  <c r="X33" i="1062"/>
  <c r="W33" i="1062"/>
  <c r="V33" i="1062"/>
  <c r="U33" i="1062"/>
  <c r="T33" i="1062"/>
  <c r="S33" i="1062"/>
  <c r="R33" i="1062"/>
  <c r="Z32" i="1062"/>
  <c r="Y32" i="1062"/>
  <c r="X32" i="1062"/>
  <c r="W32" i="1062"/>
  <c r="V32" i="1062"/>
  <c r="U32" i="1062"/>
  <c r="T32" i="1062"/>
  <c r="S32" i="1062"/>
  <c r="R32" i="1062"/>
  <c r="Z31" i="1062"/>
  <c r="Y31" i="1062"/>
  <c r="X31" i="1062"/>
  <c r="W31" i="1062"/>
  <c r="V31" i="1062"/>
  <c r="U31" i="1062"/>
  <c r="T31" i="1062"/>
  <c r="S31" i="1062"/>
  <c r="R31" i="1062"/>
  <c r="Z30" i="1062"/>
  <c r="Y30" i="1062"/>
  <c r="X30" i="1062"/>
  <c r="W30" i="1062"/>
  <c r="V30" i="1062"/>
  <c r="U30" i="1062"/>
  <c r="T30" i="1062"/>
  <c r="S30" i="1062"/>
  <c r="R30" i="1062"/>
  <c r="Z29" i="1062"/>
  <c r="Y29" i="1062"/>
  <c r="X29" i="1062"/>
  <c r="W29" i="1062"/>
  <c r="V29" i="1062"/>
  <c r="U29" i="1062"/>
  <c r="T29" i="1062"/>
  <c r="S29" i="1062"/>
  <c r="R29" i="1062"/>
  <c r="M29" i="1062"/>
  <c r="Z28" i="1062"/>
  <c r="Y28" i="1062"/>
  <c r="X28" i="1062"/>
  <c r="W28" i="1062"/>
  <c r="V28" i="1062"/>
  <c r="U28" i="1062"/>
  <c r="T28" i="1062"/>
  <c r="S28" i="1062"/>
  <c r="R28" i="1062"/>
  <c r="M28" i="1062"/>
  <c r="Z27" i="1062"/>
  <c r="Y27" i="1062"/>
  <c r="X27" i="1062"/>
  <c r="W27" i="1062"/>
  <c r="V27" i="1062"/>
  <c r="U27" i="1062"/>
  <c r="T27" i="1062"/>
  <c r="S27" i="1062"/>
  <c r="R27" i="1062"/>
  <c r="Z26" i="1062"/>
  <c r="Y26" i="1062"/>
  <c r="X26" i="1062"/>
  <c r="W26" i="1062"/>
  <c r="V26" i="1062"/>
  <c r="U26" i="1062"/>
  <c r="T26" i="1062"/>
  <c r="S26" i="1062"/>
  <c r="R26" i="1062"/>
  <c r="M26" i="1062"/>
  <c r="Z25" i="1062"/>
  <c r="Y25" i="1062"/>
  <c r="X25" i="1062"/>
  <c r="W25" i="1062"/>
  <c r="V25" i="1062"/>
  <c r="U25" i="1062"/>
  <c r="T25" i="1062"/>
  <c r="S25" i="1062"/>
  <c r="R25" i="1062"/>
  <c r="M25" i="1062"/>
  <c r="Z24" i="1062"/>
  <c r="Y24" i="1062"/>
  <c r="X24" i="1062"/>
  <c r="W24" i="1062"/>
  <c r="V24" i="1062"/>
  <c r="U24" i="1062"/>
  <c r="T24" i="1062"/>
  <c r="S24" i="1062"/>
  <c r="R24" i="1062"/>
  <c r="M24" i="1062"/>
  <c r="Z23" i="1062"/>
  <c r="Y23" i="1062"/>
  <c r="X23" i="1062"/>
  <c r="W23" i="1062"/>
  <c r="V23" i="1062"/>
  <c r="U23" i="1062"/>
  <c r="T23" i="1062"/>
  <c r="S23" i="1062"/>
  <c r="R23" i="1062"/>
  <c r="K33" i="1062"/>
  <c r="L33" i="1062" s="1"/>
  <c r="M33" i="1062" s="1"/>
  <c r="Z22" i="1062"/>
  <c r="Y22" i="1062"/>
  <c r="X22" i="1062"/>
  <c r="W22" i="1062"/>
  <c r="V22" i="1062"/>
  <c r="U22" i="1062"/>
  <c r="T22" i="1062"/>
  <c r="S22" i="1062"/>
  <c r="R22" i="1062"/>
  <c r="Z21" i="1062"/>
  <c r="Y21" i="1062"/>
  <c r="X21" i="1062"/>
  <c r="W21" i="1062"/>
  <c r="V21" i="1062"/>
  <c r="U21" i="1062"/>
  <c r="T21" i="1062"/>
  <c r="S21" i="1062"/>
  <c r="R21" i="1062"/>
  <c r="Z20" i="1062"/>
  <c r="Y20" i="1062"/>
  <c r="X20" i="1062"/>
  <c r="W20" i="1062"/>
  <c r="V20" i="1062"/>
  <c r="U20" i="1062"/>
  <c r="T20" i="1062"/>
  <c r="S20" i="1062"/>
  <c r="R20" i="1062"/>
  <c r="Z19" i="1062"/>
  <c r="Y19" i="1062"/>
  <c r="X19" i="1062"/>
  <c r="W19" i="1062"/>
  <c r="V19" i="1062"/>
  <c r="U19" i="1062"/>
  <c r="T19" i="1062"/>
  <c r="S19" i="1062"/>
  <c r="R19" i="1062"/>
  <c r="O10" i="1062"/>
  <c r="N10" i="1062"/>
  <c r="M10" i="1062"/>
  <c r="L10" i="1062"/>
  <c r="J10" i="1062"/>
  <c r="I10" i="1062"/>
  <c r="J23" i="1062" s="1"/>
  <c r="G10" i="1062"/>
  <c r="F10" i="1062"/>
  <c r="E10" i="1062"/>
  <c r="D10" i="1062"/>
  <c r="C10" i="1062"/>
  <c r="O11" i="1061"/>
  <c r="O12" i="1061"/>
  <c r="O13" i="1061"/>
  <c r="O14" i="1061"/>
  <c r="O15" i="1061"/>
  <c r="O16" i="1061"/>
  <c r="K50" i="1061"/>
  <c r="K63" i="1061" s="1"/>
  <c r="B50" i="1061" l="1"/>
  <c r="M21" i="1061"/>
  <c r="G11" i="1061"/>
  <c r="G12" i="1061"/>
  <c r="G13" i="1061"/>
  <c r="G14" i="1061"/>
  <c r="G15" i="1061"/>
  <c r="G16" i="1061"/>
  <c r="D11" i="1061"/>
  <c r="D12" i="1061"/>
  <c r="D13" i="1061"/>
  <c r="D14" i="1061"/>
  <c r="D15" i="1061"/>
  <c r="D16" i="1061"/>
  <c r="D10" i="1061"/>
  <c r="C16" i="1061"/>
  <c r="E16" i="1061"/>
  <c r="F16" i="1061"/>
  <c r="I16" i="1061"/>
  <c r="J16" i="1061"/>
  <c r="L16" i="1061"/>
  <c r="M16" i="1061"/>
  <c r="N16" i="1061"/>
  <c r="N15" i="1061"/>
  <c r="N14" i="1061"/>
  <c r="N13" i="1061"/>
  <c r="N12" i="1061"/>
  <c r="L15" i="1061"/>
  <c r="L14" i="1061"/>
  <c r="L13" i="1061"/>
  <c r="L12" i="1061"/>
  <c r="M12" i="1061"/>
  <c r="M13" i="1061"/>
  <c r="M14" i="1061"/>
  <c r="M15" i="1061"/>
  <c r="C12" i="1061"/>
  <c r="E12" i="1061"/>
  <c r="F12" i="1061"/>
  <c r="C13" i="1061"/>
  <c r="E13" i="1061"/>
  <c r="F13" i="1061"/>
  <c r="C14" i="1061"/>
  <c r="E14" i="1061"/>
  <c r="F14" i="1061"/>
  <c r="C15" i="1061"/>
  <c r="E15" i="1061"/>
  <c r="F15" i="1061"/>
  <c r="J57" i="19"/>
  <c r="J58" i="19"/>
  <c r="J59" i="19"/>
  <c r="J60" i="19"/>
  <c r="J61" i="19"/>
  <c r="J62" i="19"/>
  <c r="J63" i="19"/>
  <c r="J64" i="19"/>
  <c r="G60" i="19"/>
  <c r="G63" i="19"/>
  <c r="G64" i="19"/>
  <c r="J57" i="18"/>
  <c r="J58" i="18"/>
  <c r="J59" i="18"/>
  <c r="J60" i="18"/>
  <c r="J61" i="18"/>
  <c r="J62" i="18"/>
  <c r="J63" i="18"/>
  <c r="J64" i="18"/>
  <c r="G58" i="18"/>
  <c r="G59" i="18"/>
  <c r="G60" i="18"/>
  <c r="G62" i="18"/>
  <c r="G63" i="18"/>
  <c r="G64" i="18"/>
  <c r="D58" i="18"/>
  <c r="D59" i="18"/>
  <c r="D60" i="18"/>
  <c r="D62" i="18"/>
  <c r="D63" i="18"/>
  <c r="D64" i="18"/>
  <c r="C11" i="1061" l="1"/>
  <c r="E11" i="1061"/>
  <c r="F11" i="1061"/>
  <c r="L10" i="1061"/>
  <c r="M10" i="1061"/>
  <c r="N10" i="1061"/>
  <c r="L11" i="1061"/>
  <c r="M11" i="1061"/>
  <c r="N11" i="1061"/>
  <c r="O10" i="1061"/>
  <c r="C10" i="1061"/>
  <c r="E10" i="1061"/>
  <c r="F10" i="1061"/>
  <c r="G10" i="1061"/>
  <c r="AX52" i="1061" l="1"/>
  <c r="AW52" i="1061"/>
  <c r="AV52" i="1061"/>
  <c r="AU52" i="1061"/>
  <c r="AT52" i="1061"/>
  <c r="AS52" i="1061"/>
  <c r="AR52" i="1061"/>
  <c r="AQ52" i="1061"/>
  <c r="AP52" i="1061"/>
  <c r="AO52" i="1061"/>
  <c r="AN52" i="1061"/>
  <c r="AM52" i="1061"/>
  <c r="AL52" i="1061"/>
  <c r="AK52" i="1061"/>
  <c r="AJ52" i="1061"/>
  <c r="AI52" i="1061"/>
  <c r="AH52" i="1061"/>
  <c r="AG52" i="1061"/>
  <c r="AF52" i="1061"/>
  <c r="AE52" i="1061"/>
  <c r="AD52" i="1061"/>
  <c r="AC52" i="1061"/>
  <c r="AB52" i="1061"/>
  <c r="AX51" i="1061"/>
  <c r="AW51" i="1061"/>
  <c r="AV51" i="1061"/>
  <c r="AU51" i="1061"/>
  <c r="AT51" i="1061"/>
  <c r="AS51" i="1061"/>
  <c r="AR51" i="1061"/>
  <c r="AQ51" i="1061"/>
  <c r="AP51" i="1061"/>
  <c r="AO51" i="1061"/>
  <c r="AN51" i="1061"/>
  <c r="AM51" i="1061"/>
  <c r="AL51" i="1061"/>
  <c r="AK51" i="1061"/>
  <c r="AJ51" i="1061"/>
  <c r="AI51" i="1061"/>
  <c r="AH51" i="1061"/>
  <c r="AG51" i="1061"/>
  <c r="AF51" i="1061"/>
  <c r="AE51" i="1061"/>
  <c r="AD51" i="1061"/>
  <c r="AC51" i="1061"/>
  <c r="AB51" i="1061"/>
  <c r="AX50" i="1061"/>
  <c r="AW50" i="1061"/>
  <c r="AV50" i="1061"/>
  <c r="AU50" i="1061"/>
  <c r="AT50" i="1061"/>
  <c r="AS50" i="1061"/>
  <c r="AR50" i="1061"/>
  <c r="AQ50" i="1061"/>
  <c r="AP50" i="1061"/>
  <c r="AO50" i="1061"/>
  <c r="AN50" i="1061"/>
  <c r="AM50" i="1061"/>
  <c r="AL50" i="1061"/>
  <c r="AK50" i="1061"/>
  <c r="AJ50" i="1061"/>
  <c r="AI50" i="1061"/>
  <c r="AH50" i="1061"/>
  <c r="AG50" i="1061"/>
  <c r="AF50" i="1061"/>
  <c r="AE50" i="1061"/>
  <c r="AD50" i="1061"/>
  <c r="AC50" i="1061"/>
  <c r="AB50" i="1061"/>
  <c r="K45" i="1061"/>
  <c r="Z32" i="1061"/>
  <c r="Y32" i="1061"/>
  <c r="X32" i="1061"/>
  <c r="W32" i="1061"/>
  <c r="V32" i="1061"/>
  <c r="U32" i="1061"/>
  <c r="T32" i="1061"/>
  <c r="S32" i="1061"/>
  <c r="R32" i="1061"/>
  <c r="Z31" i="1061"/>
  <c r="Y31" i="1061"/>
  <c r="X31" i="1061"/>
  <c r="W31" i="1061"/>
  <c r="V31" i="1061"/>
  <c r="U31" i="1061"/>
  <c r="T31" i="1061"/>
  <c r="S31" i="1061"/>
  <c r="R31" i="1061"/>
  <c r="Z30" i="1061"/>
  <c r="Y30" i="1061"/>
  <c r="X30" i="1061"/>
  <c r="W30" i="1061"/>
  <c r="V30" i="1061"/>
  <c r="U30" i="1061"/>
  <c r="T30" i="1061"/>
  <c r="S30" i="1061"/>
  <c r="R30" i="1061"/>
  <c r="Z29" i="1061"/>
  <c r="Y29" i="1061"/>
  <c r="X29" i="1061"/>
  <c r="W29" i="1061"/>
  <c r="V29" i="1061"/>
  <c r="U29" i="1061"/>
  <c r="T29" i="1061"/>
  <c r="S29" i="1061"/>
  <c r="R29" i="1061"/>
  <c r="Z28" i="1061"/>
  <c r="Y28" i="1061"/>
  <c r="X28" i="1061"/>
  <c r="W28" i="1061"/>
  <c r="V28" i="1061"/>
  <c r="U28" i="1061"/>
  <c r="T28" i="1061"/>
  <c r="S28" i="1061"/>
  <c r="R28" i="1061"/>
  <c r="Z27" i="1061"/>
  <c r="Y27" i="1061"/>
  <c r="X27" i="1061"/>
  <c r="W27" i="1061"/>
  <c r="V27" i="1061"/>
  <c r="U27" i="1061"/>
  <c r="T27" i="1061"/>
  <c r="S27" i="1061"/>
  <c r="R27" i="1061"/>
  <c r="M27" i="1061"/>
  <c r="Z26" i="1061"/>
  <c r="Y26" i="1061"/>
  <c r="X26" i="1061"/>
  <c r="W26" i="1061"/>
  <c r="V26" i="1061"/>
  <c r="U26" i="1061"/>
  <c r="T26" i="1061"/>
  <c r="S26" i="1061"/>
  <c r="R26" i="1061"/>
  <c r="M26" i="1061"/>
  <c r="Z25" i="1061"/>
  <c r="Y25" i="1061"/>
  <c r="X25" i="1061"/>
  <c r="W25" i="1061"/>
  <c r="V25" i="1061"/>
  <c r="U25" i="1061"/>
  <c r="T25" i="1061"/>
  <c r="S25" i="1061"/>
  <c r="R25" i="1061"/>
  <c r="Z24" i="1061"/>
  <c r="Y24" i="1061"/>
  <c r="X24" i="1061"/>
  <c r="W24" i="1061"/>
  <c r="V24" i="1061"/>
  <c r="U24" i="1061"/>
  <c r="T24" i="1061"/>
  <c r="S24" i="1061"/>
  <c r="R24" i="1061"/>
  <c r="M24" i="1061"/>
  <c r="Z23" i="1061"/>
  <c r="Y23" i="1061"/>
  <c r="X23" i="1061"/>
  <c r="W23" i="1061"/>
  <c r="V23" i="1061"/>
  <c r="U23" i="1061"/>
  <c r="T23" i="1061"/>
  <c r="S23" i="1061"/>
  <c r="R23" i="1061"/>
  <c r="M23" i="1061"/>
  <c r="Z22" i="1061"/>
  <c r="Y22" i="1061"/>
  <c r="X22" i="1061"/>
  <c r="W22" i="1061"/>
  <c r="V22" i="1061"/>
  <c r="U22" i="1061"/>
  <c r="T22" i="1061"/>
  <c r="S22" i="1061"/>
  <c r="R22" i="1061"/>
  <c r="M22" i="1061"/>
  <c r="Z21" i="1061"/>
  <c r="Y21" i="1061"/>
  <c r="X21" i="1061"/>
  <c r="W21" i="1061"/>
  <c r="V21" i="1061"/>
  <c r="U21" i="1061"/>
  <c r="T21" i="1061"/>
  <c r="S21" i="1061"/>
  <c r="R21" i="1061"/>
  <c r="Z20" i="1061"/>
  <c r="Y20" i="1061"/>
  <c r="X20" i="1061"/>
  <c r="W20" i="1061"/>
  <c r="V20" i="1061"/>
  <c r="U20" i="1061"/>
  <c r="T20" i="1061"/>
  <c r="S20" i="1061"/>
  <c r="R20" i="1061"/>
  <c r="Z19" i="1061"/>
  <c r="Y19" i="1061"/>
  <c r="X19" i="1061"/>
  <c r="W19" i="1061"/>
  <c r="V19" i="1061"/>
  <c r="U19" i="1061"/>
  <c r="T19" i="1061"/>
  <c r="S19" i="1061"/>
  <c r="R19" i="1061"/>
  <c r="Z18" i="1061"/>
  <c r="Y18" i="1061"/>
  <c r="X18" i="1061"/>
  <c r="W18" i="1061"/>
  <c r="V18" i="1061"/>
  <c r="U18" i="1061"/>
  <c r="T18" i="1061"/>
  <c r="S18" i="1061"/>
  <c r="R18" i="1061"/>
  <c r="Z17" i="1061"/>
  <c r="Y17" i="1061"/>
  <c r="X17" i="1061"/>
  <c r="W17" i="1061"/>
  <c r="V17" i="1061"/>
  <c r="U17" i="1061"/>
  <c r="T17" i="1061"/>
  <c r="S17" i="1061"/>
  <c r="R17" i="1061"/>
  <c r="L36" i="1061" l="1"/>
  <c r="M36" i="1061" s="1"/>
  <c r="L35" i="1063"/>
  <c r="M35" i="1063" s="1"/>
  <c r="L38" i="1062"/>
  <c r="M38" i="1062" s="1"/>
  <c r="K31" i="1061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J15" i="1061" l="1"/>
  <c r="I15" i="1061"/>
  <c r="J14" i="1061"/>
  <c r="I14" i="1061"/>
  <c r="J13" i="1061"/>
  <c r="I13" i="1061"/>
  <c r="J12" i="1061"/>
  <c r="I12" i="1061"/>
  <c r="J11" i="1061"/>
  <c r="I11" i="1061"/>
  <c r="J10" i="1061"/>
  <c r="L31" i="1061" l="1"/>
  <c r="M31" i="1061" s="1"/>
  <c r="I10" i="1061"/>
  <c r="J21" i="1061" s="1"/>
  <c r="K11" i="1062" l="1"/>
  <c r="K12" i="1062"/>
  <c r="K13" i="1062"/>
  <c r="K14" i="1062"/>
  <c r="K15" i="1062"/>
  <c r="K16" i="1062"/>
  <c r="K17" i="1062"/>
  <c r="G52" i="1062" l="1"/>
  <c r="D52" i="1062"/>
  <c r="L52" i="1062" l="1"/>
  <c r="C65" i="1062" s="1"/>
  <c r="G63" i="1061"/>
  <c r="D50" i="1061"/>
  <c r="G50" i="1061"/>
  <c r="L50" i="1061" l="1"/>
  <c r="C63" i="1061" s="1"/>
  <c r="G56" i="18"/>
  <c r="K10" i="1062" l="1"/>
  <c r="K10" i="1061" l="1"/>
  <c r="K11" i="1061"/>
  <c r="K12" i="1061"/>
  <c r="K13" i="1061"/>
  <c r="K14" i="1061"/>
  <c r="K15" i="1061"/>
  <c r="K16" i="1061"/>
  <c r="G62" i="19" l="1"/>
  <c r="G59" i="19"/>
  <c r="G56" i="19"/>
  <c r="D60" i="19" l="1"/>
  <c r="D63" i="19"/>
  <c r="D59" i="19"/>
  <c r="D58" i="19"/>
  <c r="D62" i="19" l="1"/>
  <c r="D64" i="19"/>
  <c r="D56" i="18" l="1"/>
  <c r="D56" i="19" l="1"/>
  <c r="J10" i="1068" l="1"/>
  <c r="J12" i="1068"/>
  <c r="J11" i="1068"/>
  <c r="J17" i="1068"/>
  <c r="J15" i="1068"/>
  <c r="J14" i="1068"/>
  <c r="J13" i="1068"/>
  <c r="I13" i="1068" l="1"/>
  <c r="I14" i="1068"/>
  <c r="I15" i="1068"/>
  <c r="I17" i="1068"/>
  <c r="I11" i="1068"/>
  <c r="I12" i="1068"/>
  <c r="I10" i="1068" l="1"/>
  <c r="J25" i="1068" s="1"/>
  <c r="M25" i="1068"/>
  <c r="L25" i="1068"/>
  <c r="L35" i="1068" s="1"/>
  <c r="M35" i="1068" s="1"/>
  <c r="M27" i="1072" l="1"/>
  <c r="L27" i="1072"/>
  <c r="L37" i="1072" s="1"/>
  <c r="M37" i="1072" s="1"/>
  <c r="I18" i="1072"/>
  <c r="J27" i="1072" s="1"/>
  <c r="J18" i="1072"/>
  <c r="N19" i="1073" l="1"/>
  <c r="N18" i="1073"/>
  <c r="N17" i="1073"/>
  <c r="N16" i="1073"/>
  <c r="N15" i="1073"/>
  <c r="N14" i="1073"/>
  <c r="N13" i="1073"/>
  <c r="K10" i="1075"/>
  <c r="K11" i="1075"/>
  <c r="K12" i="1075"/>
  <c r="K13" i="1075"/>
  <c r="K14" i="1075"/>
  <c r="K15" i="1075"/>
  <c r="K16" i="1075"/>
  <c r="K17" i="1075"/>
  <c r="K10" i="1065" l="1"/>
  <c r="K11" i="1065"/>
  <c r="K12" i="1065"/>
  <c r="K13" i="1065"/>
  <c r="K14" i="1065"/>
  <c r="K15" i="1065"/>
  <c r="K16" i="1065"/>
  <c r="K17" i="1065"/>
  <c r="K18" i="1065"/>
  <c r="K10" i="1066"/>
  <c r="K62" i="1078" l="1"/>
  <c r="K75" i="1078" s="1"/>
  <c r="J56" i="18" l="1"/>
  <c r="J65" i="18"/>
  <c r="J56" i="19" l="1"/>
  <c r="J65" i="19"/>
  <c r="G58" i="19" l="1"/>
  <c r="G65" i="1076" l="1"/>
  <c r="D58" i="1077"/>
  <c r="L58" i="1077" s="1"/>
  <c r="D53" i="1076"/>
  <c r="L53" i="1076" s="1"/>
  <c r="C65" i="1076" s="1"/>
  <c r="G67" i="1075"/>
  <c r="D55" i="1075"/>
  <c r="L55" i="1075" s="1"/>
  <c r="C67" i="1075" s="1"/>
  <c r="D57" i="19"/>
  <c r="D49" i="1063"/>
  <c r="L49" i="1063" s="1"/>
  <c r="C63" i="1063" s="1"/>
  <c r="D57" i="18"/>
  <c r="D50" i="1069" l="1"/>
  <c r="L50" i="1069" s="1"/>
  <c r="D52" i="1069"/>
  <c r="L52" i="1069" s="1"/>
  <c r="G64" i="1070"/>
  <c r="D50" i="1070"/>
  <c r="L50" i="1070" s="1"/>
  <c r="C64" i="1070" s="1"/>
  <c r="D61" i="19"/>
  <c r="D61" i="18"/>
  <c r="C68" i="1069" l="1"/>
  <c r="G68" i="1069"/>
  <c r="G61" i="18"/>
  <c r="G63" i="1063"/>
  <c r="G57" i="18" l="1"/>
  <c r="G61" i="19"/>
  <c r="D65" i="18"/>
  <c r="D65" i="19"/>
  <c r="G65" i="18" l="1"/>
  <c r="G57" i="19" l="1"/>
  <c r="G65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E188C20-160B-4BA1-B9C1-36239B036C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F1A61DB-4780-4D42-88F5-87D753AD56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461EDCE-63A7-42A9-99BA-65FD17AE6F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310A95A-8780-4A39-B608-0D51A600DA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531667F-9F23-430C-9B56-ED982D39404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889BEC8-72B7-4756-A8DE-DDDA1AC1B4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CEE31A8-BB38-4044-8120-A9FF099C4E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1374CFF-9F04-4BB4-9514-AC8DD2646F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2C5A97F-A1A3-4612-A69F-49FC278B2D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6864A78-D6EC-4ECC-9849-D2D5859BD28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D32940E-7152-4897-805B-746FADACF5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B7FA099-4BC7-4602-A157-ECABA1A8C9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A3808C1-B4AE-4C49-80CA-91B97C3EF1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D9906B1-6475-4DBA-91CC-109B076F4A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447D31E-9984-4905-B47B-D28CC95945E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3123264-6A7D-436E-96DF-9BA331DFBE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35D0703-3178-43AE-ADF9-903C42103FC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5BA034D-5279-4037-9A35-FBA68F3872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FD8740E-A973-4854-933C-F44B741142C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B1CBE08-6AAB-4085-915D-B43C3DACE5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0657B2D-8C36-4F51-94E8-C9E0395886A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1E61976-E926-4141-8AE9-D33779CF8E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D51918E-230E-4D85-9DDE-B4E373A4BD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2B88290-7FC2-4ECB-8E1C-5CD1AA74FA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19999E1-15A8-4E92-AA3C-53F039922B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6EA424B-FF33-44F7-87A7-332F306ECB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B0372DE-4878-423F-8E12-C6E070E68AD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F8DAF7E-3834-42B3-AF7D-16C05C394B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7F485CB-755D-46E2-B6B8-4967B127EE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9D5B843-936E-4C5B-A567-CF40284F3D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0887CDC-AEA0-45AD-BD86-FFE8DBD84C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701F75C-B7F4-4BD6-BDEE-D284A977764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5920389-FA7D-47AD-9100-5E6C241BB5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E02B9FE-D7A0-4C1C-90E9-B052859CDF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C56EB10A-6A1C-4485-94C2-FDED094708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E136432-8F9F-426E-BA84-5FA2FC008EF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760BDB3-FE85-4FE4-8373-0BC5F6D40B9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51973F5-65EB-4B12-BEB7-5AF0E62131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046E61E-1CC7-4A4C-AA13-912EFDC63E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C540277-F191-4974-B48B-146329AFB4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12768F2-5F66-4458-A395-CD076939D0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9BCD23A0-F353-4B56-B296-0A717FDFC9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3DFE52D-8793-4310-926D-34A81072411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FA7AD97-8375-44E7-964D-9EFA0C8059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20D81D7-0912-4561-8EAA-C27D0B1745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15F257E-D906-4176-849C-BC25514563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86A4BC5-2015-4A78-A133-47690E2287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AB88490-5237-44E3-8613-5AB6BB0056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0278B33-99A9-47E5-B653-54259842FCF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5052291-8137-4AB8-94CA-ABF77C555E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98A8B59-7F33-4A9C-B628-CFD63E1C53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F285A5E-806B-4AD7-814D-7EA56D7BB7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2A12B42-88E3-4F21-A447-12893F0B2D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56EC2E4-2B3A-4375-818A-35F416EB59D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31B8036-78CD-4914-A2FF-D4F3C35717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401A5D5-E668-4D54-8107-FBBD4AD5E1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F05EE6E-6F70-4A60-935B-201C1959B1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EC998A8-1F0A-46F5-8F70-0E75E5C95B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CAD60EE-C958-47D4-87F9-71E81529E9F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89D0174-08EC-4757-A8FD-FD34F81354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6C85079-EFB5-4AE8-9619-5AA50DB289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D847FD5-E5F7-406A-841A-4978FB262D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13D99F3-5B99-4391-8849-6F1373D21D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B5CDEB2-37F3-4510-AB87-0FCFF607FB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0529E32-C585-4FF2-8169-94F85A549D0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6280D9BD-D619-450E-80C5-3F767396F2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9965414-C786-407A-B1C8-B594ED74C88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B9C2D0D-E0B5-410F-B5CC-38526C046A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48D0237-4D98-45BF-92F8-5DDFEF68FF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2296DAA-7DE6-49E1-8DE8-882AA70BE4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088ADF6-FF5F-4A32-B288-0D82E749B4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1EB8858-12A3-455E-BD9C-25B26ED403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41A27E1-F00C-4E27-8FF0-DAC805D8D2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BB2A679-0823-4889-86C7-835B6791CB6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72B0351-A0A5-4562-8B98-5AEC6508C8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ACB87D7-B9BF-4DF0-85BA-9AE2FE540F1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0650DF01-2E00-497F-8DC2-80948AA60C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82C3E04-88EE-4E45-B552-8E05B8286AE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10956D7-3169-4455-BA8C-4E3E49DD27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58E5266-F154-49B2-89A6-8E3F7CD763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A2DB85D-1FDA-420D-8C23-7E27035995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8A0E165-96DF-4067-9522-375E0481B60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A741304-B6BC-483C-9074-FDBB3AFC35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3FE62A2-176B-496C-9FD7-8A89B98D5E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3D067F1-B9B1-4D65-9748-E8811313A9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8ACA9CA-CA3B-432A-AC0A-D33F16E707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622B57A-9894-4AF1-8793-95E788F5021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62D1977-07A0-4444-B045-C2AD0A6877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C8F3268-0CBC-4C4F-A21E-871DEECF14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6FD10B3-F85F-4ED3-9D17-D1867DECA1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B32141A-2D7C-4F41-BF5B-F97ADE3B81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9245567-2CC5-4C7F-A087-AFA3D5E233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A9CF26E-B492-44A6-97AC-1DCCF99233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C1E10C3-9355-455F-A637-A819DCC225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C15CA45-FAB7-4EC9-BD4C-79ABBC8634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51E7711-D145-41AE-BB56-AC89FF9DD9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62500C8-89C8-4063-8CD3-9183D2CB8E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A3EA920-94B6-40B2-AB6D-DFC8782178E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4701972-4B68-4706-911F-13E5A0A0C6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C67970C-342A-42AB-8AF6-37F82E245D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4B1D8FD-1B60-460F-88AC-E7C8F8571E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8CE3760-8965-4F53-9A4B-CCF763B14C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2FDF9F6-57C8-4B5C-AE18-ABA218861C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CB3D69C-22FF-47A0-962D-3EB4481B6A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4D3414F-8EDC-4542-921D-941A616AC0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5FC1633-4FD6-4254-820F-D68DB7462F8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DEF5325-EDB2-478B-8D0E-2668BA721E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591C33C-8372-48A2-9D75-CC2B5B777E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611A546-D4A1-4ACF-B379-62B4DC17D43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967A777-1C1B-4178-90DC-363E769FD8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5D4EC10-C484-4362-851E-E4869108AF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FC99E51-C94E-4B50-8843-F7226DA9FA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87DB424-6A2F-48B6-A519-9B5F4EFDEE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8BCDAFF-D59E-4A53-9638-61B9A0B7697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8EC6F03-E266-4162-91F4-586D76757D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12EBAF0-37EE-43E2-9FE1-8401208784D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B76BB3C-266A-4E01-98F8-BF84EA37E3A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D23FDFE-509A-4445-BCEA-1DDD6BDE8C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ABFEB37-26AE-4107-9F1D-9CBBB73AF3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07DBA186-BAC2-4604-9A19-2016E33F885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6646920-D2E3-4AC9-8474-9B5FE373C2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D522047-FF59-4633-8AB5-5D88778508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F0F8025-7CB2-4BB6-B0FC-4029E04DB2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E5FF46B-F59E-493B-84B5-4437367406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D556E1C-327E-4CFF-87AE-88698B0AFD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0B630B1-89A2-4217-8E85-FA4557A047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78EC149-4967-4D8D-B50C-078FCDCF20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F09A65D-CA58-4DC7-9405-95936A9EE04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258F539-7AAD-4DEF-9316-7105B06247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A3E10C5-3E59-4938-8C0B-6ABC1D2094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A99F227-ADC1-405B-B87C-CEB5922C0DD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6E581DC-4EFC-46CC-8A19-D589091984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C346745-2D3E-4446-AC23-02C7E6B9BE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E911CA8-5C16-47D1-AAE2-5A4C119AE7B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AA86C14-4288-499C-A53B-419EBF56CE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0926524-1FEE-446D-BC4B-3118043231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2B392F4-CB8D-4F45-B041-D08AF91029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D3FBD65-6634-4743-BDAC-9E3117FC7A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A2B3992-451E-46E1-9181-8C9528946A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4F14063-7801-4091-B042-639ADA8A72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EE54700-5C36-4D05-9A81-701E0F926E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7BBC0FE-D871-49E8-A2FA-9984C683A24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D6E6967-CAF1-451E-A5F7-244EE4EB58F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29C79F5-0892-4B8B-8978-1D252C34EA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FBBFEAC-07A5-4151-997B-C75E1473379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C241697-FA8C-4E3A-893E-6D4D59CF26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09CB03D-BF30-44FD-AB61-D363F47553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D1201A9-6A0C-4D1B-B789-662AC09201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3834228-8E72-4B0C-9D22-880B0F2128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AE80040-7F8A-4CD3-A24E-663E792C3D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C867A97-278C-40B1-8AFF-3B90542023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56C47DF-B707-47B1-BA6C-892A430A52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DBE59E3-357D-4D8F-9FF5-7EBF0EA4C62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EF1B2C5-7447-47C0-A311-E7B973F084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73E8C75-51F2-4A66-83C3-5594990F327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748A5BF-B5B8-4F38-AB77-811DA175C1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C003B98-834A-4479-BAED-CED66C8E8E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EB3CE06-FE88-4D35-B920-5259EB5240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0CE1E63-5537-422B-B771-F711F20A843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109E89E-6281-4213-8393-6CE1CB4E71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D4C81B6-D691-403A-9EC9-B5C5B55090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B12E662-D729-4F71-9C5B-C497BE4FB8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222ADA6-8427-4149-B6FF-A6A94E51E7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213FA09-0FEE-43DE-88B1-481B0A41979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355A62A-101C-4850-95B9-14EF14727A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A3B436A-ACD9-42DA-BA69-8B91A3A3C4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AAB863C-B104-4C92-AA58-523C936CF7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42C5116-4131-4A14-9744-BEDB7B9D91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BA0A9B5-DCE4-4CC4-90B7-0119FDB403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C0F0778-4599-4D2C-855F-16F294CA67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EF54464-DF70-442D-90E1-980E205B6E9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FD20020-1D29-4E7B-B067-85DBA38AC5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7D87392-81D3-4050-B79A-61FC43C4EC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CC288DB-D6AD-4E6B-8A06-E3C00704698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F145C52-2DB4-43DC-8C25-A92E2D32D0E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3A49BCC-4800-4B3B-A064-5210C406E8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6" authorId="1" shapeId="0" xr:uid="{F3604F7A-5F0C-4502-826E-363E60FA352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AVAILABLITY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99E55DA-886C-4D00-83CA-703493A17F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6146A4F-CD59-4D62-9517-9A108DB0B6F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448A160-2A60-4227-BB58-E701BA81507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DC94943-B6BE-4E60-891A-950080A0D2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2407125-A686-49C3-A582-9821FA15F7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F19C1B1-9D0C-4D58-87CE-6A1D8DCD236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946B9A5-3192-4604-A424-77E67F0D83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3CC8BF7-93B9-41BF-BE47-898FDE31F1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EB28224-EDF9-4B42-B1CF-484067C31D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7E7AD21-F40F-4CCD-B281-3170C12E8C6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7FB45D10-484D-4685-AE27-BB77B20D2F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AC0F056-021A-4F4F-B08F-10FDC071F1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31FE5DF-793F-4DC3-84C7-49887F646E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1A02BA9-93CC-4FE5-A3E8-9ECC7AB9A1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DFD9991-66B1-4905-8FFC-BEF7BA079C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A9885D2-AE52-4223-B9A6-D40995DFCD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5A03DD5-9CCC-4F28-ACC8-EC57C72271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A0E6522-071D-4BEA-B469-52160CA2D0B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23226C2-69C5-4C82-8CD8-91837BC354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90D3B0F-774B-4624-BC53-DC9806C1E3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B2085A4-FF0C-416D-AFCE-543E25FA2A1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AEE0726-4884-4B10-9A50-627A0C2715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sharedStrings.xml><?xml version="1.0" encoding="utf-8"?>
<sst xmlns="http://schemas.openxmlformats.org/spreadsheetml/2006/main" count="2771" uniqueCount="182">
  <si>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</si>
  <si>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</si>
  <si>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</si>
  <si>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</si>
  <si>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</si>
  <si>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</si>
  <si>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</si>
  <si>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</si>
  <si>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</si>
  <si>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</si>
  <si>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</si>
  <si>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</si>
  <si>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</si>
  <si>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</si>
  <si>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</si>
  <si>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</si>
  <si>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</si>
  <si>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</si>
  <si>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</si>
  <si>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</si>
  <si>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</si>
  <si>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</si>
  <si>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</si>
  <si>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</si>
  <si>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</si>
  <si>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</si>
  <si>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</si>
  <si>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</si>
  <si>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</si>
  <si>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</si>
  <si>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</si>
  <si>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</si>
  <si>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</si>
  <si>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</si>
  <si>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</si>
  <si>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</si>
  <si>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</si>
  <si>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</si>
  <si>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</si>
  <si>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</si>
  <si>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</si>
  <si>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</si>
  <si>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</si>
  <si>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</si>
  <si>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</si>
  <si>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</si>
  <si>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</si>
  <si>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</si>
  <si>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</si>
  <si>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</si>
  <si>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</si>
  <si>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</si>
  <si>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</si>
  <si>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</si>
  <si>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</si>
  <si>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</si>
  <si>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</si>
  <si>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</si>
  <si>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</si>
  <si>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</si>
  <si>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</si>
  <si>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</si>
  <si>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</si>
  <si>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</si>
  <si>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</si>
  <si>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</si>
  <si>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</si>
  <si>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</si>
  <si>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</si>
  <si>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</si>
  <si>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</si>
  <si>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</si>
  <si>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</si>
  <si>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</si>
  <si>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</si>
  <si>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</si>
  <si>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</si>
  <si>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</si>
  <si>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</si>
  <si>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</si>
  <si>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</si>
  <si>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</si>
  <si>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</si>
  <si>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</si>
  <si>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</si>
  <si>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</si>
  <si>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</si>
  <si>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</si>
  <si>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</si>
  <si>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</si>
  <si>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</si>
  <si>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</si>
  <si>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</si>
  <si>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</si>
  <si>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</si>
  <si>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</si>
  <si>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</si>
  <si>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</si>
  <si>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</si>
  <si>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</si>
  <si>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</si>
  <si>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</si>
  <si>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</si>
  <si>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</si>
  <si>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</si>
  <si>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</si>
  <si>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</si>
  <si>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</si>
  <si>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</si>
  <si>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</si>
  <si>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</si>
  <si>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</si>
  <si>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</si>
  <si>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</si>
  <si>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</si>
  <si>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</si>
  <si>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</si>
  <si>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</si>
  <si>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</si>
  <si>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</si>
  <si>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</si>
  <si>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</si>
  <si>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</si>
  <si>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</si>
  <si>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</si>
  <si>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</si>
  <si>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</si>
  <si>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</si>
  <si>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</si>
  <si>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</si>
  <si>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</si>
  <si>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</si>
  <si>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</si>
  <si>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</si>
  <si>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</si>
  <si>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</si>
  <si>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</si>
  <si>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</si>
  <si>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</si>
  <si>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</si>
  <si>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</si>
  <si>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</si>
  <si>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</si>
  <si>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</si>
  <si>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</si>
  <si>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</si>
  <si>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</si>
  <si>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</si>
  <si>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</si>
  <si>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</si>
  <si>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</si>
  <si>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</si>
  <si>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</si>
  <si>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</si>
  <si>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</si>
  <si>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</si>
  <si>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</si>
  <si>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</si>
  <si>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</si>
  <si>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</si>
  <si>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</si>
  <si>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</si>
  <si>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</si>
  <si>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IPA</t>
  </si>
  <si>
    <t>APA</t>
  </si>
  <si>
    <t xml:space="preserve">  </t>
  </si>
  <si>
    <t>Brewing Time</t>
  </si>
  <si>
    <t>Extr. Rec (78%)</t>
  </si>
  <si>
    <t xml:space="preserve"> MALT LOT: Lot #15</t>
  </si>
  <si>
    <t>3 SBF</t>
  </si>
  <si>
    <t>K. Neptune</t>
  </si>
  <si>
    <t>4 SBF</t>
  </si>
  <si>
    <t>Wort kettle pump problems</t>
  </si>
  <si>
    <t>D. Emery</t>
  </si>
  <si>
    <t>NO SBF</t>
  </si>
  <si>
    <t>T.Charles</t>
  </si>
  <si>
    <t>K. Hosten</t>
  </si>
  <si>
    <t>1 SBF</t>
  </si>
  <si>
    <t>G. Mason</t>
  </si>
  <si>
    <t>R. Regis</t>
  </si>
  <si>
    <t>5 SBF</t>
  </si>
  <si>
    <t>J. Nelson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</si>
</sst>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7">
    <xf numFmtId="165" fontId="0" fillId="0" borderId="0"/>
    <xf numFmtId="164" fontId="8" fillId="0" borderId="0" applyFont="0" applyFill="0" applyBorder="0" applyAlignment="0" applyProtection="0"/>
    <xf numFmtId="0" fontId="6" fillId="2" borderId="0" applyNumberFormat="0" applyBorder="0" applyAlignment="0" applyProtection="0"/>
    <xf numFmtId="165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31">
    <xf numFmtId="165" fontId="0" fillId="0" borderId="0" xfId="0"/>
    <xf numFmtId="165" fontId="10" fillId="0" borderId="0" xfId="3" applyFont="1"/>
    <xf numFmtId="165" fontId="10" fillId="0" borderId="0" xfId="3" applyFont="1" applyAlignment="1">
      <alignment wrapText="1"/>
    </xf>
    <xf numFmtId="165" fontId="11" fillId="3" borderId="1" xfId="0" applyFont="1" applyFill="1" applyBorder="1"/>
    <xf numFmtId="165" fontId="12" fillId="0" borderId="0" xfId="3" applyFont="1" applyAlignment="1">
      <alignment horizontal="center" wrapText="1"/>
    </xf>
    <xf numFmtId="165" fontId="13" fillId="0" borderId="0" xfId="3" applyFont="1"/>
    <xf numFmtId="165" fontId="9" fillId="0" borderId="0" xfId="3" applyFont="1" applyAlignment="1">
      <alignment wrapText="1"/>
    </xf>
    <xf numFmtId="166" fontId="11" fillId="3" borderId="1" xfId="0" applyNumberFormat="1" applyFont="1" applyFill="1" applyBorder="1"/>
    <xf numFmtId="166" fontId="11" fillId="3" borderId="2" xfId="0" applyNumberFormat="1" applyFont="1" applyFill="1" applyBorder="1"/>
    <xf numFmtId="167" fontId="10" fillId="3" borderId="1" xfId="3" applyNumberFormat="1" applyFont="1" applyFill="1" applyBorder="1" applyAlignment="1">
      <alignment horizontal="right"/>
    </xf>
    <xf numFmtId="167" fontId="10" fillId="3" borderId="1" xfId="3" applyNumberFormat="1" applyFont="1" applyFill="1" applyBorder="1" applyAlignment="1">
      <alignment horizontal="right" vertical="center"/>
    </xf>
    <xf numFmtId="166" fontId="9" fillId="0" borderId="0" xfId="3" applyNumberFormat="1" applyFont="1"/>
    <xf numFmtId="165" fontId="10" fillId="0" borderId="0" xfId="3" applyFont="1" applyAlignment="1">
      <alignment horizontal="center" wrapText="1"/>
    </xf>
    <xf numFmtId="165" fontId="10" fillId="0" borderId="0" xfId="3" applyFont="1" applyAlignment="1">
      <alignment vertical="center"/>
    </xf>
    <xf numFmtId="165" fontId="18" fillId="0" borderId="1" xfId="3" applyFont="1" applyBorder="1"/>
    <xf numFmtId="165" fontId="19" fillId="0" borderId="0" xfId="3" applyFont="1"/>
    <xf numFmtId="1" fontId="9" fillId="0" borderId="0" xfId="3" applyNumberFormat="1" applyFont="1" applyAlignment="1">
      <alignment horizontal="center" wrapText="1"/>
    </xf>
    <xf numFmtId="165" fontId="10" fillId="5" borderId="7" xfId="3" applyFont="1" applyFill="1" applyBorder="1" applyAlignment="1">
      <alignment horizontal="center" vertical="center" wrapText="1"/>
    </xf>
    <xf numFmtId="165" fontId="9" fillId="0" borderId="9" xfId="3" applyFont="1" applyBorder="1" applyAlignment="1">
      <alignment horizontal="center"/>
    </xf>
    <xf numFmtId="20" fontId="10" fillId="0" borderId="0" xfId="3" applyNumberFormat="1" applyFont="1"/>
    <xf numFmtId="165" fontId="10" fillId="0" borderId="11" xfId="3" applyFont="1" applyBorder="1" applyAlignment="1">
      <alignment horizontal="center" vertical="top" wrapText="1"/>
    </xf>
    <xf numFmtId="165" fontId="10" fillId="5" borderId="11" xfId="3" applyFont="1" applyFill="1" applyBorder="1" applyAlignment="1">
      <alignment horizontal="center" vertical="top" wrapText="1"/>
    </xf>
    <xf numFmtId="165" fontId="24" fillId="0" borderId="13" xfId="3" applyFont="1" applyBorder="1" applyAlignment="1">
      <alignment horizontal="left"/>
    </xf>
    <xf numFmtId="2" fontId="10" fillId="0" borderId="0" xfId="3" applyNumberFormat="1" applyFont="1"/>
    <xf numFmtId="165" fontId="10" fillId="0" borderId="20" xfId="3" applyFont="1" applyBorder="1" applyAlignment="1">
      <alignment horizontal="left"/>
    </xf>
    <xf numFmtId="165" fontId="10" fillId="0" borderId="21" xfId="3" applyFont="1" applyBorder="1" applyAlignment="1">
      <alignment horizontal="center"/>
    </xf>
    <xf numFmtId="165" fontId="10" fillId="0" borderId="21" xfId="3" applyFont="1" applyBorder="1" applyAlignment="1">
      <alignment horizontal="center" wrapText="1"/>
    </xf>
    <xf numFmtId="165" fontId="10" fillId="0" borderId="22" xfId="3" applyFont="1" applyBorder="1" applyAlignment="1">
      <alignment horizontal="center"/>
    </xf>
    <xf numFmtId="165" fontId="25" fillId="0" borderId="0" xfId="3" applyFont="1"/>
    <xf numFmtId="165" fontId="27" fillId="0" borderId="13" xfId="3" applyFont="1" applyBorder="1" applyAlignment="1">
      <alignment horizontal="left"/>
    </xf>
    <xf numFmtId="166" fontId="9" fillId="0" borderId="15" xfId="3" applyNumberFormat="1" applyFont="1" applyBorder="1"/>
    <xf numFmtId="166" fontId="9" fillId="0" borderId="0" xfId="3" applyNumberFormat="1" applyFont="1" applyAlignment="1">
      <alignment wrapText="1"/>
    </xf>
    <xf numFmtId="2" fontId="9" fillId="0" borderId="0" xfId="3" quotePrefix="1" applyNumberFormat="1" applyFont="1" applyAlignment="1">
      <alignment horizontal="center"/>
    </xf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/>
    <xf numFmtId="165" fontId="31" fillId="0" borderId="13" xfId="3" applyFont="1" applyBorder="1" applyAlignment="1">
      <alignment horizontal="left"/>
    </xf>
    <xf numFmtId="165" fontId="14" fillId="0" borderId="13" xfId="3" applyFont="1" applyBorder="1"/>
    <xf numFmtId="165" fontId="33" fillId="0" borderId="31" xfId="3" applyFont="1" applyBorder="1"/>
    <xf numFmtId="166" fontId="9" fillId="0" borderId="0" xfId="3" applyNumberFormat="1" applyFont="1" applyAlignment="1">
      <alignment horizontal="right"/>
    </xf>
    <xf numFmtId="166" fontId="9" fillId="4" borderId="0" xfId="3" applyNumberFormat="1" applyFont="1" applyFill="1"/>
    <xf numFmtId="2" fontId="9" fillId="0" borderId="0" xfId="3" applyNumberFormat="1" applyFont="1" applyAlignment="1">
      <alignment horizontal="center"/>
    </xf>
    <xf numFmtId="2" fontId="10" fillId="0" borderId="0" xfId="3" applyNumberFormat="1" applyFont="1" applyAlignment="1">
      <alignment horizontal="center"/>
    </xf>
    <xf numFmtId="166" fontId="10" fillId="0" borderId="0" xfId="3" applyNumberFormat="1" applyFont="1" applyAlignment="1">
      <alignment horizontal="center"/>
    </xf>
    <xf numFmtId="2" fontId="25" fillId="0" borderId="0" xfId="3" applyNumberFormat="1" applyFont="1"/>
    <xf numFmtId="165" fontId="14" fillId="0" borderId="0" xfId="3" applyFont="1"/>
    <xf numFmtId="2" fontId="34" fillId="0" borderId="0" xfId="3" applyNumberFormat="1" applyFont="1" applyAlignment="1">
      <alignment horizontal="center"/>
    </xf>
    <xf numFmtId="165" fontId="9" fillId="0" borderId="4" xfId="3" applyFont="1" applyBorder="1" applyAlignment="1">
      <alignment horizontal="center"/>
    </xf>
    <xf numFmtId="165" fontId="9" fillId="0" borderId="0" xfId="3" applyFont="1" applyAlignment="1">
      <alignment horizontal="center"/>
    </xf>
    <xf numFmtId="165" fontId="9" fillId="0" borderId="0" xfId="3" applyFont="1" applyAlignment="1">
      <alignment horizontal="center" wrapText="1"/>
    </xf>
    <xf numFmtId="165" fontId="10" fillId="0" borderId="0" xfId="3" applyFont="1" applyAlignment="1">
      <alignment horizontal="center" vertical="center" wrapText="1"/>
    </xf>
    <xf numFmtId="169" fontId="35" fillId="0" borderId="41" xfId="0" applyNumberFormat="1" applyFont="1" applyBorder="1" applyAlignment="1">
      <alignment horizontal="center" vertical="center"/>
    </xf>
    <xf numFmtId="170" fontId="9" fillId="0" borderId="42" xfId="4" applyNumberFormat="1" applyFont="1" applyBorder="1" applyAlignment="1">
      <alignment horizontal="center" vertical="center"/>
    </xf>
    <xf numFmtId="2" fontId="32" fillId="0" borderId="2" xfId="3" applyNumberFormat="1" applyFont="1" applyBorder="1" applyAlignment="1">
      <alignment horizontal="center" vertical="center"/>
    </xf>
    <xf numFmtId="165" fontId="9" fillId="0" borderId="0" xfId="3" applyFont="1" applyAlignment="1">
      <alignment horizontal="center" vertical="center"/>
    </xf>
    <xf numFmtId="165" fontId="10" fillId="0" borderId="43" xfId="3" applyFont="1" applyBorder="1" applyAlignment="1">
      <alignment vertical="center" wrapText="1"/>
    </xf>
    <xf numFmtId="165" fontId="10" fillId="0" borderId="0" xfId="3" applyFont="1" applyAlignment="1">
      <alignment vertical="center" wrapText="1"/>
    </xf>
    <xf numFmtId="170" fontId="9" fillId="0" borderId="0" xfId="3" applyNumberFormat="1" applyFont="1" applyAlignment="1">
      <alignment horizontal="center" vertical="center"/>
    </xf>
    <xf numFmtId="165" fontId="10" fillId="0" borderId="44" xfId="3" applyFont="1" applyBorder="1" applyAlignment="1">
      <alignment horizontal="center" shrinkToFit="1"/>
    </xf>
    <xf numFmtId="165" fontId="10" fillId="0" borderId="45" xfId="3" applyFont="1" applyBorder="1" applyAlignment="1">
      <alignment horizontal="center" shrinkToFit="1"/>
    </xf>
    <xf numFmtId="165" fontId="10" fillId="0" borderId="0" xfId="3" applyFont="1" applyAlignment="1">
      <alignment horizontal="center" wrapText="1" shrinkToFit="1"/>
    </xf>
    <xf numFmtId="165" fontId="10" fillId="0" borderId="50" xfId="3" applyFont="1" applyBorder="1" applyAlignment="1">
      <alignment horizontal="left"/>
    </xf>
    <xf numFmtId="165" fontId="10" fillId="0" borderId="10" xfId="3" applyFont="1" applyBorder="1" applyAlignment="1">
      <alignment horizontal="left"/>
    </xf>
    <xf numFmtId="165" fontId="10" fillId="0" borderId="12" xfId="3" applyFont="1" applyBorder="1" applyAlignment="1">
      <alignment horizontal="left"/>
    </xf>
    <xf numFmtId="165" fontId="10" fillId="0" borderId="0" xfId="3" applyFont="1" applyAlignment="1">
      <alignment horizontal="left" wrapText="1"/>
    </xf>
    <xf numFmtId="2" fontId="36" fillId="0" borderId="1" xfId="3" applyNumberFormat="1" applyFont="1" applyBorder="1" applyAlignment="1">
      <alignment horizontal="right"/>
    </xf>
    <xf numFmtId="166" fontId="9" fillId="0" borderId="15" xfId="3" applyNumberFormat="1" applyFont="1" applyBorder="1" applyAlignment="1">
      <alignment horizontal="right"/>
    </xf>
    <xf numFmtId="170" fontId="32" fillId="0" borderId="1" xfId="3" applyNumberFormat="1" applyFont="1" applyBorder="1" applyAlignment="1">
      <alignment horizontal="right"/>
    </xf>
    <xf numFmtId="9" fontId="9" fillId="0" borderId="15" xfId="3" applyNumberFormat="1" applyFont="1" applyBorder="1" applyAlignment="1">
      <alignment horizontal="right"/>
    </xf>
    <xf numFmtId="9" fontId="9" fillId="0" borderId="0" xfId="3" applyNumberFormat="1" applyFont="1" applyAlignment="1">
      <alignment horizontal="right" wrapText="1"/>
    </xf>
    <xf numFmtId="166" fontId="9" fillId="0" borderId="51" xfId="3" applyNumberFormat="1" applyFont="1" applyBorder="1" applyAlignment="1">
      <alignment horizontal="right"/>
    </xf>
    <xf numFmtId="9" fontId="9" fillId="0" borderId="51" xfId="3" applyNumberFormat="1" applyFont="1" applyBorder="1" applyAlignment="1">
      <alignment horizontal="right"/>
    </xf>
    <xf numFmtId="166" fontId="9" fillId="0" borderId="36" xfId="3" applyNumberFormat="1" applyFont="1" applyBorder="1" applyAlignment="1">
      <alignment horizontal="right"/>
    </xf>
    <xf numFmtId="2" fontId="10" fillId="0" borderId="31" xfId="3" applyNumberFormat="1" applyFont="1" applyBorder="1" applyAlignment="1">
      <alignment horizontal="right"/>
    </xf>
    <xf numFmtId="165" fontId="9" fillId="0" borderId="0" xfId="3" applyFont="1" applyAlignment="1">
      <alignment horizontal="right"/>
    </xf>
    <xf numFmtId="165" fontId="9" fillId="0" borderId="0" xfId="3" applyFont="1" applyAlignment="1">
      <alignment horizontal="right" wrapText="1"/>
    </xf>
    <xf numFmtId="2" fontId="39" fillId="0" borderId="1" xfId="3" applyNumberFormat="1" applyFont="1" applyBorder="1" applyAlignment="1">
      <alignment horizontal="right"/>
    </xf>
    <xf numFmtId="165" fontId="10" fillId="0" borderId="37" xfId="3" applyFont="1" applyBorder="1" applyAlignment="1">
      <alignment vertical="center"/>
    </xf>
    <xf numFmtId="165" fontId="8" fillId="0" borderId="0" xfId="3"/>
    <xf numFmtId="165" fontId="40" fillId="0" borderId="0" xfId="3" applyFont="1"/>
    <xf numFmtId="165" fontId="41" fillId="0" borderId="6" xfId="3" applyFont="1" applyBorder="1" applyAlignment="1">
      <alignment horizontal="center" vertical="center" wrapText="1"/>
    </xf>
    <xf numFmtId="165" fontId="15" fillId="0" borderId="6" xfId="3" applyFont="1" applyBorder="1" applyAlignment="1">
      <alignment horizontal="center" vertical="center" wrapText="1"/>
    </xf>
    <xf numFmtId="165" fontId="41" fillId="0" borderId="7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3" fillId="0" borderId="10" xfId="3" applyFont="1" applyBorder="1" applyAlignment="1">
      <alignment horizontal="center" vertical="center" wrapText="1"/>
    </xf>
    <xf numFmtId="165" fontId="41" fillId="0" borderId="11" xfId="3" applyFont="1" applyBorder="1" applyAlignment="1">
      <alignment horizontal="center" vertical="center" wrapText="1"/>
    </xf>
    <xf numFmtId="165" fontId="41" fillId="0" borderId="0" xfId="3" applyFont="1" applyAlignment="1">
      <alignment horizontal="left"/>
    </xf>
    <xf numFmtId="165" fontId="44" fillId="0" borderId="13" xfId="3" applyFont="1" applyBorder="1" applyAlignment="1">
      <alignment horizontal="left"/>
    </xf>
    <xf numFmtId="16" fontId="8" fillId="0" borderId="10" xfId="3" applyNumberFormat="1" applyBorder="1" applyAlignment="1">
      <alignment horizontal="center"/>
    </xf>
    <xf numFmtId="166" fontId="45" fillId="0" borderId="1" xfId="3" applyNumberFormat="1" applyFont="1" applyBorder="1" applyAlignment="1">
      <alignment horizontal="center"/>
    </xf>
    <xf numFmtId="1" fontId="45" fillId="0" borderId="10" xfId="3" applyNumberFormat="1" applyFont="1" applyBorder="1" applyAlignment="1">
      <alignment horizontal="center"/>
    </xf>
    <xf numFmtId="166" fontId="46" fillId="0" borderId="10" xfId="3" applyNumberFormat="1" applyFont="1" applyBorder="1" applyAlignment="1">
      <alignment horizontal="center"/>
    </xf>
    <xf numFmtId="166" fontId="8" fillId="0" borderId="1" xfId="3" applyNumberFormat="1" applyBorder="1" applyAlignment="1">
      <alignment horizontal="center"/>
    </xf>
    <xf numFmtId="167" fontId="8" fillId="0" borderId="11" xfId="3" applyNumberFormat="1" applyBorder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1" fillId="0" borderId="0" xfId="3" applyFont="1"/>
    <xf numFmtId="165" fontId="8" fillId="0" borderId="13" xfId="3" applyBorder="1"/>
    <xf numFmtId="166" fontId="8" fillId="0" borderId="0" xfId="3" applyNumberFormat="1" applyAlignment="1">
      <alignment horizontal="center"/>
    </xf>
    <xf numFmtId="165" fontId="48" fillId="8" borderId="43" xfId="3" applyFont="1" applyFill="1" applyBorder="1" applyAlignment="1">
      <alignment horizontal="center" wrapText="1"/>
    </xf>
    <xf numFmtId="165" fontId="49" fillId="0" borderId="13" xfId="3" applyFont="1" applyBorder="1"/>
    <xf numFmtId="166" fontId="8" fillId="0" borderId="0" xfId="3" applyNumberFormat="1"/>
    <xf numFmtId="165" fontId="50" fillId="0" borderId="13" xfId="3" applyFont="1" applyBorder="1"/>
    <xf numFmtId="165" fontId="51" fillId="0" borderId="52" xfId="3" applyFont="1" applyBorder="1" applyAlignment="1">
      <alignment horizontal="left"/>
    </xf>
    <xf numFmtId="15" fontId="8" fillId="0" borderId="10" xfId="3" applyNumberFormat="1" applyBorder="1" applyAlignment="1">
      <alignment horizontal="center"/>
    </xf>
    <xf numFmtId="166" fontId="8" fillId="8" borderId="1" xfId="3" applyNumberFormat="1" applyFill="1" applyBorder="1" applyAlignment="1">
      <alignment horizontal="center"/>
    </xf>
    <xf numFmtId="166" fontId="8" fillId="8" borderId="11" xfId="3" applyNumberFormat="1" applyFill="1" applyBorder="1" applyAlignment="1">
      <alignment horizontal="center"/>
    </xf>
    <xf numFmtId="165" fontId="15" fillId="8" borderId="43" xfId="3" applyFont="1" applyFill="1" applyBorder="1" applyAlignment="1">
      <alignment horizontal="center"/>
    </xf>
    <xf numFmtId="165" fontId="49" fillId="0" borderId="31" xfId="3" applyFont="1" applyBorder="1"/>
    <xf numFmtId="16" fontId="8" fillId="0" borderId="32" xfId="3" applyNumberFormat="1" applyBorder="1" applyAlignment="1">
      <alignment horizontal="center"/>
    </xf>
    <xf numFmtId="15" fontId="8" fillId="0" borderId="32" xfId="3" applyNumberFormat="1" applyBorder="1" applyAlignment="1">
      <alignment horizontal="center"/>
    </xf>
    <xf numFmtId="166" fontId="8" fillId="0" borderId="32" xfId="3" applyNumberFormat="1" applyBorder="1" applyAlignment="1">
      <alignment horizontal="center"/>
    </xf>
    <xf numFmtId="1" fontId="45" fillId="0" borderId="32" xfId="3" applyNumberFormat="1" applyFont="1" applyBorder="1" applyAlignment="1">
      <alignment horizontal="center"/>
    </xf>
    <xf numFmtId="166" fontId="46" fillId="0" borderId="32" xfId="3" applyNumberFormat="1" applyFont="1" applyBorder="1" applyAlignment="1">
      <alignment horizontal="center"/>
    </xf>
    <xf numFmtId="166" fontId="8" fillId="8" borderId="32" xfId="3" applyNumberFormat="1" applyFill="1" applyBorder="1" applyAlignment="1">
      <alignment horizontal="center"/>
    </xf>
    <xf numFmtId="166" fontId="8" fillId="8" borderId="53" xfId="3" applyNumberFormat="1" applyFill="1" applyBorder="1" applyAlignment="1">
      <alignment horizontal="center"/>
    </xf>
    <xf numFmtId="167" fontId="8" fillId="0" borderId="53" xfId="3" applyNumberFormat="1" applyBorder="1" applyAlignment="1">
      <alignment horizontal="center"/>
    </xf>
    <xf numFmtId="165" fontId="52" fillId="0" borderId="54" xfId="3" applyFont="1" applyBorder="1" applyAlignment="1">
      <alignment horizontal="center"/>
    </xf>
    <xf numFmtId="165" fontId="8" fillId="0" borderId="0" xfId="3" applyAlignment="1">
      <alignment horizontal="center"/>
    </xf>
    <xf numFmtId="15" fontId="8" fillId="0" borderId="0" xfId="3" applyNumberFormat="1" applyAlignment="1">
      <alignment horizontal="center"/>
    </xf>
    <xf numFmtId="166" fontId="53" fillId="0" borderId="0" xfId="3" applyNumberFormat="1" applyFont="1" applyAlignment="1">
      <alignment horizontal="center"/>
    </xf>
    <xf numFmtId="2" fontId="8" fillId="0" borderId="0" xfId="3" applyNumberFormat="1" applyAlignment="1">
      <alignment horizontal="center"/>
    </xf>
    <xf numFmtId="166" fontId="41" fillId="0" borderId="33" xfId="3" applyNumberFormat="1" applyFont="1" applyBorder="1"/>
    <xf numFmtId="165" fontId="52" fillId="0" borderId="0" xfId="3" applyFont="1" applyAlignment="1">
      <alignment horizontal="center"/>
    </xf>
    <xf numFmtId="166" fontId="45" fillId="0" borderId="20" xfId="3" applyNumberFormat="1" applyFont="1" applyBorder="1" applyAlignment="1">
      <alignment horizontal="center"/>
    </xf>
    <xf numFmtId="166" fontId="45" fillId="0" borderId="21" xfId="3" applyNumberFormat="1" applyFont="1" applyBorder="1" applyAlignment="1">
      <alignment horizontal="center"/>
    </xf>
    <xf numFmtId="2" fontId="41" fillId="0" borderId="0" xfId="3" applyNumberFormat="1" applyFont="1" applyAlignment="1">
      <alignment horizontal="center"/>
    </xf>
    <xf numFmtId="2" fontId="41" fillId="0" borderId="57" xfId="3" applyNumberFormat="1" applyFont="1" applyBorder="1" applyAlignment="1">
      <alignment horizontal="center"/>
    </xf>
    <xf numFmtId="166" fontId="8" fillId="0" borderId="13" xfId="3" applyNumberFormat="1" applyBorder="1" applyAlignment="1">
      <alignment horizontal="center"/>
    </xf>
    <xf numFmtId="2" fontId="8" fillId="0" borderId="1" xfId="3" applyNumberFormat="1" applyBorder="1" applyAlignment="1">
      <alignment horizontal="center"/>
    </xf>
    <xf numFmtId="165" fontId="8" fillId="0" borderId="2" xfId="3" applyBorder="1" applyAlignment="1">
      <alignment horizontal="center"/>
    </xf>
    <xf numFmtId="165" fontId="50" fillId="0" borderId="58" xfId="3" applyFont="1" applyBorder="1" applyAlignment="1">
      <alignment horizontal="center"/>
    </xf>
    <xf numFmtId="165" fontId="54" fillId="0" borderId="13" xfId="3" applyFont="1" applyBorder="1" applyAlignment="1">
      <alignment horizontal="center"/>
    </xf>
    <xf numFmtId="2" fontId="46" fillId="0" borderId="15" xfId="3" applyNumberFormat="1" applyFont="1" applyBorder="1" applyAlignment="1">
      <alignment horizontal="center"/>
    </xf>
    <xf numFmtId="2" fontId="46" fillId="0" borderId="2" xfId="3" applyNumberFormat="1" applyFont="1" applyBorder="1" applyAlignment="1">
      <alignment horizontal="center"/>
    </xf>
    <xf numFmtId="166" fontId="41" fillId="0" borderId="0" xfId="3" applyNumberFormat="1" applyFont="1" applyAlignment="1">
      <alignment horizontal="center"/>
    </xf>
    <xf numFmtId="1" fontId="8" fillId="0" borderId="58" xfId="3" applyNumberFormat="1" applyBorder="1" applyAlignment="1">
      <alignment horizontal="center"/>
    </xf>
    <xf numFmtId="166" fontId="55" fillId="0" borderId="59" xfId="3" applyNumberFormat="1" applyFont="1" applyBorder="1" applyAlignment="1">
      <alignment horizontal="center"/>
    </xf>
    <xf numFmtId="15" fontId="8" fillId="0" borderId="31" xfId="3" applyNumberFormat="1" applyBorder="1" applyAlignment="1">
      <alignment horizontal="center"/>
    </xf>
    <xf numFmtId="2" fontId="8" fillId="0" borderId="36" xfId="3" applyNumberFormat="1" applyBorder="1" applyAlignment="1">
      <alignment horizontal="center"/>
    </xf>
    <xf numFmtId="2" fontId="8" fillId="0" borderId="53" xfId="3" applyNumberFormat="1" applyBorder="1" applyAlignment="1">
      <alignment horizontal="center"/>
    </xf>
    <xf numFmtId="166" fontId="8" fillId="0" borderId="61" xfId="3" applyNumberFormat="1" applyBorder="1" applyAlignment="1">
      <alignment horizontal="center"/>
    </xf>
    <xf numFmtId="165" fontId="41" fillId="0" borderId="20" xfId="3" applyFont="1" applyBorder="1" applyAlignment="1">
      <alignment horizontal="left"/>
    </xf>
    <xf numFmtId="165" fontId="41" fillId="0" borderId="21" xfId="3" applyFont="1" applyBorder="1" applyAlignment="1">
      <alignment horizontal="center"/>
    </xf>
    <xf numFmtId="165" fontId="41" fillId="0" borderId="56" xfId="3" applyFont="1" applyBorder="1" applyAlignment="1">
      <alignment horizontal="center"/>
    </xf>
    <xf numFmtId="165" fontId="41" fillId="0" borderId="0" xfId="3" applyFont="1" applyAlignment="1">
      <alignment horizontal="center"/>
    </xf>
    <xf numFmtId="166" fontId="8" fillId="0" borderId="1" xfId="3" applyNumberFormat="1" applyBorder="1" applyAlignment="1">
      <alignment horizontal="right"/>
    </xf>
    <xf numFmtId="166" fontId="41" fillId="0" borderId="1" xfId="3" applyNumberFormat="1" applyFont="1" applyBorder="1" applyAlignment="1">
      <alignment horizontal="right"/>
    </xf>
    <xf numFmtId="166" fontId="8" fillId="0" borderId="59" xfId="3" applyNumberFormat="1" applyBorder="1"/>
    <xf numFmtId="165" fontId="56" fillId="0" borderId="13" xfId="3" applyFont="1" applyBorder="1" applyAlignment="1">
      <alignment horizontal="left"/>
    </xf>
    <xf numFmtId="166" fontId="55" fillId="0" borderId="1" xfId="3" applyNumberFormat="1" applyFont="1" applyBorder="1" applyAlignment="1">
      <alignment horizontal="right"/>
    </xf>
    <xf numFmtId="165" fontId="57" fillId="0" borderId="13" xfId="3" applyFont="1" applyBorder="1"/>
    <xf numFmtId="166" fontId="41" fillId="0" borderId="1" xfId="3" applyNumberFormat="1" applyFont="1" applyBorder="1"/>
    <xf numFmtId="166" fontId="46" fillId="0" borderId="1" xfId="3" applyNumberFormat="1" applyFont="1" applyBorder="1" applyAlignment="1">
      <alignment horizontal="right"/>
    </xf>
    <xf numFmtId="166" fontId="55" fillId="0" borderId="14" xfId="3" applyNumberFormat="1" applyFont="1" applyBorder="1"/>
    <xf numFmtId="165" fontId="58" fillId="0" borderId="31" xfId="3" applyFont="1" applyBorder="1"/>
    <xf numFmtId="166" fontId="8" fillId="0" borderId="32" xfId="3" applyNumberFormat="1" applyBorder="1" applyAlignment="1">
      <alignment horizontal="right"/>
    </xf>
    <xf numFmtId="166" fontId="41" fillId="0" borderId="14" xfId="3" applyNumberFormat="1" applyFont="1" applyBorder="1"/>
    <xf numFmtId="166" fontId="8" fillId="0" borderId="60" xfId="3" applyNumberFormat="1" applyBorder="1"/>
    <xf numFmtId="165" fontId="58" fillId="0" borderId="0" xfId="3" applyFont="1"/>
    <xf numFmtId="166" fontId="8" fillId="0" borderId="0" xfId="3" applyNumberFormat="1" applyAlignment="1">
      <alignment horizontal="right"/>
    </xf>
    <xf numFmtId="16" fontId="8" fillId="0" borderId="10" xfId="3" applyNumberFormat="1" applyBorder="1" applyAlignment="1">
      <alignment horizontal="center" vertical="center"/>
    </xf>
    <xf numFmtId="15" fontId="8" fillId="0" borderId="6" xfId="3" applyNumberFormat="1" applyBorder="1" applyAlignment="1">
      <alignment vertical="center"/>
    </xf>
    <xf numFmtId="2" fontId="8" fillId="0" borderId="1" xfId="3" applyNumberFormat="1" applyBorder="1" applyAlignment="1">
      <alignment horizontal="right" vertical="center"/>
    </xf>
    <xf numFmtId="166" fontId="8" fillId="0" borderId="1" xfId="3" applyNumberFormat="1" applyBorder="1" applyAlignment="1">
      <alignment horizontal="center" vertical="center"/>
    </xf>
    <xf numFmtId="170" fontId="8" fillId="0" borderId="6" xfId="3" applyNumberFormat="1" applyBorder="1" applyAlignment="1">
      <alignment vertical="center"/>
    </xf>
    <xf numFmtId="165" fontId="41" fillId="0" borderId="23" xfId="3" applyFont="1" applyBorder="1" applyAlignment="1">
      <alignment vertical="center" wrapText="1"/>
    </xf>
    <xf numFmtId="165" fontId="59" fillId="0" borderId="0" xfId="3" applyFont="1"/>
    <xf numFmtId="15" fontId="8" fillId="0" borderId="1" xfId="3" applyNumberFormat="1" applyBorder="1" applyAlignment="1">
      <alignment horizontal="center" vertical="center"/>
    </xf>
    <xf numFmtId="165" fontId="8" fillId="0" borderId="1" xfId="3" applyBorder="1"/>
    <xf numFmtId="165" fontId="60" fillId="0" borderId="43" xfId="3" applyFont="1" applyBorder="1" applyAlignment="1">
      <alignment vertical="center" wrapText="1"/>
    </xf>
    <xf numFmtId="2" fontId="8" fillId="0" borderId="1" xfId="3" applyNumberFormat="1" applyBorder="1" applyAlignment="1">
      <alignment horizontal="center" vertical="center"/>
    </xf>
    <xf numFmtId="2" fontId="8" fillId="0" borderId="1" xfId="3" applyNumberFormat="1" applyBorder="1" applyAlignment="1">
      <alignment horizontal="right"/>
    </xf>
    <xf numFmtId="165" fontId="41" fillId="0" borderId="43" xfId="3" applyFont="1" applyBorder="1" applyAlignment="1">
      <alignment vertical="center" wrapText="1"/>
    </xf>
    <xf numFmtId="165" fontId="53" fillId="0" borderId="13" xfId="3" applyFont="1" applyBorder="1"/>
    <xf numFmtId="165" fontId="53" fillId="0" borderId="52" xfId="3" applyFont="1" applyBorder="1"/>
    <xf numFmtId="165" fontId="8" fillId="0" borderId="14" xfId="3" applyBorder="1"/>
    <xf numFmtId="166" fontId="8" fillId="0" borderId="14" xfId="3" applyNumberFormat="1" applyBorder="1" applyAlignment="1">
      <alignment horizontal="right"/>
    </xf>
    <xf numFmtId="165" fontId="41" fillId="0" borderId="66" xfId="3" applyFont="1" applyBorder="1" applyAlignment="1">
      <alignment vertical="center" wrapText="1"/>
    </xf>
    <xf numFmtId="165" fontId="41" fillId="0" borderId="31" xfId="3" applyFont="1" applyBorder="1" applyAlignment="1">
      <alignment horizontal="center" shrinkToFit="1"/>
    </xf>
    <xf numFmtId="165" fontId="8" fillId="0" borderId="32" xfId="3" applyBorder="1" applyAlignment="1">
      <alignment horizontal="center"/>
    </xf>
    <xf numFmtId="15" fontId="8" fillId="0" borderId="39" xfId="3" applyNumberFormat="1" applyBorder="1"/>
    <xf numFmtId="165" fontId="8" fillId="0" borderId="32" xfId="3" applyBorder="1"/>
    <xf numFmtId="165" fontId="8" fillId="0" borderId="32" xfId="3" applyBorder="1" applyAlignment="1">
      <alignment horizontal="right"/>
    </xf>
    <xf numFmtId="165" fontId="41" fillId="0" borderId="54" xfId="3" applyFont="1" applyBorder="1" applyAlignment="1">
      <alignment vertical="center" wrapText="1"/>
    </xf>
    <xf numFmtId="165" fontId="41" fillId="0" borderId="0" xfId="3" applyFont="1" applyAlignment="1">
      <alignment horizontal="center" shrinkToFit="1"/>
    </xf>
    <xf numFmtId="165" fontId="41" fillId="0" borderId="0" xfId="3" applyFont="1" applyAlignment="1">
      <alignment vertical="center" wrapText="1"/>
    </xf>
    <xf numFmtId="165" fontId="39" fillId="0" borderId="50" xfId="3" applyFont="1" applyBorder="1" applyAlignment="1">
      <alignment horizontal="left"/>
    </xf>
    <xf numFmtId="165" fontId="39" fillId="0" borderId="10" xfId="3" applyFont="1" applyBorder="1" applyAlignment="1">
      <alignment horizontal="left"/>
    </xf>
    <xf numFmtId="165" fontId="39" fillId="0" borderId="12" xfId="3" applyFont="1" applyBorder="1" applyAlignment="1">
      <alignment horizontal="left"/>
    </xf>
    <xf numFmtId="165" fontId="41" fillId="0" borderId="10" xfId="3" applyFont="1" applyBorder="1" applyAlignment="1">
      <alignment horizontal="left"/>
    </xf>
    <xf numFmtId="165" fontId="41" fillId="0" borderId="12" xfId="3" applyFont="1" applyBorder="1" applyAlignment="1">
      <alignment horizontal="left"/>
    </xf>
    <xf numFmtId="2" fontId="62" fillId="0" borderId="1" xfId="4" applyNumberFormat="1" applyFont="1" applyBorder="1" applyAlignment="1">
      <alignment horizontal="right"/>
    </xf>
    <xf numFmtId="166" fontId="62" fillId="0" borderId="15" xfId="3" applyNumberFormat="1" applyFont="1" applyBorder="1" applyAlignment="1">
      <alignment horizontal="right"/>
    </xf>
    <xf numFmtId="170" fontId="8" fillId="0" borderId="52" xfId="4" applyNumberFormat="1" applyBorder="1" applyAlignment="1">
      <alignment horizontal="right" vertical="center"/>
    </xf>
    <xf numFmtId="170" fontId="55" fillId="0" borderId="1" xfId="3" applyNumberFormat="1" applyFont="1" applyBorder="1" applyAlignment="1">
      <alignment horizontal="right"/>
    </xf>
    <xf numFmtId="9" fontId="8" fillId="0" borderId="15" xfId="3" applyNumberFormat="1" applyBorder="1" applyAlignment="1">
      <alignment horizontal="right"/>
    </xf>
    <xf numFmtId="170" fontId="8" fillId="0" borderId="1" xfId="4" applyNumberFormat="1" applyBorder="1" applyAlignment="1">
      <alignment horizontal="right"/>
    </xf>
    <xf numFmtId="165" fontId="24" fillId="0" borderId="13" xfId="3" applyFont="1" applyBorder="1"/>
    <xf numFmtId="2" fontId="62" fillId="0" borderId="0" xfId="3" applyNumberFormat="1" applyFont="1" applyAlignment="1">
      <alignment horizontal="right"/>
    </xf>
    <xf numFmtId="165" fontId="31" fillId="0" borderId="52" xfId="3" applyFont="1" applyBorder="1" applyAlignment="1">
      <alignment horizontal="left"/>
    </xf>
    <xf numFmtId="166" fontId="62" fillId="0" borderId="51" xfId="3" applyNumberFormat="1" applyFont="1" applyBorder="1" applyAlignment="1">
      <alignment horizontal="right"/>
    </xf>
    <xf numFmtId="165" fontId="32" fillId="0" borderId="52" xfId="3" applyFont="1" applyBorder="1" applyAlignment="1">
      <alignment horizontal="left"/>
    </xf>
    <xf numFmtId="2" fontId="62" fillId="0" borderId="14" xfId="4" applyNumberFormat="1" applyFont="1" applyBorder="1" applyAlignment="1">
      <alignment horizontal="right"/>
    </xf>
    <xf numFmtId="170" fontId="8" fillId="0" borderId="14" xfId="4" applyNumberFormat="1" applyBorder="1" applyAlignment="1">
      <alignment horizontal="right"/>
    </xf>
    <xf numFmtId="9" fontId="8" fillId="0" borderId="51" xfId="3" applyNumberFormat="1" applyBorder="1" applyAlignment="1">
      <alignment horizontal="right"/>
    </xf>
    <xf numFmtId="2" fontId="62" fillId="0" borderId="32" xfId="3" applyNumberFormat="1" applyFont="1" applyBorder="1" applyAlignment="1">
      <alignment horizontal="right"/>
    </xf>
    <xf numFmtId="166" fontId="62" fillId="0" borderId="36" xfId="3" applyNumberFormat="1" applyFont="1" applyBorder="1" applyAlignment="1">
      <alignment horizontal="right"/>
    </xf>
    <xf numFmtId="170" fontId="8" fillId="0" borderId="32" xfId="3" applyNumberFormat="1" applyBorder="1" applyAlignment="1">
      <alignment horizontal="right"/>
    </xf>
    <xf numFmtId="9" fontId="8" fillId="0" borderId="36" xfId="3" applyNumberFormat="1" applyBorder="1" applyAlignment="1">
      <alignment horizontal="right"/>
    </xf>
    <xf numFmtId="165" fontId="62" fillId="0" borderId="0" xfId="3" applyFont="1"/>
    <xf numFmtId="165" fontId="62" fillId="0" borderId="0" xfId="3" applyFont="1" applyAlignment="1">
      <alignment horizontal="right"/>
    </xf>
    <xf numFmtId="2" fontId="39" fillId="0" borderId="0" xfId="3" applyNumberFormat="1" applyFont="1" applyAlignment="1">
      <alignment horizontal="right"/>
    </xf>
    <xf numFmtId="2" fontId="41" fillId="0" borderId="0" xfId="3" applyNumberFormat="1" applyFont="1" applyAlignment="1">
      <alignment horizontal="right"/>
    </xf>
    <xf numFmtId="165" fontId="8" fillId="0" borderId="0" xfId="3" applyAlignment="1">
      <alignment horizontal="right"/>
    </xf>
    <xf numFmtId="165" fontId="63" fillId="0" borderId="0" xfId="3" applyFont="1"/>
    <xf numFmtId="165" fontId="54" fillId="0" borderId="0" xfId="0" applyFont="1"/>
    <xf numFmtId="165" fontId="54" fillId="0" borderId="0" xfId="0" applyFont="1" applyAlignment="1">
      <alignment horizontal="center"/>
    </xf>
    <xf numFmtId="165" fontId="64" fillId="3" borderId="1" xfId="0" applyFont="1" applyFill="1" applyBorder="1"/>
    <xf numFmtId="165" fontId="64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4" fillId="3" borderId="1" xfId="0" applyNumberFormat="1" applyFont="1" applyFill="1" applyBorder="1" applyAlignment="1">
      <alignment horizontal="center"/>
    </xf>
    <xf numFmtId="40" fontId="54" fillId="10" borderId="27" xfId="1" applyNumberFormat="1" applyFont="1" applyFill="1" applyBorder="1" applyAlignment="1">
      <alignment horizontal="center"/>
    </xf>
    <xf numFmtId="2" fontId="54" fillId="11" borderId="1" xfId="0" applyNumberFormat="1" applyFont="1" applyFill="1" applyBorder="1" applyAlignment="1">
      <alignment horizontal="center"/>
    </xf>
    <xf numFmtId="2" fontId="54" fillId="0" borderId="1" xfId="0" applyNumberFormat="1" applyFont="1" applyBorder="1" applyAlignment="1">
      <alignment horizontal="center"/>
    </xf>
    <xf numFmtId="40" fontId="54" fillId="12" borderId="27" xfId="1" applyNumberFormat="1" applyFont="1" applyFill="1" applyBorder="1" applyAlignment="1">
      <alignment horizontal="center"/>
    </xf>
    <xf numFmtId="40" fontId="54" fillId="13" borderId="27" xfId="1" applyNumberFormat="1" applyFont="1" applyFill="1" applyBorder="1" applyAlignment="1">
      <alignment horizontal="center"/>
    </xf>
    <xf numFmtId="40" fontId="54" fillId="14" borderId="27" xfId="1" applyNumberFormat="1" applyFont="1" applyFill="1" applyBorder="1" applyAlignment="1">
      <alignment horizontal="center"/>
    </xf>
    <xf numFmtId="40" fontId="54" fillId="15" borderId="27" xfId="1" applyNumberFormat="1" applyFont="1" applyFill="1" applyBorder="1" applyAlignment="1">
      <alignment horizontal="center"/>
    </xf>
    <xf numFmtId="40" fontId="54" fillId="16" borderId="27" xfId="1" applyNumberFormat="1" applyFont="1" applyFill="1" applyBorder="1" applyAlignment="1">
      <alignment horizontal="center"/>
    </xf>
    <xf numFmtId="40" fontId="54" fillId="17" borderId="27" xfId="1" applyNumberFormat="1" applyFont="1" applyFill="1" applyBorder="1" applyAlignment="1">
      <alignment horizontal="center"/>
    </xf>
    <xf numFmtId="40" fontId="54" fillId="18" borderId="27" xfId="1" applyNumberFormat="1" applyFont="1" applyFill="1" applyBorder="1" applyAlignment="1">
      <alignment horizontal="center"/>
    </xf>
    <xf numFmtId="166" fontId="64" fillId="4" borderId="1" xfId="0" applyNumberFormat="1" applyFont="1" applyFill="1" applyBorder="1" applyAlignment="1">
      <alignment horizontal="center"/>
    </xf>
    <xf numFmtId="165" fontId="64" fillId="19" borderId="1" xfId="0" applyFont="1" applyFill="1" applyBorder="1" applyAlignment="1">
      <alignment horizontal="center"/>
    </xf>
    <xf numFmtId="2" fontId="64" fillId="19" borderId="1" xfId="0" applyNumberFormat="1" applyFont="1" applyFill="1" applyBorder="1" applyAlignment="1">
      <alignment horizontal="center"/>
    </xf>
    <xf numFmtId="2" fontId="64" fillId="0" borderId="1" xfId="0" applyNumberFormat="1" applyFont="1" applyBorder="1" applyAlignment="1">
      <alignment horizontal="center"/>
    </xf>
    <xf numFmtId="165" fontId="64" fillId="9" borderId="3" xfId="0" applyFont="1" applyFill="1" applyBorder="1" applyAlignment="1">
      <alignment horizontal="center"/>
    </xf>
    <xf numFmtId="40" fontId="54" fillId="10" borderId="68" xfId="1" applyNumberFormat="1" applyFont="1" applyFill="1" applyBorder="1" applyAlignment="1">
      <alignment horizontal="center"/>
    </xf>
    <xf numFmtId="2" fontId="54" fillId="11" borderId="1" xfId="0" applyNumberFormat="1" applyFont="1" applyFill="1" applyBorder="1"/>
    <xf numFmtId="40" fontId="54" fillId="12" borderId="68" xfId="1" applyNumberFormat="1" applyFont="1" applyFill="1" applyBorder="1" applyAlignment="1">
      <alignment horizontal="center"/>
    </xf>
    <xf numFmtId="2" fontId="54" fillId="0" borderId="1" xfId="0" applyNumberFormat="1" applyFont="1" applyBorder="1"/>
    <xf numFmtId="40" fontId="54" fillId="13" borderId="68" xfId="1" applyNumberFormat="1" applyFont="1" applyFill="1" applyBorder="1" applyAlignment="1">
      <alignment horizontal="center"/>
    </xf>
    <xf numFmtId="40" fontId="54" fillId="14" borderId="68" xfId="1" applyNumberFormat="1" applyFont="1" applyFill="1" applyBorder="1" applyAlignment="1">
      <alignment horizontal="center"/>
    </xf>
    <xf numFmtId="40" fontId="54" fillId="15" borderId="68" xfId="1" applyNumberFormat="1" applyFont="1" applyFill="1" applyBorder="1" applyAlignment="1">
      <alignment horizontal="center"/>
    </xf>
    <xf numFmtId="2" fontId="54" fillId="11" borderId="1" xfId="0" applyNumberFormat="1" applyFont="1" applyFill="1" applyBorder="1" applyAlignment="1">
      <alignment horizontal="right"/>
    </xf>
    <xf numFmtId="40" fontId="54" fillId="16" borderId="68" xfId="1" applyNumberFormat="1" applyFont="1" applyFill="1" applyBorder="1" applyAlignment="1">
      <alignment horizontal="center"/>
    </xf>
    <xf numFmtId="2" fontId="54" fillId="0" borderId="1" xfId="0" applyNumberFormat="1" applyFont="1" applyBorder="1" applyAlignment="1">
      <alignment horizontal="right"/>
    </xf>
    <xf numFmtId="40" fontId="54" fillId="17" borderId="68" xfId="1" applyNumberFormat="1" applyFont="1" applyFill="1" applyBorder="1" applyAlignment="1">
      <alignment horizontal="center"/>
    </xf>
    <xf numFmtId="40" fontId="54" fillId="18" borderId="68" xfId="1" applyNumberFormat="1" applyFont="1" applyFill="1" applyBorder="1" applyAlignment="1">
      <alignment horizontal="center"/>
    </xf>
    <xf numFmtId="165" fontId="64" fillId="19" borderId="3" xfId="0" applyFont="1" applyFill="1" applyBorder="1"/>
    <xf numFmtId="2" fontId="64" fillId="19" borderId="1" xfId="0" applyNumberFormat="1" applyFont="1" applyFill="1" applyBorder="1"/>
    <xf numFmtId="165" fontId="7" fillId="0" borderId="0" xfId="0" applyFont="1"/>
    <xf numFmtId="165" fontId="11" fillId="0" borderId="0" xfId="0" applyFont="1"/>
    <xf numFmtId="165" fontId="66" fillId="0" borderId="0" xfId="0" applyFont="1"/>
    <xf numFmtId="165" fontId="67" fillId="19" borderId="70" xfId="0" applyFont="1" applyFill="1" applyBorder="1" applyAlignment="1">
      <alignment vertical="center"/>
    </xf>
    <xf numFmtId="165" fontId="67" fillId="19" borderId="71" xfId="0" applyFont="1" applyFill="1" applyBorder="1" applyAlignment="1">
      <alignment vertical="center"/>
    </xf>
    <xf numFmtId="165" fontId="67" fillId="19" borderId="72" xfId="0" applyFont="1" applyFill="1" applyBorder="1" applyAlignment="1">
      <alignment vertical="center"/>
    </xf>
    <xf numFmtId="165" fontId="67" fillId="21" borderId="72" xfId="0" applyFont="1" applyFill="1" applyBorder="1" applyAlignment="1">
      <alignment vertical="center"/>
    </xf>
    <xf numFmtId="165" fontId="68" fillId="0" borderId="50" xfId="0" applyFont="1" applyBorder="1"/>
    <xf numFmtId="2" fontId="69" fillId="0" borderId="12" xfId="0" applyNumberFormat="1" applyFont="1" applyBorder="1"/>
    <xf numFmtId="2" fontId="69" fillId="0" borderId="10" xfId="0" applyNumberFormat="1" applyFont="1" applyBorder="1"/>
    <xf numFmtId="2" fontId="69" fillId="6" borderId="10" xfId="0" applyNumberFormat="1" applyFont="1" applyFill="1" applyBorder="1"/>
    <xf numFmtId="166" fontId="68" fillId="21" borderId="12" xfId="0" applyNumberFormat="1" applyFont="1" applyFill="1" applyBorder="1"/>
    <xf numFmtId="2" fontId="70" fillId="0" borderId="73" xfId="0" applyNumberFormat="1" applyFont="1" applyBorder="1"/>
    <xf numFmtId="165" fontId="68" fillId="0" borderId="13" xfId="0" applyFont="1" applyBorder="1"/>
    <xf numFmtId="165" fontId="71" fillId="20" borderId="38" xfId="0" applyFont="1" applyFill="1" applyBorder="1" applyAlignment="1">
      <alignment vertical="center"/>
    </xf>
    <xf numFmtId="2" fontId="72" fillId="20" borderId="39" xfId="0" applyNumberFormat="1" applyFont="1" applyFill="1" applyBorder="1" applyAlignment="1">
      <alignment vertical="center"/>
    </xf>
    <xf numFmtId="165" fontId="67" fillId="22" borderId="72" xfId="0" applyFont="1" applyFill="1" applyBorder="1" applyAlignment="1">
      <alignment vertical="center"/>
    </xf>
    <xf numFmtId="2" fontId="69" fillId="0" borderId="12" xfId="0" applyNumberFormat="1" applyFont="1" applyBorder="1" applyAlignment="1">
      <alignment horizontal="right" vertical="center"/>
    </xf>
    <xf numFmtId="2" fontId="75" fillId="22" borderId="12" xfId="0" applyNumberFormat="1" applyFont="1" applyFill="1" applyBorder="1"/>
    <xf numFmtId="165" fontId="71" fillId="20" borderId="31" xfId="0" applyFont="1" applyFill="1" applyBorder="1" applyAlignment="1">
      <alignment vertical="center"/>
    </xf>
    <xf numFmtId="2" fontId="72" fillId="20" borderId="32" xfId="0" applyNumberFormat="1" applyFont="1" applyFill="1" applyBorder="1" applyAlignment="1">
      <alignment vertical="center"/>
    </xf>
    <xf numFmtId="2" fontId="72" fillId="22" borderId="36" xfId="0" applyNumberFormat="1" applyFont="1" applyFill="1" applyBorder="1" applyAlignment="1">
      <alignment vertical="center"/>
    </xf>
    <xf numFmtId="165" fontId="10" fillId="0" borderId="0" xfId="3" applyFont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/>
    </xf>
    <xf numFmtId="166" fontId="11" fillId="3" borderId="14" xfId="0" applyNumberFormat="1" applyFont="1" applyFill="1" applyBorder="1"/>
    <xf numFmtId="165" fontId="9" fillId="0" borderId="0" xfId="3" applyFont="1"/>
    <xf numFmtId="1" fontId="9" fillId="0" borderId="1" xfId="3" applyNumberFormat="1" applyFont="1" applyBorder="1" applyAlignment="1">
      <alignment horizontal="center" vertical="center"/>
    </xf>
    <xf numFmtId="165" fontId="9" fillId="0" borderId="0" xfId="3" applyFont="1" applyAlignment="1">
      <alignment vertical="center"/>
    </xf>
    <xf numFmtId="1" fontId="10" fillId="0" borderId="1" xfId="3" applyNumberFormat="1" applyFont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66" fontId="10" fillId="0" borderId="14" xfId="3" applyNumberFormat="1" applyFont="1" applyBorder="1" applyAlignment="1">
      <alignment horizontal="center" vertical="center"/>
    </xf>
    <xf numFmtId="2" fontId="10" fillId="0" borderId="1" xfId="3" applyNumberFormat="1" applyFont="1" applyBorder="1" applyAlignment="1">
      <alignment horizontal="center" vertical="center"/>
    </xf>
    <xf numFmtId="2" fontId="10" fillId="0" borderId="1" xfId="3" applyNumberFormat="1" applyFont="1" applyBorder="1" applyAlignment="1">
      <alignment horizontal="right"/>
    </xf>
    <xf numFmtId="16" fontId="9" fillId="0" borderId="10" xfId="3" applyNumberFormat="1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right"/>
    </xf>
    <xf numFmtId="166" fontId="11" fillId="23" borderId="0" xfId="0" applyNumberFormat="1" applyFont="1" applyFill="1"/>
    <xf numFmtId="170" fontId="9" fillId="0" borderId="42" xfId="4" applyNumberFormat="1" applyFont="1" applyFill="1" applyBorder="1" applyAlignment="1">
      <alignment horizontal="center" vertical="center"/>
    </xf>
    <xf numFmtId="165" fontId="27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24" fillId="4" borderId="1" xfId="3" applyFont="1" applyFill="1" applyBorder="1" applyAlignment="1">
      <alignment horizontal="left"/>
    </xf>
    <xf numFmtId="165" fontId="30" fillId="4" borderId="1" xfId="3" applyFont="1" applyFill="1" applyBorder="1"/>
    <xf numFmtId="165" fontId="31" fillId="4" borderId="1" xfId="3" applyFont="1" applyFill="1" applyBorder="1" applyAlignment="1">
      <alignment horizontal="left"/>
    </xf>
    <xf numFmtId="165" fontId="10" fillId="4" borderId="1" xfId="3" applyFont="1" applyFill="1" applyBorder="1" applyAlignment="1">
      <alignment horizontal="left" vertical="center" wrapText="1"/>
    </xf>
    <xf numFmtId="1" fontId="10" fillId="4" borderId="1" xfId="3" applyNumberFormat="1" applyFont="1" applyFill="1" applyBorder="1" applyAlignment="1">
      <alignment horizontal="center" vertical="center" wrapText="1"/>
    </xf>
    <xf numFmtId="165" fontId="10" fillId="0" borderId="0" xfId="3" applyFont="1" applyAlignment="1">
      <alignment horizontal="center"/>
    </xf>
    <xf numFmtId="165" fontId="78" fillId="4" borderId="1" xfId="3" applyFont="1" applyFill="1" applyBorder="1" applyAlignment="1">
      <alignment horizontal="left"/>
    </xf>
    <xf numFmtId="166" fontId="11" fillId="0" borderId="0" xfId="0" applyNumberFormat="1" applyFont="1" applyAlignment="1">
      <alignment vertical="center"/>
    </xf>
    <xf numFmtId="167" fontId="10" fillId="0" borderId="0" xfId="3" applyNumberFormat="1" applyFont="1" applyAlignment="1">
      <alignment horizontal="right" vertical="center"/>
    </xf>
    <xf numFmtId="166" fontId="72" fillId="20" borderId="39" xfId="0" applyNumberFormat="1" applyFont="1" applyFill="1" applyBorder="1" applyAlignment="1">
      <alignment vertical="center"/>
    </xf>
    <xf numFmtId="166" fontId="70" fillId="0" borderId="73" xfId="0" applyNumberFormat="1" applyFont="1" applyBorder="1"/>
    <xf numFmtId="1" fontId="70" fillId="0" borderId="73" xfId="0" applyNumberFormat="1" applyFont="1" applyBorder="1"/>
    <xf numFmtId="14" fontId="10" fillId="0" borderId="0" xfId="3" applyNumberFormat="1" applyFont="1"/>
    <xf numFmtId="166" fontId="10" fillId="0" borderId="1" xfId="3" applyNumberFormat="1" applyFont="1" applyBorder="1" applyAlignment="1">
      <alignment horizontal="right"/>
    </xf>
    <xf numFmtId="4" fontId="9" fillId="0" borderId="11" xfId="3" applyNumberFormat="1" applyFont="1" applyBorder="1" applyAlignment="1">
      <alignment horizontal="center" vertical="center"/>
    </xf>
    <xf numFmtId="4" fontId="9" fillId="0" borderId="1" xfId="3" applyNumberFormat="1" applyFont="1" applyBorder="1" applyAlignment="1">
      <alignment horizontal="center" vertical="center"/>
    </xf>
    <xf numFmtId="166" fontId="10" fillId="0" borderId="14" xfId="3" applyNumberFormat="1" applyFont="1" applyBorder="1" applyAlignment="1">
      <alignment horizontal="right"/>
    </xf>
    <xf numFmtId="165" fontId="79" fillId="0" borderId="52" xfId="3" applyFont="1" applyBorder="1"/>
    <xf numFmtId="20" fontId="10" fillId="4" borderId="18" xfId="0" applyNumberFormat="1" applyFont="1" applyFill="1" applyBorder="1" applyAlignment="1">
      <alignment horizontal="center" vertical="center" wrapText="1"/>
    </xf>
    <xf numFmtId="1" fontId="10" fillId="0" borderId="63" xfId="3" applyNumberFormat="1" applyFont="1" applyBorder="1" applyAlignment="1">
      <alignment horizontal="center"/>
    </xf>
    <xf numFmtId="16" fontId="9" fillId="0" borderId="77" xfId="3" applyNumberFormat="1" applyFont="1" applyBorder="1" applyAlignment="1">
      <alignment vertical="center"/>
    </xf>
    <xf numFmtId="16" fontId="9" fillId="0" borderId="32" xfId="3" applyNumberFormat="1" applyFont="1" applyBorder="1" applyAlignment="1">
      <alignment vertical="center"/>
    </xf>
    <xf numFmtId="165" fontId="10" fillId="0" borderId="3" xfId="3" applyFont="1" applyBorder="1" applyAlignment="1">
      <alignment horizontal="center"/>
    </xf>
    <xf numFmtId="2" fontId="10" fillId="7" borderId="34" xfId="3" applyNumberFormat="1" applyFont="1" applyFill="1" applyBorder="1" applyAlignment="1">
      <alignment horizontal="center" vertical="center"/>
    </xf>
    <xf numFmtId="2" fontId="26" fillId="7" borderId="34" xfId="3" applyNumberFormat="1" applyFont="1" applyFill="1" applyBorder="1" applyAlignment="1">
      <alignment horizontal="center" vertical="center"/>
    </xf>
    <xf numFmtId="2" fontId="80" fillId="0" borderId="1" xfId="3" applyNumberFormat="1" applyFont="1" applyBorder="1" applyAlignment="1">
      <alignment horizontal="center" vertical="center"/>
    </xf>
    <xf numFmtId="2" fontId="9" fillId="0" borderId="0" xfId="3" applyNumberFormat="1" applyFont="1"/>
    <xf numFmtId="165" fontId="68" fillId="0" borderId="52" xfId="0" applyFont="1" applyBorder="1"/>
    <xf numFmtId="2" fontId="69" fillId="0" borderId="76" xfId="0" applyNumberFormat="1" applyFont="1" applyBorder="1"/>
    <xf numFmtId="2" fontId="69" fillId="0" borderId="80" xfId="0" applyNumberFormat="1" applyFont="1" applyBorder="1"/>
    <xf numFmtId="2" fontId="75" fillId="22" borderId="81" xfId="0" applyNumberFormat="1" applyFont="1" applyFill="1" applyBorder="1"/>
    <xf numFmtId="2" fontId="32" fillId="0" borderId="10" xfId="4" applyNumberFormat="1" applyFont="1" applyFill="1" applyBorder="1" applyAlignment="1">
      <alignment horizontal="center" vertical="center"/>
    </xf>
    <xf numFmtId="2" fontId="32" fillId="0" borderId="2" xfId="4" applyNumberFormat="1" applyFont="1" applyBorder="1" applyAlignment="1">
      <alignment horizontal="center" vertical="center"/>
    </xf>
    <xf numFmtId="2" fontId="32" fillId="0" borderId="2" xfId="4" applyNumberFormat="1" applyFont="1" applyFill="1" applyBorder="1" applyAlignment="1">
      <alignment horizontal="center" vertical="center"/>
    </xf>
    <xf numFmtId="166" fontId="10" fillId="0" borderId="1" xfId="3" applyNumberFormat="1" applyFont="1" applyBorder="1" applyAlignment="1">
      <alignment horizontal="center"/>
    </xf>
    <xf numFmtId="1" fontId="10" fillId="0" borderId="1" xfId="3" applyNumberFormat="1" applyFont="1" applyBorder="1" applyAlignment="1">
      <alignment horizontal="center"/>
    </xf>
    <xf numFmtId="1" fontId="10" fillId="0" borderId="18" xfId="3" applyNumberFormat="1" applyFont="1" applyBorder="1" applyAlignment="1">
      <alignment horizontal="center"/>
    </xf>
    <xf numFmtId="166" fontId="10" fillId="0" borderId="14" xfId="3" applyNumberFormat="1" applyFont="1" applyBorder="1" applyAlignment="1">
      <alignment horizontal="center"/>
    </xf>
    <xf numFmtId="166" fontId="10" fillId="0" borderId="32" xfId="3" applyNumberFormat="1" applyFont="1" applyBorder="1" applyAlignment="1">
      <alignment horizontal="center"/>
    </xf>
    <xf numFmtId="166" fontId="10" fillId="0" borderId="14" xfId="3" applyNumberFormat="1" applyFont="1" applyBorder="1"/>
    <xf numFmtId="166" fontId="10" fillId="4" borderId="33" xfId="3" applyNumberFormat="1" applyFont="1" applyFill="1" applyBorder="1"/>
    <xf numFmtId="1" fontId="10" fillId="4" borderId="33" xfId="3" applyNumberFormat="1" applyFont="1" applyFill="1" applyBorder="1"/>
    <xf numFmtId="2" fontId="69" fillId="4" borderId="12" xfId="0" applyNumberFormat="1" applyFont="1" applyFill="1" applyBorder="1"/>
    <xf numFmtId="2" fontId="69" fillId="4" borderId="12" xfId="0" quotePrefix="1" applyNumberFormat="1" applyFont="1" applyFill="1" applyBorder="1"/>
    <xf numFmtId="2" fontId="69" fillId="4" borderId="80" xfId="0" applyNumberFormat="1" applyFont="1" applyFill="1" applyBorder="1"/>
    <xf numFmtId="2" fontId="9" fillId="0" borderId="0" xfId="3" applyNumberFormat="1" applyFont="1" applyAlignment="1">
      <alignment wrapText="1"/>
    </xf>
    <xf numFmtId="165" fontId="8" fillId="0" borderId="0" xfId="3" applyAlignment="1">
      <alignment horizontal="left"/>
    </xf>
    <xf numFmtId="2" fontId="8" fillId="0" borderId="60" xfId="3" applyNumberFormat="1" applyBorder="1" applyAlignment="1">
      <alignment horizontal="center"/>
    </xf>
    <xf numFmtId="2" fontId="41" fillId="0" borderId="26" xfId="3" applyNumberFormat="1" applyFont="1" applyBorder="1" applyAlignment="1">
      <alignment horizontal="center"/>
    </xf>
    <xf numFmtId="165" fontId="8" fillId="0" borderId="56" xfId="3" applyBorder="1" applyAlignment="1">
      <alignment horizontal="center"/>
    </xf>
    <xf numFmtId="165" fontId="10" fillId="0" borderId="1" xfId="3" applyFont="1" applyBorder="1" applyAlignment="1">
      <alignment horizontal="center" vertical="center" wrapText="1"/>
    </xf>
    <xf numFmtId="1" fontId="9" fillId="0" borderId="1" xfId="3" applyNumberFormat="1" applyFont="1" applyBorder="1"/>
    <xf numFmtId="2" fontId="36" fillId="23" borderId="1" xfId="3" applyNumberFormat="1" applyFont="1" applyFill="1" applyBorder="1" applyAlignment="1">
      <alignment horizontal="right"/>
    </xf>
    <xf numFmtId="2" fontId="10" fillId="23" borderId="21" xfId="3" applyNumberFormat="1" applyFont="1" applyFill="1" applyBorder="1" applyAlignment="1">
      <alignment horizontal="right"/>
    </xf>
    <xf numFmtId="20" fontId="10" fillId="4" borderId="17" xfId="0" applyNumberFormat="1" applyFont="1" applyFill="1" applyBorder="1" applyAlignment="1">
      <alignment horizontal="center" vertical="center" wrapText="1"/>
    </xf>
    <xf numFmtId="1" fontId="10" fillId="0" borderId="19" xfId="3" applyNumberFormat="1" applyFont="1" applyBorder="1" applyAlignment="1">
      <alignment horizontal="center"/>
    </xf>
    <xf numFmtId="165" fontId="28" fillId="4" borderId="1" xfId="3" applyFont="1" applyFill="1" applyBorder="1"/>
    <xf numFmtId="2" fontId="77" fillId="6" borderId="1" xfId="3" applyNumberFormat="1" applyFont="1" applyFill="1" applyBorder="1"/>
    <xf numFmtId="0" fontId="23" fillId="0" borderId="59" xfId="3" applyNumberFormat="1" applyFont="1" applyBorder="1" applyAlignment="1">
      <alignment vertical="top" wrapText="1"/>
    </xf>
    <xf numFmtId="166" fontId="10" fillId="0" borderId="0" xfId="3" applyNumberFormat="1" applyFont="1"/>
    <xf numFmtId="2" fontId="26" fillId="0" borderId="43" xfId="3" applyNumberFormat="1" applyFont="1" applyBorder="1" applyAlignment="1">
      <alignment horizontal="center" vertical="center"/>
    </xf>
    <xf numFmtId="2" fontId="26" fillId="0" borderId="54" xfId="3" applyNumberFormat="1" applyFont="1" applyBorder="1" applyAlignment="1">
      <alignment horizontal="center" vertical="center"/>
    </xf>
    <xf numFmtId="1" fontId="10" fillId="0" borderId="0" xfId="3" applyNumberFormat="1" applyFont="1"/>
    <xf numFmtId="2" fontId="10" fillId="0" borderId="76" xfId="6" applyNumberFormat="1" applyFont="1" applyBorder="1" applyAlignment="1">
      <alignment horizontal="center" vertical="center"/>
    </xf>
    <xf numFmtId="2" fontId="10" fillId="0" borderId="80" xfId="3" applyNumberFormat="1" applyFont="1" applyBorder="1" applyAlignment="1">
      <alignment horizontal="center" vertical="center"/>
    </xf>
    <xf numFmtId="165" fontId="10" fillId="0" borderId="1" xfId="3" applyFont="1" applyBorder="1" applyAlignment="1">
      <alignment vertical="center" wrapText="1"/>
    </xf>
    <xf numFmtId="165" fontId="10" fillId="0" borderId="0" xfId="3" applyFont="1" applyAlignment="1">
      <alignment horizontal="left"/>
    </xf>
    <xf numFmtId="165" fontId="10" fillId="0" borderId="6" xfId="3" applyFont="1" applyBorder="1" applyAlignment="1">
      <alignment horizontal="center" vertical="center" wrapText="1"/>
    </xf>
    <xf numFmtId="165" fontId="10" fillId="0" borderId="10" xfId="3" applyFont="1" applyBorder="1" applyAlignment="1">
      <alignment horizontal="center" vertical="center" wrapText="1"/>
    </xf>
    <xf numFmtId="165" fontId="10" fillId="0" borderId="4" xfId="3" applyFont="1" applyBorder="1" applyAlignment="1">
      <alignment horizontal="center"/>
    </xf>
    <xf numFmtId="165" fontId="10" fillId="0" borderId="7" xfId="3" applyFont="1" applyBorder="1" applyAlignment="1">
      <alignment horizontal="center" vertical="center" wrapText="1"/>
    </xf>
    <xf numFmtId="2" fontId="10" fillId="4" borderId="23" xfId="3" applyNumberFormat="1" applyFont="1" applyFill="1" applyBorder="1" applyAlignment="1">
      <alignment horizontal="center" vertical="center"/>
    </xf>
    <xf numFmtId="165" fontId="27" fillId="0" borderId="13" xfId="3" applyFont="1" applyBorder="1" applyAlignment="1">
      <alignment horizontal="left" vertical="center"/>
    </xf>
    <xf numFmtId="2" fontId="26" fillId="0" borderId="35" xfId="3" applyNumberFormat="1" applyFont="1" applyBorder="1" applyAlignment="1">
      <alignment horizontal="center" vertical="center"/>
    </xf>
    <xf numFmtId="2" fontId="10" fillId="7" borderId="0" xfId="3" applyNumberFormat="1" applyFont="1" applyFill="1" applyAlignment="1">
      <alignment horizontal="center" vertical="center"/>
    </xf>
    <xf numFmtId="2" fontId="26" fillId="7" borderId="0" xfId="3" applyNumberFormat="1" applyFont="1" applyFill="1" applyAlignment="1">
      <alignment horizontal="center" vertical="center"/>
    </xf>
    <xf numFmtId="166" fontId="10" fillId="7" borderId="0" xfId="3" applyNumberFormat="1" applyFont="1" applyFill="1" applyAlignment="1">
      <alignment horizontal="center" vertical="center"/>
    </xf>
    <xf numFmtId="16" fontId="9" fillId="0" borderId="1" xfId="3" applyNumberFormat="1" applyFont="1" applyBorder="1" applyAlignment="1">
      <alignment horizontal="center" vertical="center"/>
    </xf>
    <xf numFmtId="166" fontId="9" fillId="4" borderId="1" xfId="3" applyNumberFormat="1" applyFont="1" applyFill="1" applyBorder="1" applyAlignment="1">
      <alignment horizontal="center" vertical="center"/>
    </xf>
    <xf numFmtId="166" fontId="10" fillId="0" borderId="1" xfId="3" applyNumberFormat="1" applyFont="1" applyBorder="1" applyAlignment="1">
      <alignment horizontal="center" vertical="center"/>
    </xf>
    <xf numFmtId="1" fontId="32" fillId="0" borderId="1" xfId="3" applyNumberFormat="1" applyFont="1" applyBorder="1" applyAlignment="1">
      <alignment vertical="center" wrapText="1"/>
    </xf>
    <xf numFmtId="167" fontId="22" fillId="5" borderId="11" xfId="3" applyNumberFormat="1" applyFont="1" applyFill="1" applyBorder="1" applyAlignment="1">
      <alignment horizontal="center" vertical="center"/>
    </xf>
    <xf numFmtId="165" fontId="9" fillId="0" borderId="2" xfId="3" applyFont="1" applyBorder="1" applyAlignment="1">
      <alignment vertical="center"/>
    </xf>
    <xf numFmtId="170" fontId="9" fillId="0" borderId="1" xfId="4" applyNumberFormat="1" applyFont="1" applyBorder="1" applyAlignment="1">
      <alignment horizontal="center" vertical="center"/>
    </xf>
    <xf numFmtId="165" fontId="21" fillId="0" borderId="13" xfId="3" applyFont="1" applyBorder="1"/>
    <xf numFmtId="167" fontId="22" fillId="0" borderId="11" xfId="3" applyNumberFormat="1" applyFont="1" applyBorder="1" applyAlignment="1">
      <alignment horizontal="center" vertical="center"/>
    </xf>
    <xf numFmtId="1" fontId="32" fillId="0" borderId="51" xfId="3" applyNumberFormat="1" applyFont="1" applyBorder="1" applyAlignment="1">
      <alignment vertical="center" wrapText="1"/>
    </xf>
    <xf numFmtId="170" fontId="9" fillId="0" borderId="3" xfId="4" applyNumberFormat="1" applyFont="1" applyBorder="1" applyAlignment="1">
      <alignment horizontal="center" vertical="center"/>
    </xf>
    <xf numFmtId="4" fontId="9" fillId="0" borderId="10" xfId="3" applyNumberFormat="1" applyFont="1" applyBorder="1" applyAlignment="1">
      <alignment horizontal="center" vertical="center"/>
    </xf>
    <xf numFmtId="171" fontId="9" fillId="0" borderId="10" xfId="3" applyNumberFormat="1" applyFont="1" applyBorder="1" applyAlignment="1">
      <alignment horizontal="center" vertical="center"/>
    </xf>
    <xf numFmtId="2" fontId="9" fillId="0" borderId="10" xfId="3" applyNumberFormat="1" applyFont="1" applyBorder="1" applyAlignment="1">
      <alignment horizontal="center" vertical="center"/>
    </xf>
    <xf numFmtId="170" fontId="9" fillId="0" borderId="10" xfId="4" applyNumberFormat="1" applyFont="1" applyBorder="1" applyAlignment="1">
      <alignment horizontal="center" vertical="center"/>
    </xf>
    <xf numFmtId="2" fontId="32" fillId="0" borderId="1" xfId="4" applyNumberFormat="1" applyFont="1" applyFill="1" applyBorder="1" applyAlignment="1">
      <alignment horizontal="center" vertical="center"/>
    </xf>
    <xf numFmtId="2" fontId="32" fillId="0" borderId="1" xfId="4" applyNumberFormat="1" applyFont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2" fontId="10" fillId="0" borderId="1" xfId="3" applyNumberFormat="1" applyFont="1" applyBorder="1" applyAlignment="1">
      <alignment horizontal="left" vertical="center"/>
    </xf>
    <xf numFmtId="165" fontId="28" fillId="0" borderId="13" xfId="3" applyFont="1" applyBorder="1" applyAlignment="1">
      <alignment vertical="center"/>
    </xf>
    <xf numFmtId="170" fontId="10" fillId="23" borderId="1" xfId="3" applyNumberFormat="1" applyFont="1" applyFill="1" applyBorder="1" applyAlignment="1">
      <alignment horizontal="right"/>
    </xf>
    <xf numFmtId="165" fontId="27" fillId="0" borderId="13" xfId="3" applyFont="1" applyBorder="1" applyAlignment="1">
      <alignment horizontal="center" vertical="center"/>
    </xf>
    <xf numFmtId="165" fontId="10" fillId="0" borderId="18" xfId="3" applyFont="1" applyBorder="1"/>
    <xf numFmtId="2" fontId="10" fillId="0" borderId="10" xfId="3" applyNumberFormat="1" applyFont="1" applyBorder="1" applyAlignment="1">
      <alignment horizontal="center" vertical="center"/>
    </xf>
    <xf numFmtId="2" fontId="10" fillId="4" borderId="18" xfId="3" applyNumberFormat="1" applyFont="1" applyFill="1" applyBorder="1" applyAlignment="1">
      <alignment horizontal="center" vertical="center"/>
    </xf>
    <xf numFmtId="2" fontId="32" fillId="0" borderId="1" xfId="3" applyNumberFormat="1" applyFont="1" applyBorder="1" applyAlignment="1">
      <alignment horizontal="center" vertical="center"/>
    </xf>
    <xf numFmtId="2" fontId="10" fillId="4" borderId="1" xfId="3" applyNumberFormat="1" applyFont="1" applyFill="1" applyBorder="1" applyAlignment="1">
      <alignment horizontal="center" vertical="center"/>
    </xf>
    <xf numFmtId="165" fontId="28" fillId="0" borderId="1" xfId="3" applyFont="1" applyBorder="1" applyAlignment="1">
      <alignment vertical="center"/>
    </xf>
    <xf numFmtId="166" fontId="22" fillId="4" borderId="1" xfId="3" applyNumberFormat="1" applyFont="1" applyFill="1" applyBorder="1" applyAlignment="1">
      <alignment horizontal="center" vertical="center"/>
    </xf>
    <xf numFmtId="167" fontId="9" fillId="0" borderId="1" xfId="3" applyNumberFormat="1" applyFont="1" applyBorder="1" applyAlignment="1">
      <alignment horizontal="center" vertical="center"/>
    </xf>
    <xf numFmtId="166" fontId="9" fillId="7" borderId="1" xfId="3" applyNumberFormat="1" applyFont="1" applyFill="1" applyBorder="1" applyAlignment="1">
      <alignment horizontal="center" vertical="center"/>
    </xf>
    <xf numFmtId="167" fontId="9" fillId="0" borderId="11" xfId="3" applyNumberFormat="1" applyFont="1" applyBorder="1" applyAlignment="1">
      <alignment horizontal="center"/>
    </xf>
    <xf numFmtId="165" fontId="14" fillId="4" borderId="0" xfId="3" applyFont="1" applyFill="1" applyAlignment="1">
      <alignment horizontal="center" vertical="center"/>
    </xf>
    <xf numFmtId="165" fontId="14" fillId="4" borderId="25" xfId="3" applyFont="1" applyFill="1" applyBorder="1" applyAlignment="1">
      <alignment horizontal="center" vertical="center"/>
    </xf>
    <xf numFmtId="165" fontId="14" fillId="4" borderId="26" xfId="3" applyFont="1" applyFill="1" applyBorder="1" applyAlignment="1">
      <alignment horizontal="center" vertical="center"/>
    </xf>
    <xf numFmtId="165" fontId="14" fillId="4" borderId="75" xfId="3" applyFont="1" applyFill="1" applyBorder="1" applyAlignment="1">
      <alignment horizontal="center" vertical="center"/>
    </xf>
    <xf numFmtId="165" fontId="14" fillId="4" borderId="63" xfId="3" applyFont="1" applyFill="1" applyBorder="1" applyAlignment="1">
      <alignment horizontal="center" vertical="center"/>
    </xf>
    <xf numFmtId="165" fontId="14" fillId="4" borderId="4" xfId="3" applyFont="1" applyFill="1" applyBorder="1" applyAlignment="1">
      <alignment horizontal="center" vertical="center"/>
    </xf>
    <xf numFmtId="1" fontId="10" fillId="4" borderId="34" xfId="3" applyNumberFormat="1" applyFont="1" applyFill="1" applyBorder="1"/>
    <xf numFmtId="166" fontId="10" fillId="4" borderId="34" xfId="3" applyNumberFormat="1" applyFont="1" applyFill="1" applyBorder="1"/>
    <xf numFmtId="165" fontId="79" fillId="0" borderId="31" xfId="3" applyFont="1" applyBorder="1"/>
    <xf numFmtId="1" fontId="10" fillId="0" borderId="32" xfId="3" applyNumberFormat="1" applyFont="1" applyBorder="1" applyAlignment="1">
      <alignment horizontal="right"/>
    </xf>
    <xf numFmtId="166" fontId="10" fillId="0" borderId="32" xfId="3" applyNumberFormat="1" applyFont="1" applyBorder="1"/>
    <xf numFmtId="166" fontId="9" fillId="0" borderId="36" xfId="3" applyNumberFormat="1" applyFont="1" applyBorder="1"/>
    <xf numFmtId="165" fontId="82" fillId="0" borderId="52" xfId="3" applyFont="1" applyBorder="1"/>
    <xf numFmtId="165" fontId="83" fillId="0" borderId="52" xfId="3" applyFont="1" applyBorder="1"/>
    <xf numFmtId="170" fontId="8" fillId="0" borderId="0" xfId="3" applyNumberFormat="1" applyAlignment="1">
      <alignment horizontal="right"/>
    </xf>
    <xf numFmtId="165" fontId="84" fillId="0" borderId="31" xfId="3" applyFont="1" applyBorder="1"/>
    <xf numFmtId="165" fontId="85" fillId="0" borderId="31" xfId="3" applyFont="1" applyBorder="1"/>
    <xf numFmtId="166" fontId="9" fillId="0" borderId="0" xfId="3" applyNumberFormat="1" applyFont="1" applyAlignment="1">
      <alignment horizontal="center" vertical="center"/>
    </xf>
    <xf numFmtId="166" fontId="10" fillId="26" borderId="63" xfId="3" applyNumberFormat="1" applyFont="1" applyFill="1" applyBorder="1" applyAlignment="1">
      <alignment horizontal="center"/>
    </xf>
    <xf numFmtId="0" fontId="10" fillId="0" borderId="0" xfId="3" applyNumberFormat="1" applyFont="1" applyAlignment="1">
      <alignment horizontal="center"/>
    </xf>
    <xf numFmtId="0" fontId="23" fillId="0" borderId="1" xfId="3" applyNumberFormat="1" applyFont="1" applyBorder="1" applyAlignment="1">
      <alignment vertical="top" wrapText="1"/>
    </xf>
    <xf numFmtId="165" fontId="9" fillId="0" borderId="0" xfId="3" applyFont="1" applyAlignment="1">
      <alignment horizontal="left" vertical="center"/>
    </xf>
    <xf numFmtId="165" fontId="9" fillId="23" borderId="2" xfId="3" applyFont="1" applyFill="1" applyBorder="1" applyAlignment="1">
      <alignment vertical="center"/>
    </xf>
    <xf numFmtId="165" fontId="10" fillId="0" borderId="81" xfId="3" applyFont="1" applyBorder="1" applyAlignment="1">
      <alignment vertical="center" wrapText="1"/>
    </xf>
    <xf numFmtId="165" fontId="10" fillId="0" borderId="40" xfId="3" applyFont="1" applyBorder="1" applyAlignment="1">
      <alignment horizontal="center" vertical="center" wrapText="1"/>
    </xf>
    <xf numFmtId="16" fontId="9" fillId="0" borderId="39" xfId="3" applyNumberFormat="1" applyFont="1" applyBorder="1" applyAlignment="1">
      <alignment horizontal="center" vertical="center"/>
    </xf>
    <xf numFmtId="4" fontId="9" fillId="0" borderId="39" xfId="3" applyNumberFormat="1" applyFont="1" applyBorder="1" applyAlignment="1">
      <alignment horizontal="center" vertical="center"/>
    </xf>
    <xf numFmtId="171" fontId="9" fillId="0" borderId="39" xfId="3" applyNumberFormat="1" applyFont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4" fontId="9" fillId="0" borderId="62" xfId="3" applyNumberFormat="1" applyFont="1" applyBorder="1" applyAlignment="1">
      <alignment horizontal="center" vertical="center"/>
    </xf>
    <xf numFmtId="2" fontId="32" fillId="0" borderId="39" xfId="4" applyNumberFormat="1" applyFont="1" applyFill="1" applyBorder="1" applyAlignment="1">
      <alignment horizontal="center" vertical="center"/>
    </xf>
    <xf numFmtId="170" fontId="9" fillId="0" borderId="79" xfId="4" applyNumberFormat="1" applyFont="1" applyFill="1" applyBorder="1" applyAlignment="1">
      <alignment horizontal="center" vertical="center"/>
    </xf>
    <xf numFmtId="16" fontId="10" fillId="0" borderId="76" xfId="3" applyNumberFormat="1" applyFont="1" applyBorder="1" applyAlignment="1">
      <alignment horizontal="center" vertical="center"/>
    </xf>
    <xf numFmtId="4" fontId="9" fillId="0" borderId="76" xfId="3" applyNumberFormat="1" applyFont="1" applyBorder="1" applyAlignment="1">
      <alignment horizontal="center" vertical="center"/>
    </xf>
    <xf numFmtId="171" fontId="9" fillId="0" borderId="76" xfId="3" applyNumberFormat="1" applyFont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4" fontId="9" fillId="0" borderId="80" xfId="3" applyNumberFormat="1" applyFont="1" applyBorder="1" applyAlignment="1">
      <alignment horizontal="center" vertical="center"/>
    </xf>
    <xf numFmtId="2" fontId="32" fillId="0" borderId="76" xfId="4" applyNumberFormat="1" applyFont="1" applyFill="1" applyBorder="1" applyAlignment="1">
      <alignment horizontal="center" vertical="center"/>
    </xf>
    <xf numFmtId="170" fontId="9" fillId="0" borderId="9" xfId="4" applyNumberFormat="1" applyFont="1" applyFill="1" applyBorder="1" applyAlignment="1">
      <alignment horizontal="center" vertical="center"/>
    </xf>
    <xf numFmtId="165" fontId="86" fillId="0" borderId="38" xfId="3" applyFont="1" applyBorder="1" applyAlignment="1">
      <alignment horizontal="center" vertical="center"/>
    </xf>
    <xf numFmtId="2" fontId="32" fillId="0" borderId="62" xfId="4" applyNumberFormat="1" applyFont="1" applyFill="1" applyBorder="1" applyAlignment="1">
      <alignment horizontal="center" vertical="center"/>
    </xf>
    <xf numFmtId="2" fontId="10" fillId="0" borderId="39" xfId="3" applyNumberFormat="1" applyFont="1" applyBorder="1" applyAlignment="1">
      <alignment horizontal="center" vertical="center"/>
    </xf>
    <xf numFmtId="2" fontId="80" fillId="0" borderId="39" xfId="3" applyNumberFormat="1" applyFont="1" applyBorder="1" applyAlignment="1">
      <alignment horizontal="center" vertical="center"/>
    </xf>
    <xf numFmtId="16" fontId="10" fillId="0" borderId="84" xfId="3" applyNumberFormat="1" applyFont="1" applyBorder="1" applyAlignment="1">
      <alignment horizontal="center" vertical="center"/>
    </xf>
    <xf numFmtId="4" fontId="9" fillId="0" borderId="84" xfId="3" applyNumberFormat="1" applyFont="1" applyBorder="1" applyAlignment="1">
      <alignment horizontal="center" vertical="center"/>
    </xf>
    <xf numFmtId="171" fontId="9" fillId="0" borderId="84" xfId="3" applyNumberFormat="1" applyFont="1" applyBorder="1" applyAlignment="1">
      <alignment horizontal="center" vertical="center"/>
    </xf>
    <xf numFmtId="2" fontId="9" fillId="0" borderId="84" xfId="3" applyNumberFormat="1" applyFont="1" applyBorder="1" applyAlignment="1">
      <alignment horizontal="center" vertical="center"/>
    </xf>
    <xf numFmtId="4" fontId="9" fillId="0" borderId="85" xfId="3" applyNumberFormat="1" applyFont="1" applyBorder="1" applyAlignment="1">
      <alignment horizontal="center" vertical="center"/>
    </xf>
    <xf numFmtId="2" fontId="32" fillId="0" borderId="84" xfId="4" applyNumberFormat="1" applyFont="1" applyFill="1" applyBorder="1" applyAlignment="1">
      <alignment horizontal="center" vertical="center"/>
    </xf>
    <xf numFmtId="2" fontId="32" fillId="0" borderId="85" xfId="4" applyNumberFormat="1" applyFont="1" applyFill="1" applyBorder="1" applyAlignment="1">
      <alignment horizontal="center" vertical="center"/>
    </xf>
    <xf numFmtId="2" fontId="10" fillId="4" borderId="84" xfId="3" applyNumberFormat="1" applyFont="1" applyFill="1" applyBorder="1" applyAlignment="1">
      <alignment horizontal="center" vertical="center"/>
    </xf>
    <xf numFmtId="170" fontId="9" fillId="0" borderId="86" xfId="4" applyNumberFormat="1" applyFont="1" applyFill="1" applyBorder="1" applyAlignment="1">
      <alignment horizontal="center" vertical="center"/>
    </xf>
    <xf numFmtId="2" fontId="32" fillId="0" borderId="80" xfId="4" applyNumberFormat="1" applyFont="1" applyFill="1" applyBorder="1" applyAlignment="1">
      <alignment horizontal="center" vertical="center"/>
    </xf>
    <xf numFmtId="2" fontId="10" fillId="0" borderId="76" xfId="3" applyNumberFormat="1" applyFont="1" applyBorder="1" applyAlignment="1">
      <alignment horizontal="center" vertical="center"/>
    </xf>
    <xf numFmtId="2" fontId="80" fillId="0" borderId="76" xfId="3" applyNumberFormat="1" applyFont="1" applyBorder="1" applyAlignment="1">
      <alignment horizontal="center" vertical="center"/>
    </xf>
    <xf numFmtId="165" fontId="87" fillId="0" borderId="88" xfId="3" applyFont="1" applyBorder="1" applyAlignment="1">
      <alignment horizontal="center" vertical="center"/>
    </xf>
    <xf numFmtId="165" fontId="10" fillId="0" borderId="87" xfId="3" applyFont="1" applyBorder="1" applyAlignment="1">
      <alignment horizontal="center" vertical="center" wrapText="1"/>
    </xf>
    <xf numFmtId="165" fontId="10" fillId="0" borderId="18" xfId="3" applyFont="1" applyBorder="1" applyAlignment="1">
      <alignment horizontal="center" vertical="center" wrapText="1"/>
    </xf>
    <xf numFmtId="165" fontId="21" fillId="0" borderId="13" xfId="3" applyFont="1" applyBorder="1" applyAlignment="1">
      <alignment horizontal="center" vertical="center"/>
    </xf>
    <xf numFmtId="2" fontId="80" fillId="0" borderId="84" xfId="3" applyNumberFormat="1" applyFont="1" applyBorder="1" applyAlignment="1">
      <alignment horizontal="center" vertical="center"/>
    </xf>
    <xf numFmtId="2" fontId="32" fillId="0" borderId="84" xfId="4" applyNumberFormat="1" applyFont="1" applyBorder="1" applyAlignment="1">
      <alignment horizontal="center" vertical="center"/>
    </xf>
    <xf numFmtId="170" fontId="10" fillId="0" borderId="86" xfId="4" applyNumberFormat="1" applyFont="1" applyFill="1" applyBorder="1" applyAlignment="1">
      <alignment horizontal="center" vertical="center"/>
    </xf>
    <xf numFmtId="4" fontId="9" fillId="0" borderId="0" xfId="3" applyNumberFormat="1" applyFont="1" applyAlignment="1">
      <alignment horizontal="center" vertical="center"/>
    </xf>
    <xf numFmtId="171" fontId="9" fillId="0" borderId="0" xfId="3" applyNumberFormat="1" applyFont="1" applyAlignment="1">
      <alignment horizontal="center" vertical="center"/>
    </xf>
    <xf numFmtId="2" fontId="9" fillId="0" borderId="0" xfId="3" applyNumberFormat="1" applyFont="1" applyAlignment="1">
      <alignment horizontal="center" vertical="center"/>
    </xf>
    <xf numFmtId="2" fontId="32" fillId="0" borderId="0" xfId="4" applyNumberFormat="1" applyFont="1" applyFill="1" applyBorder="1" applyAlignment="1">
      <alignment horizontal="center" vertical="center"/>
    </xf>
    <xf numFmtId="170" fontId="9" fillId="0" borderId="0" xfId="4" applyNumberFormat="1" applyFont="1" applyFill="1" applyBorder="1" applyAlignment="1">
      <alignment horizontal="center" vertical="center"/>
    </xf>
    <xf numFmtId="2" fontId="80" fillId="0" borderId="0" xfId="3" applyNumberFormat="1" applyFont="1" applyAlignment="1">
      <alignment horizontal="center" vertical="center"/>
    </xf>
    <xf numFmtId="165" fontId="28" fillId="0" borderId="0" xfId="3" applyFont="1" applyAlignment="1">
      <alignment horizontal="center" vertical="center"/>
    </xf>
    <xf numFmtId="165" fontId="11" fillId="3" borderId="1" xfId="3" applyFont="1" applyFill="1" applyBorder="1"/>
    <xf numFmtId="166" fontId="11" fillId="3" borderId="1" xfId="3" applyNumberFormat="1" applyFont="1" applyFill="1" applyBorder="1"/>
    <xf numFmtId="166" fontId="11" fillId="3" borderId="2" xfId="3" applyNumberFormat="1" applyFont="1" applyFill="1" applyBorder="1"/>
    <xf numFmtId="1" fontId="11" fillId="3" borderId="1" xfId="3" applyNumberFormat="1" applyFont="1" applyFill="1" applyBorder="1" applyAlignment="1">
      <alignment horizontal="center"/>
    </xf>
    <xf numFmtId="166" fontId="11" fillId="3" borderId="14" xfId="3" applyNumberFormat="1" applyFont="1" applyFill="1" applyBorder="1"/>
    <xf numFmtId="166" fontId="11" fillId="0" borderId="0" xfId="3" applyNumberFormat="1" applyFont="1" applyAlignment="1">
      <alignment vertical="center"/>
    </xf>
    <xf numFmtId="20" fontId="10" fillId="4" borderId="17" xfId="3" applyNumberFormat="1" applyFont="1" applyFill="1" applyBorder="1" applyAlignment="1">
      <alignment horizontal="center" vertical="center" wrapText="1"/>
    </xf>
    <xf numFmtId="20" fontId="10" fillId="4" borderId="18" xfId="3" applyNumberFormat="1" applyFont="1" applyFill="1" applyBorder="1" applyAlignment="1">
      <alignment horizontal="center" vertical="center" wrapText="1"/>
    </xf>
    <xf numFmtId="169" fontId="35" fillId="0" borderId="41" xfId="3" applyNumberFormat="1" applyFont="1" applyBorder="1" applyAlignment="1">
      <alignment horizontal="center" vertical="center"/>
    </xf>
    <xf numFmtId="2" fontId="10" fillId="0" borderId="84" xfId="3" applyNumberFormat="1" applyFont="1" applyBorder="1" applyAlignment="1">
      <alignment horizontal="center" vertical="center"/>
    </xf>
    <xf numFmtId="2" fontId="41" fillId="0" borderId="1" xfId="3" applyNumberFormat="1" applyFont="1" applyBorder="1" applyAlignment="1">
      <alignment horizontal="right"/>
    </xf>
    <xf numFmtId="165" fontId="10" fillId="0" borderId="27" xfId="3" applyFont="1" applyBorder="1" applyAlignment="1">
      <alignment vertical="center" wrapText="1"/>
    </xf>
    <xf numFmtId="16" fontId="10" fillId="0" borderId="86" xfId="3" applyNumberFormat="1" applyFont="1" applyBorder="1" applyAlignment="1">
      <alignment horizontal="center" vertical="center"/>
    </xf>
    <xf numFmtId="165" fontId="21" fillId="0" borderId="18" xfId="3" applyFont="1" applyBorder="1" applyAlignment="1">
      <alignment horizontal="center" vertical="center"/>
    </xf>
    <xf numFmtId="165" fontId="86" fillId="0" borderId="18" xfId="3" applyFont="1" applyBorder="1" applyAlignment="1">
      <alignment horizontal="center" vertical="center"/>
    </xf>
    <xf numFmtId="2" fontId="80" fillId="0" borderId="1" xfId="3" applyNumberFormat="1" applyFont="1" applyBorder="1" applyAlignment="1">
      <alignment horizontal="right"/>
    </xf>
    <xf numFmtId="165" fontId="10" fillId="0" borderId="23" xfId="3" applyFont="1" applyBorder="1"/>
    <xf numFmtId="2" fontId="26" fillId="0" borderId="89" xfId="3" applyNumberFormat="1" applyFont="1" applyBorder="1" applyAlignment="1">
      <alignment horizontal="center" vertical="center"/>
    </xf>
    <xf numFmtId="166" fontId="10" fillId="0" borderId="19" xfId="3" applyNumberFormat="1" applyFont="1" applyBorder="1" applyAlignment="1">
      <alignment horizontal="center"/>
    </xf>
    <xf numFmtId="166" fontId="10" fillId="0" borderId="18" xfId="3" applyNumberFormat="1" applyFont="1" applyBorder="1" applyAlignment="1">
      <alignment horizontal="center"/>
    </xf>
    <xf numFmtId="165" fontId="27" fillId="0" borderId="18" xfId="3" applyFont="1" applyBorder="1" applyAlignment="1">
      <alignment horizontal="center" vertical="center"/>
    </xf>
    <xf numFmtId="166" fontId="80" fillId="0" borderId="1" xfId="3" applyNumberFormat="1" applyFont="1" applyBorder="1" applyAlignment="1">
      <alignment horizontal="center" vertical="center"/>
    </xf>
    <xf numFmtId="166" fontId="10" fillId="23" borderId="1" xfId="3" applyNumberFormat="1" applyFont="1" applyFill="1" applyBorder="1" applyAlignment="1">
      <alignment horizontal="center" vertical="center"/>
    </xf>
    <xf numFmtId="2" fontId="10" fillId="23" borderId="1" xfId="3" applyNumberFormat="1" applyFont="1" applyFill="1" applyBorder="1" applyAlignment="1">
      <alignment horizontal="center" vertical="center"/>
    </xf>
    <xf numFmtId="165" fontId="81" fillId="0" borderId="13" xfId="3" applyFont="1" applyBorder="1" applyAlignment="1">
      <alignment horizontal="center" vertical="center"/>
    </xf>
    <xf numFmtId="165" fontId="32" fillId="0" borderId="13" xfId="3" applyFont="1" applyBorder="1" applyAlignment="1">
      <alignment horizontal="left"/>
    </xf>
    <xf numFmtId="166" fontId="80" fillId="7" borderId="1" xfId="3" applyNumberFormat="1" applyFont="1" applyFill="1" applyBorder="1" applyAlignment="1">
      <alignment horizontal="center" vertical="center"/>
    </xf>
    <xf numFmtId="165" fontId="10" fillId="0" borderId="13" xfId="3" applyFont="1" applyBorder="1" applyAlignment="1">
      <alignment horizontal="left"/>
    </xf>
    <xf numFmtId="165" fontId="86" fillId="0" borderId="13" xfId="3" applyFont="1" applyBorder="1" applyAlignment="1">
      <alignment horizontal="center" vertical="center"/>
    </xf>
    <xf numFmtId="165" fontId="10" fillId="0" borderId="23" xfId="3" applyFont="1" applyBorder="1" applyAlignment="1">
      <alignment horizontal="center" vertical="center"/>
    </xf>
    <xf numFmtId="165" fontId="10" fillId="0" borderId="34" xfId="3" applyFont="1" applyBorder="1" applyAlignment="1">
      <alignment horizontal="center" vertical="center"/>
    </xf>
    <xf numFmtId="165" fontId="10" fillId="0" borderId="46" xfId="3" applyFont="1" applyBorder="1" applyAlignment="1">
      <alignment horizontal="center" vertical="center"/>
    </xf>
    <xf numFmtId="165" fontId="10" fillId="0" borderId="47" xfId="3" applyFont="1" applyBorder="1" applyAlignment="1">
      <alignment horizontal="center" vertical="center"/>
    </xf>
    <xf numFmtId="165" fontId="10" fillId="0" borderId="48" xfId="3" applyFont="1" applyBorder="1" applyAlignment="1">
      <alignment horizontal="center" vertical="center"/>
    </xf>
    <xf numFmtId="165" fontId="10" fillId="0" borderId="49" xfId="3" applyFont="1" applyBorder="1" applyAlignment="1">
      <alignment horizontal="center" vertical="center"/>
    </xf>
    <xf numFmtId="165" fontId="10" fillId="0" borderId="25" xfId="3" applyFont="1" applyBorder="1" applyAlignment="1">
      <alignment horizontal="center" vertical="center" wrapText="1"/>
    </xf>
    <xf numFmtId="165" fontId="10" fillId="0" borderId="75" xfId="3" applyFont="1" applyBorder="1" applyAlignment="1">
      <alignment horizontal="center" vertical="center" wrapText="1"/>
    </xf>
    <xf numFmtId="165" fontId="10" fillId="0" borderId="23" xfId="3" applyFont="1" applyBorder="1" applyAlignment="1">
      <alignment horizontal="center" vertical="center" wrapText="1"/>
    </xf>
    <xf numFmtId="165" fontId="10" fillId="0" borderId="27" xfId="3" applyFont="1" applyBorder="1" applyAlignment="1">
      <alignment horizontal="center" vertical="center" wrapText="1"/>
    </xf>
    <xf numFmtId="165" fontId="10" fillId="0" borderId="5" xfId="3" applyFont="1" applyBorder="1" applyAlignment="1">
      <alignment horizontal="center" vertical="center" wrapText="1"/>
    </xf>
    <xf numFmtId="165" fontId="10" fillId="0" borderId="38" xfId="3" applyFont="1" applyBorder="1" applyAlignment="1">
      <alignment horizontal="center" vertical="center" wrapText="1"/>
    </xf>
    <xf numFmtId="165" fontId="10" fillId="0" borderId="8" xfId="3" applyFont="1" applyBorder="1" applyAlignment="1">
      <alignment horizontal="center" vertical="center" wrapText="1"/>
    </xf>
    <xf numFmtId="165" fontId="10" fillId="0" borderId="40" xfId="3" applyFont="1" applyBorder="1" applyAlignment="1">
      <alignment horizontal="center" vertical="center" wrapText="1"/>
    </xf>
    <xf numFmtId="166" fontId="10" fillId="27" borderId="83" xfId="3" applyNumberFormat="1" applyFont="1" applyFill="1" applyBorder="1" applyAlignment="1">
      <alignment horizontal="center" vertical="center"/>
    </xf>
    <xf numFmtId="166" fontId="10" fillId="27" borderId="19" xfId="3" applyNumberFormat="1" applyFont="1" applyFill="1" applyBorder="1" applyAlignment="1">
      <alignment horizontal="center" vertical="center"/>
    </xf>
    <xf numFmtId="165" fontId="10" fillId="0" borderId="34" xfId="3" applyFont="1" applyBorder="1" applyAlignment="1">
      <alignment horizontal="center" vertical="center" wrapText="1"/>
    </xf>
    <xf numFmtId="168" fontId="10" fillId="0" borderId="78" xfId="3" applyNumberFormat="1" applyFont="1" applyBorder="1" applyAlignment="1">
      <alignment horizontal="center" vertical="center" wrapText="1"/>
    </xf>
    <xf numFmtId="168" fontId="10" fillId="0" borderId="79" xfId="3" applyNumberFormat="1" applyFont="1" applyBorder="1" applyAlignment="1">
      <alignment horizontal="center" vertical="center" wrapText="1"/>
    </xf>
    <xf numFmtId="165" fontId="10" fillId="0" borderId="6" xfId="3" applyFont="1" applyBorder="1" applyAlignment="1">
      <alignment horizontal="center" vertical="center" wrapText="1"/>
    </xf>
    <xf numFmtId="165" fontId="10" fillId="0" borderId="39" xfId="3" applyFont="1" applyBorder="1" applyAlignment="1">
      <alignment horizontal="center" vertical="center" wrapText="1"/>
    </xf>
    <xf numFmtId="165" fontId="10" fillId="0" borderId="7" xfId="3" applyFont="1" applyBorder="1" applyAlignment="1">
      <alignment horizontal="center" vertical="center" wrapText="1"/>
    </xf>
    <xf numFmtId="165" fontId="10" fillId="0" borderId="62" xfId="3" applyFont="1" applyBorder="1" applyAlignment="1">
      <alignment horizontal="center" vertical="center" wrapText="1"/>
    </xf>
    <xf numFmtId="165" fontId="21" fillId="0" borderId="23" xfId="3" applyFont="1" applyBorder="1" applyAlignment="1">
      <alignment horizontal="center" vertical="center"/>
    </xf>
    <xf numFmtId="165" fontId="21" fillId="0" borderId="27" xfId="3" applyFont="1" applyBorder="1" applyAlignment="1">
      <alignment horizontal="center" vertical="center"/>
    </xf>
    <xf numFmtId="165" fontId="21" fillId="0" borderId="35" xfId="3" applyFont="1" applyBorder="1" applyAlignment="1">
      <alignment horizontal="center" vertical="center"/>
    </xf>
    <xf numFmtId="166" fontId="9" fillId="0" borderId="0" xfId="3" applyNumberFormat="1" applyFont="1" applyAlignment="1">
      <alignment horizontal="center" vertical="center"/>
    </xf>
    <xf numFmtId="166" fontId="9" fillId="0" borderId="68" xfId="3" applyNumberFormat="1" applyFont="1" applyBorder="1" applyAlignment="1">
      <alignment horizontal="center" vertical="center"/>
    </xf>
    <xf numFmtId="166" fontId="9" fillId="0" borderId="74" xfId="3" applyNumberFormat="1" applyFont="1" applyBorder="1" applyAlignment="1">
      <alignment horizontal="center" vertical="center"/>
    </xf>
    <xf numFmtId="166" fontId="9" fillId="0" borderId="24" xfId="3" applyNumberFormat="1" applyFont="1" applyBorder="1" applyAlignment="1">
      <alignment horizontal="center" vertical="center"/>
    </xf>
    <xf numFmtId="2" fontId="32" fillId="24" borderId="1" xfId="3" applyNumberFormat="1" applyFont="1" applyFill="1" applyBorder="1" applyAlignment="1">
      <alignment horizontal="center"/>
    </xf>
    <xf numFmtId="165" fontId="10" fillId="25" borderId="16" xfId="3" applyFont="1" applyFill="1" applyBorder="1" applyAlignment="1">
      <alignment horizontal="center"/>
    </xf>
    <xf numFmtId="165" fontId="10" fillId="25" borderId="19" xfId="3" applyFont="1" applyFill="1" applyBorder="1" applyAlignment="1">
      <alignment horizontal="center"/>
    </xf>
    <xf numFmtId="166" fontId="9" fillId="0" borderId="29" xfId="3" applyNumberFormat="1" applyFont="1" applyBorder="1" applyAlignment="1">
      <alignment horizontal="center" vertical="center"/>
    </xf>
    <xf numFmtId="166" fontId="9" fillId="0" borderId="30" xfId="3" applyNumberFormat="1" applyFont="1" applyBorder="1" applyAlignment="1">
      <alignment horizontal="center" vertical="center"/>
    </xf>
    <xf numFmtId="166" fontId="9" fillId="0" borderId="28" xfId="3" applyNumberFormat="1" applyFont="1" applyBorder="1" applyAlignment="1">
      <alignment horizontal="center" vertical="center"/>
    </xf>
    <xf numFmtId="166" fontId="9" fillId="0" borderId="75" xfId="3" applyNumberFormat="1" applyFont="1" applyBorder="1" applyAlignment="1">
      <alignment horizontal="center" vertical="center"/>
    </xf>
    <xf numFmtId="166" fontId="9" fillId="0" borderId="63" xfId="3" applyNumberFormat="1" applyFont="1" applyBorder="1" applyAlignment="1">
      <alignment horizontal="center" vertical="center"/>
    </xf>
    <xf numFmtId="165" fontId="10" fillId="0" borderId="4" xfId="3" applyFont="1" applyBorder="1" applyAlignment="1">
      <alignment horizontal="center"/>
    </xf>
    <xf numFmtId="165" fontId="10" fillId="0" borderId="83" xfId="3" applyFont="1" applyBorder="1" applyAlignment="1">
      <alignment horizontal="center" wrapText="1"/>
    </xf>
    <xf numFmtId="165" fontId="10" fillId="0" borderId="19" xfId="3" applyFont="1" applyBorder="1" applyAlignment="1">
      <alignment horizontal="center" wrapText="1"/>
    </xf>
    <xf numFmtId="165" fontId="81" fillId="0" borderId="66" xfId="3" applyFont="1" applyBorder="1" applyAlignment="1">
      <alignment horizontal="center" vertical="center"/>
    </xf>
    <xf numFmtId="165" fontId="81" fillId="0" borderId="27" xfId="3" applyFont="1" applyBorder="1" applyAlignment="1">
      <alignment horizontal="center" vertical="center"/>
    </xf>
    <xf numFmtId="165" fontId="81" fillId="0" borderId="34" xfId="3" applyFont="1" applyBorder="1" applyAlignment="1">
      <alignment horizontal="center" vertical="center"/>
    </xf>
    <xf numFmtId="165" fontId="10" fillId="0" borderId="10" xfId="3" applyFont="1" applyBorder="1" applyAlignment="1">
      <alignment horizontal="center" vertical="center" wrapText="1"/>
    </xf>
    <xf numFmtId="165" fontId="6" fillId="2" borderId="6" xfId="2" applyNumberFormat="1" applyBorder="1" applyAlignment="1">
      <alignment horizontal="center" vertical="center" wrapText="1"/>
    </xf>
    <xf numFmtId="165" fontId="6" fillId="2" borderId="10" xfId="2" applyNumberFormat="1" applyBorder="1" applyAlignment="1">
      <alignment horizontal="center" vertical="center" wrapText="1"/>
    </xf>
    <xf numFmtId="165" fontId="10" fillId="4" borderId="6" xfId="3" applyFont="1" applyFill="1" applyBorder="1" applyAlignment="1">
      <alignment horizontal="center" vertical="center" wrapText="1"/>
    </xf>
    <xf numFmtId="165" fontId="10" fillId="4" borderId="10" xfId="3" applyFont="1" applyFill="1" applyBorder="1" applyAlignment="1">
      <alignment horizontal="center" vertical="center" wrapText="1"/>
    </xf>
    <xf numFmtId="165" fontId="20" fillId="0" borderId="6" xfId="3" applyFont="1" applyBorder="1" applyAlignment="1">
      <alignment horizontal="center" vertical="center" wrapText="1"/>
    </xf>
    <xf numFmtId="165" fontId="20" fillId="0" borderId="10" xfId="3" applyFont="1" applyBorder="1" applyAlignment="1">
      <alignment horizontal="center" vertical="center" wrapText="1"/>
    </xf>
    <xf numFmtId="165" fontId="10" fillId="0" borderId="14" xfId="3" applyFont="1" applyBorder="1" applyAlignment="1">
      <alignment horizontal="center" vertical="center" wrapText="1"/>
    </xf>
    <xf numFmtId="165" fontId="10" fillId="0" borderId="0" xfId="3" applyFont="1" applyAlignment="1">
      <alignment horizontal="left"/>
    </xf>
    <xf numFmtId="165" fontId="10" fillId="0" borderId="50" xfId="3" applyFont="1" applyBorder="1" applyAlignment="1">
      <alignment horizontal="center" vertical="center" wrapText="1"/>
    </xf>
    <xf numFmtId="165" fontId="10" fillId="7" borderId="6" xfId="3" applyFont="1" applyFill="1" applyBorder="1" applyAlignment="1">
      <alignment horizontal="center" vertical="center" wrapText="1"/>
    </xf>
    <xf numFmtId="165" fontId="10" fillId="7" borderId="10" xfId="3" applyFont="1" applyFill="1" applyBorder="1" applyAlignment="1">
      <alignment horizontal="center" vertical="center" wrapText="1"/>
    </xf>
    <xf numFmtId="165" fontId="11" fillId="3" borderId="1" xfId="3" applyFont="1" applyFill="1" applyBorder="1" applyAlignment="1">
      <alignment horizontal="center"/>
    </xf>
    <xf numFmtId="165" fontId="12" fillId="0" borderId="0" xfId="3" applyFont="1" applyAlignment="1">
      <alignment horizontal="center"/>
    </xf>
    <xf numFmtId="165" fontId="15" fillId="0" borderId="2" xfId="3" applyFont="1" applyBorder="1" applyAlignment="1">
      <alignment horizontal="center" wrapText="1"/>
    </xf>
    <xf numFmtId="165" fontId="15" fillId="0" borderId="3" xfId="3" applyFont="1" applyBorder="1" applyAlignment="1">
      <alignment horizontal="center" wrapText="1"/>
    </xf>
    <xf numFmtId="165" fontId="10" fillId="0" borderId="26" xfId="3" applyFont="1" applyBorder="1" applyAlignment="1">
      <alignment horizontal="center" vertical="center" wrapText="1"/>
    </xf>
    <xf numFmtId="165" fontId="10" fillId="0" borderId="63" xfId="3" applyFont="1" applyBorder="1" applyAlignment="1">
      <alignment horizontal="center" vertical="center" wrapText="1"/>
    </xf>
    <xf numFmtId="166" fontId="10" fillId="7" borderId="75" xfId="3" applyNumberFormat="1" applyFont="1" applyFill="1" applyBorder="1" applyAlignment="1">
      <alignment horizontal="center" vertical="center"/>
    </xf>
    <xf numFmtId="166" fontId="10" fillId="7" borderId="63" xfId="3" applyNumberFormat="1" applyFont="1" applyFill="1" applyBorder="1" applyAlignment="1">
      <alignment horizontal="center" vertical="center"/>
    </xf>
    <xf numFmtId="165" fontId="27" fillId="0" borderId="66" xfId="3" applyFont="1" applyBorder="1" applyAlignment="1">
      <alignment horizontal="center" vertical="center"/>
    </xf>
    <xf numFmtId="165" fontId="27" fillId="0" borderId="27" xfId="3" applyFont="1" applyBorder="1" applyAlignment="1">
      <alignment horizontal="center" vertical="center"/>
    </xf>
    <xf numFmtId="165" fontId="27" fillId="0" borderId="35" xfId="3" applyFont="1" applyBorder="1" applyAlignment="1">
      <alignment horizontal="center" vertical="center"/>
    </xf>
    <xf numFmtId="166" fontId="9" fillId="0" borderId="25" xfId="3" applyNumberFormat="1" applyFont="1" applyBorder="1" applyAlignment="1">
      <alignment horizontal="center" vertical="center"/>
    </xf>
    <xf numFmtId="166" fontId="9" fillId="0" borderId="26" xfId="3" applyNumberFormat="1" applyFont="1" applyBorder="1" applyAlignment="1">
      <alignment horizontal="center" vertical="center"/>
    </xf>
    <xf numFmtId="2" fontId="32" fillId="24" borderId="74" xfId="3" applyNumberFormat="1" applyFont="1" applyFill="1" applyBorder="1" applyAlignment="1">
      <alignment horizontal="center"/>
    </xf>
    <xf numFmtId="166" fontId="9" fillId="0" borderId="37" xfId="3" applyNumberFormat="1" applyFont="1" applyBorder="1" applyAlignment="1">
      <alignment horizontal="center" vertical="center"/>
    </xf>
    <xf numFmtId="166" fontId="9" fillId="0" borderId="29" xfId="3" applyNumberFormat="1" applyFont="1" applyBorder="1" applyAlignment="1">
      <alignment horizontal="center"/>
    </xf>
    <xf numFmtId="166" fontId="9" fillId="0" borderId="30" xfId="3" applyNumberFormat="1" applyFont="1" applyBorder="1" applyAlignment="1">
      <alignment horizontal="center"/>
    </xf>
    <xf numFmtId="166" fontId="9" fillId="0" borderId="75" xfId="3" applyNumberFormat="1" applyFont="1" applyBorder="1" applyAlignment="1">
      <alignment horizontal="center"/>
    </xf>
    <xf numFmtId="166" fontId="9" fillId="0" borderId="63" xfId="3" applyNumberFormat="1" applyFont="1" applyBorder="1" applyAlignment="1">
      <alignment horizontal="center"/>
    </xf>
    <xf numFmtId="165" fontId="10" fillId="0" borderId="78" xfId="3" applyFont="1" applyBorder="1" applyAlignment="1">
      <alignment horizontal="center" vertical="center" wrapText="1"/>
    </xf>
    <xf numFmtId="165" fontId="10" fillId="0" borderId="42" xfId="3" applyFont="1" applyBorder="1" applyAlignment="1">
      <alignment horizontal="center" vertical="center" wrapText="1"/>
    </xf>
    <xf numFmtId="165" fontId="81" fillId="0" borderId="23" xfId="3" applyFont="1" applyBorder="1" applyAlignment="1">
      <alignment horizontal="center" vertical="center"/>
    </xf>
    <xf numFmtId="165" fontId="81" fillId="0" borderId="35" xfId="3" applyFont="1" applyBorder="1" applyAlignment="1">
      <alignment horizontal="center" vertical="center"/>
    </xf>
    <xf numFmtId="166" fontId="9" fillId="0" borderId="82" xfId="3" applyNumberFormat="1" applyFont="1" applyBorder="1" applyAlignment="1">
      <alignment horizontal="center"/>
    </xf>
    <xf numFmtId="166" fontId="9" fillId="0" borderId="74" xfId="3" applyNumberFormat="1" applyFont="1" applyBorder="1" applyAlignment="1">
      <alignment horizontal="center"/>
    </xf>
    <xf numFmtId="166" fontId="9" fillId="0" borderId="24" xfId="3" applyNumberFormat="1" applyFont="1" applyBorder="1" applyAlignment="1">
      <alignment horizontal="center"/>
    </xf>
    <xf numFmtId="166" fontId="9" fillId="0" borderId="0" xfId="3" applyNumberFormat="1" applyFont="1" applyAlignment="1">
      <alignment horizontal="center"/>
    </xf>
    <xf numFmtId="166" fontId="9" fillId="0" borderId="68" xfId="3" applyNumberFormat="1" applyFont="1" applyBorder="1" applyAlignment="1">
      <alignment horizontal="center"/>
    </xf>
    <xf numFmtId="165" fontId="11" fillId="3" borderId="1" xfId="0" applyFont="1" applyFill="1" applyBorder="1" applyAlignment="1">
      <alignment horizontal="center"/>
    </xf>
    <xf numFmtId="165" fontId="14" fillId="4" borderId="25" xfId="3" applyFont="1" applyFill="1" applyBorder="1" applyAlignment="1">
      <alignment horizontal="center" vertical="center"/>
    </xf>
    <xf numFmtId="165" fontId="14" fillId="4" borderId="26" xfId="3" applyFont="1" applyFill="1" applyBorder="1" applyAlignment="1">
      <alignment horizontal="center" vertical="center"/>
    </xf>
    <xf numFmtId="165" fontId="14" fillId="4" borderId="75" xfId="3" applyFont="1" applyFill="1" applyBorder="1" applyAlignment="1">
      <alignment horizontal="center" vertical="center"/>
    </xf>
    <xf numFmtId="165" fontId="14" fillId="4" borderId="63" xfId="3" applyFont="1" applyFill="1" applyBorder="1" applyAlignment="1">
      <alignment horizontal="center" vertical="center"/>
    </xf>
    <xf numFmtId="165" fontId="10" fillId="0" borderId="12" xfId="3" applyFont="1" applyBorder="1" applyAlignment="1">
      <alignment horizontal="center" vertical="center" wrapText="1"/>
    </xf>
    <xf numFmtId="165" fontId="14" fillId="4" borderId="0" xfId="3" applyFont="1" applyFill="1" applyAlignment="1">
      <alignment horizontal="center" vertical="center"/>
    </xf>
    <xf numFmtId="165" fontId="14" fillId="4" borderId="4" xfId="3" applyFont="1" applyFill="1" applyBorder="1" applyAlignment="1">
      <alignment horizontal="center" vertical="center"/>
    </xf>
    <xf numFmtId="165" fontId="8" fillId="0" borderId="53" xfId="3" applyBorder="1" applyAlignment="1">
      <alignment horizontal="center"/>
    </xf>
    <xf numFmtId="165" fontId="8" fillId="0" borderId="67" xfId="3" applyBorder="1" applyAlignment="1">
      <alignment horizontal="center"/>
    </xf>
    <xf numFmtId="15" fontId="41" fillId="0" borderId="44" xfId="3" applyNumberFormat="1" applyFont="1" applyBorder="1" applyAlignment="1">
      <alignment horizontal="center"/>
    </xf>
    <xf numFmtId="165" fontId="61" fillId="0" borderId="46" xfId="3" applyFont="1" applyBorder="1" applyAlignment="1">
      <alignment horizontal="center" vertical="center"/>
    </xf>
    <xf numFmtId="165" fontId="61" fillId="0" borderId="47" xfId="3" applyFont="1" applyBorder="1" applyAlignment="1">
      <alignment horizontal="center" vertical="center"/>
    </xf>
    <xf numFmtId="165" fontId="61" fillId="0" borderId="48" xfId="3" applyFont="1" applyBorder="1" applyAlignment="1">
      <alignment horizontal="center" vertic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8" fillId="0" borderId="2" xfId="3" applyBorder="1" applyAlignment="1">
      <alignment horizontal="center"/>
    </xf>
    <xf numFmtId="165" fontId="8" fillId="0" borderId="65" xfId="3" applyBorder="1" applyAlignment="1">
      <alignment horizontal="center"/>
    </xf>
    <xf numFmtId="165" fontId="41" fillId="0" borderId="6" xfId="3" applyFont="1" applyBorder="1" applyAlignment="1">
      <alignment horizontal="center" vertical="center" wrapText="1"/>
    </xf>
    <xf numFmtId="165" fontId="41" fillId="0" borderId="39" xfId="3" applyFont="1" applyBorder="1" applyAlignment="1">
      <alignment horizontal="center" vertical="center" wrapText="1"/>
    </xf>
    <xf numFmtId="165" fontId="41" fillId="0" borderId="7" xfId="3" applyFont="1" applyBorder="1" applyAlignment="1">
      <alignment horizontal="center" vertical="center" wrapText="1"/>
    </xf>
    <xf numFmtId="165" fontId="41" fillId="0" borderId="17" xfId="3" applyFont="1" applyBorder="1" applyAlignment="1">
      <alignment horizontal="center" vertical="center" wrapText="1"/>
    </xf>
    <xf numFmtId="165" fontId="41" fillId="0" borderId="62" xfId="3" applyFont="1" applyBorder="1" applyAlignment="1">
      <alignment horizontal="center" vertical="center" wrapText="1"/>
    </xf>
    <xf numFmtId="165" fontId="41" fillId="0" borderId="4" xfId="3" applyFont="1" applyBorder="1" applyAlignment="1">
      <alignment horizontal="center" vertical="center" wrapText="1"/>
    </xf>
    <xf numFmtId="165" fontId="41" fillId="0" borderId="2" xfId="3" applyFont="1" applyBorder="1" applyAlignment="1">
      <alignment horizontal="center"/>
    </xf>
    <xf numFmtId="165" fontId="41" fillId="0" borderId="65" xfId="3" applyFont="1" applyBorder="1" applyAlignment="1">
      <alignment horizontal="center"/>
    </xf>
    <xf numFmtId="2" fontId="8" fillId="0" borderId="55" xfId="3" applyNumberFormat="1" applyBorder="1" applyAlignment="1">
      <alignment horizontal="center"/>
    </xf>
    <xf numFmtId="2" fontId="8" fillId="0" borderId="56" xfId="3" applyNumberFormat="1" applyBorder="1" applyAlignment="1">
      <alignment horizontal="center"/>
    </xf>
    <xf numFmtId="165" fontId="41" fillId="0" borderId="23" xfId="3" applyFont="1" applyBorder="1" applyAlignment="1">
      <alignment horizontal="center" vertical="center"/>
    </xf>
    <xf numFmtId="165" fontId="41" fillId="0" borderId="34" xfId="3" applyFont="1" applyBorder="1" applyAlignment="1">
      <alignment horizontal="center" vertical="center"/>
    </xf>
    <xf numFmtId="165" fontId="41" fillId="0" borderId="55" xfId="3" applyFont="1" applyBorder="1" applyAlignment="1">
      <alignment horizontal="center" vertical="center"/>
    </xf>
    <xf numFmtId="165" fontId="41" fillId="0" borderId="64" xfId="3" applyFont="1" applyBorder="1" applyAlignment="1">
      <alignment horizontal="center" vertical="center"/>
    </xf>
    <xf numFmtId="165" fontId="41" fillId="0" borderId="5" xfId="3" applyFont="1" applyBorder="1" applyAlignment="1">
      <alignment horizontal="center" vertical="center" wrapText="1"/>
    </xf>
    <xf numFmtId="165" fontId="41" fillId="0" borderId="38" xfId="3" applyFont="1" applyBorder="1" applyAlignment="1">
      <alignment horizontal="center" vertical="center" wrapText="1"/>
    </xf>
    <xf numFmtId="165" fontId="40" fillId="0" borderId="0" xfId="3" applyFont="1" applyAlignment="1">
      <alignment horizontal="center"/>
    </xf>
    <xf numFmtId="165" fontId="8" fillId="0" borderId="0" xfId="3" applyAlignment="1">
      <alignment horizontal="left"/>
    </xf>
    <xf numFmtId="165" fontId="41" fillId="0" borderId="50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2" fillId="0" borderId="6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1" fillId="0" borderId="35" xfId="3" applyFont="1" applyBorder="1" applyAlignment="1">
      <alignment horizontal="center" vertical="center"/>
    </xf>
    <xf numFmtId="165" fontId="64" fillId="4" borderId="0" xfId="0" applyFont="1" applyFill="1" applyAlignment="1">
      <alignment horizontal="center"/>
    </xf>
    <xf numFmtId="165" fontId="76" fillId="0" borderId="0" xfId="0" applyFont="1" applyAlignment="1">
      <alignment horizontal="center" vertical="top"/>
    </xf>
    <xf numFmtId="165" fontId="65" fillId="20" borderId="41" xfId="0" applyFont="1" applyFill="1" applyBorder="1" applyAlignment="1">
      <alignment horizontal="left" vertical="center"/>
    </xf>
    <xf numFmtId="165" fontId="65" fillId="20" borderId="69" xfId="0" applyFont="1" applyFill="1" applyBorder="1" applyAlignment="1">
      <alignment horizontal="left" vertical="center"/>
    </xf>
    <xf numFmtId="165" fontId="65" fillId="20" borderId="69" xfId="0" applyFont="1" applyFill="1" applyBorder="1" applyAlignment="1">
      <alignment horizontal="center" vertical="center"/>
    </xf>
    <xf numFmtId="165" fontId="73" fillId="0" borderId="0" xfId="0" applyFont="1" applyAlignment="1">
      <alignment horizontal="center" vertical="top"/>
    </xf>
    <xf numFmtId="165" fontId="65" fillId="20" borderId="4" xfId="0" applyFont="1" applyFill="1" applyBorder="1" applyAlignment="1">
      <alignment horizontal="center" vertical="center"/>
    </xf>
    <xf numFmtId="165" fontId="65" fillId="20" borderId="4" xfId="0" applyFont="1" applyFill="1" applyBorder="1" applyAlignment="1">
      <alignment horizontal="left" vertical="center"/>
    </xf>
    <xf numFmtId="165" fontId="74" fillId="20" borderId="4" xfId="0" applyFont="1" applyFill="1" applyBorder="1" applyAlignment="1">
      <alignment horizontal="right" vertical="center"/>
    </xf>
  </cellXfs>
  <cellStyles count="17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Normal 3 2" xfId="15" xr:uid="{DC2ABFCD-8089-4D58-B99E-08E1FAD9FF32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3 2 2" xfId="13" xr:uid="{34DF29C9-CC1F-489C-9B5C-86DA23AE2EAD}"/>
    <cellStyle name="Percent 3 3" xfId="11" xr:uid="{53D3FD01-33B0-466D-ADE6-A919A36CECBE}"/>
    <cellStyle name="Percent 4" xfId="6" xr:uid="{4AD98EB2-9BB4-4842-A408-0E56A74ED11E}"/>
    <cellStyle name="Percent 4 2" xfId="8" xr:uid="{4E10984A-3ADE-4C2D-B6E7-76DD6D94E726}"/>
    <cellStyle name="Percent 4 2 2" xfId="14" xr:uid="{F0B979ED-7081-4CE5-AE73-A7A6E88041FF}"/>
    <cellStyle name="Percent 4 3" xfId="10" xr:uid="{01053475-F444-4128-81F2-2F08DC4F4A0B}"/>
    <cellStyle name="Percent 4 3 2" xfId="16" xr:uid="{53801A28-4BCE-44B4-904F-9AF37504C028}"/>
    <cellStyle name="Percent 4 4" xfId="12" xr:uid="{5B270DAE-7FD6-4620-B6C7-8E73E3C84DBE}"/>
  </cellStyles>
  <dxfs count="3635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8200"/>
      <color rgb="FF0000FF"/>
      <color rgb="FFCC3300"/>
      <color rgb="FFFF3300"/>
      <color rgb="FFFF0000"/>
      <color rgb="FFFF66FF"/>
      <color rgb="FFFF0066"/>
      <color rgb="FFFF9999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9.xml"/><Relationship Id="rId47" Type="http://schemas.openxmlformats.org/officeDocument/2006/relationships/externalLink" Target="externalLinks/externalLink24.xml"/><Relationship Id="rId63" Type="http://schemas.openxmlformats.org/officeDocument/2006/relationships/externalLink" Target="externalLinks/externalLink40.xml"/><Relationship Id="rId68" Type="http://schemas.openxmlformats.org/officeDocument/2006/relationships/externalLink" Target="externalLinks/externalLink45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22.xml"/><Relationship Id="rId53" Type="http://schemas.openxmlformats.org/officeDocument/2006/relationships/externalLink" Target="externalLinks/externalLink30.xml"/><Relationship Id="rId58" Type="http://schemas.openxmlformats.org/officeDocument/2006/relationships/externalLink" Target="externalLinks/externalLink35.xml"/><Relationship Id="rId66" Type="http://schemas.openxmlformats.org/officeDocument/2006/relationships/externalLink" Target="externalLinks/externalLink4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20.xml"/><Relationship Id="rId48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33.xml"/><Relationship Id="rId64" Type="http://schemas.openxmlformats.org/officeDocument/2006/relationships/externalLink" Target="externalLinks/externalLink41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8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23.xml"/><Relationship Id="rId59" Type="http://schemas.openxmlformats.org/officeDocument/2006/relationships/externalLink" Target="externalLinks/externalLink36.xml"/><Relationship Id="rId67" Type="http://schemas.openxmlformats.org/officeDocument/2006/relationships/externalLink" Target="externalLinks/externalLink4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Relationship Id="rId54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39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49" Type="http://schemas.openxmlformats.org/officeDocument/2006/relationships/externalLink" Target="externalLinks/externalLink26.xml"/><Relationship Id="rId57" Type="http://schemas.openxmlformats.org/officeDocument/2006/relationships/externalLink" Target="externalLinks/externalLink3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8.xml"/><Relationship Id="rId44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29.xml"/><Relationship Id="rId60" Type="http://schemas.openxmlformats.org/officeDocument/2006/relationships/externalLink" Target="externalLinks/externalLink37.xml"/><Relationship Id="rId65" Type="http://schemas.openxmlformats.org/officeDocument/2006/relationships/externalLink" Target="externalLinks/externalLink4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11.xml"/><Relationship Id="rId50" Type="http://schemas.openxmlformats.org/officeDocument/2006/relationships/externalLink" Target="externalLinks/externalLink27.xml"/><Relationship Id="rId55" Type="http://schemas.openxmlformats.org/officeDocument/2006/relationships/externalLink" Target="externalLinks/externalLink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CaribLog2026.xlsx" TargetMode="External"/><Relationship Id="rId2" Type="http://schemas.openxmlformats.org/officeDocument/2006/relationships/externalLinkPath" Target="file:///F:\Operations\Brewing\Logbooks\Logbooks%202026\NewCaribLog2026.xlsx" TargetMode="External"/><Relationship Id="rId1" Type="http://schemas.openxmlformats.org/officeDocument/2006/relationships/externalLinkPath" Target="/Operations/Brewing/Logbooks/Logbooks%202026/NewCaribLog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tagLog2026.xls" TargetMode="External"/><Relationship Id="rId2" Type="http://schemas.openxmlformats.org/officeDocument/2006/relationships/externalLinkPath" Target="file:///F:\Operations\Brewing\Logbooks\Logbooks%202026\NewStagLog2026.xls" TargetMode="External"/><Relationship Id="rId1" Type="http://schemas.openxmlformats.org/officeDocument/2006/relationships/externalLinkPath" Target="/Operations/Brewing/Logbooks/Logbooks%202026/NewStagLog2026.xls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GuinnLog2026.xls" TargetMode="External"/><Relationship Id="rId2" Type="http://schemas.openxmlformats.org/officeDocument/2006/relationships/externalLinkPath" Target="file:///F:\Operations\Brewing\Logbooks\Logbooks%202026\NewGuinnLog2026.xls" TargetMode="External"/><Relationship Id="rId1" Type="http://schemas.openxmlformats.org/officeDocument/2006/relationships/externalLinkPath" Target="/Operations/Brewing/Logbooks/Logbooks%202026/NewGuinnLog2026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VMaltLog2026.xls" TargetMode="External"/><Relationship Id="rId2" Type="http://schemas.openxmlformats.org/officeDocument/2006/relationships/externalLinkPath" Target="file:///F:\Operations\Brewing\Logbooks\Logbooks%202026\NewVMaltLog2026.xls" TargetMode="External"/><Relationship Id="rId1" Type="http://schemas.openxmlformats.org/officeDocument/2006/relationships/externalLinkPath" Target="/Operations/Brewing/Logbooks/Logbooks%202026/NewVMaltLog2026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MackLog2026.xls" TargetMode="External"/><Relationship Id="rId2" Type="http://schemas.openxmlformats.org/officeDocument/2006/relationships/externalLinkPath" Target="file:///F:\Operations\Brewing\Logbooks\Logbooks%202026\NewMackLog2026.xls" TargetMode="External"/><Relationship Id="rId1" Type="http://schemas.openxmlformats.org/officeDocument/2006/relationships/externalLinkPath" Target="/Operations/Brewing/Logbooks/Logbooks%202026/NewMackLog2026.xls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MaltLog2026.xls" TargetMode="External"/><Relationship Id="rId2" Type="http://schemas.openxmlformats.org/officeDocument/2006/relationships/externalLinkPath" Target="file:///F:\Operations\Brewing\Logbooks\Logbooks%202026\NewSMaltLog2026.xls" TargetMode="External"/><Relationship Id="rId1" Type="http://schemas.openxmlformats.org/officeDocument/2006/relationships/externalLinkPath" Target="/Operations/Brewing/Logbooks/Logbooks%202026/NewSMaltLog202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anuary%20'26%20Daily%20Process%20Report%202026.xlsx" TargetMode="External"/><Relationship Id="rId1" Type="http://schemas.openxmlformats.org/officeDocument/2006/relationships/externalLinkPath" Target="January%20'26%20Daily%20Process%20Report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February%20'26%20Daily%20Process%20Report%202026.xlsx" TargetMode="External"/><Relationship Id="rId1" Type="http://schemas.openxmlformats.org/officeDocument/2006/relationships/externalLinkPath" Target="February%20'26%20Daily%20Process%20Report%202026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rch'26%20Daily%20Process%20Report%202026.xlsx" TargetMode="External"/><Relationship Id="rId1" Type="http://schemas.openxmlformats.org/officeDocument/2006/relationships/externalLinkPath" Target="March'26%20Daily%20Process%20Report%202026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April%20'26%20Daily%20Process%20Report%202026.xlsx" TargetMode="External"/><Relationship Id="rId1" Type="http://schemas.openxmlformats.org/officeDocument/2006/relationships/externalLinkPath" Target="April%20'26%20Daily%20Process%20Report%202026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y'26%20Daily%20Process%20Report%202026.xlsx" TargetMode="External"/><Relationship Id="rId1" Type="http://schemas.openxmlformats.org/officeDocument/2006/relationships/externalLinkPath" Target="May'26%20Daily%20Process%20Report%202026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une'26%20Daily%20Process%20Report%202026.xlsx" TargetMode="External"/><Relationship Id="rId1" Type="http://schemas.openxmlformats.org/officeDocument/2006/relationships/externalLinkPath" Target="June'26%20Daily%20Process%20Report%202026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uly'26%20Daily%20Process%20Report%202026.xlsx" TargetMode="External"/><Relationship Id="rId1" Type="http://schemas.openxmlformats.org/officeDocument/2006/relationships/externalLinkPath" Target="July'26%20Daily%20Process%20Report%202026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August'26%20Daily%20Process%20Report%202026.xlsx" TargetMode="External"/><Relationship Id="rId1" Type="http://schemas.openxmlformats.org/officeDocument/2006/relationships/externalLinkPath" Target="August'26%20Daily%20Process%20Report%202026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6.xls" TargetMode="External"/><Relationship Id="rId2" Type="http://schemas.openxmlformats.org/officeDocument/2006/relationships/externalLinkPath" Target="file:///F:\Operations\Reshelle\Brewing\Daily_Brewhouse_Efficiency\Daily_Brewhouse_Efficiency_2026.xls" TargetMode="External"/><Relationship Id="rId1" Type="http://schemas.openxmlformats.org/officeDocument/2006/relationships/externalLinkPath" Target="/Operations/Reshelle/Brewing/Daily_Brewhouse_Efficiency/Daily_Brewhouse_Efficiency_2026.xls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6.xlsx" TargetMode="External"/><Relationship Id="rId2" Type="http://schemas.openxmlformats.org/officeDocument/2006/relationships/externalLinkPath" Target="file:///F:\Operations\Reshelle\Brewing\Filtration_Throughput\Filtration_Throughput_2026.xlsx" TargetMode="External"/><Relationship Id="rId1" Type="http://schemas.openxmlformats.org/officeDocument/2006/relationships/externalLinkPath" Target="/Operations/Reshelle/Brewing/Filtration_Throughput/Filtration_Throughput_2026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Filtration_Throughput/Filtration_Throughput_2019.xlsx" TargetMode="External"/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CaribLog2022.xlsx" TargetMode="External"/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tagLog2022.xls" TargetMode="External"/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GuinnLog2022.xls" TargetMode="External"/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VMaltLog2022.xls" TargetMode="External"/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MackLog2022.xls" TargetMode="External"/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MaltLog2022.xls" TargetMode="External"/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HRLog2022.xls" TargetMode="External"/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an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Febr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March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March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pril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pril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ne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l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ugust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October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3.xls" TargetMode="External"/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3.xlsx" TargetMode="External"/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Daily_Brewhouse_Efficiency/Daily_Brewhouse_Efficiency_2022.xls" TargetMode="External"/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osses%202026/September_2026.xls" TargetMode="External"/><Relationship Id="rId2" Type="http://schemas.openxmlformats.org/officeDocument/2006/relationships/externalLinkPath" Target="file:///F:\Operations\Brewing\Reports%20Local\Losses%202026\September_2026.xls" TargetMode="External"/><Relationship Id="rId1" Type="http://schemas.openxmlformats.org/officeDocument/2006/relationships/externalLinkPath" Target="/Operations/Brewing/Reports%20Local/Losses%202026/September_202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VMaltLog.xls" TargetMode="External"/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4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MMaltLog.xls" TargetMode="External"/><Relationship Id="rId2" Type="http://schemas.openxmlformats.org/officeDocument/2006/relationships/externalLinkPath" Target="file:///F:\Operations\Brewing\Logbooks\NewMMaltLog.xls" TargetMode="External"/><Relationship Id="rId1" Type="http://schemas.openxmlformats.org/officeDocument/2006/relationships/externalLinkPath" Target="/Operations/Brewing/Logbooks/NewMMaltLog.xls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2%20Daily%20Process%20Report/January%20'22%20Daily%20Process%20Report%202022.xlsx" TargetMode="External"/><Relationship Id="rId2" Type="http://schemas.openxmlformats.org/officeDocument/2006/relationships/externalLinkPath" Target="file:///F:\Operations\Brewing\Reports%20Local\Daily%20Process%20Report\2022%20Daily%20Process%20Report\Jan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4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2%20Daily%20Process%20Report/February%20'22%20Daily%20Process%20Report%202022.xlsx" TargetMode="External"/><Relationship Id="rId2" Type="http://schemas.openxmlformats.org/officeDocument/2006/relationships/externalLinkPath" Target="file:///F:\Operations\Brewing\Reports%20Local\Daily%20Process%20Report\2022%20Daily%20Process%20Report\Febr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5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2%20Daily%20Process%20Report/May%20'22%20Daily%20Process%20Report%202022.xlsx" TargetMode="External"/><Relationship Id="rId2" Type="http://schemas.openxmlformats.org/officeDocument/2006/relationships/externalLinkPath" Target="file:///F:\Operations\Brewing\Reports%20Local\Daily%20Process%20Report\2022%20Daily%20Process%20Report\Ma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ackaging"/>
      <sheetName val="Process"/>
      <sheetName val="Summary September '26"/>
      <sheetName val="Summary August '26 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</sheetNames>
    <sheetDataSet>
      <sheetData sheetId="0"/>
      <sheetData sheetId="1"/>
      <sheetData sheetId="2"/>
      <sheetData sheetId="3"/>
      <sheetData sheetId="4"/>
      <sheetData sheetId="5">
        <row r="42">
          <cell r="AU42">
            <v>98.774703764205327</v>
          </cell>
        </row>
        <row r="43">
          <cell r="AU43">
            <v>99.746895730388445</v>
          </cell>
        </row>
        <row r="44">
          <cell r="AU44">
            <v>99.480491014553465</v>
          </cell>
        </row>
        <row r="45">
          <cell r="AU45">
            <v>99.359192252045119</v>
          </cell>
        </row>
        <row r="46">
          <cell r="AU46">
            <v>94.942986581581494</v>
          </cell>
        </row>
        <row r="47">
          <cell r="AU47">
            <v>99.744059513955506</v>
          </cell>
        </row>
        <row r="48">
          <cell r="AU48">
            <v>100.99522335236702</v>
          </cell>
        </row>
        <row r="49">
          <cell r="AU49">
            <v>96.38510978729046</v>
          </cell>
        </row>
        <row r="50">
          <cell r="AU50">
            <v>96.854916965661218</v>
          </cell>
        </row>
        <row r="51">
          <cell r="AU51">
            <v>97.756974250197359</v>
          </cell>
        </row>
        <row r="52">
          <cell r="AU52">
            <v>98.280554742749217</v>
          </cell>
        </row>
        <row r="53">
          <cell r="AU53">
            <v>96.13324085965202</v>
          </cell>
        </row>
        <row r="54">
          <cell r="AU54">
            <v>93.879203465211987</v>
          </cell>
        </row>
        <row r="55">
          <cell r="AU55">
            <v>95.350414753836105</v>
          </cell>
        </row>
        <row r="56">
          <cell r="AU56">
            <v>96.220784779412256</v>
          </cell>
        </row>
        <row r="57">
          <cell r="AU57">
            <v>98.599549107933044</v>
          </cell>
        </row>
        <row r="58">
          <cell r="AU58">
            <v>97.224654996866249</v>
          </cell>
        </row>
        <row r="59">
          <cell r="AU59">
            <v>97.214744342532583</v>
          </cell>
        </row>
        <row r="60">
          <cell r="AU60">
            <v>99.947116466554263</v>
          </cell>
        </row>
        <row r="61">
          <cell r="AU61">
            <v>98.532094795334359</v>
          </cell>
        </row>
        <row r="62">
          <cell r="AU62">
            <v>93.409868719251207</v>
          </cell>
        </row>
        <row r="63">
          <cell r="AU63">
            <v>99.155044731309943</v>
          </cell>
        </row>
        <row r="64">
          <cell r="AU64">
            <v>97.421068441304371</v>
          </cell>
        </row>
        <row r="65">
          <cell r="AU65">
            <v>96.397222195852265</v>
          </cell>
        </row>
        <row r="66">
          <cell r="AU66">
            <v>100.46145390412471</v>
          </cell>
        </row>
        <row r="67">
          <cell r="AU67">
            <v>98.998214709308328</v>
          </cell>
        </row>
        <row r="68">
          <cell r="AU68">
            <v>97.857422068578444</v>
          </cell>
        </row>
        <row r="69">
          <cell r="AU69">
            <v>97.436062166815688</v>
          </cell>
        </row>
        <row r="70">
          <cell r="AU70">
            <v>96.910477582354332</v>
          </cell>
        </row>
        <row r="71">
          <cell r="AU71">
            <v>98.960439575055489</v>
          </cell>
        </row>
        <row r="72">
          <cell r="AU72">
            <v>102.29507421858402</v>
          </cell>
        </row>
        <row r="73">
          <cell r="AU73">
            <v>99.640437653385277</v>
          </cell>
        </row>
        <row r="74">
          <cell r="AU74">
            <v>82.328169468585017</v>
          </cell>
        </row>
        <row r="75">
          <cell r="AU75">
            <v>97.674289949528585</v>
          </cell>
        </row>
        <row r="76">
          <cell r="AU76">
            <v>107.03141163467369</v>
          </cell>
        </row>
        <row r="77">
          <cell r="AU77">
            <v>95.236008152799599</v>
          </cell>
        </row>
        <row r="78">
          <cell r="AU78">
            <v>93.827567679359049</v>
          </cell>
        </row>
        <row r="79">
          <cell r="AU79">
            <v>95.896687100312732</v>
          </cell>
        </row>
        <row r="80">
          <cell r="AU80">
            <v>99.738925134433643</v>
          </cell>
        </row>
        <row r="81">
          <cell r="AU81">
            <v>100.16530562302518</v>
          </cell>
        </row>
        <row r="82">
          <cell r="AU82">
            <v>99.736526583941028</v>
          </cell>
        </row>
        <row r="83">
          <cell r="AU83">
            <v>99.664029210937514</v>
          </cell>
        </row>
        <row r="84">
          <cell r="AU84">
            <v>100.01748335846912</v>
          </cell>
        </row>
        <row r="85">
          <cell r="AU85">
            <v>102.59219085086538</v>
          </cell>
        </row>
        <row r="86">
          <cell r="AU86">
            <v>102.5433340471773</v>
          </cell>
        </row>
        <row r="87">
          <cell r="AU87">
            <v>96.805164931106077</v>
          </cell>
        </row>
        <row r="88">
          <cell r="AU88">
            <v>95.467350978288906</v>
          </cell>
        </row>
        <row r="89">
          <cell r="AU89">
            <v>101.53064235241746</v>
          </cell>
        </row>
        <row r="90">
          <cell r="AU90">
            <v>99.843022353876989</v>
          </cell>
        </row>
        <row r="91">
          <cell r="AU91">
            <v>101.2321550320278</v>
          </cell>
        </row>
        <row r="92">
          <cell r="AU92">
            <v>101.42626155454937</v>
          </cell>
        </row>
        <row r="93">
          <cell r="AU93">
            <v>100.44724358587611</v>
          </cell>
        </row>
        <row r="94">
          <cell r="AU94">
            <v>102.05296320797829</v>
          </cell>
        </row>
        <row r="95">
          <cell r="AU95">
            <v>95.560767955537841</v>
          </cell>
        </row>
        <row r="96">
          <cell r="AU96">
            <v>95.858476381615304</v>
          </cell>
        </row>
        <row r="97">
          <cell r="AU97">
            <v>93.414689526206047</v>
          </cell>
        </row>
        <row r="98">
          <cell r="AU98">
            <v>99.986346763685134</v>
          </cell>
        </row>
        <row r="99">
          <cell r="AU99">
            <v>99.177482096170877</v>
          </cell>
        </row>
        <row r="100">
          <cell r="AU100">
            <v>97.509880366294198</v>
          </cell>
        </row>
        <row r="101">
          <cell r="AU101">
            <v>101.75095732104258</v>
          </cell>
        </row>
        <row r="102">
          <cell r="AU102">
            <v>99.415120817930529</v>
          </cell>
        </row>
        <row r="103">
          <cell r="AU103">
            <v>99.662908503532648</v>
          </cell>
        </row>
        <row r="104">
          <cell r="AU104">
            <v>96.575602446302355</v>
          </cell>
        </row>
        <row r="105">
          <cell r="AU105">
            <v>95.507567677953077</v>
          </cell>
        </row>
        <row r="106">
          <cell r="AU106">
            <v>97.819710364525065</v>
          </cell>
        </row>
        <row r="107">
          <cell r="AU107">
            <v>93.737546450558312</v>
          </cell>
        </row>
        <row r="108">
          <cell r="AU108">
            <v>96.679439674001571</v>
          </cell>
        </row>
        <row r="109">
          <cell r="AU109">
            <v>96.344074013646235</v>
          </cell>
        </row>
        <row r="110">
          <cell r="AU110">
            <v>96.969073122994232</v>
          </cell>
        </row>
        <row r="111">
          <cell r="AU111">
            <v>98.413757188601139</v>
          </cell>
        </row>
        <row r="112">
          <cell r="AU112">
            <v>96.361633561905379</v>
          </cell>
        </row>
        <row r="113">
          <cell r="AU113">
            <v>97.5202904784814</v>
          </cell>
        </row>
        <row r="114">
          <cell r="AU114">
            <v>97.851490534465384</v>
          </cell>
        </row>
        <row r="115">
          <cell r="AU115">
            <v>96.702752232561977</v>
          </cell>
        </row>
        <row r="116">
          <cell r="AU116">
            <v>96.254729187993746</v>
          </cell>
        </row>
        <row r="117">
          <cell r="AU117">
            <v>98.215110637851069</v>
          </cell>
        </row>
        <row r="118">
          <cell r="AU118">
            <v>95.664747463751866</v>
          </cell>
        </row>
        <row r="119">
          <cell r="AU119">
            <v>95.472649577278474</v>
          </cell>
        </row>
        <row r="120">
          <cell r="AU120">
            <v>92.499443839985332</v>
          </cell>
        </row>
        <row r="121">
          <cell r="AU121">
            <v>101.81766752472274</v>
          </cell>
        </row>
        <row r="122">
          <cell r="AU122">
            <v>99.504012001826652</v>
          </cell>
        </row>
        <row r="123">
          <cell r="AU123">
            <v>99.783415797736893</v>
          </cell>
        </row>
        <row r="125">
          <cell r="AU125">
            <v>94.991214982303461</v>
          </cell>
        </row>
        <row r="126">
          <cell r="AU126">
            <v>98.081652776220835</v>
          </cell>
        </row>
        <row r="127">
          <cell r="AU127">
            <v>98.458827461721384</v>
          </cell>
        </row>
        <row r="128">
          <cell r="AU128">
            <v>95.824043987091741</v>
          </cell>
        </row>
        <row r="129">
          <cell r="AU129">
            <v>98.44333422721418</v>
          </cell>
        </row>
        <row r="130">
          <cell r="AU130">
            <v>100.21447484042207</v>
          </cell>
        </row>
        <row r="131">
          <cell r="AU131">
            <v>93.572296329201976</v>
          </cell>
        </row>
        <row r="132">
          <cell r="AU132">
            <v>99.628123440277676</v>
          </cell>
        </row>
        <row r="133">
          <cell r="AU133">
            <v>93.047268518820289</v>
          </cell>
        </row>
        <row r="134">
          <cell r="AU134">
            <v>98.00301242081278</v>
          </cell>
        </row>
        <row r="135">
          <cell r="AU135">
            <v>98.750429944987545</v>
          </cell>
        </row>
        <row r="136">
          <cell r="AU136">
            <v>100.69196814542862</v>
          </cell>
        </row>
        <row r="137">
          <cell r="AU137">
            <v>96.996599085521808</v>
          </cell>
        </row>
        <row r="138">
          <cell r="AU138">
            <v>97.499189767162704</v>
          </cell>
        </row>
        <row r="139">
          <cell r="AU139">
            <v>98.065329347096849</v>
          </cell>
        </row>
        <row r="140">
          <cell r="AU140">
            <v>100.56885966131995</v>
          </cell>
        </row>
        <row r="141">
          <cell r="AU141">
            <v>99.310564104752999</v>
          </cell>
        </row>
        <row r="142">
          <cell r="AU142">
            <v>81.813106414231768</v>
          </cell>
        </row>
        <row r="143">
          <cell r="AU143">
            <v>74.681377386116381</v>
          </cell>
        </row>
        <row r="144">
          <cell r="AU144">
            <v>99.596822865747242</v>
          </cell>
        </row>
        <row r="145">
          <cell r="AU145">
            <v>98.361425847158671</v>
          </cell>
        </row>
        <row r="146">
          <cell r="AU146">
            <v>102.80934079529675</v>
          </cell>
        </row>
        <row r="147">
          <cell r="AU147">
            <v>104.32736945451965</v>
          </cell>
        </row>
        <row r="148">
          <cell r="AU148">
            <v>102.41832780758313</v>
          </cell>
        </row>
        <row r="149">
          <cell r="AU149">
            <v>102.65008917352358</v>
          </cell>
        </row>
        <row r="150">
          <cell r="AU150">
            <v>98.351271471428475</v>
          </cell>
        </row>
        <row r="151">
          <cell r="AU151">
            <v>95.527089538140444</v>
          </cell>
        </row>
        <row r="152">
          <cell r="AU152">
            <v>98.791770353169028</v>
          </cell>
        </row>
        <row r="153">
          <cell r="AU153">
            <v>92.525215393532562</v>
          </cell>
        </row>
        <row r="154">
          <cell r="AU154">
            <v>98.286412743082607</v>
          </cell>
        </row>
        <row r="155">
          <cell r="AU155">
            <v>95.699273266512037</v>
          </cell>
        </row>
        <row r="156">
          <cell r="AU156">
            <v>96.200448437262068</v>
          </cell>
        </row>
        <row r="157">
          <cell r="AU157">
            <v>93.020726759402706</v>
          </cell>
        </row>
        <row r="158">
          <cell r="AU158">
            <v>96.412047269582672</v>
          </cell>
        </row>
        <row r="159">
          <cell r="AU159">
            <v>97.250520471561614</v>
          </cell>
        </row>
        <row r="160">
          <cell r="AU160">
            <v>98.1438476329579</v>
          </cell>
        </row>
        <row r="161">
          <cell r="AU161">
            <v>93.52608739149872</v>
          </cell>
        </row>
        <row r="162">
          <cell r="AU162">
            <v>101.12603213986264</v>
          </cell>
        </row>
        <row r="163">
          <cell r="AU163">
            <v>100.33640509948549</v>
          </cell>
        </row>
        <row r="164">
          <cell r="AU164">
            <v>100.85036161508521</v>
          </cell>
        </row>
        <row r="165">
          <cell r="AU165">
            <v>95.502024957607773</v>
          </cell>
        </row>
        <row r="166">
          <cell r="AU166">
            <v>94.342162395109455</v>
          </cell>
        </row>
        <row r="167">
          <cell r="AU167">
            <v>99.071689760585087</v>
          </cell>
        </row>
        <row r="168">
          <cell r="AU168">
            <v>98.514796568176052</v>
          </cell>
        </row>
        <row r="169">
          <cell r="AU169">
            <v>96.024272843684003</v>
          </cell>
        </row>
        <row r="170">
          <cell r="AU170">
            <v>98.175529465436611</v>
          </cell>
        </row>
        <row r="171">
          <cell r="AU171">
            <v>102.72843364793638</v>
          </cell>
        </row>
        <row r="172">
          <cell r="AU172">
            <v>97.857596270649012</v>
          </cell>
        </row>
        <row r="173">
          <cell r="AU173">
            <v>96.511183978216323</v>
          </cell>
        </row>
        <row r="174">
          <cell r="AU174">
            <v>96.273917789076862</v>
          </cell>
        </row>
        <row r="175">
          <cell r="AU175">
            <v>96.763833489372473</v>
          </cell>
        </row>
        <row r="176">
          <cell r="AU176">
            <v>98.253731658657813</v>
          </cell>
        </row>
        <row r="177">
          <cell r="AU177">
            <v>96.225557296455349</v>
          </cell>
        </row>
        <row r="178">
          <cell r="AU178">
            <v>95.76386603519768</v>
          </cell>
        </row>
        <row r="179">
          <cell r="AU179">
            <v>97.861559996128506</v>
          </cell>
        </row>
        <row r="180">
          <cell r="AU180">
            <v>98.551754908063671</v>
          </cell>
        </row>
        <row r="181">
          <cell r="AU181">
            <v>90.189295198187452</v>
          </cell>
        </row>
        <row r="182">
          <cell r="AU182">
            <v>99.950041431757512</v>
          </cell>
        </row>
        <row r="183">
          <cell r="AU183">
            <v>97.547980983941912</v>
          </cell>
        </row>
        <row r="184">
          <cell r="AU184">
            <v>97.02181756168649</v>
          </cell>
        </row>
        <row r="185">
          <cell r="AU185">
            <v>97.515157399606437</v>
          </cell>
        </row>
        <row r="186">
          <cell r="AU186">
            <v>95.404393473874009</v>
          </cell>
        </row>
        <row r="187">
          <cell r="AU187">
            <v>99.138574114682569</v>
          </cell>
        </row>
        <row r="188">
          <cell r="AU188">
            <v>97.371494370242544</v>
          </cell>
        </row>
        <row r="198">
          <cell r="AU198">
            <v>96.242072087973199</v>
          </cell>
        </row>
        <row r="199">
          <cell r="AU199">
            <v>98.87254747107896</v>
          </cell>
        </row>
        <row r="200">
          <cell r="AU200">
            <v>101.57164076036193</v>
          </cell>
        </row>
        <row r="201">
          <cell r="AU201">
            <v>99.130786137236072</v>
          </cell>
        </row>
        <row r="202">
          <cell r="AU202">
            <v>94.664735774609312</v>
          </cell>
        </row>
        <row r="203">
          <cell r="AU203">
            <v>98.211317122475975</v>
          </cell>
        </row>
        <row r="204">
          <cell r="AU204">
            <v>96.718815813314833</v>
          </cell>
        </row>
        <row r="205">
          <cell r="AU205">
            <v>99.681744479307142</v>
          </cell>
        </row>
        <row r="206">
          <cell r="AU206">
            <v>96.837780355457184</v>
          </cell>
        </row>
        <row r="207">
          <cell r="AU207">
            <v>101.84066195473321</v>
          </cell>
        </row>
        <row r="208">
          <cell r="AU208">
            <v>98.972363799020584</v>
          </cell>
        </row>
        <row r="209">
          <cell r="AU209">
            <v>97.717648278528927</v>
          </cell>
        </row>
        <row r="210">
          <cell r="AU210">
            <v>95.753750342141842</v>
          </cell>
        </row>
        <row r="211">
          <cell r="AU211">
            <v>98.477078860461759</v>
          </cell>
        </row>
        <row r="212">
          <cell r="AU212">
            <v>98.060574842581516</v>
          </cell>
        </row>
        <row r="213">
          <cell r="AU213">
            <v>98.477078860461759</v>
          </cell>
        </row>
        <row r="214">
          <cell r="AU214">
            <v>96.84005415922779</v>
          </cell>
        </row>
        <row r="215">
          <cell r="AU215">
            <v>100.25557474160721</v>
          </cell>
        </row>
        <row r="216">
          <cell r="AU216">
            <v>97.982769910971371</v>
          </cell>
        </row>
        <row r="217">
          <cell r="AU217">
            <v>98.499505757279664</v>
          </cell>
        </row>
        <row r="218">
          <cell r="AU218">
            <v>94.764649300245921</v>
          </cell>
        </row>
        <row r="219">
          <cell r="AU219">
            <v>114.82483845154799</v>
          </cell>
        </row>
        <row r="220">
          <cell r="AU220">
            <v>98.182619925802825</v>
          </cell>
        </row>
        <row r="221">
          <cell r="AU221">
            <v>98.728037202201719</v>
          </cell>
        </row>
        <row r="222">
          <cell r="AU222">
            <v>98.865584270828393</v>
          </cell>
        </row>
        <row r="223">
          <cell r="AU223">
            <v>94.960805086604111</v>
          </cell>
        </row>
        <row r="224">
          <cell r="AU224">
            <v>94.654963762652073</v>
          </cell>
        </row>
        <row r="225">
          <cell r="AU225">
            <v>97.983517470033405</v>
          </cell>
        </row>
        <row r="226">
          <cell r="AU226">
            <v>97.134089873786564</v>
          </cell>
        </row>
        <row r="227">
          <cell r="AU227">
            <v>97.825601678018998</v>
          </cell>
        </row>
        <row r="228">
          <cell r="AU228">
            <v>98.868627192961327</v>
          </cell>
        </row>
        <row r="229">
          <cell r="AU229">
            <v>98.076814194365696</v>
          </cell>
        </row>
        <row r="230">
          <cell r="AU230">
            <v>99.593534238465153</v>
          </cell>
        </row>
        <row r="231">
          <cell r="AU231">
            <v>96.043228742840341</v>
          </cell>
        </row>
        <row r="232">
          <cell r="AU232">
            <v>93.852195272622652</v>
          </cell>
        </row>
        <row r="233">
          <cell r="AU233">
            <v>97.973702378244013</v>
          </cell>
        </row>
        <row r="234">
          <cell r="AU234">
            <v>97.595557441238071</v>
          </cell>
        </row>
        <row r="235">
          <cell r="AU235">
            <v>99.011089727354573</v>
          </cell>
        </row>
        <row r="236">
          <cell r="AU236">
            <v>97.622156604926758</v>
          </cell>
        </row>
        <row r="237">
          <cell r="AU237">
            <v>98.713591365675498</v>
          </cell>
        </row>
        <row r="238">
          <cell r="AU238">
            <v>96.451431959126339</v>
          </cell>
        </row>
        <row r="239">
          <cell r="AU239">
            <v>97.225318569947376</v>
          </cell>
        </row>
        <row r="240">
          <cell r="AU240">
            <v>97.302716492359181</v>
          </cell>
        </row>
        <row r="241">
          <cell r="AU241">
            <v>96.377175001990878</v>
          </cell>
        </row>
        <row r="242">
          <cell r="AU242">
            <v>98.562914042619013</v>
          </cell>
        </row>
        <row r="243">
          <cell r="AU243">
            <v>97.595442540704411</v>
          </cell>
        </row>
        <row r="244">
          <cell r="AU244">
            <v>100.18284509194719</v>
          </cell>
        </row>
        <row r="245">
          <cell r="AU245">
            <v>96.311853798954317</v>
          </cell>
        </row>
        <row r="246">
          <cell r="AU246">
            <v>96.096956507805032</v>
          </cell>
        </row>
        <row r="247">
          <cell r="AU247">
            <v>99.508128433796273</v>
          </cell>
        </row>
        <row r="248">
          <cell r="AU248">
            <v>94.924305937938897</v>
          </cell>
        </row>
        <row r="249">
          <cell r="AU249">
            <v>97.266996516441111</v>
          </cell>
        </row>
        <row r="250">
          <cell r="AU250">
            <v>101.97538590361592</v>
          </cell>
        </row>
        <row r="251">
          <cell r="AU251">
            <v>93.260037484866757</v>
          </cell>
        </row>
        <row r="252">
          <cell r="AU252">
            <v>97.506312070474038</v>
          </cell>
        </row>
        <row r="253">
          <cell r="AU253">
            <v>97.162294174609158</v>
          </cell>
        </row>
        <row r="254">
          <cell r="AU254">
            <v>99.189410098175131</v>
          </cell>
        </row>
        <row r="255">
          <cell r="AU255">
            <v>96.590809413258498</v>
          </cell>
        </row>
        <row r="256">
          <cell r="AU256">
            <v>104.8589466494704</v>
          </cell>
        </row>
        <row r="257">
          <cell r="AU257">
            <v>98.830299448787045</v>
          </cell>
        </row>
        <row r="258">
          <cell r="AU258">
            <v>98.040070014500969</v>
          </cell>
        </row>
        <row r="259">
          <cell r="AU259">
            <v>99.708815326021792</v>
          </cell>
        </row>
        <row r="260">
          <cell r="AU260">
            <v>97.755708503233933</v>
          </cell>
        </row>
        <row r="261">
          <cell r="AU261">
            <v>97.407767694541405</v>
          </cell>
        </row>
        <row r="262">
          <cell r="AU262">
            <v>98.655643022911761</v>
          </cell>
        </row>
        <row r="263">
          <cell r="AU263">
            <v>95.847937505992363</v>
          </cell>
        </row>
        <row r="264">
          <cell r="AU264">
            <v>96.904607911463032</v>
          </cell>
        </row>
        <row r="265">
          <cell r="AU265">
            <v>97.843989874471959</v>
          </cell>
        </row>
        <row r="266">
          <cell r="AU266">
            <v>97.685025256417518</v>
          </cell>
        </row>
        <row r="267">
          <cell r="AU267">
            <v>101.44067430211668</v>
          </cell>
        </row>
        <row r="268">
          <cell r="AU268">
            <v>97.441660983042127</v>
          </cell>
        </row>
        <row r="269">
          <cell r="AU269">
            <v>96.686043099880422</v>
          </cell>
        </row>
        <row r="270">
          <cell r="AU270">
            <v>99.558186680524798</v>
          </cell>
        </row>
        <row r="271">
          <cell r="AU271">
            <v>100.34481040419453</v>
          </cell>
        </row>
        <row r="272">
          <cell r="AU272">
            <v>99.932598886125291</v>
          </cell>
        </row>
        <row r="273">
          <cell r="AU273">
            <v>97.05962214993248</v>
          </cell>
        </row>
        <row r="274">
          <cell r="AU274">
            <v>98.473296044522911</v>
          </cell>
        </row>
        <row r="275">
          <cell r="AU275">
            <v>96.821336097738467</v>
          </cell>
        </row>
        <row r="276">
          <cell r="AU276">
            <v>94.526889247991434</v>
          </cell>
        </row>
        <row r="277">
          <cell r="AU277">
            <v>99.232478638628749</v>
          </cell>
        </row>
        <row r="278">
          <cell r="AU278">
            <v>97.771866547676723</v>
          </cell>
        </row>
        <row r="279">
          <cell r="AU279">
            <v>98.557950595645067</v>
          </cell>
        </row>
        <row r="280">
          <cell r="AU280">
            <v>99.798300055092355</v>
          </cell>
        </row>
        <row r="281">
          <cell r="AU281">
            <v>99.38157832321258</v>
          </cell>
        </row>
        <row r="282">
          <cell r="AU282">
            <v>98.434186024142619</v>
          </cell>
        </row>
        <row r="283">
          <cell r="AU283">
            <v>98.376488030672363</v>
          </cell>
        </row>
        <row r="284">
          <cell r="AU284">
            <v>107.26927617311497</v>
          </cell>
        </row>
        <row r="285">
          <cell r="AU285">
            <v>104.13717497046395</v>
          </cell>
        </row>
        <row r="286">
          <cell r="AU286">
            <v>95.960980995714607</v>
          </cell>
        </row>
        <row r="287">
          <cell r="AU287">
            <v>98.780662674884439</v>
          </cell>
        </row>
        <row r="288">
          <cell r="AU288">
            <v>97.564314880534255</v>
          </cell>
        </row>
        <row r="289">
          <cell r="AU289">
            <v>98.861130500688475</v>
          </cell>
        </row>
        <row r="290">
          <cell r="AU290">
            <v>99.745630863635611</v>
          </cell>
        </row>
        <row r="292">
          <cell r="AU292">
            <v>97.704199504233429</v>
          </cell>
        </row>
        <row r="293">
          <cell r="AU293">
            <v>97.979907272741045</v>
          </cell>
        </row>
        <row r="294">
          <cell r="AU294">
            <v>99.895350375578587</v>
          </cell>
        </row>
        <row r="295">
          <cell r="AU295">
            <v>95.889566709390451</v>
          </cell>
        </row>
        <row r="296">
          <cell r="AU296">
            <v>99.06862717692897</v>
          </cell>
        </row>
        <row r="297">
          <cell r="AU297">
            <v>95.445431119922034</v>
          </cell>
        </row>
        <row r="298">
          <cell r="AU298">
            <v>104.42612750160676</v>
          </cell>
        </row>
        <row r="299">
          <cell r="AU299">
            <v>97.341719131975395</v>
          </cell>
        </row>
        <row r="300">
          <cell r="AU300">
            <v>99.419193802504751</v>
          </cell>
        </row>
        <row r="301">
          <cell r="AU301">
            <v>97.071854613833906</v>
          </cell>
        </row>
        <row r="302">
          <cell r="AU302">
            <v>99.570734039536561</v>
          </cell>
        </row>
        <row r="303">
          <cell r="AU303">
            <v>96.468452597935965</v>
          </cell>
        </row>
        <row r="304">
          <cell r="AU304">
            <v>98.260915565538383</v>
          </cell>
        </row>
        <row r="305">
          <cell r="AU305">
            <v>97.640321547589153</v>
          </cell>
        </row>
        <row r="306">
          <cell r="AU306">
            <v>98.731659046513386</v>
          </cell>
        </row>
        <row r="307">
          <cell r="AU307">
            <v>100.63051286939478</v>
          </cell>
        </row>
        <row r="308">
          <cell r="AU308">
            <v>96.708405814293428</v>
          </cell>
        </row>
        <row r="309">
          <cell r="AU309">
            <v>98.262108477392388</v>
          </cell>
        </row>
        <row r="310">
          <cell r="AU310">
            <v>100.88223340232045</v>
          </cell>
        </row>
        <row r="311">
          <cell r="AU311">
            <v>97.964873795422605</v>
          </cell>
        </row>
        <row r="312">
          <cell r="AU312">
            <v>97.684444147608716</v>
          </cell>
        </row>
        <row r="313">
          <cell r="AU313">
            <v>100.56390577410568</v>
          </cell>
        </row>
        <row r="314">
          <cell r="AU314">
            <v>99.284482347324953</v>
          </cell>
        </row>
        <row r="315">
          <cell r="AU315">
            <v>99.92986277518375</v>
          </cell>
        </row>
        <row r="316">
          <cell r="AU316">
            <v>98.833209781084534</v>
          </cell>
        </row>
        <row r="317">
          <cell r="AU317">
            <v>99.202272266400399</v>
          </cell>
        </row>
        <row r="318">
          <cell r="AU318">
            <v>98.715968018469894</v>
          </cell>
        </row>
        <row r="319">
          <cell r="AU319">
            <v>95.039912630667331</v>
          </cell>
        </row>
        <row r="320">
          <cell r="AU320">
            <v>98.367421417804422</v>
          </cell>
        </row>
        <row r="321">
          <cell r="AU321">
            <v>98.860563530003276</v>
          </cell>
        </row>
        <row r="322">
          <cell r="AU322">
            <v>98.293969985865587</v>
          </cell>
        </row>
        <row r="323">
          <cell r="AU323">
            <v>98.680554445148545</v>
          </cell>
        </row>
        <row r="324">
          <cell r="AU324">
            <v>97.276066263342202</v>
          </cell>
        </row>
        <row r="325">
          <cell r="AU325">
            <v>99.522717712698153</v>
          </cell>
        </row>
        <row r="326">
          <cell r="AU326">
            <v>97.280161876306295</v>
          </cell>
        </row>
        <row r="327">
          <cell r="AU327">
            <v>98.419574335641741</v>
          </cell>
        </row>
        <row r="328">
          <cell r="AU328">
            <v>99.010323522494176</v>
          </cell>
        </row>
        <row r="329">
          <cell r="AU329">
            <v>101.34286464320613</v>
          </cell>
        </row>
        <row r="330">
          <cell r="AU330">
            <v>100.08719027441192</v>
          </cell>
        </row>
        <row r="331">
          <cell r="AU331">
            <v>97.147652628524895</v>
          </cell>
        </row>
        <row r="333">
          <cell r="AU333">
            <v>98.291637523851719</v>
          </cell>
        </row>
        <row r="334">
          <cell r="AU334">
            <v>101.55474535131795</v>
          </cell>
        </row>
        <row r="335">
          <cell r="AU335">
            <v>100.47437476290094</v>
          </cell>
        </row>
        <row r="336">
          <cell r="AU336">
            <v>100.54292897070825</v>
          </cell>
        </row>
        <row r="337">
          <cell r="AU337">
            <v>99.6914222479014</v>
          </cell>
        </row>
        <row r="338">
          <cell r="AU338">
            <v>98.788355462696771</v>
          </cell>
        </row>
        <row r="339">
          <cell r="AU339">
            <v>96.362850732705169</v>
          </cell>
        </row>
        <row r="340">
          <cell r="AU340">
            <v>99.706387133823071</v>
          </cell>
        </row>
        <row r="341">
          <cell r="AU341">
            <v>97.642652173476279</v>
          </cell>
        </row>
        <row r="342">
          <cell r="AU342">
            <v>99.106149710242491</v>
          </cell>
        </row>
        <row r="343">
          <cell r="AU343">
            <v>96.333505901006006</v>
          </cell>
        </row>
        <row r="344">
          <cell r="AU344">
            <v>98.749512017375622</v>
          </cell>
        </row>
        <row r="345">
          <cell r="AU345">
            <v>97.86206666251897</v>
          </cell>
        </row>
        <row r="346">
          <cell r="AU346">
            <v>101.04601229684947</v>
          </cell>
        </row>
        <row r="347">
          <cell r="AU347">
            <v>97.276066263342202</v>
          </cell>
        </row>
        <row r="348">
          <cell r="AU348">
            <v>93.852395703596613</v>
          </cell>
        </row>
        <row r="349">
          <cell r="AU349">
            <v>97.34537784324344</v>
          </cell>
        </row>
        <row r="350">
          <cell r="AU350">
            <v>98.987340911426685</v>
          </cell>
        </row>
        <row r="351">
          <cell r="AU351">
            <v>98.106846922939908</v>
          </cell>
        </row>
        <row r="352">
          <cell r="AU352">
            <v>98.794769125933016</v>
          </cell>
        </row>
        <row r="353">
          <cell r="AU353">
            <v>98.17950033315293</v>
          </cell>
        </row>
        <row r="354">
          <cell r="AU354">
            <v>96.913042197128789</v>
          </cell>
        </row>
        <row r="355">
          <cell r="AU355">
            <v>98.866426421918902</v>
          </cell>
        </row>
        <row r="356">
          <cell r="AU356">
            <v>98.283716639471436</v>
          </cell>
        </row>
        <row r="357">
          <cell r="AU357">
            <v>97.627901774051935</v>
          </cell>
        </row>
        <row r="358">
          <cell r="AU358">
            <v>99.060663016068062</v>
          </cell>
        </row>
        <row r="359">
          <cell r="AU359">
            <v>98.301955213273345</v>
          </cell>
        </row>
        <row r="360">
          <cell r="AU360">
            <v>98.106846922939908</v>
          </cell>
        </row>
        <row r="361">
          <cell r="AU361">
            <v>96.325564324938568</v>
          </cell>
        </row>
        <row r="362">
          <cell r="AU362">
            <v>97.842907420327492</v>
          </cell>
        </row>
        <row r="363">
          <cell r="AU363">
            <v>98.232555924411713</v>
          </cell>
        </row>
        <row r="364">
          <cell r="AU364">
            <v>99.070568405483513</v>
          </cell>
        </row>
        <row r="365">
          <cell r="AU365">
            <v>97.022595413926055</v>
          </cell>
        </row>
        <row r="366">
          <cell r="AU366">
            <v>97.985121162080063</v>
          </cell>
        </row>
        <row r="367">
          <cell r="AU367">
            <v>96.656126592782627</v>
          </cell>
        </row>
        <row r="368">
          <cell r="AU368">
            <v>99.467995204961397</v>
          </cell>
        </row>
        <row r="369">
          <cell r="AU369">
            <v>96.072078638210456</v>
          </cell>
        </row>
        <row r="370">
          <cell r="AU370">
            <v>97.701006857023984</v>
          </cell>
        </row>
        <row r="372">
          <cell r="AU372">
            <v>96.56462372355783</v>
          </cell>
        </row>
        <row r="373">
          <cell r="AU373">
            <v>99.450129980121687</v>
          </cell>
        </row>
        <row r="374">
          <cell r="AU374">
            <v>99.924395660222203</v>
          </cell>
        </row>
        <row r="375">
          <cell r="AU375">
            <v>96.735005949559593</v>
          </cell>
        </row>
        <row r="376">
          <cell r="AU376">
            <v>100.92621982794307</v>
          </cell>
        </row>
        <row r="377">
          <cell r="AU377">
            <v>101.71080765524663</v>
          </cell>
        </row>
        <row r="378">
          <cell r="AU378">
            <v>99.915911049565807</v>
          </cell>
        </row>
        <row r="379">
          <cell r="AU379">
            <v>100.09336436066228</v>
          </cell>
        </row>
        <row r="380">
          <cell r="AU380">
            <v>97.004179140412717</v>
          </cell>
        </row>
        <row r="381">
          <cell r="AU381">
            <v>98.419019214153593</v>
          </cell>
        </row>
        <row r="382">
          <cell r="AU382">
            <v>100.07208608682477</v>
          </cell>
        </row>
        <row r="383">
          <cell r="AU383">
            <v>99.210048636900865</v>
          </cell>
        </row>
        <row r="384">
          <cell r="AU384">
            <v>95.646066734056419</v>
          </cell>
        </row>
        <row r="385">
          <cell r="AU385">
            <v>99.871647112886492</v>
          </cell>
        </row>
        <row r="386">
          <cell r="AU386">
            <v>98.917653360549238</v>
          </cell>
        </row>
        <row r="387">
          <cell r="AU387">
            <v>97.985121162080063</v>
          </cell>
        </row>
        <row r="388">
          <cell r="AU388">
            <v>95.883570904040326</v>
          </cell>
        </row>
        <row r="389">
          <cell r="AU389">
            <v>97.688668777521585</v>
          </cell>
        </row>
        <row r="390">
          <cell r="AU390">
            <v>98.076322225051427</v>
          </cell>
        </row>
        <row r="391">
          <cell r="AU391">
            <v>96.738087826903367</v>
          </cell>
        </row>
        <row r="392">
          <cell r="AU392">
            <v>89.576614302132214</v>
          </cell>
        </row>
        <row r="393">
          <cell r="AU393">
            <v>99.045954733310609</v>
          </cell>
        </row>
        <row r="394">
          <cell r="AU394">
            <v>97.073638621963838</v>
          </cell>
        </row>
        <row r="395">
          <cell r="AU395">
            <v>96.622408854490644</v>
          </cell>
        </row>
        <row r="396">
          <cell r="AU396">
            <v>95.968798858100953</v>
          </cell>
        </row>
        <row r="397">
          <cell r="AU397">
            <v>97.010275244344342</v>
          </cell>
        </row>
        <row r="398">
          <cell r="AU398">
            <v>97.315054553505178</v>
          </cell>
        </row>
        <row r="399">
          <cell r="AU399">
            <v>97.194196677647014</v>
          </cell>
        </row>
        <row r="400">
          <cell r="AU400">
            <v>97.107188606226813</v>
          </cell>
        </row>
        <row r="401">
          <cell r="AU401">
            <v>97.543298003623377</v>
          </cell>
        </row>
        <row r="402">
          <cell r="AU402">
            <v>99.596971567739487</v>
          </cell>
        </row>
        <row r="403">
          <cell r="AU403">
            <v>98.567307662683234</v>
          </cell>
        </row>
        <row r="404">
          <cell r="AU404">
            <v>94.783958244441095</v>
          </cell>
        </row>
        <row r="405">
          <cell r="AU405">
            <v>96.215628300055926</v>
          </cell>
        </row>
        <row r="406">
          <cell r="AU406">
            <v>96.512976698627241</v>
          </cell>
        </row>
        <row r="407">
          <cell r="AU407">
            <v>97.668075936141776</v>
          </cell>
        </row>
        <row r="408">
          <cell r="AU408">
            <v>98.061106422806333</v>
          </cell>
        </row>
        <row r="409">
          <cell r="AU409">
            <v>94.141882174700498</v>
          </cell>
        </row>
        <row r="410">
          <cell r="AU410">
            <v>98.065683886305649</v>
          </cell>
        </row>
        <row r="411">
          <cell r="AU411">
            <v>96.227121995274018</v>
          </cell>
        </row>
        <row r="412">
          <cell r="AU412">
            <v>93.644485520251749</v>
          </cell>
        </row>
        <row r="413">
          <cell r="AU413">
            <v>95.780305895522162</v>
          </cell>
        </row>
        <row r="414">
          <cell r="AU414">
            <v>97.194703072885943</v>
          </cell>
        </row>
        <row r="415">
          <cell r="AU415">
            <v>96.196995367381973</v>
          </cell>
        </row>
        <row r="416">
          <cell r="AU416">
            <v>96.762050323253916</v>
          </cell>
        </row>
        <row r="417">
          <cell r="AU417">
            <v>97.028112667120254</v>
          </cell>
        </row>
        <row r="418">
          <cell r="AU418">
            <v>99.093675526055435</v>
          </cell>
        </row>
        <row r="419">
          <cell r="AU419">
            <v>99.090770773720209</v>
          </cell>
        </row>
        <row r="420">
          <cell r="AU420">
            <v>99.125761295317346</v>
          </cell>
        </row>
        <row r="421">
          <cell r="AU421">
            <v>98.716771578243012</v>
          </cell>
        </row>
        <row r="422">
          <cell r="AU422">
            <v>97.782996764277044</v>
          </cell>
        </row>
        <row r="423">
          <cell r="AU423">
            <v>95.550640529582381</v>
          </cell>
        </row>
        <row r="424">
          <cell r="AU424">
            <v>96.771687084536438</v>
          </cell>
        </row>
        <row r="425">
          <cell r="AU425">
            <v>98.586817634255368</v>
          </cell>
        </row>
        <row r="426">
          <cell r="AU426">
            <v>101.98305384057822</v>
          </cell>
        </row>
        <row r="427">
          <cell r="AU427">
            <v>100.69577752031054</v>
          </cell>
        </row>
        <row r="428">
          <cell r="AU428">
            <v>99.806095951858012</v>
          </cell>
        </row>
        <row r="429">
          <cell r="AU429">
            <v>100.43366418858588</v>
          </cell>
        </row>
        <row r="430">
          <cell r="AU430">
            <v>98.893379734379081</v>
          </cell>
        </row>
        <row r="431">
          <cell r="AU431">
            <v>100.24969919406345</v>
          </cell>
        </row>
        <row r="432">
          <cell r="AU432">
            <v>97.081248898849111</v>
          </cell>
        </row>
        <row r="433">
          <cell r="AU433">
            <v>101.76707851622425</v>
          </cell>
        </row>
        <row r="434">
          <cell r="AU434">
            <v>96.510244562053785</v>
          </cell>
        </row>
        <row r="435">
          <cell r="AU435">
            <v>99.775672338436593</v>
          </cell>
        </row>
        <row r="436">
          <cell r="AU436">
            <v>99.168607234311096</v>
          </cell>
        </row>
        <row r="437">
          <cell r="AU437">
            <v>97.065619624859266</v>
          </cell>
        </row>
        <row r="438">
          <cell r="AU438">
            <v>95.966425934229434</v>
          </cell>
        </row>
        <row r="439">
          <cell r="AU439">
            <v>96.902068655985502</v>
          </cell>
        </row>
        <row r="441">
          <cell r="AU441">
            <v>94.35299110982487</v>
          </cell>
        </row>
        <row r="442">
          <cell r="AU442">
            <v>99.78810647611833</v>
          </cell>
        </row>
        <row r="443">
          <cell r="AU443">
            <v>98.715472456614393</v>
          </cell>
        </row>
        <row r="444">
          <cell r="AU444">
            <v>98.839319314550693</v>
          </cell>
        </row>
        <row r="445">
          <cell r="AU445">
            <v>99.827712507696191</v>
          </cell>
        </row>
        <row r="446">
          <cell r="AU446">
            <v>102.60534633351912</v>
          </cell>
        </row>
        <row r="447">
          <cell r="AU447">
            <v>101.06394965204404</v>
          </cell>
        </row>
        <row r="448">
          <cell r="AU448">
            <v>99.592276455198828</v>
          </cell>
        </row>
        <row r="449">
          <cell r="AU449">
            <v>98.084548863306736</v>
          </cell>
        </row>
        <row r="450">
          <cell r="AU450">
            <v>96.00650184159764</v>
          </cell>
        </row>
        <row r="451">
          <cell r="AU451">
            <v>94.406393477571029</v>
          </cell>
        </row>
        <row r="452">
          <cell r="AU452">
            <v>96.433466803831749</v>
          </cell>
        </row>
        <row r="453">
          <cell r="AU453">
            <v>97.324682978378192</v>
          </cell>
        </row>
        <row r="454">
          <cell r="AU454">
            <v>98.352998332832939</v>
          </cell>
        </row>
        <row r="455">
          <cell r="AU455">
            <v>97.74424129612386</v>
          </cell>
        </row>
        <row r="456">
          <cell r="AU456">
            <v>100.27330624637854</v>
          </cell>
        </row>
        <row r="457">
          <cell r="AU457">
            <v>101.5646659439884</v>
          </cell>
        </row>
        <row r="458">
          <cell r="AU458">
            <v>96.768900005202767</v>
          </cell>
        </row>
        <row r="459">
          <cell r="AU459">
            <v>99.215120295971658</v>
          </cell>
        </row>
        <row r="460">
          <cell r="AU460">
            <v>96.530294814784824</v>
          </cell>
        </row>
        <row r="461">
          <cell r="AU461">
            <v>100.60681338817419</v>
          </cell>
        </row>
        <row r="462">
          <cell r="AU462">
            <v>99.799727452014764</v>
          </cell>
        </row>
        <row r="463">
          <cell r="AU463">
            <v>100.35031551856368</v>
          </cell>
        </row>
        <row r="464">
          <cell r="AU464">
            <v>99.827142752199421</v>
          </cell>
        </row>
        <row r="465">
          <cell r="AU465">
            <v>96.996454448160804</v>
          </cell>
        </row>
        <row r="466">
          <cell r="AU466">
            <v>99.953663425238886</v>
          </cell>
        </row>
        <row r="467">
          <cell r="AU467">
            <v>97.899114248935831</v>
          </cell>
        </row>
        <row r="468">
          <cell r="AU468">
            <v>99.845418707165166</v>
          </cell>
        </row>
        <row r="469">
          <cell r="AU469">
            <v>100.41537290555753</v>
          </cell>
        </row>
        <row r="470">
          <cell r="AU470">
            <v>99.941062940966958</v>
          </cell>
        </row>
        <row r="471">
          <cell r="AU471">
            <v>99.412009557795542</v>
          </cell>
        </row>
        <row r="472">
          <cell r="AU472">
            <v>98.242593755797657</v>
          </cell>
        </row>
        <row r="473">
          <cell r="AU473">
            <v>112.10179731674612</v>
          </cell>
        </row>
        <row r="474">
          <cell r="AU474">
            <v>102.44666718353356</v>
          </cell>
        </row>
        <row r="475">
          <cell r="AU475">
            <v>103.76004973726178</v>
          </cell>
        </row>
        <row r="476">
          <cell r="AU476">
            <v>101.00978335868373</v>
          </cell>
        </row>
        <row r="477">
          <cell r="AU477">
            <v>102.24574408304541</v>
          </cell>
        </row>
        <row r="478">
          <cell r="AU478">
            <v>100.17922672418331</v>
          </cell>
        </row>
        <row r="479">
          <cell r="AU479">
            <v>101.13654701607011</v>
          </cell>
        </row>
        <row r="480">
          <cell r="AU480">
            <v>108.88670789478645</v>
          </cell>
        </row>
        <row r="481">
          <cell r="AU481">
            <v>96.512358037648923</v>
          </cell>
        </row>
        <row r="482">
          <cell r="AU482">
            <v>100.97500195447307</v>
          </cell>
        </row>
        <row r="483">
          <cell r="AU483">
            <v>100.7405914444947</v>
          </cell>
        </row>
        <row r="484">
          <cell r="AU484">
            <v>100.3041125045339</v>
          </cell>
        </row>
        <row r="485">
          <cell r="AU485">
            <v>100.21573995743513</v>
          </cell>
        </row>
        <row r="486">
          <cell r="AU486">
            <v>99.317238473927688</v>
          </cell>
        </row>
        <row r="487">
          <cell r="AU487">
            <v>98.386883927142947</v>
          </cell>
        </row>
        <row r="488">
          <cell r="AU488">
            <v>99.532719661938174</v>
          </cell>
        </row>
        <row r="489">
          <cell r="AU489">
            <v>97.09027634925161</v>
          </cell>
        </row>
        <row r="490">
          <cell r="AU490">
            <v>98.94339780001502</v>
          </cell>
        </row>
        <row r="491">
          <cell r="AU491">
            <v>99.385578414346583</v>
          </cell>
        </row>
        <row r="492">
          <cell r="AU492">
            <v>98.554622170152498</v>
          </cell>
        </row>
        <row r="493">
          <cell r="AU493">
            <v>96.059064469639495</v>
          </cell>
        </row>
        <row r="494">
          <cell r="AU494">
            <v>99.937487991353251</v>
          </cell>
        </row>
        <row r="495">
          <cell r="AU495">
            <v>94.84633473437168</v>
          </cell>
        </row>
        <row r="496">
          <cell r="AU496">
            <v>98.344590350965177</v>
          </cell>
        </row>
        <row r="497">
          <cell r="AU497">
            <v>98.441679685943271</v>
          </cell>
        </row>
        <row r="499">
          <cell r="AU499">
            <v>98.266776146048571</v>
          </cell>
        </row>
        <row r="500">
          <cell r="AU500">
            <v>97.832955089911806</v>
          </cell>
        </row>
        <row r="501">
          <cell r="AU501">
            <v>101.45409838612913</v>
          </cell>
        </row>
        <row r="502">
          <cell r="AU502">
            <v>100.69356891272432</v>
          </cell>
        </row>
        <row r="503">
          <cell r="AU503">
            <v>98.448968451925168</v>
          </cell>
        </row>
        <row r="504">
          <cell r="AU504">
            <v>95.561965677402867</v>
          </cell>
        </row>
        <row r="505">
          <cell r="AU505">
            <v>98.952903830463129</v>
          </cell>
        </row>
        <row r="506">
          <cell r="AU506">
            <v>92.084692591360991</v>
          </cell>
        </row>
        <row r="507">
          <cell r="AU507">
            <v>98.931062054513632</v>
          </cell>
        </row>
        <row r="508">
          <cell r="AU508">
            <v>95.788891523078703</v>
          </cell>
        </row>
        <row r="509">
          <cell r="AU509">
            <v>102.25237739832376</v>
          </cell>
        </row>
        <row r="510">
          <cell r="AU510">
            <v>97.842626008334307</v>
          </cell>
        </row>
        <row r="511">
          <cell r="AU511">
            <v>98.133116544540727</v>
          </cell>
        </row>
        <row r="512">
          <cell r="AU512">
            <v>97.392543851558173</v>
          </cell>
        </row>
        <row r="513">
          <cell r="AU513">
            <v>98.551698641292091</v>
          </cell>
        </row>
        <row r="514">
          <cell r="AU514">
            <v>95.684926135841877</v>
          </cell>
        </row>
        <row r="515">
          <cell r="AU515">
            <v>98.002879043639851</v>
          </cell>
        </row>
        <row r="516">
          <cell r="AU516">
            <v>99.043120759349208</v>
          </cell>
        </row>
        <row r="517">
          <cell r="AU517">
            <v>98.02652678523846</v>
          </cell>
        </row>
        <row r="518">
          <cell r="AU518">
            <v>97.10584907923149</v>
          </cell>
        </row>
        <row r="519">
          <cell r="AU519">
            <v>98.462617429639906</v>
          </cell>
        </row>
        <row r="521">
          <cell r="AU521">
            <v>97.055560378405417</v>
          </cell>
        </row>
        <row r="522">
          <cell r="AU522">
            <v>98.60835314664395</v>
          </cell>
        </row>
        <row r="523">
          <cell r="AU523">
            <v>98.365267951755612</v>
          </cell>
        </row>
        <row r="524">
          <cell r="AU524">
            <v>99.687955297584509</v>
          </cell>
        </row>
        <row r="525">
          <cell r="AU525">
            <v>100.72132227395333</v>
          </cell>
        </row>
        <row r="526">
          <cell r="AU526">
            <v>98.74889698396953</v>
          </cell>
        </row>
        <row r="527">
          <cell r="AU527">
            <v>99.890627154419903</v>
          </cell>
        </row>
        <row r="528">
          <cell r="AU528">
            <v>98.651675516343673</v>
          </cell>
        </row>
        <row r="529">
          <cell r="AU529">
            <v>96.892893618969623</v>
          </cell>
        </row>
        <row r="530">
          <cell r="AU530">
            <v>94.722111244171089</v>
          </cell>
        </row>
        <row r="531">
          <cell r="AU531">
            <v>99.029700685063503</v>
          </cell>
        </row>
        <row r="532">
          <cell r="AU532">
            <v>96.713643218630651</v>
          </cell>
        </row>
        <row r="533">
          <cell r="AU533">
            <v>96.969485600893819</v>
          </cell>
        </row>
        <row r="534">
          <cell r="AU534">
            <v>100.49490909648723</v>
          </cell>
        </row>
        <row r="535">
          <cell r="AU535">
            <v>100.67062913303926</v>
          </cell>
        </row>
        <row r="536">
          <cell r="AU536">
            <v>100.28445554211093</v>
          </cell>
        </row>
        <row r="537">
          <cell r="AU537">
            <v>100.01936692948938</v>
          </cell>
        </row>
        <row r="538">
          <cell r="AU538">
            <v>97.25675779648391</v>
          </cell>
        </row>
        <row r="539">
          <cell r="AU539">
            <v>98.829519670528683</v>
          </cell>
        </row>
        <row r="540">
          <cell r="AU540">
            <v>89.92670066600526</v>
          </cell>
        </row>
        <row r="541">
          <cell r="AU541">
            <v>97.852943389199353</v>
          </cell>
        </row>
        <row r="542">
          <cell r="AU542">
            <v>98.234806225548823</v>
          </cell>
        </row>
        <row r="543">
          <cell r="AU543">
            <v>97.100513808978988</v>
          </cell>
        </row>
        <row r="544">
          <cell r="AU544">
            <v>100.78623691006598</v>
          </cell>
        </row>
        <row r="545">
          <cell r="AU545">
            <v>98.055978454904164</v>
          </cell>
        </row>
        <row r="546">
          <cell r="AU546">
            <v>93.830129859434109</v>
          </cell>
        </row>
        <row r="547">
          <cell r="AU547">
            <v>94.986746647546866</v>
          </cell>
        </row>
        <row r="548">
          <cell r="AU548">
            <v>96.805409918675934</v>
          </cell>
        </row>
        <row r="549">
          <cell r="AU549">
            <v>95.875819620167377</v>
          </cell>
        </row>
        <row r="550">
          <cell r="AU550">
            <v>99.148436815029569</v>
          </cell>
        </row>
        <row r="551">
          <cell r="AU551">
            <v>96.121819426269113</v>
          </cell>
        </row>
        <row r="552">
          <cell r="AU552">
            <v>98.010189794067912</v>
          </cell>
        </row>
        <row r="553">
          <cell r="AU553">
            <v>99.014288101156708</v>
          </cell>
        </row>
        <row r="554">
          <cell r="AU554">
            <v>97.153389503202831</v>
          </cell>
        </row>
        <row r="555">
          <cell r="AU555">
            <v>97.627337490184829</v>
          </cell>
        </row>
        <row r="556">
          <cell r="AU556">
            <v>97.312728687729816</v>
          </cell>
        </row>
        <row r="557">
          <cell r="AU557">
            <v>96.842834153233255</v>
          </cell>
        </row>
        <row r="558">
          <cell r="AU558">
            <v>97.685779866006243</v>
          </cell>
        </row>
        <row r="559">
          <cell r="AU559">
            <v>97.920767049400993</v>
          </cell>
        </row>
        <row r="560">
          <cell r="AU560">
            <v>97.467189849576116</v>
          </cell>
        </row>
        <row r="561">
          <cell r="AU561">
            <v>97.321658525782979</v>
          </cell>
        </row>
        <row r="562">
          <cell r="AU562">
            <v>98.202616991215805</v>
          </cell>
        </row>
        <row r="563">
          <cell r="AU563">
            <v>96.730466310460599</v>
          </cell>
        </row>
        <row r="564">
          <cell r="AU564">
            <v>98.584468249892524</v>
          </cell>
        </row>
        <row r="565">
          <cell r="AU565">
            <v>98.798903105297185</v>
          </cell>
        </row>
        <row r="566">
          <cell r="AU566">
            <v>95.030567217736547</v>
          </cell>
        </row>
        <row r="567">
          <cell r="AU567">
            <v>97.975396282362766</v>
          </cell>
        </row>
        <row r="568">
          <cell r="AU568">
            <v>96.910132502244522</v>
          </cell>
        </row>
        <row r="569">
          <cell r="AU569">
            <v>100.32236829261912</v>
          </cell>
        </row>
        <row r="570">
          <cell r="AU570">
            <v>92.793243431188415</v>
          </cell>
        </row>
        <row r="571">
          <cell r="AU571">
            <v>108.16497197909139</v>
          </cell>
        </row>
        <row r="572">
          <cell r="AU572">
            <v>98.269422256889953</v>
          </cell>
        </row>
        <row r="573">
          <cell r="AU573">
            <v>101.03823120220224</v>
          </cell>
        </row>
        <row r="574">
          <cell r="AU574">
            <v>96.300446052957312</v>
          </cell>
        </row>
        <row r="575">
          <cell r="AU575">
            <v>96.861872540433041</v>
          </cell>
        </row>
        <row r="576">
          <cell r="AU576">
            <v>94.354982496331914</v>
          </cell>
        </row>
        <row r="577">
          <cell r="AU577">
            <v>101.4902547733288</v>
          </cell>
        </row>
        <row r="578">
          <cell r="AU578">
            <v>99.113848804846313</v>
          </cell>
        </row>
        <row r="579">
          <cell r="AU579">
            <v>98.177770863633469</v>
          </cell>
        </row>
        <row r="580">
          <cell r="AU580">
            <v>100.59532574226012</v>
          </cell>
        </row>
        <row r="581">
          <cell r="AU581">
            <v>101.09611786158771</v>
          </cell>
        </row>
        <row r="582">
          <cell r="AU582">
            <v>97.274779965108578</v>
          </cell>
        </row>
        <row r="583">
          <cell r="AU583">
            <v>99.391912439862466</v>
          </cell>
        </row>
        <row r="584">
          <cell r="AU584">
            <v>97.783528025728515</v>
          </cell>
        </row>
        <row r="585">
          <cell r="AU585">
            <v>97.128209357850551</v>
          </cell>
        </row>
        <row r="586">
          <cell r="AU586">
            <v>95.057308401199691</v>
          </cell>
        </row>
        <row r="587">
          <cell r="AU587">
            <v>97.562565380013439</v>
          </cell>
        </row>
        <row r="588">
          <cell r="AU588">
            <v>104.27130276207181</v>
          </cell>
        </row>
        <row r="589">
          <cell r="AU589">
            <v>97.342162958884344</v>
          </cell>
        </row>
        <row r="590">
          <cell r="AU590">
            <v>95.775148939134738</v>
          </cell>
        </row>
        <row r="591">
          <cell r="AU591">
            <v>103.19214698364453</v>
          </cell>
        </row>
        <row r="592">
          <cell r="AU592">
            <v>103.16558724297549</v>
          </cell>
        </row>
        <row r="593">
          <cell r="AU593">
            <v>101.99102647740079</v>
          </cell>
        </row>
        <row r="595">
          <cell r="AU595">
            <v>102.9503534174209</v>
          </cell>
        </row>
        <row r="596">
          <cell r="AU596">
            <v>103.20695554361478</v>
          </cell>
        </row>
        <row r="597">
          <cell r="AU597">
            <v>100.49530782630643</v>
          </cell>
        </row>
        <row r="598">
          <cell r="AU598">
            <v>98.352761035087568</v>
          </cell>
        </row>
        <row r="599">
          <cell r="AU599">
            <v>99.302688314491746</v>
          </cell>
        </row>
        <row r="600">
          <cell r="AU600">
            <v>98.222221366406799</v>
          </cell>
        </row>
        <row r="601">
          <cell r="AU601">
            <v>99.769593439999099</v>
          </cell>
        </row>
        <row r="602">
          <cell r="AU602">
            <v>99.869825686975531</v>
          </cell>
        </row>
        <row r="603">
          <cell r="AU603">
            <v>94.979636183315108</v>
          </cell>
        </row>
        <row r="604">
          <cell r="AU604">
            <v>97.924342221439488</v>
          </cell>
        </row>
        <row r="605">
          <cell r="AU605">
            <v>100.78423889987383</v>
          </cell>
        </row>
        <row r="606">
          <cell r="AU606">
            <v>103.00616380131203</v>
          </cell>
        </row>
        <row r="607">
          <cell r="AU607">
            <v>98.735662358530632</v>
          </cell>
        </row>
        <row r="608">
          <cell r="AU608">
            <v>99.191120697559725</v>
          </cell>
        </row>
        <row r="609">
          <cell r="AU609">
            <v>99.137028566690901</v>
          </cell>
        </row>
        <row r="610">
          <cell r="AU610">
            <v>99.906988502754658</v>
          </cell>
        </row>
        <row r="611">
          <cell r="AU611">
            <v>94.112383169594878</v>
          </cell>
        </row>
        <row r="612">
          <cell r="AU612">
            <v>99.727537733596833</v>
          </cell>
        </row>
        <row r="613">
          <cell r="AU613">
            <v>102.00296712301547</v>
          </cell>
        </row>
        <row r="614">
          <cell r="AU614">
            <v>100.30661645676568</v>
          </cell>
        </row>
        <row r="615">
          <cell r="AU615">
            <v>102.38430000747583</v>
          </cell>
        </row>
        <row r="616">
          <cell r="AU616">
            <v>97.178318651163494</v>
          </cell>
        </row>
        <row r="617">
          <cell r="AU617">
            <v>99.448779663128292</v>
          </cell>
        </row>
        <row r="618">
          <cell r="AU618">
            <v>98.327017995218057</v>
          </cell>
        </row>
        <row r="619">
          <cell r="AU619">
            <v>96.630393194942471</v>
          </cell>
        </row>
        <row r="620">
          <cell r="AU620">
            <v>99.633829486310873</v>
          </cell>
        </row>
        <row r="621">
          <cell r="AU621">
            <v>98.745967480313396</v>
          </cell>
        </row>
        <row r="622">
          <cell r="AU622">
            <v>97.446768754393304</v>
          </cell>
        </row>
        <row r="623">
          <cell r="AU623">
            <v>99.881595354826231</v>
          </cell>
        </row>
        <row r="624">
          <cell r="AU624">
            <v>98.064310250675931</v>
          </cell>
        </row>
        <row r="625">
          <cell r="AU625">
            <v>98.308476686710605</v>
          </cell>
        </row>
        <row r="626">
          <cell r="AU626">
            <v>102.30475622682079</v>
          </cell>
        </row>
        <row r="627">
          <cell r="AU627">
            <v>94.623372416522983</v>
          </cell>
        </row>
        <row r="628">
          <cell r="AU628">
            <v>102.05066432590664</v>
          </cell>
        </row>
        <row r="629">
          <cell r="AU629">
            <v>98.46294565819899</v>
          </cell>
        </row>
        <row r="630">
          <cell r="AU630">
            <v>102.5771141317837</v>
          </cell>
        </row>
        <row r="631">
          <cell r="AU631">
            <v>98.897378510792095</v>
          </cell>
        </row>
        <row r="632">
          <cell r="AU632">
            <v>99.032006915549005</v>
          </cell>
        </row>
        <row r="633">
          <cell r="AU633">
            <v>100.3950691408541</v>
          </cell>
        </row>
        <row r="634">
          <cell r="AU634">
            <v>98.335203397010687</v>
          </cell>
        </row>
        <row r="635">
          <cell r="AU635">
            <v>92.210476129367706</v>
          </cell>
        </row>
        <row r="636">
          <cell r="AU636">
            <v>95.392227245105218</v>
          </cell>
        </row>
        <row r="637">
          <cell r="AU637">
            <v>97.63611706509802</v>
          </cell>
        </row>
        <row r="638">
          <cell r="AU638">
            <v>96.053814988905671</v>
          </cell>
        </row>
        <row r="639">
          <cell r="AU639">
            <v>99.79568244859415</v>
          </cell>
        </row>
        <row r="640">
          <cell r="AU640">
            <v>96.232629291944676</v>
          </cell>
        </row>
        <row r="641">
          <cell r="AU641">
            <v>101.43741414543481</v>
          </cell>
        </row>
        <row r="642">
          <cell r="AU642">
            <v>102.9971064188906</v>
          </cell>
        </row>
        <row r="643">
          <cell r="AU643">
            <v>96.510220819323507</v>
          </cell>
        </row>
        <row r="644">
          <cell r="AU644">
            <v>103.75607566491097</v>
          </cell>
        </row>
        <row r="645">
          <cell r="AU645">
            <v>99.510131013090614</v>
          </cell>
        </row>
        <row r="646">
          <cell r="AU646">
            <v>99.855544139268176</v>
          </cell>
        </row>
        <row r="647">
          <cell r="AU647">
            <v>98.434449089980745</v>
          </cell>
        </row>
        <row r="648">
          <cell r="AU648">
            <v>100.05955892682989</v>
          </cell>
        </row>
        <row r="649">
          <cell r="AU649">
            <v>95.934372886641839</v>
          </cell>
        </row>
        <row r="650">
          <cell r="AU650">
            <v>98.654470881741176</v>
          </cell>
        </row>
        <row r="651">
          <cell r="AU651">
            <v>96.064625992960757</v>
          </cell>
        </row>
        <row r="652">
          <cell r="AU652">
            <v>97.26610918503755</v>
          </cell>
        </row>
        <row r="653">
          <cell r="AU653">
            <v>98.696712146765265</v>
          </cell>
        </row>
        <row r="654">
          <cell r="AU654">
            <v>97.927386788830631</v>
          </cell>
        </row>
        <row r="655">
          <cell r="AU655">
            <v>111.54257690015881</v>
          </cell>
        </row>
        <row r="656">
          <cell r="AU656">
            <v>100.80384590106561</v>
          </cell>
        </row>
        <row r="657">
          <cell r="AU657">
            <v>97.823276952751186</v>
          </cell>
        </row>
        <row r="658">
          <cell r="AU658">
            <v>98.621300517774969</v>
          </cell>
        </row>
        <row r="659">
          <cell r="AU659">
            <v>92.983027682827753</v>
          </cell>
        </row>
        <row r="660">
          <cell r="AU660">
            <v>96.583285401532947</v>
          </cell>
        </row>
        <row r="661">
          <cell r="AU661">
            <v>96.846117108455005</v>
          </cell>
        </row>
        <row r="662">
          <cell r="AU662">
            <v>97.786680935858953</v>
          </cell>
        </row>
        <row r="663">
          <cell r="AU663">
            <v>97.163447975823857</v>
          </cell>
        </row>
        <row r="664">
          <cell r="AU664">
            <v>96.892783901710104</v>
          </cell>
        </row>
        <row r="665">
          <cell r="AU665">
            <v>101.21304317252451</v>
          </cell>
        </row>
        <row r="666">
          <cell r="AU666">
            <v>96.229472441397689</v>
          </cell>
        </row>
        <row r="667">
          <cell r="AU667">
            <v>98.804416600284995</v>
          </cell>
        </row>
        <row r="668">
          <cell r="AU668">
            <v>98.607570442650825</v>
          </cell>
        </row>
        <row r="669">
          <cell r="AU669">
            <v>105.37379988612518</v>
          </cell>
        </row>
        <row r="670">
          <cell r="AU670">
            <v>98.77626010729989</v>
          </cell>
        </row>
        <row r="671">
          <cell r="AU671">
            <v>98.182414856153798</v>
          </cell>
        </row>
        <row r="672">
          <cell r="AU672">
            <v>97.511963448181888</v>
          </cell>
        </row>
        <row r="673">
          <cell r="AU673">
            <v>97.970030213156235</v>
          </cell>
        </row>
        <row r="674">
          <cell r="AU674">
            <v>104.5660106879633</v>
          </cell>
        </row>
        <row r="675">
          <cell r="AU675">
            <v>99.53755069656674</v>
          </cell>
        </row>
        <row r="676">
          <cell r="AU676">
            <v>96.929373997463372</v>
          </cell>
        </row>
        <row r="677">
          <cell r="AU677">
            <v>101.60245432656833</v>
          </cell>
        </row>
        <row r="678">
          <cell r="AU678">
            <v>98.410586861189657</v>
          </cell>
        </row>
        <row r="679">
          <cell r="AU679">
            <v>97.543754381397036</v>
          </cell>
        </row>
        <row r="680">
          <cell r="AU680">
            <v>99.05762276816165</v>
          </cell>
        </row>
        <row r="681">
          <cell r="AU681">
            <v>98.136125359421726</v>
          </cell>
        </row>
        <row r="682">
          <cell r="AU682">
            <v>98.060390142903103</v>
          </cell>
        </row>
        <row r="683">
          <cell r="AU683">
            <v>101.67116843535777</v>
          </cell>
        </row>
        <row r="684">
          <cell r="AU684">
            <v>99.954575891981591</v>
          </cell>
        </row>
        <row r="685">
          <cell r="AU685">
            <v>100.91536339258649</v>
          </cell>
        </row>
        <row r="686">
          <cell r="AU686">
            <v>99.843917256766318</v>
          </cell>
        </row>
        <row r="687">
          <cell r="AU687">
            <v>86.450506030661657</v>
          </cell>
        </row>
        <row r="688">
          <cell r="AU688">
            <v>102.11257164728424</v>
          </cell>
        </row>
        <row r="689">
          <cell r="AU689">
            <v>97.47721612822464</v>
          </cell>
        </row>
        <row r="690">
          <cell r="AU690">
            <v>98.974208524348597</v>
          </cell>
        </row>
        <row r="691">
          <cell r="AU691">
            <v>97.404095796574978</v>
          </cell>
        </row>
        <row r="692">
          <cell r="AU692">
            <v>97.613140533184307</v>
          </cell>
        </row>
        <row r="693">
          <cell r="AU693">
            <v>98.455794941866429</v>
          </cell>
        </row>
        <row r="694">
          <cell r="AU694">
            <v>97.298899458351812</v>
          </cell>
        </row>
        <row r="695">
          <cell r="AU695">
            <v>98.92849846447109</v>
          </cell>
        </row>
        <row r="696">
          <cell r="A696" t="str">
            <v>CA647</v>
          </cell>
          <cell r="P696">
            <v>60</v>
          </cell>
          <cell r="Q696">
            <v>11.497227356746762</v>
          </cell>
          <cell r="T696">
            <v>0.18541666666666667</v>
          </cell>
          <cell r="U696">
            <v>0.31736111111111109</v>
          </cell>
          <cell r="V696">
            <v>61</v>
          </cell>
          <cell r="Z696">
            <v>0.2722222222222222</v>
          </cell>
          <cell r="AF696">
            <v>48.6</v>
          </cell>
          <cell r="AG696">
            <v>11.8</v>
          </cell>
          <cell r="AI696">
            <v>49.2</v>
          </cell>
          <cell r="AU696">
            <v>97.633608454436768</v>
          </cell>
          <cell r="AV696">
            <v>97.722344795969988</v>
          </cell>
          <cell r="AX696" t="str">
            <v>R. Sookram</v>
          </cell>
        </row>
        <row r="697">
          <cell r="A697" t="str">
            <v>CA648</v>
          </cell>
          <cell r="P697">
            <v>58</v>
          </cell>
          <cell r="Q697">
            <v>12.074074074074066</v>
          </cell>
          <cell r="T697">
            <v>0.29583333333333334</v>
          </cell>
          <cell r="U697">
            <v>0.42916666666666664</v>
          </cell>
          <cell r="V697">
            <v>64</v>
          </cell>
          <cell r="Z697">
            <v>0.29374999999999996</v>
          </cell>
          <cell r="AF697">
            <v>48.2</v>
          </cell>
          <cell r="AG697">
            <v>12</v>
          </cell>
          <cell r="AI697">
            <v>49.1</v>
          </cell>
          <cell r="AU697">
            <v>99.296130618355448</v>
          </cell>
          <cell r="AV697">
            <v>99.386371956878179</v>
          </cell>
          <cell r="AX697" t="str">
            <v>R. Sookram</v>
          </cell>
        </row>
        <row r="698">
          <cell r="A698" t="str">
            <v>CA649</v>
          </cell>
          <cell r="P698">
            <v>60</v>
          </cell>
          <cell r="Q698">
            <v>16.537678207739301</v>
          </cell>
          <cell r="T698">
            <v>0.51249999999999996</v>
          </cell>
          <cell r="U698">
            <v>0.6333333333333333</v>
          </cell>
          <cell r="V698">
            <v>46</v>
          </cell>
          <cell r="Z698">
            <v>0.26874999999999999</v>
          </cell>
          <cell r="AF698">
            <v>41.7</v>
          </cell>
          <cell r="AG698">
            <v>11.9</v>
          </cell>
          <cell r="AI698">
            <v>43</v>
          </cell>
          <cell r="AU698">
            <v>98.221285990904661</v>
          </cell>
          <cell r="AV698">
            <v>98.309884597141846</v>
          </cell>
          <cell r="AX698" t="str">
            <v>R. Regis</v>
          </cell>
        </row>
        <row r="699">
          <cell r="A699" t="str">
            <v>CA650</v>
          </cell>
          <cell r="P699">
            <v>60</v>
          </cell>
          <cell r="Q699">
            <v>12.421441774491679</v>
          </cell>
          <cell r="T699">
            <v>0.78402777777777777</v>
          </cell>
          <cell r="U699">
            <v>0.89444444444444449</v>
          </cell>
          <cell r="V699">
            <v>58</v>
          </cell>
          <cell r="Z699">
            <v>0.43263888888888891</v>
          </cell>
          <cell r="AF699">
            <v>48.1</v>
          </cell>
          <cell r="AG699">
            <v>11.7</v>
          </cell>
          <cell r="AI699">
            <v>48.9</v>
          </cell>
          <cell r="AU699">
            <v>96.173272580659344</v>
          </cell>
          <cell r="AV699">
            <v>96.260681665473285</v>
          </cell>
          <cell r="AX699" t="str">
            <v>R. Regis</v>
          </cell>
        </row>
        <row r="700">
          <cell r="A700" t="str">
            <v>CA651</v>
          </cell>
          <cell r="P700">
            <v>60</v>
          </cell>
          <cell r="Q700">
            <v>12.421441774491679</v>
          </cell>
          <cell r="T700">
            <v>0.89444444444444449</v>
          </cell>
          <cell r="U700">
            <v>1.0020833333333334</v>
          </cell>
          <cell r="V700">
            <v>60</v>
          </cell>
          <cell r="Z700">
            <v>0.24166666666666681</v>
          </cell>
          <cell r="AF700">
            <v>48.1</v>
          </cell>
          <cell r="AG700">
            <v>11.7</v>
          </cell>
          <cell r="AI700">
            <v>49</v>
          </cell>
          <cell r="AU700">
            <v>96.130103634337729</v>
          </cell>
          <cell r="AV700">
            <v>96.217485098596541</v>
          </cell>
          <cell r="AX700" t="str">
            <v>R. Regis</v>
          </cell>
        </row>
        <row r="701">
          <cell r="A701" t="str">
            <v>CA652</v>
          </cell>
          <cell r="P701">
            <v>57</v>
          </cell>
          <cell r="Q701">
            <v>8.3548983364140526</v>
          </cell>
          <cell r="T701">
            <v>0.9868055555555556</v>
          </cell>
          <cell r="U701">
            <v>1.1125</v>
          </cell>
          <cell r="V701">
            <v>64</v>
          </cell>
          <cell r="Z701">
            <v>0.26180555555555562</v>
          </cell>
          <cell r="AF701">
            <v>50.3</v>
          </cell>
          <cell r="AG701">
            <v>11.9</v>
          </cell>
          <cell r="AI701">
            <v>51.1</v>
          </cell>
          <cell r="AU701">
            <v>102.43572492564348</v>
          </cell>
          <cell r="AV701">
            <v>102.52881955956596</v>
          </cell>
          <cell r="AX701" t="str">
            <v>R. Regis</v>
          </cell>
        </row>
        <row r="702">
          <cell r="A702" t="str">
            <v>CA653</v>
          </cell>
          <cell r="P702">
            <v>57</v>
          </cell>
          <cell r="Q702">
            <v>12.606284658040664</v>
          </cell>
          <cell r="T702">
            <v>1.0923611111111111</v>
          </cell>
          <cell r="U702">
            <v>1.1958333333333333</v>
          </cell>
          <cell r="V702">
            <v>56</v>
          </cell>
          <cell r="Z702">
            <v>0.25486111111111109</v>
          </cell>
          <cell r="AF702">
            <v>48</v>
          </cell>
          <cell r="AG702">
            <v>11.8</v>
          </cell>
          <cell r="AI702">
            <v>48.6</v>
          </cell>
          <cell r="AU702">
            <v>96.684179403949585</v>
          </cell>
          <cell r="AV702">
            <v>96.772041097268485</v>
          </cell>
          <cell r="AX702" t="str">
            <v>R. Regis</v>
          </cell>
        </row>
        <row r="703">
          <cell r="A703" t="str">
            <v>CA654</v>
          </cell>
          <cell r="P703">
            <v>57</v>
          </cell>
          <cell r="Q703">
            <v>11.497227356746762</v>
          </cell>
          <cell r="T703">
            <v>1.1805555555555556</v>
          </cell>
          <cell r="U703">
            <v>1.2909722222222222</v>
          </cell>
          <cell r="V703">
            <v>60</v>
          </cell>
          <cell r="Z703">
            <v>0.25972222222222219</v>
          </cell>
          <cell r="AF703">
            <v>49</v>
          </cell>
          <cell r="AG703">
            <v>11.8</v>
          </cell>
          <cell r="AI703">
            <v>49.6</v>
          </cell>
          <cell r="AU703">
            <v>98.126698757069292</v>
          </cell>
          <cell r="AV703">
            <v>98.886898116741477</v>
          </cell>
          <cell r="AX703" t="str">
            <v>R. Sookram</v>
          </cell>
        </row>
        <row r="704">
          <cell r="A704" t="str">
            <v>CA655</v>
          </cell>
          <cell r="P704">
            <v>57</v>
          </cell>
          <cell r="Q704">
            <v>9.0942698706099847</v>
          </cell>
          <cell r="T704">
            <v>0.27361111111111114</v>
          </cell>
          <cell r="U704">
            <v>0.38333333333333336</v>
          </cell>
          <cell r="V704">
            <v>63</v>
          </cell>
          <cell r="Z704">
            <v>0.25833333333333336</v>
          </cell>
          <cell r="AF704">
            <v>49.9</v>
          </cell>
          <cell r="AG704">
            <v>11.7</v>
          </cell>
          <cell r="AI704">
            <v>50.7</v>
          </cell>
          <cell r="AU704">
            <v>99.408785613934398</v>
          </cell>
          <cell r="AV704">
            <v>100.17891745497994</v>
          </cell>
          <cell r="AX704" t="str">
            <v>D. Gomaz</v>
          </cell>
        </row>
        <row r="705">
          <cell r="A705" t="str">
            <v>CA656</v>
          </cell>
          <cell r="P705">
            <v>60</v>
          </cell>
          <cell r="Q705">
            <v>12.791127541589651</v>
          </cell>
          <cell r="T705">
            <v>0.35902777777777778</v>
          </cell>
          <cell r="U705">
            <v>0.46944444444444444</v>
          </cell>
          <cell r="V705">
            <v>60</v>
          </cell>
          <cell r="Z705">
            <v>0.25416666666666665</v>
          </cell>
          <cell r="AF705">
            <v>48.7</v>
          </cell>
          <cell r="AG705">
            <v>11.8</v>
          </cell>
          <cell r="AI705">
            <v>48.8</v>
          </cell>
          <cell r="AU705">
            <v>96.544010067439146</v>
          </cell>
          <cell r="AV705">
            <v>97.291948147116628</v>
          </cell>
          <cell r="AX705" t="str">
            <v>D. Gomaz</v>
          </cell>
        </row>
        <row r="706">
          <cell r="A706" t="str">
            <v>CA657</v>
          </cell>
          <cell r="P706">
            <v>59</v>
          </cell>
          <cell r="Q706">
            <v>7.8003696857670963</v>
          </cell>
          <cell r="T706">
            <v>0.4513888888888889</v>
          </cell>
          <cell r="U706">
            <v>0.55833333333333335</v>
          </cell>
          <cell r="V706">
            <v>60</v>
          </cell>
          <cell r="Z706">
            <v>0.25277777777777777</v>
          </cell>
          <cell r="AF706">
            <v>50.6</v>
          </cell>
          <cell r="AG706">
            <v>11.6</v>
          </cell>
          <cell r="AI706">
            <v>51.7</v>
          </cell>
          <cell r="AU706">
            <v>98.726419047556874</v>
          </cell>
          <cell r="AV706">
            <v>99.491971134924498</v>
          </cell>
          <cell r="AX706" t="str">
            <v>D. Gomaz</v>
          </cell>
        </row>
        <row r="707">
          <cell r="A707" t="str">
            <v>CA658</v>
          </cell>
          <cell r="P707">
            <v>61</v>
          </cell>
          <cell r="Q707">
            <v>11.312384473197778</v>
          </cell>
          <cell r="T707">
            <v>0.62638888888888888</v>
          </cell>
          <cell r="U707">
            <v>0.73541666666666672</v>
          </cell>
          <cell r="V707">
            <v>55</v>
          </cell>
          <cell r="Z707">
            <v>0.24236111111111114</v>
          </cell>
          <cell r="AF707">
            <v>48.7</v>
          </cell>
          <cell r="AG707">
            <v>11.9</v>
          </cell>
          <cell r="AI707">
            <v>48.3</v>
          </cell>
          <cell r="AU707">
            <v>95.56863040279265</v>
          </cell>
          <cell r="AV707">
            <v>96.309357080703435</v>
          </cell>
          <cell r="AX707" t="str">
            <v>D. Gomaz</v>
          </cell>
        </row>
        <row r="708">
          <cell r="A708" t="str">
            <v>CA659</v>
          </cell>
          <cell r="P708">
            <v>62</v>
          </cell>
          <cell r="Q708">
            <v>12.975970425138639</v>
          </cell>
          <cell r="T708">
            <v>0.71805555555555556</v>
          </cell>
          <cell r="U708">
            <v>0.82916666666666672</v>
          </cell>
          <cell r="V708">
            <v>60</v>
          </cell>
          <cell r="Z708">
            <v>0.24583333333333335</v>
          </cell>
          <cell r="AF708">
            <v>48.6</v>
          </cell>
          <cell r="AG708">
            <v>11.6</v>
          </cell>
          <cell r="AI708">
            <v>49.7</v>
          </cell>
          <cell r="AU708">
            <v>96.692705408905809</v>
          </cell>
          <cell r="AV708">
            <v>97.441745086400459</v>
          </cell>
          <cell r="AX708" t="str">
            <v>D. Gomaz</v>
          </cell>
        </row>
        <row r="709">
          <cell r="A709" t="str">
            <v>CA660</v>
          </cell>
          <cell r="P709">
            <v>100</v>
          </cell>
          <cell r="Q709">
            <v>9.4639556377079437</v>
          </cell>
          <cell r="T709">
            <v>0.81944444444444442</v>
          </cell>
          <cell r="U709">
            <v>1.0354166666666667</v>
          </cell>
          <cell r="V709">
            <v>58</v>
          </cell>
          <cell r="Z709">
            <v>0.36180555555555549</v>
          </cell>
          <cell r="AF709">
            <v>50.5</v>
          </cell>
          <cell r="AG709">
            <v>12</v>
          </cell>
          <cell r="AI709">
            <v>50.1</v>
          </cell>
          <cell r="AU709">
            <v>101.00946443477108</v>
          </cell>
          <cell r="AV709">
            <v>101.79194431620748</v>
          </cell>
          <cell r="AX709" t="str">
            <v>R. Regis</v>
          </cell>
        </row>
        <row r="710">
          <cell r="A710" t="str">
            <v>CA661</v>
          </cell>
          <cell r="P710">
            <v>57</v>
          </cell>
          <cell r="Q710">
            <v>10.962962962962965</v>
          </cell>
          <cell r="T710">
            <v>1.1256944444444446</v>
          </cell>
          <cell r="U710">
            <v>1.2555555555555555</v>
          </cell>
          <cell r="V710">
            <v>59</v>
          </cell>
          <cell r="Z710">
            <v>0.4916666666666667</v>
          </cell>
          <cell r="AF710">
            <v>48.8</v>
          </cell>
          <cell r="AG710">
            <v>11.5</v>
          </cell>
          <cell r="AI710">
            <v>49.4</v>
          </cell>
          <cell r="AU710">
            <v>95.236770396091657</v>
          </cell>
          <cell r="AV710">
            <v>95.97453152793139</v>
          </cell>
          <cell r="AX710" t="str">
            <v>R. Regis</v>
          </cell>
        </row>
        <row r="711">
          <cell r="A711" t="str">
            <v>CA662</v>
          </cell>
          <cell r="P711">
            <v>59</v>
          </cell>
          <cell r="Q711">
            <v>12.444444444444443</v>
          </cell>
          <cell r="T711">
            <v>1.28125</v>
          </cell>
          <cell r="U711">
            <v>1.3861111111111111</v>
          </cell>
          <cell r="V711">
            <v>60</v>
          </cell>
          <cell r="Z711">
            <v>0.51111111111111107</v>
          </cell>
          <cell r="AF711">
            <v>48</v>
          </cell>
          <cell r="AG711">
            <v>12</v>
          </cell>
          <cell r="AI711">
            <v>48.7</v>
          </cell>
          <cell r="AU711">
            <v>97.941168938335963</v>
          </cell>
          <cell r="AV711">
            <v>98.699981861737058</v>
          </cell>
          <cell r="AX711" t="str">
            <v>R. Regis</v>
          </cell>
        </row>
        <row r="712">
          <cell r="A712" t="str">
            <v>CA663</v>
          </cell>
          <cell r="P712">
            <v>60</v>
          </cell>
          <cell r="Q712">
            <v>9.6487985212569285</v>
          </cell>
          <cell r="T712">
            <v>0.36944444444444446</v>
          </cell>
          <cell r="U712">
            <v>0.48541666666666666</v>
          </cell>
          <cell r="V712">
            <v>63</v>
          </cell>
          <cell r="Z712">
            <v>0.26319444444444445</v>
          </cell>
          <cell r="AF712">
            <v>49.6</v>
          </cell>
          <cell r="AG712">
            <v>11.7</v>
          </cell>
          <cell r="AI712">
            <v>50.3</v>
          </cell>
          <cell r="AU712">
            <v>98.62449539212821</v>
          </cell>
          <cell r="AV712">
            <v>99.388551242317362</v>
          </cell>
          <cell r="AX712" t="str">
            <v>R. Sookram</v>
          </cell>
        </row>
        <row r="713">
          <cell r="A713" t="str">
            <v>CA664</v>
          </cell>
          <cell r="P713">
            <v>61</v>
          </cell>
          <cell r="Q713">
            <v>8.1700554528650677</v>
          </cell>
          <cell r="T713">
            <v>0.46527777777777779</v>
          </cell>
          <cell r="U713">
            <v>0.57361111111111107</v>
          </cell>
          <cell r="V713">
            <v>63</v>
          </cell>
          <cell r="Z713">
            <v>0.26111111111111107</v>
          </cell>
          <cell r="AF713">
            <v>50.4</v>
          </cell>
          <cell r="AG713">
            <v>11.6</v>
          </cell>
          <cell r="AI713">
            <v>51.1</v>
          </cell>
          <cell r="AU713">
            <v>99.291911621355354</v>
          </cell>
          <cell r="AV713">
            <v>100.0611380254969</v>
          </cell>
          <cell r="AX713" t="str">
            <v>D. Gomaz</v>
          </cell>
        </row>
        <row r="714">
          <cell r="A714" t="str">
            <v>CA665</v>
          </cell>
          <cell r="P714">
            <v>62</v>
          </cell>
          <cell r="Q714">
            <v>6.3216266173752338</v>
          </cell>
          <cell r="T714">
            <v>0.55763888888888891</v>
          </cell>
          <cell r="U714">
            <v>0.68263888888888891</v>
          </cell>
          <cell r="V714">
            <v>60</v>
          </cell>
          <cell r="Z714">
            <v>0.27986111111111112</v>
          </cell>
          <cell r="AF714">
            <v>51.4</v>
          </cell>
          <cell r="AG714">
            <v>11.8</v>
          </cell>
          <cell r="AI714">
            <v>51.9</v>
          </cell>
          <cell r="AU714">
            <v>102.67692873975598</v>
          </cell>
          <cell r="AV714">
            <v>103.47237927941298</v>
          </cell>
          <cell r="AX714" t="str">
            <v>D. Gomaz</v>
          </cell>
        </row>
        <row r="715">
          <cell r="A715" t="str">
            <v>CA666</v>
          </cell>
          <cell r="P715">
            <v>61</v>
          </cell>
          <cell r="Q715">
            <v>9.939393939393943</v>
          </cell>
          <cell r="T715">
            <v>0.66527777777777775</v>
          </cell>
          <cell r="U715">
            <v>0.77777777777777779</v>
          </cell>
          <cell r="V715">
            <v>57</v>
          </cell>
          <cell r="Z715">
            <v>0.25694444444444442</v>
          </cell>
          <cell r="AF715">
            <v>45.3</v>
          </cell>
          <cell r="AG715">
            <v>11.7</v>
          </cell>
          <cell r="AI715">
            <v>46.2</v>
          </cell>
          <cell r="AU715">
            <v>102.38450698329868</v>
          </cell>
          <cell r="AV715">
            <v>103.1721541696329</v>
          </cell>
          <cell r="AX715" t="str">
            <v>D. Gomaz</v>
          </cell>
        </row>
        <row r="716">
          <cell r="A716" t="str">
            <v>CA667</v>
          </cell>
          <cell r="P716">
            <v>61</v>
          </cell>
          <cell r="Q716">
            <v>10.018484288354902</v>
          </cell>
          <cell r="T716">
            <v>0.63680555555555551</v>
          </cell>
          <cell r="U716">
            <v>0.75902777777777775</v>
          </cell>
          <cell r="V716">
            <v>60</v>
          </cell>
          <cell r="Z716">
            <v>0.27986111111111106</v>
          </cell>
          <cell r="AF716">
            <v>49.4</v>
          </cell>
          <cell r="AG716">
            <v>11.4</v>
          </cell>
          <cell r="AI716">
            <v>51.6</v>
          </cell>
          <cell r="AU716">
            <v>97.406889141099541</v>
          </cell>
          <cell r="AV716">
            <v>98.958332527536214</v>
          </cell>
          <cell r="AX716" t="str">
            <v>R. Sookram</v>
          </cell>
        </row>
        <row r="717">
          <cell r="A717" t="str">
            <v>CA668</v>
          </cell>
          <cell r="P717">
            <v>60</v>
          </cell>
          <cell r="Q717">
            <v>10.407407407407403</v>
          </cell>
          <cell r="T717">
            <v>0.75069444444444444</v>
          </cell>
          <cell r="U717">
            <v>0.86250000000000004</v>
          </cell>
          <cell r="V717">
            <v>54</v>
          </cell>
          <cell r="Z717">
            <v>0.30000000000000004</v>
          </cell>
          <cell r="AF717">
            <v>49.1</v>
          </cell>
          <cell r="AG717">
            <v>12</v>
          </cell>
          <cell r="AI717">
            <v>49.5</v>
          </cell>
          <cell r="AU717">
            <v>98.502058292495235</v>
          </cell>
          <cell r="AV717">
            <v>100.07104960823823</v>
          </cell>
          <cell r="AX717" t="str">
            <v>R. Sookram</v>
          </cell>
        </row>
        <row r="718">
          <cell r="A718" t="str">
            <v>CA669</v>
          </cell>
          <cell r="P718">
            <v>60</v>
          </cell>
          <cell r="Q718">
            <v>12.074074074074066</v>
          </cell>
          <cell r="T718">
            <v>0.87638888888888888</v>
          </cell>
          <cell r="U718">
            <v>0.99097222222222225</v>
          </cell>
          <cell r="V718">
            <v>57</v>
          </cell>
          <cell r="Z718">
            <v>0.25138888888888888</v>
          </cell>
          <cell r="AF718">
            <v>49</v>
          </cell>
          <cell r="AG718">
            <v>11.7</v>
          </cell>
          <cell r="AI718">
            <v>49.6</v>
          </cell>
          <cell r="AU718">
            <v>98.31722610678014</v>
          </cell>
          <cell r="AV718">
            <v>99.881351871296076</v>
          </cell>
          <cell r="AX718" t="str">
            <v>K. Benjamin</v>
          </cell>
        </row>
        <row r="719">
          <cell r="A719" t="str">
            <v>CA670</v>
          </cell>
          <cell r="P719">
            <v>60</v>
          </cell>
          <cell r="Q719">
            <v>8.9259259259259256</v>
          </cell>
          <cell r="T719">
            <v>0.97499999999999998</v>
          </cell>
          <cell r="U719">
            <v>1.0874999999999999</v>
          </cell>
          <cell r="V719">
            <v>58</v>
          </cell>
          <cell r="Z719">
            <v>0.26111111111111107</v>
          </cell>
          <cell r="AF719">
            <v>50.7</v>
          </cell>
          <cell r="AG719">
            <v>11.7</v>
          </cell>
          <cell r="AI719">
            <v>51.3</v>
          </cell>
          <cell r="AU719">
            <v>101.29884115103513</v>
          </cell>
          <cell r="AV719">
            <v>102.91073758372262</v>
          </cell>
          <cell r="AX719" t="str">
            <v>K. Benjamin</v>
          </cell>
        </row>
        <row r="720">
          <cell r="A720" t="str">
            <v>CA671</v>
          </cell>
          <cell r="P720">
            <v>60</v>
          </cell>
          <cell r="Q720">
            <v>10.757855822550832</v>
          </cell>
          <cell r="T720">
            <v>1.075</v>
          </cell>
          <cell r="U720">
            <v>1.1916666666666667</v>
          </cell>
          <cell r="V720">
            <v>58</v>
          </cell>
          <cell r="Z720">
            <v>0.27847222222222223</v>
          </cell>
          <cell r="AF720">
            <v>49.7</v>
          </cell>
          <cell r="AG720">
            <v>11.8</v>
          </cell>
          <cell r="AI720">
            <v>50.3</v>
          </cell>
          <cell r="AU720">
            <v>100.09020957845156</v>
          </cell>
          <cell r="AV720">
            <v>101.68298409826757</v>
          </cell>
          <cell r="AX720" t="str">
            <v>K. Benjamin</v>
          </cell>
        </row>
        <row r="721">
          <cell r="A721" t="str">
            <v>CA672</v>
          </cell>
          <cell r="P721">
            <v>60</v>
          </cell>
          <cell r="Q721">
            <v>8.7245841035120115</v>
          </cell>
          <cell r="T721">
            <v>1.1784722222222221</v>
          </cell>
          <cell r="U721">
            <v>1.2583333333333333</v>
          </cell>
          <cell r="V721">
            <v>60</v>
          </cell>
          <cell r="Z721">
            <v>0.23055555555555562</v>
          </cell>
          <cell r="AF721">
            <v>50.2</v>
          </cell>
          <cell r="AG721">
            <v>11.7</v>
          </cell>
          <cell r="AI721">
            <v>50.7</v>
          </cell>
          <cell r="AU721">
            <v>99.733387411391178</v>
          </cell>
          <cell r="AV721">
            <v>101.32070242510316</v>
          </cell>
          <cell r="AX721" t="str">
            <v>R. Regis</v>
          </cell>
        </row>
        <row r="722">
          <cell r="A722" t="str">
            <v>CA673</v>
          </cell>
          <cell r="P722">
            <v>58</v>
          </cell>
          <cell r="Q722">
            <v>9.0942698706099847</v>
          </cell>
          <cell r="T722">
            <v>0.43333333333333335</v>
          </cell>
          <cell r="U722">
            <v>0.54722222222222228</v>
          </cell>
          <cell r="V722">
            <v>64</v>
          </cell>
          <cell r="Z722">
            <v>0.27638888888888896</v>
          </cell>
          <cell r="AF722">
            <v>49.9</v>
          </cell>
          <cell r="AG722">
            <v>11.6</v>
          </cell>
          <cell r="AI722">
            <v>50.5</v>
          </cell>
          <cell r="AU722">
            <v>98.19754764179018</v>
          </cell>
          <cell r="AV722">
            <v>99.760633157394977</v>
          </cell>
          <cell r="AX722" t="str">
            <v>R. Regis</v>
          </cell>
        </row>
        <row r="723">
          <cell r="A723" t="str">
            <v>CA674</v>
          </cell>
          <cell r="P723">
            <v>57</v>
          </cell>
          <cell r="Q723">
            <v>9.0942698706099847</v>
          </cell>
          <cell r="T723">
            <v>0.53125</v>
          </cell>
          <cell r="U723">
            <v>0.64375000000000004</v>
          </cell>
          <cell r="V723">
            <v>62</v>
          </cell>
          <cell r="Z723">
            <v>0.28958333333333336</v>
          </cell>
          <cell r="AF723">
            <v>49.9</v>
          </cell>
          <cell r="AG723">
            <v>11.8</v>
          </cell>
          <cell r="AI723">
            <v>51</v>
          </cell>
          <cell r="AU723">
            <v>101.48311507954335</v>
          </cell>
          <cell r="AV723">
            <v>103.09805544754764</v>
          </cell>
          <cell r="AX723" t="str">
            <v>R. Sookram</v>
          </cell>
        </row>
        <row r="724">
          <cell r="A724" t="str">
            <v>CA675</v>
          </cell>
          <cell r="P724">
            <v>57</v>
          </cell>
          <cell r="Q724">
            <v>9.8518518518518512</v>
          </cell>
          <cell r="T724">
            <v>0.72777777777777775</v>
          </cell>
          <cell r="U724">
            <v>0.85277777777777775</v>
          </cell>
          <cell r="V724">
            <v>62</v>
          </cell>
          <cell r="Z724">
            <v>0.28333333333333333</v>
          </cell>
          <cell r="AF724">
            <v>48.8</v>
          </cell>
          <cell r="AG724">
            <v>11.6</v>
          </cell>
          <cell r="AI724">
            <v>50.8</v>
          </cell>
          <cell r="AU724">
            <v>99.282975850914454</v>
          </cell>
          <cell r="AV724">
            <v>100.86290454576744</v>
          </cell>
          <cell r="AX724" t="str">
            <v>R. Sookram</v>
          </cell>
        </row>
        <row r="725">
          <cell r="A725" t="str">
            <v>CA676</v>
          </cell>
          <cell r="P725">
            <v>59</v>
          </cell>
          <cell r="Q725">
            <v>13.18518518518518</v>
          </cell>
          <cell r="T725">
            <v>0.84305555555555556</v>
          </cell>
          <cell r="U725">
            <v>0.95347222222222228</v>
          </cell>
          <cell r="V725">
            <v>60</v>
          </cell>
          <cell r="Z725">
            <v>0.30069444444444449</v>
          </cell>
          <cell r="AF725">
            <v>47.6</v>
          </cell>
          <cell r="AG725">
            <v>11.6</v>
          </cell>
          <cell r="AI725">
            <v>49.8</v>
          </cell>
          <cell r="AU725">
            <v>97.081866203837734</v>
          </cell>
          <cell r="AV725">
            <v>98.626980711468789</v>
          </cell>
          <cell r="AX725" t="str">
            <v>R. Sookram</v>
          </cell>
        </row>
        <row r="726">
          <cell r="A726" t="str">
            <v>CA677</v>
          </cell>
          <cell r="P726">
            <v>59</v>
          </cell>
          <cell r="Q726">
            <v>9.8518518518518512</v>
          </cell>
          <cell r="T726">
            <v>0.9375</v>
          </cell>
          <cell r="U726">
            <v>1.0493055555555555</v>
          </cell>
          <cell r="V726">
            <v>58</v>
          </cell>
          <cell r="Z726">
            <v>0.29236111111111107</v>
          </cell>
          <cell r="AF726">
            <v>49.4</v>
          </cell>
          <cell r="AG726">
            <v>11.8</v>
          </cell>
          <cell r="AI726">
            <v>50</v>
          </cell>
          <cell r="AU726">
            <v>98.865119442395837</v>
          </cell>
          <cell r="AV726">
            <v>100.43893867303237</v>
          </cell>
          <cell r="AX726" t="str">
            <v>R. Sookram</v>
          </cell>
        </row>
        <row r="727">
          <cell r="A727" t="str">
            <v>CA678</v>
          </cell>
          <cell r="P727">
            <v>59</v>
          </cell>
          <cell r="Q727">
            <v>10.388170055452859</v>
          </cell>
          <cell r="T727">
            <v>1.0381944444444444</v>
          </cell>
          <cell r="U727">
            <v>1.148611111111111</v>
          </cell>
          <cell r="V727">
            <v>57</v>
          </cell>
          <cell r="Z727">
            <v>0.26666666666666661</v>
          </cell>
          <cell r="AF727">
            <v>49.2</v>
          </cell>
          <cell r="AG727">
            <v>11.6</v>
          </cell>
          <cell r="AI727">
            <v>49.8</v>
          </cell>
          <cell r="AU727">
            <v>96.958974493352486</v>
          </cell>
          <cell r="AV727">
            <v>98.5022390338234</v>
          </cell>
          <cell r="AX727" t="str">
            <v>R. Sookram</v>
          </cell>
        </row>
        <row r="728">
          <cell r="A728" t="str">
            <v>CA679</v>
          </cell>
          <cell r="P728">
            <v>60</v>
          </cell>
          <cell r="Q728">
            <v>10.573012939001845</v>
          </cell>
          <cell r="T728">
            <v>1.1534722222222222</v>
          </cell>
          <cell r="U728">
            <v>1.2847222222222223</v>
          </cell>
          <cell r="V728">
            <v>60</v>
          </cell>
          <cell r="Z728">
            <v>0.2777777777777779</v>
          </cell>
          <cell r="AF728">
            <v>49.5</v>
          </cell>
          <cell r="AG728">
            <v>11.7</v>
          </cell>
          <cell r="AI728">
            <v>50.1</v>
          </cell>
          <cell r="AU728">
            <v>98.55311063729188</v>
          </cell>
          <cell r="AV728">
            <v>100.12164085794217</v>
          </cell>
          <cell r="AX728" t="str">
            <v>R. Regis</v>
          </cell>
        </row>
        <row r="729">
          <cell r="A729" t="str">
            <v>CA680</v>
          </cell>
          <cell r="P729">
            <v>61</v>
          </cell>
          <cell r="Q729">
            <v>9.6487985212569285</v>
          </cell>
          <cell r="T729">
            <v>0.26041666666666669</v>
          </cell>
          <cell r="U729">
            <v>0.37638888888888888</v>
          </cell>
          <cell r="V729">
            <v>62</v>
          </cell>
          <cell r="Z729">
            <v>0.2722222222222222</v>
          </cell>
          <cell r="AF729">
            <v>49.6</v>
          </cell>
          <cell r="AG729">
            <v>11.7</v>
          </cell>
          <cell r="AI729">
            <v>50.2</v>
          </cell>
          <cell r="AU729">
            <v>99.126741243313148</v>
          </cell>
          <cell r="AV729">
            <v>100.70407459459798</v>
          </cell>
          <cell r="AX729" t="str">
            <v>R. Regis</v>
          </cell>
        </row>
        <row r="730">
          <cell r="A730" t="str">
            <v>CA681</v>
          </cell>
          <cell r="P730">
            <v>60</v>
          </cell>
          <cell r="Q730">
            <v>10.407407407407403</v>
          </cell>
          <cell r="T730">
            <v>0.3659722222222222</v>
          </cell>
          <cell r="U730">
            <v>0.48888888888888887</v>
          </cell>
          <cell r="V730">
            <v>64</v>
          </cell>
          <cell r="Z730">
            <v>0.27361111111111108</v>
          </cell>
          <cell r="AF730">
            <v>49.1</v>
          </cell>
          <cell r="AG730">
            <v>11.3</v>
          </cell>
          <cell r="AI730">
            <v>51.2</v>
          </cell>
          <cell r="AU730">
            <v>97.093447006200122</v>
          </cell>
          <cell r="AV730">
            <v>98.638745829053391</v>
          </cell>
          <cell r="AX730" t="str">
            <v>R. Regis</v>
          </cell>
        </row>
        <row r="731">
          <cell r="A731" t="str">
            <v>CA682</v>
          </cell>
          <cell r="P731">
            <v>60</v>
          </cell>
          <cell r="Q731">
            <v>7.2592592592592622</v>
          </cell>
          <cell r="T731">
            <v>0.47916666666666669</v>
          </cell>
          <cell r="U731">
            <v>0.61458333333333337</v>
          </cell>
          <cell r="V731">
            <v>63</v>
          </cell>
          <cell r="Z731">
            <v>0.29861111111111116</v>
          </cell>
          <cell r="AF731">
            <v>50.8</v>
          </cell>
          <cell r="AG731">
            <v>12.5</v>
          </cell>
          <cell r="AI731">
            <v>51.4</v>
          </cell>
          <cell r="AU731">
            <v>108.52324334564575</v>
          </cell>
          <cell r="AV731">
            <v>110.25033518128058</v>
          </cell>
          <cell r="AX731" t="str">
            <v>K. Benjamin</v>
          </cell>
        </row>
        <row r="732">
          <cell r="A732" t="str">
            <v>CA683</v>
          </cell>
          <cell r="P732">
            <v>61</v>
          </cell>
          <cell r="Q732">
            <v>11.518518518518517</v>
          </cell>
          <cell r="T732">
            <v>0.95694444444444449</v>
          </cell>
          <cell r="U732">
            <v>1.0805555555555555</v>
          </cell>
          <cell r="V732">
            <v>60</v>
          </cell>
          <cell r="Z732">
            <v>0.26111111111111107</v>
          </cell>
          <cell r="AF732">
            <v>48.5</v>
          </cell>
          <cell r="AG732">
            <v>11.6</v>
          </cell>
          <cell r="AI732">
            <v>49.4</v>
          </cell>
          <cell r="AU732">
            <v>96.180187549630773</v>
          </cell>
          <cell r="AV732">
            <v>97.711056390981454</v>
          </cell>
          <cell r="AX732" t="str">
            <v>K. Benjamin</v>
          </cell>
        </row>
        <row r="733">
          <cell r="A733" t="str">
            <v>CA684</v>
          </cell>
          <cell r="P733">
            <v>61</v>
          </cell>
          <cell r="Q733">
            <v>11.127541589648803</v>
          </cell>
          <cell r="T733">
            <v>1.0680555555555555</v>
          </cell>
          <cell r="U733">
            <v>1.1826388888888888</v>
          </cell>
          <cell r="V733">
            <v>57</v>
          </cell>
          <cell r="Z733">
            <v>0.27986111111111101</v>
          </cell>
          <cell r="AF733">
            <v>48.8</v>
          </cell>
          <cell r="AG733">
            <v>11.7</v>
          </cell>
          <cell r="AI733">
            <v>49.3</v>
          </cell>
          <cell r="AU733">
            <v>97.102481872305134</v>
          </cell>
          <cell r="AV733">
            <v>98.647818138448599</v>
          </cell>
          <cell r="AX733" t="str">
            <v>K. Benjamin</v>
          </cell>
        </row>
        <row r="734">
          <cell r="A734" t="str">
            <v>CA685</v>
          </cell>
          <cell r="P734">
            <v>59</v>
          </cell>
          <cell r="Q734">
            <v>10.573012939001845</v>
          </cell>
          <cell r="T734">
            <v>1.1701388888888888</v>
          </cell>
          <cell r="U734">
            <v>1.2875000000000001</v>
          </cell>
          <cell r="V734">
            <v>56</v>
          </cell>
          <cell r="Z734">
            <v>0.27708333333333335</v>
          </cell>
          <cell r="AF734">
            <v>49.1</v>
          </cell>
          <cell r="AG734">
            <v>11.8</v>
          </cell>
          <cell r="AI734">
            <v>49.4</v>
          </cell>
          <cell r="AU734">
            <v>98.17458240291262</v>
          </cell>
          <cell r="AV734">
            <v>99.736980599904328</v>
          </cell>
          <cell r="AX734" t="str">
            <v>R. Regis</v>
          </cell>
        </row>
        <row r="735">
          <cell r="A735" t="str">
            <v>CA686</v>
          </cell>
          <cell r="P735">
            <v>62</v>
          </cell>
          <cell r="Q735">
            <v>8.3548983364140526</v>
          </cell>
          <cell r="T735">
            <v>0.2902777777777778</v>
          </cell>
          <cell r="U735">
            <v>0.43194444444444446</v>
          </cell>
          <cell r="V735">
            <v>63</v>
          </cell>
          <cell r="Z735">
            <v>0.29652777777777783</v>
          </cell>
          <cell r="AF735">
            <v>50.3</v>
          </cell>
          <cell r="AG735">
            <v>11.5</v>
          </cell>
          <cell r="AI735">
            <v>50.7</v>
          </cell>
          <cell r="AU735">
            <v>98.18822759357343</v>
          </cell>
          <cell r="AV735">
            <v>99.7507351326785</v>
          </cell>
          <cell r="AX735" t="str">
            <v>R. Regis</v>
          </cell>
        </row>
        <row r="736">
          <cell r="A736" t="str">
            <v>CA687</v>
          </cell>
          <cell r="P736">
            <v>58</v>
          </cell>
          <cell r="Q736">
            <v>9.0942698706099847</v>
          </cell>
          <cell r="T736">
            <v>0.41805555555555557</v>
          </cell>
          <cell r="U736">
            <v>0.54374999999999996</v>
          </cell>
          <cell r="V736">
            <v>63</v>
          </cell>
          <cell r="Z736">
            <v>0.28333333333333327</v>
          </cell>
          <cell r="AF736">
            <v>49.9</v>
          </cell>
          <cell r="AG736">
            <v>11.8</v>
          </cell>
          <cell r="AI736">
            <v>50.3</v>
          </cell>
          <cell r="AU736">
            <v>99.836488721311795</v>
          </cell>
          <cell r="AV736">
            <v>101.42544465248801</v>
          </cell>
          <cell r="AX736" t="str">
            <v>R. Sookram</v>
          </cell>
        </row>
        <row r="737">
          <cell r="A737" t="str">
            <v>CA688</v>
          </cell>
          <cell r="P737">
            <v>64</v>
          </cell>
          <cell r="Q737">
            <v>11.518518518518517</v>
          </cell>
          <cell r="T737">
            <v>0.52916666666666667</v>
          </cell>
          <cell r="U737">
            <v>0.65</v>
          </cell>
          <cell r="V737">
            <v>58</v>
          </cell>
          <cell r="Z737">
            <v>0.2680555555555556</v>
          </cell>
          <cell r="AF737">
            <v>48.5</v>
          </cell>
          <cell r="AG737">
            <v>11.9</v>
          </cell>
          <cell r="AI737">
            <v>47.7</v>
          </cell>
          <cell r="AU737">
            <v>96.129104901277245</v>
          </cell>
          <cell r="AV737">
            <v>97.658526544714448</v>
          </cell>
          <cell r="AX737" t="str">
            <v>R. Sookram</v>
          </cell>
        </row>
        <row r="738">
          <cell r="A738" t="str">
            <v>CA689</v>
          </cell>
          <cell r="P738">
            <v>58</v>
          </cell>
          <cell r="Q738">
            <v>10.407407407407403</v>
          </cell>
          <cell r="T738">
            <v>0.63680555555555551</v>
          </cell>
          <cell r="U738">
            <v>0.76249999999999996</v>
          </cell>
          <cell r="V738">
            <v>63</v>
          </cell>
          <cell r="Z738">
            <v>0.26249999999999996</v>
          </cell>
          <cell r="AF738">
            <v>49.1</v>
          </cell>
          <cell r="AG738">
            <v>11.6</v>
          </cell>
          <cell r="AI738">
            <v>50.9</v>
          </cell>
          <cell r="AU738">
            <v>96.773121785755123</v>
          </cell>
          <cell r="AV738">
            <v>98.315387286588233</v>
          </cell>
          <cell r="AX738" t="str">
            <v>R. Sookram</v>
          </cell>
        </row>
        <row r="739">
          <cell r="A739" t="str">
            <v>CA690</v>
          </cell>
          <cell r="P739">
            <v>60</v>
          </cell>
          <cell r="Q739">
            <v>7.8148148148148131</v>
          </cell>
          <cell r="T739">
            <v>0.74930555555555556</v>
          </cell>
          <cell r="U739">
            <v>0.87013888888888891</v>
          </cell>
          <cell r="V739">
            <v>58</v>
          </cell>
          <cell r="Z739">
            <v>0.26250000000000007</v>
          </cell>
          <cell r="AF739">
            <v>50.5</v>
          </cell>
          <cell r="AG739">
            <v>11.4</v>
          </cell>
          <cell r="AI739">
            <v>52</v>
          </cell>
          <cell r="AU739">
            <v>100.67902306542751</v>
          </cell>
          <cell r="AV739">
            <v>102.2803858299127</v>
          </cell>
          <cell r="AX739" t="str">
            <v>K. Benjamin</v>
          </cell>
        </row>
        <row r="740">
          <cell r="A740" t="str">
            <v>CA691</v>
          </cell>
          <cell r="P740">
            <v>59</v>
          </cell>
          <cell r="Q740">
            <v>11.497227356746762</v>
          </cell>
          <cell r="T740">
            <v>0.6069444444444444</v>
          </cell>
          <cell r="U740">
            <v>0.72222222222222221</v>
          </cell>
          <cell r="V740">
            <v>59</v>
          </cell>
          <cell r="Z740">
            <v>0.25694444444444442</v>
          </cell>
          <cell r="AF740">
            <v>51.4</v>
          </cell>
          <cell r="AG740">
            <v>11.7</v>
          </cell>
          <cell r="AI740">
            <v>51.8</v>
          </cell>
          <cell r="AU740">
            <v>99.289141660170145</v>
          </cell>
          <cell r="AV740">
            <v>100.46551152774322</v>
          </cell>
          <cell r="AX740" t="str">
            <v>R. Regis</v>
          </cell>
        </row>
        <row r="741">
          <cell r="A741" t="str">
            <v>CA692</v>
          </cell>
          <cell r="P741">
            <v>58</v>
          </cell>
          <cell r="Q741">
            <v>11.497227356746762</v>
          </cell>
          <cell r="T741">
            <v>0.71666666666666667</v>
          </cell>
          <cell r="U741">
            <v>0.82291666666666663</v>
          </cell>
          <cell r="V741">
            <v>58</v>
          </cell>
          <cell r="Z741">
            <v>0.25347222222222221</v>
          </cell>
          <cell r="AF741">
            <v>50.2</v>
          </cell>
          <cell r="AG741">
            <v>11.9</v>
          </cell>
          <cell r="AI741">
            <v>50.7</v>
          </cell>
          <cell r="AU741">
            <v>99.330638505114962</v>
          </cell>
          <cell r="AV741">
            <v>100.10092572379527</v>
          </cell>
          <cell r="AX741" t="str">
            <v>R. Regis</v>
          </cell>
        </row>
        <row r="742">
          <cell r="A742" t="str">
            <v>CA693</v>
          </cell>
          <cell r="P742">
            <v>57</v>
          </cell>
          <cell r="Q742">
            <v>12.421441774491679</v>
          </cell>
          <cell r="T742">
            <v>0.84722222222222221</v>
          </cell>
          <cell r="U742">
            <v>0.95902777777777781</v>
          </cell>
          <cell r="V742">
            <v>56</v>
          </cell>
          <cell r="Z742">
            <v>0.27500000000000002</v>
          </cell>
          <cell r="AF742">
            <v>50.5</v>
          </cell>
          <cell r="AG742">
            <v>12</v>
          </cell>
          <cell r="AI742">
            <v>51</v>
          </cell>
          <cell r="AU742">
            <v>100.92529729319159</v>
          </cell>
          <cell r="AV742">
            <v>101.70790009349962</v>
          </cell>
          <cell r="AX742" t="str">
            <v>R. Regis</v>
          </cell>
        </row>
        <row r="743">
          <cell r="A743" t="str">
            <v>CA694</v>
          </cell>
          <cell r="P743">
            <v>58</v>
          </cell>
          <cell r="Q743">
            <v>9.8336414048059151</v>
          </cell>
          <cell r="T743">
            <v>0.94305555555555554</v>
          </cell>
          <cell r="U743">
            <v>1.0909722222222222</v>
          </cell>
          <cell r="V743">
            <v>53</v>
          </cell>
          <cell r="Z743">
            <v>0.30277777777777781</v>
          </cell>
          <cell r="AF743">
            <v>50.7</v>
          </cell>
          <cell r="AG743">
            <v>12</v>
          </cell>
          <cell r="AI743">
            <v>51.2</v>
          </cell>
          <cell r="AU743">
            <v>101.94859726081698</v>
          </cell>
          <cell r="AV743">
            <v>102.73887731575459</v>
          </cell>
          <cell r="AX743" t="str">
            <v>R. Sookram</v>
          </cell>
        </row>
        <row r="744">
          <cell r="A744" t="str">
            <v>CA695</v>
          </cell>
          <cell r="P744">
            <v>45</v>
          </cell>
          <cell r="Q744">
            <v>9.8518518518518512</v>
          </cell>
          <cell r="T744">
            <v>1.0416666666666667</v>
          </cell>
          <cell r="U744">
            <v>1.1597222222222223</v>
          </cell>
          <cell r="V744">
            <v>53</v>
          </cell>
          <cell r="Z744">
            <v>0.26736111111111116</v>
          </cell>
          <cell r="AF744">
            <v>49.4</v>
          </cell>
          <cell r="AG744">
            <v>11.9</v>
          </cell>
          <cell r="AI744">
            <v>50.3</v>
          </cell>
          <cell r="AU744">
            <v>98.546964828545995</v>
          </cell>
          <cell r="AV744">
            <v>99.311174830510865</v>
          </cell>
          <cell r="AX744" t="str">
            <v>R. Sookram</v>
          </cell>
        </row>
        <row r="745">
          <cell r="A745" t="str">
            <v>CA696</v>
          </cell>
          <cell r="P745">
            <v>61</v>
          </cell>
          <cell r="Q745">
            <v>8</v>
          </cell>
          <cell r="T745">
            <v>1.1520833333333333</v>
          </cell>
          <cell r="U745">
            <v>1.2673611111111112</v>
          </cell>
          <cell r="V745">
            <v>55</v>
          </cell>
          <cell r="Z745">
            <v>0.27083333333333337</v>
          </cell>
          <cell r="AF745">
            <v>52</v>
          </cell>
          <cell r="AG745">
            <v>11.8</v>
          </cell>
          <cell r="AI745">
            <v>52.4</v>
          </cell>
          <cell r="AU745">
            <v>101.75420442737169</v>
          </cell>
          <cell r="AV745">
            <v>102.54328586585805</v>
          </cell>
          <cell r="AX745" t="str">
            <v>K. Benjamin</v>
          </cell>
        </row>
        <row r="746">
          <cell r="A746" t="str">
            <v>CA697</v>
          </cell>
          <cell r="P746">
            <v>59</v>
          </cell>
          <cell r="Q746">
            <v>6.1481481481481488</v>
          </cell>
          <cell r="T746">
            <v>0.25347222222222221</v>
          </cell>
          <cell r="U746">
            <v>0.36805555555555558</v>
          </cell>
          <cell r="V746">
            <v>63</v>
          </cell>
          <cell r="Z746">
            <v>0.2638888888888889</v>
          </cell>
          <cell r="AF746">
            <v>51.4</v>
          </cell>
          <cell r="AG746">
            <v>11.9</v>
          </cell>
          <cell r="AI746">
            <v>51.6</v>
          </cell>
          <cell r="AU746">
            <v>100.59914666956269</v>
          </cell>
          <cell r="AV746">
            <v>101.37947158397257</v>
          </cell>
          <cell r="AX746" t="str">
            <v>K. Benjamin</v>
          </cell>
        </row>
        <row r="747">
          <cell r="A747" t="str">
            <v>CA698</v>
          </cell>
          <cell r="P747">
            <v>60</v>
          </cell>
          <cell r="Q747">
            <v>8.9094269870609999</v>
          </cell>
          <cell r="T747">
            <v>0.35555555555555557</v>
          </cell>
          <cell r="U747">
            <v>0.46319444444444446</v>
          </cell>
          <cell r="V747">
            <v>55</v>
          </cell>
          <cell r="Z747">
            <v>0.27569444444444446</v>
          </cell>
          <cell r="AF747">
            <v>50</v>
          </cell>
          <cell r="AG747">
            <v>11.7</v>
          </cell>
          <cell r="AI747">
            <v>50.5</v>
          </cell>
          <cell r="AU747">
            <v>96.83330789221209</v>
          </cell>
          <cell r="AV747">
            <v>97.584373925744757</v>
          </cell>
          <cell r="AX747" t="str">
            <v>K. Benjamin</v>
          </cell>
        </row>
        <row r="748">
          <cell r="A748" t="str">
            <v>CA699</v>
          </cell>
          <cell r="P748">
            <v>61</v>
          </cell>
          <cell r="Q748">
            <v>12.975970425138639</v>
          </cell>
          <cell r="T748">
            <v>0.63680555555555551</v>
          </cell>
          <cell r="U748">
            <v>0.74583333333333335</v>
          </cell>
          <cell r="V748">
            <v>61</v>
          </cell>
          <cell r="Z748">
            <v>0.25277777777777777</v>
          </cell>
          <cell r="AF748">
            <v>49</v>
          </cell>
          <cell r="AG748">
            <v>11.8</v>
          </cell>
          <cell r="AI748">
            <v>49.7</v>
          </cell>
          <cell r="AU748">
            <v>96.27440025962683</v>
          </cell>
          <cell r="AV748">
            <v>97.021083292762469</v>
          </cell>
          <cell r="AX748" t="str">
            <v>R. Regis</v>
          </cell>
        </row>
        <row r="749">
          <cell r="A749" t="str">
            <v>CA700</v>
          </cell>
          <cell r="P749">
            <v>59</v>
          </cell>
          <cell r="Q749">
            <v>13.715341959334568</v>
          </cell>
          <cell r="T749">
            <v>0.73472222222222228</v>
          </cell>
          <cell r="U749">
            <v>0.84444444444444444</v>
          </cell>
          <cell r="V749">
            <v>59</v>
          </cell>
          <cell r="Z749">
            <v>0.24722222222222223</v>
          </cell>
          <cell r="AF749">
            <v>49.4</v>
          </cell>
          <cell r="AG749">
            <v>11.9</v>
          </cell>
          <cell r="AI749">
            <v>50</v>
          </cell>
          <cell r="AU749">
            <v>98.200690439983745</v>
          </cell>
          <cell r="AV749">
            <v>98.962116481498398</v>
          </cell>
          <cell r="AX749" t="str">
            <v>R. Regis</v>
          </cell>
        </row>
        <row r="750">
          <cell r="A750" t="str">
            <v>CA701</v>
          </cell>
          <cell r="P750">
            <v>61</v>
          </cell>
          <cell r="Q750">
            <v>14.085027726432529</v>
          </cell>
          <cell r="T750">
            <v>0.83333333333333337</v>
          </cell>
          <cell r="U750">
            <v>0.94027777777777777</v>
          </cell>
          <cell r="V750">
            <v>57</v>
          </cell>
          <cell r="Z750">
            <v>0.25277777777777777</v>
          </cell>
          <cell r="AF750">
            <v>48.4</v>
          </cell>
          <cell r="AG750">
            <v>11.8</v>
          </cell>
          <cell r="AI750">
            <v>49.1</v>
          </cell>
          <cell r="AU750">
            <v>95.935798235039968</v>
          </cell>
          <cell r="AV750">
            <v>96.679517313882144</v>
          </cell>
          <cell r="AX750" t="str">
            <v>D. Gomaz</v>
          </cell>
        </row>
        <row r="751">
          <cell r="A751" t="str">
            <v>CA702</v>
          </cell>
          <cell r="P751">
            <v>59</v>
          </cell>
          <cell r="Q751">
            <v>12.421441774491679</v>
          </cell>
          <cell r="T751">
            <v>0.93263888888888891</v>
          </cell>
          <cell r="U751">
            <v>1.0416666666666667</v>
          </cell>
          <cell r="V751">
            <v>54</v>
          </cell>
          <cell r="Z751">
            <v>0.25000000000000011</v>
          </cell>
          <cell r="AF751">
            <v>50.9</v>
          </cell>
          <cell r="AG751">
            <v>12.2</v>
          </cell>
          <cell r="AI751">
            <v>51.5</v>
          </cell>
          <cell r="AU751">
            <v>103.95583994710779</v>
          </cell>
          <cell r="AV751">
            <v>104.7618376976899</v>
          </cell>
          <cell r="AX751" t="str">
            <v>D. Gomaz</v>
          </cell>
        </row>
        <row r="752">
          <cell r="A752" t="str">
            <v>CA703</v>
          </cell>
          <cell r="P752">
            <v>59</v>
          </cell>
          <cell r="Q752">
            <v>13.92592592592592</v>
          </cell>
          <cell r="T752">
            <v>1.1076388888888888</v>
          </cell>
          <cell r="U752">
            <v>1.2138888888888888</v>
          </cell>
          <cell r="V752">
            <v>50</v>
          </cell>
          <cell r="Z752">
            <v>0.24861111111111101</v>
          </cell>
          <cell r="AF752">
            <v>47.2</v>
          </cell>
          <cell r="AG752">
            <v>11.9</v>
          </cell>
          <cell r="AI752">
            <v>47.6</v>
          </cell>
          <cell r="AU752">
            <v>93.602427745802785</v>
          </cell>
          <cell r="AV752">
            <v>94.32815269064983</v>
          </cell>
          <cell r="AX752" t="str">
            <v>K. Benjamin</v>
          </cell>
        </row>
        <row r="753">
          <cell r="A753" t="str">
            <v>CA704</v>
          </cell>
          <cell r="P753">
            <v>61</v>
          </cell>
          <cell r="Q753">
            <v>10.03703703703704</v>
          </cell>
          <cell r="T753">
            <v>0.20416666666666666</v>
          </cell>
          <cell r="U753">
            <v>0.30694444444444446</v>
          </cell>
          <cell r="V753">
            <v>53</v>
          </cell>
          <cell r="Z753">
            <v>0.24444444444444446</v>
          </cell>
          <cell r="AF753">
            <v>49.3</v>
          </cell>
          <cell r="AG753">
            <v>11.7</v>
          </cell>
          <cell r="AI753">
            <v>48.9</v>
          </cell>
          <cell r="AU753">
            <v>94.459604984803278</v>
          </cell>
          <cell r="AV753">
            <v>95.191975856678908</v>
          </cell>
          <cell r="AX753" t="str">
            <v>K. Benjamin</v>
          </cell>
        </row>
        <row r="754">
          <cell r="A754" t="str">
            <v>CA705</v>
          </cell>
          <cell r="P754">
            <v>60</v>
          </cell>
          <cell r="Q754">
            <v>11.497227356746762</v>
          </cell>
          <cell r="T754">
            <v>0.30138888888888887</v>
          </cell>
          <cell r="U754">
            <v>0.41180555555555554</v>
          </cell>
          <cell r="V754">
            <v>55</v>
          </cell>
          <cell r="Z754">
            <v>0.25208333333333333</v>
          </cell>
          <cell r="AF754">
            <v>49.8</v>
          </cell>
          <cell r="AG754">
            <v>11.9</v>
          </cell>
          <cell r="AI754">
            <v>50.3</v>
          </cell>
          <cell r="AU754">
            <v>99.279364994320531</v>
          </cell>
          <cell r="AV754">
            <v>100.04895382761427</v>
          </cell>
          <cell r="AX754" t="str">
            <v>K. Benjamin</v>
          </cell>
        </row>
        <row r="755">
          <cell r="A755" t="str">
            <v>CA706</v>
          </cell>
          <cell r="P755">
            <v>60</v>
          </cell>
          <cell r="Q755">
            <v>10.573012939001845</v>
          </cell>
          <cell r="T755">
            <v>0.40138888888888891</v>
          </cell>
          <cell r="U755">
            <v>0.5131944444444444</v>
          </cell>
          <cell r="V755">
            <v>58</v>
          </cell>
          <cell r="Z755">
            <v>0.25624999999999998</v>
          </cell>
          <cell r="AF755">
            <v>49.1</v>
          </cell>
          <cell r="AG755">
            <v>12</v>
          </cell>
          <cell r="AI755">
            <v>49.4</v>
          </cell>
          <cell r="AU755">
            <v>98.854256189992114</v>
          </cell>
          <cell r="AV755">
            <v>99.620347546540984</v>
          </cell>
          <cell r="AX755" t="str">
            <v>K. Benjamin</v>
          </cell>
        </row>
        <row r="756">
          <cell r="A756" t="str">
            <v>CA707</v>
          </cell>
          <cell r="P756">
            <v>60</v>
          </cell>
          <cell r="Q756">
            <v>9.2791127541589713</v>
          </cell>
          <cell r="T756">
            <v>0.49652777777777779</v>
          </cell>
          <cell r="U756">
            <v>0.60972222222222228</v>
          </cell>
          <cell r="V756">
            <v>58</v>
          </cell>
          <cell r="Z756">
            <v>0.25555555555555559</v>
          </cell>
          <cell r="AF756">
            <v>50.6</v>
          </cell>
          <cell r="AG756">
            <v>11.9</v>
          </cell>
          <cell r="AI756">
            <v>51.2</v>
          </cell>
          <cell r="AU756">
            <v>98.732110806844759</v>
          </cell>
          <cell r="AV756">
            <v>99.498389756920488</v>
          </cell>
          <cell r="AX756" t="str">
            <v>R. Regis</v>
          </cell>
        </row>
        <row r="757">
          <cell r="A757" t="str">
            <v>CA708</v>
          </cell>
          <cell r="P757">
            <v>60</v>
          </cell>
          <cell r="Q757">
            <v>9.4639556377079437</v>
          </cell>
          <cell r="T757">
            <v>0.59861111111111109</v>
          </cell>
          <cell r="U757">
            <v>0.70763888888888893</v>
          </cell>
          <cell r="V757">
            <v>58</v>
          </cell>
          <cell r="Z757">
            <v>0.25972222222222224</v>
          </cell>
          <cell r="AF757">
            <v>50.1</v>
          </cell>
          <cell r="AG757">
            <v>12</v>
          </cell>
          <cell r="AI757">
            <v>50.7</v>
          </cell>
          <cell r="AU757">
            <v>100.95300549069179</v>
          </cell>
          <cell r="AV757">
            <v>101.73556796696792</v>
          </cell>
          <cell r="AX757" t="str">
            <v>R. Regis</v>
          </cell>
        </row>
        <row r="758">
          <cell r="A758" t="str">
            <v>CA709</v>
          </cell>
          <cell r="P758">
            <v>63</v>
          </cell>
          <cell r="Q758">
            <v>9.8336414048059151</v>
          </cell>
          <cell r="T758">
            <v>0.70138888888888884</v>
          </cell>
          <cell r="U758">
            <v>0.81111111111111112</v>
          </cell>
          <cell r="V758">
            <v>59</v>
          </cell>
          <cell r="Z758">
            <v>0.26249999999999996</v>
          </cell>
          <cell r="AF758">
            <v>49.5</v>
          </cell>
          <cell r="AG758">
            <v>11.9</v>
          </cell>
          <cell r="AI758">
            <v>49.9</v>
          </cell>
          <cell r="AU758">
            <v>98.368022017893821</v>
          </cell>
          <cell r="AV758">
            <v>99.130596323508485</v>
          </cell>
          <cell r="AX758" t="str">
            <v>R. Regis</v>
          </cell>
        </row>
        <row r="759">
          <cell r="A759" t="str">
            <v>CA710</v>
          </cell>
          <cell r="P759">
            <v>60</v>
          </cell>
          <cell r="Q759">
            <v>9.4639556377079437</v>
          </cell>
          <cell r="T759">
            <v>0.79513888888888884</v>
          </cell>
          <cell r="U759">
            <v>0.91527777777777775</v>
          </cell>
          <cell r="V759">
            <v>57</v>
          </cell>
          <cell r="Z759">
            <v>0.26249999999999996</v>
          </cell>
          <cell r="AF759">
            <v>50.1</v>
          </cell>
          <cell r="AG759">
            <v>12</v>
          </cell>
          <cell r="AI759">
            <v>51.1</v>
          </cell>
          <cell r="AU759">
            <v>101.37277811430624</v>
          </cell>
          <cell r="AV759">
            <v>102.15874868769549</v>
          </cell>
          <cell r="AX759" t="str">
            <v>D. Gomaz</v>
          </cell>
        </row>
        <row r="760">
          <cell r="A760" t="str">
            <v>CA711</v>
          </cell>
          <cell r="P760">
            <v>60</v>
          </cell>
          <cell r="Q760">
            <v>13.92592592592592</v>
          </cell>
          <cell r="T760">
            <v>0.97777777777777775</v>
          </cell>
          <cell r="U760">
            <v>1.0888888888888888</v>
          </cell>
          <cell r="V760">
            <v>54</v>
          </cell>
          <cell r="Z760">
            <v>0.25208333333333321</v>
          </cell>
          <cell r="AF760">
            <v>49.2</v>
          </cell>
          <cell r="AG760">
            <v>11.7</v>
          </cell>
          <cell r="AI760">
            <v>49.4</v>
          </cell>
          <cell r="AU760">
            <v>95.073465016717392</v>
          </cell>
          <cell r="AV760">
            <v>95.810738792867085</v>
          </cell>
          <cell r="AX760" t="str">
            <v>D. Gomaz</v>
          </cell>
        </row>
        <row r="761">
          <cell r="A761" t="str">
            <v>CA712</v>
          </cell>
          <cell r="P761">
            <v>60</v>
          </cell>
          <cell r="Q761">
            <v>14.111111111111107</v>
          </cell>
          <cell r="T761">
            <v>1.0902777777777777</v>
          </cell>
          <cell r="U761">
            <v>1.1965277777777779</v>
          </cell>
          <cell r="V761">
            <v>51</v>
          </cell>
          <cell r="Z761">
            <v>0.25555555555555565</v>
          </cell>
          <cell r="AF761">
            <v>47.9</v>
          </cell>
          <cell r="AG761">
            <v>11.9</v>
          </cell>
          <cell r="AI761">
            <v>48.5</v>
          </cell>
          <cell r="AU761">
            <v>95.845344590065395</v>
          </cell>
          <cell r="AV761">
            <v>96.588264940667742</v>
          </cell>
          <cell r="AX761" t="str">
            <v>D. Gomaz</v>
          </cell>
        </row>
        <row r="762">
          <cell r="A762" t="str">
            <v>CA713</v>
          </cell>
          <cell r="P762">
            <v>61</v>
          </cell>
          <cell r="Q762">
            <v>11.518518518518517</v>
          </cell>
          <cell r="T762">
            <v>0.18541666666666667</v>
          </cell>
          <cell r="U762">
            <v>0.29583333333333334</v>
          </cell>
          <cell r="V762">
            <v>55</v>
          </cell>
          <cell r="Z762">
            <v>0.25416666666666665</v>
          </cell>
          <cell r="AF762">
            <v>49.3</v>
          </cell>
          <cell r="AG762">
            <v>11.9</v>
          </cell>
          <cell r="AI762">
            <v>49.9</v>
          </cell>
          <cell r="AU762">
            <v>98.85722005187705</v>
          </cell>
          <cell r="AV762">
            <v>99.623385102289589</v>
          </cell>
          <cell r="AX762" t="str">
            <v>K. Benjamin</v>
          </cell>
        </row>
        <row r="763">
          <cell r="A763" t="str">
            <v>CA714</v>
          </cell>
          <cell r="P763">
            <v>62</v>
          </cell>
          <cell r="Q763">
            <v>8.5931558935361281</v>
          </cell>
          <cell r="T763">
            <v>0.28055555555555556</v>
          </cell>
          <cell r="U763">
            <v>0.39097222222222222</v>
          </cell>
          <cell r="V763">
            <v>56</v>
          </cell>
          <cell r="Z763">
            <v>0.24861111111111112</v>
          </cell>
          <cell r="AF763">
            <v>50</v>
          </cell>
          <cell r="AG763">
            <v>11.8</v>
          </cell>
          <cell r="AI763">
            <v>50.7</v>
          </cell>
          <cell r="AU763">
            <v>97.25721435799521</v>
          </cell>
          <cell r="AV763">
            <v>98.01190416376528</v>
          </cell>
          <cell r="AX763" t="str">
            <v>K. Benjamin</v>
          </cell>
        </row>
        <row r="764">
          <cell r="A764" t="str">
            <v>CA715</v>
          </cell>
          <cell r="P764">
            <v>60</v>
          </cell>
          <cell r="Q764">
            <v>12.05175600739372</v>
          </cell>
          <cell r="T764">
            <v>0.76111111111111107</v>
          </cell>
          <cell r="U764">
            <v>0.8833333333333333</v>
          </cell>
          <cell r="V764">
            <v>60</v>
          </cell>
          <cell r="Z764">
            <v>0.2583333333333333</v>
          </cell>
          <cell r="AF764">
            <v>49.1</v>
          </cell>
          <cell r="AG764">
            <v>11.8</v>
          </cell>
          <cell r="AI764">
            <v>49.4</v>
          </cell>
          <cell r="AU764">
            <v>96.785999739603284</v>
          </cell>
          <cell r="AV764">
            <v>97.875405153209854</v>
          </cell>
          <cell r="AX764" t="str">
            <v>K. Benjamin</v>
          </cell>
        </row>
        <row r="765">
          <cell r="A765" t="str">
            <v>CA716</v>
          </cell>
          <cell r="P765">
            <v>61</v>
          </cell>
          <cell r="Q765">
            <v>11.312384473197778</v>
          </cell>
          <cell r="T765">
            <v>0.94374999999999998</v>
          </cell>
          <cell r="U765">
            <v>1.0506944444444444</v>
          </cell>
          <cell r="V765">
            <v>59</v>
          </cell>
          <cell r="Z765">
            <v>0.2451388888888888</v>
          </cell>
          <cell r="AF765">
            <v>49.5</v>
          </cell>
          <cell r="AG765">
            <v>12</v>
          </cell>
          <cell r="AI765">
            <v>50.2</v>
          </cell>
          <cell r="AU765">
            <v>99.364558642314563</v>
          </cell>
          <cell r="AV765">
            <v>100.48342940736923</v>
          </cell>
          <cell r="AX765" t="str">
            <v>R. Regis</v>
          </cell>
        </row>
        <row r="766">
          <cell r="A766" t="str">
            <v>CA717</v>
          </cell>
          <cell r="P766">
            <v>60</v>
          </cell>
          <cell r="Q766">
            <v>10.573012939001845</v>
          </cell>
          <cell r="T766">
            <v>0.85763888888888884</v>
          </cell>
          <cell r="U766">
            <v>0.96875</v>
          </cell>
          <cell r="V766">
            <v>59</v>
          </cell>
          <cell r="Z766">
            <v>0.25347222222222221</v>
          </cell>
          <cell r="AF766">
            <v>49.5</v>
          </cell>
          <cell r="AG766">
            <v>11.9</v>
          </cell>
          <cell r="AI766">
            <v>49.9</v>
          </cell>
          <cell r="AU766">
            <v>98.321101532359165</v>
          </cell>
          <cell r="AV766">
            <v>98.886025614777864</v>
          </cell>
          <cell r="AX766" t="str">
            <v>R. Regis</v>
          </cell>
        </row>
        <row r="767">
          <cell r="A767" t="str">
            <v>CA718</v>
          </cell>
          <cell r="P767">
            <v>60</v>
          </cell>
          <cell r="Q767">
            <v>10.757855822550832</v>
          </cell>
          <cell r="T767">
            <v>1.0284722222222222</v>
          </cell>
          <cell r="U767">
            <v>1.1402777777777777</v>
          </cell>
          <cell r="V767">
            <v>59</v>
          </cell>
          <cell r="Z767">
            <v>0.24444444444444435</v>
          </cell>
          <cell r="AF767">
            <v>50.6</v>
          </cell>
          <cell r="AG767">
            <v>11.9</v>
          </cell>
          <cell r="AI767">
            <v>50.2</v>
          </cell>
          <cell r="AU767">
            <v>98.372755741557143</v>
          </cell>
          <cell r="AV767">
            <v>99.480530778794559</v>
          </cell>
          <cell r="AX767" t="str">
            <v>R. Regis</v>
          </cell>
        </row>
        <row r="768">
          <cell r="A768" t="str">
            <v>CA719</v>
          </cell>
          <cell r="P768">
            <v>57</v>
          </cell>
          <cell r="Q768">
            <v>12.606284658040664</v>
          </cell>
          <cell r="T768">
            <v>1.1569444444444446</v>
          </cell>
          <cell r="U768">
            <v>1.2625</v>
          </cell>
          <cell r="V768">
            <v>55</v>
          </cell>
          <cell r="Z768">
            <v>0.2763888888888888</v>
          </cell>
          <cell r="AF768">
            <v>50.8</v>
          </cell>
          <cell r="AG768">
            <v>11.9</v>
          </cell>
          <cell r="AI768">
            <v>51.2</v>
          </cell>
          <cell r="AU768">
            <v>99.594791192420629</v>
          </cell>
          <cell r="AV768">
            <v>100.71676257090054</v>
          </cell>
          <cell r="AX768" t="str">
            <v>R. Sookram</v>
          </cell>
        </row>
        <row r="769">
          <cell r="A769" t="str">
            <v>CA720</v>
          </cell>
          <cell r="P769">
            <v>57</v>
          </cell>
          <cell r="Q769">
            <v>9.8336414048059151</v>
          </cell>
          <cell r="T769">
            <v>0.24861111111111112</v>
          </cell>
          <cell r="U769">
            <v>0.35486111111111113</v>
          </cell>
          <cell r="V769">
            <v>56</v>
          </cell>
          <cell r="Z769">
            <v>0.27152777777777781</v>
          </cell>
          <cell r="AF769">
            <v>49.5</v>
          </cell>
          <cell r="AG769">
            <v>11.9</v>
          </cell>
          <cell r="AI769">
            <v>50</v>
          </cell>
          <cell r="AU769">
            <v>98.344995127617665</v>
          </cell>
          <cell r="AV769">
            <v>99.452240385302474</v>
          </cell>
          <cell r="AX769" t="str">
            <v>R. Sookram</v>
          </cell>
        </row>
        <row r="770">
          <cell r="A770" t="str">
            <v>CA721</v>
          </cell>
          <cell r="P770">
            <v>61</v>
          </cell>
          <cell r="Q770">
            <v>9.6666666666666643</v>
          </cell>
          <cell r="T770">
            <v>0.33958333333333335</v>
          </cell>
          <cell r="U770">
            <v>0.45694444444444443</v>
          </cell>
          <cell r="V770">
            <v>68</v>
          </cell>
          <cell r="Z770">
            <v>0.25902777777777775</v>
          </cell>
          <cell r="AF770">
            <v>49.9</v>
          </cell>
          <cell r="AG770">
            <v>11.9</v>
          </cell>
          <cell r="AI770">
            <v>50.5</v>
          </cell>
          <cell r="AU770">
            <v>99.451654839471487</v>
          </cell>
          <cell r="AV770">
            <v>100.57128617533446</v>
          </cell>
          <cell r="AX770" t="str">
            <v>R. Sookram</v>
          </cell>
        </row>
        <row r="771">
          <cell r="A771" t="str">
            <v>CA722</v>
          </cell>
          <cell r="P771">
            <v>60</v>
          </cell>
          <cell r="Q771">
            <v>9.4814814814814774</v>
          </cell>
          <cell r="T771">
            <v>0.43055555555555558</v>
          </cell>
          <cell r="U771">
            <v>0.54097222222222219</v>
          </cell>
          <cell r="V771">
            <v>59</v>
          </cell>
          <cell r="Z771">
            <v>0.2493055555555555</v>
          </cell>
          <cell r="AF771">
            <v>50.4</v>
          </cell>
          <cell r="AG771">
            <v>11.9</v>
          </cell>
          <cell r="AI771">
            <v>51</v>
          </cell>
          <cell r="AU771">
            <v>100.31189503016999</v>
          </cell>
          <cell r="AV771">
            <v>101.4412851930085</v>
          </cell>
          <cell r="AX771" t="str">
            <v>R. Sookram</v>
          </cell>
        </row>
        <row r="772">
          <cell r="A772" t="str">
            <v>CA723</v>
          </cell>
          <cell r="P772">
            <v>59</v>
          </cell>
          <cell r="Q772">
            <v>12.975970425138639</v>
          </cell>
          <cell r="T772">
            <v>0.68611111111111112</v>
          </cell>
          <cell r="U772">
            <v>0.8</v>
          </cell>
          <cell r="V772">
            <v>59</v>
          </cell>
          <cell r="Z772">
            <v>0.25138888888888888</v>
          </cell>
          <cell r="AF772">
            <v>48.6</v>
          </cell>
          <cell r="AG772">
            <v>11.9</v>
          </cell>
          <cell r="AI772">
            <v>48.7</v>
          </cell>
          <cell r="AU772">
            <v>96.86810648616374</v>
          </cell>
          <cell r="AV772">
            <v>97.958072410159915</v>
          </cell>
          <cell r="AX772" t="str">
            <v>K. Benjamin</v>
          </cell>
        </row>
        <row r="773">
          <cell r="A773" t="str">
            <v>CA724</v>
          </cell>
          <cell r="P773">
            <v>61</v>
          </cell>
          <cell r="Q773">
            <v>11.682070240295749</v>
          </cell>
          <cell r="T773">
            <v>0.77638888888888891</v>
          </cell>
          <cell r="U773">
            <v>0.88958333333333328</v>
          </cell>
          <cell r="V773">
            <v>60</v>
          </cell>
          <cell r="Z773">
            <v>0.25069444444444444</v>
          </cell>
          <cell r="AF773">
            <v>50.9</v>
          </cell>
          <cell r="AG773">
            <v>12</v>
          </cell>
          <cell r="AI773">
            <v>51.5</v>
          </cell>
          <cell r="AU773">
            <v>99.961185685422222</v>
          </cell>
          <cell r="AV773">
            <v>101.08792764347305</v>
          </cell>
          <cell r="AX773" t="str">
            <v>R. Regis</v>
          </cell>
        </row>
        <row r="774">
          <cell r="A774" t="str">
            <v>CA725</v>
          </cell>
          <cell r="P774">
            <v>60</v>
          </cell>
          <cell r="Q774">
            <v>10.757855822550832</v>
          </cell>
          <cell r="T774">
            <v>0.86388888888888893</v>
          </cell>
          <cell r="U774">
            <v>0.97430555555555554</v>
          </cell>
          <cell r="V774">
            <v>56</v>
          </cell>
          <cell r="Z774">
            <v>0.24513888888888891</v>
          </cell>
          <cell r="AF774">
            <v>50.6</v>
          </cell>
          <cell r="AG774">
            <v>11.8</v>
          </cell>
          <cell r="AI774">
            <v>51.2</v>
          </cell>
          <cell r="AU774">
            <v>99.939323457500208</v>
          </cell>
          <cell r="AV774">
            <v>101.06444498924922</v>
          </cell>
          <cell r="AX774" t="str">
            <v>R. Regis</v>
          </cell>
        </row>
        <row r="775">
          <cell r="A775" t="str">
            <v>CA726</v>
          </cell>
          <cell r="P775">
            <v>62</v>
          </cell>
          <cell r="Q775">
            <v>11.127541589648803</v>
          </cell>
          <cell r="T775">
            <v>0.95208333333333328</v>
          </cell>
          <cell r="U775">
            <v>1.0590277777777777</v>
          </cell>
          <cell r="V775">
            <v>55</v>
          </cell>
          <cell r="Z775">
            <v>0.23958333333333326</v>
          </cell>
          <cell r="AF775">
            <v>49.6</v>
          </cell>
          <cell r="AG775">
            <v>11.9</v>
          </cell>
          <cell r="AI775">
            <v>50.9</v>
          </cell>
          <cell r="AU775">
            <v>99.86775451447069</v>
          </cell>
          <cell r="AV775">
            <v>100.99229139587653</v>
          </cell>
          <cell r="AX775" t="str">
            <v>R. Regis</v>
          </cell>
        </row>
        <row r="776">
          <cell r="A776" t="str">
            <v>CA727</v>
          </cell>
          <cell r="P776">
            <v>58</v>
          </cell>
          <cell r="Q776">
            <v>11.497227356746762</v>
          </cell>
          <cell r="T776">
            <v>1.0458333333333334</v>
          </cell>
          <cell r="U776">
            <v>1.16875</v>
          </cell>
          <cell r="V776">
            <v>58</v>
          </cell>
          <cell r="Z776">
            <v>0.25902777777777775</v>
          </cell>
          <cell r="AF776">
            <v>50.2</v>
          </cell>
          <cell r="AG776">
            <v>11.8</v>
          </cell>
          <cell r="AI776">
            <v>50.8</v>
          </cell>
          <cell r="AU776">
            <v>98.790918499925468</v>
          </cell>
          <cell r="AV776">
            <v>99.903329927830626</v>
          </cell>
          <cell r="AX776" t="str">
            <v>R. Regis</v>
          </cell>
        </row>
        <row r="777">
          <cell r="A777" t="str">
            <v>CA728</v>
          </cell>
          <cell r="AU777">
            <v>99.497291062726106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Summary September '26"/>
      <sheetName val="Summary August '26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  <sheetName val="Packaging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22">
          <cell r="AS22">
            <v>90.83852238031325</v>
          </cell>
        </row>
        <row r="23">
          <cell r="AS23">
            <v>96.684836556310898</v>
          </cell>
        </row>
        <row r="24">
          <cell r="AS24">
            <v>99.232339589579539</v>
          </cell>
        </row>
        <row r="25">
          <cell r="AS25">
            <v>97.192444367259839</v>
          </cell>
        </row>
        <row r="26">
          <cell r="AS26">
            <v>97.669442273884727</v>
          </cell>
        </row>
        <row r="27">
          <cell r="AS27">
            <v>98.409669512415022</v>
          </cell>
        </row>
        <row r="28">
          <cell r="AS28">
            <v>98.526897208705151</v>
          </cell>
        </row>
        <row r="29">
          <cell r="AS29">
            <v>98.632992892535128</v>
          </cell>
        </row>
        <row r="30">
          <cell r="AS30">
            <v>109.99798711625786</v>
          </cell>
        </row>
        <row r="31">
          <cell r="AS31">
            <v>97.655248935825526</v>
          </cell>
        </row>
        <row r="32">
          <cell r="AS32">
            <v>95.59750367474058</v>
          </cell>
        </row>
        <row r="33">
          <cell r="AS33">
            <v>91.227014661850589</v>
          </cell>
        </row>
        <row r="34">
          <cell r="AS34">
            <v>99.225964512754345</v>
          </cell>
        </row>
        <row r="35">
          <cell r="AS35">
            <v>96.399159890042384</v>
          </cell>
        </row>
        <row r="36">
          <cell r="AS36">
            <v>97.533873677524795</v>
          </cell>
        </row>
        <row r="37">
          <cell r="AS37">
            <v>98.662767363445553</v>
          </cell>
        </row>
        <row r="38">
          <cell r="AS38">
            <v>98.110362343721974</v>
          </cell>
        </row>
        <row r="39">
          <cell r="AS39">
            <v>97.644364444691902</v>
          </cell>
        </row>
        <row r="40">
          <cell r="AS40">
            <v>97.453064155420094</v>
          </cell>
        </row>
        <row r="41">
          <cell r="AS41">
            <v>100.20702691272596</v>
          </cell>
        </row>
        <row r="42">
          <cell r="AS42">
            <v>96.346712472097764</v>
          </cell>
        </row>
        <row r="43">
          <cell r="AS43">
            <v>97.523568316559476</v>
          </cell>
        </row>
        <row r="44">
          <cell r="AS44">
            <v>95.926010836532257</v>
          </cell>
        </row>
        <row r="45">
          <cell r="AS45">
            <v>93.454371995230545</v>
          </cell>
        </row>
        <row r="46">
          <cell r="AS46">
            <v>98.103230583960681</v>
          </cell>
        </row>
        <row r="47">
          <cell r="AS47">
            <v>100.44904539532449</v>
          </cell>
        </row>
        <row r="48">
          <cell r="AS48">
            <v>95.833135510284677</v>
          </cell>
        </row>
        <row r="49">
          <cell r="AS49">
            <v>99.410610314879818</v>
          </cell>
        </row>
        <row r="50">
          <cell r="AS50">
            <v>97.098158462404967</v>
          </cell>
        </row>
        <row r="51">
          <cell r="AS51">
            <v>0</v>
          </cell>
        </row>
        <row r="52">
          <cell r="AS52">
            <v>104.87426366689108</v>
          </cell>
        </row>
        <row r="53">
          <cell r="AS53">
            <v>101.76112094286238</v>
          </cell>
        </row>
        <row r="54">
          <cell r="AS54">
            <v>95.359527283738572</v>
          </cell>
        </row>
        <row r="55">
          <cell r="AS55">
            <v>95.527344703430927</v>
          </cell>
        </row>
        <row r="56">
          <cell r="AS56">
            <v>100.07660336606865</v>
          </cell>
        </row>
        <row r="57">
          <cell r="AS57">
            <v>99.467327733929991</v>
          </cell>
        </row>
        <row r="58">
          <cell r="AS58">
            <v>99.703032511968686</v>
          </cell>
        </row>
        <row r="59">
          <cell r="AS59">
            <v>97.74414704454891</v>
          </cell>
        </row>
        <row r="60">
          <cell r="AS60">
            <v>98.138276669728526</v>
          </cell>
        </row>
        <row r="61">
          <cell r="AS61">
            <v>100.18497924496634</v>
          </cell>
        </row>
        <row r="62">
          <cell r="AS62">
            <v>98.239543519521192</v>
          </cell>
        </row>
        <row r="63">
          <cell r="AS63">
            <v>98.533695545018929</v>
          </cell>
        </row>
        <row r="64">
          <cell r="AS64">
            <v>106.23422780270799</v>
          </cell>
        </row>
        <row r="65">
          <cell r="AS65">
            <v>101.82543081774969</v>
          </cell>
        </row>
        <row r="66">
          <cell r="AS66">
            <v>95.866364717151924</v>
          </cell>
        </row>
        <row r="67">
          <cell r="AS67">
            <v>103.14086541165727</v>
          </cell>
        </row>
        <row r="68">
          <cell r="AS68">
            <v>98.629167060203699</v>
          </cell>
        </row>
        <row r="69">
          <cell r="AS69">
            <v>98.859186647542359</v>
          </cell>
        </row>
        <row r="70">
          <cell r="AS70">
            <v>96.813810190504412</v>
          </cell>
        </row>
        <row r="71">
          <cell r="AS71">
            <v>99.638493421142599</v>
          </cell>
        </row>
        <row r="72">
          <cell r="AS72">
            <v>99.741578008131555</v>
          </cell>
        </row>
        <row r="73">
          <cell r="AS73">
            <v>100.21398306039248</v>
          </cell>
        </row>
        <row r="74">
          <cell r="AS74">
            <v>95.650862133364953</v>
          </cell>
        </row>
        <row r="75">
          <cell r="AS75">
            <v>98.001099487384138</v>
          </cell>
        </row>
        <row r="76">
          <cell r="AS76">
            <v>97.461393370976353</v>
          </cell>
        </row>
        <row r="77">
          <cell r="AS77">
            <v>98.255217290461545</v>
          </cell>
        </row>
        <row r="78">
          <cell r="AS78">
            <v>99.546243435804755</v>
          </cell>
        </row>
        <row r="79">
          <cell r="AS79">
            <v>98.33017402501261</v>
          </cell>
        </row>
        <row r="80">
          <cell r="AS80">
            <v>98.333997846966298</v>
          </cell>
        </row>
        <row r="81">
          <cell r="AS81">
            <v>94.60432549058099</v>
          </cell>
        </row>
        <row r="82">
          <cell r="AS82">
            <v>99.025209415013663</v>
          </cell>
        </row>
        <row r="83">
          <cell r="AS83">
            <v>94.60432549058099</v>
          </cell>
        </row>
        <row r="84">
          <cell r="AS84">
            <v>99.47104784488721</v>
          </cell>
        </row>
        <row r="85">
          <cell r="AS85">
            <v>99.198378090715636</v>
          </cell>
        </row>
        <row r="86">
          <cell r="AS86">
            <v>98.651407682761771</v>
          </cell>
        </row>
        <row r="87">
          <cell r="AS87">
            <v>95.500399540574435</v>
          </cell>
        </row>
        <row r="88">
          <cell r="AS88">
            <v>97.387098904762667</v>
          </cell>
        </row>
        <row r="89">
          <cell r="AS89">
            <v>93.977530506802793</v>
          </cell>
        </row>
        <row r="90">
          <cell r="AS90">
            <v>103.98288970906668</v>
          </cell>
        </row>
        <row r="91">
          <cell r="AS91">
            <v>95.88635207026536</v>
          </cell>
        </row>
        <row r="92">
          <cell r="AS92">
            <v>97.555318567088662</v>
          </cell>
        </row>
        <row r="93">
          <cell r="AS93">
            <v>98.651407682761771</v>
          </cell>
        </row>
        <row r="94">
          <cell r="AS94">
            <v>98.885347309806249</v>
          </cell>
        </row>
        <row r="95">
          <cell r="AS95">
            <v>97.116026980207323</v>
          </cell>
        </row>
        <row r="96">
          <cell r="AS96">
            <v>98.047046969958473</v>
          </cell>
        </row>
        <row r="97">
          <cell r="AS97">
            <v>98.368823692109089</v>
          </cell>
        </row>
        <row r="98">
          <cell r="AS98">
            <v>96.689071563521296</v>
          </cell>
        </row>
        <row r="99">
          <cell r="AS99">
            <v>99.344647215577908</v>
          </cell>
        </row>
        <row r="100">
          <cell r="AS100">
            <v>99.146354506564776</v>
          </cell>
        </row>
        <row r="101">
          <cell r="AS101">
            <v>96.667077258035434</v>
          </cell>
        </row>
        <row r="102">
          <cell r="AS102">
            <v>97.440413876099711</v>
          </cell>
        </row>
        <row r="103">
          <cell r="AS103">
            <v>98.7497690885385</v>
          </cell>
        </row>
        <row r="104">
          <cell r="AS104">
            <v>99.321694799161747</v>
          </cell>
        </row>
        <row r="105">
          <cell r="AS105">
            <v>100.46208508570412</v>
          </cell>
        </row>
        <row r="106">
          <cell r="AS106">
            <v>100.43231059698405</v>
          </cell>
        </row>
        <row r="107">
          <cell r="AS107">
            <v>95.835506022405141</v>
          </cell>
        </row>
        <row r="108">
          <cell r="AS108">
            <v>96.762123724352961</v>
          </cell>
        </row>
        <row r="109">
          <cell r="AS109">
            <v>99.760146592752164</v>
          </cell>
        </row>
        <row r="110">
          <cell r="AS110">
            <v>111.40726919026143</v>
          </cell>
        </row>
        <row r="111">
          <cell r="AS111">
            <v>93.624091427861956</v>
          </cell>
        </row>
        <row r="112">
          <cell r="AS112">
            <v>99.584274797583333</v>
          </cell>
        </row>
        <row r="113">
          <cell r="AS113">
            <v>99.70978306370283</v>
          </cell>
        </row>
        <row r="114">
          <cell r="AS114">
            <v>97.110300140907029</v>
          </cell>
        </row>
        <row r="115">
          <cell r="AS115">
            <v>92.705086039935708</v>
          </cell>
        </row>
        <row r="116">
          <cell r="AS116">
            <v>97.080519007256299</v>
          </cell>
        </row>
        <row r="117">
          <cell r="AS117">
            <v>97.541311782322396</v>
          </cell>
        </row>
        <row r="118">
          <cell r="AS118">
            <v>97.594273454571933</v>
          </cell>
        </row>
        <row r="119">
          <cell r="AS119">
            <v>92.293331261823425</v>
          </cell>
        </row>
        <row r="120">
          <cell r="AS120">
            <v>97.343784830508056</v>
          </cell>
        </row>
        <row r="121">
          <cell r="AS121">
            <v>96.622655969201077</v>
          </cell>
        </row>
        <row r="122">
          <cell r="AS122">
            <v>99.627850959740556</v>
          </cell>
        </row>
        <row r="123">
          <cell r="AS123">
            <v>95.822053579237433</v>
          </cell>
        </row>
        <row r="124">
          <cell r="AS124">
            <v>92.078533418077527</v>
          </cell>
        </row>
        <row r="125">
          <cell r="AS125">
            <v>91.706323721321553</v>
          </cell>
        </row>
        <row r="126">
          <cell r="AS126">
            <v>97.990435086817186</v>
          </cell>
        </row>
        <row r="127">
          <cell r="AS127">
            <v>98.099792913221961</v>
          </cell>
        </row>
        <row r="128">
          <cell r="AS128">
            <v>97.016230942599037</v>
          </cell>
        </row>
        <row r="129">
          <cell r="AS129">
            <v>97.224790380282329</v>
          </cell>
        </row>
        <row r="130">
          <cell r="AS130">
            <v>100.12446085425042</v>
          </cell>
        </row>
        <row r="131">
          <cell r="AS131">
            <v>97.065060568710209</v>
          </cell>
        </row>
        <row r="132">
          <cell r="AS132">
            <v>99.975893759521298</v>
          </cell>
        </row>
        <row r="133">
          <cell r="AS133">
            <v>97.744854170435261</v>
          </cell>
        </row>
        <row r="134">
          <cell r="AS134">
            <v>97.537234970496229</v>
          </cell>
        </row>
        <row r="135">
          <cell r="AS135">
            <v>100.40321390300859</v>
          </cell>
        </row>
        <row r="136">
          <cell r="AS136">
            <v>96.434077770876058</v>
          </cell>
        </row>
        <row r="137">
          <cell r="AS137">
            <v>98.484252856431482</v>
          </cell>
        </row>
        <row r="138">
          <cell r="AS138">
            <v>95.389217922687735</v>
          </cell>
        </row>
        <row r="139">
          <cell r="AS139">
            <v>99.224351098396042</v>
          </cell>
        </row>
        <row r="140">
          <cell r="AS140">
            <v>99.32353232094539</v>
          </cell>
        </row>
        <row r="141">
          <cell r="AS141">
            <v>98.997632648360266</v>
          </cell>
        </row>
        <row r="142">
          <cell r="AS142">
            <v>97.463760265996399</v>
          </cell>
        </row>
        <row r="143">
          <cell r="AS143">
            <v>98.264063319970077</v>
          </cell>
        </row>
        <row r="144">
          <cell r="AS144">
            <v>98.548192719950322</v>
          </cell>
        </row>
        <row r="145">
          <cell r="AS145">
            <v>98.823429599635432</v>
          </cell>
        </row>
        <row r="146">
          <cell r="AS146">
            <v>100.44128447905582</v>
          </cell>
        </row>
        <row r="147">
          <cell r="AS147">
            <v>99.541673683507312</v>
          </cell>
        </row>
        <row r="148">
          <cell r="AS148">
            <v>98.983156674800313</v>
          </cell>
        </row>
        <row r="149">
          <cell r="AS149">
            <v>98.87270268473425</v>
          </cell>
        </row>
        <row r="150">
          <cell r="AS150">
            <v>93.677898473705298</v>
          </cell>
        </row>
        <row r="151">
          <cell r="AS151">
            <v>96.09626744823305</v>
          </cell>
        </row>
        <row r="152">
          <cell r="AS152">
            <v>97.393225185801398</v>
          </cell>
        </row>
        <row r="153">
          <cell r="AS153">
            <v>99.51827092226965</v>
          </cell>
        </row>
        <row r="154">
          <cell r="AS154">
            <v>98.297037775048096</v>
          </cell>
        </row>
        <row r="155">
          <cell r="AS155">
            <v>98.699180649962642</v>
          </cell>
        </row>
        <row r="156">
          <cell r="AS156">
            <v>99.709379094868325</v>
          </cell>
        </row>
        <row r="157">
          <cell r="AS157">
            <v>99.20510217019843</v>
          </cell>
        </row>
        <row r="158">
          <cell r="AS158">
            <v>95.967564626079536</v>
          </cell>
        </row>
        <row r="159">
          <cell r="AS159">
            <v>99.038293072120226</v>
          </cell>
        </row>
        <row r="160">
          <cell r="AS160">
            <v>100.88509268187487</v>
          </cell>
        </row>
        <row r="161">
          <cell r="AS161">
            <v>100.27544662459104</v>
          </cell>
        </row>
        <row r="162">
          <cell r="AS162">
            <v>97.783409002966863</v>
          </cell>
        </row>
        <row r="163">
          <cell r="AS163">
            <v>99.181519714228756</v>
          </cell>
        </row>
        <row r="164">
          <cell r="AS164">
            <v>99.254628474405266</v>
          </cell>
        </row>
        <row r="165">
          <cell r="AS165">
            <v>99.821646060237796</v>
          </cell>
        </row>
        <row r="166">
          <cell r="AS166">
            <v>100.23336840295755</v>
          </cell>
        </row>
        <row r="167">
          <cell r="AS167">
            <v>99.224984415000222</v>
          </cell>
        </row>
        <row r="168">
          <cell r="AS168">
            <v>97.991392065284458</v>
          </cell>
        </row>
        <row r="169">
          <cell r="AS169">
            <v>98.754567210015793</v>
          </cell>
        </row>
        <row r="170">
          <cell r="AS170">
            <v>95.102929375307482</v>
          </cell>
        </row>
        <row r="171">
          <cell r="AS171">
            <v>99.584274797583333</v>
          </cell>
        </row>
        <row r="172">
          <cell r="AS172">
            <v>99.459082097726125</v>
          </cell>
        </row>
        <row r="173">
          <cell r="AS173">
            <v>99.987853202533756</v>
          </cell>
        </row>
        <row r="174">
          <cell r="AS174">
            <v>99.844431138440441</v>
          </cell>
        </row>
        <row r="175">
          <cell r="AS175">
            <v>99.739560847146265</v>
          </cell>
        </row>
        <row r="176">
          <cell r="AS176">
            <v>99.897261798186378</v>
          </cell>
        </row>
        <row r="177">
          <cell r="AS177">
            <v>97.867313690154518</v>
          </cell>
        </row>
        <row r="178">
          <cell r="AS178">
            <v>98.618699043994994</v>
          </cell>
        </row>
        <row r="179">
          <cell r="AS179">
            <v>95.736023506245473</v>
          </cell>
        </row>
        <row r="214">
          <cell r="AS214">
            <v>94.642949948026541</v>
          </cell>
        </row>
        <row r="215">
          <cell r="AS215">
            <v>97.740620302660346</v>
          </cell>
        </row>
        <row r="216">
          <cell r="AS216">
            <v>97.156843184212079</v>
          </cell>
        </row>
        <row r="217">
          <cell r="AS217">
            <v>98.378206632279046</v>
          </cell>
        </row>
        <row r="218">
          <cell r="AS218">
            <v>98.866051801226916</v>
          </cell>
        </row>
        <row r="219">
          <cell r="AS219">
            <v>98.986375596522507</v>
          </cell>
        </row>
        <row r="220">
          <cell r="AS220">
            <v>98.588839951556579</v>
          </cell>
        </row>
        <row r="221">
          <cell r="AS221">
            <v>98.140556826659378</v>
          </cell>
        </row>
        <row r="222">
          <cell r="AS222">
            <v>94.541913901166239</v>
          </cell>
        </row>
        <row r="223">
          <cell r="AS223">
            <v>99.065882725515735</v>
          </cell>
        </row>
        <row r="224">
          <cell r="AS224">
            <v>95.607322614311911</v>
          </cell>
        </row>
        <row r="225">
          <cell r="AS225">
            <v>98.852784636210828</v>
          </cell>
        </row>
        <row r="226">
          <cell r="AS226">
            <v>98.991001256161667</v>
          </cell>
        </row>
        <row r="227">
          <cell r="AS227">
            <v>98.91245808939847</v>
          </cell>
        </row>
        <row r="228">
          <cell r="AS228">
            <v>98.030742498650199</v>
          </cell>
        </row>
        <row r="229">
          <cell r="AS229">
            <v>98.227987453375846</v>
          </cell>
        </row>
        <row r="230">
          <cell r="AS230">
            <v>91.893381203561418</v>
          </cell>
        </row>
        <row r="231">
          <cell r="AS231">
            <v>95.883830769509331</v>
          </cell>
        </row>
        <row r="232">
          <cell r="AS232">
            <v>96.325210694705959</v>
          </cell>
        </row>
        <row r="233">
          <cell r="AS233">
            <v>96.768374788406007</v>
          </cell>
        </row>
        <row r="234">
          <cell r="AS234">
            <v>99.805947091181096</v>
          </cell>
        </row>
        <row r="235">
          <cell r="AS235">
            <v>97.59500083914169</v>
          </cell>
        </row>
        <row r="236">
          <cell r="AS236">
            <v>96.015295809177886</v>
          </cell>
        </row>
        <row r="237">
          <cell r="AS237">
            <v>99.016967272278464</v>
          </cell>
        </row>
        <row r="238">
          <cell r="AS238">
            <v>97.930910424263288</v>
          </cell>
        </row>
        <row r="239">
          <cell r="AS239">
            <v>95.51262249962322</v>
          </cell>
        </row>
        <row r="240">
          <cell r="AS240">
            <v>100.03027228544039</v>
          </cell>
        </row>
        <row r="241">
          <cell r="AS241">
            <v>99.680150206688893</v>
          </cell>
        </row>
        <row r="242">
          <cell r="AS242">
            <v>99.677491461603083</v>
          </cell>
        </row>
        <row r="243">
          <cell r="AS243">
            <v>99.880311150879038</v>
          </cell>
        </row>
        <row r="244">
          <cell r="AS244">
            <v>101.658582761551</v>
          </cell>
        </row>
        <row r="245">
          <cell r="AS245">
            <v>101.63039952812952</v>
          </cell>
        </row>
        <row r="246">
          <cell r="AS246">
            <v>99.260258246780694</v>
          </cell>
        </row>
        <row r="247">
          <cell r="AS247">
            <v>102.67383093717935</v>
          </cell>
        </row>
        <row r="248">
          <cell r="AS248">
            <v>100.39997678316345</v>
          </cell>
        </row>
        <row r="249">
          <cell r="AS249">
            <v>99.081028043575728</v>
          </cell>
        </row>
        <row r="252">
          <cell r="AS252">
            <v>99.198581391944401</v>
          </cell>
        </row>
        <row r="253">
          <cell r="AS253">
            <v>99.450027165653339</v>
          </cell>
        </row>
        <row r="254">
          <cell r="AS254">
            <v>95.749181793212287</v>
          </cell>
        </row>
        <row r="255">
          <cell r="AS255">
            <v>96.404836914851714</v>
          </cell>
        </row>
        <row r="256">
          <cell r="AS256">
            <v>97.214381663218518</v>
          </cell>
        </row>
        <row r="257">
          <cell r="AS257">
            <v>99.683984036787066</v>
          </cell>
        </row>
        <row r="258">
          <cell r="AS258">
            <v>99.370659448462092</v>
          </cell>
        </row>
        <row r="259">
          <cell r="AS259">
            <v>100.46353523213787</v>
          </cell>
        </row>
        <row r="260">
          <cell r="AS260">
            <v>98.730026427379045</v>
          </cell>
        </row>
        <row r="261">
          <cell r="AS261">
            <v>100.24562738297855</v>
          </cell>
        </row>
        <row r="262">
          <cell r="AS262">
            <v>99.335232031479649</v>
          </cell>
        </row>
        <row r="263">
          <cell r="AS263">
            <v>100.58932724044769</v>
          </cell>
        </row>
        <row r="264">
          <cell r="AS264">
            <v>101.15819379667646</v>
          </cell>
        </row>
        <row r="265">
          <cell r="AS265">
            <v>100.84592825413714</v>
          </cell>
        </row>
        <row r="266">
          <cell r="AS266">
            <v>100.43237296472746</v>
          </cell>
        </row>
        <row r="267">
          <cell r="AS267">
            <v>99.868124541057114</v>
          </cell>
        </row>
        <row r="268">
          <cell r="AS268">
            <v>96.895654477588451</v>
          </cell>
        </row>
        <row r="269">
          <cell r="AS269">
            <v>97.187186945196061</v>
          </cell>
        </row>
        <row r="270">
          <cell r="AS270">
            <v>96.861205051857695</v>
          </cell>
        </row>
        <row r="271">
          <cell r="AS271">
            <v>100.7905058949286</v>
          </cell>
        </row>
        <row r="272">
          <cell r="AS272">
            <v>99.868124541057114</v>
          </cell>
        </row>
        <row r="273">
          <cell r="AS273">
            <v>100.55844165954197</v>
          </cell>
        </row>
        <row r="274">
          <cell r="AS274">
            <v>96.548828345484281</v>
          </cell>
        </row>
        <row r="275">
          <cell r="AS275">
            <v>100.19135091878917</v>
          </cell>
        </row>
        <row r="276">
          <cell r="AS276">
            <v>99.371721926227323</v>
          </cell>
        </row>
        <row r="277">
          <cell r="AS277">
            <v>94.990603925471802</v>
          </cell>
        </row>
        <row r="278">
          <cell r="AS278">
            <v>100.83834966907197</v>
          </cell>
        </row>
        <row r="279">
          <cell r="AS279">
            <v>97.31936248600482</v>
          </cell>
        </row>
        <row r="280">
          <cell r="AS280">
            <v>99.446100161727543</v>
          </cell>
        </row>
        <row r="281">
          <cell r="AS281">
            <v>101.25421107375897</v>
          </cell>
        </row>
        <row r="282">
          <cell r="AS282">
            <v>99.571016312772826</v>
          </cell>
        </row>
        <row r="283">
          <cell r="AS283">
            <v>101.25471652266825</v>
          </cell>
        </row>
        <row r="284">
          <cell r="AS284">
            <v>102.25579256731321</v>
          </cell>
        </row>
        <row r="285">
          <cell r="AS285">
            <v>100.48414063181383</v>
          </cell>
        </row>
        <row r="286">
          <cell r="AS286">
            <v>99.939679018214306</v>
          </cell>
        </row>
        <row r="287">
          <cell r="AS287">
            <v>101.49046337979428</v>
          </cell>
        </row>
        <row r="288">
          <cell r="AS288">
            <v>99.658344935350172</v>
          </cell>
        </row>
        <row r="289">
          <cell r="AS289">
            <v>100.79139066827585</v>
          </cell>
        </row>
        <row r="290">
          <cell r="AS290">
            <v>98.227410767009204</v>
          </cell>
        </row>
        <row r="291">
          <cell r="AS291">
            <v>100.04439034243482</v>
          </cell>
        </row>
        <row r="292">
          <cell r="AS292">
            <v>98.617249485112069</v>
          </cell>
        </row>
        <row r="293">
          <cell r="AS293">
            <v>99.168205395168258</v>
          </cell>
        </row>
        <row r="295">
          <cell r="AS295">
            <v>96.013735064813474</v>
          </cell>
        </row>
        <row r="296">
          <cell r="AS296">
            <v>100.38245090858832</v>
          </cell>
        </row>
        <row r="297">
          <cell r="AS297">
            <v>102.93281209025689</v>
          </cell>
        </row>
        <row r="298">
          <cell r="AS298">
            <v>95.59135221348177</v>
          </cell>
        </row>
        <row r="299">
          <cell r="AS299">
            <v>95.953887822360457</v>
          </cell>
        </row>
        <row r="300">
          <cell r="AS300">
            <v>96.457660998061172</v>
          </cell>
        </row>
        <row r="301">
          <cell r="AS301">
            <v>96.459607373483308</v>
          </cell>
        </row>
        <row r="302">
          <cell r="AS302">
            <v>97.772523167268972</v>
          </cell>
        </row>
        <row r="303">
          <cell r="AS303">
            <v>99.285893746081584</v>
          </cell>
        </row>
        <row r="304">
          <cell r="AS304">
            <v>96.843389772867923</v>
          </cell>
        </row>
        <row r="305">
          <cell r="AS305">
            <v>100.55808788259412</v>
          </cell>
        </row>
        <row r="306">
          <cell r="AS306">
            <v>97.554213655237049</v>
          </cell>
        </row>
        <row r="307">
          <cell r="AS307">
            <v>98.380934315032519</v>
          </cell>
        </row>
        <row r="308">
          <cell r="AS308">
            <v>97.536636164570268</v>
          </cell>
        </row>
        <row r="309">
          <cell r="AS309">
            <v>97.660253116847329</v>
          </cell>
        </row>
        <row r="310">
          <cell r="AS310">
            <v>100.48800750797635</v>
          </cell>
        </row>
        <row r="311">
          <cell r="AS311">
            <v>98.475377444669192</v>
          </cell>
        </row>
        <row r="312">
          <cell r="AS312">
            <v>99.914679227931671</v>
          </cell>
        </row>
        <row r="313">
          <cell r="AS313">
            <v>99.253784285399746</v>
          </cell>
        </row>
        <row r="314">
          <cell r="AS314">
            <v>96.705795206676655</v>
          </cell>
        </row>
        <row r="315">
          <cell r="AS315">
            <v>97.329743164428521</v>
          </cell>
        </row>
        <row r="316">
          <cell r="AS316">
            <v>99.065888617269223</v>
          </cell>
        </row>
        <row r="317">
          <cell r="AS317">
            <v>94.926337798329214</v>
          </cell>
        </row>
        <row r="318">
          <cell r="AS318">
            <v>98.570907895555237</v>
          </cell>
        </row>
        <row r="319">
          <cell r="AS319">
            <v>99.261312241841878</v>
          </cell>
        </row>
        <row r="320">
          <cell r="AS320">
            <v>98.24621489209953</v>
          </cell>
        </row>
        <row r="321">
          <cell r="AS321">
            <v>97.881219367369539</v>
          </cell>
        </row>
        <row r="322">
          <cell r="AS322">
            <v>96.045946504231367</v>
          </cell>
        </row>
        <row r="323">
          <cell r="AS323">
            <v>97.322817169770062</v>
          </cell>
        </row>
        <row r="324">
          <cell r="AS324">
            <v>97.816038092626201</v>
          </cell>
        </row>
        <row r="325">
          <cell r="AS325">
            <v>103.51481490885584</v>
          </cell>
        </row>
        <row r="327">
          <cell r="AS327">
            <v>94.796610655110641</v>
          </cell>
        </row>
        <row r="328">
          <cell r="AS328">
            <v>98.314396537543004</v>
          </cell>
        </row>
        <row r="329">
          <cell r="AS329">
            <v>99.784866605770077</v>
          </cell>
        </row>
        <row r="330">
          <cell r="AS330">
            <v>100.33853534489856</v>
          </cell>
        </row>
        <row r="331">
          <cell r="AS331">
            <v>102.03438257870683</v>
          </cell>
        </row>
        <row r="332">
          <cell r="AS332">
            <v>99.155232444155033</v>
          </cell>
        </row>
        <row r="333">
          <cell r="AS333">
            <v>97.692816245651542</v>
          </cell>
        </row>
        <row r="334">
          <cell r="AS334">
            <v>99.929502656617558</v>
          </cell>
        </row>
        <row r="335">
          <cell r="AS335">
            <v>102.31885501216071</v>
          </cell>
        </row>
        <row r="336">
          <cell r="AS336">
            <v>99.652790566766143</v>
          </cell>
        </row>
        <row r="337">
          <cell r="AS337">
            <v>99.055898699447013</v>
          </cell>
        </row>
        <row r="338">
          <cell r="AS338">
            <v>98.745714949083094</v>
          </cell>
        </row>
        <row r="339">
          <cell r="AS339">
            <v>100.05112865724453</v>
          </cell>
        </row>
        <row r="340">
          <cell r="AS340">
            <v>99.219837183704257</v>
          </cell>
        </row>
        <row r="341">
          <cell r="AS341">
            <v>99.219837183704257</v>
          </cell>
        </row>
        <row r="342">
          <cell r="AS342">
            <v>99.323329633525859</v>
          </cell>
        </row>
        <row r="343">
          <cell r="AS343">
            <v>99.650122129560188</v>
          </cell>
        </row>
        <row r="344">
          <cell r="AS344">
            <v>96.130188550895028</v>
          </cell>
        </row>
        <row r="345">
          <cell r="AS345">
            <v>98.643672179069668</v>
          </cell>
        </row>
        <row r="346">
          <cell r="AS346">
            <v>97.544184434340778</v>
          </cell>
        </row>
        <row r="347">
          <cell r="AS347">
            <v>99.527904357748554</v>
          </cell>
        </row>
        <row r="348">
          <cell r="AS348">
            <v>100.13077318075212</v>
          </cell>
        </row>
        <row r="349">
          <cell r="AS349">
            <v>97.985529268351812</v>
          </cell>
        </row>
        <row r="350">
          <cell r="AS350">
            <v>101.05077690934993</v>
          </cell>
        </row>
        <row r="351">
          <cell r="AS351">
            <v>99.656323436956768</v>
          </cell>
        </row>
        <row r="352">
          <cell r="AS352">
            <v>105.3788158697007</v>
          </cell>
        </row>
        <row r="353">
          <cell r="AS353">
            <v>102.40349309246177</v>
          </cell>
        </row>
        <row r="354">
          <cell r="AS354">
            <v>96.049611913783252</v>
          </cell>
        </row>
        <row r="355">
          <cell r="AS355">
            <v>96.944463047798635</v>
          </cell>
        </row>
        <row r="356">
          <cell r="AS356">
            <v>98.909854486474273</v>
          </cell>
        </row>
        <row r="357">
          <cell r="AS357">
            <v>99.18039986493666</v>
          </cell>
        </row>
        <row r="358">
          <cell r="AS358">
            <v>98.266162409828908</v>
          </cell>
        </row>
        <row r="359">
          <cell r="AS359">
            <v>99.615522882404434</v>
          </cell>
        </row>
        <row r="360">
          <cell r="AS360">
            <v>100.62326379755295</v>
          </cell>
        </row>
        <row r="361">
          <cell r="AS361">
            <v>97.422783496499648</v>
          </cell>
        </row>
        <row r="363">
          <cell r="A363" t="str">
            <v>ST305</v>
          </cell>
          <cell r="P363">
            <v>61</v>
          </cell>
          <cell r="Q363">
            <v>10.12241054613936</v>
          </cell>
          <cell r="T363">
            <v>0.27152777777777776</v>
          </cell>
          <cell r="U363">
            <v>0.40694444444444444</v>
          </cell>
          <cell r="V363">
            <v>60</v>
          </cell>
          <cell r="AB363">
            <v>53.1</v>
          </cell>
          <cell r="AE363">
            <v>11.8</v>
          </cell>
          <cell r="AG363">
            <v>48.1</v>
          </cell>
          <cell r="AS363">
            <v>96.072468702631554</v>
          </cell>
          <cell r="AT363">
            <v>96.692243443021482</v>
          </cell>
          <cell r="AV363" t="str">
            <v>R. Regis</v>
          </cell>
          <cell r="AW363">
            <v>0.27500000000000002</v>
          </cell>
        </row>
        <row r="364">
          <cell r="A364" t="str">
            <v>ST306</v>
          </cell>
          <cell r="P364">
            <v>60</v>
          </cell>
          <cell r="Q364">
            <v>9.3867924528301909</v>
          </cell>
          <cell r="T364">
            <v>0.39166666666666666</v>
          </cell>
          <cell r="U364">
            <v>0.50902777777777775</v>
          </cell>
          <cell r="V364">
            <v>61</v>
          </cell>
          <cell r="AB364">
            <v>53</v>
          </cell>
          <cell r="AE364">
            <v>11.8</v>
          </cell>
          <cell r="AG364">
            <v>49.2</v>
          </cell>
          <cell r="AS364">
            <v>98.269552186475522</v>
          </cell>
          <cell r="AT364">
            <v>98.903500569577076</v>
          </cell>
          <cell r="AV364" t="str">
            <v>R. Regis</v>
          </cell>
          <cell r="AW364">
            <v>0.28680555555555554</v>
          </cell>
        </row>
        <row r="365">
          <cell r="A365" t="str">
            <v>ST307</v>
          </cell>
          <cell r="P365">
            <v>59</v>
          </cell>
          <cell r="Q365">
            <v>8.632075471698105</v>
          </cell>
          <cell r="T365">
            <v>0.49166666666666664</v>
          </cell>
          <cell r="U365">
            <v>0.6118055555555556</v>
          </cell>
          <cell r="V365">
            <v>62</v>
          </cell>
          <cell r="AB365">
            <v>53</v>
          </cell>
          <cell r="AE365">
            <v>11.8</v>
          </cell>
          <cell r="AG365">
            <v>50.4</v>
          </cell>
          <cell r="AS365">
            <v>99.989796775773399</v>
          </cell>
          <cell r="AT365">
            <v>101.31578107127406</v>
          </cell>
          <cell r="AV365" t="str">
            <v>R.Sookram</v>
          </cell>
          <cell r="AW365">
            <v>0.30625000000000002</v>
          </cell>
        </row>
        <row r="366">
          <cell r="A366" t="str">
            <v>ST308</v>
          </cell>
          <cell r="P366">
            <v>59</v>
          </cell>
          <cell r="Q366">
            <v>8.4433962264150964</v>
          </cell>
          <cell r="T366">
            <v>0.59236111111111112</v>
          </cell>
          <cell r="U366">
            <v>0.7006944444444444</v>
          </cell>
          <cell r="V366">
            <v>54</v>
          </cell>
          <cell r="AB366">
            <v>53</v>
          </cell>
          <cell r="AE366">
            <v>11.8</v>
          </cell>
          <cell r="AG366">
            <v>49.7</v>
          </cell>
          <cell r="AS366">
            <v>99.103260744156756</v>
          </cell>
          <cell r="AT366">
            <v>100.41571882956903</v>
          </cell>
          <cell r="AV366" t="str">
            <v>R.Sookram</v>
          </cell>
          <cell r="AW366">
            <v>0.29791666666666661</v>
          </cell>
        </row>
        <row r="367">
          <cell r="A367" t="str">
            <v>ST309</v>
          </cell>
          <cell r="P367">
            <v>61</v>
          </cell>
          <cell r="Q367">
            <v>8.4433962264150964</v>
          </cell>
          <cell r="T367">
            <v>0.70277777777777772</v>
          </cell>
          <cell r="U367">
            <v>0.81180555555555556</v>
          </cell>
          <cell r="V367">
            <v>56</v>
          </cell>
          <cell r="AB367">
            <v>53</v>
          </cell>
          <cell r="AE367">
            <v>11.9</v>
          </cell>
          <cell r="AG367">
            <v>49.8</v>
          </cell>
          <cell r="AS367">
            <v>99.933359063716594</v>
          </cell>
          <cell r="AT367">
            <v>101.2577049337968</v>
          </cell>
          <cell r="AV367" t="str">
            <v>R.Sookram</v>
          </cell>
          <cell r="AW367">
            <v>0.24930555555555556</v>
          </cell>
        </row>
        <row r="368">
          <cell r="A368" t="str">
            <v>ST310</v>
          </cell>
          <cell r="P368">
            <v>61</v>
          </cell>
          <cell r="Q368">
            <v>5.2358490566037714</v>
          </cell>
          <cell r="T368">
            <v>0.80069444444444449</v>
          </cell>
          <cell r="U368">
            <v>0.92361111111111116</v>
          </cell>
          <cell r="V368">
            <v>59</v>
          </cell>
          <cell r="AB368">
            <v>53</v>
          </cell>
          <cell r="AE368">
            <v>11.9</v>
          </cell>
          <cell r="AG368">
            <v>51.3</v>
          </cell>
          <cell r="AS368">
            <v>103.33714761585293</v>
          </cell>
          <cell r="AT368">
            <v>104.70521224853189</v>
          </cell>
          <cell r="AV368" t="str">
            <v>K. Benjamin</v>
          </cell>
          <cell r="AW368">
            <v>0.27083333333333337</v>
          </cell>
        </row>
        <row r="369">
          <cell r="A369" t="str">
            <v>ST311</v>
          </cell>
          <cell r="P369">
            <v>60</v>
          </cell>
          <cell r="Q369">
            <v>5.2358490566037714</v>
          </cell>
          <cell r="T369">
            <v>0.8930555555555556</v>
          </cell>
          <cell r="U369">
            <v>1.0291666666666666</v>
          </cell>
          <cell r="V369">
            <v>56</v>
          </cell>
          <cell r="AB369">
            <v>53</v>
          </cell>
          <cell r="AE369">
            <v>11.7</v>
          </cell>
          <cell r="AG369">
            <v>52.6</v>
          </cell>
          <cell r="AS369">
            <v>103.81878537188666</v>
          </cell>
          <cell r="AT369">
            <v>105.19415798265723</v>
          </cell>
          <cell r="AV369" t="str">
            <v>K. Benjamin</v>
          </cell>
          <cell r="AW369">
            <v>0.27916666666666656</v>
          </cell>
        </row>
        <row r="370">
          <cell r="A370" t="str">
            <v>ST312</v>
          </cell>
          <cell r="P370">
            <v>61</v>
          </cell>
          <cell r="Q370">
            <v>7.3113207547169807</v>
          </cell>
          <cell r="T370">
            <v>1.0208333333333333</v>
          </cell>
          <cell r="U370">
            <v>1.1395833333333334</v>
          </cell>
          <cell r="V370">
            <v>60</v>
          </cell>
          <cell r="AB370">
            <v>53</v>
          </cell>
          <cell r="AE370">
            <v>12</v>
          </cell>
          <cell r="AG370">
            <v>50.2</v>
          </cell>
          <cell r="AS370">
            <v>101.75531402615744</v>
          </cell>
          <cell r="AT370">
            <v>103.10335013937737</v>
          </cell>
          <cell r="AV370" t="str">
            <v>K. Benjamin</v>
          </cell>
          <cell r="AW370">
            <v>0.30625000000000002</v>
          </cell>
        </row>
        <row r="371">
          <cell r="A371" t="str">
            <v>ST313</v>
          </cell>
          <cell r="P371">
            <v>61</v>
          </cell>
          <cell r="Q371">
            <v>8.2547169811320753</v>
          </cell>
          <cell r="T371">
            <v>1.1291666666666667</v>
          </cell>
          <cell r="U371">
            <v>1.2770833333333333</v>
          </cell>
          <cell r="V371">
            <v>60</v>
          </cell>
          <cell r="AB371">
            <v>53</v>
          </cell>
          <cell r="AE371">
            <v>11.8</v>
          </cell>
          <cell r="AG371">
            <v>49.8</v>
          </cell>
          <cell r="AS371">
            <v>99.050413722591401</v>
          </cell>
          <cell r="AT371">
            <v>100.3630585448235</v>
          </cell>
          <cell r="AV371" t="str">
            <v>K. Benjamin</v>
          </cell>
          <cell r="AW371">
            <v>0.36041666666666672</v>
          </cell>
        </row>
        <row r="372">
          <cell r="A372" t="str">
            <v>ST314</v>
          </cell>
          <cell r="P372">
            <v>61</v>
          </cell>
          <cell r="Q372">
            <v>6.7452830188679158</v>
          </cell>
          <cell r="T372">
            <v>0.2673611111111111</v>
          </cell>
          <cell r="U372">
            <v>0.38819444444444445</v>
          </cell>
          <cell r="V372">
            <v>54</v>
          </cell>
          <cell r="AB372">
            <v>53</v>
          </cell>
          <cell r="AE372">
            <v>11.9</v>
          </cell>
          <cell r="AG372">
            <v>51.6</v>
          </cell>
          <cell r="AS372">
            <v>103.67708915402727</v>
          </cell>
          <cell r="AT372">
            <v>105.05058459876861</v>
          </cell>
          <cell r="AV372" t="str">
            <v>R. Regis</v>
          </cell>
          <cell r="AW372">
            <v>0.34652777777777777</v>
          </cell>
        </row>
        <row r="373">
          <cell r="A373" t="str">
            <v>ST315</v>
          </cell>
          <cell r="P373">
            <v>74</v>
          </cell>
          <cell r="Q373">
            <v>12.947269303201505</v>
          </cell>
          <cell r="T373">
            <v>0.22222222222222221</v>
          </cell>
          <cell r="U373">
            <v>0.34305555555555556</v>
          </cell>
          <cell r="V373">
            <v>54</v>
          </cell>
          <cell r="AB373">
            <v>53.1</v>
          </cell>
          <cell r="AE373">
            <v>11.9</v>
          </cell>
          <cell r="AG373">
            <v>46.3</v>
          </cell>
          <cell r="AS373">
            <v>92.207251912768385</v>
          </cell>
          <cell r="AT373">
            <v>93.431660349012503</v>
          </cell>
          <cell r="AV373" t="str">
            <v>R.Sookram</v>
          </cell>
          <cell r="AW373">
            <v>0.27013888888888887</v>
          </cell>
        </row>
        <row r="374">
          <cell r="A374" t="str">
            <v>ST316</v>
          </cell>
          <cell r="P374">
            <v>58</v>
          </cell>
          <cell r="Q374">
            <v>9.5754716981131995</v>
          </cell>
          <cell r="T374">
            <v>0.35069444444444442</v>
          </cell>
          <cell r="U374">
            <v>0.45763888888888887</v>
          </cell>
          <cell r="V374">
            <v>53</v>
          </cell>
          <cell r="AB374">
            <v>53</v>
          </cell>
          <cell r="AE374">
            <v>11.8</v>
          </cell>
          <cell r="AG374">
            <v>50.1</v>
          </cell>
          <cell r="AS374">
            <v>98.768973008259692</v>
          </cell>
          <cell r="AT374">
            <v>100.08094746806538</v>
          </cell>
          <cell r="AV374" t="str">
            <v>R.Sookram</v>
          </cell>
          <cell r="AW374">
            <v>0.28749999999999998</v>
          </cell>
        </row>
        <row r="375">
          <cell r="A375" t="str">
            <v>ST317</v>
          </cell>
          <cell r="P375">
            <v>62</v>
          </cell>
          <cell r="Q375">
            <v>8.2547169811320753</v>
          </cell>
          <cell r="T375">
            <v>0.44097222222222221</v>
          </cell>
          <cell r="U375">
            <v>0.57638888888888884</v>
          </cell>
          <cell r="V375">
            <v>58</v>
          </cell>
          <cell r="AB375">
            <v>53</v>
          </cell>
          <cell r="AE375">
            <v>11.9</v>
          </cell>
          <cell r="AG375">
            <v>49.5</v>
          </cell>
          <cell r="AS375">
            <v>99.2105296845954</v>
          </cell>
          <cell r="AT375">
            <v>100.14072593288208</v>
          </cell>
          <cell r="AV375" t="str">
            <v>R.Sookram</v>
          </cell>
          <cell r="AW375">
            <v>0.29166666666666663</v>
          </cell>
        </row>
        <row r="376">
          <cell r="A376" t="str">
            <v>ST318</v>
          </cell>
          <cell r="P376">
            <v>60</v>
          </cell>
          <cell r="Q376">
            <v>9.7641509433962206</v>
          </cell>
          <cell r="T376">
            <v>0.54166666666666663</v>
          </cell>
          <cell r="U376">
            <v>0.65694444444444444</v>
          </cell>
          <cell r="V376">
            <v>60</v>
          </cell>
          <cell r="AB376">
            <v>53</v>
          </cell>
          <cell r="AE376">
            <v>11.9</v>
          </cell>
          <cell r="AG376">
            <v>49.6</v>
          </cell>
          <cell r="AS376">
            <v>99.662586818553194</v>
          </cell>
          <cell r="AT376">
            <v>100.59639758292359</v>
          </cell>
          <cell r="AV376" t="str">
            <v>K. Benjamin</v>
          </cell>
          <cell r="AW376">
            <v>0.26805555555555555</v>
          </cell>
        </row>
        <row r="377">
          <cell r="A377" t="str">
            <v>ST319</v>
          </cell>
          <cell r="P377">
            <v>61</v>
          </cell>
          <cell r="Q377">
            <v>8.2547169811320753</v>
          </cell>
          <cell r="T377">
            <v>0.63611111111111107</v>
          </cell>
          <cell r="U377">
            <v>0.75555555555555554</v>
          </cell>
          <cell r="V377">
            <v>62</v>
          </cell>
          <cell r="AB377">
            <v>53</v>
          </cell>
          <cell r="AE377">
            <v>12</v>
          </cell>
          <cell r="AG377">
            <v>50.3</v>
          </cell>
          <cell r="AS377">
            <v>99.814541571057831</v>
          </cell>
          <cell r="AT377">
            <v>100.75498941078087</v>
          </cell>
          <cell r="AV377" t="str">
            <v>K. Benjamin</v>
          </cell>
          <cell r="AW377">
            <v>0.26944444444444443</v>
          </cell>
        </row>
        <row r="378">
          <cell r="A378" t="str">
            <v>ST320</v>
          </cell>
          <cell r="P378">
            <v>59</v>
          </cell>
          <cell r="Q378">
            <v>6.1676082862523511</v>
          </cell>
          <cell r="T378">
            <v>0.73472222222222228</v>
          </cell>
          <cell r="U378">
            <v>0.84930555555555554</v>
          </cell>
          <cell r="V378">
            <v>63</v>
          </cell>
          <cell r="AB378">
            <v>53.1</v>
          </cell>
          <cell r="AE378">
            <v>11.8</v>
          </cell>
          <cell r="AG378">
            <v>50.8</v>
          </cell>
          <cell r="AS378">
            <v>100.1578324034637</v>
          </cell>
          <cell r="AT378">
            <v>101.09877292959364</v>
          </cell>
          <cell r="AV378" t="str">
            <v>K. Benjamin</v>
          </cell>
          <cell r="AW378">
            <v>0.26597222222222217</v>
          </cell>
        </row>
        <row r="379">
          <cell r="A379" t="str">
            <v>ST321</v>
          </cell>
          <cell r="P379">
            <v>62</v>
          </cell>
          <cell r="Q379">
            <v>7.6741996233521705</v>
          </cell>
          <cell r="T379">
            <v>0.8256944444444444</v>
          </cell>
          <cell r="U379">
            <v>0.94236111111111109</v>
          </cell>
          <cell r="V379">
            <v>57</v>
          </cell>
          <cell r="AB379">
            <v>53.1</v>
          </cell>
          <cell r="AE379">
            <v>11.9</v>
          </cell>
          <cell r="AG379">
            <v>46.6</v>
          </cell>
          <cell r="AS379">
            <v>92.812355369132575</v>
          </cell>
          <cell r="AT379">
            <v>93.68400240820057</v>
          </cell>
          <cell r="AV379" t="str">
            <v>R. Regis</v>
          </cell>
          <cell r="AW379">
            <v>0.25486111111111109</v>
          </cell>
        </row>
        <row r="380">
          <cell r="A380" t="str">
            <v>ST322</v>
          </cell>
          <cell r="P380">
            <v>61</v>
          </cell>
          <cell r="Q380">
            <v>8.0508474576271158</v>
          </cell>
          <cell r="T380">
            <v>0.92222222222222228</v>
          </cell>
          <cell r="U380">
            <v>1.0361111111111112</v>
          </cell>
          <cell r="V380">
            <v>57</v>
          </cell>
          <cell r="AB380">
            <v>53.1</v>
          </cell>
          <cell r="AE380">
            <v>11.8</v>
          </cell>
          <cell r="AG380">
            <v>49.9</v>
          </cell>
          <cell r="AS380">
            <v>98.630536608448594</v>
          </cell>
          <cell r="AT380">
            <v>99.556520571666411</v>
          </cell>
          <cell r="AV380" t="str">
            <v>R. Regis</v>
          </cell>
          <cell r="AW380">
            <v>0.2548611111111112</v>
          </cell>
        </row>
      </sheetData>
      <sheetData sheetId="7">
        <row r="26">
          <cell r="D26">
            <v>11.8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Summary August '26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  <sheetName val="Summary December '25"/>
      <sheetName val="Guinnbottling"/>
    </sheetNames>
    <sheetDataSet>
      <sheetData sheetId="0"/>
      <sheetData sheetId="1">
        <row r="16">
          <cell r="AU16">
            <v>96.003306141833193</v>
          </cell>
        </row>
        <row r="17">
          <cell r="AU17">
            <v>97.325117100528743</v>
          </cell>
        </row>
        <row r="18">
          <cell r="AU18">
            <v>99.121575646105413</v>
          </cell>
        </row>
        <row r="19">
          <cell r="AU19">
            <v>98.312989092995309</v>
          </cell>
        </row>
        <row r="20">
          <cell r="AU20">
            <v>97.776942468215154</v>
          </cell>
        </row>
        <row r="21">
          <cell r="AU21">
            <v>100.27176158202545</v>
          </cell>
        </row>
        <row r="22">
          <cell r="AU22">
            <v>99.294375681877099</v>
          </cell>
        </row>
        <row r="23">
          <cell r="AU23">
            <v>94.0155703648322</v>
          </cell>
        </row>
        <row r="25">
          <cell r="AU25">
            <v>103.50405139576692</v>
          </cell>
        </row>
        <row r="26">
          <cell r="AU26">
            <v>95.716844988758396</v>
          </cell>
        </row>
        <row r="27">
          <cell r="AU27">
            <v>95.930260280243118</v>
          </cell>
        </row>
        <row r="28">
          <cell r="AU28">
            <v>91.893952811328091</v>
          </cell>
        </row>
        <row r="29">
          <cell r="AU29">
            <v>113.58212162131902</v>
          </cell>
        </row>
        <row r="30">
          <cell r="AU30">
            <v>90.487433811004081</v>
          </cell>
        </row>
        <row r="31">
          <cell r="AU31">
            <v>102.62581305950147</v>
          </cell>
        </row>
        <row r="32">
          <cell r="AU32">
            <v>97.191888885824653</v>
          </cell>
        </row>
        <row r="34">
          <cell r="AU34">
            <v>90.907169651305182</v>
          </cell>
        </row>
        <row r="35">
          <cell r="AU35">
            <v>91.553613748299583</v>
          </cell>
        </row>
        <row r="36">
          <cell r="AU36">
            <v>95.905976258581575</v>
          </cell>
        </row>
        <row r="37">
          <cell r="AU37">
            <v>96.879053203911113</v>
          </cell>
        </row>
        <row r="38">
          <cell r="AU38">
            <v>95.469150075246716</v>
          </cell>
        </row>
        <row r="39">
          <cell r="AU39">
            <v>94.854987439727708</v>
          </cell>
        </row>
        <row r="40">
          <cell r="AU40">
            <v>96.379391191673903</v>
          </cell>
        </row>
        <row r="41">
          <cell r="AU41">
            <v>96.151545309064119</v>
          </cell>
        </row>
        <row r="43">
          <cell r="AU43">
            <v>91.8653198132276</v>
          </cell>
        </row>
        <row r="44">
          <cell r="AU44">
            <v>96.795098985422072</v>
          </cell>
        </row>
        <row r="45">
          <cell r="AU45">
            <v>98.720710514490094</v>
          </cell>
        </row>
        <row r="46">
          <cell r="AU46">
            <v>95.915862303234761</v>
          </cell>
        </row>
        <row r="47">
          <cell r="AU47">
            <v>95.695713342598523</v>
          </cell>
        </row>
        <row r="48">
          <cell r="AU48">
            <v>96.347140813579983</v>
          </cell>
        </row>
        <row r="49">
          <cell r="AU49">
            <v>96.451268893467329</v>
          </cell>
        </row>
        <row r="50">
          <cell r="AU50">
            <v>97.996131903201018</v>
          </cell>
        </row>
        <row r="51">
          <cell r="AU51">
            <v>96.505256206141482</v>
          </cell>
        </row>
        <row r="52">
          <cell r="AU52">
            <v>94.58580500070201</v>
          </cell>
        </row>
        <row r="53">
          <cell r="AU53">
            <v>98.906990347725127</v>
          </cell>
        </row>
        <row r="54">
          <cell r="AU54">
            <v>94.944884823994201</v>
          </cell>
        </row>
        <row r="55">
          <cell r="AU55">
            <v>95.472821437606697</v>
          </cell>
        </row>
        <row r="56">
          <cell r="AU56">
            <v>95.226977398578171</v>
          </cell>
        </row>
        <row r="57">
          <cell r="AU57">
            <v>94.66429901148345</v>
          </cell>
        </row>
        <row r="58">
          <cell r="AU58">
            <v>100.57784401994616</v>
          </cell>
        </row>
        <row r="59">
          <cell r="AU59">
            <v>98.401209978530773</v>
          </cell>
        </row>
        <row r="60">
          <cell r="AU60">
            <v>99.190946222442903</v>
          </cell>
        </row>
        <row r="62">
          <cell r="AU62">
            <v>93.161813188441059</v>
          </cell>
        </row>
        <row r="63">
          <cell r="AU63">
            <v>94.223463593248454</v>
          </cell>
        </row>
        <row r="64">
          <cell r="AU64">
            <v>96.163448111596551</v>
          </cell>
        </row>
        <row r="65">
          <cell r="AU65">
            <v>94.716056167153823</v>
          </cell>
        </row>
        <row r="66">
          <cell r="AU66">
            <v>94.701980871315456</v>
          </cell>
        </row>
        <row r="67">
          <cell r="AU67">
            <v>95.107716330527765</v>
          </cell>
        </row>
        <row r="68">
          <cell r="AU68">
            <v>99.423613630730074</v>
          </cell>
        </row>
        <row r="69">
          <cell r="AU69">
            <v>99.424512800846912</v>
          </cell>
        </row>
        <row r="71">
          <cell r="AU71">
            <v>90.115532940848027</v>
          </cell>
        </row>
        <row r="72">
          <cell r="AU72">
            <v>93.319538123450741</v>
          </cell>
        </row>
        <row r="73">
          <cell r="AU73">
            <v>96.501709911750197</v>
          </cell>
        </row>
        <row r="74">
          <cell r="AU74">
            <v>95.68627961946747</v>
          </cell>
        </row>
        <row r="75">
          <cell r="AU75">
            <v>97.397906496405696</v>
          </cell>
        </row>
        <row r="76">
          <cell r="AU76">
            <v>96.111036489762782</v>
          </cell>
        </row>
        <row r="77">
          <cell r="AU77">
            <v>95.790840926804705</v>
          </cell>
        </row>
        <row r="78">
          <cell r="AU78">
            <v>96.182715916625327</v>
          </cell>
        </row>
        <row r="79">
          <cell r="AU79">
            <v>96.174717353971133</v>
          </cell>
        </row>
        <row r="80">
          <cell r="AU80">
            <v>98.290298755105752</v>
          </cell>
        </row>
        <row r="81">
          <cell r="AU81">
            <v>93.857635635262497</v>
          </cell>
        </row>
        <row r="82">
          <cell r="AU82">
            <v>96.686192958400923</v>
          </cell>
        </row>
        <row r="83">
          <cell r="AU83">
            <v>98.754274807353042</v>
          </cell>
        </row>
        <row r="84">
          <cell r="AU84">
            <v>98.83341801627445</v>
          </cell>
        </row>
        <row r="85">
          <cell r="AU85">
            <v>93.739995346186404</v>
          </cell>
        </row>
        <row r="86">
          <cell r="AU86">
            <v>96.883913162140757</v>
          </cell>
        </row>
        <row r="87">
          <cell r="AU87">
            <v>96.114279340546588</v>
          </cell>
        </row>
        <row r="88">
          <cell r="AU88">
            <v>96.644961994715146</v>
          </cell>
        </row>
        <row r="90">
          <cell r="AU90">
            <v>96.199574054545806</v>
          </cell>
        </row>
        <row r="91">
          <cell r="AU91">
            <v>96.990520431357425</v>
          </cell>
        </row>
        <row r="92">
          <cell r="AU92">
            <v>96.576570379573766</v>
          </cell>
        </row>
        <row r="93">
          <cell r="AU93">
            <v>97.958929323440969</v>
          </cell>
        </row>
        <row r="94">
          <cell r="AU94">
            <v>94.968203123829284</v>
          </cell>
        </row>
        <row r="95">
          <cell r="AU95">
            <v>96.13948802609309</v>
          </cell>
        </row>
        <row r="96">
          <cell r="AU96">
            <v>96.966158594827462</v>
          </cell>
        </row>
        <row r="97">
          <cell r="AU97">
            <v>94.938560144721919</v>
          </cell>
        </row>
        <row r="99">
          <cell r="A99" t="str">
            <v>GU077</v>
          </cell>
          <cell r="O99">
            <v>58</v>
          </cell>
          <cell r="R99">
            <v>8.5204991087344037</v>
          </cell>
          <cell r="T99">
            <v>0.45</v>
          </cell>
          <cell r="U99">
            <v>0.57430555555555551</v>
          </cell>
          <cell r="V99">
            <v>59</v>
          </cell>
          <cell r="Z99">
            <v>0.28611111111111109</v>
          </cell>
          <cell r="AF99">
            <v>52.4</v>
          </cell>
          <cell r="AG99">
            <v>17.3</v>
          </cell>
          <cell r="AI99">
            <v>50.6</v>
          </cell>
          <cell r="AU99">
            <v>95.02973839984999</v>
          </cell>
          <cell r="AV99">
            <v>95.666836995401127</v>
          </cell>
          <cell r="AW99" t="str">
            <v>K. Benjamin</v>
          </cell>
        </row>
        <row r="100">
          <cell r="A100" t="str">
            <v>GU078</v>
          </cell>
          <cell r="O100">
            <v>59</v>
          </cell>
          <cell r="R100">
            <v>9.5900178253119464</v>
          </cell>
          <cell r="T100">
            <v>0.5756944444444444</v>
          </cell>
          <cell r="U100">
            <v>0.69791666666666663</v>
          </cell>
          <cell r="V100">
            <v>69</v>
          </cell>
          <cell r="Z100">
            <v>0.28124999999999994</v>
          </cell>
          <cell r="AF100">
            <v>51.8</v>
          </cell>
          <cell r="AG100">
            <v>17.5</v>
          </cell>
          <cell r="AI100">
            <v>50.5</v>
          </cell>
          <cell r="AU100">
            <v>96.659796680203456</v>
          </cell>
          <cell r="AV100">
            <v>97.306811456215726</v>
          </cell>
          <cell r="AW100" t="str">
            <v>R. Regis</v>
          </cell>
        </row>
        <row r="101">
          <cell r="A101" t="str">
            <v>GU079</v>
          </cell>
          <cell r="O101">
            <v>61</v>
          </cell>
          <cell r="R101">
            <v>8.892857142857137</v>
          </cell>
          <cell r="T101">
            <v>0.69444444444444442</v>
          </cell>
          <cell r="U101">
            <v>0.81527777777777777</v>
          </cell>
          <cell r="V101">
            <v>67</v>
          </cell>
          <cell r="Z101">
            <v>0.28402777777777777</v>
          </cell>
          <cell r="AF101">
            <v>53</v>
          </cell>
          <cell r="AG101">
            <v>17</v>
          </cell>
          <cell r="AI101">
            <v>51.8</v>
          </cell>
          <cell r="AU101">
            <v>95.899301321002682</v>
          </cell>
          <cell r="AV101">
            <v>96.541561842172811</v>
          </cell>
          <cell r="AW101" t="str">
            <v>R. Regis</v>
          </cell>
        </row>
        <row r="102">
          <cell r="A102" t="str">
            <v>GU080</v>
          </cell>
          <cell r="O102">
            <v>60</v>
          </cell>
          <cell r="R102">
            <v>7.4509803921568629</v>
          </cell>
          <cell r="T102">
            <v>0.80347222222222225</v>
          </cell>
          <cell r="U102">
            <v>0.92083333333333328</v>
          </cell>
          <cell r="V102">
            <v>65</v>
          </cell>
          <cell r="Z102">
            <v>0.27499999999999991</v>
          </cell>
          <cell r="AF102">
            <v>53</v>
          </cell>
          <cell r="AG102">
            <v>17.2</v>
          </cell>
          <cell r="AI102">
            <v>51.6</v>
          </cell>
          <cell r="AU102">
            <v>96.739594506578101</v>
          </cell>
          <cell r="AV102">
            <v>97.387482671869392</v>
          </cell>
          <cell r="AW102" t="str">
            <v>D. Gomaz</v>
          </cell>
        </row>
        <row r="103">
          <cell r="A103" t="str">
            <v>GU081</v>
          </cell>
          <cell r="O103">
            <v>59</v>
          </cell>
          <cell r="R103">
            <v>9.411764705882355</v>
          </cell>
          <cell r="T103">
            <v>0.91666666666666663</v>
          </cell>
          <cell r="U103">
            <v>1.0506944444444444</v>
          </cell>
          <cell r="V103">
            <v>59</v>
          </cell>
          <cell r="Z103">
            <v>0.29374999999999996</v>
          </cell>
          <cell r="AF103">
            <v>51.9</v>
          </cell>
          <cell r="AG103">
            <v>17.3</v>
          </cell>
          <cell r="AI103">
            <v>49.4</v>
          </cell>
          <cell r="AU103">
            <v>93.592658671733744</v>
          </cell>
          <cell r="AV103">
            <v>94.218923168122899</v>
          </cell>
          <cell r="AW103" t="str">
            <v>D. Gomaz</v>
          </cell>
        </row>
        <row r="104">
          <cell r="A104" t="str">
            <v>GU082</v>
          </cell>
          <cell r="O104">
            <v>60</v>
          </cell>
          <cell r="R104">
            <v>4.4285714285714226</v>
          </cell>
          <cell r="T104">
            <v>1.0277777777777777</v>
          </cell>
          <cell r="U104">
            <v>1.1611111111111112</v>
          </cell>
          <cell r="V104">
            <v>60</v>
          </cell>
          <cell r="Z104">
            <v>0.28958333333333341</v>
          </cell>
          <cell r="AF104">
            <v>54.6</v>
          </cell>
          <cell r="AG104">
            <v>17.2</v>
          </cell>
          <cell r="AI104">
            <v>52.9</v>
          </cell>
          <cell r="AU104">
            <v>99.414523178212718</v>
          </cell>
          <cell r="AV104">
            <v>100.07997735518899</v>
          </cell>
          <cell r="AW104" t="str">
            <v>K. Benjamin</v>
          </cell>
        </row>
        <row r="105">
          <cell r="A105" t="str">
            <v>GU083</v>
          </cell>
          <cell r="O105">
            <v>60</v>
          </cell>
          <cell r="R105">
            <v>4.7857142857142856</v>
          </cell>
          <cell r="T105">
            <v>1.1409722222222223</v>
          </cell>
          <cell r="U105">
            <v>1.2784722222222222</v>
          </cell>
          <cell r="V105">
            <v>64</v>
          </cell>
          <cell r="Z105">
            <v>0.28541666666666665</v>
          </cell>
          <cell r="AF105">
            <v>54.4</v>
          </cell>
          <cell r="AG105">
            <v>17.2</v>
          </cell>
          <cell r="AI105">
            <v>52.1</v>
          </cell>
          <cell r="AU105">
            <v>97.989371573302947</v>
          </cell>
          <cell r="AV105">
            <v>98.645171259335569</v>
          </cell>
          <cell r="AW105" t="str">
            <v>K. Benjamin</v>
          </cell>
        </row>
        <row r="106">
          <cell r="A106" t="str">
            <v>GU084</v>
          </cell>
          <cell r="O106">
            <v>59</v>
          </cell>
          <cell r="R106">
            <v>5.4999999999999973</v>
          </cell>
          <cell r="T106">
            <v>0.26874999999999999</v>
          </cell>
          <cell r="U106">
            <v>0.39444444444444443</v>
          </cell>
          <cell r="V106">
            <v>60</v>
          </cell>
          <cell r="Z106">
            <v>0.28680555555555554</v>
          </cell>
          <cell r="AF106">
            <v>54</v>
          </cell>
          <cell r="AG106">
            <v>17</v>
          </cell>
          <cell r="AI106">
            <v>51.24</v>
          </cell>
          <cell r="AU106">
            <v>96.371888664415408</v>
          </cell>
          <cell r="AV106">
            <v>97.016863250064389</v>
          </cell>
          <cell r="AW106" t="str">
            <v>K. Benjamin</v>
          </cell>
        </row>
      </sheetData>
      <sheetData sheetId="2">
        <row r="17">
          <cell r="D17">
            <v>17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taMalt - Operator Performance"/>
      <sheetName val="BrewMaterials"/>
      <sheetName val="Brewhouse"/>
      <sheetName val="Process"/>
      <sheetName val="Summary August '26 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Packaging"/>
      <sheetName val="Summary January '26 "/>
      <sheetName val="Summary December '25"/>
      <sheetName val="Summary November '25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  <sheetName val="Summary January '25 "/>
      <sheetName val="Summary December '25 (2)"/>
    </sheetNames>
    <sheetDataSet>
      <sheetData sheetId="0"/>
      <sheetData sheetId="1"/>
      <sheetData sheetId="2">
        <row r="23">
          <cell r="AV23">
            <v>97.339468430709204</v>
          </cell>
        </row>
        <row r="24">
          <cell r="AV24">
            <v>103.731151868401</v>
          </cell>
        </row>
        <row r="25">
          <cell r="AV25">
            <v>94.959846867032411</v>
          </cell>
        </row>
        <row r="26">
          <cell r="AV26">
            <v>97.339468430709204</v>
          </cell>
        </row>
        <row r="27">
          <cell r="AV27">
            <v>97.058295684709279</v>
          </cell>
        </row>
        <row r="28">
          <cell r="AV28">
            <v>97.867114815415192</v>
          </cell>
        </row>
        <row r="29">
          <cell r="AV29">
            <v>98.093597805251179</v>
          </cell>
        </row>
        <row r="30">
          <cell r="AV30">
            <v>102.88783663744221</v>
          </cell>
        </row>
        <row r="31">
          <cell r="AV31">
            <v>96.899121806418265</v>
          </cell>
        </row>
        <row r="32">
          <cell r="AV32">
            <v>98.250925468415389</v>
          </cell>
        </row>
        <row r="33">
          <cell r="AV33">
            <v>96.894670333550806</v>
          </cell>
        </row>
        <row r="34">
          <cell r="AV34">
            <v>98.444969429182507</v>
          </cell>
        </row>
        <row r="36">
          <cell r="AV36">
            <v>96.535163112888242</v>
          </cell>
        </row>
        <row r="38">
          <cell r="AV38">
            <v>96.780047980030858</v>
          </cell>
        </row>
        <row r="39">
          <cell r="AV39">
            <v>97.023341517405328</v>
          </cell>
        </row>
        <row r="40">
          <cell r="AV40">
            <v>96.378271472837781</v>
          </cell>
        </row>
        <row r="41">
          <cell r="AV41">
            <v>96.736022639137431</v>
          </cell>
        </row>
        <row r="42">
          <cell r="AV42">
            <v>97.949689692825132</v>
          </cell>
        </row>
        <row r="43">
          <cell r="AV43">
            <v>95.818529932594828</v>
          </cell>
        </row>
        <row r="44">
          <cell r="AV44">
            <v>97.823512224151031</v>
          </cell>
        </row>
        <row r="45">
          <cell r="AV45">
            <v>95.481796103254354</v>
          </cell>
        </row>
        <row r="46">
          <cell r="AV46">
            <v>98.065568882791581</v>
          </cell>
        </row>
        <row r="47">
          <cell r="AV47">
            <v>97.055454228278464</v>
          </cell>
        </row>
        <row r="48">
          <cell r="AV48">
            <v>99.652179089121645</v>
          </cell>
        </row>
        <row r="49">
          <cell r="AV49">
            <v>99.135667211498472</v>
          </cell>
        </row>
        <row r="50">
          <cell r="AV50">
            <v>99.232905943935492</v>
          </cell>
        </row>
        <row r="51">
          <cell r="AV51">
            <v>98.11852940599799</v>
          </cell>
        </row>
        <row r="52">
          <cell r="AV52">
            <v>92.3621562467644</v>
          </cell>
        </row>
        <row r="54">
          <cell r="AV54">
            <v>97.205782019322555</v>
          </cell>
        </row>
        <row r="55">
          <cell r="AV55">
            <v>100.49327592303123</v>
          </cell>
        </row>
        <row r="56">
          <cell r="AV56">
            <v>95.451783031665798</v>
          </cell>
        </row>
        <row r="57">
          <cell r="AV57">
            <v>97.260343131213148</v>
          </cell>
        </row>
        <row r="58">
          <cell r="AV58">
            <v>96.759736809930104</v>
          </cell>
        </row>
        <row r="59">
          <cell r="AV59">
            <v>97.064501819306201</v>
          </cell>
        </row>
        <row r="60">
          <cell r="AV60">
            <v>92.16222714184731</v>
          </cell>
        </row>
        <row r="62">
          <cell r="AV62">
            <v>94.315096961978696</v>
          </cell>
        </row>
        <row r="63">
          <cell r="AV63">
            <v>103.32629416839619</v>
          </cell>
        </row>
        <row r="64">
          <cell r="AV64">
            <v>94.325329127415785</v>
          </cell>
        </row>
        <row r="65">
          <cell r="AV65">
            <v>99.559385897285338</v>
          </cell>
        </row>
        <row r="66">
          <cell r="AV66">
            <v>98.574517909783509</v>
          </cell>
        </row>
        <row r="67">
          <cell r="AV67">
            <v>98.349199351665135</v>
          </cell>
        </row>
        <row r="68">
          <cell r="AV68">
            <v>99.563420889013372</v>
          </cell>
        </row>
        <row r="69">
          <cell r="AV69">
            <v>94.282423715374435</v>
          </cell>
        </row>
        <row r="71">
          <cell r="AV71">
            <v>97.883898930705087</v>
          </cell>
        </row>
        <row r="72">
          <cell r="AV72">
            <v>95.141628345733025</v>
          </cell>
        </row>
        <row r="73">
          <cell r="AV73">
            <v>95.141628345733025</v>
          </cell>
        </row>
        <row r="74">
          <cell r="AV74">
            <v>96.552234033434374</v>
          </cell>
        </row>
        <row r="75">
          <cell r="AV75">
            <v>101.51532621901858</v>
          </cell>
        </row>
        <row r="76">
          <cell r="AV76">
            <v>99.061358902734597</v>
          </cell>
        </row>
        <row r="77">
          <cell r="AV77">
            <v>98.035869286989112</v>
          </cell>
        </row>
        <row r="78">
          <cell r="AV78">
            <v>100.45103223776147</v>
          </cell>
        </row>
        <row r="80">
          <cell r="AV80">
            <v>92.087638309893123</v>
          </cell>
        </row>
        <row r="81">
          <cell r="AV81">
            <v>97.080324236401211</v>
          </cell>
        </row>
        <row r="82">
          <cell r="AV82">
            <v>98.952684690449885</v>
          </cell>
        </row>
        <row r="83">
          <cell r="AV83">
            <v>95.698441661092332</v>
          </cell>
        </row>
        <row r="84">
          <cell r="AV84">
            <v>98.454113654549573</v>
          </cell>
        </row>
        <row r="85">
          <cell r="AV85">
            <v>101.44729018684779</v>
          </cell>
        </row>
        <row r="86">
          <cell r="AV86">
            <v>94.795008863120074</v>
          </cell>
        </row>
        <row r="87">
          <cell r="AV87">
            <v>98.362423977139869</v>
          </cell>
        </row>
        <row r="89">
          <cell r="AV89">
            <v>98.966709364408175</v>
          </cell>
        </row>
        <row r="90">
          <cell r="AV90">
            <v>96.872876691950268</v>
          </cell>
        </row>
        <row r="91">
          <cell r="AV91">
            <v>98.438453135356141</v>
          </cell>
        </row>
        <row r="92">
          <cell r="AV92">
            <v>98.648257968141067</v>
          </cell>
        </row>
        <row r="93">
          <cell r="AV93">
            <v>97.15488267089502</v>
          </cell>
        </row>
        <row r="94">
          <cell r="AV94">
            <v>97.674325034697105</v>
          </cell>
        </row>
        <row r="95">
          <cell r="AV95">
            <v>97.88449261906382</v>
          </cell>
        </row>
        <row r="96">
          <cell r="AV96">
            <v>97.580137789132138</v>
          </cell>
        </row>
      </sheetData>
      <sheetData sheetId="3">
        <row r="23">
          <cell r="D23">
            <v>14.3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Summary September '26"/>
      <sheetName val="Summary July '26"/>
      <sheetName val="Summary May '26 "/>
      <sheetName val="Packaging"/>
      <sheetName val="Summary January'26"/>
      <sheetName val="Summary October'25"/>
      <sheetName val="Summary September'25"/>
      <sheetName val="Summary August'25"/>
      <sheetName val="Summary July'25"/>
      <sheetName val="Summary June'25"/>
      <sheetName val="Summary May'25"/>
      <sheetName val="Summary April'25"/>
      <sheetName val="Summary March'25 "/>
      <sheetName val="Summary February'25"/>
      <sheetName val="Summary January'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T4">
            <v>95.757584041187528</v>
          </cell>
        </row>
        <row r="5">
          <cell r="AT5">
            <v>95.858102632741591</v>
          </cell>
        </row>
        <row r="6">
          <cell r="AT6">
            <v>91.101781537342561</v>
          </cell>
        </row>
        <row r="7">
          <cell r="AT7">
            <v>96.220044255599106</v>
          </cell>
        </row>
        <row r="8">
          <cell r="AT8">
            <v>91.159176033097395</v>
          </cell>
        </row>
        <row r="9">
          <cell r="AT9">
            <v>86.497061610388243</v>
          </cell>
        </row>
        <row r="10">
          <cell r="AT10">
            <v>90.533857449292626</v>
          </cell>
        </row>
        <row r="11">
          <cell r="AT11">
            <v>95.482188504770065</v>
          </cell>
        </row>
        <row r="13">
          <cell r="AT13">
            <v>90.128375863432225</v>
          </cell>
        </row>
        <row r="14">
          <cell r="AT14">
            <v>88.195975747735361</v>
          </cell>
        </row>
        <row r="15">
          <cell r="AT15">
            <v>88.458193469652173</v>
          </cell>
        </row>
        <row r="16">
          <cell r="AT16">
            <v>89.068163344426111</v>
          </cell>
        </row>
        <row r="18">
          <cell r="AT18">
            <v>88.337016760508519</v>
          </cell>
        </row>
        <row r="19">
          <cell r="AT19">
            <v>94.828774942397658</v>
          </cell>
        </row>
        <row r="20">
          <cell r="AT20">
            <v>94.949182103443249</v>
          </cell>
        </row>
        <row r="21">
          <cell r="AT21">
            <v>92.747327972203848</v>
          </cell>
        </row>
        <row r="22">
          <cell r="AT22">
            <v>92.715575444638318</v>
          </cell>
        </row>
        <row r="23">
          <cell r="A23" t="str">
            <v>MK017</v>
          </cell>
          <cell r="R23">
            <v>111</v>
          </cell>
          <cell r="S23">
            <v>12.685918003565073</v>
          </cell>
          <cell r="V23">
            <v>0.87569444444444444</v>
          </cell>
          <cell r="W23">
            <v>1.0249999999999999</v>
          </cell>
          <cell r="X23">
            <v>53</v>
          </cell>
          <cell r="AA23">
            <v>0.31666666666666654</v>
          </cell>
          <cell r="AF23">
            <v>49.3</v>
          </cell>
          <cell r="AG23">
            <v>13</v>
          </cell>
          <cell r="AI23">
            <v>48.1</v>
          </cell>
          <cell r="AT23">
            <v>91.951723879434397</v>
          </cell>
          <cell r="AU23">
            <v>92.579945457932411</v>
          </cell>
          <cell r="AX23" t="str">
            <v>R.Regis</v>
          </cell>
        </row>
        <row r="24">
          <cell r="A24" t="str">
            <v>MK018</v>
          </cell>
          <cell r="R24">
            <v>95</v>
          </cell>
          <cell r="S24">
            <v>8.4228571428571417</v>
          </cell>
          <cell r="V24">
            <v>1.0534722222222221</v>
          </cell>
          <cell r="W24">
            <v>1.1923611111111112</v>
          </cell>
          <cell r="X24">
            <v>62</v>
          </cell>
          <cell r="AA24">
            <v>0.35902777777777783</v>
          </cell>
          <cell r="AF24">
            <v>51.6</v>
          </cell>
          <cell r="AG24">
            <v>13.1</v>
          </cell>
          <cell r="AI24">
            <v>51.1</v>
          </cell>
          <cell r="AT24">
            <v>96.150583729382561</v>
          </cell>
          <cell r="AU24">
            <v>96.807492256330661</v>
          </cell>
          <cell r="AX24" t="str">
            <v>R.Regis</v>
          </cell>
        </row>
        <row r="25">
          <cell r="A25" t="str">
            <v>MK019</v>
          </cell>
          <cell r="R25">
            <v>80</v>
          </cell>
          <cell r="S25">
            <v>9.3157142857142841</v>
          </cell>
          <cell r="V25">
            <v>1.1770833333333333</v>
          </cell>
          <cell r="W25">
            <v>1.3194444444444444</v>
          </cell>
          <cell r="X25">
            <v>55</v>
          </cell>
          <cell r="AA25">
            <v>0.34375</v>
          </cell>
          <cell r="AF25">
            <v>51.1</v>
          </cell>
          <cell r="AG25">
            <v>13.3</v>
          </cell>
          <cell r="AI25">
            <v>50.6</v>
          </cell>
          <cell r="AT25">
            <v>96.730919507263621</v>
          </cell>
          <cell r="AU25">
            <v>97.39179293495593</v>
          </cell>
          <cell r="AX25" t="str">
            <v>R.Regis</v>
          </cell>
        </row>
        <row r="26">
          <cell r="A26" t="str">
            <v>MK020</v>
          </cell>
          <cell r="R26">
            <v>75</v>
          </cell>
          <cell r="S26">
            <v>8.4078431372549005</v>
          </cell>
          <cell r="V26">
            <v>0.31180555555555556</v>
          </cell>
          <cell r="W26">
            <v>0.43819444444444444</v>
          </cell>
          <cell r="X26">
            <v>49</v>
          </cell>
          <cell r="AA26">
            <v>0.32361111111111113</v>
          </cell>
          <cell r="AF26">
            <v>51.7</v>
          </cell>
          <cell r="AG26">
            <v>13.3</v>
          </cell>
          <cell r="AI26">
            <v>51.1</v>
          </cell>
          <cell r="AT26">
            <v>97.686758632829481</v>
          </cell>
          <cell r="AU26">
            <v>98.354162430360631</v>
          </cell>
          <cell r="AX26" t="str">
            <v>R. Sookram</v>
          </cell>
        </row>
        <row r="27">
          <cell r="A27" t="str">
            <v>MK021</v>
          </cell>
          <cell r="R27">
            <v>75</v>
          </cell>
          <cell r="S27">
            <v>10.208571428571426</v>
          </cell>
          <cell r="V27">
            <v>0.40625</v>
          </cell>
          <cell r="W27">
            <v>0.55347222222222225</v>
          </cell>
          <cell r="X27">
            <v>53</v>
          </cell>
          <cell r="AA27">
            <v>0.31388888888888888</v>
          </cell>
          <cell r="AF27">
            <v>50.6</v>
          </cell>
          <cell r="AG27">
            <v>13.3</v>
          </cell>
          <cell r="AI27">
            <v>50.8</v>
          </cell>
          <cell r="AT27">
            <v>97.217049049093575</v>
          </cell>
          <cell r="AU27">
            <v>97.881105690196961</v>
          </cell>
          <cell r="AX27" t="str">
            <v>R. Sookram</v>
          </cell>
        </row>
        <row r="28">
          <cell r="A28" t="str">
            <v>MK022</v>
          </cell>
          <cell r="R28">
            <v>79</v>
          </cell>
          <cell r="S28">
            <v>10.565714285714289</v>
          </cell>
          <cell r="V28">
            <v>0.54374999999999996</v>
          </cell>
          <cell r="W28">
            <v>0.69513888888888886</v>
          </cell>
          <cell r="X28">
            <v>53</v>
          </cell>
          <cell r="AA28">
            <v>0.30972222222222218</v>
          </cell>
          <cell r="AF28">
            <v>50.4</v>
          </cell>
          <cell r="AG28">
            <v>13.3</v>
          </cell>
          <cell r="AI28">
            <v>49.8</v>
          </cell>
          <cell r="AT28">
            <v>95.303327611119286</v>
          </cell>
          <cell r="AU28">
            <v>95.954312271098587</v>
          </cell>
          <cell r="AX28" t="str">
            <v>K.Benjamin</v>
          </cell>
        </row>
        <row r="29">
          <cell r="A29" t="str">
            <v>MK023</v>
          </cell>
          <cell r="R29">
            <v>76</v>
          </cell>
          <cell r="S29">
            <v>8.7025830258302701</v>
          </cell>
          <cell r="V29">
            <v>0.68541666666666667</v>
          </cell>
          <cell r="W29">
            <v>0.80902777777777779</v>
          </cell>
          <cell r="X29">
            <v>47</v>
          </cell>
          <cell r="AA29">
            <v>0.30555555555555558</v>
          </cell>
          <cell r="AF29">
            <v>49.8</v>
          </cell>
          <cell r="AG29">
            <v>13.8</v>
          </cell>
          <cell r="AI29">
            <v>49.3</v>
          </cell>
          <cell r="AT29">
            <v>97.085382097037311</v>
          </cell>
          <cell r="AU29">
            <v>97.749905018459387</v>
          </cell>
          <cell r="AX29" t="str">
            <v>K.Benjamin</v>
          </cell>
        </row>
        <row r="30">
          <cell r="A30" t="str">
            <v>MK024</v>
          </cell>
          <cell r="R30">
            <v>76</v>
          </cell>
          <cell r="S30">
            <v>7.964575645756458</v>
          </cell>
          <cell r="V30">
            <v>0.80347222222222225</v>
          </cell>
          <cell r="W30">
            <v>0.92500000000000004</v>
          </cell>
          <cell r="X30">
            <v>53</v>
          </cell>
          <cell r="AA30">
            <v>0.27916666666666667</v>
          </cell>
          <cell r="AF30">
            <v>50.2</v>
          </cell>
          <cell r="AG30">
            <v>13.5</v>
          </cell>
          <cell r="AI30">
            <v>49.7</v>
          </cell>
          <cell r="AT30">
            <v>96.401573752548614</v>
          </cell>
          <cell r="AU30">
            <v>97.060333676549575</v>
          </cell>
          <cell r="AX30" t="str">
            <v>R.Regis</v>
          </cell>
        </row>
      </sheetData>
      <sheetData sheetId="8">
        <row r="4">
          <cell r="D4">
            <v>13.3</v>
          </cell>
        </row>
        <row r="27">
          <cell r="Y27">
            <v>1.9</v>
          </cell>
        </row>
        <row r="29">
          <cell r="Y29">
            <v>1.9</v>
          </cell>
        </row>
      </sheetData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Summary August ' 26 "/>
      <sheetName val="Summary July ' 26"/>
      <sheetName val="Summary June ' 26"/>
      <sheetName val="Summary May ' 26"/>
      <sheetName val="Summary April ' 26"/>
      <sheetName val="Summary March ' 26"/>
      <sheetName val="Summary February ' 26"/>
      <sheetName val="Summary January ' 26"/>
      <sheetName val="Summary December ' 25"/>
      <sheetName val="Packaging"/>
    </sheetNames>
    <sheetDataSet>
      <sheetData sheetId="0"/>
      <sheetData sheetId="1"/>
      <sheetData sheetId="2"/>
      <sheetData sheetId="3">
        <row r="5">
          <cell r="AY5">
            <v>97.569471586586559</v>
          </cell>
        </row>
        <row r="6">
          <cell r="AY6">
            <v>98.85391885240027</v>
          </cell>
        </row>
        <row r="7">
          <cell r="AY7">
            <v>97.962509317492206</v>
          </cell>
        </row>
        <row r="8">
          <cell r="AY8">
            <v>98.851728693915732</v>
          </cell>
        </row>
        <row r="9">
          <cell r="AY9">
            <v>96.643783230525969</v>
          </cell>
        </row>
        <row r="10">
          <cell r="AY10">
            <v>94.324644249999125</v>
          </cell>
        </row>
        <row r="11">
          <cell r="AY11">
            <v>92.117541140378776</v>
          </cell>
        </row>
        <row r="12">
          <cell r="AY12">
            <v>97.208951553511497</v>
          </cell>
        </row>
        <row r="13">
          <cell r="AY13">
            <v>98.512076526938472</v>
          </cell>
        </row>
        <row r="14">
          <cell r="AY14">
            <v>95.253677266359389</v>
          </cell>
        </row>
        <row r="16">
          <cell r="AY16">
            <v>93.855429141534003</v>
          </cell>
        </row>
        <row r="17">
          <cell r="AY17">
            <v>105.14531945603353</v>
          </cell>
        </row>
        <row r="18">
          <cell r="AY18">
            <v>93.755977480319771</v>
          </cell>
        </row>
        <row r="19">
          <cell r="AY19">
            <v>98.497810820823545</v>
          </cell>
        </row>
        <row r="20">
          <cell r="AY20">
            <v>97.678395385249857</v>
          </cell>
        </row>
        <row r="21">
          <cell r="AY21">
            <v>97.894369029995005</v>
          </cell>
        </row>
        <row r="22">
          <cell r="AY22">
            <v>96.582095881806836</v>
          </cell>
        </row>
        <row r="23">
          <cell r="AY23">
            <v>100.57737346889346</v>
          </cell>
        </row>
        <row r="42">
          <cell r="AY42">
            <v>99.134494554521325</v>
          </cell>
        </row>
        <row r="44">
          <cell r="AY44">
            <v>95.995406818829039</v>
          </cell>
        </row>
        <row r="45">
          <cell r="AY45">
            <v>95.617602987606631</v>
          </cell>
        </row>
        <row r="46">
          <cell r="AY46">
            <v>99.335814172293396</v>
          </cell>
        </row>
        <row r="47">
          <cell r="AY47">
            <v>98.909684358674781</v>
          </cell>
        </row>
        <row r="48">
          <cell r="AY48">
            <v>97.845022110433561</v>
          </cell>
        </row>
        <row r="49">
          <cell r="AY49">
            <v>98.722709530019429</v>
          </cell>
        </row>
        <row r="50">
          <cell r="AY50">
            <v>97.591251769129457</v>
          </cell>
        </row>
        <row r="51">
          <cell r="AY51">
            <v>89.186993268597121</v>
          </cell>
        </row>
        <row r="53">
          <cell r="AY53">
            <v>92.54924279225061</v>
          </cell>
        </row>
        <row r="54">
          <cell r="AY54">
            <v>97.936724701155001</v>
          </cell>
        </row>
        <row r="55">
          <cell r="AY55">
            <v>96.903024614311789</v>
          </cell>
        </row>
        <row r="56">
          <cell r="AY56">
            <v>99.751161565178876</v>
          </cell>
        </row>
        <row r="57">
          <cell r="AY57">
            <v>96.946934866926995</v>
          </cell>
        </row>
        <row r="58">
          <cell r="AY58">
            <v>101.1402395567615</v>
          </cell>
        </row>
        <row r="59">
          <cell r="AY59">
            <v>94.521368448030842</v>
          </cell>
        </row>
        <row r="60">
          <cell r="AY60">
            <v>96.447094164922959</v>
          </cell>
        </row>
        <row r="61">
          <cell r="AY61">
            <v>95.483117660591859</v>
          </cell>
        </row>
        <row r="62">
          <cell r="AY62">
            <v>101.54786093894572</v>
          </cell>
        </row>
        <row r="63">
          <cell r="AY63">
            <v>99.781002552645404</v>
          </cell>
        </row>
        <row r="64">
          <cell r="AY64">
            <v>100.38282881101692</v>
          </cell>
        </row>
        <row r="66">
          <cell r="AY66">
            <v>96.052076380873814</v>
          </cell>
        </row>
        <row r="67">
          <cell r="AY67">
            <v>96.965481413861383</v>
          </cell>
        </row>
        <row r="68">
          <cell r="AY68">
            <v>98.929902201837479</v>
          </cell>
        </row>
        <row r="69">
          <cell r="AY69">
            <v>98.81732361471613</v>
          </cell>
        </row>
        <row r="70">
          <cell r="AY70">
            <v>93.747141074419659</v>
          </cell>
        </row>
        <row r="71">
          <cell r="AY71">
            <v>100.25759492531388</v>
          </cell>
        </row>
        <row r="72">
          <cell r="AY72">
            <v>99.848562971423902</v>
          </cell>
        </row>
        <row r="73">
          <cell r="AY73">
            <v>101.18742532014767</v>
          </cell>
        </row>
        <row r="75">
          <cell r="AY75">
            <v>96.375149333771006</v>
          </cell>
        </row>
        <row r="76">
          <cell r="AY76">
            <v>102.19654877418134</v>
          </cell>
        </row>
        <row r="77">
          <cell r="AY77">
            <v>104.26201828517443</v>
          </cell>
        </row>
        <row r="78">
          <cell r="AY78">
            <v>103.36709256474418</v>
          </cell>
        </row>
        <row r="79">
          <cell r="AY79">
            <v>94.941667422792506</v>
          </cell>
        </row>
        <row r="80">
          <cell r="AY80">
            <v>101.53837862772018</v>
          </cell>
        </row>
        <row r="81">
          <cell r="AY81">
            <v>100.62632852508888</v>
          </cell>
        </row>
        <row r="82">
          <cell r="AY82">
            <v>99.134826074447517</v>
          </cell>
        </row>
        <row r="84">
          <cell r="AY84">
            <v>89.865899111082911</v>
          </cell>
        </row>
        <row r="85">
          <cell r="AY85">
            <v>97.693621175915609</v>
          </cell>
        </row>
        <row r="86">
          <cell r="AY86">
            <v>98.098376729140924</v>
          </cell>
        </row>
        <row r="87">
          <cell r="AY87">
            <v>98.701099186405543</v>
          </cell>
        </row>
        <row r="88">
          <cell r="AY88">
            <v>98.149643000896063</v>
          </cell>
        </row>
        <row r="89">
          <cell r="AY89">
            <v>100.11673997026169</v>
          </cell>
        </row>
        <row r="90">
          <cell r="AY90">
            <v>99.269060038965534</v>
          </cell>
        </row>
        <row r="91">
          <cell r="AY91">
            <v>98.24191438139087</v>
          </cell>
        </row>
        <row r="92">
          <cell r="AY92">
            <v>96.193227678250963</v>
          </cell>
        </row>
        <row r="93">
          <cell r="AY93">
            <v>97.280253560904981</v>
          </cell>
        </row>
        <row r="94">
          <cell r="AY94">
            <v>99.077497022970533</v>
          </cell>
        </row>
        <row r="95">
          <cell r="AY95">
            <v>95.794055097674445</v>
          </cell>
        </row>
        <row r="96">
          <cell r="AY96">
            <v>98.473163790154686</v>
          </cell>
        </row>
        <row r="97">
          <cell r="AY97">
            <v>90.794605311533076</v>
          </cell>
        </row>
        <row r="98">
          <cell r="AY98">
            <v>98.854819757121476</v>
          </cell>
        </row>
        <row r="99">
          <cell r="AY99">
            <v>99.2047479604514</v>
          </cell>
        </row>
        <row r="100">
          <cell r="AY100">
            <v>97.580117216650279</v>
          </cell>
        </row>
        <row r="101">
          <cell r="AY101">
            <v>99.629199564339515</v>
          </cell>
        </row>
      </sheetData>
      <sheetData sheetId="4">
        <row r="5">
          <cell r="D5">
            <v>17.100000000000001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5th"/>
      <sheetName val="Jan 6th"/>
      <sheetName val="Jan 7th"/>
      <sheetName val="Jan 8th "/>
      <sheetName val="Jan 9th-10th"/>
      <sheetName val="Jan12th "/>
      <sheetName val="Jan13th"/>
      <sheetName val="Jan14th"/>
      <sheetName val="Jan15th"/>
      <sheetName val="Jan16-18th"/>
      <sheetName val="Jan19th "/>
      <sheetName val="Jan20th"/>
      <sheetName val="Jan21st"/>
      <sheetName val="Jan22nd"/>
      <sheetName val="Jan23rd"/>
      <sheetName val="Jan26th"/>
      <sheetName val="Jan27th"/>
      <sheetName val="Jan28th"/>
      <sheetName val="Jan29th"/>
      <sheetName val="Jan30th-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2">
          <cell r="L42">
            <v>97.828041735841467</v>
          </cell>
        </row>
        <row r="47">
          <cell r="L47">
            <v>6.0869565217391308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2nd"/>
      <sheetName val="Feb 3rd"/>
      <sheetName val="Feb 4th"/>
      <sheetName val="Feb 5th"/>
      <sheetName val="Feb 6th"/>
      <sheetName val="Feb 9th"/>
      <sheetName val="Feb 10th"/>
      <sheetName val="Feb 11th"/>
      <sheetName val="Feb 12th"/>
      <sheetName val="Feb 13th"/>
      <sheetName val="Feb 16th"/>
      <sheetName val="Feb 17th"/>
      <sheetName val="Feb 18th "/>
      <sheetName val="Feb 19th"/>
      <sheetName val="Feb 20th"/>
      <sheetName val="Feb 23rd"/>
      <sheetName val="Feb 24th"/>
      <sheetName val="Feb 25th"/>
      <sheetName val="Feb 26th "/>
      <sheetName val="Feb 27th-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9">
          <cell r="L39">
            <v>6.1</v>
          </cell>
        </row>
      </sheetData>
      <sheetData sheetId="20">
        <row r="45">
          <cell r="L45">
            <v>97.514550407372639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 1st"/>
      <sheetName val="Mar 2nd"/>
      <sheetName val="Mar 3rd"/>
      <sheetName val="Mar 4th"/>
      <sheetName val="Mar 5th"/>
      <sheetName val="Mar 6th "/>
      <sheetName val="Mar 9th"/>
      <sheetName val="Mar 10th"/>
      <sheetName val="Mar 11th"/>
      <sheetName val="Mar 12th"/>
      <sheetName val="Mar 13th-15th"/>
      <sheetName val="Mar 16th"/>
      <sheetName val="Mar 18th"/>
      <sheetName val="Mar 19th"/>
      <sheetName val="Mar 20th -22nd"/>
      <sheetName val="Mar 23rd "/>
      <sheetName val="Mar 24th"/>
      <sheetName val="Mar 25th "/>
      <sheetName val="Mar 26th"/>
      <sheetName val="Mar 27th"/>
      <sheetName val="Mar 30th "/>
      <sheetName val="Mar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2">
          <cell r="L42">
            <v>98.106733433542104</v>
          </cell>
        </row>
        <row r="47">
          <cell r="L47">
            <v>7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pr 1st"/>
      <sheetName val="Apr 2nd"/>
      <sheetName val="Apr 7th"/>
      <sheetName val="Apr 8th"/>
      <sheetName val="Apr 9th "/>
      <sheetName val="Apr 10th"/>
      <sheetName val="Apr 13th"/>
      <sheetName val="Apr 14th"/>
      <sheetName val="Apr 15th"/>
      <sheetName val="Apr 16th "/>
      <sheetName val="Apr 20th "/>
      <sheetName val="Apr 21st"/>
      <sheetName val="Apr 22nd"/>
      <sheetName val="Apr 23rd"/>
      <sheetName val="Apr 24th-26th"/>
      <sheetName val="Apr 27th"/>
      <sheetName val="Apr 28th"/>
      <sheetName val="Apr 29th "/>
      <sheetName val="Apr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1">
          <cell r="L41">
            <v>98.132364963553755</v>
          </cell>
        </row>
        <row r="46">
          <cell r="L46">
            <v>6.85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y 2nd-23rd"/>
      <sheetName val="May 4th"/>
      <sheetName val="May 5th"/>
      <sheetName val="May 6th"/>
      <sheetName val="May 7th"/>
      <sheetName val="May 8th -9th"/>
      <sheetName val="May 11th"/>
      <sheetName val="May 12th "/>
      <sheetName val="May 13th"/>
      <sheetName val="May 14th"/>
      <sheetName val="May 15th-16th"/>
      <sheetName val="May 18th"/>
      <sheetName val="May 19th "/>
      <sheetName val="May 20th"/>
      <sheetName val="May 21st"/>
      <sheetName val="May 22nd -23rd"/>
      <sheetName val="May 26th"/>
      <sheetName val="May 27th"/>
      <sheetName val="May 28th"/>
      <sheetName val="May 29th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5">
          <cell r="L35">
            <v>97.796542845425648</v>
          </cell>
        </row>
        <row r="40">
          <cell r="L40">
            <v>5.5909090909090908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ne 2nd"/>
      <sheetName val="June 3rd"/>
      <sheetName val="June 4th"/>
      <sheetName val="June 5th"/>
      <sheetName val="June 8th"/>
      <sheetName val="June 9th"/>
      <sheetName val="June 12th "/>
      <sheetName val="June 15th "/>
      <sheetName val="June 16th"/>
      <sheetName val="June 17th "/>
      <sheetName val="June 18th "/>
      <sheetName val="June 21st"/>
      <sheetName val="June 22nd"/>
      <sheetName val="June 23rd"/>
      <sheetName val="June 24th"/>
      <sheetName val="June 25th "/>
      <sheetName val="June 26th "/>
      <sheetName val="June 27th-28th"/>
      <sheetName val="June 29th"/>
      <sheetName val="June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2">
          <cell r="L32"/>
        </row>
        <row r="39">
          <cell r="L39">
            <v>6.4318181818181817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ly 1st"/>
      <sheetName val="July 2nd"/>
      <sheetName val="July 3rd"/>
      <sheetName val="July 6th"/>
      <sheetName val="July 7th"/>
      <sheetName val="July 8th"/>
      <sheetName val="July 9th"/>
      <sheetName val="July 10th-12th"/>
      <sheetName val="July 13th"/>
      <sheetName val="July 14th "/>
      <sheetName val="July 15th "/>
      <sheetName val="July 16th"/>
      <sheetName val="July 17th-19th"/>
      <sheetName val="July20th "/>
      <sheetName val="July21st"/>
      <sheetName val="July22nd"/>
      <sheetName val="July23rd"/>
      <sheetName val="July24th"/>
      <sheetName val="July27th"/>
      <sheetName val="July28th "/>
      <sheetName val="July29th"/>
      <sheetName val="July30th"/>
      <sheetName val="July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6">
          <cell r="L36">
            <v>97.851192921999655</v>
          </cell>
        </row>
        <row r="41">
          <cell r="L41">
            <v>6.3076923076923075</v>
          </cell>
        </row>
      </sheetData>
      <sheetData sheetId="24"/>
      <sheetData sheetId="25"/>
      <sheetData sheetId="26"/>
      <sheetData sheetId="2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ug 2nd"/>
      <sheetName val="Aug 3rd "/>
      <sheetName val="Aug 4th"/>
      <sheetName val="Aug 5th"/>
      <sheetName val="Aug 6th"/>
      <sheetName val="Aug 7th"/>
      <sheetName val="Aug 12th"/>
      <sheetName val="Aug 13th "/>
      <sheetName val="Aug 14th&amp;15th"/>
      <sheetName val="Aug 17th "/>
      <sheetName val="Aug 18th"/>
      <sheetName val="Aug 19th "/>
      <sheetName val="Aug 20th "/>
      <sheetName val="Aug 21st-22nd"/>
      <sheetName val="Aug 24th"/>
      <sheetName val="Aug 25th "/>
      <sheetName val="Aug 26th"/>
      <sheetName val="Aug 27th "/>
      <sheetName val="Aug 28th "/>
      <sheetName val="Aug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2">
          <cell r="L32">
            <v>98.65439164340431</v>
          </cell>
        </row>
        <row r="37">
          <cell r="L37">
            <v>7.2727272727272725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6"/>
      <sheetName val="August_2026"/>
      <sheetName val="September_2026"/>
      <sheetName val="October_2025"/>
      <sheetName val="November_2025"/>
      <sheetName val="December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D3">
            <v>405.70000000000005</v>
          </cell>
          <cell r="E3">
            <v>400.4</v>
          </cell>
          <cell r="I3">
            <v>289.77000000000004</v>
          </cell>
          <cell r="J3">
            <v>405.6</v>
          </cell>
          <cell r="K3">
            <v>202.60000000000002</v>
          </cell>
          <cell r="L3">
            <v>201.20000000000002</v>
          </cell>
          <cell r="M3">
            <v>117.1</v>
          </cell>
          <cell r="R3">
            <v>801.3</v>
          </cell>
          <cell r="T3">
            <v>389.1</v>
          </cell>
          <cell r="X3">
            <v>93.5</v>
          </cell>
          <cell r="Z3">
            <v>397.45</v>
          </cell>
          <cell r="AA3">
            <v>302.89999999999998</v>
          </cell>
          <cell r="AM3">
            <v>5.7910975261786639</v>
          </cell>
          <cell r="AP3">
            <v>6.5511187503051573</v>
          </cell>
        </row>
        <row r="4">
          <cell r="AM4">
            <v>5.7002127582026105</v>
          </cell>
          <cell r="AP4">
            <v>5.9275658832823668</v>
          </cell>
        </row>
        <row r="5">
          <cell r="AM5" t="e">
            <v>#DIV/0!</v>
          </cell>
          <cell r="AP5">
            <v>11.857907912244482</v>
          </cell>
        </row>
        <row r="6">
          <cell r="AM6" t="e">
            <v>#DIV/0!</v>
          </cell>
          <cell r="AP6">
            <v>4.8702525342252114</v>
          </cell>
        </row>
        <row r="7">
          <cell r="D7">
            <v>376.2</v>
          </cell>
          <cell r="E7">
            <v>369.80000000000007</v>
          </cell>
          <cell r="I7">
            <v>261.10000000000002</v>
          </cell>
          <cell r="J7">
            <v>380.09999999999997</v>
          </cell>
          <cell r="K7">
            <v>188</v>
          </cell>
          <cell r="L7">
            <v>193.2</v>
          </cell>
          <cell r="M7">
            <v>109</v>
          </cell>
          <cell r="R7">
            <v>737.7</v>
          </cell>
          <cell r="T7">
            <v>364.2</v>
          </cell>
          <cell r="X7">
            <v>91.5</v>
          </cell>
          <cell r="Z7">
            <v>378</v>
          </cell>
          <cell r="AA7">
            <v>294.60000000000002</v>
          </cell>
          <cell r="AM7" t="e">
            <v>#DIV/0!</v>
          </cell>
          <cell r="AP7" t="e">
            <v>#DIV/0!</v>
          </cell>
        </row>
        <row r="8">
          <cell r="AM8">
            <v>7.4264332958762713</v>
          </cell>
          <cell r="AP8">
            <v>7.9667553186446929</v>
          </cell>
        </row>
        <row r="9">
          <cell r="AM9" t="e">
            <v>#DIV/0!</v>
          </cell>
          <cell r="AP9">
            <v>5.0091179718082053</v>
          </cell>
        </row>
        <row r="10">
          <cell r="AM10" t="e">
            <v>#DIV/0!</v>
          </cell>
          <cell r="AP10" t="e">
            <v>#DIV/0!</v>
          </cell>
        </row>
        <row r="11">
          <cell r="D11">
            <v>6.7445156519595884</v>
          </cell>
          <cell r="I11">
            <v>10.04080626002494</v>
          </cell>
          <cell r="J11">
            <v>5.4475333924406968</v>
          </cell>
          <cell r="K11">
            <v>6.3824837244952164</v>
          </cell>
          <cell r="L11">
            <v>2.2558460313040278</v>
          </cell>
          <cell r="M11">
            <v>7.2894961571306611</v>
          </cell>
          <cell r="R11">
            <v>6.7385616355521467</v>
          </cell>
          <cell r="X11">
            <v>1.6693048128342238</v>
          </cell>
          <cell r="AA11">
            <v>0.6842796060842663</v>
          </cell>
          <cell r="AM11" t="e">
            <v>#DIV/0!</v>
          </cell>
          <cell r="AP11" t="e">
            <v>#DIV/0!</v>
          </cell>
        </row>
        <row r="12">
          <cell r="AM12">
            <v>5.9089000952681392</v>
          </cell>
          <cell r="AP12">
            <v>6.6274433812991713</v>
          </cell>
        </row>
        <row r="13">
          <cell r="F13">
            <v>395.99999999999994</v>
          </cell>
          <cell r="Q13">
            <v>494</v>
          </cell>
          <cell r="X13">
            <v>312</v>
          </cell>
          <cell r="Y13">
            <v>190.70000000000002</v>
          </cell>
        </row>
        <row r="17">
          <cell r="F17">
            <v>361.8</v>
          </cell>
          <cell r="Q17">
            <v>455.40000000000003</v>
          </cell>
          <cell r="X17">
            <v>297.60000000000002</v>
          </cell>
          <cell r="Y17">
            <v>184.3</v>
          </cell>
        </row>
        <row r="21">
          <cell r="F21">
            <v>7.5248838752488254</v>
          </cell>
          <cell r="Q21">
            <v>6.8511779913174742</v>
          </cell>
          <cell r="X21">
            <v>3.6145775128825988</v>
          </cell>
          <cell r="Y21">
            <v>2.340396759757176</v>
          </cell>
        </row>
        <row r="34">
          <cell r="N34">
            <v>199.59999999999997</v>
          </cell>
          <cell r="O34">
            <v>99.2</v>
          </cell>
        </row>
        <row r="39">
          <cell r="N39">
            <v>193</v>
          </cell>
          <cell r="O39">
            <v>97</v>
          </cell>
        </row>
        <row r="43">
          <cell r="N43">
            <v>6.1890918410749665</v>
          </cell>
          <cell r="O43">
            <v>4.3162622777590141</v>
          </cell>
        </row>
      </sheetData>
      <sheetData sheetId="9"/>
      <sheetData sheetId="10"/>
      <sheetData sheetId="1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6"/>
      <sheetName val="August_2026"/>
      <sheetName val="August_2018 (2)"/>
      <sheetName val="September_2026"/>
      <sheetName val="October_2025"/>
      <sheetName val="November_2025"/>
      <sheetName val="December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3">
          <cell r="AM13">
            <v>0.65182309941520467</v>
          </cell>
          <cell r="AP13">
            <v>0.54032562531481076</v>
          </cell>
        </row>
        <row r="14">
          <cell r="AM14">
            <v>0.58195614035087728</v>
          </cell>
          <cell r="AP14">
            <v>0.68829197714926005</v>
          </cell>
        </row>
        <row r="15">
          <cell r="AM15" t="e">
            <v>#DIV/0!</v>
          </cell>
          <cell r="AP15">
            <v>0.35370190356844494</v>
          </cell>
        </row>
        <row r="16">
          <cell r="AM16" t="e">
            <v>#DIV/0!</v>
          </cell>
          <cell r="AP16">
            <v>0.77919298245614044</v>
          </cell>
        </row>
        <row r="17">
          <cell r="AM17" t="e">
            <v>#DIV/0!</v>
          </cell>
          <cell r="AP17" t="e">
            <v>#DIV/0!</v>
          </cell>
        </row>
        <row r="18">
          <cell r="D18">
            <v>0.33</v>
          </cell>
          <cell r="I18">
            <v>0.91614035087719303</v>
          </cell>
          <cell r="J18">
            <v>1.3336842105263156</v>
          </cell>
          <cell r="K18">
            <v>0.6596491228070176</v>
          </cell>
          <cell r="L18">
            <v>0.67789473684210522</v>
          </cell>
          <cell r="M18">
            <v>0.19122807017543861</v>
          </cell>
          <cell r="R18">
            <v>0.43140350877192984</v>
          </cell>
          <cell r="X18">
            <v>0.32105263157894737</v>
          </cell>
          <cell r="Z18">
            <v>1.3263157894736841</v>
          </cell>
          <cell r="AA18">
            <v>1.0336842105263158</v>
          </cell>
          <cell r="AM18">
            <v>0.391812865497076</v>
          </cell>
          <cell r="AP18">
            <v>0.5883625730994152</v>
          </cell>
        </row>
        <row r="19">
          <cell r="AM19" t="e">
            <v>#DIV/0!</v>
          </cell>
          <cell r="AP19">
            <v>0.92642300194931759</v>
          </cell>
        </row>
        <row r="20">
          <cell r="AM20" t="e">
            <v>#DIV/0!</v>
          </cell>
          <cell r="AP20" t="e">
            <v>#DIV/0!</v>
          </cell>
        </row>
        <row r="21">
          <cell r="AM21">
            <v>0</v>
          </cell>
          <cell r="AP21" t="e">
            <v>#DIV/0!</v>
          </cell>
        </row>
        <row r="22">
          <cell r="AM22">
            <v>0.59606001846722068</v>
          </cell>
          <cell r="AP22">
            <v>0.59813227734050001</v>
          </cell>
        </row>
        <row r="25">
          <cell r="F25">
            <v>0.31736842105263158</v>
          </cell>
          <cell r="Q25">
            <v>0.31957894736842107</v>
          </cell>
          <cell r="X25">
            <v>1.0442105263157895</v>
          </cell>
          <cell r="Y25">
            <v>0.64666666666666672</v>
          </cell>
        </row>
        <row r="39">
          <cell r="N39">
            <v>0.67719298245614035</v>
          </cell>
          <cell r="O39">
            <v>0.34035087719298246</v>
          </cell>
        </row>
      </sheetData>
      <sheetData sheetId="10"/>
      <sheetData sheetId="11"/>
      <sheetData sheetId="1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5">
          <cell r="U25">
            <v>0.42385964912280699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MTD"/>
      <sheetName val="YTD 2026"/>
    </sheetNames>
    <sheetDataSet>
      <sheetData sheetId="0"/>
      <sheetData sheetId="1"/>
      <sheetData sheetId="2"/>
      <sheetData sheetId="3"/>
      <sheetData sheetId="4"/>
      <sheetData sheetId="5">
        <row r="7">
          <cell r="S7">
            <v>1.9</v>
          </cell>
        </row>
      </sheetData>
      <sheetData sheetId="6"/>
      <sheetData sheetId="7"/>
      <sheetData sheetId="8"/>
      <sheetData sheetId="9"/>
      <sheetData sheetId="10">
        <row r="5">
          <cell r="E5">
            <v>6.5229659742996704</v>
          </cell>
        </row>
        <row r="6">
          <cell r="E6">
            <v>6.720758239391091</v>
          </cell>
        </row>
        <row r="7">
          <cell r="E7" t="e">
            <v>#DIV/0!</v>
          </cell>
        </row>
        <row r="8">
          <cell r="E8" t="e">
            <v>#DIV/0!</v>
          </cell>
        </row>
        <row r="9">
          <cell r="E9" t="e">
            <v>#DIV/0!</v>
          </cell>
        </row>
        <row r="10">
          <cell r="E10">
            <v>6.8855672629257718</v>
          </cell>
        </row>
        <row r="11">
          <cell r="E11" t="e">
            <v>#DIV/0!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6.5959052058248897</v>
          </cell>
        </row>
      </sheetData>
      <sheetData sheetId="11">
        <row r="5">
          <cell r="E5">
            <v>6.5193700112432769</v>
          </cell>
        </row>
        <row r="6">
          <cell r="E6">
            <v>5.8780358526209691</v>
          </cell>
        </row>
        <row r="7">
          <cell r="E7">
            <v>11.277593164016125</v>
          </cell>
        </row>
        <row r="8">
          <cell r="E8">
            <v>4.8685538193023836</v>
          </cell>
        </row>
        <row r="9">
          <cell r="E9" t="e">
            <v>#DIV/0!</v>
          </cell>
        </row>
        <row r="10">
          <cell r="E10">
            <v>6.3233965672990236</v>
          </cell>
        </row>
        <row r="11">
          <cell r="E11">
            <v>3.6168923014750334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6.3525693659974207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6E5198-E2A5-4551-BF7A-1C645E8B97F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Tvk0IGNsCs061P7O_mj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2578125" defaultRowHeight="14.25"/>
  <cols>
    <col min="1" max="1" width="3.42578125" style="275" customWidth="1"/>
    <col min="2" max="2" width="20.7109375" style="275" customWidth="1"/>
    <col min="3" max="3" width="13.42578125" style="275" customWidth="1"/>
    <col min="4" max="4" width="11.5703125" style="275" customWidth="1"/>
    <col min="5" max="5" width="12.42578125" style="275" customWidth="1"/>
    <col min="6" max="6" width="11.42578125" style="275" customWidth="1"/>
    <col min="7" max="7" width="13.42578125" style="275" customWidth="1"/>
    <col min="8" max="8" width="12.42578125" style="275" customWidth="1"/>
    <col min="9" max="9" width="17.5703125" style="275" customWidth="1"/>
    <col min="10" max="10" width="25.28515625" style="275" customWidth="1"/>
    <col min="11" max="11" width="18.5703125" style="275" customWidth="1"/>
    <col min="12" max="12" width="15.7109375" style="275" customWidth="1"/>
    <col min="13" max="13" width="27.5703125" style="275" customWidth="1"/>
    <col min="14" max="14" width="13.28515625" style="275" customWidth="1"/>
    <col min="15" max="15" width="19.42578125" style="275" customWidth="1"/>
    <col min="16" max="16" width="36.5703125" style="6" customWidth="1"/>
    <col min="17" max="17" width="14" style="275" hidden="1" customWidth="1"/>
    <col min="18" max="18" width="16.5703125" style="275" customWidth="1"/>
    <col min="19" max="19" width="15.7109375" style="275" bestFit="1" customWidth="1"/>
    <col min="20" max="20" width="12.42578125" style="275" customWidth="1"/>
    <col min="21" max="21" width="15" style="275" customWidth="1"/>
    <col min="22" max="22" width="12" style="275" customWidth="1"/>
    <col min="23" max="23" width="10.42578125" style="275" customWidth="1"/>
    <col min="24" max="24" width="11.42578125" style="275" customWidth="1"/>
    <col min="25" max="25" width="10.42578125" style="275" customWidth="1"/>
    <col min="26" max="26" width="8.42578125" style="275" customWidth="1"/>
    <col min="27" max="27" width="9.5703125" style="275" customWidth="1"/>
    <col min="28" max="28" width="8.42578125" style="275" customWidth="1"/>
    <col min="29" max="30" width="7.5703125" style="275" customWidth="1"/>
    <col min="31" max="52" width="9.42578125" style="275"/>
    <col min="53" max="53" width="1.5703125" style="275" customWidth="1"/>
    <col min="54" max="55" width="9.42578125" style="275"/>
    <col min="56" max="57" width="15.42578125" style="275" customWidth="1"/>
    <col min="58" max="16384" width="9.42578125" style="275"/>
  </cols>
  <sheetData>
    <row r="1" spans="2:30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80" t="s">
        <v>0</v>
      </c>
      <c r="U1" s="580"/>
      <c r="V1" s="580" t="s">
        <v>1</v>
      </c>
      <c r="W1" s="580"/>
      <c r="X1" s="580" t="s">
        <v>2</v>
      </c>
      <c r="Y1" s="580"/>
      <c r="Z1" s="580" t="s">
        <v>124</v>
      </c>
      <c r="AA1" s="580"/>
    </row>
    <row r="2" spans="2:30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548">
        <v>45278</v>
      </c>
      <c r="D4" s="548"/>
      <c r="J4" s="586" t="s">
        <v>153</v>
      </c>
      <c r="K4" s="586"/>
      <c r="L4" s="11"/>
      <c r="M4" s="554" t="s">
        <v>8</v>
      </c>
      <c r="N4" s="55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87"/>
      <c r="K5" s="58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81" t="s">
        <v>151</v>
      </c>
      <c r="K6" s="582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83"/>
      <c r="K7" s="584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152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26</v>
      </c>
      <c r="O8" s="515"/>
      <c r="P8" s="508" t="s">
        <v>28</v>
      </c>
      <c r="Q8" s="571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85"/>
      <c r="Q9" s="572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5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5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5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34" t="s">
        <v>34</v>
      </c>
      <c r="J48" s="534"/>
      <c r="K48" s="534"/>
      <c r="L48" s="534"/>
      <c r="M48" s="534"/>
      <c r="N48" s="534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30.75" thickBot="1">
      <c r="B49" s="388" t="s">
        <v>145</v>
      </c>
      <c r="C49" s="388"/>
      <c r="D49" s="535" t="s">
        <v>35</v>
      </c>
      <c r="E49" s="536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73" t="s">
        <v>9</v>
      </c>
      <c r="C50" s="362">
        <v>11.8</v>
      </c>
      <c r="D50" s="522">
        <v>11.73</v>
      </c>
      <c r="E50" s="523"/>
      <c r="F50" s="294"/>
      <c r="G50" s="294"/>
      <c r="H50" s="294"/>
      <c r="I50" s="29" t="s">
        <v>6</v>
      </c>
      <c r="J50" s="323"/>
      <c r="K50" s="284">
        <f>COUNTA([20]Brewhouse!$A$1596:$A$1619)</f>
        <v>24</v>
      </c>
      <c r="L50" s="302">
        <f>AVERAGE([20]Brewhouse!$AU$1529,[20]Brewhouse!$AU$1531:$AU$1594,[20]Brewhouse!$AU$1596:$AU$1619)</f>
        <v>98.205761326291494</v>
      </c>
      <c r="M50" s="302">
        <f>AVERAGE([20]Brewhouse!$AU$849:$AU$924,[20]Brewhouse!$AU$926:$AU$971,[20]Brewhouse!$AU$973:$AU$1066,[20]Brewhouse!$AU$1068:$AU$1111,[20]Brewhouse!$AU$1113:$AU$1132,[20]Brewhouse!$AU$1134:$AU$1167,[20]Brewhouse!$AU$1169:$AU$1230,[20]Brewhouse!$AU$1232:$AU$1299,[20]Brewhouse!$AU$1301:$AU$1363,[20]Brewhouse!$AU$1365:$AU$1444,[20]Brewhouse!$AU$1446:$AU$1527,[20]Brewhouse!$AU$1529,[20]Brewhouse!$AU$1531:$AU$1594,[20]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38"/>
      <c r="C51" s="349">
        <v>11.9</v>
      </c>
      <c r="D51" s="524"/>
      <c r="E51" s="525"/>
      <c r="F51" s="294"/>
      <c r="G51" s="294"/>
      <c r="H51" s="32"/>
      <c r="I51" s="33" t="s">
        <v>9</v>
      </c>
      <c r="J51" s="323"/>
      <c r="K51" s="284">
        <f>COUNTA([21]Brewhouse!$A$976:$A$1007)</f>
        <v>32</v>
      </c>
      <c r="L51" s="302">
        <f>AVERAGE([21]Brewhouse!$AS$976:$AS$979,[21]Brewhouse!$AS$981:$AS$1007)</f>
        <v>98.538566771868645</v>
      </c>
      <c r="M51" s="302">
        <f>AVERAGE([21]Brewhouse!$AS$577:$AS$618,[21]Brewhouse!$AS$620:$AS$651,[21]Brewhouse!$AS$653:$AS$696,[21]Brewhouse!$AS$698:$AS$708,[21]Brewhouse!$AS$710:$AS$733,[21]Brewhouse!$AS$735:$AS$777,[21]Brewhouse!$AS$779:$AS$822,[21]Brewhouse!$AS$824:$AS$863,[21]Brewhouse!$AS$865:$AS$974,[21]Brewhouse!$AS$976:$AS$979,[21]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65" customHeight="1">
      <c r="A52" s="28"/>
      <c r="B52" s="538"/>
      <c r="C52" s="349"/>
      <c r="D52" s="522"/>
      <c r="E52" s="523"/>
      <c r="F52" s="294"/>
      <c r="G52" s="294"/>
      <c r="H52" s="32"/>
      <c r="I52" s="34" t="s">
        <v>12</v>
      </c>
      <c r="J52" s="280"/>
      <c r="K52" s="284">
        <f>COUNTA([22]Brewhouse!$A$282:$A$289)</f>
        <v>8</v>
      </c>
      <c r="L52" s="302">
        <f>AVERAGE([22]Brewhouse!$AU$269:$AU$279,[22]Brewhouse!$AU$282:$AU$289)</f>
        <v>96.1861768599382</v>
      </c>
      <c r="M52" s="302">
        <f>AVERAGE([22]Brewhouse!$AU$161:$AU$176,[22]Brewhouse!$AU$178:$AU$195,[22]Brewhouse!$AU$197:$AU$208,[22]Brewhouse!$AU$210:$AU$221,[22]Brewhouse!$AU$223:$AU$232,[22]Brewhouse!$AU$234:$AU$279,[22]Brewhouse!$AU$282:$AU$289)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65" customHeight="1">
      <c r="A53" s="28"/>
      <c r="B53" s="538"/>
      <c r="C53" s="349"/>
      <c r="D53" s="524"/>
      <c r="E53" s="525"/>
      <c r="F53" s="294"/>
      <c r="G53" s="294"/>
      <c r="H53" s="32"/>
      <c r="I53" s="22" t="s">
        <v>33</v>
      </c>
      <c r="J53" s="280"/>
      <c r="K53" s="284">
        <f>COUNTA([23]Brewhouse!$A$158:$A$163)</f>
        <v>6</v>
      </c>
      <c r="L53" s="302">
        <f>AVERAGE([23]Brewhouse!$AU$158:$AU$163)</f>
        <v>94.603050114691541</v>
      </c>
      <c r="M53" s="302">
        <f>AVERAGE([23]Brewhouse!$AU$91:$AU$101,[23]Brewhouse!$AU$103:$AU$112,[23]Brewhouse!$AU$114:$AU$123,[23]Brewhouse!$AU$125:$AU$134,[23]Brewhouse!$AU$136:$AU$145,[23]Brewhouse!$AU$147:$AU$156,[23]Brewhouse!$AU$158:$AU$163)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65" customHeight="1">
      <c r="A54" s="28"/>
      <c r="B54" s="538"/>
      <c r="C54" s="349"/>
      <c r="D54" s="522"/>
      <c r="E54" s="523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65" customHeight="1">
      <c r="A55" s="28"/>
      <c r="B55" s="538"/>
      <c r="C55" s="349"/>
      <c r="D55" s="524"/>
      <c r="E55" s="525"/>
      <c r="F55" s="294"/>
      <c r="G55" s="294"/>
      <c r="H55" s="32"/>
      <c r="I55" s="36" t="s">
        <v>15</v>
      </c>
      <c r="J55" s="323"/>
      <c r="K55" s="284"/>
      <c r="L55" s="302"/>
      <c r="M55" s="302">
        <f>AVERAGE([24]Brewhouse!$AT$74:$AT$79)</f>
        <v>93.95983649860375</v>
      </c>
      <c r="N55" s="30">
        <v>98</v>
      </c>
      <c r="O55" s="11"/>
      <c r="P55" s="31"/>
      <c r="S55" s="23"/>
    </row>
    <row r="56" spans="1:27" ht="14.65" customHeight="1">
      <c r="A56" s="28"/>
      <c r="B56" s="538"/>
      <c r="C56" s="349"/>
      <c r="D56" s="522"/>
      <c r="E56" s="523"/>
      <c r="F56" s="294"/>
      <c r="G56" s="294"/>
      <c r="H56" s="32"/>
      <c r="I56" s="37" t="s">
        <v>16</v>
      </c>
      <c r="J56" s="323"/>
      <c r="K56" s="284">
        <f>COUNTA([25]Brewhouse!$A$249:$A$254)</f>
        <v>6</v>
      </c>
      <c r="L56" s="302">
        <f>AVERAGE([25]Brewhouse!$AY$249:$AY$254)</f>
        <v>99.681996476494263</v>
      </c>
      <c r="M56" s="302">
        <f>AVERAGE([25]Brewhouse!$AY$138:$AY$143,[25]Brewhouse!$AY$145:$AY$153,[25]Brewhouse!$AY$155,[25]Brewhouse!$AY$156:$AY$174,[25]Brewhouse!$AY$176:$AY$185,[25]Brewhouse!$AY$187:$AY$198,[25]Brewhouse!$AY$200:$AY$247,[25]Brewhouse!$AY$249:$AY$254)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65" customHeight="1">
      <c r="A57" s="28"/>
      <c r="B57" s="538"/>
      <c r="C57" s="349"/>
      <c r="D57" s="524"/>
      <c r="E57" s="525"/>
      <c r="F57" s="294"/>
      <c r="G57" s="294"/>
      <c r="H57" s="32"/>
      <c r="I57" s="306" t="s">
        <v>137</v>
      </c>
      <c r="J57" s="326"/>
      <c r="K57" s="284"/>
      <c r="L57" s="305"/>
      <c r="M57" s="305">
        <f>AVERAGE([26]Brewhouse!$AW$13:$AW$14,[26]Brewhouse!$AW$16:$AW$17)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38"/>
      <c r="C58" s="349"/>
      <c r="D58" s="575"/>
      <c r="E58" s="568"/>
      <c r="F58" s="294"/>
      <c r="G58" s="294"/>
      <c r="H58" s="32"/>
      <c r="I58" s="38" t="s">
        <v>125</v>
      </c>
      <c r="J58" s="327"/>
      <c r="K58" s="284"/>
      <c r="L58" s="328"/>
      <c r="M58" s="328">
        <f>AVERAGE([26]Brewhouse!$AW$13:$AW$14)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38"/>
      <c r="C59" s="349"/>
      <c r="D59" s="576"/>
      <c r="E59" s="577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AVERAGE('[27]Closing- January 2023'!$L$42,'[28]Feb. 28th'!$L$42,'[29]March 31st'!$L$75,'[30]Apri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38"/>
      <c r="C60" s="349"/>
      <c r="D60" s="575"/>
      <c r="E60" s="568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74"/>
      <c r="C61" s="350"/>
      <c r="D61" s="578"/>
      <c r="E61" s="579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.75" thickBot="1">
      <c r="B62" s="560"/>
      <c r="C62" s="362"/>
      <c r="D62" s="563"/>
      <c r="E62" s="564"/>
      <c r="F62" s="43"/>
      <c r="G62" s="41"/>
      <c r="H62" s="41"/>
      <c r="I62" s="42"/>
      <c r="J62" s="565" t="s">
        <v>129</v>
      </c>
      <c r="K62" s="565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61"/>
      <c r="C63" s="349"/>
      <c r="D63" s="531"/>
      <c r="E63" s="525"/>
      <c r="F63" s="43"/>
      <c r="G63" s="41"/>
      <c r="H63" s="41"/>
      <c r="I63" s="42"/>
      <c r="J63" s="292" t="s">
        <v>17</v>
      </c>
      <c r="K63" s="293" t="s">
        <v>147</v>
      </c>
      <c r="L63" s="527" t="s">
        <v>136</v>
      </c>
      <c r="M63" s="527"/>
      <c r="N63" s="528"/>
      <c r="O63" s="294"/>
      <c r="P63" s="12"/>
      <c r="S63" s="23"/>
    </row>
    <row r="64" spans="1:27" ht="15" customHeight="1" thickBot="1">
      <c r="B64" s="561"/>
      <c r="C64" s="349"/>
      <c r="D64" s="566"/>
      <c r="E64" s="523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61"/>
      <c r="C65" s="349"/>
      <c r="D65" s="531"/>
      <c r="E65" s="525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AVERAGE(6,6,'[29]March 31st'!$L$80,'[31]June 30th  '!$L$71,6,L65,'[32]July 31st'!$L$108,'[33]Aug 30th'!$L$124,7,[34]Oct.31st!$L$51)</f>
        <v>#REF!</v>
      </c>
      <c r="N65" s="308">
        <v>9</v>
      </c>
      <c r="O65" s="294"/>
      <c r="P65" s="12"/>
      <c r="S65" s="23"/>
    </row>
    <row r="66" spans="2:58" ht="15" customHeight="1">
      <c r="B66" s="561"/>
      <c r="C66" s="349"/>
      <c r="D66" s="566"/>
      <c r="E66" s="523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61"/>
      <c r="C67" s="349"/>
      <c r="D67" s="531"/>
      <c r="E67" s="525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5">
      <c r="B68" s="561"/>
      <c r="C68" s="349"/>
      <c r="D68" s="566"/>
      <c r="E68" s="523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">
      <c r="B69" s="561"/>
      <c r="C69" s="349"/>
      <c r="D69" s="531"/>
      <c r="E69" s="525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">
      <c r="B70" s="561"/>
      <c r="C70" s="349"/>
      <c r="D70" s="567"/>
      <c r="E70" s="568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.75" thickBot="1">
      <c r="B71" s="562"/>
      <c r="C71" s="350"/>
      <c r="D71" s="569"/>
      <c r="E71" s="570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649999999999999" customHeight="1" thickBot="1">
      <c r="B72" s="312" t="s">
        <v>139</v>
      </c>
      <c r="C72" s="313"/>
      <c r="D72" s="558">
        <f>AVERAGE(D50:E71)</f>
        <v>11.73</v>
      </c>
      <c r="E72" s="559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649999999999999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04" t="s">
        <v>17</v>
      </c>
      <c r="C77" s="504" t="s">
        <v>44</v>
      </c>
      <c r="D77" s="513" t="s">
        <v>45</v>
      </c>
      <c r="E77" s="515" t="s">
        <v>46</v>
      </c>
      <c r="F77" s="517" t="s">
        <v>47</v>
      </c>
      <c r="G77" s="502" t="s">
        <v>48</v>
      </c>
      <c r="H77" s="504" t="s">
        <v>49</v>
      </c>
      <c r="I77" s="556" t="s">
        <v>50</v>
      </c>
      <c r="J77" s="496" t="s">
        <v>28</v>
      </c>
      <c r="K77" s="506" t="s">
        <v>51</v>
      </c>
      <c r="L77" s="508" t="s">
        <v>52</v>
      </c>
      <c r="M77" s="496" t="s">
        <v>53</v>
      </c>
      <c r="N77" s="77"/>
      <c r="O77" s="13"/>
      <c r="P77" s="50"/>
    </row>
    <row r="78" spans="2:58" ht="28.5" customHeight="1" thickTop="1" thickBot="1">
      <c r="B78" s="512"/>
      <c r="C78" s="512"/>
      <c r="D78" s="514"/>
      <c r="E78" s="516"/>
      <c r="F78" s="518"/>
      <c r="G78" s="503"/>
      <c r="H78" s="512"/>
      <c r="I78" s="557"/>
      <c r="J78" s="497"/>
      <c r="K78" s="507"/>
      <c r="L78" s="509"/>
      <c r="M78" s="497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[35]December_2023!$U$13</f>
        <v>150.4</v>
      </c>
      <c r="E79" s="378"/>
      <c r="F79" s="379"/>
      <c r="G79" s="303">
        <f>[35]December_2023!$U$17</f>
        <v>120.8</v>
      </c>
      <c r="H79" s="381"/>
      <c r="I79" s="382"/>
      <c r="J79" s="360" t="s">
        <v>150</v>
      </c>
      <c r="K79" s="380">
        <f>[36]December_2023!$U$25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[19]January_2019!D8</f>
        <v>#DIV/0!</v>
      </c>
      <c r="V80" s="57">
        <f>[19]January_2019!E8</f>
        <v>1.0319298245614037</v>
      </c>
      <c r="W80" s="57">
        <f>[19]January_2019!F8</f>
        <v>1.7789473684210526</v>
      </c>
      <c r="X80" s="57">
        <f>[19]January_2019!G8</f>
        <v>0.51929824561403504</v>
      </c>
      <c r="Y80" s="57" t="e">
        <f>[19]January_2019!H8</f>
        <v>#DIV/0!</v>
      </c>
      <c r="Z80" s="57" t="e">
        <f>[19]January_2019!I8</f>
        <v>#DIV/0!</v>
      </c>
      <c r="AA80" s="57">
        <f>[19]January_2019!J8</f>
        <v>1.365263157894737</v>
      </c>
      <c r="AB80" s="57" t="e">
        <f>[19]January_2019!K8</f>
        <v>#DIV/0!</v>
      </c>
      <c r="AC80" s="57">
        <f>[19]January_2019!L8</f>
        <v>1.0028070175438597</v>
      </c>
      <c r="AD80" s="57">
        <f>[19]January_2019!M8</f>
        <v>1.7828070175438597</v>
      </c>
      <c r="AE80" s="57" t="e">
        <f>[19]January_2019!N8</f>
        <v>#DIV/0!</v>
      </c>
      <c r="AF80" s="57" t="e">
        <f>[19]January_2019!O8</f>
        <v>#DIV/0!</v>
      </c>
      <c r="AG80" s="57">
        <f>[19]January_2019!P8</f>
        <v>0.19222222222222221</v>
      </c>
      <c r="AH80" s="57">
        <f>[19]January_2019!Q8</f>
        <v>0.52219298245614032</v>
      </c>
      <c r="AI80" s="57">
        <f>[19]January_2019!R8</f>
        <v>0.42912280701754385</v>
      </c>
      <c r="AJ80" s="57" t="e">
        <f>[19]January_2019!S8</f>
        <v>#DIV/0!</v>
      </c>
      <c r="AK80" s="57">
        <f>[19]January_2019!T8</f>
        <v>1.0340350877192983</v>
      </c>
      <c r="AL80" s="57">
        <f>[19]January_2019!U8</f>
        <v>0.98421052631578942</v>
      </c>
      <c r="AM80" s="57" t="e">
        <f>[19]January_2019!V8</f>
        <v>#DIV/0!</v>
      </c>
      <c r="AN80" s="57" t="e">
        <f>[19]January_2019!W8</f>
        <v>#DIV/0!</v>
      </c>
      <c r="AO80" s="57">
        <f>[19]January_2019!X8</f>
        <v>0.66052631578947374</v>
      </c>
      <c r="AP80" s="57">
        <f>[19]January_2019!Y8</f>
        <v>1.0375438596491227</v>
      </c>
      <c r="AQ80" s="57">
        <f>[19]January_2019!Z8</f>
        <v>0.90456140350877201</v>
      </c>
      <c r="AR80" s="57">
        <f>[19]January_2019!AA8</f>
        <v>1.0217543859649123</v>
      </c>
      <c r="AS80" s="57">
        <f>[19]January_2019!AB8</f>
        <v>0.65614035087719302</v>
      </c>
      <c r="AT80" s="57" t="e">
        <f>[19]January_2019!AC8</f>
        <v>#DIV/0!</v>
      </c>
      <c r="AU80" s="57" t="e">
        <f>[19]January_2019!AD8</f>
        <v>#DIV/0!</v>
      </c>
      <c r="AV80" s="57">
        <f>[19]January_2019!AE8</f>
        <v>1.7021052631578948</v>
      </c>
      <c r="AW80" s="57">
        <f>[19]January_2019!AF8</f>
        <v>0.60192982456140354</v>
      </c>
      <c r="AX80" s="57">
        <f>[19]January_2019!AG8</f>
        <v>1.4870175438596491</v>
      </c>
      <c r="AY80" s="277" t="e">
        <f>[19]January_2019!AH8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5.75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5.75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5.75" thickBot="1">
      <c r="B87" s="498" t="s">
        <v>55</v>
      </c>
      <c r="C87" s="499"/>
      <c r="D87" s="499"/>
      <c r="E87" s="499"/>
      <c r="F87" s="500"/>
      <c r="G87" s="498" t="s">
        <v>56</v>
      </c>
      <c r="H87" s="499"/>
      <c r="I87" s="499"/>
      <c r="J87" s="500"/>
      <c r="K87" s="498" t="s">
        <v>51</v>
      </c>
      <c r="L87" s="499"/>
      <c r="M87" s="499"/>
      <c r="N87" s="501"/>
      <c r="O87" s="56"/>
      <c r="P87" s="50"/>
    </row>
    <row r="88" spans="2:58" ht="15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 ht="15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 ht="15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[35]December_2023!$U$21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 ht="15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 ht="15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 ht="15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 ht="15">
      <c r="B94" s="36" t="s">
        <v>15</v>
      </c>
      <c r="C94" s="282"/>
      <c r="D94" s="76"/>
      <c r="E94" s="76">
        <v>6.4174306465055304</v>
      </c>
      <c r="F94" s="70">
        <f>[37]May_2022!$M$43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 ht="15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5.75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 ht="15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C4:D4"/>
    <mergeCell ref="J4:K5"/>
    <mergeCell ref="M4:N4"/>
    <mergeCell ref="T1:U1"/>
    <mergeCell ref="V1:W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B62:B71"/>
    <mergeCell ref="D62:E63"/>
    <mergeCell ref="J62:K62"/>
    <mergeCell ref="L63:N63"/>
    <mergeCell ref="D64:E65"/>
    <mergeCell ref="D66:E67"/>
    <mergeCell ref="D68:E69"/>
    <mergeCell ref="D70:E71"/>
    <mergeCell ref="D72:E72"/>
    <mergeCell ref="B77:B78"/>
    <mergeCell ref="C77:C78"/>
    <mergeCell ref="D77:D78"/>
    <mergeCell ref="E77:E78"/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</mergeCells>
  <conditionalFormatting sqref="B72:B73">
    <cfRule type="cellIs" dxfId="3634" priority="157" operator="notBetween">
      <formula>#REF!</formula>
      <formula>#REF!</formula>
    </cfRule>
  </conditionalFormatting>
  <conditionalFormatting sqref="C76">
    <cfRule type="cellIs" dxfId="3633" priority="189" stopIfTrue="1" operator="lessThan">
      <formula>96</formula>
    </cfRule>
    <cfRule type="cellIs" dxfId="3632" priority="190" stopIfTrue="1" operator="greaterThan">
      <formula>100</formula>
    </cfRule>
  </conditionalFormatting>
  <conditionalFormatting sqref="C90">
    <cfRule type="cellIs" dxfId="3631" priority="106" stopIfTrue="1" operator="lessThanOrEqual">
      <formula>0</formula>
    </cfRule>
    <cfRule type="cellIs" dxfId="3630" priority="212" stopIfTrue="1" operator="greaterThan">
      <formula>$F89</formula>
    </cfRule>
  </conditionalFormatting>
  <conditionalFormatting sqref="C91:C93">
    <cfRule type="cellIs" dxfId="3629" priority="105" stopIfTrue="1" operator="greaterThan">
      <formula>$F91</formula>
    </cfRule>
  </conditionalFormatting>
  <conditionalFormatting sqref="C91:C94">
    <cfRule type="cellIs" dxfId="3628" priority="129" stopIfTrue="1" operator="lessThanOrEqual">
      <formula>0</formula>
    </cfRule>
  </conditionalFormatting>
  <conditionalFormatting sqref="C94">
    <cfRule type="cellIs" dxfId="3627" priority="128" stopIfTrue="1" operator="greaterThan">
      <formula>$J94</formula>
    </cfRule>
  </conditionalFormatting>
  <conditionalFormatting sqref="C95:C97">
    <cfRule type="cellIs" dxfId="3626" priority="145" stopIfTrue="1" operator="greaterThan">
      <formula>$F95</formula>
    </cfRule>
    <cfRule type="cellIs" dxfId="3625" priority="146" stopIfTrue="1" operator="lessThanOrEqual">
      <formula>0</formula>
    </cfRule>
  </conditionalFormatting>
  <conditionalFormatting sqref="C100:C104">
    <cfRule type="cellIs" dxfId="3624" priority="181" stopIfTrue="1" operator="lessThanOrEqual">
      <formula>0</formula>
    </cfRule>
  </conditionalFormatting>
  <conditionalFormatting sqref="C101:C104">
    <cfRule type="cellIs" dxfId="3623" priority="180" stopIfTrue="1" operator="greaterThan">
      <formula>$F$100</formula>
    </cfRule>
  </conditionalFormatting>
  <conditionalFormatting sqref="C106">
    <cfRule type="cellIs" dxfId="3622" priority="182" stopIfTrue="1" operator="greaterThan">
      <formula>$F$100</formula>
    </cfRule>
    <cfRule type="cellIs" dxfId="3621" priority="183" stopIfTrue="1" operator="lessThanOrEqual">
      <formula>0</formula>
    </cfRule>
  </conditionalFormatting>
  <conditionalFormatting sqref="C100:D100 D102:D108">
    <cfRule type="cellIs" dxfId="3620" priority="175" stopIfTrue="1" operator="greaterThan">
      <formula>4.5</formula>
    </cfRule>
  </conditionalFormatting>
  <conditionalFormatting sqref="D72:D73">
    <cfRule type="cellIs" dxfId="3619" priority="158" operator="notBetween">
      <formula>#REF!</formula>
      <formula>#REF!</formula>
    </cfRule>
  </conditionalFormatting>
  <conditionalFormatting sqref="D89:D96">
    <cfRule type="cellIs" dxfId="3618" priority="144" stopIfTrue="1" operator="lessThanOrEqual">
      <formula>0</formula>
    </cfRule>
  </conditionalFormatting>
  <conditionalFormatting sqref="D97">
    <cfRule type="cellIs" dxfId="3617" priority="143" stopIfTrue="1" operator="lessThanOrEqual">
      <formula>0</formula>
    </cfRule>
  </conditionalFormatting>
  <conditionalFormatting sqref="D100 D102:D108">
    <cfRule type="cellIs" dxfId="3616" priority="176" stopIfTrue="1" operator="lessThanOrEqual">
      <formula>0</formula>
    </cfRule>
  </conditionalFormatting>
  <conditionalFormatting sqref="D101">
    <cfRule type="cellIs" dxfId="3615" priority="167" stopIfTrue="1" operator="greaterThan">
      <formula>$F$100</formula>
    </cfRule>
    <cfRule type="cellIs" dxfId="3614" priority="168" stopIfTrue="1" operator="lessThanOrEqual">
      <formula>0</formula>
    </cfRule>
  </conditionalFormatting>
  <conditionalFormatting sqref="D89:E97">
    <cfRule type="cellIs" dxfId="3613" priority="135" stopIfTrue="1" operator="greaterThan">
      <formula>$F89</formula>
    </cfRule>
  </conditionalFormatting>
  <conditionalFormatting sqref="E10:E14">
    <cfRule type="cellIs" dxfId="3612" priority="52" operator="lessThan">
      <formula>48</formula>
    </cfRule>
  </conditionalFormatting>
  <conditionalFormatting sqref="E33:E46">
    <cfRule type="cellIs" dxfId="3611" priority="25" operator="lessThan">
      <formula>48</formula>
    </cfRule>
  </conditionalFormatting>
  <conditionalFormatting sqref="E76">
    <cfRule type="cellIs" dxfId="3610" priority="169" stopIfTrue="1" operator="lessThan">
      <formula>96.8</formula>
    </cfRule>
    <cfRule type="cellIs" dxfId="3609" priority="170" stopIfTrue="1" operator="greaterThan">
      <formula>100</formula>
    </cfRule>
  </conditionalFormatting>
  <conditionalFormatting sqref="E89:E97">
    <cfRule type="cellIs" dxfId="3608" priority="136" stopIfTrue="1" operator="lessThanOrEqual">
      <formula>0</formula>
    </cfRule>
  </conditionalFormatting>
  <conditionalFormatting sqref="E100:E108">
    <cfRule type="cellIs" dxfId="3607" priority="161" stopIfTrue="1" operator="greaterThan">
      <formula>4.5</formula>
    </cfRule>
    <cfRule type="cellIs" dxfId="3606" priority="162" stopIfTrue="1" operator="lessThanOrEqual">
      <formula>0</formula>
    </cfRule>
  </conditionalFormatting>
  <conditionalFormatting sqref="E75:F76">
    <cfRule type="cellIs" dxfId="3605" priority="171" stopIfTrue="1" operator="lessThan">
      <formula>96.5</formula>
    </cfRule>
    <cfRule type="cellIs" dxfId="3604" priority="172" stopIfTrue="1" operator="greaterThan">
      <formula>100</formula>
    </cfRule>
  </conditionalFormatting>
  <conditionalFormatting sqref="F10:F12">
    <cfRule type="cellIs" dxfId="3603" priority="62" operator="greaterThan">
      <formula>#REF!</formula>
    </cfRule>
  </conditionalFormatting>
  <conditionalFormatting sqref="F10:F47">
    <cfRule type="cellIs" dxfId="3602" priority="15" operator="greaterThan">
      <formula>$AA10</formula>
    </cfRule>
  </conditionalFormatting>
  <conditionalFormatting sqref="F13">
    <cfRule type="cellIs" dxfId="3601" priority="53" operator="greaterThan">
      <formula>$AA47</formula>
    </cfRule>
  </conditionalFormatting>
  <conditionalFormatting sqref="F14">
    <cfRule type="cellIs" dxfId="3600" priority="196" operator="greaterThan">
      <formula>#REF!</formula>
    </cfRule>
  </conditionalFormatting>
  <conditionalFormatting sqref="F33:F46">
    <cfRule type="cellIs" dxfId="3599" priority="26" operator="greaterThan">
      <formula>$AA48</formula>
    </cfRule>
  </conditionalFormatting>
  <conditionalFormatting sqref="F76">
    <cfRule type="cellIs" dxfId="3598" priority="187" stopIfTrue="1" operator="lessThan">
      <formula>96.8</formula>
    </cfRule>
    <cfRule type="cellIs" dxfId="3597" priority="188" stopIfTrue="1" operator="greaterThan">
      <formula>100</formula>
    </cfRule>
  </conditionalFormatting>
  <conditionalFormatting sqref="F97">
    <cfRule type="cellIs" dxfId="3596" priority="137" stopIfTrue="1" operator="greaterThan">
      <formula>$F97</formula>
    </cfRule>
    <cfRule type="cellIs" dxfId="3595" priority="138" stopIfTrue="1" operator="lessThanOrEqual">
      <formula>0</formula>
    </cfRule>
  </conditionalFormatting>
  <conditionalFormatting sqref="G10:G14">
    <cfRule type="expression" dxfId="3594" priority="54">
      <formula>IF(+(IF(G10&lt;#REF!,0,IF(G10&gt;#REF!,0,1)))=0,1)</formula>
    </cfRule>
  </conditionalFormatting>
  <conditionalFormatting sqref="G33:G46">
    <cfRule type="expression" dxfId="3593" priority="27">
      <formula>IF(+(IF(G33&lt;#REF!,0,IF(G33&gt;#REF!,0,1)))=0,1)</formula>
    </cfRule>
  </conditionalFormatting>
  <conditionalFormatting sqref="G90">
    <cfRule type="cellIs" dxfId="3592" priority="70" stopIfTrue="1" operator="greaterThan">
      <formula>$F89</formula>
    </cfRule>
    <cfRule type="cellIs" dxfId="3591" priority="71" stopIfTrue="1" operator="lessThanOrEqual">
      <formula>0</formula>
    </cfRule>
  </conditionalFormatting>
  <conditionalFormatting sqref="G90:G91">
    <cfRule type="cellIs" dxfId="3590" priority="191" stopIfTrue="1" operator="greaterThan">
      <formula>$F89</formula>
    </cfRule>
    <cfRule type="cellIs" dxfId="3589" priority="192" stopIfTrue="1" operator="lessThanOrEqual">
      <formula>0</formula>
    </cfRule>
  </conditionalFormatting>
  <conditionalFormatting sqref="G92">
    <cfRule type="cellIs" dxfId="3588" priority="139" stopIfTrue="1" operator="greaterThan">
      <formula>$F92</formula>
    </cfRule>
    <cfRule type="cellIs" dxfId="3587" priority="140" stopIfTrue="1" operator="lessThanOrEqual">
      <formula>0</formula>
    </cfRule>
  </conditionalFormatting>
  <conditionalFormatting sqref="G93:G96">
    <cfRule type="cellIs" dxfId="3586" priority="148" stopIfTrue="1" operator="greaterThan">
      <formula>$J93</formula>
    </cfRule>
    <cfRule type="cellIs" dxfId="3585" priority="149" stopIfTrue="1" operator="lessThanOrEqual">
      <formula>0</formula>
    </cfRule>
  </conditionalFormatting>
  <conditionalFormatting sqref="G97">
    <cfRule type="cellIs" dxfId="3584" priority="147" operator="greaterThan">
      <formula>4.5</formula>
    </cfRule>
  </conditionalFormatting>
  <conditionalFormatting sqref="G102:G107 C105 C107">
    <cfRule type="cellIs" dxfId="3583" priority="184" stopIfTrue="1" operator="greaterThan">
      <formula>4.5</formula>
    </cfRule>
    <cfRule type="cellIs" dxfId="3582" priority="185" stopIfTrue="1" operator="lessThanOrEqual">
      <formula>0</formula>
    </cfRule>
  </conditionalFormatting>
  <conditionalFormatting sqref="G62:H62 G63:G73 H63:H74">
    <cfRule type="cellIs" dxfId="3581" priority="163" stopIfTrue="1" operator="greaterThan">
      <formula>0</formula>
    </cfRule>
  </conditionalFormatting>
  <conditionalFormatting sqref="G101:H101">
    <cfRule type="cellIs" dxfId="3580" priority="165" stopIfTrue="1" operator="greaterThan">
      <formula>$F$100</formula>
    </cfRule>
    <cfRule type="cellIs" dxfId="3579" priority="166" stopIfTrue="1" operator="lessThanOrEqual">
      <formula>0</formula>
    </cfRule>
  </conditionalFormatting>
  <conditionalFormatting sqref="H10">
    <cfRule type="expression" dxfId="3578" priority="63">
      <formula>IF(+(IF(H10&lt;T27,0,IF(H10&gt;U27,0,1)))=0,1)</formula>
    </cfRule>
  </conditionalFormatting>
  <conditionalFormatting sqref="H10:H12">
    <cfRule type="expression" dxfId="3577" priority="64">
      <formula>IF(+(IF(H10&lt;#REF!,0,IF(H10&gt;#REF!,0,1)))=0,1)</formula>
    </cfRule>
  </conditionalFormatting>
  <conditionalFormatting sqref="H11:H12">
    <cfRule type="expression" dxfId="3576" priority="207">
      <formula>IF(+(IF(H11&lt;T47,0,IF(H11&gt;U47,0,1)))=0,1)</formula>
    </cfRule>
  </conditionalFormatting>
  <conditionalFormatting sqref="H13">
    <cfRule type="expression" dxfId="3575" priority="55">
      <formula>IF(+(IF(H13&lt;T56,0,IF(H13&gt;U56,0,1)))=0,1)</formula>
    </cfRule>
    <cfRule type="expression" dxfId="3574" priority="56">
      <formula>IF(+(IF(H13&lt;T47,0,IF(H13&gt;U47,0,1)))=0,1)</formula>
    </cfRule>
  </conditionalFormatting>
  <conditionalFormatting sqref="H14">
    <cfRule type="expression" dxfId="3573" priority="197">
      <formula>IF(+(IF(H14&lt;T50,0,IF(H14&gt;U50,0,1)))=0,1)</formula>
    </cfRule>
    <cfRule type="expression" dxfId="3572" priority="198">
      <formula>IF(+(IF(H14&lt;#REF!,0,IF(H14&gt;#REF!,0,1)))=0,1)</formula>
    </cfRule>
  </conditionalFormatting>
  <conditionalFormatting sqref="H15:H32">
    <cfRule type="expression" dxfId="3571" priority="209">
      <formula>IF(+(IF(H15&lt;T66,0,IF(H15&gt;U66,0,1)))=0,1)</formula>
    </cfRule>
  </conditionalFormatting>
  <conditionalFormatting sqref="H33:H46">
    <cfRule type="expression" dxfId="3570" priority="28">
      <formula>IF(+(IF(H33&lt;T57,0,IF(H33&gt;U57,0,1)))=0,1)</formula>
    </cfRule>
    <cfRule type="expression" dxfId="3569" priority="29">
      <formula>IF(+(IF(H33&lt;T48,0,IF(H33&gt;U48,0,1)))=0,1)</formula>
    </cfRule>
  </conditionalFormatting>
  <conditionalFormatting sqref="H47">
    <cfRule type="expression" dxfId="3568" priority="193">
      <formula>IF(+(IF(H47&lt;#REF!,0,IF(H47&gt;#REF!,0,1)))=0,1)</formula>
    </cfRule>
  </conditionalFormatting>
  <conditionalFormatting sqref="H51:H61">
    <cfRule type="cellIs" dxfId="3567" priority="159" stopIfTrue="1" operator="greaterThan">
      <formula>0</formula>
    </cfRule>
  </conditionalFormatting>
  <conditionalFormatting sqref="H79">
    <cfRule type="cellIs" dxfId="3566" priority="2" stopIfTrue="1" operator="lessThanOrEqual">
      <formula>0</formula>
    </cfRule>
    <cfRule type="cellIs" dxfId="3565" priority="3" stopIfTrue="1" operator="greaterThan">
      <formula>$F$53</formula>
    </cfRule>
    <cfRule type="cellIs" dxfId="3564" priority="11" stopIfTrue="1" operator="greaterThan">
      <formula>$F$56</formula>
    </cfRule>
    <cfRule type="cellIs" dxfId="3563" priority="12" stopIfTrue="1" operator="lessThanOrEqual">
      <formula>0</formula>
    </cfRule>
    <cfRule type="cellIs" dxfId="3562" priority="13" stopIfTrue="1" operator="greaterThan">
      <formula>$F$54</formula>
    </cfRule>
    <cfRule type="cellIs" dxfId="3561" priority="14" stopIfTrue="1" operator="lessThanOrEqual">
      <formula>0</formula>
    </cfRule>
  </conditionalFormatting>
  <conditionalFormatting sqref="H80">
    <cfRule type="cellIs" dxfId="3560" priority="92" stopIfTrue="1" operator="lessThanOrEqual">
      <formula>0</formula>
    </cfRule>
    <cfRule type="cellIs" dxfId="3559" priority="93" stopIfTrue="1" operator="greaterThan">
      <formula>$F$88</formula>
    </cfRule>
    <cfRule type="cellIs" dxfId="3558" priority="101" stopIfTrue="1" operator="greaterThan">
      <formula>$F$91</formula>
    </cfRule>
    <cfRule type="cellIs" dxfId="3557" priority="102" stopIfTrue="1" operator="lessThanOrEqual">
      <formula>0</formula>
    </cfRule>
    <cfRule type="cellIs" dxfId="3556" priority="103" stopIfTrue="1" operator="greaterThan">
      <formula>$F$89</formula>
    </cfRule>
    <cfRule type="cellIs" dxfId="3555" priority="104" stopIfTrue="1" operator="lessThanOrEqual">
      <formula>0</formula>
    </cfRule>
  </conditionalFormatting>
  <conditionalFormatting sqref="H81">
    <cfRule type="cellIs" dxfId="3554" priority="35" stopIfTrue="1" operator="lessThanOrEqual">
      <formula>0</formula>
    </cfRule>
    <cfRule type="cellIs" dxfId="3553" priority="36" stopIfTrue="1" operator="greaterThan">
      <formula>$F$72</formula>
    </cfRule>
    <cfRule type="cellIs" dxfId="3552" priority="44" stopIfTrue="1" operator="greaterThan">
      <formula>$F$75</formula>
    </cfRule>
    <cfRule type="cellIs" dxfId="3551" priority="45" stopIfTrue="1" operator="lessThanOrEqual">
      <formula>0</formula>
    </cfRule>
    <cfRule type="cellIs" dxfId="3550" priority="46" stopIfTrue="1" operator="greaterThan">
      <formula>$F$73</formula>
    </cfRule>
    <cfRule type="cellIs" dxfId="3549" priority="47" stopIfTrue="1" operator="lessThanOrEqual">
      <formula>0</formula>
    </cfRule>
  </conditionalFormatting>
  <conditionalFormatting sqref="H82">
    <cfRule type="cellIs" dxfId="3548" priority="75" stopIfTrue="1" operator="lessThanOrEqual">
      <formula>0</formula>
    </cfRule>
    <cfRule type="cellIs" dxfId="3547" priority="76" stopIfTrue="1" operator="greaterThan">
      <formula>#REF!</formula>
    </cfRule>
    <cfRule type="cellIs" dxfId="3546" priority="84" stopIfTrue="1" operator="greaterThan">
      <formula>#REF!</formula>
    </cfRule>
  </conditionalFormatting>
  <conditionalFormatting sqref="H82:H84">
    <cfRule type="cellIs" dxfId="3545" priority="85" stopIfTrue="1" operator="lessThanOrEqual">
      <formula>0</formula>
    </cfRule>
  </conditionalFormatting>
  <conditionalFormatting sqref="H83:H84">
    <cfRule type="cellIs" dxfId="3544" priority="114" stopIfTrue="1" operator="greaterThan">
      <formula>$F$89</formula>
    </cfRule>
    <cfRule type="cellIs" dxfId="3543" priority="122" stopIfTrue="1" operator="greaterThan">
      <formula>$F$92</formula>
    </cfRule>
    <cfRule type="cellIs" dxfId="3542" priority="123" stopIfTrue="1" operator="lessThanOrEqual">
      <formula>0</formula>
    </cfRule>
    <cfRule type="cellIs" dxfId="3541" priority="124" stopIfTrue="1" operator="greaterThan">
      <formula>$F$90</formula>
    </cfRule>
    <cfRule type="cellIs" dxfId="3540" priority="125" stopIfTrue="1" operator="lessThanOrEqual">
      <formula>0</formula>
    </cfRule>
  </conditionalFormatting>
  <conditionalFormatting sqref="H85">
    <cfRule type="cellIs" dxfId="3539" priority="153" stopIfTrue="1" operator="greaterThan">
      <formula>$F$86</formula>
    </cfRule>
    <cfRule type="cellIs" dxfId="3538" priority="154" stopIfTrue="1" operator="lessThanOrEqual">
      <formula>0</formula>
    </cfRule>
    <cfRule type="cellIs" dxfId="3537" priority="155" stopIfTrue="1" operator="greaterThan">
      <formula>$F$82</formula>
    </cfRule>
    <cfRule type="cellIs" dxfId="3536" priority="156" stopIfTrue="1" operator="lessThanOrEqual">
      <formula>0</formula>
    </cfRule>
  </conditionalFormatting>
  <conditionalFormatting sqref="H89:H96">
    <cfRule type="cellIs" dxfId="3535" priority="126" stopIfTrue="1" operator="greaterThan">
      <formula>$J89</formula>
    </cfRule>
    <cfRule type="cellIs" dxfId="3534" priority="127" stopIfTrue="1" operator="lessThanOrEqual">
      <formula>0</formula>
    </cfRule>
  </conditionalFormatting>
  <conditionalFormatting sqref="H97">
    <cfRule type="cellIs" dxfId="3533" priority="132" operator="greaterThan">
      <formula>5.3</formula>
    </cfRule>
  </conditionalFormatting>
  <conditionalFormatting sqref="H100 H102:H108">
    <cfRule type="cellIs" dxfId="3532" priority="177" stopIfTrue="1" operator="greaterThan">
      <formula>4.5</formula>
    </cfRule>
    <cfRule type="cellIs" dxfId="3531" priority="178" stopIfTrue="1" operator="lessThanOrEqual">
      <formula>0</formula>
    </cfRule>
  </conditionalFormatting>
  <conditionalFormatting sqref="H79:I79">
    <cfRule type="cellIs" dxfId="3530" priority="1" stopIfTrue="1" operator="greaterThan">
      <formula>$F$55</formula>
    </cfRule>
    <cfRule type="cellIs" dxfId="3529" priority="4" stopIfTrue="1" operator="lessThanOrEqual">
      <formula>0</formula>
    </cfRule>
  </conditionalFormatting>
  <conditionalFormatting sqref="H80:I80">
    <cfRule type="cellIs" dxfId="3528" priority="91" stopIfTrue="1" operator="greaterThan">
      <formula>$F$90</formula>
    </cfRule>
    <cfRule type="cellIs" dxfId="3527" priority="94" stopIfTrue="1" operator="lessThanOrEqual">
      <formula>0</formula>
    </cfRule>
  </conditionalFormatting>
  <conditionalFormatting sqref="H81:I81">
    <cfRule type="cellIs" dxfId="3526" priority="34" stopIfTrue="1" operator="greaterThan">
      <formula>$F$74</formula>
    </cfRule>
    <cfRule type="cellIs" dxfId="3525" priority="37" stopIfTrue="1" operator="lessThanOrEqual">
      <formula>0</formula>
    </cfRule>
  </conditionalFormatting>
  <conditionalFormatting sqref="H82:I82">
    <cfRule type="cellIs" dxfId="3524" priority="74" stopIfTrue="1" operator="greaterThan">
      <formula>#REF!</formula>
    </cfRule>
    <cfRule type="cellIs" dxfId="3523" priority="77" stopIfTrue="1" operator="lessThanOrEqual">
      <formula>0</formula>
    </cfRule>
    <cfRule type="cellIs" dxfId="3522" priority="82" stopIfTrue="1" operator="greaterThan">
      <formula>#REF!</formula>
    </cfRule>
    <cfRule type="cellIs" dxfId="3521" priority="83" stopIfTrue="1" operator="lessThanOrEqual">
      <formula>0</formula>
    </cfRule>
  </conditionalFormatting>
  <conditionalFormatting sqref="H83:I83">
    <cfRule type="cellIs" dxfId="3520" priority="115" stopIfTrue="1" operator="lessThanOrEqual">
      <formula>0</formula>
    </cfRule>
  </conditionalFormatting>
  <conditionalFormatting sqref="H83:I84">
    <cfRule type="cellIs" dxfId="3519" priority="72" stopIfTrue="1" operator="greaterThan">
      <formula>$F$91</formula>
    </cfRule>
  </conditionalFormatting>
  <conditionalFormatting sqref="H84:I84">
    <cfRule type="cellIs" dxfId="3518" priority="73" stopIfTrue="1" operator="lessThanOrEqual">
      <formula>0</formula>
    </cfRule>
  </conditionalFormatting>
  <conditionalFormatting sqref="I10:I14">
    <cfRule type="cellIs" dxfId="3517" priority="49" operator="lessThan">
      <formula>97.8</formula>
    </cfRule>
  </conditionalFormatting>
  <conditionalFormatting sqref="I10:I47">
    <cfRule type="cellIs" dxfId="3516" priority="21" operator="lessThan">
      <formula>98</formula>
    </cfRule>
  </conditionalFormatting>
  <conditionalFormatting sqref="I33:I46">
    <cfRule type="cellIs" dxfId="3515" priority="22" operator="lessThan">
      <formula>97.8</formula>
    </cfRule>
  </conditionalFormatting>
  <conditionalFormatting sqref="I79">
    <cfRule type="cellIs" dxfId="3514" priority="5" stopIfTrue="1" operator="greaterThan">
      <formula>$F$53</formula>
    </cfRule>
    <cfRule type="cellIs" dxfId="3513" priority="6" stopIfTrue="1" operator="lessThanOrEqual">
      <formula>0</formula>
    </cfRule>
    <cfRule type="cellIs" dxfId="3512" priority="7" stopIfTrue="1" operator="greaterThan">
      <formula>$F$55</formula>
    </cfRule>
    <cfRule type="cellIs" dxfId="3511" priority="8" stopIfTrue="1" operator="lessThanOrEqual">
      <formula>0</formula>
    </cfRule>
    <cfRule type="cellIs" dxfId="3510" priority="9" stopIfTrue="1" operator="greaterThan">
      <formula>$F$53</formula>
    </cfRule>
    <cfRule type="cellIs" dxfId="3509" priority="10" stopIfTrue="1" operator="lessThanOrEqual">
      <formula>0</formula>
    </cfRule>
  </conditionalFormatting>
  <conditionalFormatting sqref="I80">
    <cfRule type="cellIs" dxfId="3508" priority="95" stopIfTrue="1" operator="greaterThan">
      <formula>$F$88</formula>
    </cfRule>
    <cfRule type="cellIs" dxfId="3507" priority="96" stopIfTrue="1" operator="lessThanOrEqual">
      <formula>0</formula>
    </cfRule>
    <cfRule type="cellIs" dxfId="3506" priority="97" stopIfTrue="1" operator="greaterThan">
      <formula>$F$90</formula>
    </cfRule>
    <cfRule type="cellIs" dxfId="3505" priority="98" stopIfTrue="1" operator="lessThanOrEqual">
      <formula>0</formula>
    </cfRule>
    <cfRule type="cellIs" dxfId="3504" priority="99" stopIfTrue="1" operator="greaterThan">
      <formula>$F$88</formula>
    </cfRule>
    <cfRule type="cellIs" dxfId="3503" priority="100" stopIfTrue="1" operator="lessThanOrEqual">
      <formula>0</formula>
    </cfRule>
  </conditionalFormatting>
  <conditionalFormatting sqref="I81">
    <cfRule type="cellIs" dxfId="3502" priority="38" stopIfTrue="1" operator="greaterThan">
      <formula>$F$72</formula>
    </cfRule>
    <cfRule type="cellIs" dxfId="3501" priority="39" stopIfTrue="1" operator="lessThanOrEqual">
      <formula>0</formula>
    </cfRule>
    <cfRule type="cellIs" dxfId="3500" priority="40" stopIfTrue="1" operator="greaterThan">
      <formula>$F$74</formula>
    </cfRule>
    <cfRule type="cellIs" dxfId="3499" priority="41" stopIfTrue="1" operator="lessThanOrEqual">
      <formula>0</formula>
    </cfRule>
    <cfRule type="cellIs" dxfId="3498" priority="42" stopIfTrue="1" operator="greaterThan">
      <formula>$F$72</formula>
    </cfRule>
    <cfRule type="cellIs" dxfId="3497" priority="43" stopIfTrue="1" operator="lessThanOrEqual">
      <formula>0</formula>
    </cfRule>
  </conditionalFormatting>
  <conditionalFormatting sqref="I82">
    <cfRule type="cellIs" dxfId="3496" priority="78" stopIfTrue="1" operator="greaterThan">
      <formula>#REF!</formula>
    </cfRule>
    <cfRule type="cellIs" dxfId="3495" priority="79" stopIfTrue="1" operator="lessThanOrEqual">
      <formula>0</formula>
    </cfRule>
    <cfRule type="cellIs" dxfId="3494" priority="80" stopIfTrue="1" operator="greaterThan">
      <formula>#REF!</formula>
    </cfRule>
    <cfRule type="cellIs" dxfId="3493" priority="81" stopIfTrue="1" operator="lessThanOrEqual">
      <formula>0</formula>
    </cfRule>
  </conditionalFormatting>
  <conditionalFormatting sqref="I83:I84">
    <cfRule type="cellIs" dxfId="3492" priority="116" stopIfTrue="1" operator="greaterThan">
      <formula>$F$89</formula>
    </cfRule>
    <cfRule type="cellIs" dxfId="3491" priority="117" stopIfTrue="1" operator="lessThanOrEqual">
      <formula>0</formula>
    </cfRule>
    <cfRule type="cellIs" dxfId="3490" priority="118" stopIfTrue="1" operator="greaterThan">
      <formula>$F$91</formula>
    </cfRule>
    <cfRule type="cellIs" dxfId="3489" priority="119" stopIfTrue="1" operator="lessThanOrEqual">
      <formula>0</formula>
    </cfRule>
    <cfRule type="cellIs" dxfId="3488" priority="120" stopIfTrue="1" operator="greaterThan">
      <formula>$F$89</formula>
    </cfRule>
    <cfRule type="cellIs" dxfId="3487" priority="121" stopIfTrue="1" operator="lessThanOrEqual">
      <formula>0</formula>
    </cfRule>
  </conditionalFormatting>
  <conditionalFormatting sqref="I89:I97">
    <cfRule type="cellIs" dxfId="3486" priority="133" stopIfTrue="1" operator="greaterThan">
      <formula>$J89</formula>
    </cfRule>
    <cfRule type="cellIs" dxfId="3485" priority="134" stopIfTrue="1" operator="lessThanOrEqual">
      <formula>0</formula>
    </cfRule>
  </conditionalFormatting>
  <conditionalFormatting sqref="I100:I108">
    <cfRule type="cellIs" dxfId="3484" priority="173" stopIfTrue="1" operator="greaterThan">
      <formula>4.5</formula>
    </cfRule>
    <cfRule type="cellIs" dxfId="3483" priority="174" stopIfTrue="1" operator="lessThanOrEqual">
      <formula>0</formula>
    </cfRule>
  </conditionalFormatting>
  <conditionalFormatting sqref="J10:J14">
    <cfRule type="cellIs" dxfId="3482" priority="51" operator="notBetween">
      <formula>98</formula>
      <formula>99.9</formula>
    </cfRule>
  </conditionalFormatting>
  <conditionalFormatting sqref="J10:J47">
    <cfRule type="cellIs" dxfId="3481" priority="20" operator="lessThan">
      <formula>97.4</formula>
    </cfRule>
  </conditionalFormatting>
  <conditionalFormatting sqref="J33:J46">
    <cfRule type="cellIs" dxfId="3480" priority="24" operator="notBetween">
      <formula>98</formula>
      <formula>99.9</formula>
    </cfRule>
  </conditionalFormatting>
  <conditionalFormatting sqref="J50:J52">
    <cfRule type="cellIs" dxfId="3479" priority="107" stopIfTrue="1" operator="lessThan">
      <formula>96.8</formula>
    </cfRule>
    <cfRule type="cellIs" dxfId="3478" priority="108" stopIfTrue="1" operator="greaterThan">
      <formula>100</formula>
    </cfRule>
    <cfRule type="cellIs" dxfId="3477" priority="109" operator="lessThan">
      <formula>98</formula>
    </cfRule>
  </conditionalFormatting>
  <conditionalFormatting sqref="J50:J54">
    <cfRule type="cellIs" dxfId="3476" priority="48" operator="lessThan">
      <formula>97.4</formula>
    </cfRule>
  </conditionalFormatting>
  <conditionalFormatting sqref="J55 L59:M59 L61:M61">
    <cfRule type="cellIs" dxfId="3475" priority="110" operator="lessThan">
      <formula>98</formula>
    </cfRule>
  </conditionalFormatting>
  <conditionalFormatting sqref="J56:J57">
    <cfRule type="cellIs" dxfId="3474" priority="111" stopIfTrue="1" operator="lessThan">
      <formula>96.8</formula>
    </cfRule>
    <cfRule type="cellIs" dxfId="3473" priority="112" stopIfTrue="1" operator="greaterThan">
      <formula>100</formula>
    </cfRule>
  </conditionalFormatting>
  <conditionalFormatting sqref="J56:J58">
    <cfRule type="cellIs" dxfId="3472" priority="113" operator="lessThan">
      <formula>98</formula>
    </cfRule>
  </conditionalFormatting>
  <conditionalFormatting sqref="K10:K14">
    <cfRule type="cellIs" dxfId="3471" priority="50" operator="greaterThan">
      <formula>6.4</formula>
    </cfRule>
  </conditionalFormatting>
  <conditionalFormatting sqref="K10:K47">
    <cfRule type="cellIs" dxfId="3470" priority="16" operator="greaterThan">
      <formula>6</formula>
    </cfRule>
    <cfRule type="cellIs" dxfId="3469" priority="17" operator="lessThan">
      <formula>4</formula>
    </cfRule>
  </conditionalFormatting>
  <conditionalFormatting sqref="K33:K46">
    <cfRule type="cellIs" dxfId="3468" priority="23" operator="greaterThan">
      <formula>6.4</formula>
    </cfRule>
  </conditionalFormatting>
  <conditionalFormatting sqref="K64:K73">
    <cfRule type="cellIs" dxfId="3467" priority="141" operator="notEqual">
      <formula>#REF!</formula>
    </cfRule>
  </conditionalFormatting>
  <conditionalFormatting sqref="K79:K84 J85:K85 L89:N89 K90:N97">
    <cfRule type="cellIs" dxfId="3466" priority="152" stopIfTrue="1" operator="lessThan">
      <formula>100%</formula>
    </cfRule>
  </conditionalFormatting>
  <conditionalFormatting sqref="K100:K105">
    <cfRule type="cellIs" dxfId="3465" priority="179" stopIfTrue="1" operator="lessThan">
      <formula>100%</formula>
    </cfRule>
  </conditionalFormatting>
  <conditionalFormatting sqref="K107:K108">
    <cfRule type="cellIs" dxfId="3464" priority="186" stopIfTrue="1" operator="lessThan">
      <formula>100%</formula>
    </cfRule>
  </conditionalFormatting>
  <conditionalFormatting sqref="L10:L47">
    <cfRule type="cellIs" dxfId="3463" priority="18" operator="between">
      <formula>61</formula>
      <formula>65</formula>
    </cfRule>
    <cfRule type="cellIs" dxfId="3462" priority="19" operator="greaterThan">
      <formula>65</formula>
    </cfRule>
  </conditionalFormatting>
  <conditionalFormatting sqref="L52:L58">
    <cfRule type="cellIs" dxfId="3461" priority="88" operator="lessThan">
      <formula>98</formula>
    </cfRule>
  </conditionalFormatting>
  <conditionalFormatting sqref="L65:N65">
    <cfRule type="cellIs" dxfId="3460" priority="87" operator="notEqual">
      <formula>#REF!</formula>
    </cfRule>
  </conditionalFormatting>
  <conditionalFormatting sqref="L100:N108">
    <cfRule type="cellIs" dxfId="3459" priority="164" stopIfTrue="1" operator="lessThan">
      <formula>100%</formula>
    </cfRule>
  </conditionalFormatting>
  <conditionalFormatting sqref="M10:M11">
    <cfRule type="expression" dxfId="3458" priority="65">
      <formula>IF(+(IF(M10&lt;V23,0,IF(M10&gt;W23,0,1)))=0,1)</formula>
    </cfRule>
  </conditionalFormatting>
  <conditionalFormatting sqref="M13">
    <cfRule type="expression" dxfId="3457" priority="57">
      <formula>IF(+(IF(M13&lt;V52,0,IF(M13&gt;W52,0,1)))=0,1)</formula>
    </cfRule>
    <cfRule type="expression" dxfId="3456" priority="58">
      <formula>IF(+(IF(M13&lt;V47,0,IF(M13&gt;W47,0,1)))=0,1)</formula>
    </cfRule>
  </conditionalFormatting>
  <conditionalFormatting sqref="M14">
    <cfRule type="expression" dxfId="3455" priority="199">
      <formula>IF(+(IF(M14&lt;V27,0,IF(M14&gt;W27,0,1)))=0,1)</formula>
    </cfRule>
  </conditionalFormatting>
  <conditionalFormatting sqref="M15:M32">
    <cfRule type="expression" dxfId="3454" priority="210">
      <formula>IF(+(IF(M15&lt;V62,0,IF(M15&gt;W62,0,1)))=0,1)</formula>
    </cfRule>
  </conditionalFormatting>
  <conditionalFormatting sqref="M33:M46">
    <cfRule type="expression" dxfId="3453" priority="30">
      <formula>IF(+(IF(M33&lt;V53,0,IF(M33&gt;W53,0,1)))=0,1)</formula>
    </cfRule>
    <cfRule type="expression" dxfId="3452" priority="31">
      <formula>IF(+(IF(M33&lt;V48,0,IF(M33&gt;W48,0,1)))=0,1)</formula>
    </cfRule>
  </conditionalFormatting>
  <conditionalFormatting sqref="M50:M58">
    <cfRule type="cellIs" dxfId="3451" priority="86" operator="lessThan">
      <formula>98</formula>
    </cfRule>
  </conditionalFormatting>
  <conditionalFormatting sqref="M10:N12">
    <cfRule type="expression" dxfId="3450" priority="66">
      <formula>IF(+(IF(M10&lt;#REF!,0,IF(M10&gt;#REF!,0,1)))=0,1)</formula>
    </cfRule>
  </conditionalFormatting>
  <conditionalFormatting sqref="M14:N14">
    <cfRule type="expression" dxfId="3449" priority="200">
      <formula>IF(+(IF(M14&lt;#REF!,0,IF(M14&gt;#REF!,0,1)))=0,1)</formula>
    </cfRule>
  </conditionalFormatting>
  <conditionalFormatting sqref="M47:N47">
    <cfRule type="expression" dxfId="3448" priority="194">
      <formula>IF(+(IF(M47&lt;#REF!,0,IF(M47&gt;#REF!,0,1)))=0,1)</formula>
    </cfRule>
  </conditionalFormatting>
  <conditionalFormatting sqref="N10:N11">
    <cfRule type="expression" dxfId="3447" priority="67">
      <formula>IF(+(IF(N10&lt;X23,0,IF(N10&gt;Y23,0,1)))=0,1)</formula>
    </cfRule>
  </conditionalFormatting>
  <conditionalFormatting sqref="N13">
    <cfRule type="expression" dxfId="3446" priority="59">
      <formula>IF(+(IF(N13&lt;X52,0,IF(N13&gt;Y52,0,1)))=0,1)</formula>
    </cfRule>
    <cfRule type="expression" dxfId="3445" priority="60">
      <formula>IF(+(IF(N13&lt;X47,0,IF(N13&gt;Y47,0,1)))=0,1)</formula>
    </cfRule>
  </conditionalFormatting>
  <conditionalFormatting sqref="N14">
    <cfRule type="expression" dxfId="3444" priority="203">
      <formula>IF(+(IF(N14&lt;X27,0,IF(N14&gt;Y27,0,1)))=0,1)</formula>
    </cfRule>
  </conditionalFormatting>
  <conditionalFormatting sqref="N15:N32">
    <cfRule type="expression" dxfId="3443" priority="211">
      <formula>IF(+(IF(N15&lt;X62,0,IF(N15&gt;Y62,0,1)))=0,1)</formula>
    </cfRule>
  </conditionalFormatting>
  <conditionalFormatting sqref="N33:N46">
    <cfRule type="expression" dxfId="3442" priority="32">
      <formula>IF(+(IF(N33&lt;X53,0,IF(N33&gt;Y53,0,1)))=0,1)</formula>
    </cfRule>
    <cfRule type="expression" dxfId="3441" priority="33">
      <formula>IF(+(IF(N33&lt;X48,0,IF(N33&gt;Y48,0,1)))=0,1)</formula>
    </cfRule>
  </conditionalFormatting>
  <conditionalFormatting sqref="P6">
    <cfRule type="cellIs" dxfId="3440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0BE4-5402-4FBE-8E27-242F82BF9798}">
  <sheetPr>
    <pageSetUpPr fitToPage="1"/>
  </sheetPr>
  <dimension ref="A1:BE72"/>
  <sheetViews>
    <sheetView zoomScale="85" zoomScaleNormal="85" workbookViewId="0">
      <selection activeCell="E10" sqref="E10:E16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46267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[3]Brewhouse!$A696</f>
        <v>CA647</v>
      </c>
      <c r="D10" s="279">
        <f>[3]Brewhouse!$AF696</f>
        <v>48.6</v>
      </c>
      <c r="E10" s="279">
        <f>[3]Brewhouse!$AI696</f>
        <v>49.2</v>
      </c>
      <c r="F10" s="278">
        <f>[3]Brewhouse!$V696</f>
        <v>61</v>
      </c>
      <c r="G10" s="279">
        <f>[3]Brewhouse!AG696</f>
        <v>11.8</v>
      </c>
      <c r="H10" s="396"/>
      <c r="I10" s="368">
        <f>[3]Brewhouse!$AU696</f>
        <v>97.633608454436768</v>
      </c>
      <c r="J10" s="368">
        <f>[3]Brewhouse!$AV696</f>
        <v>97.722344795969988</v>
      </c>
      <c r="K10" s="281">
        <f>[3]Brewhouse!$Q696</f>
        <v>11.497227356746762</v>
      </c>
      <c r="L10" s="276">
        <f>[3]Brewhouse!$P696</f>
        <v>60</v>
      </c>
      <c r="M10" s="374">
        <f>[3]Brewhouse!$U696-[3]Brewhouse!$T696</f>
        <v>0.13194444444444442</v>
      </c>
      <c r="N10" s="370">
        <f>[3]Brewhouse!$Z696</f>
        <v>0.2722222222222222</v>
      </c>
      <c r="O10" s="420" t="str">
        <f>[3]Brewhouse!$AX696</f>
        <v>R. Sookram</v>
      </c>
      <c r="P10" s="418"/>
      <c r="R10" s="277"/>
      <c r="S10" s="472"/>
      <c r="T10" s="472"/>
      <c r="U10" s="297"/>
      <c r="V10" s="297"/>
      <c r="W10" s="297"/>
      <c r="X10" s="297"/>
      <c r="Y10" s="297"/>
      <c r="Z10" s="472"/>
    </row>
    <row r="11" spans="2:29" ht="15" customHeight="1">
      <c r="B11" s="29" t="s">
        <v>6</v>
      </c>
      <c r="C11" s="366" t="str">
        <f>[3]Brewhouse!$A697</f>
        <v>CA648</v>
      </c>
      <c r="D11" s="279">
        <f>[3]Brewhouse!$AF697</f>
        <v>48.2</v>
      </c>
      <c r="E11" s="279">
        <f>[3]Brewhouse!$AI697</f>
        <v>49.1</v>
      </c>
      <c r="F11" s="278">
        <f>[3]Brewhouse!$V697</f>
        <v>64</v>
      </c>
      <c r="G11" s="279">
        <f>[3]Brewhouse!AG697</f>
        <v>12</v>
      </c>
      <c r="H11" s="396"/>
      <c r="I11" s="368">
        <f>[3]Brewhouse!$AU697</f>
        <v>99.296130618355448</v>
      </c>
      <c r="J11" s="368">
        <f>[3]Brewhouse!$AV697</f>
        <v>99.386371956878179</v>
      </c>
      <c r="K11" s="281">
        <f>[3]Brewhouse!$Q697</f>
        <v>12.074074074074066</v>
      </c>
      <c r="L11" s="276">
        <f>[3]Brewhouse!$P697</f>
        <v>58</v>
      </c>
      <c r="M11" s="374">
        <f>[3]Brewhouse!$U697-[3]Brewhouse!$T697</f>
        <v>0.1333333333333333</v>
      </c>
      <c r="N11" s="370">
        <f>[3]Brewhouse!$Z697</f>
        <v>0.29374999999999996</v>
      </c>
      <c r="O11" s="420" t="str">
        <f>[3]Brewhouse!$AX697</f>
        <v>R. Sookram</v>
      </c>
      <c r="P11" s="418"/>
      <c r="R11" s="277"/>
      <c r="S11" s="472"/>
      <c r="T11" s="472"/>
      <c r="U11" s="297"/>
      <c r="V11" s="297"/>
      <c r="W11" s="297"/>
      <c r="X11" s="297"/>
      <c r="Y11" s="297"/>
      <c r="Z11" s="472"/>
    </row>
    <row r="12" spans="2:29" ht="15" customHeight="1">
      <c r="B12" s="29" t="s">
        <v>6</v>
      </c>
      <c r="C12" s="366" t="str">
        <f>[3]Brewhouse!$A698</f>
        <v>CA649</v>
      </c>
      <c r="D12" s="279">
        <f>[3]Brewhouse!$AF698</f>
        <v>41.7</v>
      </c>
      <c r="E12" s="279">
        <f>[3]Brewhouse!$AI698</f>
        <v>43</v>
      </c>
      <c r="F12" s="278">
        <f>[3]Brewhouse!$V698</f>
        <v>46</v>
      </c>
      <c r="G12" s="279">
        <f>[3]Brewhouse!AG698</f>
        <v>11.9</v>
      </c>
      <c r="H12" s="396"/>
      <c r="I12" s="368">
        <f>[3]Brewhouse!$AU698</f>
        <v>98.221285990904661</v>
      </c>
      <c r="J12" s="368">
        <f>[3]Brewhouse!$AV698</f>
        <v>98.309884597141846</v>
      </c>
      <c r="K12" s="281">
        <f>[3]Brewhouse!$Q698</f>
        <v>16.537678207739301</v>
      </c>
      <c r="L12" s="276">
        <f>[3]Brewhouse!$P698</f>
        <v>60</v>
      </c>
      <c r="M12" s="374">
        <f>[3]Brewhouse!$U698-[3]Brewhouse!$T698</f>
        <v>0.12083333333333335</v>
      </c>
      <c r="N12" s="370">
        <f>[3]Brewhouse!$Z698</f>
        <v>0.26874999999999999</v>
      </c>
      <c r="O12" s="420" t="str">
        <f>[3]Brewhouse!$AX698</f>
        <v>R. Regis</v>
      </c>
      <c r="P12" s="418"/>
      <c r="R12" s="277"/>
      <c r="S12" s="472"/>
      <c r="T12" s="472"/>
      <c r="U12" s="297"/>
      <c r="V12" s="297"/>
      <c r="W12" s="297"/>
      <c r="X12" s="297"/>
      <c r="Y12" s="297"/>
      <c r="Z12" s="472"/>
    </row>
    <row r="13" spans="2:29" ht="15" customHeight="1">
      <c r="B13" s="29" t="s">
        <v>6</v>
      </c>
      <c r="C13" s="366" t="str">
        <f>[3]Brewhouse!$A699</f>
        <v>CA650</v>
      </c>
      <c r="D13" s="279">
        <f>[3]Brewhouse!$AF699</f>
        <v>48.1</v>
      </c>
      <c r="E13" s="279">
        <f>[3]Brewhouse!$AI699</f>
        <v>48.9</v>
      </c>
      <c r="F13" s="278">
        <f>[3]Brewhouse!$V699</f>
        <v>58</v>
      </c>
      <c r="G13" s="279">
        <f>[3]Brewhouse!AG699</f>
        <v>11.7</v>
      </c>
      <c r="H13" s="396"/>
      <c r="I13" s="368">
        <f>[3]Brewhouse!$AU699</f>
        <v>96.173272580659344</v>
      </c>
      <c r="J13" s="368">
        <f>[3]Brewhouse!$AV699</f>
        <v>96.260681665473285</v>
      </c>
      <c r="K13" s="281">
        <f>[3]Brewhouse!$Q699</f>
        <v>12.421441774491679</v>
      </c>
      <c r="L13" s="276">
        <f>[3]Brewhouse!$P699</f>
        <v>60</v>
      </c>
      <c r="M13" s="374">
        <f>[3]Brewhouse!$U699-[3]Brewhouse!$T699</f>
        <v>0.11041666666666672</v>
      </c>
      <c r="N13" s="370">
        <f>[3]Brewhouse!$Z699</f>
        <v>0.43263888888888891</v>
      </c>
      <c r="O13" s="420" t="str">
        <f>[3]Brewhouse!$AX699</f>
        <v>R. Regis</v>
      </c>
      <c r="P13" s="418"/>
      <c r="R13" s="277"/>
      <c r="S13" s="472"/>
      <c r="T13" s="472"/>
      <c r="U13" s="297"/>
      <c r="V13" s="297"/>
      <c r="W13" s="297"/>
      <c r="X13" s="297"/>
      <c r="Y13" s="297"/>
      <c r="Z13" s="472"/>
    </row>
    <row r="14" spans="2:29" ht="15" customHeight="1">
      <c r="B14" s="29" t="s">
        <v>6</v>
      </c>
      <c r="C14" s="366" t="str">
        <f>[3]Brewhouse!$A700</f>
        <v>CA651</v>
      </c>
      <c r="D14" s="279">
        <f>[3]Brewhouse!$AF700</f>
        <v>48.1</v>
      </c>
      <c r="E14" s="279">
        <f>[3]Brewhouse!$AI700</f>
        <v>49</v>
      </c>
      <c r="F14" s="278">
        <f>[3]Brewhouse!$V700</f>
        <v>60</v>
      </c>
      <c r="G14" s="279">
        <f>[3]Brewhouse!AG700</f>
        <v>11.7</v>
      </c>
      <c r="H14" s="396"/>
      <c r="I14" s="368">
        <f>[3]Brewhouse!$AU700</f>
        <v>96.130103634337729</v>
      </c>
      <c r="J14" s="368">
        <f>[3]Brewhouse!$AV700</f>
        <v>96.217485098596541</v>
      </c>
      <c r="K14" s="281">
        <f>[3]Brewhouse!$Q700</f>
        <v>12.421441774491679</v>
      </c>
      <c r="L14" s="276">
        <f>[3]Brewhouse!$P700</f>
        <v>60</v>
      </c>
      <c r="M14" s="374">
        <f>[3]Brewhouse!$U700-[3]Brewhouse!$T700</f>
        <v>0.10763888888888895</v>
      </c>
      <c r="N14" s="370">
        <f>[3]Brewhouse!$Z700</f>
        <v>0.24166666666666681</v>
      </c>
      <c r="O14" s="420" t="str">
        <f>[3]Brewhouse!$AX700</f>
        <v>R. Regis</v>
      </c>
      <c r="P14" s="418"/>
      <c r="R14" s="277"/>
      <c r="S14" s="472"/>
      <c r="T14" s="472"/>
      <c r="U14" s="297"/>
      <c r="V14" s="297"/>
      <c r="W14" s="297"/>
      <c r="X14" s="297"/>
      <c r="Y14" s="297"/>
      <c r="Z14" s="472"/>
    </row>
    <row r="15" spans="2:29" ht="15" customHeight="1">
      <c r="B15" s="29" t="s">
        <v>6</v>
      </c>
      <c r="C15" s="366" t="str">
        <f>[3]Brewhouse!$A701</f>
        <v>CA652</v>
      </c>
      <c r="D15" s="279">
        <f>[3]Brewhouse!$AF701</f>
        <v>50.3</v>
      </c>
      <c r="E15" s="279">
        <f>[3]Brewhouse!$AI701</f>
        <v>51.1</v>
      </c>
      <c r="F15" s="278">
        <f>[3]Brewhouse!$V701</f>
        <v>64</v>
      </c>
      <c r="G15" s="279">
        <f>[3]Brewhouse!AG701</f>
        <v>11.9</v>
      </c>
      <c r="H15" s="396"/>
      <c r="I15" s="368">
        <f>[3]Brewhouse!$AU701</f>
        <v>102.43572492564348</v>
      </c>
      <c r="J15" s="368">
        <f>[3]Brewhouse!$AV701</f>
        <v>102.52881955956596</v>
      </c>
      <c r="K15" s="281">
        <f>[3]Brewhouse!$Q701</f>
        <v>8.3548983364140526</v>
      </c>
      <c r="L15" s="276">
        <f>[3]Brewhouse!$P701</f>
        <v>57</v>
      </c>
      <c r="M15" s="374">
        <f>[3]Brewhouse!$U701-[3]Brewhouse!$T701</f>
        <v>0.12569444444444444</v>
      </c>
      <c r="N15" s="370">
        <f>[3]Brewhouse!$Z701</f>
        <v>0.26180555555555562</v>
      </c>
      <c r="O15" s="420" t="str">
        <f>[3]Brewhouse!$AX701</f>
        <v>R. Regis</v>
      </c>
      <c r="P15" s="418"/>
      <c r="R15" s="277"/>
      <c r="S15" s="472"/>
      <c r="T15" s="472"/>
      <c r="U15" s="297"/>
      <c r="V15" s="297"/>
      <c r="W15" s="297"/>
      <c r="X15" s="297"/>
      <c r="Y15" s="297"/>
      <c r="Z15" s="472"/>
    </row>
    <row r="16" spans="2:29" ht="15" customHeight="1">
      <c r="B16" s="29" t="s">
        <v>6</v>
      </c>
      <c r="C16" s="366" t="str">
        <f>[3]Brewhouse!$A702</f>
        <v>CA653</v>
      </c>
      <c r="D16" s="279">
        <f>[3]Brewhouse!$AF702</f>
        <v>48</v>
      </c>
      <c r="E16" s="279">
        <f>[3]Brewhouse!$AI702</f>
        <v>48.6</v>
      </c>
      <c r="F16" s="278">
        <f>[3]Brewhouse!$V702</f>
        <v>56</v>
      </c>
      <c r="G16" s="279">
        <f>[3]Brewhouse!AG702</f>
        <v>11.8</v>
      </c>
      <c r="H16" s="396"/>
      <c r="I16" s="368">
        <f>[3]Brewhouse!$AU702</f>
        <v>96.684179403949585</v>
      </c>
      <c r="J16" s="368">
        <f>[3]Brewhouse!$AV702</f>
        <v>96.772041097268485</v>
      </c>
      <c r="K16" s="281">
        <f>[3]Brewhouse!$Q702</f>
        <v>12.606284658040664</v>
      </c>
      <c r="L16" s="276">
        <f>[3]Brewhouse!$P702</f>
        <v>57</v>
      </c>
      <c r="M16" s="374">
        <f>[3]Brewhouse!$U702-[3]Brewhouse!$T702</f>
        <v>0.10347222222222219</v>
      </c>
      <c r="N16" s="370">
        <f>[3]Brewhouse!$Z702</f>
        <v>0.25486111111111109</v>
      </c>
      <c r="O16" s="420" t="str">
        <f>[3]Brewhouse!$AX702</f>
        <v>R. Regis</v>
      </c>
      <c r="P16" s="418"/>
      <c r="R16" s="277"/>
      <c r="S16" s="472"/>
      <c r="T16" s="472"/>
      <c r="U16" s="297"/>
      <c r="V16" s="297"/>
      <c r="W16" s="297"/>
      <c r="X16" s="297"/>
      <c r="Y16" s="297"/>
      <c r="Z16" s="472"/>
    </row>
    <row r="17" spans="1:27" ht="15" customHeight="1">
      <c r="B17" s="22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ref="R17:R32" si="0">B17</f>
        <v>0</v>
      </c>
      <c r="S17" s="472" t="e">
        <f t="shared" ref="S17:S32" si="1">VLOOKUP($B17,$R$3:$X$9,2,FALSE)</f>
        <v>#N/A</v>
      </c>
      <c r="T17" s="472" t="e">
        <f t="shared" ref="T17:T32" si="2">VLOOKUP($B17,$R$3:$X$9,3,FALSE)</f>
        <v>#N/A</v>
      </c>
      <c r="U17" s="297" t="e">
        <f t="shared" ref="U17:U32" si="3">VLOOKUP($B17,$R$3:$X$9,4,FALSE)</f>
        <v>#N/A</v>
      </c>
      <c r="V17" s="297" t="e">
        <f t="shared" ref="V17:V32" si="4">VLOOKUP($B17,$R$3:$X$9,5,FALSE)</f>
        <v>#N/A</v>
      </c>
      <c r="W17" s="297" t="e">
        <f t="shared" ref="W17:W32" si="5">VLOOKUP($B17,$R$3:$X$9,6,FALSE)</f>
        <v>#N/A</v>
      </c>
      <c r="X17" s="297" t="e">
        <f t="shared" ref="X17:X32" si="6">VLOOKUP($B17,$R$3:$X$9,7,FALSE)</f>
        <v>#N/A</v>
      </c>
      <c r="Y17" s="297" t="e">
        <f t="shared" ref="Y17:Y32" si="7">VLOOKUP($B17,$R$3:$Z$9,8,FALSE)</f>
        <v>#N/A</v>
      </c>
      <c r="Z17" s="472" t="e">
        <f t="shared" ref="Z17:Z32" si="8">VLOOKUP($B17,$R$3:$Z$9,9,FALSE)</f>
        <v>#N/A</v>
      </c>
    </row>
    <row r="18" spans="1:27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7.25" customHeight="1" thickBot="1">
      <c r="B19" s="358"/>
      <c r="C19" s="358"/>
      <c r="D19" s="358"/>
      <c r="E19" s="358"/>
      <c r="F19" s="294"/>
      <c r="G19" s="294"/>
      <c r="H19" s="348"/>
      <c r="I19" s="534"/>
      <c r="J19" s="534"/>
      <c r="K19" s="534"/>
      <c r="L19" s="534"/>
      <c r="M19" s="534"/>
      <c r="N19" s="534"/>
      <c r="O19" s="1"/>
      <c r="P19" s="12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483" t="s">
        <v>162</v>
      </c>
      <c r="C20" s="388"/>
      <c r="D20" s="535" t="s">
        <v>35</v>
      </c>
      <c r="E20" s="536"/>
      <c r="F20" s="294"/>
      <c r="G20" s="294"/>
      <c r="H20" s="348"/>
      <c r="I20" s="24" t="s">
        <v>17</v>
      </c>
      <c r="J20" s="25"/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0"/>
        <v xml:space="preserve">BRAND 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>
      <c r="A21" s="28"/>
      <c r="B21" s="537"/>
      <c r="C21" s="484"/>
      <c r="D21" s="522"/>
      <c r="E21" s="523"/>
      <c r="F21" s="294"/>
      <c r="G21" s="294"/>
      <c r="H21" s="348"/>
      <c r="I21" s="29" t="s">
        <v>6</v>
      </c>
      <c r="J21" s="323">
        <f>AVERAGE(I10:I16)</f>
        <v>98.082043658326711</v>
      </c>
      <c r="K21" s="284">
        <f>COUNTA([3]Brewhouse!$A$696:$A$702)</f>
        <v>7</v>
      </c>
      <c r="L21" s="305">
        <f>AVERAGE([3]Brewhouse!$AU$696:$AU$702)</f>
        <v>98.082043658326711</v>
      </c>
      <c r="M21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AVERAGE([3]Brewhouse!$AU$42:$AU$123,[3]Brewhouse!$AU$125:$AU$188,[3]Brewhouse!$AU$198:$AU$290,[3]Brewhouse!$AU$292:$AU$370,[3]Brewhouse!$AU$372:$AU$439,[3]Brewhouse!$AU$441:$AU$497,[3]Brewhouse!$AU$499:$AU$519,[3]Brewhouse!$AU$521:$AU$593,[3]Brewhouse!$AU$595:$AU$703)</f>
        <v>98.283438685134982</v>
      </c>
      <c r="N21" s="30">
        <v>98</v>
      </c>
      <c r="O21" s="11"/>
      <c r="P21" s="31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" customHeight="1">
      <c r="A22" s="28"/>
      <c r="B22" s="538"/>
      <c r="C22" s="362"/>
      <c r="D22" s="524"/>
      <c r="E22" s="525"/>
      <c r="F22" s="294"/>
      <c r="G22" s="294"/>
      <c r="H22" s="348"/>
      <c r="I22" s="33" t="s">
        <v>9</v>
      </c>
      <c r="J22" s="323"/>
      <c r="K22" s="284"/>
      <c r="L22" s="302"/>
      <c r="M22" s="302">
        <f>AVERAGE([4]Brewhouse!$AS$52:$AS$81,[4]Brewhouse!$AS$83:$AS$124,[4]Brewhouse!$AS$134:$AS$177,[4]Brewhouse!$AS$22:$AS$179,[4]Brewhouse!$AS$214:$AS$249,[4]Brewhouse!$AS$252:$AS$293,[4]Brewhouse!$AS$295:$AS$325,[4]Brewhouse!$AS$327:$AS$361)</f>
        <v>98.239656393693409</v>
      </c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4.65" customHeight="1">
      <c r="A23" s="28"/>
      <c r="B23" s="538"/>
      <c r="C23" s="362"/>
      <c r="D23" s="529"/>
      <c r="E23" s="530"/>
      <c r="F23" s="294"/>
      <c r="G23" s="294"/>
      <c r="H23" s="348"/>
      <c r="I23" s="34" t="s">
        <v>12</v>
      </c>
      <c r="J23" s="323"/>
      <c r="K23" s="284"/>
      <c r="L23" s="302"/>
      <c r="M23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38"/>
      <c r="C24" s="362"/>
      <c r="D24" s="531"/>
      <c r="E24" s="525"/>
      <c r="F24" s="294"/>
      <c r="G24" s="294"/>
      <c r="H24" s="348"/>
      <c r="I24" s="22" t="s">
        <v>33</v>
      </c>
      <c r="J24" s="280"/>
      <c r="K24" s="284"/>
      <c r="L24" s="302"/>
      <c r="M24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38"/>
      <c r="C25" s="362"/>
      <c r="D25" s="529"/>
      <c r="E25" s="530"/>
      <c r="F25" s="294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38"/>
      <c r="C26" s="362"/>
      <c r="D26" s="531"/>
      <c r="E26" s="525"/>
      <c r="F26" s="417"/>
      <c r="G26" s="294"/>
      <c r="H26" s="348"/>
      <c r="I26" s="36" t="s">
        <v>15</v>
      </c>
      <c r="J26" s="323"/>
      <c r="K26" s="284"/>
      <c r="L26" s="302"/>
      <c r="M26" s="302">
        <f>AVERAGE([7]Brewhouse!$AT$4:$AT$11,[7]Brewhouse!$AT$13:$AT$16,[7]Brewhouse!$AT$18:$AT$21)</f>
        <v>91.832675391763644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38"/>
      <c r="C27" s="362"/>
      <c r="D27" s="529"/>
      <c r="E27" s="530"/>
      <c r="F27" s="417"/>
      <c r="G27" s="294"/>
      <c r="H27" s="348"/>
      <c r="I27" s="37" t="s">
        <v>16</v>
      </c>
      <c r="J27" s="323"/>
      <c r="K27" s="284"/>
      <c r="L27" s="302"/>
      <c r="M27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27" s="30">
        <v>98</v>
      </c>
      <c r="O27" s="11"/>
      <c r="P27" s="31" t="s">
        <v>41</v>
      </c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38"/>
      <c r="C28" s="362"/>
      <c r="D28" s="531"/>
      <c r="E28" s="525"/>
      <c r="F28" s="294"/>
      <c r="G28" s="294"/>
      <c r="H28" s="348"/>
      <c r="I28" s="411" t="s">
        <v>158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38"/>
      <c r="C29" s="362"/>
      <c r="D29" s="529"/>
      <c r="E29" s="530"/>
      <c r="F29" s="294"/>
      <c r="G29" s="294"/>
      <c r="H29" s="348"/>
      <c r="I29" s="410" t="s">
        <v>157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5" customHeight="1" thickBot="1">
      <c r="A30" s="28"/>
      <c r="B30" s="538"/>
      <c r="C30" s="362"/>
      <c r="D30" s="531"/>
      <c r="E30" s="525"/>
      <c r="F30" s="294"/>
      <c r="G30" s="294"/>
      <c r="H30" s="348"/>
      <c r="I30" s="406" t="s">
        <v>156</v>
      </c>
      <c r="J30" s="327"/>
      <c r="K30" s="407"/>
      <c r="L30" s="408"/>
      <c r="M30" s="408"/>
      <c r="N30" s="409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38"/>
      <c r="C31" s="349"/>
      <c r="D31" s="522"/>
      <c r="E31" s="523"/>
      <c r="F31" s="294"/>
      <c r="G31" s="294"/>
      <c r="H31" s="348"/>
      <c r="I31" s="1"/>
      <c r="J31" s="39"/>
      <c r="K31" s="404">
        <f>SUM(K21:K30)</f>
        <v>7</v>
      </c>
      <c r="L31" s="405">
        <f>((L21*K21)+(L22*K22)+(L23*K23)+(L24*K24)+(L25*K25)+(K28*L28)+(L26*K26)+(L27*K27)+(L30*K30))/(K31)</f>
        <v>98.082043658326711</v>
      </c>
      <c r="M31" s="405">
        <f>AVERAGE('[9]Jan30th-31st'!$L$42,'[10]Feb 27th-28th'!$L$45,'[11]Mar 31st'!$L$42,'[12]Apr 30th'!$L$41,'[13]May 29th '!$L$35,'[14]June 30th'!$L$32,[15]July31st!$L$36,'[16]Aug 31st'!$L$32,L31)</f>
        <v>97.995732701183286</v>
      </c>
      <c r="N31" s="4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.75" thickBot="1">
      <c r="B32" s="539"/>
      <c r="C32" s="350"/>
      <c r="D32" s="524"/>
      <c r="E32" s="525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19"/>
      <c r="C33" s="362"/>
      <c r="D33" s="522"/>
      <c r="E33" s="523"/>
      <c r="F33" s="294"/>
      <c r="G33" s="42"/>
      <c r="H33" s="41"/>
      <c r="I33" s="42"/>
      <c r="J33" s="526" t="s">
        <v>129</v>
      </c>
      <c r="K33" s="526"/>
      <c r="L33" s="294"/>
      <c r="M33" s="294"/>
      <c r="N33" s="294"/>
      <c r="O33" s="294"/>
      <c r="P33" s="12"/>
    </row>
    <row r="34" spans="2:56" ht="15.75" thickBot="1">
      <c r="B34" s="520"/>
      <c r="C34" s="362"/>
      <c r="D34" s="524"/>
      <c r="E34" s="525"/>
      <c r="F34" s="294"/>
      <c r="G34" s="42"/>
      <c r="H34" s="42"/>
      <c r="I34" s="42"/>
      <c r="J34" s="292" t="s">
        <v>17</v>
      </c>
      <c r="K34" s="293"/>
      <c r="L34" s="527" t="s">
        <v>136</v>
      </c>
      <c r="M34" s="527"/>
      <c r="N34" s="528"/>
      <c r="O34" s="294"/>
      <c r="P34" s="12"/>
    </row>
    <row r="35" spans="2:56" ht="15" customHeight="1" thickBot="1">
      <c r="B35" s="520"/>
      <c r="C35" s="349"/>
      <c r="D35" s="529"/>
      <c r="E35" s="530"/>
      <c r="F35" s="294"/>
      <c r="G35" s="42"/>
      <c r="H35" s="42"/>
      <c r="I35" s="42"/>
      <c r="J35" s="287" t="s">
        <v>6</v>
      </c>
      <c r="K35" s="324">
        <v>7</v>
      </c>
      <c r="L35" s="473" t="s">
        <v>37</v>
      </c>
      <c r="M35" s="474" t="s">
        <v>38</v>
      </c>
      <c r="N35" s="474" t="s">
        <v>84</v>
      </c>
      <c r="O35" s="294"/>
      <c r="P35" s="12"/>
    </row>
    <row r="36" spans="2:56" ht="15.75" customHeight="1" thickBot="1">
      <c r="B36" s="520"/>
      <c r="C36" s="349"/>
      <c r="D36" s="531"/>
      <c r="E36" s="525"/>
      <c r="F36" s="294"/>
      <c r="G36" s="42"/>
      <c r="H36" s="42"/>
      <c r="I36" s="42"/>
      <c r="J36" s="345" t="s">
        <v>9</v>
      </c>
      <c r="K36" s="324"/>
      <c r="L36" s="485">
        <f>AVERAGE(K45)</f>
        <v>7</v>
      </c>
      <c r="M36" s="486">
        <f>AVERAGE('[9]Jan30th-31st'!$L$47,L36,'[10]Feb 26th '!$L$39,'[11]Mar 31st'!$L$47,'[12]Apr 30th'!$L$46,'[13]May 29th '!$L$40,'[14]June 30th'!$L$39,[15]July31st!$L$41,'[16]Aug 31st'!$L$37)</f>
        <v>6.5155670416539984</v>
      </c>
      <c r="N36" s="416">
        <v>9.1999999999999993</v>
      </c>
      <c r="O36" s="294"/>
      <c r="P36" s="12"/>
    </row>
    <row r="37" spans="2:56" ht="15" customHeight="1">
      <c r="B37" s="520"/>
      <c r="C37" s="349"/>
      <c r="D37" s="529"/>
      <c r="E37" s="530"/>
      <c r="F37" s="294"/>
      <c r="G37" s="42"/>
      <c r="H37" s="42"/>
      <c r="I37" s="42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20"/>
      <c r="C38" s="349"/>
      <c r="D38" s="531"/>
      <c r="E38" s="525"/>
      <c r="F38" s="294"/>
      <c r="G38" s="42"/>
      <c r="H38" s="42"/>
      <c r="I38" s="42"/>
      <c r="J38" s="289" t="s">
        <v>33</v>
      </c>
      <c r="K38" s="324"/>
      <c r="L38" s="294"/>
      <c r="M38" s="294"/>
      <c r="N38" s="294"/>
      <c r="O38" s="294"/>
      <c r="P38" s="12"/>
    </row>
    <row r="39" spans="2:56" ht="15">
      <c r="B39" s="520"/>
      <c r="C39" s="349"/>
      <c r="D39" s="529"/>
      <c r="E39" s="530"/>
      <c r="F39" s="294"/>
      <c r="G39" s="42"/>
      <c r="H39" s="42"/>
      <c r="I39" s="42"/>
      <c r="J39" s="290" t="s">
        <v>16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0"/>
      <c r="C40" s="349"/>
      <c r="D40" s="531"/>
      <c r="E40" s="525"/>
      <c r="F40" s="294"/>
      <c r="G40" s="42"/>
      <c r="H40" s="42"/>
      <c r="I40" s="42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0"/>
      <c r="C41" s="349"/>
      <c r="D41" s="529"/>
      <c r="E41" s="530"/>
      <c r="F41" s="294"/>
      <c r="G41" s="42"/>
      <c r="H41" s="42"/>
      <c r="I41" s="42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.75" thickBot="1">
      <c r="B42" s="521"/>
      <c r="C42" s="350"/>
      <c r="D42" s="532"/>
      <c r="E42" s="533"/>
      <c r="F42" s="294" t="s">
        <v>165</v>
      </c>
      <c r="G42" s="42"/>
      <c r="H42" s="42"/>
      <c r="I42" s="42"/>
      <c r="J42" s="291" t="s">
        <v>148</v>
      </c>
      <c r="K42" s="324"/>
      <c r="L42" s="294"/>
      <c r="M42" s="294"/>
      <c r="N42" s="294" t="s">
        <v>41</v>
      </c>
      <c r="O42" s="294"/>
      <c r="P42" s="12"/>
      <c r="BC42" s="44"/>
      <c r="BD42" s="44"/>
    </row>
    <row r="43" spans="2:56" ht="17.649999999999999" customHeight="1" thickBot="1">
      <c r="B43" s="312" t="s">
        <v>139</v>
      </c>
      <c r="C43" s="313"/>
      <c r="D43" s="510"/>
      <c r="E43" s="511"/>
      <c r="F43" s="294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649999999999999" customHeight="1">
      <c r="B44" s="363"/>
      <c r="C44" s="364"/>
      <c r="D44" s="365"/>
      <c r="E44" s="365"/>
      <c r="F44" s="294"/>
      <c r="G44" s="42"/>
      <c r="H44" s="42"/>
      <c r="I44" s="42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6" customHeight="1">
      <c r="B45" s="45"/>
      <c r="C45" s="11"/>
      <c r="D45" s="11"/>
      <c r="E45" s="46"/>
      <c r="F45" s="294"/>
      <c r="G45" s="42"/>
      <c r="H45" s="42"/>
      <c r="I45" s="42"/>
      <c r="J45" s="346" t="s">
        <v>130</v>
      </c>
      <c r="K45" s="324">
        <f>SUM(K35:K44)</f>
        <v>7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2"/>
      <c r="L46" s="42"/>
      <c r="N46" s="315"/>
      <c r="P46" s="334"/>
    </row>
    <row r="47" spans="2:56" ht="15" customHeight="1" thickBot="1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1"/>
      <c r="O47" s="48"/>
      <c r="P47" s="49"/>
    </row>
    <row r="48" spans="2:56" ht="15" customHeight="1" thickBot="1">
      <c r="B48" s="504" t="s">
        <v>17</v>
      </c>
      <c r="C48" s="504" t="s">
        <v>44</v>
      </c>
      <c r="D48" s="513" t="s">
        <v>45</v>
      </c>
      <c r="E48" s="515" t="s">
        <v>46</v>
      </c>
      <c r="F48" s="517" t="s">
        <v>47</v>
      </c>
      <c r="G48" s="502" t="s">
        <v>48</v>
      </c>
      <c r="H48" s="504" t="s">
        <v>49</v>
      </c>
      <c r="I48" s="504" t="s">
        <v>50</v>
      </c>
      <c r="J48" s="496" t="s">
        <v>28</v>
      </c>
      <c r="K48" s="506" t="s">
        <v>51</v>
      </c>
      <c r="L48" s="508" t="s">
        <v>52</v>
      </c>
      <c r="M48" s="496" t="s">
        <v>53</v>
      </c>
      <c r="N48" s="13"/>
      <c r="O48" s="13"/>
      <c r="P48" s="50"/>
    </row>
    <row r="49" spans="2:57" ht="28.5" customHeight="1" thickTop="1" thickBot="1">
      <c r="B49" s="505"/>
      <c r="C49" s="512"/>
      <c r="D49" s="514"/>
      <c r="E49" s="516"/>
      <c r="F49" s="518"/>
      <c r="G49" s="503"/>
      <c r="H49" s="505"/>
      <c r="I49" s="505"/>
      <c r="J49" s="497"/>
      <c r="K49" s="507"/>
      <c r="L49" s="509"/>
      <c r="M49" s="497"/>
      <c r="N49" s="13"/>
      <c r="O49" s="13"/>
      <c r="P49" s="50"/>
      <c r="Q49" s="355"/>
      <c r="AB49" s="475">
        <v>43474</v>
      </c>
      <c r="AC49" s="475">
        <v>43475</v>
      </c>
      <c r="AD49" s="475">
        <v>43476</v>
      </c>
      <c r="AE49" s="475">
        <v>43477</v>
      </c>
      <c r="AF49" s="475">
        <v>43478</v>
      </c>
      <c r="AG49" s="475">
        <v>43479</v>
      </c>
      <c r="AH49" s="475">
        <v>43480</v>
      </c>
      <c r="AI49" s="475">
        <v>43481</v>
      </c>
      <c r="AJ49" s="475">
        <v>43482</v>
      </c>
      <c r="AK49" s="475">
        <v>43483</v>
      </c>
      <c r="AL49" s="475">
        <v>43484</v>
      </c>
      <c r="AM49" s="475">
        <v>43485</v>
      </c>
      <c r="AN49" s="475">
        <v>43486</v>
      </c>
      <c r="AO49" s="475">
        <v>43487</v>
      </c>
      <c r="AP49" s="475">
        <v>43488</v>
      </c>
      <c r="AQ49" s="475">
        <v>43489</v>
      </c>
      <c r="AR49" s="475">
        <v>43490</v>
      </c>
      <c r="AS49" s="475">
        <v>43491</v>
      </c>
      <c r="AT49" s="475">
        <v>43492</v>
      </c>
      <c r="AU49" s="475">
        <v>43493</v>
      </c>
      <c r="AV49" s="475">
        <v>43494</v>
      </c>
      <c r="AW49" s="475">
        <v>43495</v>
      </c>
      <c r="AX49" s="475">
        <v>43496</v>
      </c>
    </row>
    <row r="50" spans="2:57" s="54" customFormat="1" ht="36.75" customHeight="1" thickBot="1">
      <c r="B50" s="456" t="str">
        <f>J35</f>
        <v>CARIB</v>
      </c>
      <c r="C50" s="479">
        <v>46266</v>
      </c>
      <c r="D50" s="445">
        <f>[17]September_2026!$D$3</f>
        <v>405.70000000000005</v>
      </c>
      <c r="E50" s="443"/>
      <c r="F50" s="444"/>
      <c r="G50" s="444">
        <f>[17]September_2026!$D$7</f>
        <v>376.2</v>
      </c>
      <c r="H50" s="458"/>
      <c r="I50" s="458"/>
      <c r="J50" s="448" t="s">
        <v>169</v>
      </c>
      <c r="K50" s="449">
        <f>[18]September_2026!$D$18</f>
        <v>0.33</v>
      </c>
      <c r="L50" s="457">
        <f>(((D50+E50)-G50)/(D50+E50))*100</f>
        <v>7.271382795168857</v>
      </c>
      <c r="M50" s="455" t="s">
        <v>170</v>
      </c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[19]January_2019!L5</f>
        <v>0</v>
      </c>
      <c r="AC50" s="57">
        <f>[19]January_2019!M5</f>
        <v>0</v>
      </c>
      <c r="AD50" s="57">
        <f>[19]January_2019!N5</f>
        <v>0</v>
      </c>
      <c r="AE50" s="57">
        <f>[19]January_2019!O5</f>
        <v>0</v>
      </c>
      <c r="AF50" s="57">
        <f>[19]January_2019!P5</f>
        <v>0</v>
      </c>
      <c r="AG50" s="57">
        <f>[19]January_2019!Q5</f>
        <v>0</v>
      </c>
      <c r="AH50" s="57">
        <f>[19]January_2019!R5</f>
        <v>0</v>
      </c>
      <c r="AI50" s="57">
        <f>[19]January_2019!S5</f>
        <v>0</v>
      </c>
      <c r="AJ50" s="57">
        <f>[19]January_2019!T5</f>
        <v>0</v>
      </c>
      <c r="AK50" s="57">
        <f>[19]January_2019!U5</f>
        <v>0</v>
      </c>
      <c r="AL50" s="57">
        <f>[19]January_2019!V5</f>
        <v>0</v>
      </c>
      <c r="AM50" s="57">
        <f>[19]January_2019!W5</f>
        <v>0</v>
      </c>
      <c r="AN50" s="57">
        <f>[19]January_2019!X5</f>
        <v>0</v>
      </c>
      <c r="AO50" s="57">
        <f>[19]January_2019!Y5</f>
        <v>0</v>
      </c>
      <c r="AP50" s="57">
        <f>[19]January_2019!Z5</f>
        <v>0</v>
      </c>
      <c r="AQ50" s="57">
        <f>[19]January_2019!AA5</f>
        <v>0</v>
      </c>
      <c r="AR50" s="57">
        <f>[19]January_2019!AB5</f>
        <v>0</v>
      </c>
      <c r="AS50" s="57">
        <f>[19]January_2019!AC5</f>
        <v>0</v>
      </c>
      <c r="AT50" s="57">
        <f>[19]January_2019!AD5</f>
        <v>0</v>
      </c>
      <c r="AU50" s="57">
        <f>[19]January_2019!AE5</f>
        <v>0</v>
      </c>
      <c r="AV50" s="57">
        <f>[19]January_2019!AF5</f>
        <v>0</v>
      </c>
      <c r="AW50" s="57">
        <f>[19]January_2019!AG5</f>
        <v>0</v>
      </c>
      <c r="AX50" s="277">
        <f>[19]January_2019!AH5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14.25" customHeight="1" thickBot="1">
      <c r="B51" s="480"/>
      <c r="C51" s="479"/>
      <c r="D51" s="442"/>
      <c r="E51" s="443"/>
      <c r="F51" s="444"/>
      <c r="G51" s="445"/>
      <c r="H51" s="458"/>
      <c r="I51" s="458"/>
      <c r="J51" s="476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[19]January_2019!L6</f>
        <v>0</v>
      </c>
      <c r="AC51" s="57">
        <f>[19]January_2019!M6</f>
        <v>0</v>
      </c>
      <c r="AD51" s="57">
        <f>[19]January_2019!N6</f>
        <v>0</v>
      </c>
      <c r="AE51" s="57">
        <f>[19]January_2019!O6</f>
        <v>0</v>
      </c>
      <c r="AF51" s="57">
        <f>[19]January_2019!P6</f>
        <v>0</v>
      </c>
      <c r="AG51" s="57">
        <f>[19]January_2019!Q6</f>
        <v>0</v>
      </c>
      <c r="AH51" s="57">
        <f>[19]January_2019!R6</f>
        <v>0</v>
      </c>
      <c r="AI51" s="57">
        <f>[19]January_2019!S6</f>
        <v>0</v>
      </c>
      <c r="AJ51" s="57">
        <f>[19]January_2019!T6</f>
        <v>0</v>
      </c>
      <c r="AK51" s="57">
        <f>[19]January_2019!U6</f>
        <v>0</v>
      </c>
      <c r="AL51" s="57">
        <f>[19]January_2019!V6</f>
        <v>0</v>
      </c>
      <c r="AM51" s="57">
        <f>[19]January_2019!W6</f>
        <v>0</v>
      </c>
      <c r="AN51" s="57">
        <f>[19]January_2019!X6</f>
        <v>0</v>
      </c>
      <c r="AO51" s="57">
        <f>[19]January_2019!Y6</f>
        <v>0</v>
      </c>
      <c r="AP51" s="57">
        <f>[19]January_2019!Z6</f>
        <v>0</v>
      </c>
      <c r="AQ51" s="57">
        <f>[19]January_2019!AA6</f>
        <v>0</v>
      </c>
      <c r="AR51" s="57">
        <f>[19]January_2019!AB6</f>
        <v>0</v>
      </c>
      <c r="AS51" s="57">
        <f>[19]January_2019!AC6</f>
        <v>0</v>
      </c>
      <c r="AT51" s="57">
        <f>[19]January_2019!AD6</f>
        <v>0</v>
      </c>
      <c r="AU51" s="57">
        <f>[19]January_2019!AE6</f>
        <v>0</v>
      </c>
      <c r="AV51" s="57">
        <f>[19]January_2019!AF6</f>
        <v>0</v>
      </c>
      <c r="AW51" s="57">
        <f>[19]January_2019!AG6</f>
        <v>0</v>
      </c>
      <c r="AX51" s="277">
        <f>[19]January_2019!AH6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37.15" customHeight="1" thickBot="1">
      <c r="B52" s="456"/>
      <c r="C52" s="479"/>
      <c r="D52" s="442"/>
      <c r="E52" s="443"/>
      <c r="F52" s="444"/>
      <c r="G52" s="444"/>
      <c r="H52" s="446"/>
      <c r="I52" s="446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[19]January_2019!L7</f>
        <v>285.8</v>
      </c>
      <c r="AC52" s="57">
        <f>[19]January_2019!M7</f>
        <v>508.1</v>
      </c>
      <c r="AD52" s="57">
        <f>[19]January_2019!N7</f>
        <v>0</v>
      </c>
      <c r="AE52" s="57">
        <f>[19]January_2019!O7</f>
        <v>0</v>
      </c>
      <c r="AF52" s="57">
        <f>[19]January_2019!P7</f>
        <v>109.56666666666666</v>
      </c>
      <c r="AG52" s="57">
        <f>[19]January_2019!Q7</f>
        <v>297.64999999999998</v>
      </c>
      <c r="AH52" s="57">
        <f>[19]January_2019!R7</f>
        <v>122.3</v>
      </c>
      <c r="AI52" s="57">
        <f>[19]January_2019!S7</f>
        <v>0</v>
      </c>
      <c r="AJ52" s="57">
        <f>[19]January_2019!T7</f>
        <v>294.7</v>
      </c>
      <c r="AK52" s="57">
        <f>[19]January_2019!U7</f>
        <v>280.5</v>
      </c>
      <c r="AL52" s="57">
        <f>[19]January_2019!V7</f>
        <v>0</v>
      </c>
      <c r="AM52" s="57">
        <f>[19]January_2019!W7</f>
        <v>0</v>
      </c>
      <c r="AN52" s="57">
        <f>[19]January_2019!X7</f>
        <v>188.25</v>
      </c>
      <c r="AO52" s="57">
        <f>[19]January_2019!Y7</f>
        <v>295.7</v>
      </c>
      <c r="AP52" s="57">
        <f>[19]January_2019!Z7</f>
        <v>257.8</v>
      </c>
      <c r="AQ52" s="57">
        <f>[19]January_2019!AA7</f>
        <v>291.2</v>
      </c>
      <c r="AR52" s="57">
        <f>[19]January_2019!AB7</f>
        <v>187</v>
      </c>
      <c r="AS52" s="57">
        <f>[19]January_2019!AC7</f>
        <v>0</v>
      </c>
      <c r="AT52" s="57">
        <f>[19]January_2019!AD7</f>
        <v>0</v>
      </c>
      <c r="AU52" s="57">
        <f>[19]January_2019!AE7</f>
        <v>485.1</v>
      </c>
      <c r="AV52" s="57">
        <f>[19]January_2019!AF7</f>
        <v>171.55</v>
      </c>
      <c r="AW52" s="57">
        <f>[19]January_2019!AG7</f>
        <v>423.8</v>
      </c>
      <c r="AX52" s="277">
        <f>[19]January_2019!AH7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8.600000000000001" hidden="1" customHeight="1" thickBot="1">
      <c r="B53" s="478"/>
      <c r="C53" s="430"/>
      <c r="D53" s="431"/>
      <c r="E53" s="432"/>
      <c r="F53" s="433"/>
      <c r="G53" s="434"/>
      <c r="H53" s="458"/>
      <c r="I53" s="458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38.65" hidden="1" customHeight="1" thickBot="1">
      <c r="B54" s="487"/>
      <c r="C54" s="479"/>
      <c r="D54" s="442"/>
      <c r="E54" s="443"/>
      <c r="F54" s="444"/>
      <c r="G54" s="445"/>
      <c r="H54" s="458"/>
      <c r="I54" s="458"/>
      <c r="J54" s="448"/>
      <c r="K54" s="45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5" hidden="1">
      <c r="B55" s="453"/>
      <c r="C55" s="430"/>
      <c r="D55" s="431"/>
      <c r="E55" s="432"/>
      <c r="F55" s="433"/>
      <c r="G55" s="434"/>
      <c r="H55" s="435"/>
      <c r="I55" s="450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81"/>
      <c r="C56" s="479"/>
      <c r="D56" s="442"/>
      <c r="E56" s="443"/>
      <c r="F56" s="444"/>
      <c r="G56" s="445"/>
      <c r="H56" s="446"/>
      <c r="I56" s="447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6.5" hidden="1" customHeight="1" thickBot="1">
      <c r="B57" s="437"/>
      <c r="C57" s="423"/>
      <c r="D57" s="424"/>
      <c r="E57" s="425"/>
      <c r="F57" s="426"/>
      <c r="G57" s="427"/>
      <c r="H57" s="428"/>
      <c r="I57" s="438"/>
      <c r="J57" s="439"/>
      <c r="K57" s="429"/>
      <c r="L57" s="440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</row>
    <row r="58" spans="2:57" s="54" customFormat="1" ht="37.15" hidden="1" customHeight="1" thickBot="1">
      <c r="B58" s="456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customHeight="1">
      <c r="B59" s="466"/>
      <c r="C59" s="430"/>
      <c r="D59" s="460"/>
      <c r="E59" s="461"/>
      <c r="F59" s="462"/>
      <c r="G59" s="460"/>
      <c r="H59" s="463"/>
      <c r="I59" s="463"/>
      <c r="J59" s="463"/>
      <c r="K59" s="464"/>
      <c r="L59" s="465"/>
      <c r="M59" s="5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498" t="s">
        <v>55</v>
      </c>
      <c r="C61" s="499"/>
      <c r="D61" s="499"/>
      <c r="E61" s="499"/>
      <c r="F61" s="500"/>
      <c r="G61" s="498" t="s">
        <v>56</v>
      </c>
      <c r="H61" s="499"/>
      <c r="I61" s="499"/>
      <c r="J61" s="500"/>
      <c r="K61" s="498" t="s">
        <v>51</v>
      </c>
      <c r="L61" s="499"/>
      <c r="M61" s="499"/>
      <c r="N61" s="501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/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>
        <f>L50</f>
        <v>7.271382795168857</v>
      </c>
      <c r="D63" s="76">
        <v>7.271382795168857</v>
      </c>
      <c r="E63" s="76">
        <v>6.5305768396704069</v>
      </c>
      <c r="F63" s="66">
        <v>4.8</v>
      </c>
      <c r="G63" s="65">
        <f>[17]September_2026!$D$11</f>
        <v>6.7445156519595884</v>
      </c>
      <c r="H63" s="477">
        <v>6.7445156519595884</v>
      </c>
      <c r="I63" s="477">
        <v>6.6531065401354397</v>
      </c>
      <c r="J63" s="66">
        <v>4.8</v>
      </c>
      <c r="K63" s="67">
        <f>K50</f>
        <v>0.33</v>
      </c>
      <c r="L63" s="194">
        <v>0.33</v>
      </c>
      <c r="M63" s="194">
        <v>0.5236163256450509</v>
      </c>
      <c r="N63" s="68">
        <v>1</v>
      </c>
      <c r="O63" s="56"/>
      <c r="P63" s="69"/>
    </row>
    <row r="64" spans="2:57" ht="15">
      <c r="B64" s="33" t="s">
        <v>9</v>
      </c>
      <c r="C64" s="65"/>
      <c r="D64" s="76"/>
      <c r="E64" s="76">
        <v>5.7899437818525694</v>
      </c>
      <c r="F64" s="66">
        <v>4.8</v>
      </c>
      <c r="G64" s="65"/>
      <c r="H64" s="76"/>
      <c r="I64" s="76">
        <v>5.9483336713979043</v>
      </c>
      <c r="J64" s="66">
        <v>4.8</v>
      </c>
      <c r="K64" s="67"/>
      <c r="L64" s="194"/>
      <c r="M64" s="194">
        <v>0.69969789623338174</v>
      </c>
      <c r="N64" s="68">
        <v>1</v>
      </c>
      <c r="P64" s="69"/>
    </row>
    <row r="65" spans="2:16" ht="15">
      <c r="B65" s="34" t="s">
        <v>40</v>
      </c>
      <c r="C65" s="65"/>
      <c r="D65" s="76"/>
      <c r="E65" s="76">
        <v>11.277593164016125</v>
      </c>
      <c r="F65" s="66">
        <v>5.5</v>
      </c>
      <c r="G65" s="65"/>
      <c r="H65" s="76"/>
      <c r="I65" s="76">
        <v>11.857907912244482</v>
      </c>
      <c r="J65" s="66">
        <v>5.5</v>
      </c>
      <c r="K65" s="67"/>
      <c r="L65" s="194"/>
      <c r="M65" s="194">
        <v>0.35370190356844494</v>
      </c>
      <c r="N65" s="68">
        <v>1</v>
      </c>
      <c r="P65" s="69"/>
    </row>
    <row r="66" spans="2:16" ht="15">
      <c r="B66" s="22" t="s">
        <v>33</v>
      </c>
      <c r="C66" s="65"/>
      <c r="D66" s="76"/>
      <c r="E66" s="76">
        <v>4.8685538193023836</v>
      </c>
      <c r="F66" s="66">
        <v>3.3</v>
      </c>
      <c r="G66" s="65"/>
      <c r="H66" s="76"/>
      <c r="I66" s="76">
        <v>4.8702525342252114</v>
      </c>
      <c r="J66" s="66">
        <v>3.3</v>
      </c>
      <c r="K66" s="67"/>
      <c r="L66" s="194"/>
      <c r="M66" s="194">
        <v>0.77919298245614044</v>
      </c>
      <c r="N66" s="68">
        <v>1</v>
      </c>
      <c r="P66" s="69"/>
    </row>
    <row r="67" spans="2:16" ht="15">
      <c r="B67" s="35" t="s">
        <v>164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 ht="15">
      <c r="B68" s="36" t="s">
        <v>15</v>
      </c>
      <c r="C68" s="65"/>
      <c r="D68" s="76"/>
      <c r="E68" s="76">
        <v>6.0400197628458603</v>
      </c>
      <c r="F68" s="70">
        <v>5.5</v>
      </c>
      <c r="G68" s="65"/>
      <c r="H68" s="76"/>
      <c r="I68" s="76">
        <v>8.2405787675951316</v>
      </c>
      <c r="J68" s="66">
        <v>5.5</v>
      </c>
      <c r="K68" s="67"/>
      <c r="L68" s="194"/>
      <c r="M68" s="194">
        <v>0.78491228070175445</v>
      </c>
      <c r="N68" s="68">
        <v>1</v>
      </c>
      <c r="P68" s="69"/>
    </row>
    <row r="69" spans="2:16" ht="15">
      <c r="B69" s="37" t="s">
        <v>16</v>
      </c>
      <c r="C69" s="482"/>
      <c r="D69" s="76"/>
      <c r="E69" s="76">
        <v>3.6168923014750334</v>
      </c>
      <c r="F69" s="66">
        <v>3.3</v>
      </c>
      <c r="G69" s="282"/>
      <c r="H69" s="76"/>
      <c r="I69" s="76">
        <v>5.0091179718082053</v>
      </c>
      <c r="J69" s="66">
        <v>3.3</v>
      </c>
      <c r="K69" s="67"/>
      <c r="L69" s="194"/>
      <c r="M69" s="194">
        <v>0.92642300194931759</v>
      </c>
      <c r="N69" s="71">
        <v>1</v>
      </c>
      <c r="P69" s="69"/>
    </row>
    <row r="70" spans="2:16" ht="15.75" thickBot="1">
      <c r="B70" s="38" t="s">
        <v>163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L70" s="194"/>
      <c r="M70" s="194"/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/>
      <c r="F71" s="66">
        <v>4.8</v>
      </c>
      <c r="G71" s="282"/>
      <c r="H71" s="76"/>
      <c r="I71" s="76"/>
      <c r="J71" s="66">
        <v>4.8</v>
      </c>
      <c r="K71" s="67"/>
      <c r="L71" s="194">
        <v>0</v>
      </c>
      <c r="M71" s="194"/>
      <c r="N71" s="71">
        <v>1</v>
      </c>
      <c r="O71" s="74"/>
      <c r="P71" s="75"/>
    </row>
    <row r="72" spans="2:16" ht="15">
      <c r="D72" s="76">
        <v>7.271382795168857</v>
      </c>
      <c r="E72" s="76">
        <v>6.3318074586839979</v>
      </c>
      <c r="F72" s="341">
        <v>5.5</v>
      </c>
      <c r="H72" s="76">
        <v>6.7445156519595884</v>
      </c>
      <c r="I72" s="76">
        <v>6.6937814591291902</v>
      </c>
      <c r="J72" s="341">
        <v>5.5</v>
      </c>
      <c r="L72" s="194">
        <v>0.33</v>
      </c>
      <c r="M72" s="194">
        <v>0.59677828832179292</v>
      </c>
      <c r="N7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B33:B42"/>
    <mergeCell ref="D33:E34"/>
    <mergeCell ref="J33:K33"/>
    <mergeCell ref="L34:N34"/>
    <mergeCell ref="D35:E36"/>
    <mergeCell ref="D37:E38"/>
    <mergeCell ref="D39:E40"/>
    <mergeCell ref="D41:E42"/>
    <mergeCell ref="D43:E43"/>
    <mergeCell ref="B48:B49"/>
    <mergeCell ref="C48:C49"/>
    <mergeCell ref="D48:D49"/>
    <mergeCell ref="E48:E49"/>
    <mergeCell ref="M48:M49"/>
    <mergeCell ref="B61:F61"/>
    <mergeCell ref="G61:J61"/>
    <mergeCell ref="K61:N61"/>
    <mergeCell ref="G48:G49"/>
    <mergeCell ref="H48:H49"/>
    <mergeCell ref="I48:I49"/>
    <mergeCell ref="J48:J49"/>
    <mergeCell ref="K48:K49"/>
    <mergeCell ref="L48:L49"/>
    <mergeCell ref="F48:F49"/>
  </mergeCells>
  <conditionalFormatting sqref="B43:B44">
    <cfRule type="cellIs" dxfId="3439" priority="121" operator="notBetween">
      <formula>#REF!</formula>
      <formula>#REF!</formula>
    </cfRule>
  </conditionalFormatting>
  <conditionalFormatting sqref="C47">
    <cfRule type="cellIs" dxfId="3438" priority="203" stopIfTrue="1" operator="lessThan">
      <formula>96</formula>
    </cfRule>
    <cfRule type="cellIs" dxfId="3437" priority="204" stopIfTrue="1" operator="greaterThan">
      <formula>100</formula>
    </cfRule>
  </conditionalFormatting>
  <conditionalFormatting sqref="C63:C64">
    <cfRule type="cellIs" dxfId="3436" priority="83" stopIfTrue="1" operator="greaterThan">
      <formula>$F63</formula>
    </cfRule>
    <cfRule type="cellIs" dxfId="3435" priority="84" stopIfTrue="1" operator="lessThanOrEqual">
      <formula>0</formula>
    </cfRule>
    <cfRule type="cellIs" dxfId="3434" priority="85" stopIfTrue="1" operator="greaterThan">
      <formula>$F63</formula>
    </cfRule>
    <cfRule type="cellIs" dxfId="3433" priority="86" stopIfTrue="1" operator="lessThanOrEqual">
      <formula>0</formula>
    </cfRule>
  </conditionalFormatting>
  <conditionalFormatting sqref="C65:C67 C69:C71">
    <cfRule type="cellIs" dxfId="3432" priority="93" stopIfTrue="1" operator="greaterThan">
      <formula>$F68</formula>
    </cfRule>
  </conditionalFormatting>
  <conditionalFormatting sqref="C65:C67">
    <cfRule type="cellIs" dxfId="3431" priority="94" stopIfTrue="1" operator="lessThanOrEqual">
      <formula>0</formula>
    </cfRule>
  </conditionalFormatting>
  <conditionalFormatting sqref="C68">
    <cfRule type="cellIs" dxfId="3430" priority="205" stopIfTrue="1" operator="greaterThan">
      <formula>$F63</formula>
    </cfRule>
    <cfRule type="cellIs" dxfId="3429" priority="206" stopIfTrue="1" operator="lessThanOrEqual">
      <formula>0</formula>
    </cfRule>
    <cfRule type="cellIs" dxfId="3428" priority="207" stopIfTrue="1" operator="greaterThan">
      <formula>$F63</formula>
    </cfRule>
    <cfRule type="cellIs" dxfId="3427" priority="208" stopIfTrue="1" operator="lessThanOrEqual">
      <formula>0</formula>
    </cfRule>
  </conditionalFormatting>
  <conditionalFormatting sqref="C69:C71">
    <cfRule type="cellIs" dxfId="3426" priority="95" stopIfTrue="1" operator="lessThanOrEqual">
      <formula>0</formula>
    </cfRule>
  </conditionalFormatting>
  <conditionalFormatting sqref="C74:C78">
    <cfRule type="cellIs" dxfId="3425" priority="195" stopIfTrue="1" operator="lessThanOrEqual">
      <formula>0</formula>
    </cfRule>
  </conditionalFormatting>
  <conditionalFormatting sqref="C75:C78">
    <cfRule type="cellIs" dxfId="3424" priority="194" stopIfTrue="1" operator="greaterThan">
      <formula>$F$74</formula>
    </cfRule>
  </conditionalFormatting>
  <conditionalFormatting sqref="C80">
    <cfRule type="cellIs" dxfId="3423" priority="196" stopIfTrue="1" operator="greaterThan">
      <formula>$F$74</formula>
    </cfRule>
    <cfRule type="cellIs" dxfId="3422" priority="197" stopIfTrue="1" operator="lessThanOrEqual">
      <formula>0</formula>
    </cfRule>
  </conditionalFormatting>
  <conditionalFormatting sqref="C68:D68">
    <cfRule type="cellIs" dxfId="3421" priority="81" stopIfTrue="1" operator="greaterThan">
      <formula>$J68</formula>
    </cfRule>
    <cfRule type="cellIs" dxfId="3420" priority="82" stopIfTrue="1" operator="lessThanOrEqual">
      <formula>0</formula>
    </cfRule>
  </conditionalFormatting>
  <conditionalFormatting sqref="C74:D74 D76:D82">
    <cfRule type="cellIs" dxfId="3419" priority="189" stopIfTrue="1" operator="greaterThan">
      <formula>4.5</formula>
    </cfRule>
  </conditionalFormatting>
  <conditionalFormatting sqref="D43:D44">
    <cfRule type="cellIs" dxfId="3418" priority="122" operator="notBetween">
      <formula>#REF!</formula>
      <formula>#REF!</formula>
    </cfRule>
  </conditionalFormatting>
  <conditionalFormatting sqref="D63:D67 D69:D70">
    <cfRule type="cellIs" dxfId="3417" priority="92" stopIfTrue="1" operator="lessThanOrEqual">
      <formula>0</formula>
    </cfRule>
  </conditionalFormatting>
  <conditionalFormatting sqref="D63:D67 D69:D72">
    <cfRule type="cellIs" dxfId="3416" priority="88" stopIfTrue="1" operator="lessThanOrEqual">
      <formula>0</formula>
    </cfRule>
    <cfRule type="cellIs" dxfId="3415" priority="89" stopIfTrue="1" operator="greaterThan">
      <formula>$F63</formula>
    </cfRule>
  </conditionalFormatting>
  <conditionalFormatting sqref="D71:D72">
    <cfRule type="cellIs" dxfId="3414" priority="90" stopIfTrue="1" operator="lessThanOrEqual">
      <formula>0</formula>
    </cfRule>
  </conditionalFormatting>
  <conditionalFormatting sqref="D72">
    <cfRule type="cellIs" dxfId="3413" priority="91" stopIfTrue="1" operator="lessThanOrEqual">
      <formula>0</formula>
    </cfRule>
  </conditionalFormatting>
  <conditionalFormatting sqref="D74 D76:D82">
    <cfRule type="cellIs" dxfId="3412" priority="190" stopIfTrue="1" operator="lessThanOrEqual">
      <formula>0</formula>
    </cfRule>
  </conditionalFormatting>
  <conditionalFormatting sqref="D75">
    <cfRule type="cellIs" dxfId="3411" priority="181" stopIfTrue="1" operator="greaterThan">
      <formula>$F$74</formula>
    </cfRule>
    <cfRule type="cellIs" dxfId="3410" priority="182" stopIfTrue="1" operator="lessThanOrEqual">
      <formula>0</formula>
    </cfRule>
  </conditionalFormatting>
  <conditionalFormatting sqref="E10:E18">
    <cfRule type="cellIs" dxfId="3409" priority="24" operator="lessThan">
      <formula>48</formula>
    </cfRule>
  </conditionalFormatting>
  <conditionalFormatting sqref="E46 E47:F47">
    <cfRule type="cellIs" dxfId="3408" priority="186" stopIfTrue="1" operator="greaterThan">
      <formula>100</formula>
    </cfRule>
  </conditionalFormatting>
  <conditionalFormatting sqref="E47">
    <cfRule type="cellIs" dxfId="3407" priority="183" stopIfTrue="1" operator="lessThan">
      <formula>96.8</formula>
    </cfRule>
    <cfRule type="cellIs" dxfId="3406" priority="184" stopIfTrue="1" operator="greaterThan">
      <formula>100</formula>
    </cfRule>
  </conditionalFormatting>
  <conditionalFormatting sqref="E63:E71">
    <cfRule type="cellIs" dxfId="3405" priority="54" stopIfTrue="1" operator="lessThanOrEqual">
      <formula>0</formula>
    </cfRule>
  </conditionalFormatting>
  <conditionalFormatting sqref="E63:E72">
    <cfRule type="cellIs" dxfId="3404" priority="55" stopIfTrue="1" operator="greaterThan">
      <formula>$F63</formula>
    </cfRule>
    <cfRule type="cellIs" dxfId="3403" priority="56" stopIfTrue="1" operator="lessThanOrEqual">
      <formula>0</formula>
    </cfRule>
  </conditionalFormatting>
  <conditionalFormatting sqref="E72">
    <cfRule type="cellIs" dxfId="3402" priority="57" stopIfTrue="1" operator="lessThanOrEqual">
      <formula>0</formula>
    </cfRule>
  </conditionalFormatting>
  <conditionalFormatting sqref="E74:E82">
    <cfRule type="cellIs" dxfId="3401" priority="175" stopIfTrue="1" operator="greaterThan">
      <formula>4.5</formula>
    </cfRule>
    <cfRule type="cellIs" dxfId="3400" priority="176" stopIfTrue="1" operator="lessThanOrEqual">
      <formula>0</formula>
    </cfRule>
  </conditionalFormatting>
  <conditionalFormatting sqref="E47:F47 E46">
    <cfRule type="cellIs" dxfId="3399" priority="185" stopIfTrue="1" operator="lessThan">
      <formula>96.5</formula>
    </cfRule>
  </conditionalFormatting>
  <conditionalFormatting sqref="F10:F18">
    <cfRule type="cellIs" dxfId="3398" priority="31" operator="greaterThan">
      <formula>60</formula>
    </cfRule>
  </conditionalFormatting>
  <conditionalFormatting sqref="F47">
    <cfRule type="cellIs" dxfId="3397" priority="201" stopIfTrue="1" operator="lessThan">
      <formula>96.8</formula>
    </cfRule>
    <cfRule type="cellIs" dxfId="3396" priority="202" stopIfTrue="1" operator="greaterThan">
      <formula>100</formula>
    </cfRule>
  </conditionalFormatting>
  <conditionalFormatting sqref="G17">
    <cfRule type="expression" dxfId="3395" priority="27">
      <formula>IF(+(IF(G17&lt;S17,0,IF(G17&gt;T17,0,1)))=0,1)</formula>
    </cfRule>
  </conditionalFormatting>
  <conditionalFormatting sqref="G63:G66 F72">
    <cfRule type="cellIs" dxfId="3394" priority="63" stopIfTrue="1" operator="greaterThan">
      <formula>$F63</formula>
    </cfRule>
    <cfRule type="cellIs" dxfId="3393" priority="64" stopIfTrue="1" operator="lessThanOrEqual">
      <formula>0</formula>
    </cfRule>
  </conditionalFormatting>
  <conditionalFormatting sqref="G65:G66">
    <cfRule type="cellIs" dxfId="3392" priority="49" stopIfTrue="1" operator="greaterThan">
      <formula>$F65</formula>
    </cfRule>
    <cfRule type="cellIs" dxfId="3391" priority="50" stopIfTrue="1" operator="lessThanOrEqual">
      <formula>0</formula>
    </cfRule>
  </conditionalFormatting>
  <conditionalFormatting sqref="G67:G71">
    <cfRule type="cellIs" dxfId="3390" priority="65" stopIfTrue="1" operator="greaterThan">
      <formula>$J67</formula>
    </cfRule>
    <cfRule type="cellIs" dxfId="3389" priority="66" stopIfTrue="1" operator="lessThanOrEqual">
      <formula>0</formula>
    </cfRule>
  </conditionalFormatting>
  <conditionalFormatting sqref="G68">
    <cfRule type="cellIs" dxfId="3388" priority="209" stopIfTrue="1" operator="greaterThan">
      <formula>$F63</formula>
    </cfRule>
    <cfRule type="cellIs" dxfId="3387" priority="210" stopIfTrue="1" operator="lessThanOrEqual">
      <formula>0</formula>
    </cfRule>
  </conditionalFormatting>
  <conditionalFormatting sqref="G76:G81 C79 C81">
    <cfRule type="cellIs" dxfId="3386" priority="198" stopIfTrue="1" operator="greaterThan">
      <formula>4.5</formula>
    </cfRule>
    <cfRule type="cellIs" dxfId="3385" priority="199" stopIfTrue="1" operator="lessThanOrEqual">
      <formula>0</formula>
    </cfRule>
  </conditionalFormatting>
  <conditionalFormatting sqref="G10:H16 M10:N18 H17 G18:H18">
    <cfRule type="expression" dxfId="3384" priority="29">
      <formula>IF(+(IF(G10&lt;#REF!,0,IF(G10&gt;#REF!,0,1)))=0,1)</formula>
    </cfRule>
  </conditionalFormatting>
  <conditionalFormatting sqref="G75:H75">
    <cfRule type="cellIs" dxfId="3383" priority="179" stopIfTrue="1" operator="greaterThan">
      <formula>$F$74</formula>
    </cfRule>
    <cfRule type="cellIs" dxfId="3382" priority="180" stopIfTrue="1" operator="lessThanOrEqual">
      <formula>0</formula>
    </cfRule>
  </conditionalFormatting>
  <conditionalFormatting sqref="H32:H33 H46">
    <cfRule type="cellIs" dxfId="3381" priority="177" stopIfTrue="1" operator="greaterThan">
      <formula>0</formula>
    </cfRule>
  </conditionalFormatting>
  <conditionalFormatting sqref="H50">
    <cfRule type="cellIs" dxfId="3380" priority="68" stopIfTrue="1" operator="lessThanOrEqual">
      <formula>0</formula>
    </cfRule>
    <cfRule type="cellIs" dxfId="3379" priority="69" stopIfTrue="1" operator="greaterThan">
      <formula>$F$63</formula>
    </cfRule>
    <cfRule type="cellIs" dxfId="3378" priority="77" stopIfTrue="1" operator="greaterThan">
      <formula>$F$66</formula>
    </cfRule>
    <cfRule type="cellIs" dxfId="3377" priority="78" stopIfTrue="1" operator="lessThanOrEqual">
      <formula>0</formula>
    </cfRule>
    <cfRule type="cellIs" dxfId="3376" priority="79" stopIfTrue="1" operator="greaterThan">
      <formula>$F$64</formula>
    </cfRule>
  </conditionalFormatting>
  <conditionalFormatting sqref="H50:H51">
    <cfRule type="cellIs" dxfId="3375" priority="80" stopIfTrue="1" operator="lessThanOrEqual">
      <formula>0</formula>
    </cfRule>
  </conditionalFormatting>
  <conditionalFormatting sqref="H51 H53:H54">
    <cfRule type="cellIs" dxfId="3374" priority="107" stopIfTrue="1" operator="lessThanOrEqual">
      <formula>0</formula>
    </cfRule>
  </conditionalFormatting>
  <conditionalFormatting sqref="H51">
    <cfRule type="cellIs" dxfId="3373" priority="96" stopIfTrue="1" operator="greaterThan">
      <formula>$F$63</formula>
    </cfRule>
    <cfRule type="cellIs" dxfId="3372" priority="104" stopIfTrue="1" operator="greaterThan">
      <formula>$F$66</formula>
    </cfRule>
    <cfRule type="cellIs" dxfId="3371" priority="105" stopIfTrue="1" operator="lessThanOrEqual">
      <formula>0</formula>
    </cfRule>
    <cfRule type="cellIs" dxfId="3370" priority="106" stopIfTrue="1" operator="greaterThan">
      <formula>$F$64</formula>
    </cfRule>
  </conditionalFormatting>
  <conditionalFormatting sqref="H52">
    <cfRule type="cellIs" dxfId="3369" priority="35" stopIfTrue="1" operator="lessThanOrEqual">
      <formula>0</formula>
    </cfRule>
    <cfRule type="cellIs" dxfId="3368" priority="36" stopIfTrue="1" operator="greaterThan">
      <formula>$F$65</formula>
    </cfRule>
    <cfRule type="cellIs" dxfId="3367" priority="44" stopIfTrue="1" operator="greaterThan">
      <formula>$F$68</formula>
    </cfRule>
    <cfRule type="cellIs" dxfId="3366" priority="45" stopIfTrue="1" operator="lessThanOrEqual">
      <formula>0</formula>
    </cfRule>
    <cfRule type="cellIs" dxfId="3365" priority="46" stopIfTrue="1" operator="greaterThan">
      <formula>$F$66</formula>
    </cfRule>
    <cfRule type="cellIs" dxfId="3364" priority="47" stopIfTrue="1" operator="lessThanOrEqual">
      <formula>0</formula>
    </cfRule>
  </conditionalFormatting>
  <conditionalFormatting sqref="H53:H54">
    <cfRule type="cellIs" dxfId="3363" priority="109" stopIfTrue="1" operator="greaterThan">
      <formula>$F$63</formula>
    </cfRule>
    <cfRule type="cellIs" dxfId="3362" priority="117" stopIfTrue="1" operator="greaterThan">
      <formula>$F$66</formula>
    </cfRule>
    <cfRule type="cellIs" dxfId="3361" priority="118" stopIfTrue="1" operator="lessThanOrEqual">
      <formula>0</formula>
    </cfRule>
    <cfRule type="cellIs" dxfId="3360" priority="119" stopIfTrue="1" operator="greaterThan">
      <formula>$F$64</formula>
    </cfRule>
    <cfRule type="cellIs" dxfId="3359" priority="120" stopIfTrue="1" operator="lessThanOrEqual">
      <formula>0</formula>
    </cfRule>
  </conditionalFormatting>
  <conditionalFormatting sqref="H55:H56">
    <cfRule type="cellIs" dxfId="3358" priority="144" stopIfTrue="1" operator="lessThanOrEqual">
      <formula>0</formula>
    </cfRule>
    <cfRule type="cellIs" dxfId="3357" priority="145" stopIfTrue="1" operator="greaterThan">
      <formula>#REF!</formula>
    </cfRule>
    <cfRule type="cellIs" dxfId="3356" priority="153" stopIfTrue="1" operator="greaterThan">
      <formula>#REF!</formula>
    </cfRule>
    <cfRule type="cellIs" dxfId="3355" priority="154" stopIfTrue="1" operator="lessThanOrEqual">
      <formula>0</formula>
    </cfRule>
  </conditionalFormatting>
  <conditionalFormatting sqref="H57">
    <cfRule type="cellIs" dxfId="3354" priority="156" stopIfTrue="1" operator="lessThanOrEqual">
      <formula>0</formula>
    </cfRule>
    <cfRule type="cellIs" dxfId="3353" priority="157" stopIfTrue="1" operator="greaterThan">
      <formula>$F$31</formula>
    </cfRule>
    <cfRule type="cellIs" dxfId="3352" priority="165" stopIfTrue="1" operator="greaterThan">
      <formula>$F$34</formula>
    </cfRule>
    <cfRule type="cellIs" dxfId="3351" priority="166" stopIfTrue="1" operator="lessThanOrEqual">
      <formula>0</formula>
    </cfRule>
    <cfRule type="cellIs" dxfId="3350" priority="167" stopIfTrue="1" operator="greaterThan">
      <formula>$F$32</formula>
    </cfRule>
    <cfRule type="cellIs" dxfId="3349" priority="168" stopIfTrue="1" operator="lessThanOrEqual">
      <formula>0</formula>
    </cfRule>
  </conditionalFormatting>
  <conditionalFormatting sqref="H58:H59">
    <cfRule type="cellIs" dxfId="3348" priority="132" stopIfTrue="1" operator="lessThanOrEqual">
      <formula>0</formula>
    </cfRule>
    <cfRule type="cellIs" dxfId="3347" priority="133" stopIfTrue="1" operator="greaterThan">
      <formula>#REF!</formula>
    </cfRule>
    <cfRule type="cellIs" dxfId="3346" priority="141" stopIfTrue="1" operator="greaterThan">
      <formula>#REF!</formula>
    </cfRule>
    <cfRule type="cellIs" dxfId="3345" priority="142" stopIfTrue="1" operator="lessThanOrEqual">
      <formula>0</formula>
    </cfRule>
  </conditionalFormatting>
  <conditionalFormatting sqref="H74 H76:H82">
    <cfRule type="cellIs" dxfId="3344" priority="191" stopIfTrue="1" operator="greaterThan">
      <formula>4.5</formula>
    </cfRule>
    <cfRule type="cellIs" dxfId="3343" priority="192" stopIfTrue="1" operator="lessThanOrEqual">
      <formula>0</formula>
    </cfRule>
  </conditionalFormatting>
  <conditionalFormatting sqref="H50:I50">
    <cfRule type="cellIs" dxfId="3342" priority="70" stopIfTrue="1" operator="lessThanOrEqual">
      <formula>0</formula>
    </cfRule>
  </conditionalFormatting>
  <conditionalFormatting sqref="H50:I51 H53:I54">
    <cfRule type="cellIs" dxfId="3341" priority="67" stopIfTrue="1" operator="greaterThan">
      <formula>$F$65</formula>
    </cfRule>
  </conditionalFormatting>
  <conditionalFormatting sqref="H51:I51">
    <cfRule type="cellIs" dxfId="3340" priority="97" stopIfTrue="1" operator="lessThanOrEqual">
      <formula>0</formula>
    </cfRule>
  </conditionalFormatting>
  <conditionalFormatting sqref="H52:I52">
    <cfRule type="cellIs" dxfId="3339" priority="34" stopIfTrue="1" operator="greaterThan">
      <formula>$F$67</formula>
    </cfRule>
    <cfRule type="cellIs" dxfId="3338" priority="37" stopIfTrue="1" operator="lessThanOrEqual">
      <formula>0</formula>
    </cfRule>
  </conditionalFormatting>
  <conditionalFormatting sqref="H53:I54">
    <cfRule type="cellIs" dxfId="3337" priority="110" stopIfTrue="1" operator="lessThanOrEqual">
      <formula>0</formula>
    </cfRule>
  </conditionalFormatting>
  <conditionalFormatting sqref="H55:I56">
    <cfRule type="cellIs" dxfId="3336" priority="143" stopIfTrue="1" operator="greaterThan">
      <formula>#REF!</formula>
    </cfRule>
    <cfRule type="cellIs" dxfId="3335" priority="146" stopIfTrue="1" operator="lessThanOrEqual">
      <formula>0</formula>
    </cfRule>
    <cfRule type="cellIs" dxfId="3334" priority="151" stopIfTrue="1" operator="greaterThan">
      <formula>#REF!</formula>
    </cfRule>
    <cfRule type="cellIs" dxfId="3333" priority="152" stopIfTrue="1" operator="lessThanOrEqual">
      <formula>0</formula>
    </cfRule>
  </conditionalFormatting>
  <conditionalFormatting sqref="H57:I57">
    <cfRule type="cellIs" dxfId="3332" priority="155" stopIfTrue="1" operator="greaterThan">
      <formula>$F$33</formula>
    </cfRule>
    <cfRule type="cellIs" dxfId="3331" priority="158" stopIfTrue="1" operator="lessThanOrEqual">
      <formula>0</formula>
    </cfRule>
  </conditionalFormatting>
  <conditionalFormatting sqref="H58:I59">
    <cfRule type="cellIs" dxfId="3330" priority="131" stopIfTrue="1" operator="greaterThan">
      <formula>#REF!</formula>
    </cfRule>
    <cfRule type="cellIs" dxfId="3329" priority="134" stopIfTrue="1" operator="lessThanOrEqual">
      <formula>0</formula>
    </cfRule>
    <cfRule type="cellIs" dxfId="3328" priority="139" stopIfTrue="1" operator="greaterThan">
      <formula>#REF!</formula>
    </cfRule>
    <cfRule type="cellIs" dxfId="3327" priority="140" stopIfTrue="1" operator="lessThanOrEqual">
      <formula>0</formula>
    </cfRule>
  </conditionalFormatting>
  <conditionalFormatting sqref="H63:I70">
    <cfRule type="cellIs" dxfId="3326" priority="52" stopIfTrue="1" operator="greaterThan">
      <formula>$J63</formula>
    </cfRule>
    <cfRule type="cellIs" dxfId="3325" priority="53" stopIfTrue="1" operator="lessThanOrEqual">
      <formula>0</formula>
    </cfRule>
  </conditionalFormatting>
  <conditionalFormatting sqref="H71:I71">
    <cfRule type="cellIs" dxfId="3324" priority="60" operator="greaterThan">
      <formula>5.3</formula>
    </cfRule>
  </conditionalFormatting>
  <conditionalFormatting sqref="H72:I72">
    <cfRule type="cellIs" dxfId="3323" priority="58" stopIfTrue="1" operator="greaterThan">
      <formula>$J72</formula>
    </cfRule>
    <cfRule type="cellIs" dxfId="3322" priority="59" stopIfTrue="1" operator="lessThanOrEqual">
      <formula>0</formula>
    </cfRule>
  </conditionalFormatting>
  <conditionalFormatting sqref="I50">
    <cfRule type="cellIs" dxfId="3321" priority="71" stopIfTrue="1" operator="greaterThan">
      <formula>$F$63</formula>
    </cfRule>
    <cfRule type="cellIs" dxfId="3320" priority="72" stopIfTrue="1" operator="lessThanOrEqual">
      <formula>0</formula>
    </cfRule>
    <cfRule type="cellIs" dxfId="3319" priority="73" stopIfTrue="1" operator="greaterThan">
      <formula>$F$65</formula>
    </cfRule>
    <cfRule type="cellIs" dxfId="3318" priority="74" stopIfTrue="1" operator="lessThanOrEqual">
      <formula>0</formula>
    </cfRule>
    <cfRule type="cellIs" dxfId="3317" priority="75" stopIfTrue="1" operator="greaterThan">
      <formula>$F$63</formula>
    </cfRule>
    <cfRule type="cellIs" dxfId="3316" priority="76" stopIfTrue="1" operator="lessThanOrEqual">
      <formula>0</formula>
    </cfRule>
  </conditionalFormatting>
  <conditionalFormatting sqref="I51">
    <cfRule type="cellIs" dxfId="3315" priority="98" stopIfTrue="1" operator="greaterThan">
      <formula>$F$63</formula>
    </cfRule>
    <cfRule type="cellIs" dxfId="3314" priority="99" stopIfTrue="1" operator="lessThanOrEqual">
      <formula>0</formula>
    </cfRule>
    <cfRule type="cellIs" dxfId="3313" priority="100" stopIfTrue="1" operator="greaterThan">
      <formula>$F$65</formula>
    </cfRule>
    <cfRule type="cellIs" dxfId="3312" priority="101" stopIfTrue="1" operator="lessThanOrEqual">
      <formula>0</formula>
    </cfRule>
    <cfRule type="cellIs" dxfId="3311" priority="102" stopIfTrue="1" operator="greaterThan">
      <formula>$F$63</formula>
    </cfRule>
    <cfRule type="cellIs" dxfId="3310" priority="103" stopIfTrue="1" operator="lessThanOrEqual">
      <formula>0</formula>
    </cfRule>
  </conditionalFormatting>
  <conditionalFormatting sqref="I52">
    <cfRule type="cellIs" dxfId="3309" priority="38" stopIfTrue="1" operator="greaterThan">
      <formula>$F$65</formula>
    </cfRule>
    <cfRule type="cellIs" dxfId="3308" priority="39" stopIfTrue="1" operator="lessThanOrEqual">
      <formula>0</formula>
    </cfRule>
    <cfRule type="cellIs" dxfId="3307" priority="40" stopIfTrue="1" operator="greaterThan">
      <formula>$F$67</formula>
    </cfRule>
    <cfRule type="cellIs" dxfId="3306" priority="41" stopIfTrue="1" operator="lessThanOrEqual">
      <formula>0</formula>
    </cfRule>
    <cfRule type="cellIs" dxfId="3305" priority="42" stopIfTrue="1" operator="greaterThan">
      <formula>$F$65</formula>
    </cfRule>
    <cfRule type="cellIs" dxfId="3304" priority="43" stopIfTrue="1" operator="lessThanOrEqual">
      <formula>0</formula>
    </cfRule>
  </conditionalFormatting>
  <conditionalFormatting sqref="I53:I54">
    <cfRule type="cellIs" dxfId="3303" priority="111" stopIfTrue="1" operator="greaterThan">
      <formula>$F$63</formula>
    </cfRule>
    <cfRule type="cellIs" dxfId="3302" priority="112" stopIfTrue="1" operator="lessThanOrEqual">
      <formula>0</formula>
    </cfRule>
    <cfRule type="cellIs" dxfId="3301" priority="113" stopIfTrue="1" operator="greaterThan">
      <formula>$F$65</formula>
    </cfRule>
    <cfRule type="cellIs" dxfId="3300" priority="114" stopIfTrue="1" operator="lessThanOrEqual">
      <formula>0</formula>
    </cfRule>
    <cfRule type="cellIs" dxfId="3299" priority="115" stopIfTrue="1" operator="greaterThan">
      <formula>$F$63</formula>
    </cfRule>
    <cfRule type="cellIs" dxfId="3298" priority="116" stopIfTrue="1" operator="lessThanOrEqual">
      <formula>0</formula>
    </cfRule>
  </conditionalFormatting>
  <conditionalFormatting sqref="I55:I56">
    <cfRule type="cellIs" dxfId="3297" priority="147" stopIfTrue="1" operator="greaterThan">
      <formula>#REF!</formula>
    </cfRule>
    <cfRule type="cellIs" dxfId="3296" priority="148" stopIfTrue="1" operator="lessThanOrEqual">
      <formula>0</formula>
    </cfRule>
    <cfRule type="cellIs" dxfId="3295" priority="149" stopIfTrue="1" operator="greaterThan">
      <formula>#REF!</formula>
    </cfRule>
    <cfRule type="cellIs" dxfId="3294" priority="150" stopIfTrue="1" operator="lessThanOrEqual">
      <formula>0</formula>
    </cfRule>
  </conditionalFormatting>
  <conditionalFormatting sqref="I57">
    <cfRule type="cellIs" dxfId="3293" priority="159" stopIfTrue="1" operator="greaterThan">
      <formula>$F$31</formula>
    </cfRule>
    <cfRule type="cellIs" dxfId="3292" priority="160" stopIfTrue="1" operator="lessThanOrEqual">
      <formula>0</formula>
    </cfRule>
    <cfRule type="cellIs" dxfId="3291" priority="161" stopIfTrue="1" operator="greaterThan">
      <formula>$F$33</formula>
    </cfRule>
    <cfRule type="cellIs" dxfId="3290" priority="162" stopIfTrue="1" operator="lessThanOrEqual">
      <formula>0</formula>
    </cfRule>
    <cfRule type="cellIs" dxfId="3289" priority="163" stopIfTrue="1" operator="greaterThan">
      <formula>$F$31</formula>
    </cfRule>
    <cfRule type="cellIs" dxfId="3288" priority="164" stopIfTrue="1" operator="lessThanOrEqual">
      <formula>0</formula>
    </cfRule>
  </conditionalFormatting>
  <conditionalFormatting sqref="I58:I59">
    <cfRule type="cellIs" dxfId="3287" priority="135" stopIfTrue="1" operator="greaterThan">
      <formula>#REF!</formula>
    </cfRule>
    <cfRule type="cellIs" dxfId="3286" priority="136" stopIfTrue="1" operator="lessThanOrEqual">
      <formula>0</formula>
    </cfRule>
    <cfRule type="cellIs" dxfId="3285" priority="137" stopIfTrue="1" operator="greaterThan">
      <formula>#REF!</formula>
    </cfRule>
    <cfRule type="cellIs" dxfId="3284" priority="138" stopIfTrue="1" operator="lessThanOrEqual">
      <formula>0</formula>
    </cfRule>
  </conditionalFormatting>
  <conditionalFormatting sqref="I74:I82">
    <cfRule type="cellIs" dxfId="3283" priority="187" stopIfTrue="1" operator="greaterThan">
      <formula>4.5</formula>
    </cfRule>
    <cfRule type="cellIs" dxfId="3282" priority="188" stopIfTrue="1" operator="lessThanOrEqual">
      <formula>0</formula>
    </cfRule>
  </conditionalFormatting>
  <conditionalFormatting sqref="I10:J18">
    <cfRule type="cellIs" dxfId="3281" priority="18" operator="lessThan">
      <formula>97.9</formula>
    </cfRule>
  </conditionalFormatting>
  <conditionalFormatting sqref="J21:J23">
    <cfRule type="cellIs" dxfId="3280" priority="33" operator="lessThan">
      <formula>97.95</formula>
    </cfRule>
  </conditionalFormatting>
  <conditionalFormatting sqref="J23:J25">
    <cfRule type="cellIs" dxfId="3279" priority="169" operator="lessThan">
      <formula>97.4</formula>
    </cfRule>
  </conditionalFormatting>
  <conditionalFormatting sqref="J26:J27">
    <cfRule type="cellIs" dxfId="3278" priority="170" operator="lessThan">
      <formula>98</formula>
    </cfRule>
  </conditionalFormatting>
  <conditionalFormatting sqref="J28:J29">
    <cfRule type="cellIs" dxfId="3277" priority="171" stopIfTrue="1" operator="lessThan">
      <formula>96.8</formula>
    </cfRule>
    <cfRule type="cellIs" dxfId="3276" priority="172" stopIfTrue="1" operator="greaterThan">
      <formula>100</formula>
    </cfRule>
  </conditionalFormatting>
  <conditionalFormatting sqref="J28:J30">
    <cfRule type="cellIs" dxfId="3275" priority="173" operator="lessThan">
      <formula>98</formula>
    </cfRule>
  </conditionalFormatting>
  <conditionalFormatting sqref="J59">
    <cfRule type="cellIs" dxfId="3274" priority="123" stopIfTrue="1" operator="greaterThan">
      <formula>#REF!</formula>
    </cfRule>
    <cfRule type="cellIs" dxfId="3273" priority="124" stopIfTrue="1" operator="lessThanOrEqual">
      <formula>0</formula>
    </cfRule>
    <cfRule type="cellIs" dxfId="3272" priority="125" stopIfTrue="1" operator="greaterThan">
      <formula>#REF!</formula>
    </cfRule>
    <cfRule type="cellIs" dxfId="3271" priority="126" stopIfTrue="1" operator="lessThanOrEqual">
      <formula>0</formula>
    </cfRule>
    <cfRule type="cellIs" dxfId="3270" priority="127" stopIfTrue="1" operator="greaterThan">
      <formula>#REF!</formula>
    </cfRule>
    <cfRule type="cellIs" dxfId="3269" priority="128" stopIfTrue="1" operator="lessThanOrEqual">
      <formula>0</formula>
    </cfRule>
    <cfRule type="cellIs" dxfId="3268" priority="129" stopIfTrue="1" operator="greaterThan">
      <formula>#REF!</formula>
    </cfRule>
    <cfRule type="cellIs" dxfId="3267" priority="130" stopIfTrue="1" operator="lessThanOrEqual">
      <formula>0</formula>
    </cfRule>
  </conditionalFormatting>
  <conditionalFormatting sqref="J72">
    <cfRule type="cellIs" dxfId="3266" priority="61" stopIfTrue="1" operator="greaterThan">
      <formula>$F72</formula>
    </cfRule>
    <cfRule type="cellIs" dxfId="3265" priority="62" stopIfTrue="1" operator="lessThanOrEqual">
      <formula>0</formula>
    </cfRule>
  </conditionalFormatting>
  <conditionalFormatting sqref="K10:K18">
    <cfRule type="cellIs" dxfId="3264" priority="19" operator="greaterThan">
      <formula>6</formula>
    </cfRule>
    <cfRule type="cellIs" dxfId="3263" priority="20" operator="lessThan">
      <formula>4</formula>
    </cfRule>
    <cfRule type="cellIs" dxfId="3262" priority="21" operator="greaterThan">
      <formula>6.4</formula>
    </cfRule>
  </conditionalFormatting>
  <conditionalFormatting sqref="K50:K59">
    <cfRule type="cellIs" dxfId="3261" priority="108" stopIfTrue="1" operator="lessThan">
      <formula>100%</formula>
    </cfRule>
  </conditionalFormatting>
  <conditionalFormatting sqref="K63:K71">
    <cfRule type="cellIs" dxfId="3260" priority="51" stopIfTrue="1" operator="lessThan">
      <formula>100%</formula>
    </cfRule>
  </conditionalFormatting>
  <conditionalFormatting sqref="K74:K79">
    <cfRule type="cellIs" dxfId="3259" priority="193" stopIfTrue="1" operator="lessThan">
      <formula>100%</formula>
    </cfRule>
  </conditionalFormatting>
  <conditionalFormatting sqref="K81:K82">
    <cfRule type="cellIs" dxfId="3258" priority="200" stopIfTrue="1" operator="lessThan">
      <formula>100%</formula>
    </cfRule>
  </conditionalFormatting>
  <conditionalFormatting sqref="L10:L18">
    <cfRule type="cellIs" dxfId="3257" priority="3" operator="between">
      <formula>61</formula>
      <formula>65</formula>
    </cfRule>
    <cfRule type="cellIs" dxfId="3256" priority="4" operator="greaterThan">
      <formula>65</formula>
    </cfRule>
  </conditionalFormatting>
  <conditionalFormatting sqref="L21:M32">
    <cfRule type="cellIs" dxfId="3255" priority="32" operator="lessThan">
      <formula>97.95</formula>
    </cfRule>
  </conditionalFormatting>
  <conditionalFormatting sqref="L36:N36">
    <cfRule type="cellIs" dxfId="3254" priority="1" operator="notEqual">
      <formula>#REF!</formula>
    </cfRule>
  </conditionalFormatting>
  <conditionalFormatting sqref="L63:N72">
    <cfRule type="cellIs" dxfId="3253" priority="48" stopIfTrue="1" operator="lessThan">
      <formula>100%</formula>
    </cfRule>
  </conditionalFormatting>
  <conditionalFormatting sqref="L74:N82">
    <cfRule type="cellIs" dxfId="3252" priority="178" stopIfTrue="1" operator="lessThan">
      <formula>100%</formula>
    </cfRule>
  </conditionalFormatting>
  <conditionalFormatting sqref="N10:N18">
    <cfRule type="expression" dxfId="3251" priority="5">
      <formula>IF(+(IF(N10&lt;W10,0,IF(N10&gt;X10,0,1)))=0,1)</formula>
    </cfRule>
  </conditionalFormatting>
  <conditionalFormatting sqref="P6">
    <cfRule type="cellIs" dxfId="3250" priority="174" operator="greaterThanOrEqual">
      <formula>19</formula>
    </cfRule>
  </conditionalFormatting>
  <dataValidations count="1">
    <dataValidation type="list" allowBlank="1" showInputMessage="1" showErrorMessage="1" sqref="R8" xr:uid="{879EBCB5-09B0-4B73-84F5-DE0378FFCDC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5F31-1BA0-488D-837A-BECEB101A45B}">
  <sheetPr>
    <pageSetUpPr fitToPage="1"/>
  </sheetPr>
  <dimension ref="A1:BE74"/>
  <sheetViews>
    <sheetView topLeftCell="A4" zoomScale="85" zoomScaleNormal="85" workbookViewId="0">
      <selection activeCell="E10" sqref="E10:E18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46268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[3]Brewhouse!$A703</f>
        <v>CA654</v>
      </c>
      <c r="D10" s="279">
        <f>[3]Brewhouse!$AF703</f>
        <v>49</v>
      </c>
      <c r="E10" s="279">
        <f>[3]Brewhouse!$AI703</f>
        <v>49.6</v>
      </c>
      <c r="F10" s="278">
        <f>[3]Brewhouse!$V703</f>
        <v>60</v>
      </c>
      <c r="G10" s="279">
        <f>[3]Brewhouse!AG703</f>
        <v>11.8</v>
      </c>
      <c r="H10" s="396"/>
      <c r="I10" s="368">
        <f>[3]Brewhouse!$AU703</f>
        <v>98.126698757069292</v>
      </c>
      <c r="J10" s="368">
        <f>[3]Brewhouse!$AV703</f>
        <v>98.886898116741477</v>
      </c>
      <c r="K10" s="281">
        <f>[3]Brewhouse!$Q703</f>
        <v>11.497227356746762</v>
      </c>
      <c r="L10" s="276">
        <f>[3]Brewhouse!$P703</f>
        <v>57</v>
      </c>
      <c r="M10" s="374">
        <f>[3]Brewhouse!$U703-[3]Brewhouse!$T703</f>
        <v>0.11041666666666661</v>
      </c>
      <c r="N10" s="370">
        <f>[3]Brewhouse!$Z703</f>
        <v>0.25972222222222219</v>
      </c>
      <c r="O10" s="420" t="str">
        <f>[3]Brewhouse!$AX703</f>
        <v>R. Sookram</v>
      </c>
      <c r="P10" s="418"/>
      <c r="R10" s="277" t="str">
        <f t="shared" ref="R10:R18" si="0">B10</f>
        <v>CARIB</v>
      </c>
      <c r="S10" s="472">
        <f t="shared" ref="S10:S18" si="1">VLOOKUP($B10,$R$3:$X$9,2,FALSE)</f>
        <v>11.6</v>
      </c>
      <c r="T10" s="472">
        <f t="shared" ref="T10:T18" si="2">VLOOKUP($B10,$R$3:$X$9,3,FALSE)</f>
        <v>12</v>
      </c>
      <c r="U10" s="297">
        <f t="shared" ref="U10:U18" si="3">VLOOKUP($B10,$R$3:$X$9,4,FALSE)</f>
        <v>0</v>
      </c>
      <c r="V10" s="297">
        <f t="shared" ref="V10:V18" si="4">VLOOKUP($B10,$R$3:$X$9,5,FALSE)</f>
        <v>0.118055555555556</v>
      </c>
      <c r="W10" s="297">
        <f t="shared" ref="W10:W18" si="5">VLOOKUP($B10,$R$3:$X$9,6,FALSE)</f>
        <v>0.22569444444444445</v>
      </c>
      <c r="X10" s="297">
        <f t="shared" ref="X10:X18" si="6">VLOOKUP($B10,$R$3:$X$9,7,FALSE)</f>
        <v>0.2638888888888889</v>
      </c>
      <c r="Y10" s="297">
        <f t="shared" ref="Y10:Y18" si="7">VLOOKUP($B10,$R$3:$Z$9,8,FALSE)</f>
        <v>0</v>
      </c>
      <c r="Z10" s="472">
        <f t="shared" ref="Z10:Z18" si="8">VLOOKUP($B10,$R$3:$Z$9,9,FALSE)</f>
        <v>60</v>
      </c>
    </row>
    <row r="11" spans="2:29" ht="15" customHeight="1">
      <c r="B11" s="29" t="s">
        <v>6</v>
      </c>
      <c r="C11" s="366" t="str">
        <f>[3]Brewhouse!$A704</f>
        <v>CA655</v>
      </c>
      <c r="D11" s="279">
        <f>[3]Brewhouse!$AF704</f>
        <v>49.9</v>
      </c>
      <c r="E11" s="279">
        <f>[3]Brewhouse!$AI704</f>
        <v>50.7</v>
      </c>
      <c r="F11" s="278">
        <f>[3]Brewhouse!$V704</f>
        <v>63</v>
      </c>
      <c r="G11" s="279">
        <f>[3]Brewhouse!AG704</f>
        <v>11.7</v>
      </c>
      <c r="H11" s="396"/>
      <c r="I11" s="368">
        <f>[3]Brewhouse!$AU704</f>
        <v>99.408785613934398</v>
      </c>
      <c r="J11" s="368">
        <f>[3]Brewhouse!$AV704</f>
        <v>100.17891745497994</v>
      </c>
      <c r="K11" s="281">
        <f>[3]Brewhouse!$Q704</f>
        <v>9.0942698706099847</v>
      </c>
      <c r="L11" s="276">
        <f>[3]Brewhouse!$P704</f>
        <v>57</v>
      </c>
      <c r="M11" s="374">
        <f>[3]Brewhouse!$U704-[3]Brewhouse!$T704</f>
        <v>0.10972222222222222</v>
      </c>
      <c r="N11" s="370">
        <f>[3]Brewhouse!$Z704</f>
        <v>0.25833333333333336</v>
      </c>
      <c r="O11" s="420" t="str">
        <f>[3]Brewhouse!$AX704</f>
        <v>D. Gomaz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[3]Brewhouse!$A705</f>
        <v>CA656</v>
      </c>
      <c r="D12" s="279">
        <f>[3]Brewhouse!$AF705</f>
        <v>48.7</v>
      </c>
      <c r="E12" s="279">
        <f>[3]Brewhouse!$AI705</f>
        <v>48.8</v>
      </c>
      <c r="F12" s="278">
        <f>[3]Brewhouse!$V705</f>
        <v>60</v>
      </c>
      <c r="G12" s="279">
        <f>[3]Brewhouse!AG705</f>
        <v>11.8</v>
      </c>
      <c r="H12" s="396"/>
      <c r="I12" s="368">
        <f>[3]Brewhouse!$AU705</f>
        <v>96.544010067439146</v>
      </c>
      <c r="J12" s="368">
        <f>[3]Brewhouse!$AV705</f>
        <v>97.291948147116628</v>
      </c>
      <c r="K12" s="281">
        <f>[3]Brewhouse!$Q705</f>
        <v>12.791127541589651</v>
      </c>
      <c r="L12" s="276">
        <f>[3]Brewhouse!$P705</f>
        <v>60</v>
      </c>
      <c r="M12" s="374">
        <f>[3]Brewhouse!$U705-[3]Brewhouse!$T705</f>
        <v>0.11041666666666666</v>
      </c>
      <c r="N12" s="370">
        <f>[3]Brewhouse!$Z705</f>
        <v>0.25416666666666665</v>
      </c>
      <c r="O12" s="420" t="str">
        <f>[3]Brewhouse!$AX705</f>
        <v>D. Gomaz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[3]Brewhouse!$A706</f>
        <v>CA657</v>
      </c>
      <c r="D13" s="279">
        <f>[3]Brewhouse!$AF706</f>
        <v>50.6</v>
      </c>
      <c r="E13" s="279">
        <f>[3]Brewhouse!$AI706</f>
        <v>51.7</v>
      </c>
      <c r="F13" s="278">
        <f>[3]Brewhouse!$V706</f>
        <v>60</v>
      </c>
      <c r="G13" s="279">
        <f>[3]Brewhouse!AG706</f>
        <v>11.6</v>
      </c>
      <c r="H13" s="396"/>
      <c r="I13" s="368">
        <f>[3]Brewhouse!$AU706</f>
        <v>98.726419047556874</v>
      </c>
      <c r="J13" s="368">
        <f>[3]Brewhouse!$AV706</f>
        <v>99.491971134924498</v>
      </c>
      <c r="K13" s="281">
        <f>[3]Brewhouse!$Q706</f>
        <v>7.8003696857670963</v>
      </c>
      <c r="L13" s="276">
        <f>[3]Brewhouse!$P706</f>
        <v>59</v>
      </c>
      <c r="M13" s="374">
        <f>[3]Brewhouse!$U706-[3]Brewhouse!$T706</f>
        <v>0.10694444444444445</v>
      </c>
      <c r="N13" s="370">
        <f>[3]Brewhouse!$Z706</f>
        <v>0.25277777777777777</v>
      </c>
      <c r="O13" s="420" t="str">
        <f>[3]Brewhouse!$AX706</f>
        <v>D. Gomaz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[3]Brewhouse!$A707</f>
        <v>CA658</v>
      </c>
      <c r="D14" s="279">
        <f>[3]Brewhouse!$AF707</f>
        <v>48.7</v>
      </c>
      <c r="E14" s="279">
        <f>[3]Brewhouse!$AI707</f>
        <v>48.3</v>
      </c>
      <c r="F14" s="278">
        <f>[3]Brewhouse!$V707</f>
        <v>55</v>
      </c>
      <c r="G14" s="279">
        <f>[3]Brewhouse!AG707</f>
        <v>11.9</v>
      </c>
      <c r="H14" s="396"/>
      <c r="I14" s="368">
        <f>[3]Brewhouse!$AU707</f>
        <v>95.56863040279265</v>
      </c>
      <c r="J14" s="368">
        <f>[3]Brewhouse!$AV707</f>
        <v>96.309357080703435</v>
      </c>
      <c r="K14" s="281">
        <f>[3]Brewhouse!$Q707</f>
        <v>11.312384473197778</v>
      </c>
      <c r="L14" s="276">
        <f>[3]Brewhouse!$P707</f>
        <v>61</v>
      </c>
      <c r="M14" s="374">
        <f>[3]Brewhouse!$U707-[3]Brewhouse!$T707</f>
        <v>0.10902777777777783</v>
      </c>
      <c r="N14" s="370">
        <f>[3]Brewhouse!$Z707</f>
        <v>0.24236111111111114</v>
      </c>
      <c r="O14" s="420" t="str">
        <f>[3]Brewhouse!$AX707</f>
        <v>D. Gomaz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[3]Brewhouse!$A708</f>
        <v>CA659</v>
      </c>
      <c r="D15" s="279">
        <f>[3]Brewhouse!$AF708</f>
        <v>48.6</v>
      </c>
      <c r="E15" s="279">
        <f>[3]Brewhouse!$AI708</f>
        <v>49.7</v>
      </c>
      <c r="F15" s="278">
        <f>[3]Brewhouse!$V708</f>
        <v>60</v>
      </c>
      <c r="G15" s="279">
        <f>[3]Brewhouse!AG708</f>
        <v>11.6</v>
      </c>
      <c r="H15" s="396"/>
      <c r="I15" s="368">
        <f>[3]Brewhouse!$AU708</f>
        <v>96.692705408905809</v>
      </c>
      <c r="J15" s="368">
        <f>[3]Brewhouse!$AV708</f>
        <v>97.441745086400459</v>
      </c>
      <c r="K15" s="281">
        <f>[3]Brewhouse!$Q708</f>
        <v>12.975970425138639</v>
      </c>
      <c r="L15" s="276">
        <f>[3]Brewhouse!$P708</f>
        <v>62</v>
      </c>
      <c r="M15" s="374">
        <f>[3]Brewhouse!$U708-[3]Brewhouse!$T708</f>
        <v>0.11111111111111116</v>
      </c>
      <c r="N15" s="370">
        <f>[3]Brewhouse!$Z708</f>
        <v>0.24583333333333335</v>
      </c>
      <c r="O15" s="420" t="str">
        <f>[3]Brewhouse!$AX708</f>
        <v>D. Gomaz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[3]Brewhouse!$A709</f>
        <v>CA660</v>
      </c>
      <c r="D16" s="279">
        <f>[3]Brewhouse!$AF709</f>
        <v>50.5</v>
      </c>
      <c r="E16" s="279">
        <f>[3]Brewhouse!$AI709</f>
        <v>50.1</v>
      </c>
      <c r="F16" s="278">
        <f>[3]Brewhouse!$V709</f>
        <v>58</v>
      </c>
      <c r="G16" s="279">
        <f>[3]Brewhouse!AG709</f>
        <v>12</v>
      </c>
      <c r="H16" s="396"/>
      <c r="I16" s="368">
        <f>[3]Brewhouse!$AU709</f>
        <v>101.00946443477108</v>
      </c>
      <c r="J16" s="368">
        <f>[3]Brewhouse!$AV709</f>
        <v>101.79194431620748</v>
      </c>
      <c r="K16" s="281">
        <f>[3]Brewhouse!$Q709</f>
        <v>9.4639556377079437</v>
      </c>
      <c r="L16" s="276">
        <f>[3]Brewhouse!$P709</f>
        <v>100</v>
      </c>
      <c r="M16" s="374">
        <f>[3]Brewhouse!$U709-[3]Brewhouse!$T709</f>
        <v>0.21597222222222223</v>
      </c>
      <c r="N16" s="370">
        <f>[3]Brewhouse!$Z709</f>
        <v>0.36180555555555549</v>
      </c>
      <c r="O16" s="420" t="str">
        <f>[3]Brewhouse!$AX709</f>
        <v>R. Regis</v>
      </c>
      <c r="P16" s="418" t="s">
        <v>172</v>
      </c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29" t="s">
        <v>6</v>
      </c>
      <c r="C17" s="366" t="str">
        <f>[3]Brewhouse!$A710</f>
        <v>CA661</v>
      </c>
      <c r="D17" s="279">
        <f>[3]Brewhouse!$AF710</f>
        <v>48.8</v>
      </c>
      <c r="E17" s="279">
        <f>[3]Brewhouse!$AI710</f>
        <v>49.4</v>
      </c>
      <c r="F17" s="278">
        <f>[3]Brewhouse!$V710</f>
        <v>59</v>
      </c>
      <c r="G17" s="488">
        <f>[3]Brewhouse!AG710</f>
        <v>11.5</v>
      </c>
      <c r="H17" s="396"/>
      <c r="I17" s="368">
        <f>[3]Brewhouse!$AU710</f>
        <v>95.236770396091657</v>
      </c>
      <c r="J17" s="368">
        <f>[3]Brewhouse!$AV710</f>
        <v>95.97453152793139</v>
      </c>
      <c r="K17" s="281">
        <f>[3]Brewhouse!$Q710</f>
        <v>10.962962962962965</v>
      </c>
      <c r="L17" s="276">
        <f>[3]Brewhouse!$P710</f>
        <v>57</v>
      </c>
      <c r="M17" s="374">
        <f>[3]Brewhouse!$U710-[3]Brewhouse!$T710</f>
        <v>0.12986111111111098</v>
      </c>
      <c r="N17" s="370">
        <f>[3]Brewhouse!$Z710</f>
        <v>0.4916666666666667</v>
      </c>
      <c r="O17" s="420" t="str">
        <f>[3]Brewhouse!$AX710</f>
        <v>R. Regis</v>
      </c>
      <c r="P17" s="418" t="s">
        <v>172</v>
      </c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5" customHeight="1">
      <c r="B18" s="29" t="s">
        <v>6</v>
      </c>
      <c r="C18" s="366" t="str">
        <f>[3]Brewhouse!$A711</f>
        <v>CA662</v>
      </c>
      <c r="D18" s="279">
        <f>[3]Brewhouse!$AF711</f>
        <v>48</v>
      </c>
      <c r="E18" s="279">
        <f>[3]Brewhouse!$AI711</f>
        <v>48.7</v>
      </c>
      <c r="F18" s="278">
        <f>[3]Brewhouse!$V711</f>
        <v>60</v>
      </c>
      <c r="G18" s="488">
        <f>[3]Brewhouse!AG711</f>
        <v>12</v>
      </c>
      <c r="H18" s="396"/>
      <c r="I18" s="368">
        <f>[3]Brewhouse!$AU711</f>
        <v>97.941168938335963</v>
      </c>
      <c r="J18" s="368">
        <f>[3]Brewhouse!$AV711</f>
        <v>98.699981861737058</v>
      </c>
      <c r="K18" s="281">
        <f>[3]Brewhouse!$Q711</f>
        <v>12.444444444444443</v>
      </c>
      <c r="L18" s="276">
        <f>[3]Brewhouse!$P711</f>
        <v>59</v>
      </c>
      <c r="M18" s="374">
        <f>[3]Brewhouse!$U711-[3]Brewhouse!$T711</f>
        <v>0.10486111111111107</v>
      </c>
      <c r="N18" s="370">
        <f>[3]Brewhouse!$Z711</f>
        <v>0.51111111111111107</v>
      </c>
      <c r="O18" s="420" t="str">
        <f>[3]Brewhouse!$AX711</f>
        <v>R. Regis</v>
      </c>
      <c r="P18" s="418"/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7" ht="15" customHeight="1">
      <c r="B19" s="22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ref="R19:R34" si="9">B19</f>
        <v>0</v>
      </c>
      <c r="S19" s="472" t="e">
        <f t="shared" ref="S19:S34" si="10">VLOOKUP($B19,$R$3:$X$9,2,FALSE)</f>
        <v>#N/A</v>
      </c>
      <c r="T19" s="472" t="e">
        <f t="shared" ref="T19:T34" si="11">VLOOKUP($B19,$R$3:$X$9,3,FALSE)</f>
        <v>#N/A</v>
      </c>
      <c r="U19" s="297" t="e">
        <f t="shared" ref="U19:U34" si="12">VLOOKUP($B19,$R$3:$X$9,4,FALSE)</f>
        <v>#N/A</v>
      </c>
      <c r="V19" s="297" t="e">
        <f t="shared" ref="V19:V34" si="13">VLOOKUP($B19,$R$3:$X$9,5,FALSE)</f>
        <v>#N/A</v>
      </c>
      <c r="W19" s="297" t="e">
        <f t="shared" ref="W19:W34" si="14">VLOOKUP($B19,$R$3:$X$9,6,FALSE)</f>
        <v>#N/A</v>
      </c>
      <c r="X19" s="297" t="e">
        <f t="shared" ref="X19:X34" si="15">VLOOKUP($B19,$R$3:$X$9,7,FALSE)</f>
        <v>#N/A</v>
      </c>
      <c r="Y19" s="297" t="e">
        <f t="shared" ref="Y19:Y34" si="16">VLOOKUP($B19,$R$3:$Z$9,8,FALSE)</f>
        <v>#N/A</v>
      </c>
      <c r="Z19" s="472" t="e">
        <f t="shared" ref="Z19:Z34" si="17">VLOOKUP($B19,$R$3:$Z$9,9,FALSE)</f>
        <v>#N/A</v>
      </c>
    </row>
    <row r="20" spans="1:27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7.25" customHeight="1" thickBot="1">
      <c r="B21" s="358"/>
      <c r="C21" s="358"/>
      <c r="D21" s="358"/>
      <c r="E21" s="358"/>
      <c r="F21" s="294"/>
      <c r="G21" s="294"/>
      <c r="H21" s="348"/>
      <c r="I21" s="534"/>
      <c r="J21" s="534"/>
      <c r="K21" s="534"/>
      <c r="L21" s="534"/>
      <c r="M21" s="534"/>
      <c r="N21" s="534"/>
      <c r="O21" s="1"/>
      <c r="P21" s="12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7.25" customHeight="1" thickBot="1">
      <c r="B22" s="483" t="s">
        <v>162</v>
      </c>
      <c r="C22" s="388"/>
      <c r="D22" s="535" t="s">
        <v>35</v>
      </c>
      <c r="E22" s="536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9"/>
        <v xml:space="preserve">BRAND 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7.25" customHeight="1">
      <c r="A23" s="28"/>
      <c r="B23" s="537"/>
      <c r="C23" s="484"/>
      <c r="D23" s="522"/>
      <c r="E23" s="523"/>
      <c r="F23" s="294"/>
      <c r="G23" s="294"/>
      <c r="H23" s="348"/>
      <c r="I23" s="29" t="s">
        <v>6</v>
      </c>
      <c r="J23" s="323">
        <f>AVERAGE(I10:I17)</f>
        <v>97.664185516070106</v>
      </c>
      <c r="K23" s="284">
        <f>COUNTA([3]Brewhouse!$A$696:$A$711)</f>
        <v>16</v>
      </c>
      <c r="L23" s="305">
        <f>AVERAGE([3]Brewhouse!$AU$696:$AU$711)</f>
        <v>97.864309917198995</v>
      </c>
      <c r="M23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AVERAGE([3]Brewhouse!$AU$42:$AU$123,[3]Brewhouse!$AU$125:$AU$188,[3]Brewhouse!$AU$198:$AU$290,[3]Brewhouse!$AU$292:$AU$370,[3]Brewhouse!$AU$372:$AU$439,[3]Brewhouse!$AU$441:$AU$497,[3]Brewhouse!$AU$499:$AU$519,[3]Brewhouse!$AU$521:$AU$593,[3]Brewhouse!$AU$595:$AU$711)</f>
        <v>98.275568003402569</v>
      </c>
      <c r="N23" s="30">
        <v>98</v>
      </c>
      <c r="O23" s="11"/>
      <c r="P23" s="31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5" customHeight="1">
      <c r="A24" s="28"/>
      <c r="B24" s="538"/>
      <c r="C24" s="362"/>
      <c r="D24" s="524"/>
      <c r="E24" s="525"/>
      <c r="F24" s="294"/>
      <c r="G24" s="294"/>
      <c r="H24" s="348"/>
      <c r="I24" s="33" t="s">
        <v>9</v>
      </c>
      <c r="J24" s="323"/>
      <c r="K24" s="284"/>
      <c r="L24" s="302"/>
      <c r="M24" s="302">
        <f>AVERAGE([4]Brewhouse!$AS$52:$AS$81,[4]Brewhouse!$AS$83:$AS$124,[4]Brewhouse!$AS$134:$AS$177,[4]Brewhouse!$AS$22:$AS$179,[4]Brewhouse!$AS$214:$AS$249,[4]Brewhouse!$AS$252:$AS$293,[4]Brewhouse!$AS$295:$AS$325,[4]Brewhouse!$AS$327:$AS$361)</f>
        <v>98.239656393693409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4.65" customHeight="1">
      <c r="A25" s="28"/>
      <c r="B25" s="538"/>
      <c r="C25" s="362"/>
      <c r="D25" s="529"/>
      <c r="E25" s="530"/>
      <c r="F25" s="294"/>
      <c r="G25" s="294"/>
      <c r="H25" s="348"/>
      <c r="I25" s="34" t="s">
        <v>12</v>
      </c>
      <c r="J25" s="323"/>
      <c r="K25" s="284"/>
      <c r="L25" s="302"/>
      <c r="M25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8"/>
      <c r="C26" s="362"/>
      <c r="D26" s="531"/>
      <c r="E26" s="525"/>
      <c r="F26" s="294"/>
      <c r="G26" s="294"/>
      <c r="H26" s="348"/>
      <c r="I26" s="22" t="s">
        <v>33</v>
      </c>
      <c r="J26" s="280"/>
      <c r="K26" s="284"/>
      <c r="L26" s="302"/>
      <c r="M26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8"/>
      <c r="C27" s="362"/>
      <c r="D27" s="529"/>
      <c r="E27" s="530"/>
      <c r="F27" s="294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8"/>
      <c r="C28" s="362"/>
      <c r="D28" s="531"/>
      <c r="E28" s="525"/>
      <c r="F28" s="417"/>
      <c r="G28" s="294"/>
      <c r="H28" s="348"/>
      <c r="I28" s="36" t="s">
        <v>15</v>
      </c>
      <c r="J28" s="323"/>
      <c r="K28" s="284"/>
      <c r="L28" s="302"/>
      <c r="M28" s="302">
        <f>AVERAGE([7]Brewhouse!$AT$4:$AT$11,[7]Brewhouse!$AT$13:$AT$16,[7]Brewhouse!$AT$18:$AT$21)</f>
        <v>91.832675391763644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38"/>
      <c r="C29" s="362"/>
      <c r="D29" s="529"/>
      <c r="E29" s="530"/>
      <c r="F29" s="417"/>
      <c r="G29" s="294"/>
      <c r="H29" s="348"/>
      <c r="I29" s="37" t="s">
        <v>16</v>
      </c>
      <c r="J29" s="323"/>
      <c r="K29" s="284"/>
      <c r="L29" s="302"/>
      <c r="M29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29" s="30">
        <v>98</v>
      </c>
      <c r="O29" s="11"/>
      <c r="P29" s="31" t="s">
        <v>41</v>
      </c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38"/>
      <c r="C30" s="362"/>
      <c r="D30" s="531"/>
      <c r="E30" s="525"/>
      <c r="F30" s="294"/>
      <c r="G30" s="294"/>
      <c r="H30" s="348"/>
      <c r="I30" s="411" t="s">
        <v>158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38"/>
      <c r="C31" s="362"/>
      <c r="D31" s="529"/>
      <c r="E31" s="530"/>
      <c r="F31" s="294"/>
      <c r="G31" s="294"/>
      <c r="H31" s="348"/>
      <c r="I31" s="410" t="s">
        <v>157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  <c r="AA31" s="472"/>
    </row>
    <row r="32" spans="1:27" ht="15" customHeight="1" thickBot="1">
      <c r="A32" s="28"/>
      <c r="B32" s="538"/>
      <c r="C32" s="362"/>
      <c r="D32" s="531"/>
      <c r="E32" s="525"/>
      <c r="F32" s="294"/>
      <c r="G32" s="294"/>
      <c r="H32" s="348"/>
      <c r="I32" s="406" t="s">
        <v>156</v>
      </c>
      <c r="J32" s="327"/>
      <c r="K32" s="407"/>
      <c r="L32" s="408"/>
      <c r="M32" s="408"/>
      <c r="N32" s="409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38"/>
      <c r="C33" s="349"/>
      <c r="D33" s="522"/>
      <c r="E33" s="523"/>
      <c r="F33" s="294"/>
      <c r="G33" s="294"/>
      <c r="H33" s="348"/>
      <c r="I33" s="1"/>
      <c r="J33" s="39"/>
      <c r="K33" s="404">
        <f>SUM(K23:K32)</f>
        <v>16</v>
      </c>
      <c r="L33" s="405">
        <f>((L23*K23)+(L24*K24)+(L25*K25)+(L26*K26)+(L27*K27)+(K30*L30)+(L28*K28)+(L29*K29)+(L32*K32))/(K33)</f>
        <v>97.864309917198995</v>
      </c>
      <c r="M33" s="405">
        <f>AVERAGE('[9]Jan30th-31st'!$L$42,'[10]Feb 27th-28th'!$L$45,'[11]Mar 31st'!$L$42,'[12]Apr 30th'!$L$41,'[13]May 29th '!$L$35,'[14]June 30th'!$L$32,[15]July31st!$L$36,'[16]Aug 31st'!$L$32,L33)</f>
        <v>97.968515983542318</v>
      </c>
      <c r="N33" s="4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.75" thickBot="1">
      <c r="B34" s="539"/>
      <c r="C34" s="350"/>
      <c r="D34" s="524"/>
      <c r="E34" s="525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19"/>
      <c r="C35" s="362"/>
      <c r="D35" s="522"/>
      <c r="E35" s="523"/>
      <c r="F35" s="294"/>
      <c r="G35" s="42"/>
      <c r="H35" s="41"/>
      <c r="I35" s="42"/>
      <c r="J35" s="526" t="s">
        <v>129</v>
      </c>
      <c r="K35" s="526"/>
      <c r="L35" s="294"/>
      <c r="M35" s="294"/>
      <c r="N35" s="294"/>
      <c r="O35" s="294"/>
      <c r="P35" s="12"/>
    </row>
    <row r="36" spans="1:56" ht="15.75" thickBot="1">
      <c r="B36" s="520"/>
      <c r="C36" s="362"/>
      <c r="D36" s="524"/>
      <c r="E36" s="525"/>
      <c r="F36" s="294"/>
      <c r="G36" s="42"/>
      <c r="H36" s="42"/>
      <c r="I36" s="42"/>
      <c r="J36" s="292" t="s">
        <v>17</v>
      </c>
      <c r="K36" s="293"/>
      <c r="L36" s="527" t="s">
        <v>136</v>
      </c>
      <c r="M36" s="527"/>
      <c r="N36" s="528"/>
      <c r="O36" s="294"/>
      <c r="P36" s="12"/>
    </row>
    <row r="37" spans="1:56" ht="15" customHeight="1" thickBot="1">
      <c r="B37" s="520"/>
      <c r="C37" s="349"/>
      <c r="D37" s="529"/>
      <c r="E37" s="530"/>
      <c r="F37" s="294"/>
      <c r="G37" s="42"/>
      <c r="H37" s="42"/>
      <c r="I37" s="42"/>
      <c r="J37" s="287" t="s">
        <v>6</v>
      </c>
      <c r="K37" s="324">
        <v>9</v>
      </c>
      <c r="L37" s="473" t="s">
        <v>37</v>
      </c>
      <c r="M37" s="474" t="s">
        <v>38</v>
      </c>
      <c r="N37" s="474" t="s">
        <v>84</v>
      </c>
      <c r="O37" s="294"/>
      <c r="P37" s="12"/>
    </row>
    <row r="38" spans="1:56" ht="15.75" customHeight="1" thickBot="1">
      <c r="B38" s="520"/>
      <c r="C38" s="349"/>
      <c r="D38" s="531"/>
      <c r="E38" s="525"/>
      <c r="F38" s="294"/>
      <c r="G38" s="42"/>
      <c r="H38" s="42"/>
      <c r="I38" s="42"/>
      <c r="J38" s="345" t="s">
        <v>9</v>
      </c>
      <c r="K38" s="324"/>
      <c r="L38" s="485">
        <f>AVERAGE('Sept 1st'!K45,K47)</f>
        <v>8</v>
      </c>
      <c r="M38" s="486">
        <f>AVERAGE('[9]Jan30th-31st'!$L$47,L38,'[10]Feb 26th '!$L$39,'[11]Mar 31st'!$L$47,'[12]Apr 30th'!$L$46,'[13]May 29th '!$L$40,'[14]June 30th'!$L$39,[15]July31st!$L$41,'[16]Aug 31st'!$L$37)</f>
        <v>6.6266781527651091</v>
      </c>
      <c r="N38" s="416">
        <v>9.1999999999999993</v>
      </c>
      <c r="O38" s="294"/>
      <c r="P38" s="12"/>
    </row>
    <row r="39" spans="1:56" ht="15" customHeight="1">
      <c r="B39" s="520"/>
      <c r="C39" s="349"/>
      <c r="D39" s="529"/>
      <c r="E39" s="530"/>
      <c r="F39" s="294"/>
      <c r="G39" s="42"/>
      <c r="H39" s="42"/>
      <c r="I39" s="42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20"/>
      <c r="C40" s="349"/>
      <c r="D40" s="531"/>
      <c r="E40" s="525"/>
      <c r="F40" s="294"/>
      <c r="G40" s="42"/>
      <c r="H40" s="42"/>
      <c r="I40" s="42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20"/>
      <c r="C41" s="349"/>
      <c r="D41" s="529"/>
      <c r="E41" s="530"/>
      <c r="F41" s="294"/>
      <c r="G41" s="42"/>
      <c r="H41" s="42"/>
      <c r="I41" s="42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5">
      <c r="B42" s="520"/>
      <c r="C42" s="349"/>
      <c r="D42" s="531"/>
      <c r="E42" s="525"/>
      <c r="F42" s="294"/>
      <c r="G42" s="42"/>
      <c r="H42" s="42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0"/>
      <c r="C43" s="349"/>
      <c r="D43" s="529"/>
      <c r="E43" s="530"/>
      <c r="F43" s="294"/>
      <c r="G43" s="42"/>
      <c r="H43" s="42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21"/>
      <c r="C44" s="350"/>
      <c r="D44" s="532"/>
      <c r="E44" s="533"/>
      <c r="F44" s="294" t="s">
        <v>165</v>
      </c>
      <c r="G44" s="42"/>
      <c r="H44" s="42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10"/>
      <c r="E45" s="511"/>
      <c r="F45" s="294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2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2"/>
      <c r="I47" s="42"/>
      <c r="J47" s="346" t="s">
        <v>130</v>
      </c>
      <c r="K47" s="324">
        <f>SUM(K37:K46)</f>
        <v>9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42"/>
      <c r="N48" s="315"/>
      <c r="P48" s="334"/>
    </row>
    <row r="49" spans="2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2:57" ht="15" customHeight="1" thickBot="1">
      <c r="B50" s="504" t="s">
        <v>17</v>
      </c>
      <c r="C50" s="504" t="s">
        <v>44</v>
      </c>
      <c r="D50" s="513" t="s">
        <v>45</v>
      </c>
      <c r="E50" s="515" t="s">
        <v>46</v>
      </c>
      <c r="F50" s="517" t="s">
        <v>47</v>
      </c>
      <c r="G50" s="502" t="s">
        <v>48</v>
      </c>
      <c r="H50" s="504" t="s">
        <v>49</v>
      </c>
      <c r="I50" s="504" t="s">
        <v>50</v>
      </c>
      <c r="J50" s="496" t="s">
        <v>28</v>
      </c>
      <c r="K50" s="506" t="s">
        <v>51</v>
      </c>
      <c r="L50" s="508" t="s">
        <v>52</v>
      </c>
      <c r="M50" s="496" t="s">
        <v>53</v>
      </c>
      <c r="N50" s="13"/>
      <c r="O50" s="13"/>
      <c r="P50" s="50"/>
    </row>
    <row r="51" spans="2:57" ht="28.5" customHeight="1" thickTop="1" thickBot="1">
      <c r="B51" s="505"/>
      <c r="C51" s="512"/>
      <c r="D51" s="514"/>
      <c r="E51" s="516"/>
      <c r="F51" s="518"/>
      <c r="G51" s="503"/>
      <c r="H51" s="505"/>
      <c r="I51" s="505"/>
      <c r="J51" s="497"/>
      <c r="K51" s="507"/>
      <c r="L51" s="509"/>
      <c r="M51" s="497"/>
      <c r="N51" s="13"/>
      <c r="O51" s="13"/>
      <c r="P51" s="50"/>
      <c r="Q51" s="355"/>
      <c r="AB51" s="475">
        <v>43474</v>
      </c>
      <c r="AC51" s="475">
        <v>43475</v>
      </c>
      <c r="AD51" s="475">
        <v>43476</v>
      </c>
      <c r="AE51" s="475">
        <v>43477</v>
      </c>
      <c r="AF51" s="475">
        <v>43478</v>
      </c>
      <c r="AG51" s="475">
        <v>43479</v>
      </c>
      <c r="AH51" s="475">
        <v>43480</v>
      </c>
      <c r="AI51" s="475">
        <v>43481</v>
      </c>
      <c r="AJ51" s="475">
        <v>43482</v>
      </c>
      <c r="AK51" s="475">
        <v>43483</v>
      </c>
      <c r="AL51" s="475">
        <v>43484</v>
      </c>
      <c r="AM51" s="475">
        <v>43485</v>
      </c>
      <c r="AN51" s="475">
        <v>43486</v>
      </c>
      <c r="AO51" s="475">
        <v>43487</v>
      </c>
      <c r="AP51" s="475">
        <v>43488</v>
      </c>
      <c r="AQ51" s="475">
        <v>43489</v>
      </c>
      <c r="AR51" s="475">
        <v>43490</v>
      </c>
      <c r="AS51" s="475">
        <v>43491</v>
      </c>
      <c r="AT51" s="475">
        <v>43492</v>
      </c>
      <c r="AU51" s="475">
        <v>43493</v>
      </c>
      <c r="AV51" s="475">
        <v>43494</v>
      </c>
      <c r="AW51" s="475">
        <v>43495</v>
      </c>
      <c r="AX51" s="475">
        <v>43496</v>
      </c>
    </row>
    <row r="52" spans="2:57" s="54" customFormat="1" ht="36.75" customHeight="1" thickBot="1">
      <c r="B52" s="456" t="str">
        <f>J37</f>
        <v>CARIB</v>
      </c>
      <c r="C52" s="479">
        <v>46267</v>
      </c>
      <c r="D52" s="445">
        <f>[17]September_2026!$E$3</f>
        <v>400.4</v>
      </c>
      <c r="E52" s="443"/>
      <c r="F52" s="444"/>
      <c r="G52" s="444">
        <f>[17]September_2026!$E$7</f>
        <v>369.80000000000007</v>
      </c>
      <c r="H52" s="458"/>
      <c r="I52" s="458"/>
      <c r="J52" s="448" t="s">
        <v>171</v>
      </c>
      <c r="K52" s="449"/>
      <c r="L52" s="457">
        <f>(((D52+E52)-G52)/(D52+E52))*100</f>
        <v>7.6423576423576192</v>
      </c>
      <c r="M52" s="455" t="s">
        <v>170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[19]January_2019!L5</f>
        <v>0</v>
      </c>
      <c r="AC52" s="57">
        <f>[19]January_2019!M5</f>
        <v>0</v>
      </c>
      <c r="AD52" s="57">
        <f>[19]January_2019!N5</f>
        <v>0</v>
      </c>
      <c r="AE52" s="57">
        <f>[19]January_2019!O5</f>
        <v>0</v>
      </c>
      <c r="AF52" s="57">
        <f>[19]January_2019!P5</f>
        <v>0</v>
      </c>
      <c r="AG52" s="57">
        <f>[19]January_2019!Q5</f>
        <v>0</v>
      </c>
      <c r="AH52" s="57">
        <f>[19]January_2019!R5</f>
        <v>0</v>
      </c>
      <c r="AI52" s="57">
        <f>[19]January_2019!S5</f>
        <v>0</v>
      </c>
      <c r="AJ52" s="57">
        <f>[19]January_2019!T5</f>
        <v>0</v>
      </c>
      <c r="AK52" s="57">
        <f>[19]January_2019!U5</f>
        <v>0</v>
      </c>
      <c r="AL52" s="57">
        <f>[19]January_2019!V5</f>
        <v>0</v>
      </c>
      <c r="AM52" s="57">
        <f>[19]January_2019!W5</f>
        <v>0</v>
      </c>
      <c r="AN52" s="57">
        <f>[19]January_2019!X5</f>
        <v>0</v>
      </c>
      <c r="AO52" s="57">
        <f>[19]January_2019!Y5</f>
        <v>0</v>
      </c>
      <c r="AP52" s="57">
        <f>[19]January_2019!Z5</f>
        <v>0</v>
      </c>
      <c r="AQ52" s="57">
        <f>[19]January_2019!AA5</f>
        <v>0</v>
      </c>
      <c r="AR52" s="57">
        <f>[19]January_2019!AB5</f>
        <v>0</v>
      </c>
      <c r="AS52" s="57">
        <f>[19]January_2019!AC5</f>
        <v>0</v>
      </c>
      <c r="AT52" s="57">
        <f>[19]January_2019!AD5</f>
        <v>0</v>
      </c>
      <c r="AU52" s="57">
        <f>[19]January_2019!AE5</f>
        <v>0</v>
      </c>
      <c r="AV52" s="57">
        <f>[19]January_2019!AF5</f>
        <v>0</v>
      </c>
      <c r="AW52" s="57">
        <f>[19]January_2019!AG5</f>
        <v>0</v>
      </c>
      <c r="AX52" s="277">
        <f>[19]January_2019!AH5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4.25" customHeight="1" thickBot="1">
      <c r="B53" s="480"/>
      <c r="C53" s="479"/>
      <c r="D53" s="442"/>
      <c r="E53" s="443"/>
      <c r="F53" s="444"/>
      <c r="G53" s="445"/>
      <c r="H53" s="458"/>
      <c r="I53" s="458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[19]January_2019!L6</f>
        <v>0</v>
      </c>
      <c r="AC53" s="57">
        <f>[19]January_2019!M6</f>
        <v>0</v>
      </c>
      <c r="AD53" s="57">
        <f>[19]January_2019!N6</f>
        <v>0</v>
      </c>
      <c r="AE53" s="57">
        <f>[19]January_2019!O6</f>
        <v>0</v>
      </c>
      <c r="AF53" s="57">
        <f>[19]January_2019!P6</f>
        <v>0</v>
      </c>
      <c r="AG53" s="57">
        <f>[19]January_2019!Q6</f>
        <v>0</v>
      </c>
      <c r="AH53" s="57">
        <f>[19]January_2019!R6</f>
        <v>0</v>
      </c>
      <c r="AI53" s="57">
        <f>[19]January_2019!S6</f>
        <v>0</v>
      </c>
      <c r="AJ53" s="57">
        <f>[19]January_2019!T6</f>
        <v>0</v>
      </c>
      <c r="AK53" s="57">
        <f>[19]January_2019!U6</f>
        <v>0</v>
      </c>
      <c r="AL53" s="57">
        <f>[19]January_2019!V6</f>
        <v>0</v>
      </c>
      <c r="AM53" s="57">
        <f>[19]January_2019!W6</f>
        <v>0</v>
      </c>
      <c r="AN53" s="57">
        <f>[19]January_2019!X6</f>
        <v>0</v>
      </c>
      <c r="AO53" s="57">
        <f>[19]January_2019!Y6</f>
        <v>0</v>
      </c>
      <c r="AP53" s="57">
        <f>[19]January_2019!Z6</f>
        <v>0</v>
      </c>
      <c r="AQ53" s="57">
        <f>[19]January_2019!AA6</f>
        <v>0</v>
      </c>
      <c r="AR53" s="57">
        <f>[19]January_2019!AB6</f>
        <v>0</v>
      </c>
      <c r="AS53" s="57">
        <f>[19]January_2019!AC6</f>
        <v>0</v>
      </c>
      <c r="AT53" s="57">
        <f>[19]January_2019!AD6</f>
        <v>0</v>
      </c>
      <c r="AU53" s="57">
        <f>[19]January_2019!AE6</f>
        <v>0</v>
      </c>
      <c r="AV53" s="57">
        <f>[19]January_2019!AF6</f>
        <v>0</v>
      </c>
      <c r="AW53" s="57">
        <f>[19]January_2019!AG6</f>
        <v>0</v>
      </c>
      <c r="AX53" s="277">
        <f>[19]January_2019!AH6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37.15" customHeight="1" thickBot="1">
      <c r="B54" s="456"/>
      <c r="C54" s="479"/>
      <c r="D54" s="442"/>
      <c r="E54" s="443"/>
      <c r="F54" s="444"/>
      <c r="G54" s="444"/>
      <c r="H54" s="446"/>
      <c r="I54" s="446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[19]January_2019!L7</f>
        <v>285.8</v>
      </c>
      <c r="AC54" s="57">
        <f>[19]January_2019!M7</f>
        <v>508.1</v>
      </c>
      <c r="AD54" s="57">
        <f>[19]January_2019!N7</f>
        <v>0</v>
      </c>
      <c r="AE54" s="57">
        <f>[19]January_2019!O7</f>
        <v>0</v>
      </c>
      <c r="AF54" s="57">
        <f>[19]January_2019!P7</f>
        <v>109.56666666666666</v>
      </c>
      <c r="AG54" s="57">
        <f>[19]January_2019!Q7</f>
        <v>297.64999999999998</v>
      </c>
      <c r="AH54" s="57">
        <f>[19]January_2019!R7</f>
        <v>122.3</v>
      </c>
      <c r="AI54" s="57">
        <f>[19]January_2019!S7</f>
        <v>0</v>
      </c>
      <c r="AJ54" s="57">
        <f>[19]January_2019!T7</f>
        <v>294.7</v>
      </c>
      <c r="AK54" s="57">
        <f>[19]January_2019!U7</f>
        <v>280.5</v>
      </c>
      <c r="AL54" s="57">
        <f>[19]January_2019!V7</f>
        <v>0</v>
      </c>
      <c r="AM54" s="57">
        <f>[19]January_2019!W7</f>
        <v>0</v>
      </c>
      <c r="AN54" s="57">
        <f>[19]January_2019!X7</f>
        <v>188.25</v>
      </c>
      <c r="AO54" s="57">
        <f>[19]January_2019!Y7</f>
        <v>295.7</v>
      </c>
      <c r="AP54" s="57">
        <f>[19]January_2019!Z7</f>
        <v>257.8</v>
      </c>
      <c r="AQ54" s="57">
        <f>[19]January_2019!AA7</f>
        <v>291.2</v>
      </c>
      <c r="AR54" s="57">
        <f>[19]January_2019!AB7</f>
        <v>187</v>
      </c>
      <c r="AS54" s="57">
        <f>[19]January_2019!AC7</f>
        <v>0</v>
      </c>
      <c r="AT54" s="57">
        <f>[19]January_2019!AD7</f>
        <v>0</v>
      </c>
      <c r="AU54" s="57">
        <f>[19]January_2019!AE7</f>
        <v>485.1</v>
      </c>
      <c r="AV54" s="57">
        <f>[19]January_2019!AF7</f>
        <v>171.55</v>
      </c>
      <c r="AW54" s="57">
        <f>[19]January_2019!AG7</f>
        <v>423.8</v>
      </c>
      <c r="AX54" s="277">
        <f>[19]January_2019!AH7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8.600000000000001" hidden="1" customHeight="1" thickBot="1">
      <c r="B55" s="478"/>
      <c r="C55" s="430"/>
      <c r="D55" s="431"/>
      <c r="E55" s="432"/>
      <c r="F55" s="433"/>
      <c r="G55" s="434"/>
      <c r="H55" s="458"/>
      <c r="I55" s="45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65" hidden="1" customHeight="1" thickBot="1">
      <c r="B56" s="487"/>
      <c r="C56" s="479"/>
      <c r="D56" s="442"/>
      <c r="E56" s="443"/>
      <c r="F56" s="444"/>
      <c r="G56" s="445"/>
      <c r="H56" s="458"/>
      <c r="I56" s="458"/>
      <c r="J56" s="448"/>
      <c r="K56" s="45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81"/>
      <c r="C58" s="479"/>
      <c r="D58" s="442"/>
      <c r="E58" s="443"/>
      <c r="F58" s="444"/>
      <c r="G58" s="445"/>
      <c r="H58" s="446"/>
      <c r="I58" s="447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66"/>
      <c r="C61" s="430"/>
      <c r="D61" s="460"/>
      <c r="E61" s="461"/>
      <c r="F61" s="462"/>
      <c r="G61" s="460"/>
      <c r="H61" s="463"/>
      <c r="I61" s="463"/>
      <c r="J61" s="463"/>
      <c r="K61" s="464"/>
      <c r="L61" s="465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498" t="s">
        <v>55</v>
      </c>
      <c r="C63" s="499"/>
      <c r="D63" s="499"/>
      <c r="E63" s="499"/>
      <c r="F63" s="500"/>
      <c r="G63" s="498" t="s">
        <v>56</v>
      </c>
      <c r="H63" s="499"/>
      <c r="I63" s="499"/>
      <c r="J63" s="500"/>
      <c r="K63" s="498" t="s">
        <v>51</v>
      </c>
      <c r="L63" s="499"/>
      <c r="M63" s="499"/>
      <c r="N63" s="501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/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>
        <f>L52</f>
        <v>7.6423576423576192</v>
      </c>
      <c r="D65" s="76">
        <v>7.4556506636893838</v>
      </c>
      <c r="E65" s="76">
        <v>6.5474778039534414</v>
      </c>
      <c r="F65" s="66">
        <v>4.8</v>
      </c>
      <c r="G65" s="65"/>
      <c r="H65" s="477">
        <v>6.7445156519595884</v>
      </c>
      <c r="I65" s="477">
        <v>6.6531065401354397</v>
      </c>
      <c r="J65" s="66">
        <v>4.8</v>
      </c>
      <c r="K65" s="67"/>
      <c r="L65" s="194">
        <v>0.33</v>
      </c>
      <c r="M65" s="194">
        <v>0.5236163256450509</v>
      </c>
      <c r="N65" s="68">
        <v>1</v>
      </c>
      <c r="O65" s="56"/>
      <c r="P65" s="69"/>
    </row>
    <row r="66" spans="2:16" ht="15">
      <c r="B66" s="33" t="s">
        <v>9</v>
      </c>
      <c r="C66" s="65"/>
      <c r="D66" s="76"/>
      <c r="E66" s="76">
        <v>5.7899437818525694</v>
      </c>
      <c r="F66" s="66">
        <v>4.8</v>
      </c>
      <c r="G66" s="65"/>
      <c r="H66" s="76"/>
      <c r="I66" s="76">
        <v>5.9483336713979043</v>
      </c>
      <c r="J66" s="66">
        <v>4.8</v>
      </c>
      <c r="K66" s="67"/>
      <c r="L66" s="194"/>
      <c r="M66" s="194">
        <v>0.69969789623338174</v>
      </c>
      <c r="N66" s="68">
        <v>1</v>
      </c>
      <c r="P66" s="69"/>
    </row>
    <row r="67" spans="2:16" ht="15">
      <c r="B67" s="34" t="s">
        <v>40</v>
      </c>
      <c r="C67" s="65"/>
      <c r="D67" s="76"/>
      <c r="E67" s="76">
        <v>11.277593164016125</v>
      </c>
      <c r="F67" s="66">
        <v>5.5</v>
      </c>
      <c r="G67" s="65"/>
      <c r="H67" s="76"/>
      <c r="I67" s="76">
        <v>11.857907912244482</v>
      </c>
      <c r="J67" s="66">
        <v>5.5</v>
      </c>
      <c r="K67" s="67"/>
      <c r="L67" s="194"/>
      <c r="M67" s="194">
        <v>0.35370190356844494</v>
      </c>
      <c r="N67" s="68">
        <v>1</v>
      </c>
      <c r="P67" s="69"/>
    </row>
    <row r="68" spans="2:16" ht="15">
      <c r="B68" s="22" t="s">
        <v>33</v>
      </c>
      <c r="C68" s="65"/>
      <c r="D68" s="76"/>
      <c r="E68" s="76">
        <v>4.8685538193023836</v>
      </c>
      <c r="F68" s="66">
        <v>3.3</v>
      </c>
      <c r="G68" s="65"/>
      <c r="H68" s="76"/>
      <c r="I68" s="76">
        <v>4.8702525342252114</v>
      </c>
      <c r="J68" s="66">
        <v>3.3</v>
      </c>
      <c r="K68" s="67"/>
      <c r="L68" s="194"/>
      <c r="M68" s="194">
        <v>0.77919298245614044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/>
      <c r="E70" s="76">
        <v>6.0400197628458603</v>
      </c>
      <c r="F70" s="70">
        <v>5.5</v>
      </c>
      <c r="G70" s="65"/>
      <c r="H70" s="76"/>
      <c r="I70" s="76">
        <v>8.2405787675951316</v>
      </c>
      <c r="J70" s="66">
        <v>5.5</v>
      </c>
      <c r="K70" s="67"/>
      <c r="L70" s="194"/>
      <c r="M70" s="194">
        <v>0.78491228070175445</v>
      </c>
      <c r="N70" s="68">
        <v>1</v>
      </c>
      <c r="P70" s="69"/>
    </row>
    <row r="71" spans="2:16" ht="15">
      <c r="B71" s="37" t="s">
        <v>16</v>
      </c>
      <c r="C71" s="482"/>
      <c r="D71" s="76"/>
      <c r="E71" s="76">
        <v>3.6168923014750334</v>
      </c>
      <c r="F71" s="66">
        <v>3.3</v>
      </c>
      <c r="G71" s="282"/>
      <c r="H71" s="76"/>
      <c r="I71" s="76">
        <v>5.0091179718082053</v>
      </c>
      <c r="J71" s="66">
        <v>3.3</v>
      </c>
      <c r="K71" s="67"/>
      <c r="L71" s="194"/>
      <c r="M71" s="194">
        <v>0.92642300194931759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>
        <v>0</v>
      </c>
      <c r="M73" s="194"/>
      <c r="N73" s="71">
        <v>1</v>
      </c>
      <c r="O73" s="74"/>
      <c r="P73" s="75"/>
    </row>
    <row r="74" spans="2:16" ht="15">
      <c r="D74" s="76">
        <v>7.4556506636893838</v>
      </c>
      <c r="E74" s="76">
        <v>6.3422010033370562</v>
      </c>
      <c r="F74" s="341">
        <v>5.5</v>
      </c>
      <c r="H74" s="76">
        <v>6.7445156519595884</v>
      </c>
      <c r="I74" s="76">
        <v>6.6937814591291902</v>
      </c>
      <c r="J74" s="341">
        <v>5.5</v>
      </c>
      <c r="L74" s="194">
        <v>0.33</v>
      </c>
      <c r="M74" s="194">
        <v>0.59677828832179292</v>
      </c>
      <c r="N74" s="386">
        <v>1</v>
      </c>
    </row>
  </sheetData>
  <mergeCells count="51">
    <mergeCell ref="M50:M51"/>
    <mergeCell ref="B63:F63"/>
    <mergeCell ref="G63:J63"/>
    <mergeCell ref="K63:N63"/>
    <mergeCell ref="G50:G51"/>
    <mergeCell ref="H50:H51"/>
    <mergeCell ref="I50:I51"/>
    <mergeCell ref="J50:J51"/>
    <mergeCell ref="K50:K51"/>
    <mergeCell ref="L50:L51"/>
    <mergeCell ref="F50:F51"/>
    <mergeCell ref="D45:E45"/>
    <mergeCell ref="B50:B51"/>
    <mergeCell ref="C50:C51"/>
    <mergeCell ref="D50:D51"/>
    <mergeCell ref="E50:E51"/>
    <mergeCell ref="B35:B44"/>
    <mergeCell ref="D35:E36"/>
    <mergeCell ref="J35:K35"/>
    <mergeCell ref="L36:N36"/>
    <mergeCell ref="D37:E38"/>
    <mergeCell ref="D39:E40"/>
    <mergeCell ref="D41:E42"/>
    <mergeCell ref="D43:E44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5:B46">
    <cfRule type="cellIs" dxfId="3249" priority="101" operator="notBetween">
      <formula>#REF!</formula>
      <formula>#REF!</formula>
    </cfRule>
  </conditionalFormatting>
  <conditionalFormatting sqref="C49">
    <cfRule type="cellIs" dxfId="3248" priority="183" stopIfTrue="1" operator="lessThan">
      <formula>96</formula>
    </cfRule>
    <cfRule type="cellIs" dxfId="3247" priority="184" stopIfTrue="1" operator="greaterThan">
      <formula>100</formula>
    </cfRule>
  </conditionalFormatting>
  <conditionalFormatting sqref="C65:C66">
    <cfRule type="cellIs" dxfId="3246" priority="64" stopIfTrue="1" operator="greaterThan">
      <formula>$F65</formula>
    </cfRule>
    <cfRule type="cellIs" dxfId="3245" priority="65" stopIfTrue="1" operator="lessThanOrEqual">
      <formula>0</formula>
    </cfRule>
    <cfRule type="cellIs" dxfId="3244" priority="66" stopIfTrue="1" operator="greaterThan">
      <formula>$F65</formula>
    </cfRule>
    <cfRule type="cellIs" dxfId="3243" priority="67" stopIfTrue="1" operator="lessThanOrEqual">
      <formula>0</formula>
    </cfRule>
  </conditionalFormatting>
  <conditionalFormatting sqref="C67:C69 C71:C73">
    <cfRule type="cellIs" dxfId="3242" priority="73" stopIfTrue="1" operator="greaterThan">
      <formula>$F70</formula>
    </cfRule>
  </conditionalFormatting>
  <conditionalFormatting sqref="C67:C69">
    <cfRule type="cellIs" dxfId="3241" priority="74" stopIfTrue="1" operator="lessThanOrEqual">
      <formula>0</formula>
    </cfRule>
  </conditionalFormatting>
  <conditionalFormatting sqref="C70">
    <cfRule type="cellIs" dxfId="3240" priority="185" stopIfTrue="1" operator="greaterThan">
      <formula>$F65</formula>
    </cfRule>
    <cfRule type="cellIs" dxfId="3239" priority="186" stopIfTrue="1" operator="lessThanOrEqual">
      <formula>0</formula>
    </cfRule>
    <cfRule type="cellIs" dxfId="3238" priority="187" stopIfTrue="1" operator="greaterThan">
      <formula>$F65</formula>
    </cfRule>
    <cfRule type="cellIs" dxfId="3237" priority="188" stopIfTrue="1" operator="lessThanOrEqual">
      <formula>0</formula>
    </cfRule>
  </conditionalFormatting>
  <conditionalFormatting sqref="C71:C73">
    <cfRule type="cellIs" dxfId="3236" priority="75" stopIfTrue="1" operator="lessThanOrEqual">
      <formula>0</formula>
    </cfRule>
  </conditionalFormatting>
  <conditionalFormatting sqref="C76:C80">
    <cfRule type="cellIs" dxfId="3235" priority="175" stopIfTrue="1" operator="lessThanOrEqual">
      <formula>0</formula>
    </cfRule>
  </conditionalFormatting>
  <conditionalFormatting sqref="C77:C80">
    <cfRule type="cellIs" dxfId="3234" priority="174" stopIfTrue="1" operator="greaterThan">
      <formula>$F$76</formula>
    </cfRule>
  </conditionalFormatting>
  <conditionalFormatting sqref="C82">
    <cfRule type="cellIs" dxfId="3233" priority="176" stopIfTrue="1" operator="greaterThan">
      <formula>$F$76</formula>
    </cfRule>
    <cfRule type="cellIs" dxfId="3232" priority="177" stopIfTrue="1" operator="lessThanOrEqual">
      <formula>0</formula>
    </cfRule>
  </conditionalFormatting>
  <conditionalFormatting sqref="C70:D70">
    <cfRule type="cellIs" dxfId="3231" priority="62" stopIfTrue="1" operator="greaterThan">
      <formula>$J70</formula>
    </cfRule>
    <cfRule type="cellIs" dxfId="3230" priority="63" stopIfTrue="1" operator="lessThanOrEqual">
      <formula>0</formula>
    </cfRule>
  </conditionalFormatting>
  <conditionalFormatting sqref="C76:D76 D78:D84">
    <cfRule type="cellIs" dxfId="3229" priority="169" stopIfTrue="1" operator="greaterThan">
      <formula>4.5</formula>
    </cfRule>
  </conditionalFormatting>
  <conditionalFormatting sqref="D45:D46">
    <cfRule type="cellIs" dxfId="3228" priority="102" operator="notBetween">
      <formula>#REF!</formula>
      <formula>#REF!</formula>
    </cfRule>
  </conditionalFormatting>
  <conditionalFormatting sqref="D65:D69 D71:D72">
    <cfRule type="cellIs" dxfId="3227" priority="72" stopIfTrue="1" operator="lessThanOrEqual">
      <formula>0</formula>
    </cfRule>
  </conditionalFormatting>
  <conditionalFormatting sqref="D65:D69 D71:D74">
    <cfRule type="cellIs" dxfId="3226" priority="68" stopIfTrue="1" operator="lessThanOrEqual">
      <formula>0</formula>
    </cfRule>
    <cfRule type="cellIs" dxfId="3225" priority="69" stopIfTrue="1" operator="greaterThan">
      <formula>$F65</formula>
    </cfRule>
  </conditionalFormatting>
  <conditionalFormatting sqref="D73:D74">
    <cfRule type="cellIs" dxfId="3224" priority="70" stopIfTrue="1" operator="lessThanOrEqual">
      <formula>0</formula>
    </cfRule>
  </conditionalFormatting>
  <conditionalFormatting sqref="D74">
    <cfRule type="cellIs" dxfId="3223" priority="71" stopIfTrue="1" operator="lessThanOrEqual">
      <formula>0</formula>
    </cfRule>
  </conditionalFormatting>
  <conditionalFormatting sqref="D76 D78:D84">
    <cfRule type="cellIs" dxfId="3222" priority="170" stopIfTrue="1" operator="lessThanOrEqual">
      <formula>0</formula>
    </cfRule>
  </conditionalFormatting>
  <conditionalFormatting sqref="D77">
    <cfRule type="cellIs" dxfId="3221" priority="161" stopIfTrue="1" operator="greaterThan">
      <formula>$F$76</formula>
    </cfRule>
    <cfRule type="cellIs" dxfId="3220" priority="162" stopIfTrue="1" operator="lessThanOrEqual">
      <formula>0</formula>
    </cfRule>
  </conditionalFormatting>
  <conditionalFormatting sqref="E10:E20">
    <cfRule type="cellIs" dxfId="3219" priority="9" operator="lessThan">
      <formula>48</formula>
    </cfRule>
  </conditionalFormatting>
  <conditionalFormatting sqref="E48 E49:F49">
    <cfRule type="cellIs" dxfId="3218" priority="166" stopIfTrue="1" operator="greaterThan">
      <formula>100</formula>
    </cfRule>
  </conditionalFormatting>
  <conditionalFormatting sqref="E49">
    <cfRule type="cellIs" dxfId="3217" priority="163" stopIfTrue="1" operator="lessThan">
      <formula>96.8</formula>
    </cfRule>
    <cfRule type="cellIs" dxfId="3216" priority="164" stopIfTrue="1" operator="greaterThan">
      <formula>100</formula>
    </cfRule>
  </conditionalFormatting>
  <conditionalFormatting sqref="E65:E73">
    <cfRule type="cellIs" dxfId="3215" priority="35" stopIfTrue="1" operator="lessThanOrEqual">
      <formula>0</formula>
    </cfRule>
  </conditionalFormatting>
  <conditionalFormatting sqref="E65:E74">
    <cfRule type="cellIs" dxfId="3214" priority="36" stopIfTrue="1" operator="greaterThan">
      <formula>$F65</formula>
    </cfRule>
    <cfRule type="cellIs" dxfId="3213" priority="37" stopIfTrue="1" operator="lessThanOrEqual">
      <formula>0</formula>
    </cfRule>
  </conditionalFormatting>
  <conditionalFormatting sqref="E74">
    <cfRule type="cellIs" dxfId="3212" priority="38" stopIfTrue="1" operator="lessThanOrEqual">
      <formula>0</formula>
    </cfRule>
  </conditionalFormatting>
  <conditionalFormatting sqref="E76:E84">
    <cfRule type="cellIs" dxfId="3211" priority="155" stopIfTrue="1" operator="greaterThan">
      <formula>4.5</formula>
    </cfRule>
    <cfRule type="cellIs" dxfId="3210" priority="156" stopIfTrue="1" operator="lessThanOrEqual">
      <formula>0</formula>
    </cfRule>
  </conditionalFormatting>
  <conditionalFormatting sqref="E49:F49 E48">
    <cfRule type="cellIs" dxfId="3209" priority="165" stopIfTrue="1" operator="lessThan">
      <formula>96.5</formula>
    </cfRule>
  </conditionalFormatting>
  <conditionalFormatting sqref="F10:F20">
    <cfRule type="cellIs" dxfId="3208" priority="12" operator="greaterThan">
      <formula>60</formula>
    </cfRule>
  </conditionalFormatting>
  <conditionalFormatting sqref="F49">
    <cfRule type="cellIs" dxfId="3207" priority="181" stopIfTrue="1" operator="lessThan">
      <formula>96.8</formula>
    </cfRule>
    <cfRule type="cellIs" dxfId="3206" priority="182" stopIfTrue="1" operator="greaterThan">
      <formula>100</formula>
    </cfRule>
  </conditionalFormatting>
  <conditionalFormatting sqref="G19">
    <cfRule type="expression" dxfId="3205" priority="10">
      <formula>IF(+(IF(G19&lt;S19,0,IF(G19&gt;T19,0,1)))=0,1)</formula>
    </cfRule>
  </conditionalFormatting>
  <conditionalFormatting sqref="G65:G68 F74">
    <cfRule type="cellIs" dxfId="3204" priority="44" stopIfTrue="1" operator="greaterThan">
      <formula>$F65</formula>
    </cfRule>
    <cfRule type="cellIs" dxfId="3203" priority="45" stopIfTrue="1" operator="lessThanOrEqual">
      <formula>0</formula>
    </cfRule>
  </conditionalFormatting>
  <conditionalFormatting sqref="G67:G68">
    <cfRule type="cellIs" dxfId="3202" priority="30" stopIfTrue="1" operator="greaterThan">
      <formula>$F67</formula>
    </cfRule>
    <cfRule type="cellIs" dxfId="3201" priority="31" stopIfTrue="1" operator="lessThanOrEqual">
      <formula>0</formula>
    </cfRule>
  </conditionalFormatting>
  <conditionalFormatting sqref="G69:G73">
    <cfRule type="cellIs" dxfId="3200" priority="46" stopIfTrue="1" operator="greaterThan">
      <formula>$J69</formula>
    </cfRule>
    <cfRule type="cellIs" dxfId="3199" priority="47" stopIfTrue="1" operator="lessThanOrEqual">
      <formula>0</formula>
    </cfRule>
  </conditionalFormatting>
  <conditionalFormatting sqref="G70">
    <cfRule type="cellIs" dxfId="3198" priority="189" stopIfTrue="1" operator="greaterThan">
      <formula>$F65</formula>
    </cfRule>
    <cfRule type="cellIs" dxfId="3197" priority="190" stopIfTrue="1" operator="lessThanOrEqual">
      <formula>0</formula>
    </cfRule>
  </conditionalFormatting>
  <conditionalFormatting sqref="G78:G83 C81 C83">
    <cfRule type="cellIs" dxfId="3196" priority="178" stopIfTrue="1" operator="greaterThan">
      <formula>4.5</formula>
    </cfRule>
    <cfRule type="cellIs" dxfId="3195" priority="179" stopIfTrue="1" operator="lessThanOrEqual">
      <formula>0</formula>
    </cfRule>
  </conditionalFormatting>
  <conditionalFormatting sqref="G10:H16 M10:N20 G17:G18 H17:H19 G20:H20">
    <cfRule type="expression" dxfId="3194" priority="11">
      <formula>IF(+(IF(G10&lt;#REF!,0,IF(G10&gt;#REF!,0,1)))=0,1)</formula>
    </cfRule>
  </conditionalFormatting>
  <conditionalFormatting sqref="G77:H77">
    <cfRule type="cellIs" dxfId="3193" priority="159" stopIfTrue="1" operator="greaterThan">
      <formula>$F$76</formula>
    </cfRule>
    <cfRule type="cellIs" dxfId="3192" priority="160" stopIfTrue="1" operator="lessThanOrEqual">
      <formula>0</formula>
    </cfRule>
  </conditionalFormatting>
  <conditionalFormatting sqref="H34:H35 H48">
    <cfRule type="cellIs" dxfId="3191" priority="157" stopIfTrue="1" operator="greaterThan">
      <formula>0</formula>
    </cfRule>
  </conditionalFormatting>
  <conditionalFormatting sqref="H52">
    <cfRule type="cellIs" dxfId="3190" priority="49" stopIfTrue="1" operator="lessThanOrEqual">
      <formula>0</formula>
    </cfRule>
    <cfRule type="cellIs" dxfId="3189" priority="50" stopIfTrue="1" operator="greaterThan">
      <formula>$F$65</formula>
    </cfRule>
    <cfRule type="cellIs" dxfId="3188" priority="58" stopIfTrue="1" operator="greaterThan">
      <formula>$F$68</formula>
    </cfRule>
    <cfRule type="cellIs" dxfId="3187" priority="59" stopIfTrue="1" operator="lessThanOrEqual">
      <formula>0</formula>
    </cfRule>
    <cfRule type="cellIs" dxfId="3186" priority="60" stopIfTrue="1" operator="greaterThan">
      <formula>$F$66</formula>
    </cfRule>
  </conditionalFormatting>
  <conditionalFormatting sqref="H52:H53">
    <cfRule type="cellIs" dxfId="3185" priority="61" stopIfTrue="1" operator="lessThanOrEqual">
      <formula>0</formula>
    </cfRule>
  </conditionalFormatting>
  <conditionalFormatting sqref="H53 H55:H56">
    <cfRule type="cellIs" dxfId="3184" priority="87" stopIfTrue="1" operator="lessThanOrEqual">
      <formula>0</formula>
    </cfRule>
  </conditionalFormatting>
  <conditionalFormatting sqref="H53">
    <cfRule type="cellIs" dxfId="3183" priority="76" stopIfTrue="1" operator="greaterThan">
      <formula>$F$65</formula>
    </cfRule>
    <cfRule type="cellIs" dxfId="3182" priority="84" stopIfTrue="1" operator="greaterThan">
      <formula>$F$68</formula>
    </cfRule>
    <cfRule type="cellIs" dxfId="3181" priority="85" stopIfTrue="1" operator="lessThanOrEqual">
      <formula>0</formula>
    </cfRule>
    <cfRule type="cellIs" dxfId="3180" priority="86" stopIfTrue="1" operator="greaterThan">
      <formula>$F$66</formula>
    </cfRule>
  </conditionalFormatting>
  <conditionalFormatting sqref="H54">
    <cfRule type="cellIs" dxfId="3179" priority="16" stopIfTrue="1" operator="lessThanOrEqual">
      <formula>0</formula>
    </cfRule>
    <cfRule type="cellIs" dxfId="3178" priority="17" stopIfTrue="1" operator="greaterThan">
      <formula>$F$67</formula>
    </cfRule>
    <cfRule type="cellIs" dxfId="3177" priority="25" stopIfTrue="1" operator="greaterThan">
      <formula>$F$70</formula>
    </cfRule>
    <cfRule type="cellIs" dxfId="3176" priority="26" stopIfTrue="1" operator="lessThanOrEqual">
      <formula>0</formula>
    </cfRule>
    <cfRule type="cellIs" dxfId="3175" priority="27" stopIfTrue="1" operator="greaterThan">
      <formula>$F$68</formula>
    </cfRule>
    <cfRule type="cellIs" dxfId="3174" priority="28" stopIfTrue="1" operator="lessThanOrEqual">
      <formula>0</formula>
    </cfRule>
  </conditionalFormatting>
  <conditionalFormatting sqref="H55:H56">
    <cfRule type="cellIs" dxfId="3173" priority="89" stopIfTrue="1" operator="greaterThan">
      <formula>$F$65</formula>
    </cfRule>
    <cfRule type="cellIs" dxfId="3172" priority="97" stopIfTrue="1" operator="greaterThan">
      <formula>$F$68</formula>
    </cfRule>
    <cfRule type="cellIs" dxfId="3171" priority="98" stopIfTrue="1" operator="lessThanOrEqual">
      <formula>0</formula>
    </cfRule>
    <cfRule type="cellIs" dxfId="3170" priority="99" stopIfTrue="1" operator="greaterThan">
      <formula>$F$66</formula>
    </cfRule>
    <cfRule type="cellIs" dxfId="3169" priority="100" stopIfTrue="1" operator="lessThanOrEqual">
      <formula>0</formula>
    </cfRule>
  </conditionalFormatting>
  <conditionalFormatting sqref="H57:H58">
    <cfRule type="cellIs" dxfId="3168" priority="124" stopIfTrue="1" operator="lessThanOrEqual">
      <formula>0</formula>
    </cfRule>
    <cfRule type="cellIs" dxfId="3167" priority="125" stopIfTrue="1" operator="greaterThan">
      <formula>#REF!</formula>
    </cfRule>
    <cfRule type="cellIs" dxfId="3166" priority="133" stopIfTrue="1" operator="greaterThan">
      <formula>#REF!</formula>
    </cfRule>
    <cfRule type="cellIs" dxfId="3165" priority="134" stopIfTrue="1" operator="lessThanOrEqual">
      <formula>0</formula>
    </cfRule>
  </conditionalFormatting>
  <conditionalFormatting sqref="H59">
    <cfRule type="cellIs" dxfId="3164" priority="136" stopIfTrue="1" operator="lessThanOrEqual">
      <formula>0</formula>
    </cfRule>
    <cfRule type="cellIs" dxfId="3163" priority="137" stopIfTrue="1" operator="greaterThan">
      <formula>$F$33</formula>
    </cfRule>
    <cfRule type="cellIs" dxfId="3162" priority="145" stopIfTrue="1" operator="greaterThan">
      <formula>$F$36</formula>
    </cfRule>
    <cfRule type="cellIs" dxfId="3161" priority="146" stopIfTrue="1" operator="lessThanOrEqual">
      <formula>0</formula>
    </cfRule>
    <cfRule type="cellIs" dxfId="3160" priority="147" stopIfTrue="1" operator="greaterThan">
      <formula>$F$34</formula>
    </cfRule>
    <cfRule type="cellIs" dxfId="3159" priority="148" stopIfTrue="1" operator="lessThanOrEqual">
      <formula>0</formula>
    </cfRule>
  </conditionalFormatting>
  <conditionalFormatting sqref="H60:H61">
    <cfRule type="cellIs" dxfId="3158" priority="112" stopIfTrue="1" operator="lessThanOrEqual">
      <formula>0</formula>
    </cfRule>
    <cfRule type="cellIs" dxfId="3157" priority="113" stopIfTrue="1" operator="greaterThan">
      <formula>#REF!</formula>
    </cfRule>
    <cfRule type="cellIs" dxfId="3156" priority="121" stopIfTrue="1" operator="greaterThan">
      <formula>#REF!</formula>
    </cfRule>
    <cfRule type="cellIs" dxfId="3155" priority="122" stopIfTrue="1" operator="lessThanOrEqual">
      <formula>0</formula>
    </cfRule>
  </conditionalFormatting>
  <conditionalFormatting sqref="H76 H78:H84">
    <cfRule type="cellIs" dxfId="3154" priority="171" stopIfTrue="1" operator="greaterThan">
      <formula>4.5</formula>
    </cfRule>
    <cfRule type="cellIs" dxfId="3153" priority="172" stopIfTrue="1" operator="lessThanOrEqual">
      <formula>0</formula>
    </cfRule>
  </conditionalFormatting>
  <conditionalFormatting sqref="H52:I52">
    <cfRule type="cellIs" dxfId="3152" priority="51" stopIfTrue="1" operator="lessThanOrEqual">
      <formula>0</formula>
    </cfRule>
  </conditionalFormatting>
  <conditionalFormatting sqref="H52:I53 H55:I56">
    <cfRule type="cellIs" dxfId="3151" priority="48" stopIfTrue="1" operator="greaterThan">
      <formula>$F$67</formula>
    </cfRule>
  </conditionalFormatting>
  <conditionalFormatting sqref="H53:I53">
    <cfRule type="cellIs" dxfId="3150" priority="77" stopIfTrue="1" operator="lessThanOrEqual">
      <formula>0</formula>
    </cfRule>
  </conditionalFormatting>
  <conditionalFormatting sqref="H54:I54">
    <cfRule type="cellIs" dxfId="3149" priority="15" stopIfTrue="1" operator="greaterThan">
      <formula>$F$69</formula>
    </cfRule>
    <cfRule type="cellIs" dxfId="3148" priority="18" stopIfTrue="1" operator="lessThanOrEqual">
      <formula>0</formula>
    </cfRule>
  </conditionalFormatting>
  <conditionalFormatting sqref="H55:I56">
    <cfRule type="cellIs" dxfId="3147" priority="90" stopIfTrue="1" operator="lessThanOrEqual">
      <formula>0</formula>
    </cfRule>
  </conditionalFormatting>
  <conditionalFormatting sqref="H57:I58">
    <cfRule type="cellIs" dxfId="3146" priority="123" stopIfTrue="1" operator="greaterThan">
      <formula>#REF!</formula>
    </cfRule>
    <cfRule type="cellIs" dxfId="3145" priority="126" stopIfTrue="1" operator="lessThanOrEqual">
      <formula>0</formula>
    </cfRule>
    <cfRule type="cellIs" dxfId="3144" priority="131" stopIfTrue="1" operator="greaterThan">
      <formula>#REF!</formula>
    </cfRule>
    <cfRule type="cellIs" dxfId="3143" priority="132" stopIfTrue="1" operator="lessThanOrEqual">
      <formula>0</formula>
    </cfRule>
  </conditionalFormatting>
  <conditionalFormatting sqref="H59:I59">
    <cfRule type="cellIs" dxfId="3142" priority="135" stopIfTrue="1" operator="greaterThan">
      <formula>$F$35</formula>
    </cfRule>
    <cfRule type="cellIs" dxfId="3141" priority="138" stopIfTrue="1" operator="lessThanOrEqual">
      <formula>0</formula>
    </cfRule>
  </conditionalFormatting>
  <conditionalFormatting sqref="H60:I61">
    <cfRule type="cellIs" dxfId="3140" priority="111" stopIfTrue="1" operator="greaterThan">
      <formula>#REF!</formula>
    </cfRule>
    <cfRule type="cellIs" dxfId="3139" priority="114" stopIfTrue="1" operator="lessThanOrEqual">
      <formula>0</formula>
    </cfRule>
    <cfRule type="cellIs" dxfId="3138" priority="119" stopIfTrue="1" operator="greaterThan">
      <formula>#REF!</formula>
    </cfRule>
    <cfRule type="cellIs" dxfId="3137" priority="120" stopIfTrue="1" operator="lessThanOrEqual">
      <formula>0</formula>
    </cfRule>
  </conditionalFormatting>
  <conditionalFormatting sqref="H65:I72">
    <cfRule type="cellIs" dxfId="3136" priority="33" stopIfTrue="1" operator="greaterThan">
      <formula>$J65</formula>
    </cfRule>
    <cfRule type="cellIs" dxfId="3135" priority="34" stopIfTrue="1" operator="lessThanOrEqual">
      <formula>0</formula>
    </cfRule>
  </conditionalFormatting>
  <conditionalFormatting sqref="H73:I73">
    <cfRule type="cellIs" dxfId="3134" priority="41" operator="greaterThan">
      <formula>5.3</formula>
    </cfRule>
  </conditionalFormatting>
  <conditionalFormatting sqref="H74:I74">
    <cfRule type="cellIs" dxfId="3133" priority="39" stopIfTrue="1" operator="greaterThan">
      <formula>$J74</formula>
    </cfRule>
    <cfRule type="cellIs" dxfId="3132" priority="40" stopIfTrue="1" operator="lessThanOrEqual">
      <formula>0</formula>
    </cfRule>
  </conditionalFormatting>
  <conditionalFormatting sqref="I52">
    <cfRule type="cellIs" dxfId="3131" priority="52" stopIfTrue="1" operator="greaterThan">
      <formula>$F$65</formula>
    </cfRule>
    <cfRule type="cellIs" dxfId="3130" priority="53" stopIfTrue="1" operator="lessThanOrEqual">
      <formula>0</formula>
    </cfRule>
    <cfRule type="cellIs" dxfId="3129" priority="54" stopIfTrue="1" operator="greaterThan">
      <formula>$F$67</formula>
    </cfRule>
    <cfRule type="cellIs" dxfId="3128" priority="55" stopIfTrue="1" operator="lessThanOrEqual">
      <formula>0</formula>
    </cfRule>
    <cfRule type="cellIs" dxfId="3127" priority="56" stopIfTrue="1" operator="greaterThan">
      <formula>$F$65</formula>
    </cfRule>
    <cfRule type="cellIs" dxfId="3126" priority="57" stopIfTrue="1" operator="lessThanOrEqual">
      <formula>0</formula>
    </cfRule>
  </conditionalFormatting>
  <conditionalFormatting sqref="I53">
    <cfRule type="cellIs" dxfId="3125" priority="78" stopIfTrue="1" operator="greaterThan">
      <formula>$F$65</formula>
    </cfRule>
    <cfRule type="cellIs" dxfId="3124" priority="79" stopIfTrue="1" operator="lessThanOrEqual">
      <formula>0</formula>
    </cfRule>
    <cfRule type="cellIs" dxfId="3123" priority="80" stopIfTrue="1" operator="greaterThan">
      <formula>$F$67</formula>
    </cfRule>
    <cfRule type="cellIs" dxfId="3122" priority="81" stopIfTrue="1" operator="lessThanOrEqual">
      <formula>0</formula>
    </cfRule>
    <cfRule type="cellIs" dxfId="3121" priority="82" stopIfTrue="1" operator="greaterThan">
      <formula>$F$65</formula>
    </cfRule>
    <cfRule type="cellIs" dxfId="3120" priority="83" stopIfTrue="1" operator="lessThanOrEqual">
      <formula>0</formula>
    </cfRule>
  </conditionalFormatting>
  <conditionalFormatting sqref="I54">
    <cfRule type="cellIs" dxfId="3119" priority="19" stopIfTrue="1" operator="greaterThan">
      <formula>$F$67</formula>
    </cfRule>
    <cfRule type="cellIs" dxfId="3118" priority="20" stopIfTrue="1" operator="lessThanOrEqual">
      <formula>0</formula>
    </cfRule>
    <cfRule type="cellIs" dxfId="3117" priority="21" stopIfTrue="1" operator="greaterThan">
      <formula>$F$69</formula>
    </cfRule>
    <cfRule type="cellIs" dxfId="3116" priority="22" stopIfTrue="1" operator="lessThanOrEqual">
      <formula>0</formula>
    </cfRule>
    <cfRule type="cellIs" dxfId="3115" priority="23" stopIfTrue="1" operator="greaterThan">
      <formula>$F$67</formula>
    </cfRule>
    <cfRule type="cellIs" dxfId="3114" priority="24" stopIfTrue="1" operator="lessThanOrEqual">
      <formula>0</formula>
    </cfRule>
  </conditionalFormatting>
  <conditionalFormatting sqref="I55:I56">
    <cfRule type="cellIs" dxfId="3113" priority="91" stopIfTrue="1" operator="greaterThan">
      <formula>$F$65</formula>
    </cfRule>
    <cfRule type="cellIs" dxfId="3112" priority="92" stopIfTrue="1" operator="lessThanOrEqual">
      <formula>0</formula>
    </cfRule>
    <cfRule type="cellIs" dxfId="3111" priority="93" stopIfTrue="1" operator="greaterThan">
      <formula>$F$67</formula>
    </cfRule>
    <cfRule type="cellIs" dxfId="3110" priority="94" stopIfTrue="1" operator="lessThanOrEqual">
      <formula>0</formula>
    </cfRule>
    <cfRule type="cellIs" dxfId="3109" priority="95" stopIfTrue="1" operator="greaterThan">
      <formula>$F$65</formula>
    </cfRule>
    <cfRule type="cellIs" dxfId="3108" priority="96" stopIfTrue="1" operator="lessThanOrEqual">
      <formula>0</formula>
    </cfRule>
  </conditionalFormatting>
  <conditionalFormatting sqref="I57:I58">
    <cfRule type="cellIs" dxfId="3107" priority="127" stopIfTrue="1" operator="greaterThan">
      <formula>#REF!</formula>
    </cfRule>
    <cfRule type="cellIs" dxfId="3106" priority="128" stopIfTrue="1" operator="lessThanOrEqual">
      <formula>0</formula>
    </cfRule>
    <cfRule type="cellIs" dxfId="3105" priority="129" stopIfTrue="1" operator="greaterThan">
      <formula>#REF!</formula>
    </cfRule>
    <cfRule type="cellIs" dxfId="3104" priority="130" stopIfTrue="1" operator="lessThanOrEqual">
      <formula>0</formula>
    </cfRule>
  </conditionalFormatting>
  <conditionalFormatting sqref="I59">
    <cfRule type="cellIs" dxfId="3103" priority="139" stopIfTrue="1" operator="greaterThan">
      <formula>$F$33</formula>
    </cfRule>
    <cfRule type="cellIs" dxfId="3102" priority="140" stopIfTrue="1" operator="lessThanOrEqual">
      <formula>0</formula>
    </cfRule>
    <cfRule type="cellIs" dxfId="3101" priority="141" stopIfTrue="1" operator="greaterThan">
      <formula>$F$35</formula>
    </cfRule>
    <cfRule type="cellIs" dxfId="3100" priority="142" stopIfTrue="1" operator="lessThanOrEqual">
      <formula>0</formula>
    </cfRule>
    <cfRule type="cellIs" dxfId="3099" priority="143" stopIfTrue="1" operator="greaterThan">
      <formula>$F$33</formula>
    </cfRule>
    <cfRule type="cellIs" dxfId="3098" priority="144" stopIfTrue="1" operator="lessThanOrEqual">
      <formula>0</formula>
    </cfRule>
  </conditionalFormatting>
  <conditionalFormatting sqref="I60:I61">
    <cfRule type="cellIs" dxfId="3097" priority="115" stopIfTrue="1" operator="greaterThan">
      <formula>#REF!</formula>
    </cfRule>
    <cfRule type="cellIs" dxfId="3096" priority="116" stopIfTrue="1" operator="lessThanOrEqual">
      <formula>0</formula>
    </cfRule>
    <cfRule type="cellIs" dxfId="3095" priority="117" stopIfTrue="1" operator="greaterThan">
      <formula>#REF!</formula>
    </cfRule>
    <cfRule type="cellIs" dxfId="3094" priority="118" stopIfTrue="1" operator="lessThanOrEqual">
      <formula>0</formula>
    </cfRule>
  </conditionalFormatting>
  <conditionalFormatting sqref="I76:I84">
    <cfRule type="cellIs" dxfId="3093" priority="167" stopIfTrue="1" operator="greaterThan">
      <formula>4.5</formula>
    </cfRule>
    <cfRule type="cellIs" dxfId="3092" priority="168" stopIfTrue="1" operator="lessThanOrEqual">
      <formula>0</formula>
    </cfRule>
  </conditionalFormatting>
  <conditionalFormatting sqref="I10:J20">
    <cfRule type="cellIs" dxfId="3091" priority="5" operator="lessThan">
      <formula>97.9</formula>
    </cfRule>
  </conditionalFormatting>
  <conditionalFormatting sqref="J23:J25">
    <cfRule type="cellIs" dxfId="3090" priority="14" operator="lessThan">
      <formula>97.95</formula>
    </cfRule>
  </conditionalFormatting>
  <conditionalFormatting sqref="J25:J27">
    <cfRule type="cellIs" dxfId="3089" priority="149" operator="lessThan">
      <formula>97.4</formula>
    </cfRule>
  </conditionalFormatting>
  <conditionalFormatting sqref="J28:J29">
    <cfRule type="cellIs" dxfId="3088" priority="150" operator="lessThan">
      <formula>98</formula>
    </cfRule>
  </conditionalFormatting>
  <conditionalFormatting sqref="J30:J31">
    <cfRule type="cellIs" dxfId="3087" priority="151" stopIfTrue="1" operator="lessThan">
      <formula>96.8</formula>
    </cfRule>
    <cfRule type="cellIs" dxfId="3086" priority="152" stopIfTrue="1" operator="greaterThan">
      <formula>100</formula>
    </cfRule>
  </conditionalFormatting>
  <conditionalFormatting sqref="J30:J32">
    <cfRule type="cellIs" dxfId="3085" priority="153" operator="lessThan">
      <formula>98</formula>
    </cfRule>
  </conditionalFormatting>
  <conditionalFormatting sqref="J61">
    <cfRule type="cellIs" dxfId="3084" priority="103" stopIfTrue="1" operator="greaterThan">
      <formula>#REF!</formula>
    </cfRule>
    <cfRule type="cellIs" dxfId="3083" priority="104" stopIfTrue="1" operator="lessThanOrEqual">
      <formula>0</formula>
    </cfRule>
    <cfRule type="cellIs" dxfId="3082" priority="105" stopIfTrue="1" operator="greaterThan">
      <formula>#REF!</formula>
    </cfRule>
    <cfRule type="cellIs" dxfId="3081" priority="106" stopIfTrue="1" operator="lessThanOrEqual">
      <formula>0</formula>
    </cfRule>
    <cfRule type="cellIs" dxfId="3080" priority="107" stopIfTrue="1" operator="greaterThan">
      <formula>#REF!</formula>
    </cfRule>
    <cfRule type="cellIs" dxfId="3079" priority="108" stopIfTrue="1" operator="lessThanOrEqual">
      <formula>0</formula>
    </cfRule>
    <cfRule type="cellIs" dxfId="3078" priority="109" stopIfTrue="1" operator="greaterThan">
      <formula>#REF!</formula>
    </cfRule>
    <cfRule type="cellIs" dxfId="3077" priority="110" stopIfTrue="1" operator="lessThanOrEqual">
      <formula>0</formula>
    </cfRule>
  </conditionalFormatting>
  <conditionalFormatting sqref="J74">
    <cfRule type="cellIs" dxfId="3076" priority="42" stopIfTrue="1" operator="greaterThan">
      <formula>$F74</formula>
    </cfRule>
    <cfRule type="cellIs" dxfId="3075" priority="43" stopIfTrue="1" operator="lessThanOrEqual">
      <formula>0</formula>
    </cfRule>
  </conditionalFormatting>
  <conditionalFormatting sqref="K10:K20">
    <cfRule type="cellIs" dxfId="3074" priority="6" operator="greaterThan">
      <formula>6</formula>
    </cfRule>
    <cfRule type="cellIs" dxfId="3073" priority="7" operator="lessThan">
      <formula>4</formula>
    </cfRule>
    <cfRule type="cellIs" dxfId="3072" priority="8" operator="greaterThan">
      <formula>6.4</formula>
    </cfRule>
  </conditionalFormatting>
  <conditionalFormatting sqref="K52:K61">
    <cfRule type="cellIs" dxfId="3071" priority="88" stopIfTrue="1" operator="lessThan">
      <formula>100%</formula>
    </cfRule>
  </conditionalFormatting>
  <conditionalFormatting sqref="K65:K73">
    <cfRule type="cellIs" dxfId="3070" priority="32" stopIfTrue="1" operator="lessThan">
      <formula>100%</formula>
    </cfRule>
  </conditionalFormatting>
  <conditionalFormatting sqref="K76:K81">
    <cfRule type="cellIs" dxfId="3069" priority="173" stopIfTrue="1" operator="lessThan">
      <formula>100%</formula>
    </cfRule>
  </conditionalFormatting>
  <conditionalFormatting sqref="K83:K84">
    <cfRule type="cellIs" dxfId="3068" priority="180" stopIfTrue="1" operator="lessThan">
      <formula>100%</formula>
    </cfRule>
  </conditionalFormatting>
  <conditionalFormatting sqref="L10:L20">
    <cfRule type="cellIs" dxfId="3067" priority="2" operator="between">
      <formula>61</formula>
      <formula>65</formula>
    </cfRule>
    <cfRule type="cellIs" dxfId="3066" priority="3" operator="greaterThan">
      <formula>65</formula>
    </cfRule>
  </conditionalFormatting>
  <conditionalFormatting sqref="L23:M34">
    <cfRule type="cellIs" dxfId="3065" priority="13" operator="lessThan">
      <formula>97.95</formula>
    </cfRule>
  </conditionalFormatting>
  <conditionalFormatting sqref="L38:N38">
    <cfRule type="cellIs" dxfId="3064" priority="1" operator="notEqual">
      <formula>#REF!</formula>
    </cfRule>
  </conditionalFormatting>
  <conditionalFormatting sqref="L65:N74">
    <cfRule type="cellIs" dxfId="3063" priority="29" stopIfTrue="1" operator="lessThan">
      <formula>100%</formula>
    </cfRule>
  </conditionalFormatting>
  <conditionalFormatting sqref="L76:N84">
    <cfRule type="cellIs" dxfId="3062" priority="158" stopIfTrue="1" operator="lessThan">
      <formula>100%</formula>
    </cfRule>
  </conditionalFormatting>
  <conditionalFormatting sqref="N10:N20">
    <cfRule type="expression" dxfId="3061" priority="4">
      <formula>IF(+(IF(N10&lt;W10,0,IF(N10&gt;X10,0,1)))=0,1)</formula>
    </cfRule>
  </conditionalFormatting>
  <conditionalFormatting sqref="P6">
    <cfRule type="cellIs" dxfId="3060" priority="154" operator="greaterThanOrEqual">
      <formula>19</formula>
    </cfRule>
  </conditionalFormatting>
  <dataValidations count="1">
    <dataValidation type="list" allowBlank="1" showInputMessage="1" showErrorMessage="1" sqref="R8" xr:uid="{93728DB6-604C-46CB-AC29-AEFB8F9DEE6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CD0B-234A-4102-81F4-D7C48310E32F}">
  <sheetPr>
    <pageSetUpPr fitToPage="1"/>
  </sheetPr>
  <dimension ref="A1:BE71"/>
  <sheetViews>
    <sheetView topLeftCell="A4" zoomScale="85" zoomScaleNormal="85" workbookViewId="0">
      <selection activeCell="E10" sqref="E10:E1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46268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[3]Brewhouse!$A712</f>
        <v>CA663</v>
      </c>
      <c r="D10" s="279">
        <f>[3]Brewhouse!$AF712</f>
        <v>49.6</v>
      </c>
      <c r="E10" s="279">
        <f>[3]Brewhouse!$AI712</f>
        <v>50.3</v>
      </c>
      <c r="F10" s="278">
        <f>[3]Brewhouse!$V712</f>
        <v>63</v>
      </c>
      <c r="G10" s="279">
        <f>[3]Brewhouse!AG712</f>
        <v>11.7</v>
      </c>
      <c r="H10" s="396"/>
      <c r="I10" s="368">
        <f>[3]Brewhouse!$AU712</f>
        <v>98.62449539212821</v>
      </c>
      <c r="J10" s="368">
        <f>[3]Brewhouse!$AV712</f>
        <v>99.388551242317362</v>
      </c>
      <c r="K10" s="281">
        <f>[3]Brewhouse!$Q712</f>
        <v>9.6487985212569285</v>
      </c>
      <c r="L10" s="276">
        <f>[3]Brewhouse!$P712</f>
        <v>60</v>
      </c>
      <c r="M10" s="374">
        <f>[3]Brewhouse!$U712-[3]Brewhouse!$T712</f>
        <v>0.1159722222222222</v>
      </c>
      <c r="N10" s="370">
        <f>[3]Brewhouse!$Z712</f>
        <v>0.26319444444444445</v>
      </c>
      <c r="O10" s="420" t="str">
        <f>[3]Brewhouse!$AX712</f>
        <v>R. Sookram</v>
      </c>
      <c r="P10" s="418"/>
      <c r="R10" s="277" t="str">
        <f t="shared" ref="R10:R14" si="0">B10</f>
        <v>CARIB</v>
      </c>
      <c r="S10" s="472">
        <f t="shared" ref="S10:S14" si="1">VLOOKUP($B10,$R$3:$X$9,2,FALSE)</f>
        <v>11.6</v>
      </c>
      <c r="T10" s="472">
        <f t="shared" ref="T10:T14" si="2">VLOOKUP($B10,$R$3:$X$9,3,FALSE)</f>
        <v>12</v>
      </c>
      <c r="U10" s="297">
        <f t="shared" ref="U10:U14" si="3">VLOOKUP($B10,$R$3:$X$9,4,FALSE)</f>
        <v>0</v>
      </c>
      <c r="V10" s="297">
        <f t="shared" ref="V10:V14" si="4">VLOOKUP($B10,$R$3:$X$9,5,FALSE)</f>
        <v>0.118055555555556</v>
      </c>
      <c r="W10" s="297">
        <f t="shared" ref="W10:W14" si="5">VLOOKUP($B10,$R$3:$X$9,6,FALSE)</f>
        <v>0.22569444444444445</v>
      </c>
      <c r="X10" s="297">
        <f t="shared" ref="X10:X14" si="6">VLOOKUP($B10,$R$3:$X$9,7,FALSE)</f>
        <v>0.2638888888888889</v>
      </c>
      <c r="Y10" s="297">
        <f t="shared" ref="Y10:Y14" si="7">VLOOKUP($B10,$R$3:$Z$9,8,FALSE)</f>
        <v>0</v>
      </c>
      <c r="Z10" s="472">
        <f t="shared" ref="Z10:Z14" si="8">VLOOKUP($B10,$R$3:$Z$9,9,FALSE)</f>
        <v>60</v>
      </c>
    </row>
    <row r="11" spans="2:29" ht="15" customHeight="1">
      <c r="B11" s="29" t="s">
        <v>6</v>
      </c>
      <c r="C11" s="366" t="str">
        <f>[3]Brewhouse!$A713</f>
        <v>CA664</v>
      </c>
      <c r="D11" s="279">
        <f>[3]Brewhouse!$AF713</f>
        <v>50.4</v>
      </c>
      <c r="E11" s="279">
        <f>[3]Brewhouse!$AI713</f>
        <v>51.1</v>
      </c>
      <c r="F11" s="278">
        <f>[3]Brewhouse!$V713</f>
        <v>63</v>
      </c>
      <c r="G11" s="279">
        <f>[3]Brewhouse!AG713</f>
        <v>11.6</v>
      </c>
      <c r="H11" s="396"/>
      <c r="I11" s="368">
        <f>[3]Brewhouse!$AU713</f>
        <v>99.291911621355354</v>
      </c>
      <c r="J11" s="368">
        <f>[3]Brewhouse!$AV713</f>
        <v>100.0611380254969</v>
      </c>
      <c r="K11" s="281">
        <f>[3]Brewhouse!$Q713</f>
        <v>8.1700554528650677</v>
      </c>
      <c r="L11" s="276">
        <f>[3]Brewhouse!$P713</f>
        <v>61</v>
      </c>
      <c r="M11" s="374">
        <f>[3]Brewhouse!$U713-[3]Brewhouse!$T713</f>
        <v>0.10833333333333328</v>
      </c>
      <c r="N11" s="370">
        <f>[3]Brewhouse!$Z713</f>
        <v>0.26111111111111107</v>
      </c>
      <c r="O11" s="420" t="str">
        <f>[3]Brewhouse!$AX713</f>
        <v>D. Gomaz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[3]Brewhouse!$A714</f>
        <v>CA665</v>
      </c>
      <c r="D12" s="279">
        <f>[3]Brewhouse!$AF714</f>
        <v>51.4</v>
      </c>
      <c r="E12" s="279">
        <f>[3]Brewhouse!$AI714</f>
        <v>51.9</v>
      </c>
      <c r="F12" s="278">
        <f>[3]Brewhouse!$V714</f>
        <v>60</v>
      </c>
      <c r="G12" s="279">
        <f>[3]Brewhouse!AG714</f>
        <v>11.8</v>
      </c>
      <c r="H12" s="396"/>
      <c r="I12" s="368">
        <f>[3]Brewhouse!$AU714</f>
        <v>102.67692873975598</v>
      </c>
      <c r="J12" s="368">
        <f>[3]Brewhouse!$AV714</f>
        <v>103.47237927941298</v>
      </c>
      <c r="K12" s="281">
        <f>[3]Brewhouse!$Q714</f>
        <v>6.3216266173752338</v>
      </c>
      <c r="L12" s="276">
        <f>[3]Brewhouse!$P714</f>
        <v>62</v>
      </c>
      <c r="M12" s="374">
        <f>[3]Brewhouse!$U714-[3]Brewhouse!$T714</f>
        <v>0.125</v>
      </c>
      <c r="N12" s="370">
        <f>[3]Brewhouse!$Z714</f>
        <v>0.27986111111111112</v>
      </c>
      <c r="O12" s="420" t="str">
        <f>[3]Brewhouse!$AX714</f>
        <v>D. Gomaz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[3]Brewhouse!$A715</f>
        <v>CA666</v>
      </c>
      <c r="D13" s="279">
        <f>[3]Brewhouse!$AF715</f>
        <v>45.3</v>
      </c>
      <c r="E13" s="279">
        <f>[3]Brewhouse!$AI715</f>
        <v>46.2</v>
      </c>
      <c r="F13" s="278">
        <f>[3]Brewhouse!$V715</f>
        <v>57</v>
      </c>
      <c r="G13" s="279">
        <f>[3]Brewhouse!AG715</f>
        <v>11.7</v>
      </c>
      <c r="H13" s="396"/>
      <c r="I13" s="368">
        <f>[3]Brewhouse!$AU715</f>
        <v>102.38450698329868</v>
      </c>
      <c r="J13" s="368">
        <f>[3]Brewhouse!$AV715</f>
        <v>103.1721541696329</v>
      </c>
      <c r="K13" s="281">
        <f>[3]Brewhouse!$Q715</f>
        <v>9.939393939393943</v>
      </c>
      <c r="L13" s="276">
        <f>[3]Brewhouse!$P715</f>
        <v>61</v>
      </c>
      <c r="M13" s="374">
        <f>[3]Brewhouse!$U715-[3]Brewhouse!$T715</f>
        <v>0.11250000000000004</v>
      </c>
      <c r="N13" s="370">
        <f>[3]Brewhouse!$Z715</f>
        <v>0.25694444444444442</v>
      </c>
      <c r="O13" s="420" t="str">
        <f>[3]Brewhouse!$AX715</f>
        <v>D. Gomaz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/>
      <c r="C14" s="366"/>
      <c r="D14" s="279"/>
      <c r="E14" s="279"/>
      <c r="F14" s="278"/>
      <c r="G14" s="488"/>
      <c r="H14" s="396"/>
      <c r="I14" s="368"/>
      <c r="J14" s="368"/>
      <c r="K14" s="281"/>
      <c r="L14" s="276"/>
      <c r="M14" s="374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5" customHeight="1">
      <c r="B15" s="36" t="s">
        <v>15</v>
      </c>
      <c r="C15" s="366" t="str">
        <f>[7]Brewhouse!$A23</f>
        <v>MK017</v>
      </c>
      <c r="D15" s="279">
        <f>[7]Brewhouse!$AF23</f>
        <v>49.3</v>
      </c>
      <c r="E15" s="279">
        <f>[7]Brewhouse!$AI23</f>
        <v>48.1</v>
      </c>
      <c r="F15" s="278">
        <f>[7]Brewhouse!$X23</f>
        <v>53</v>
      </c>
      <c r="G15" s="279">
        <f>[7]Brewhouse!$AG23</f>
        <v>13</v>
      </c>
      <c r="H15" s="396"/>
      <c r="I15" s="489">
        <f>[7]Brewhouse!$AT23</f>
        <v>91.951723879434397</v>
      </c>
      <c r="J15" s="489">
        <f>[7]Brewhouse!$AU23</f>
        <v>92.579945457932411</v>
      </c>
      <c r="K15" s="490">
        <f>[7]Brewhouse!$S23</f>
        <v>12.685918003565073</v>
      </c>
      <c r="L15" s="276">
        <f>[7]Brewhouse!$R23</f>
        <v>111</v>
      </c>
      <c r="M15" s="374">
        <f>[7]Brewhouse!$W23-[7]Brewhouse!$V23</f>
        <v>0.14930555555555547</v>
      </c>
      <c r="N15" s="370">
        <f>[7]Brewhouse!$AA23</f>
        <v>0.31666666666666654</v>
      </c>
      <c r="O15" s="420" t="str">
        <f>[7]Brewhouse!$AX23</f>
        <v>R.Regis</v>
      </c>
      <c r="P15" s="418"/>
      <c r="R15" s="277" t="str">
        <f t="shared" ref="R15:R31" si="9">B15</f>
        <v>MACKESON</v>
      </c>
      <c r="S15" s="472">
        <f t="shared" ref="S15:S31" si="10">VLOOKUP($B15,$R$3:$X$9,2,FALSE)</f>
        <v>13.3</v>
      </c>
      <c r="T15" s="472">
        <f t="shared" ref="T15:T31" si="11">VLOOKUP($B15,$R$3:$X$9,3,FALSE)</f>
        <v>13.5</v>
      </c>
      <c r="U15" s="297">
        <f t="shared" ref="U15:U31" si="12">VLOOKUP($B15,$R$3:$X$9,4,FALSE)</f>
        <v>0</v>
      </c>
      <c r="V15" s="297">
        <f t="shared" ref="V15:V31" si="13">VLOOKUP($B15,$R$3:$X$9,5,FALSE)</f>
        <v>0.12905092592592593</v>
      </c>
      <c r="W15" s="297">
        <f t="shared" ref="W15:W31" si="14">VLOOKUP($B15,$R$3:$X$9,6,FALSE)</f>
        <v>0.27430555555555552</v>
      </c>
      <c r="X15" s="297">
        <f t="shared" ref="X15:X31" si="15">VLOOKUP($B15,$R$3:$X$9,7,FALSE)</f>
        <v>0.30208333333333331</v>
      </c>
      <c r="Y15" s="297">
        <f t="shared" ref="Y15:Y31" si="16">VLOOKUP($B15,$R$3:$Z$9,8,FALSE)</f>
        <v>0</v>
      </c>
      <c r="Z15" s="472">
        <f t="shared" ref="Z15:Z31" si="17">VLOOKUP($B15,$R$3:$Z$9,9,FALSE)</f>
        <v>0</v>
      </c>
    </row>
    <row r="16" spans="2:29" ht="15" customHeight="1">
      <c r="B16" s="36" t="s">
        <v>15</v>
      </c>
      <c r="C16" s="366" t="str">
        <f>[7]Brewhouse!$A24</f>
        <v>MK018</v>
      </c>
      <c r="D16" s="279">
        <f>[7]Brewhouse!$AF24</f>
        <v>51.6</v>
      </c>
      <c r="E16" s="279">
        <f>[7]Brewhouse!$AI24</f>
        <v>51.1</v>
      </c>
      <c r="F16" s="278">
        <f>[7]Brewhouse!$X24</f>
        <v>62</v>
      </c>
      <c r="G16" s="279">
        <f>[7]Brewhouse!$AG24</f>
        <v>13.1</v>
      </c>
      <c r="H16" s="396"/>
      <c r="I16" s="489">
        <f>[7]Brewhouse!$AT24</f>
        <v>96.150583729382561</v>
      </c>
      <c r="J16" s="489">
        <f>[7]Brewhouse!$AU24</f>
        <v>96.807492256330661</v>
      </c>
      <c r="K16" s="490">
        <f>[7]Brewhouse!$S24</f>
        <v>8.4228571428571417</v>
      </c>
      <c r="L16" s="276">
        <f>[7]Brewhouse!$R24</f>
        <v>95</v>
      </c>
      <c r="M16" s="374">
        <f>[7]Brewhouse!$W24-[7]Brewhouse!$V24</f>
        <v>0.13888888888888906</v>
      </c>
      <c r="N16" s="370">
        <f>[7]Brewhouse!$AA24</f>
        <v>0.35902777777777783</v>
      </c>
      <c r="O16" s="420" t="str">
        <f>[7]Brewhouse!$AX24</f>
        <v>R.Regis</v>
      </c>
      <c r="P16" s="418"/>
      <c r="R16" s="277" t="str">
        <f t="shared" ref="R16:R26" si="18">B16</f>
        <v>MACKESON</v>
      </c>
      <c r="S16" s="472">
        <f t="shared" si="10"/>
        <v>13.3</v>
      </c>
      <c r="T16" s="472">
        <f t="shared" si="11"/>
        <v>13.5</v>
      </c>
      <c r="U16" s="297">
        <f t="shared" si="12"/>
        <v>0</v>
      </c>
      <c r="V16" s="297">
        <f t="shared" si="13"/>
        <v>0.12905092592592593</v>
      </c>
      <c r="W16" s="297">
        <f t="shared" si="14"/>
        <v>0.27430555555555552</v>
      </c>
      <c r="X16" s="297">
        <f t="shared" si="15"/>
        <v>0.30208333333333331</v>
      </c>
      <c r="Y16" s="297">
        <f t="shared" si="16"/>
        <v>0</v>
      </c>
      <c r="Z16" s="472">
        <f t="shared" si="17"/>
        <v>0</v>
      </c>
    </row>
    <row r="17" spans="1:27" ht="15" customHeight="1">
      <c r="B17" s="36" t="s">
        <v>15</v>
      </c>
      <c r="C17" s="366" t="str">
        <f>[7]Brewhouse!$A25</f>
        <v>MK019</v>
      </c>
      <c r="D17" s="279">
        <f>[7]Brewhouse!$AF25</f>
        <v>51.1</v>
      </c>
      <c r="E17" s="279">
        <f>[7]Brewhouse!$AI25</f>
        <v>50.6</v>
      </c>
      <c r="F17" s="278">
        <f>[7]Brewhouse!$X25</f>
        <v>55</v>
      </c>
      <c r="G17" s="279">
        <f>[7]Brewhouse!$AG25</f>
        <v>13.3</v>
      </c>
      <c r="H17" s="396"/>
      <c r="I17" s="489">
        <f>[7]Brewhouse!$AT25</f>
        <v>96.730919507263621</v>
      </c>
      <c r="J17" s="489">
        <f>[7]Brewhouse!$AU25</f>
        <v>97.39179293495593</v>
      </c>
      <c r="K17" s="490">
        <f>[7]Brewhouse!$S25</f>
        <v>9.3157142857142841</v>
      </c>
      <c r="L17" s="276">
        <f>[7]Brewhouse!$R25</f>
        <v>80</v>
      </c>
      <c r="M17" s="374">
        <f>[7]Brewhouse!$W25-[7]Brewhouse!$V25</f>
        <v>0.14236111111111116</v>
      </c>
      <c r="N17" s="370">
        <f>[7]Brewhouse!$AA25</f>
        <v>0.34375</v>
      </c>
      <c r="O17" s="420" t="str">
        <f>[7]Brewhouse!$AX25</f>
        <v>R.Regis</v>
      </c>
      <c r="P17" s="418"/>
      <c r="R17" s="277" t="str">
        <f t="shared" si="18"/>
        <v>MACKESON</v>
      </c>
      <c r="S17" s="472">
        <f t="shared" si="10"/>
        <v>13.3</v>
      </c>
      <c r="T17" s="472">
        <f t="shared" si="11"/>
        <v>13.5</v>
      </c>
      <c r="U17" s="297">
        <f t="shared" si="12"/>
        <v>0</v>
      </c>
      <c r="V17" s="297">
        <f t="shared" si="13"/>
        <v>0.12905092592592593</v>
      </c>
      <c r="W17" s="297">
        <f t="shared" si="14"/>
        <v>0.27430555555555552</v>
      </c>
      <c r="X17" s="297">
        <f t="shared" si="15"/>
        <v>0.30208333333333331</v>
      </c>
      <c r="Y17" s="297">
        <f t="shared" si="16"/>
        <v>0</v>
      </c>
      <c r="Z17" s="472">
        <f t="shared" si="17"/>
        <v>0</v>
      </c>
    </row>
    <row r="18" spans="1:27" ht="17.25" customHeight="1" thickBot="1">
      <c r="B18" s="358"/>
      <c r="C18" s="358"/>
      <c r="D18" s="358"/>
      <c r="E18" s="358"/>
      <c r="F18" s="294"/>
      <c r="G18" s="294"/>
      <c r="H18" s="348"/>
      <c r="I18" s="534"/>
      <c r="J18" s="534"/>
      <c r="K18" s="534"/>
      <c r="L18" s="534"/>
      <c r="M18" s="534"/>
      <c r="N18" s="534"/>
      <c r="O18" s="1"/>
      <c r="P18" s="12"/>
      <c r="R18" s="277">
        <f t="shared" si="18"/>
        <v>0</v>
      </c>
      <c r="S18" s="472" t="e">
        <f t="shared" si="10"/>
        <v>#N/A</v>
      </c>
      <c r="T18" s="472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472" t="e">
        <f t="shared" si="17"/>
        <v>#N/A</v>
      </c>
    </row>
    <row r="19" spans="1:27" ht="17.25" customHeight="1" thickBot="1">
      <c r="B19" s="483" t="s">
        <v>162</v>
      </c>
      <c r="C19" s="388"/>
      <c r="D19" s="535" t="s">
        <v>35</v>
      </c>
      <c r="E19" s="536"/>
      <c r="F19" s="294"/>
      <c r="G19" s="294"/>
      <c r="H19" s="348"/>
      <c r="I19" s="24" t="s">
        <v>17</v>
      </c>
      <c r="J19" s="25"/>
      <c r="K19" s="26" t="s">
        <v>138</v>
      </c>
      <c r="L19" s="25" t="s">
        <v>37</v>
      </c>
      <c r="M19" s="25" t="s">
        <v>38</v>
      </c>
      <c r="N19" s="27" t="s">
        <v>39</v>
      </c>
      <c r="O19" s="294"/>
      <c r="P19" s="12"/>
      <c r="R19" s="277" t="str">
        <f t="shared" si="18"/>
        <v xml:space="preserve">BRAND </v>
      </c>
      <c r="S19" s="472" t="e">
        <f t="shared" si="10"/>
        <v>#N/A</v>
      </c>
      <c r="T19" s="472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472" t="e">
        <f t="shared" si="17"/>
        <v>#N/A</v>
      </c>
    </row>
    <row r="20" spans="1:27" ht="17.25" customHeight="1">
      <c r="A20" s="28"/>
      <c r="B20" s="537"/>
      <c r="C20" s="484"/>
      <c r="D20" s="522"/>
      <c r="E20" s="523"/>
      <c r="F20" s="294"/>
      <c r="G20" s="294"/>
      <c r="H20" s="348"/>
      <c r="I20" s="29" t="s">
        <v>6</v>
      </c>
      <c r="J20" s="323">
        <f>AVERAGE(I10:I13)</f>
        <v>100.74446068413457</v>
      </c>
      <c r="K20" s="284">
        <f>COUNTA([3]Brewhouse!$A$696:$A$715)</f>
        <v>20</v>
      </c>
      <c r="L20" s="305">
        <f>AVERAGE([3]Brewhouse!$AU$696:$AU$715)</f>
        <v>98.440340070586117</v>
      </c>
      <c r="M20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AVERAGE([3]Brewhouse!$AU$42:$AU$123,[3]Brewhouse!$AU$125:$AU$188,[3]Brewhouse!$AU$198:$AU$290,[3]Brewhouse!$AU$292:$AU$370,[3]Brewhouse!$AU$372:$AU$439,[3]Brewhouse!$AU$441:$AU$497,[3]Brewhouse!$AU$499:$AU$519,[3]Brewhouse!$AU$521:$AU$593,[3]Brewhouse!$AU$595:$AU$715)</f>
        <v>98.290599313483128</v>
      </c>
      <c r="N20" s="30">
        <v>98</v>
      </c>
      <c r="O20" s="11"/>
      <c r="P20" s="31"/>
      <c r="R20" s="277">
        <f t="shared" si="18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5" customHeight="1">
      <c r="A21" s="28"/>
      <c r="B21" s="538"/>
      <c r="C21" s="362"/>
      <c r="D21" s="524"/>
      <c r="E21" s="525"/>
      <c r="F21" s="294"/>
      <c r="G21" s="294"/>
      <c r="H21" s="348"/>
      <c r="I21" s="33" t="s">
        <v>9</v>
      </c>
      <c r="J21" s="323"/>
      <c r="K21" s="284"/>
      <c r="L21" s="302"/>
      <c r="M21" s="302">
        <f>AVERAGE([4]Brewhouse!$AS$52:$AS$81,[4]Brewhouse!$AS$83:$AS$124,[4]Brewhouse!$AS$134:$AS$177,[4]Brewhouse!$AS$22:$AS$179,[4]Brewhouse!$AS$214:$AS$249,[4]Brewhouse!$AS$252:$AS$293,[4]Brewhouse!$AS$295:$AS$325,[4]Brewhouse!$AS$327:$AS$361)</f>
        <v>98.239656393693409</v>
      </c>
      <c r="N21" s="30">
        <v>98</v>
      </c>
      <c r="O21" s="11"/>
      <c r="P21" s="31"/>
      <c r="R21" s="277">
        <f t="shared" si="18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4.65" customHeight="1">
      <c r="A22" s="28"/>
      <c r="B22" s="538"/>
      <c r="C22" s="362"/>
      <c r="D22" s="529"/>
      <c r="E22" s="530"/>
      <c r="F22" s="294"/>
      <c r="G22" s="294"/>
      <c r="H22" s="348"/>
      <c r="I22" s="34" t="s">
        <v>12</v>
      </c>
      <c r="J22" s="323"/>
      <c r="K22" s="284"/>
      <c r="L22" s="302"/>
      <c r="M22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2" s="30">
        <v>98</v>
      </c>
      <c r="O22" s="11"/>
      <c r="P22" s="31"/>
      <c r="R22" s="277">
        <f t="shared" si="18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4.65" customHeight="1">
      <c r="A23" s="28"/>
      <c r="B23" s="538"/>
      <c r="C23" s="362"/>
      <c r="D23" s="531"/>
      <c r="E23" s="525"/>
      <c r="F23" s="294"/>
      <c r="G23" s="294"/>
      <c r="H23" s="348"/>
      <c r="I23" s="22" t="s">
        <v>33</v>
      </c>
      <c r="J23" s="280"/>
      <c r="K23" s="284"/>
      <c r="L23" s="302"/>
      <c r="M23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3" s="30">
        <v>98</v>
      </c>
      <c r="O23" s="11"/>
      <c r="P23" s="31"/>
      <c r="R23" s="277">
        <f t="shared" si="18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4.65" customHeight="1">
      <c r="A24" s="28"/>
      <c r="B24" s="538"/>
      <c r="C24" s="362"/>
      <c r="D24" s="529"/>
      <c r="E24" s="530"/>
      <c r="F24" s="294"/>
      <c r="G24" s="294"/>
      <c r="H24" s="348"/>
      <c r="I24" s="35" t="s">
        <v>29</v>
      </c>
      <c r="J24" s="280"/>
      <c r="K24" s="284"/>
      <c r="L24" s="302"/>
      <c r="M24" s="302"/>
      <c r="N24" s="30">
        <v>98</v>
      </c>
      <c r="O24" s="11"/>
      <c r="P24" s="31"/>
      <c r="R24" s="277">
        <f t="shared" si="18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4.65" customHeight="1">
      <c r="A25" s="28"/>
      <c r="B25" s="538"/>
      <c r="C25" s="362"/>
      <c r="D25" s="531"/>
      <c r="E25" s="525"/>
      <c r="F25" s="417"/>
      <c r="G25" s="294"/>
      <c r="H25" s="348"/>
      <c r="I25" s="36" t="s">
        <v>15</v>
      </c>
      <c r="J25" s="323">
        <f>AVERAGE(I15:I17)</f>
        <v>94.944409038693536</v>
      </c>
      <c r="K25" s="284">
        <f>COUNTA([7]Brewhouse!$A$23:$A$25)</f>
        <v>3</v>
      </c>
      <c r="L25" s="302">
        <f>AVERAGE([7]Brewhouse!$AT$23:$AT$25)</f>
        <v>94.944409038693536</v>
      </c>
      <c r="M25" s="302">
        <f>AVERAGE([7]Brewhouse!$AT$4:$AT$11,[7]Brewhouse!$AT$13:$AT$16,[7]Brewhouse!$AT$18:$AT$25)</f>
        <v>92.343580441446861</v>
      </c>
      <c r="N25" s="30">
        <v>98</v>
      </c>
      <c r="O25" s="11"/>
      <c r="P25" s="31"/>
      <c r="R25" s="277">
        <f t="shared" si="18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8"/>
      <c r="C26" s="362"/>
      <c r="D26" s="529"/>
      <c r="E26" s="530"/>
      <c r="F26" s="417"/>
      <c r="G26" s="294"/>
      <c r="H26" s="348"/>
      <c r="I26" s="37" t="s">
        <v>16</v>
      </c>
      <c r="J26" s="323"/>
      <c r="K26" s="284"/>
      <c r="L26" s="302"/>
      <c r="M26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26" s="30">
        <v>98</v>
      </c>
      <c r="O26" s="11"/>
      <c r="P26" s="31" t="s">
        <v>41</v>
      </c>
      <c r="R26" s="277">
        <f t="shared" si="18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8"/>
      <c r="C27" s="362"/>
      <c r="D27" s="531"/>
      <c r="E27" s="525"/>
      <c r="F27" s="294"/>
      <c r="G27" s="294"/>
      <c r="H27" s="348"/>
      <c r="I27" s="411" t="s">
        <v>158</v>
      </c>
      <c r="J27" s="326"/>
      <c r="K27" s="284"/>
      <c r="L27" s="305"/>
      <c r="M27" s="305"/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8"/>
      <c r="C28" s="362"/>
      <c r="D28" s="529"/>
      <c r="E28" s="530"/>
      <c r="F28" s="294"/>
      <c r="G28" s="294"/>
      <c r="H28" s="348"/>
      <c r="I28" s="410" t="s">
        <v>157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  <c r="AA28" s="472"/>
    </row>
    <row r="29" spans="1:27" ht="15" customHeight="1" thickBot="1">
      <c r="A29" s="28"/>
      <c r="B29" s="538"/>
      <c r="C29" s="362"/>
      <c r="D29" s="531"/>
      <c r="E29" s="525"/>
      <c r="F29" s="294"/>
      <c r="G29" s="294"/>
      <c r="H29" s="348"/>
      <c r="I29" s="406" t="s">
        <v>156</v>
      </c>
      <c r="J29" s="327"/>
      <c r="K29" s="407"/>
      <c r="L29" s="408"/>
      <c r="M29" s="408"/>
      <c r="N29" s="409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  <c r="AA29" s="472"/>
    </row>
    <row r="30" spans="1:27" ht="15" customHeight="1" thickBot="1">
      <c r="A30" s="28"/>
      <c r="B30" s="538"/>
      <c r="C30" s="349"/>
      <c r="D30" s="522"/>
      <c r="E30" s="523"/>
      <c r="F30" s="294"/>
      <c r="G30" s="294"/>
      <c r="H30" s="348"/>
      <c r="I30" s="1"/>
      <c r="J30" s="39"/>
      <c r="K30" s="404">
        <f>SUM(K20:K29)</f>
        <v>23</v>
      </c>
      <c r="L30" s="405">
        <f>((L20*K20)+(L21*K21)+(L22*K22)+(L23*K23)+(L24*K24)+(K27*L27)+(L25*K25)+(L26*K26)+(L29*K29))/(K30)</f>
        <v>97.984349066426205</v>
      </c>
      <c r="M30" s="405">
        <f>AVERAGE('[9]Jan30th-31st'!$L$42,'[10]Feb 27th-28th'!$L$45,'[11]Mar 31st'!$L$42,'[12]Apr 30th'!$L$41,'[13]May 29th '!$L$35,'[14]June 30th'!$L$32,[15]July31st!$L$36,'[16]Aug 31st'!$L$32,L30)</f>
        <v>97.98352087719573</v>
      </c>
      <c r="N30" s="4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  <c r="AA30" s="472"/>
    </row>
    <row r="31" spans="1:27" ht="15.75" thickBot="1">
      <c r="B31" s="539"/>
      <c r="C31" s="350"/>
      <c r="D31" s="524"/>
      <c r="E31" s="525"/>
      <c r="F31" s="294"/>
      <c r="G31" s="42"/>
      <c r="H31" s="41"/>
      <c r="I31" s="42"/>
      <c r="J31" s="42"/>
      <c r="K31" s="351"/>
      <c r="L31" s="348"/>
      <c r="M31" s="348"/>
      <c r="N31" s="11"/>
      <c r="O31" s="294"/>
      <c r="P31" s="12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  <c r="AA31" s="472"/>
    </row>
    <row r="32" spans="1:27" ht="15.75" thickBot="1">
      <c r="B32" s="519"/>
      <c r="C32" s="362"/>
      <c r="D32" s="522"/>
      <c r="E32" s="523"/>
      <c r="F32" s="294"/>
      <c r="G32" s="42"/>
      <c r="H32" s="41"/>
      <c r="I32" s="42"/>
      <c r="J32" s="526" t="s">
        <v>129</v>
      </c>
      <c r="K32" s="526"/>
      <c r="L32" s="294"/>
      <c r="M32" s="294"/>
      <c r="N32" s="294"/>
      <c r="O32" s="294"/>
      <c r="P32" s="12"/>
    </row>
    <row r="33" spans="2:56" ht="15.75" thickBot="1">
      <c r="B33" s="520"/>
      <c r="C33" s="362"/>
      <c r="D33" s="524"/>
      <c r="E33" s="525"/>
      <c r="F33" s="294"/>
      <c r="G33" s="42"/>
      <c r="H33" s="42"/>
      <c r="I33" s="42"/>
      <c r="J33" s="292" t="s">
        <v>17</v>
      </c>
      <c r="K33" s="293"/>
      <c r="L33" s="527" t="s">
        <v>136</v>
      </c>
      <c r="M33" s="527"/>
      <c r="N33" s="528"/>
      <c r="O33" s="294"/>
      <c r="P33" s="12"/>
    </row>
    <row r="34" spans="2:56" ht="15" customHeight="1" thickBot="1">
      <c r="B34" s="520"/>
      <c r="C34" s="349"/>
      <c r="D34" s="529"/>
      <c r="E34" s="530"/>
      <c r="F34" s="294"/>
      <c r="G34" s="42"/>
      <c r="H34" s="42"/>
      <c r="I34" s="42"/>
      <c r="J34" s="287" t="s">
        <v>6</v>
      </c>
      <c r="K34" s="324">
        <v>4</v>
      </c>
      <c r="L34" s="473" t="s">
        <v>37</v>
      </c>
      <c r="M34" s="474" t="s">
        <v>38</v>
      </c>
      <c r="N34" s="474" t="s">
        <v>84</v>
      </c>
      <c r="O34" s="294"/>
      <c r="P34" s="12"/>
    </row>
    <row r="35" spans="2:56" ht="15.75" customHeight="1" thickBot="1">
      <c r="B35" s="520"/>
      <c r="C35" s="349"/>
      <c r="D35" s="531"/>
      <c r="E35" s="525"/>
      <c r="F35" s="294"/>
      <c r="G35" s="42"/>
      <c r="H35" s="42"/>
      <c r="I35" s="42"/>
      <c r="J35" s="345" t="s">
        <v>9</v>
      </c>
      <c r="K35" s="324"/>
      <c r="L35" s="485">
        <f>AVERAGE('Sept 1st'!K45,'Sept 2nd'!K47,K44)</f>
        <v>7.666666666666667</v>
      </c>
      <c r="M35" s="486">
        <f>AVERAGE('[9]Jan30th-31st'!$L$47,L35,'[10]Feb 26th '!$L$39,'[11]Mar 31st'!$L$47,'[12]Apr 30th'!$L$46,'[13]May 29th '!$L$40,'[14]June 30th'!$L$39,[15]July31st!$L$41,'[16]Aug 31st'!$L$37)</f>
        <v>6.5896411157280728</v>
      </c>
      <c r="N35" s="416">
        <v>9.1999999999999993</v>
      </c>
      <c r="O35" s="294"/>
      <c r="P35" s="12"/>
    </row>
    <row r="36" spans="2:56" ht="15" customHeight="1">
      <c r="B36" s="520"/>
      <c r="C36" s="349"/>
      <c r="D36" s="529"/>
      <c r="E36" s="530"/>
      <c r="F36" s="294"/>
      <c r="G36" s="42"/>
      <c r="H36" s="42"/>
      <c r="I36" s="42"/>
      <c r="J36" s="288" t="s">
        <v>40</v>
      </c>
      <c r="K36" s="324"/>
      <c r="L36" s="294"/>
      <c r="M36" s="294"/>
      <c r="N36" s="294"/>
      <c r="O36" s="294"/>
      <c r="P36" s="12"/>
    </row>
    <row r="37" spans="2:56" ht="15" customHeight="1">
      <c r="B37" s="520"/>
      <c r="C37" s="349"/>
      <c r="D37" s="531"/>
      <c r="E37" s="525"/>
      <c r="F37" s="294"/>
      <c r="G37" s="42"/>
      <c r="H37" s="42"/>
      <c r="I37" s="42"/>
      <c r="J37" s="289" t="s">
        <v>33</v>
      </c>
      <c r="K37" s="324"/>
      <c r="L37" s="294"/>
      <c r="M37" s="294"/>
      <c r="N37" s="294"/>
      <c r="O37" s="294"/>
      <c r="P37" s="12"/>
    </row>
    <row r="38" spans="2:56" ht="15">
      <c r="B38" s="520"/>
      <c r="C38" s="349"/>
      <c r="D38" s="529"/>
      <c r="E38" s="530"/>
      <c r="F38" s="294"/>
      <c r="G38" s="42"/>
      <c r="H38" s="42"/>
      <c r="I38" s="42"/>
      <c r="J38" s="290" t="s">
        <v>16</v>
      </c>
      <c r="K38" s="324">
        <v>3</v>
      </c>
      <c r="L38" s="294"/>
      <c r="M38" s="294"/>
      <c r="N38" s="294"/>
      <c r="O38" s="294"/>
      <c r="P38" s="12"/>
      <c r="BC38" s="44"/>
      <c r="BD38" s="44"/>
    </row>
    <row r="39" spans="2:56" ht="15">
      <c r="B39" s="520"/>
      <c r="C39" s="349"/>
      <c r="D39" s="531"/>
      <c r="E39" s="525"/>
      <c r="F39" s="294"/>
      <c r="G39" s="42"/>
      <c r="H39" s="42"/>
      <c r="I39" s="42"/>
      <c r="J39" s="291" t="s">
        <v>15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0"/>
      <c r="C40" s="349"/>
      <c r="D40" s="529"/>
      <c r="E40" s="530"/>
      <c r="F40" s="294"/>
      <c r="G40" s="42"/>
      <c r="H40" s="42"/>
      <c r="I40" s="42"/>
      <c r="J40" s="291" t="s">
        <v>149</v>
      </c>
      <c r="K40" s="324"/>
      <c r="L40" s="294"/>
      <c r="M40" s="294"/>
      <c r="N40" s="294"/>
      <c r="O40" s="294"/>
      <c r="P40" s="12"/>
      <c r="BC40" s="44"/>
      <c r="BD40" s="44"/>
    </row>
    <row r="41" spans="2:56" ht="15.75" thickBot="1">
      <c r="B41" s="521"/>
      <c r="C41" s="350"/>
      <c r="D41" s="532"/>
      <c r="E41" s="533"/>
      <c r="F41" s="294" t="s">
        <v>165</v>
      </c>
      <c r="G41" s="42"/>
      <c r="H41" s="42"/>
      <c r="I41" s="42"/>
      <c r="J41" s="291" t="s">
        <v>148</v>
      </c>
      <c r="K41" s="324"/>
      <c r="L41" s="294"/>
      <c r="M41" s="294"/>
      <c r="N41" s="294" t="s">
        <v>41</v>
      </c>
      <c r="O41" s="294"/>
      <c r="P41" s="12"/>
      <c r="BC41" s="44"/>
      <c r="BD41" s="44"/>
    </row>
    <row r="42" spans="2:56" ht="17.649999999999999" customHeight="1" thickBot="1">
      <c r="B42" s="312" t="s">
        <v>139</v>
      </c>
      <c r="C42" s="313"/>
      <c r="D42" s="510"/>
      <c r="E42" s="511"/>
      <c r="F42" s="294"/>
      <c r="J42" s="295" t="s">
        <v>134</v>
      </c>
      <c r="K42" s="324"/>
      <c r="L42" s="294"/>
      <c r="M42" s="294"/>
      <c r="N42" s="294"/>
      <c r="O42" s="294"/>
      <c r="P42" s="12"/>
      <c r="BC42" s="44"/>
      <c r="BD42" s="44"/>
    </row>
    <row r="43" spans="2:56" ht="17.649999999999999" customHeight="1">
      <c r="B43" s="363"/>
      <c r="C43" s="364"/>
      <c r="D43" s="365"/>
      <c r="E43" s="365"/>
      <c r="F43" s="294"/>
      <c r="G43" s="42"/>
      <c r="H43" s="42"/>
      <c r="I43" s="42"/>
      <c r="J43" s="295" t="s">
        <v>131</v>
      </c>
      <c r="K43" s="324"/>
      <c r="L43" s="294"/>
      <c r="M43" s="294"/>
      <c r="N43" s="294"/>
      <c r="O43" s="294"/>
      <c r="P43" s="12"/>
      <c r="BC43" s="44"/>
      <c r="BD43" s="44"/>
    </row>
    <row r="44" spans="2:56" ht="15.6" customHeight="1">
      <c r="B44" s="45"/>
      <c r="C44" s="11"/>
      <c r="D44" s="11"/>
      <c r="E44" s="46"/>
      <c r="F44" s="294"/>
      <c r="G44" s="42"/>
      <c r="H44" s="42"/>
      <c r="I44" s="42"/>
      <c r="J44" s="346" t="s">
        <v>130</v>
      </c>
      <c r="K44" s="324">
        <f>SUM(K34:K43)</f>
        <v>7</v>
      </c>
      <c r="L44" s="294"/>
      <c r="M44" s="294"/>
      <c r="N44" s="294"/>
      <c r="O44" s="294"/>
      <c r="P44" s="12"/>
    </row>
    <row r="45" spans="2:56" ht="20.25" customHeight="1">
      <c r="B45" s="15" t="s">
        <v>42</v>
      </c>
      <c r="C45" s="1" t="s">
        <v>43</v>
      </c>
      <c r="D45" s="1"/>
      <c r="E45" s="1"/>
      <c r="F45" s="294"/>
      <c r="G45" s="42"/>
      <c r="H45" s="41"/>
      <c r="I45" s="42"/>
      <c r="L45" s="42"/>
      <c r="N45" s="315"/>
      <c r="P45" s="334"/>
    </row>
    <row r="46" spans="2:56" ht="15" customHeight="1" thickBot="1"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1"/>
      <c r="O46" s="48"/>
      <c r="P46" s="49"/>
    </row>
    <row r="47" spans="2:56" ht="15" customHeight="1" thickBot="1">
      <c r="B47" s="504" t="s">
        <v>17</v>
      </c>
      <c r="C47" s="504" t="s">
        <v>44</v>
      </c>
      <c r="D47" s="513" t="s">
        <v>45</v>
      </c>
      <c r="E47" s="515" t="s">
        <v>46</v>
      </c>
      <c r="F47" s="517" t="s">
        <v>47</v>
      </c>
      <c r="G47" s="502" t="s">
        <v>48</v>
      </c>
      <c r="H47" s="504" t="s">
        <v>49</v>
      </c>
      <c r="I47" s="504" t="s">
        <v>50</v>
      </c>
      <c r="J47" s="496" t="s">
        <v>28</v>
      </c>
      <c r="K47" s="506" t="s">
        <v>51</v>
      </c>
      <c r="L47" s="508" t="s">
        <v>52</v>
      </c>
      <c r="M47" s="496" t="s">
        <v>53</v>
      </c>
      <c r="N47" s="13"/>
      <c r="O47" s="13"/>
      <c r="P47" s="50"/>
    </row>
    <row r="48" spans="2:56" ht="28.5" customHeight="1" thickTop="1" thickBot="1">
      <c r="B48" s="505"/>
      <c r="C48" s="512"/>
      <c r="D48" s="514"/>
      <c r="E48" s="516"/>
      <c r="F48" s="518"/>
      <c r="G48" s="503"/>
      <c r="H48" s="505"/>
      <c r="I48" s="505"/>
      <c r="J48" s="497"/>
      <c r="K48" s="507"/>
      <c r="L48" s="509"/>
      <c r="M48" s="497"/>
      <c r="N48" s="13"/>
      <c r="O48" s="13"/>
      <c r="P48" s="50"/>
      <c r="Q48" s="355"/>
      <c r="AB48" s="475">
        <v>43474</v>
      </c>
      <c r="AC48" s="475">
        <v>43475</v>
      </c>
      <c r="AD48" s="475">
        <v>43476</v>
      </c>
      <c r="AE48" s="475">
        <v>43477</v>
      </c>
      <c r="AF48" s="475">
        <v>43478</v>
      </c>
      <c r="AG48" s="475">
        <v>43479</v>
      </c>
      <c r="AH48" s="475">
        <v>43480</v>
      </c>
      <c r="AI48" s="475">
        <v>43481</v>
      </c>
      <c r="AJ48" s="475">
        <v>43482</v>
      </c>
      <c r="AK48" s="475">
        <v>43483</v>
      </c>
      <c r="AL48" s="475">
        <v>43484</v>
      </c>
      <c r="AM48" s="475">
        <v>43485</v>
      </c>
      <c r="AN48" s="475">
        <v>43486</v>
      </c>
      <c r="AO48" s="475">
        <v>43487</v>
      </c>
      <c r="AP48" s="475">
        <v>43488</v>
      </c>
      <c r="AQ48" s="475">
        <v>43489</v>
      </c>
      <c r="AR48" s="475">
        <v>43490</v>
      </c>
      <c r="AS48" s="475">
        <v>43491</v>
      </c>
      <c r="AT48" s="475">
        <v>43492</v>
      </c>
      <c r="AU48" s="475">
        <v>43493</v>
      </c>
      <c r="AV48" s="475">
        <v>43494</v>
      </c>
      <c r="AW48" s="475">
        <v>43495</v>
      </c>
      <c r="AX48" s="475">
        <v>43496</v>
      </c>
    </row>
    <row r="49" spans="2:57" s="54" customFormat="1" ht="36.75" customHeight="1" thickBot="1">
      <c r="B49" s="491" t="str">
        <f>J35</f>
        <v>STAG</v>
      </c>
      <c r="C49" s="479">
        <v>46268</v>
      </c>
      <c r="D49" s="445">
        <f>[17]September_2026!$F$13</f>
        <v>395.99999999999994</v>
      </c>
      <c r="E49" s="443"/>
      <c r="F49" s="444"/>
      <c r="G49" s="444">
        <f>[17]September_2026!$F$17</f>
        <v>361.8</v>
      </c>
      <c r="H49" s="458"/>
      <c r="I49" s="458"/>
      <c r="J49" s="448" t="s">
        <v>169</v>
      </c>
      <c r="K49" s="449">
        <f>[18]September_2026!$F$25</f>
        <v>0.31736842105263158</v>
      </c>
      <c r="L49" s="457">
        <f>(((D49+E49)-G49)/(D49+E49))*100</f>
        <v>8.6363636363636189</v>
      </c>
      <c r="M49" s="455" t="s">
        <v>173</v>
      </c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>
        <f>[19]January_2019!L5</f>
        <v>0</v>
      </c>
      <c r="AC49" s="57">
        <f>[19]January_2019!M5</f>
        <v>0</v>
      </c>
      <c r="AD49" s="57">
        <f>[19]January_2019!N5</f>
        <v>0</v>
      </c>
      <c r="AE49" s="57">
        <f>[19]January_2019!O5</f>
        <v>0</v>
      </c>
      <c r="AF49" s="57">
        <f>[19]January_2019!P5</f>
        <v>0</v>
      </c>
      <c r="AG49" s="57">
        <f>[19]January_2019!Q5</f>
        <v>0</v>
      </c>
      <c r="AH49" s="57">
        <f>[19]January_2019!R5</f>
        <v>0</v>
      </c>
      <c r="AI49" s="57">
        <f>[19]January_2019!S5</f>
        <v>0</v>
      </c>
      <c r="AJ49" s="57">
        <f>[19]January_2019!T5</f>
        <v>0</v>
      </c>
      <c r="AK49" s="57">
        <f>[19]January_2019!U5</f>
        <v>0</v>
      </c>
      <c r="AL49" s="57">
        <f>[19]January_2019!V5</f>
        <v>0</v>
      </c>
      <c r="AM49" s="57">
        <f>[19]January_2019!W5</f>
        <v>0</v>
      </c>
      <c r="AN49" s="57">
        <f>[19]January_2019!X5</f>
        <v>0</v>
      </c>
      <c r="AO49" s="57">
        <f>[19]January_2019!Y5</f>
        <v>0</v>
      </c>
      <c r="AP49" s="57">
        <f>[19]January_2019!Z5</f>
        <v>0</v>
      </c>
      <c r="AQ49" s="57">
        <f>[19]January_2019!AA5</f>
        <v>0</v>
      </c>
      <c r="AR49" s="57">
        <f>[19]January_2019!AB5</f>
        <v>0</v>
      </c>
      <c r="AS49" s="57">
        <f>[19]January_2019!AC5</f>
        <v>0</v>
      </c>
      <c r="AT49" s="57">
        <f>[19]January_2019!AD5</f>
        <v>0</v>
      </c>
      <c r="AU49" s="57">
        <f>[19]January_2019!AE5</f>
        <v>0</v>
      </c>
      <c r="AV49" s="57">
        <f>[19]January_2019!AF5</f>
        <v>0</v>
      </c>
      <c r="AW49" s="57">
        <f>[19]January_2019!AG5</f>
        <v>0</v>
      </c>
      <c r="AX49" s="277">
        <f>[19]January_2019!AH5</f>
        <v>0</v>
      </c>
      <c r="AY49" s="277"/>
      <c r="AZ49" s="277"/>
      <c r="BA49" s="277"/>
      <c r="BB49" s="277"/>
      <c r="BC49" s="277"/>
      <c r="BD49" s="277"/>
      <c r="BE49" s="277"/>
    </row>
    <row r="50" spans="2:57" s="54" customFormat="1" ht="14.25" customHeight="1" thickBot="1">
      <c r="B50" s="480"/>
      <c r="C50" s="479"/>
      <c r="D50" s="442"/>
      <c r="E50" s="443"/>
      <c r="F50" s="444"/>
      <c r="G50" s="445"/>
      <c r="H50" s="458"/>
      <c r="I50" s="458"/>
      <c r="J50" s="476"/>
      <c r="K50" s="449"/>
      <c r="L50" s="457"/>
      <c r="M50" s="455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[19]January_2019!L6</f>
        <v>0</v>
      </c>
      <c r="AC50" s="57">
        <f>[19]January_2019!M6</f>
        <v>0</v>
      </c>
      <c r="AD50" s="57">
        <f>[19]January_2019!N6</f>
        <v>0</v>
      </c>
      <c r="AE50" s="57">
        <f>[19]January_2019!O6</f>
        <v>0</v>
      </c>
      <c r="AF50" s="57">
        <f>[19]January_2019!P6</f>
        <v>0</v>
      </c>
      <c r="AG50" s="57">
        <f>[19]January_2019!Q6</f>
        <v>0</v>
      </c>
      <c r="AH50" s="57">
        <f>[19]January_2019!R6</f>
        <v>0</v>
      </c>
      <c r="AI50" s="57">
        <f>[19]January_2019!S6</f>
        <v>0</v>
      </c>
      <c r="AJ50" s="57">
        <f>[19]January_2019!T6</f>
        <v>0</v>
      </c>
      <c r="AK50" s="57">
        <f>[19]January_2019!U6</f>
        <v>0</v>
      </c>
      <c r="AL50" s="57">
        <f>[19]January_2019!V6</f>
        <v>0</v>
      </c>
      <c r="AM50" s="57">
        <f>[19]January_2019!W6</f>
        <v>0</v>
      </c>
      <c r="AN50" s="57">
        <f>[19]January_2019!X6</f>
        <v>0</v>
      </c>
      <c r="AO50" s="57">
        <f>[19]January_2019!Y6</f>
        <v>0</v>
      </c>
      <c r="AP50" s="57">
        <f>[19]January_2019!Z6</f>
        <v>0</v>
      </c>
      <c r="AQ50" s="57">
        <f>[19]January_2019!AA6</f>
        <v>0</v>
      </c>
      <c r="AR50" s="57">
        <f>[19]January_2019!AB6</f>
        <v>0</v>
      </c>
      <c r="AS50" s="57">
        <f>[19]January_2019!AC6</f>
        <v>0</v>
      </c>
      <c r="AT50" s="57">
        <f>[19]January_2019!AD6</f>
        <v>0</v>
      </c>
      <c r="AU50" s="57">
        <f>[19]January_2019!AE6</f>
        <v>0</v>
      </c>
      <c r="AV50" s="57">
        <f>[19]January_2019!AF6</f>
        <v>0</v>
      </c>
      <c r="AW50" s="57">
        <f>[19]January_2019!AG6</f>
        <v>0</v>
      </c>
      <c r="AX50" s="277">
        <f>[19]January_2019!AH6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37.15" customHeight="1" thickBot="1">
      <c r="B51" s="456"/>
      <c r="C51" s="479"/>
      <c r="D51" s="442"/>
      <c r="E51" s="443"/>
      <c r="F51" s="444"/>
      <c r="G51" s="444"/>
      <c r="H51" s="446"/>
      <c r="I51" s="446"/>
      <c r="J51" s="476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[19]January_2019!L7</f>
        <v>285.8</v>
      </c>
      <c r="AC51" s="57">
        <f>[19]January_2019!M7</f>
        <v>508.1</v>
      </c>
      <c r="AD51" s="57">
        <f>[19]January_2019!N7</f>
        <v>0</v>
      </c>
      <c r="AE51" s="57">
        <f>[19]January_2019!O7</f>
        <v>0</v>
      </c>
      <c r="AF51" s="57">
        <f>[19]January_2019!P7</f>
        <v>109.56666666666666</v>
      </c>
      <c r="AG51" s="57">
        <f>[19]January_2019!Q7</f>
        <v>297.64999999999998</v>
      </c>
      <c r="AH51" s="57">
        <f>[19]January_2019!R7</f>
        <v>122.3</v>
      </c>
      <c r="AI51" s="57">
        <f>[19]January_2019!S7</f>
        <v>0</v>
      </c>
      <c r="AJ51" s="57">
        <f>[19]January_2019!T7</f>
        <v>294.7</v>
      </c>
      <c r="AK51" s="57">
        <f>[19]January_2019!U7</f>
        <v>280.5</v>
      </c>
      <c r="AL51" s="57">
        <f>[19]January_2019!V7</f>
        <v>0</v>
      </c>
      <c r="AM51" s="57">
        <f>[19]January_2019!W7</f>
        <v>0</v>
      </c>
      <c r="AN51" s="57">
        <f>[19]January_2019!X7</f>
        <v>188.25</v>
      </c>
      <c r="AO51" s="57">
        <f>[19]January_2019!Y7</f>
        <v>295.7</v>
      </c>
      <c r="AP51" s="57">
        <f>[19]January_2019!Z7</f>
        <v>257.8</v>
      </c>
      <c r="AQ51" s="57">
        <f>[19]January_2019!AA7</f>
        <v>291.2</v>
      </c>
      <c r="AR51" s="57">
        <f>[19]January_2019!AB7</f>
        <v>187</v>
      </c>
      <c r="AS51" s="57">
        <f>[19]January_2019!AC7</f>
        <v>0</v>
      </c>
      <c r="AT51" s="57">
        <f>[19]January_2019!AD7</f>
        <v>0</v>
      </c>
      <c r="AU51" s="57">
        <f>[19]January_2019!AE7</f>
        <v>485.1</v>
      </c>
      <c r="AV51" s="57">
        <f>[19]January_2019!AF7</f>
        <v>171.55</v>
      </c>
      <c r="AW51" s="57">
        <f>[19]January_2019!AG7</f>
        <v>423.8</v>
      </c>
      <c r="AX51" s="277">
        <f>[19]January_2019!AH7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8.600000000000001" hidden="1" customHeight="1" thickBot="1">
      <c r="B52" s="478"/>
      <c r="C52" s="430"/>
      <c r="D52" s="431"/>
      <c r="E52" s="432"/>
      <c r="F52" s="433"/>
      <c r="G52" s="434"/>
      <c r="H52" s="458"/>
      <c r="I52" s="458"/>
      <c r="J52" s="451"/>
      <c r="K52" s="436"/>
      <c r="L52" s="452"/>
      <c r="M52" s="421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38.65" hidden="1" customHeight="1" thickBot="1">
      <c r="B53" s="487"/>
      <c r="C53" s="479"/>
      <c r="D53" s="442"/>
      <c r="E53" s="443"/>
      <c r="F53" s="444"/>
      <c r="G53" s="445"/>
      <c r="H53" s="458"/>
      <c r="I53" s="458"/>
      <c r="J53" s="448"/>
      <c r="K53" s="45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15" hidden="1">
      <c r="B54" s="453"/>
      <c r="C54" s="430"/>
      <c r="D54" s="431"/>
      <c r="E54" s="432"/>
      <c r="F54" s="433"/>
      <c r="G54" s="434"/>
      <c r="H54" s="435"/>
      <c r="I54" s="450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7.15" hidden="1" customHeight="1" thickBot="1">
      <c r="B55" s="481"/>
      <c r="C55" s="479"/>
      <c r="D55" s="442"/>
      <c r="E55" s="443"/>
      <c r="F55" s="444"/>
      <c r="G55" s="445"/>
      <c r="H55" s="446"/>
      <c r="I55" s="447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6.5" hidden="1" customHeight="1" thickBot="1">
      <c r="B56" s="437"/>
      <c r="C56" s="423"/>
      <c r="D56" s="424"/>
      <c r="E56" s="425"/>
      <c r="F56" s="426"/>
      <c r="G56" s="427"/>
      <c r="H56" s="428"/>
      <c r="I56" s="438"/>
      <c r="J56" s="439"/>
      <c r="K56" s="429"/>
      <c r="L56" s="440"/>
      <c r="M56" s="422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415"/>
      <c r="AC56" s="415"/>
      <c r="AD56" s="415"/>
      <c r="AE56" s="415"/>
      <c r="AF56" s="415"/>
      <c r="AG56" s="415"/>
      <c r="AH56" s="415"/>
      <c r="AI56" s="415"/>
      <c r="AJ56" s="415"/>
      <c r="AK56" s="415"/>
      <c r="AL56" s="415"/>
      <c r="AM56" s="415"/>
      <c r="AN56" s="415"/>
      <c r="AO56" s="415"/>
      <c r="AP56" s="415"/>
      <c r="AQ56" s="415"/>
      <c r="AR56" s="415"/>
      <c r="AS56" s="415"/>
      <c r="AT56" s="415"/>
      <c r="AU56" s="415"/>
      <c r="AV56" s="415"/>
      <c r="AW56" s="415"/>
    </row>
    <row r="57" spans="2:57" s="54" customFormat="1" ht="37.15" hidden="1" customHeight="1" thickBot="1">
      <c r="B57" s="456"/>
      <c r="C57" s="441"/>
      <c r="D57" s="442"/>
      <c r="E57" s="443"/>
      <c r="F57" s="444"/>
      <c r="G57" s="445"/>
      <c r="H57" s="446"/>
      <c r="I57" s="447"/>
      <c r="J57" s="448"/>
      <c r="K57" s="449"/>
      <c r="L57" s="457"/>
      <c r="M57" s="454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customHeight="1">
      <c r="B58" s="466"/>
      <c r="C58" s="430"/>
      <c r="D58" s="460"/>
      <c r="E58" s="461"/>
      <c r="F58" s="462"/>
      <c r="G58" s="460"/>
      <c r="H58" s="463"/>
      <c r="I58" s="463"/>
      <c r="J58" s="463"/>
      <c r="K58" s="464"/>
      <c r="L58" s="465"/>
      <c r="M58" s="50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ht="18" customHeight="1" thickBot="1">
      <c r="B59" s="59"/>
      <c r="C59" s="30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 t="s">
        <v>41</v>
      </c>
      <c r="O59" s="56"/>
      <c r="P59" s="60"/>
    </row>
    <row r="60" spans="2:57" ht="15.75" thickBot="1">
      <c r="B60" s="498" t="s">
        <v>55</v>
      </c>
      <c r="C60" s="499"/>
      <c r="D60" s="499"/>
      <c r="E60" s="499"/>
      <c r="F60" s="500"/>
      <c r="G60" s="498" t="s">
        <v>56</v>
      </c>
      <c r="H60" s="499"/>
      <c r="I60" s="499"/>
      <c r="J60" s="500"/>
      <c r="K60" s="498" t="s">
        <v>51</v>
      </c>
      <c r="L60" s="499"/>
      <c r="M60" s="499"/>
      <c r="N60" s="501"/>
      <c r="O60" s="56"/>
      <c r="P60" s="50"/>
    </row>
    <row r="61" spans="2:57" ht="15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/>
      <c r="L61" s="62" t="s">
        <v>37</v>
      </c>
      <c r="M61" s="62" t="s">
        <v>38</v>
      </c>
      <c r="N61" s="63" t="s">
        <v>39</v>
      </c>
      <c r="O61" s="56"/>
      <c r="P61" s="64"/>
    </row>
    <row r="62" spans="2:57" ht="15">
      <c r="B62" s="29" t="s">
        <v>6</v>
      </c>
      <c r="C62" s="65"/>
      <c r="D62" s="76">
        <v>7.4556506636893838</v>
      </c>
      <c r="E62" s="76">
        <v>6.5474778039534414</v>
      </c>
      <c r="F62" s="66">
        <v>4.8</v>
      </c>
      <c r="G62" s="65"/>
      <c r="H62" s="477">
        <v>7.1556036556036569</v>
      </c>
      <c r="I62" s="477">
        <v>6.6650165071201641</v>
      </c>
      <c r="J62" s="66">
        <v>4.8</v>
      </c>
      <c r="K62" s="67"/>
      <c r="L62" s="194">
        <v>0.29475438596491227</v>
      </c>
      <c r="M62" s="194">
        <v>0.5207964922592172</v>
      </c>
      <c r="N62" s="68">
        <v>1</v>
      </c>
      <c r="O62" s="56"/>
      <c r="P62" s="69"/>
    </row>
    <row r="63" spans="2:57" ht="15">
      <c r="B63" s="33" t="s">
        <v>9</v>
      </c>
      <c r="C63" s="65">
        <f>L49</f>
        <v>8.6363636363636189</v>
      </c>
      <c r="D63" s="76">
        <v>8.6363636363636189</v>
      </c>
      <c r="E63" s="76">
        <v>5.8721053130307412</v>
      </c>
      <c r="F63" s="66">
        <v>4.8</v>
      </c>
      <c r="G63" s="65">
        <f>[17]September_2026!$F$21</f>
        <v>7.5248838752488254</v>
      </c>
      <c r="H63" s="76">
        <v>7.5248838752488254</v>
      </c>
      <c r="I63" s="76">
        <v>5.9880521869393624</v>
      </c>
      <c r="J63" s="66">
        <v>4.8</v>
      </c>
      <c r="K63" s="67">
        <f>K49</f>
        <v>0.31736842105263158</v>
      </c>
      <c r="L63" s="194">
        <v>0.31736842105263158</v>
      </c>
      <c r="M63" s="194">
        <v>0.68971317640877172</v>
      </c>
      <c r="N63" s="68">
        <v>1</v>
      </c>
      <c r="P63" s="69"/>
    </row>
    <row r="64" spans="2:57" ht="15">
      <c r="B64" s="34" t="s">
        <v>40</v>
      </c>
      <c r="C64" s="65"/>
      <c r="D64" s="76"/>
      <c r="E64" s="76">
        <v>11.277593164016125</v>
      </c>
      <c r="F64" s="66">
        <v>5.5</v>
      </c>
      <c r="G64" s="65"/>
      <c r="H64" s="76"/>
      <c r="I64" s="76">
        <v>11.857907912244482</v>
      </c>
      <c r="J64" s="66">
        <v>5.5</v>
      </c>
      <c r="K64" s="67"/>
      <c r="L64" s="194"/>
      <c r="M64" s="194">
        <v>0.35370190356844494</v>
      </c>
      <c r="N64" s="68">
        <v>1</v>
      </c>
      <c r="P64" s="69"/>
    </row>
    <row r="65" spans="2:16" ht="15">
      <c r="B65" s="22" t="s">
        <v>33</v>
      </c>
      <c r="C65" s="65"/>
      <c r="D65" s="76"/>
      <c r="E65" s="76">
        <v>4.8685538193023836</v>
      </c>
      <c r="F65" s="66">
        <v>3.3</v>
      </c>
      <c r="G65" s="65"/>
      <c r="H65" s="76"/>
      <c r="I65" s="76">
        <v>4.8702525342252114</v>
      </c>
      <c r="J65" s="66">
        <v>3.3</v>
      </c>
      <c r="K65" s="67"/>
      <c r="L65" s="194"/>
      <c r="M65" s="194">
        <v>0.77919298245614044</v>
      </c>
      <c r="N65" s="68">
        <v>1</v>
      </c>
      <c r="P65" s="69"/>
    </row>
    <row r="66" spans="2:16" ht="15">
      <c r="B66" s="35" t="s">
        <v>164</v>
      </c>
      <c r="C66" s="65"/>
      <c r="D66" s="76"/>
      <c r="E66" s="76"/>
      <c r="F66" s="66">
        <v>3.3</v>
      </c>
      <c r="G66" s="282"/>
      <c r="H66" s="76"/>
      <c r="I66" s="76"/>
      <c r="J66" s="66">
        <v>3</v>
      </c>
      <c r="K66" s="67"/>
      <c r="L66" s="194"/>
      <c r="M66" s="194"/>
      <c r="N66" s="68">
        <v>1</v>
      </c>
      <c r="P66" s="69"/>
    </row>
    <row r="67" spans="2:16" ht="15">
      <c r="B67" s="36" t="s">
        <v>15</v>
      </c>
      <c r="C67" s="65"/>
      <c r="D67" s="76"/>
      <c r="E67" s="76">
        <v>6.0400197628458603</v>
      </c>
      <c r="F67" s="70">
        <v>5.5</v>
      </c>
      <c r="G67" s="65"/>
      <c r="H67" s="76"/>
      <c r="I67" s="76">
        <v>8.2405787675951316</v>
      </c>
      <c r="J67" s="66">
        <v>5.5</v>
      </c>
      <c r="K67" s="67"/>
      <c r="L67" s="194"/>
      <c r="M67" s="194">
        <v>0.78491228070175445</v>
      </c>
      <c r="N67" s="68">
        <v>1</v>
      </c>
      <c r="P67" s="69"/>
    </row>
    <row r="68" spans="2:16" ht="15">
      <c r="B68" s="37" t="s">
        <v>16</v>
      </c>
      <c r="C68" s="482"/>
      <c r="D68" s="76"/>
      <c r="E68" s="76">
        <v>3.6168923014750334</v>
      </c>
      <c r="F68" s="66">
        <v>3.3</v>
      </c>
      <c r="G68" s="282"/>
      <c r="H68" s="76"/>
      <c r="I68" s="76">
        <v>5.0091179718082053</v>
      </c>
      <c r="J68" s="66">
        <v>3.3</v>
      </c>
      <c r="K68" s="67"/>
      <c r="L68" s="194"/>
      <c r="M68" s="194">
        <v>0.92642300194931759</v>
      </c>
      <c r="N68" s="71">
        <v>1</v>
      </c>
      <c r="P68" s="69"/>
    </row>
    <row r="69" spans="2:16" ht="15.75" thickBot="1">
      <c r="B69" s="38" t="s">
        <v>163</v>
      </c>
      <c r="C69" s="65"/>
      <c r="D69" s="76"/>
      <c r="E69" s="76"/>
      <c r="F69" s="66">
        <v>7.5</v>
      </c>
      <c r="G69" s="282"/>
      <c r="H69" s="76"/>
      <c r="I69" s="76"/>
      <c r="J69" s="66">
        <v>7.5</v>
      </c>
      <c r="K69" s="67"/>
      <c r="L69" s="194"/>
      <c r="M69" s="194"/>
      <c r="N69" s="71">
        <v>1</v>
      </c>
      <c r="P69" s="69"/>
    </row>
    <row r="70" spans="2:16" ht="15.75" thickBot="1">
      <c r="B70" s="414" t="s">
        <v>161</v>
      </c>
      <c r="C70" s="65"/>
      <c r="D70" s="76"/>
      <c r="E70" s="76"/>
      <c r="F70" s="66">
        <v>4.8</v>
      </c>
      <c r="G70" s="282"/>
      <c r="H70" s="76"/>
      <c r="I70" s="76"/>
      <c r="J70" s="66">
        <v>4.8</v>
      </c>
      <c r="K70" s="67"/>
      <c r="L70" s="194"/>
      <c r="M70" s="194"/>
      <c r="N70" s="71">
        <v>1</v>
      </c>
      <c r="O70" s="74"/>
      <c r="P70" s="75"/>
    </row>
    <row r="71" spans="2:16" ht="15">
      <c r="D71" s="76">
        <v>7.8446052741036665</v>
      </c>
      <c r="E71" s="76">
        <v>6.3600552791945226</v>
      </c>
      <c r="F71" s="341">
        <v>5.5</v>
      </c>
      <c r="H71" s="76">
        <v>7.2769259340002819</v>
      </c>
      <c r="I71" s="76">
        <v>6.7041928627942324</v>
      </c>
      <c r="J71" s="341">
        <v>5.5</v>
      </c>
      <c r="L71" s="194">
        <v>0.30229239766081867</v>
      </c>
      <c r="M71" s="194">
        <v>0.59317096676560477</v>
      </c>
      <c r="N71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8:N18"/>
    <mergeCell ref="D19:E19"/>
    <mergeCell ref="B20:B31"/>
    <mergeCell ref="D20:E21"/>
    <mergeCell ref="D22:E23"/>
    <mergeCell ref="D24:E25"/>
    <mergeCell ref="D26:E27"/>
    <mergeCell ref="D28:E29"/>
    <mergeCell ref="D30:E31"/>
    <mergeCell ref="B32:B41"/>
    <mergeCell ref="D32:E33"/>
    <mergeCell ref="J32:K32"/>
    <mergeCell ref="L33:N33"/>
    <mergeCell ref="D34:E35"/>
    <mergeCell ref="D36:E37"/>
    <mergeCell ref="D38:E39"/>
    <mergeCell ref="D40:E41"/>
    <mergeCell ref="D42:E42"/>
    <mergeCell ref="B47:B48"/>
    <mergeCell ref="C47:C48"/>
    <mergeCell ref="D47:D48"/>
    <mergeCell ref="E47:E48"/>
    <mergeCell ref="M47:M48"/>
    <mergeCell ref="B60:F60"/>
    <mergeCell ref="G60:J60"/>
    <mergeCell ref="K60:N60"/>
    <mergeCell ref="G47:G48"/>
    <mergeCell ref="H47:H48"/>
    <mergeCell ref="I47:I48"/>
    <mergeCell ref="J47:J48"/>
    <mergeCell ref="K47:K48"/>
    <mergeCell ref="L47:L48"/>
    <mergeCell ref="F47:F48"/>
  </mergeCells>
  <conditionalFormatting sqref="B42:B43">
    <cfRule type="cellIs" dxfId="3059" priority="115" operator="notBetween">
      <formula>#REF!</formula>
      <formula>#REF!</formula>
    </cfRule>
  </conditionalFormatting>
  <conditionalFormatting sqref="C46">
    <cfRule type="cellIs" dxfId="3058" priority="197" stopIfTrue="1" operator="lessThan">
      <formula>96</formula>
    </cfRule>
    <cfRule type="cellIs" dxfId="3057" priority="198" stopIfTrue="1" operator="greaterThan">
      <formula>100</formula>
    </cfRule>
  </conditionalFormatting>
  <conditionalFormatting sqref="C62:C63">
    <cfRule type="cellIs" dxfId="3056" priority="78" stopIfTrue="1" operator="greaterThan">
      <formula>$F62</formula>
    </cfRule>
    <cfRule type="cellIs" dxfId="3055" priority="79" stopIfTrue="1" operator="lessThanOrEqual">
      <formula>0</formula>
    </cfRule>
    <cfRule type="cellIs" dxfId="3054" priority="80" stopIfTrue="1" operator="greaterThan">
      <formula>$F62</formula>
    </cfRule>
    <cfRule type="cellIs" dxfId="3053" priority="81" stopIfTrue="1" operator="lessThanOrEqual">
      <formula>0</formula>
    </cfRule>
  </conditionalFormatting>
  <conditionalFormatting sqref="C64:C66 C68:C70">
    <cfRule type="cellIs" dxfId="3052" priority="87" stopIfTrue="1" operator="greaterThan">
      <formula>$F67</formula>
    </cfRule>
  </conditionalFormatting>
  <conditionalFormatting sqref="C64:C66">
    <cfRule type="cellIs" dxfId="3051" priority="88" stopIfTrue="1" operator="lessThanOrEqual">
      <formula>0</formula>
    </cfRule>
  </conditionalFormatting>
  <conditionalFormatting sqref="C67">
    <cfRule type="cellIs" dxfId="3050" priority="199" stopIfTrue="1" operator="greaterThan">
      <formula>$F62</formula>
    </cfRule>
    <cfRule type="cellIs" dxfId="3049" priority="200" stopIfTrue="1" operator="lessThanOrEqual">
      <formula>0</formula>
    </cfRule>
    <cfRule type="cellIs" dxfId="3048" priority="201" stopIfTrue="1" operator="greaterThan">
      <formula>$F62</formula>
    </cfRule>
    <cfRule type="cellIs" dxfId="3047" priority="202" stopIfTrue="1" operator="lessThanOrEqual">
      <formula>0</formula>
    </cfRule>
  </conditionalFormatting>
  <conditionalFormatting sqref="C68:C70">
    <cfRule type="cellIs" dxfId="3046" priority="89" stopIfTrue="1" operator="lessThanOrEqual">
      <formula>0</formula>
    </cfRule>
  </conditionalFormatting>
  <conditionalFormatting sqref="C73:C77">
    <cfRule type="cellIs" dxfId="3045" priority="189" stopIfTrue="1" operator="lessThanOrEqual">
      <formula>0</formula>
    </cfRule>
  </conditionalFormatting>
  <conditionalFormatting sqref="C74:C77">
    <cfRule type="cellIs" dxfId="3044" priority="188" stopIfTrue="1" operator="greaterThan">
      <formula>$F$73</formula>
    </cfRule>
  </conditionalFormatting>
  <conditionalFormatting sqref="C79">
    <cfRule type="cellIs" dxfId="3043" priority="190" stopIfTrue="1" operator="greaterThan">
      <formula>$F$73</formula>
    </cfRule>
    <cfRule type="cellIs" dxfId="3042" priority="191" stopIfTrue="1" operator="lessThanOrEqual">
      <formula>0</formula>
    </cfRule>
  </conditionalFormatting>
  <conditionalFormatting sqref="C67:D67">
    <cfRule type="cellIs" dxfId="3041" priority="76" stopIfTrue="1" operator="greaterThan">
      <formula>$J67</formula>
    </cfRule>
    <cfRule type="cellIs" dxfId="3040" priority="77" stopIfTrue="1" operator="lessThanOrEqual">
      <formula>0</formula>
    </cfRule>
  </conditionalFormatting>
  <conditionalFormatting sqref="C73:D73 D75:D81">
    <cfRule type="cellIs" dxfId="3039" priority="183" stopIfTrue="1" operator="greaterThan">
      <formula>4.5</formula>
    </cfRule>
  </conditionalFormatting>
  <conditionalFormatting sqref="D42:D43">
    <cfRule type="cellIs" dxfId="3038" priority="116" operator="notBetween">
      <formula>#REF!</formula>
      <formula>#REF!</formula>
    </cfRule>
  </conditionalFormatting>
  <conditionalFormatting sqref="D62:D66 D68:D69">
    <cfRule type="cellIs" dxfId="3037" priority="86" stopIfTrue="1" operator="lessThanOrEqual">
      <formula>0</formula>
    </cfRule>
  </conditionalFormatting>
  <conditionalFormatting sqref="D62:D66 D68:D71">
    <cfRule type="cellIs" dxfId="3036" priority="82" stopIfTrue="1" operator="lessThanOrEqual">
      <formula>0</formula>
    </cfRule>
    <cfRule type="cellIs" dxfId="3035" priority="83" stopIfTrue="1" operator="greaterThan">
      <formula>$F62</formula>
    </cfRule>
  </conditionalFormatting>
  <conditionalFormatting sqref="D70:D71">
    <cfRule type="cellIs" dxfId="3034" priority="84" stopIfTrue="1" operator="lessThanOrEqual">
      <formula>0</formula>
    </cfRule>
  </conditionalFormatting>
  <conditionalFormatting sqref="D71">
    <cfRule type="cellIs" dxfId="3033" priority="85" stopIfTrue="1" operator="lessThanOrEqual">
      <formula>0</formula>
    </cfRule>
  </conditionalFormatting>
  <conditionalFormatting sqref="D73 D75:D81">
    <cfRule type="cellIs" dxfId="3032" priority="184" stopIfTrue="1" operator="lessThanOrEqual">
      <formula>0</formula>
    </cfRule>
  </conditionalFormatting>
  <conditionalFormatting sqref="D74">
    <cfRule type="cellIs" dxfId="3031" priority="175" stopIfTrue="1" operator="greaterThan">
      <formula>$F$73</formula>
    </cfRule>
    <cfRule type="cellIs" dxfId="3030" priority="176" stopIfTrue="1" operator="lessThanOrEqual">
      <formula>0</formula>
    </cfRule>
  </conditionalFormatting>
  <conditionalFormatting sqref="E10:E17">
    <cfRule type="cellIs" dxfId="3029" priority="23" operator="lessThan">
      <formula>48</formula>
    </cfRule>
  </conditionalFormatting>
  <conditionalFormatting sqref="E45 E46:F46">
    <cfRule type="cellIs" dxfId="3028" priority="180" stopIfTrue="1" operator="greaterThan">
      <formula>100</formula>
    </cfRule>
  </conditionalFormatting>
  <conditionalFormatting sqref="E46">
    <cfRule type="cellIs" dxfId="3027" priority="177" stopIfTrue="1" operator="lessThan">
      <formula>96.8</formula>
    </cfRule>
    <cfRule type="cellIs" dxfId="3026" priority="178" stopIfTrue="1" operator="greaterThan">
      <formula>100</formula>
    </cfRule>
  </conditionalFormatting>
  <conditionalFormatting sqref="E62:E70">
    <cfRule type="cellIs" dxfId="3025" priority="49" stopIfTrue="1" operator="lessThanOrEqual">
      <formula>0</formula>
    </cfRule>
  </conditionalFormatting>
  <conditionalFormatting sqref="E62:E71">
    <cfRule type="cellIs" dxfId="3024" priority="50" stopIfTrue="1" operator="greaterThan">
      <formula>$F62</formula>
    </cfRule>
    <cfRule type="cellIs" dxfId="3023" priority="51" stopIfTrue="1" operator="lessThanOrEqual">
      <formula>0</formula>
    </cfRule>
  </conditionalFormatting>
  <conditionalFormatting sqref="E71">
    <cfRule type="cellIs" dxfId="3022" priority="52" stopIfTrue="1" operator="lessThanOrEqual">
      <formula>0</formula>
    </cfRule>
  </conditionalFormatting>
  <conditionalFormatting sqref="E73:E81">
    <cfRule type="cellIs" dxfId="3021" priority="169" stopIfTrue="1" operator="greaterThan">
      <formula>4.5</formula>
    </cfRule>
    <cfRule type="cellIs" dxfId="3020" priority="170" stopIfTrue="1" operator="lessThanOrEqual">
      <formula>0</formula>
    </cfRule>
  </conditionalFormatting>
  <conditionalFormatting sqref="E46:F46 E45">
    <cfRule type="cellIs" dxfId="3019" priority="179" stopIfTrue="1" operator="lessThan">
      <formula>96.5</formula>
    </cfRule>
  </conditionalFormatting>
  <conditionalFormatting sqref="F10:F17">
    <cfRule type="cellIs" dxfId="3018" priority="26" operator="greaterThan">
      <formula>60</formula>
    </cfRule>
  </conditionalFormatting>
  <conditionalFormatting sqref="F46">
    <cfRule type="cellIs" dxfId="3017" priority="195" stopIfTrue="1" operator="lessThan">
      <formula>96.8</formula>
    </cfRule>
    <cfRule type="cellIs" dxfId="3016" priority="196" stopIfTrue="1" operator="greaterThan">
      <formula>100</formula>
    </cfRule>
  </conditionalFormatting>
  <conditionalFormatting sqref="G10:G14">
    <cfRule type="expression" dxfId="3015" priority="14">
      <formula>IF(+(IF(G10&lt;#REF!,0,IF(G10&gt;#REF!,0,1)))=0,1)</formula>
    </cfRule>
  </conditionalFormatting>
  <conditionalFormatting sqref="G15:G17">
    <cfRule type="expression" dxfId="3014" priority="12">
      <formula>IF(+(IF(G15&lt;S15,0,IF(G15&gt;T15,0,1)))=0,1)</formula>
    </cfRule>
  </conditionalFormatting>
  <conditionalFormatting sqref="G62:G65 F71">
    <cfRule type="cellIs" dxfId="3013" priority="58" stopIfTrue="1" operator="greaterThan">
      <formula>$F62</formula>
    </cfRule>
    <cfRule type="cellIs" dxfId="3012" priority="59" stopIfTrue="1" operator="lessThanOrEqual">
      <formula>0</formula>
    </cfRule>
  </conditionalFormatting>
  <conditionalFormatting sqref="G64:G65">
    <cfRule type="cellIs" dxfId="3011" priority="44" stopIfTrue="1" operator="greaterThan">
      <formula>$F64</formula>
    </cfRule>
    <cfRule type="cellIs" dxfId="3010" priority="45" stopIfTrue="1" operator="lessThanOrEqual">
      <formula>0</formula>
    </cfRule>
  </conditionalFormatting>
  <conditionalFormatting sqref="G66:G70">
    <cfRule type="cellIs" dxfId="3009" priority="60" stopIfTrue="1" operator="greaterThan">
      <formula>$J66</formula>
    </cfRule>
    <cfRule type="cellIs" dxfId="3008" priority="61" stopIfTrue="1" operator="lessThanOrEqual">
      <formula>0</formula>
    </cfRule>
  </conditionalFormatting>
  <conditionalFormatting sqref="G67">
    <cfRule type="cellIs" dxfId="3007" priority="203" stopIfTrue="1" operator="greaterThan">
      <formula>$F62</formula>
    </cfRule>
    <cfRule type="cellIs" dxfId="3006" priority="204" stopIfTrue="1" operator="lessThanOrEqual">
      <formula>0</formula>
    </cfRule>
  </conditionalFormatting>
  <conditionalFormatting sqref="G75:G80 C78 C80">
    <cfRule type="cellIs" dxfId="3005" priority="192" stopIfTrue="1" operator="greaterThan">
      <formula>4.5</formula>
    </cfRule>
    <cfRule type="cellIs" dxfId="3004" priority="193" stopIfTrue="1" operator="lessThanOrEqual">
      <formula>0</formula>
    </cfRule>
  </conditionalFormatting>
  <conditionalFormatting sqref="G74:H74">
    <cfRule type="cellIs" dxfId="3003" priority="173" stopIfTrue="1" operator="greaterThan">
      <formula>$F$73</formula>
    </cfRule>
    <cfRule type="cellIs" dxfId="3002" priority="174" stopIfTrue="1" operator="lessThanOrEqual">
      <formula>0</formula>
    </cfRule>
  </conditionalFormatting>
  <conditionalFormatting sqref="H31:H32 H45">
    <cfRule type="cellIs" dxfId="3001" priority="171" stopIfTrue="1" operator="greaterThan">
      <formula>0</formula>
    </cfRule>
  </conditionalFormatting>
  <conditionalFormatting sqref="H49">
    <cfRule type="cellIs" dxfId="3000" priority="63" stopIfTrue="1" operator="lessThanOrEqual">
      <formula>0</formula>
    </cfRule>
    <cfRule type="cellIs" dxfId="2999" priority="64" stopIfTrue="1" operator="greaterThan">
      <formula>$F$62</formula>
    </cfRule>
    <cfRule type="cellIs" dxfId="2998" priority="72" stopIfTrue="1" operator="greaterThan">
      <formula>$F$65</formula>
    </cfRule>
    <cfRule type="cellIs" dxfId="2997" priority="73" stopIfTrue="1" operator="lessThanOrEqual">
      <formula>0</formula>
    </cfRule>
    <cfRule type="cellIs" dxfId="2996" priority="74" stopIfTrue="1" operator="greaterThan">
      <formula>$F$63</formula>
    </cfRule>
  </conditionalFormatting>
  <conditionalFormatting sqref="H49:H50">
    <cfRule type="cellIs" dxfId="2995" priority="75" stopIfTrue="1" operator="lessThanOrEqual">
      <formula>0</formula>
    </cfRule>
  </conditionalFormatting>
  <conditionalFormatting sqref="H50 H52:H53">
    <cfRule type="cellIs" dxfId="2994" priority="101" stopIfTrue="1" operator="lessThanOrEqual">
      <formula>0</formula>
    </cfRule>
  </conditionalFormatting>
  <conditionalFormatting sqref="H50">
    <cfRule type="cellIs" dxfId="2993" priority="90" stopIfTrue="1" operator="greaterThan">
      <formula>$F$62</formula>
    </cfRule>
    <cfRule type="cellIs" dxfId="2992" priority="98" stopIfTrue="1" operator="greaterThan">
      <formula>$F$65</formula>
    </cfRule>
    <cfRule type="cellIs" dxfId="2991" priority="99" stopIfTrue="1" operator="lessThanOrEqual">
      <formula>0</formula>
    </cfRule>
    <cfRule type="cellIs" dxfId="2990" priority="100" stopIfTrue="1" operator="greaterThan">
      <formula>$F$63</formula>
    </cfRule>
  </conditionalFormatting>
  <conditionalFormatting sqref="H51">
    <cfRule type="cellIs" dxfId="2989" priority="30" stopIfTrue="1" operator="lessThanOrEqual">
      <formula>0</formula>
    </cfRule>
    <cfRule type="cellIs" dxfId="2988" priority="31" stopIfTrue="1" operator="greaterThan">
      <formula>$F$64</formula>
    </cfRule>
    <cfRule type="cellIs" dxfId="2987" priority="39" stopIfTrue="1" operator="greaterThan">
      <formula>$F$67</formula>
    </cfRule>
    <cfRule type="cellIs" dxfId="2986" priority="40" stopIfTrue="1" operator="lessThanOrEqual">
      <formula>0</formula>
    </cfRule>
    <cfRule type="cellIs" dxfId="2985" priority="41" stopIfTrue="1" operator="greaterThan">
      <formula>$F$65</formula>
    </cfRule>
    <cfRule type="cellIs" dxfId="2984" priority="42" stopIfTrue="1" operator="lessThanOrEqual">
      <formula>0</formula>
    </cfRule>
  </conditionalFormatting>
  <conditionalFormatting sqref="H52:H53">
    <cfRule type="cellIs" dxfId="2983" priority="103" stopIfTrue="1" operator="greaterThan">
      <formula>$F$62</formula>
    </cfRule>
    <cfRule type="cellIs" dxfId="2982" priority="111" stopIfTrue="1" operator="greaterThan">
      <formula>$F$65</formula>
    </cfRule>
    <cfRule type="cellIs" dxfId="2981" priority="112" stopIfTrue="1" operator="lessThanOrEqual">
      <formula>0</formula>
    </cfRule>
    <cfRule type="cellIs" dxfId="2980" priority="113" stopIfTrue="1" operator="greaterThan">
      <formula>$F$63</formula>
    </cfRule>
    <cfRule type="cellIs" dxfId="2979" priority="114" stopIfTrue="1" operator="lessThanOrEqual">
      <formula>0</formula>
    </cfRule>
  </conditionalFormatting>
  <conditionalFormatting sqref="H54:H55">
    <cfRule type="cellIs" dxfId="2978" priority="138" stopIfTrue="1" operator="lessThanOrEqual">
      <formula>0</formula>
    </cfRule>
    <cfRule type="cellIs" dxfId="2977" priority="139" stopIfTrue="1" operator="greaterThan">
      <formula>#REF!</formula>
    </cfRule>
    <cfRule type="cellIs" dxfId="2976" priority="147" stopIfTrue="1" operator="greaterThan">
      <formula>#REF!</formula>
    </cfRule>
    <cfRule type="cellIs" dxfId="2975" priority="148" stopIfTrue="1" operator="lessThanOrEqual">
      <formula>0</formula>
    </cfRule>
  </conditionalFormatting>
  <conditionalFormatting sqref="H56">
    <cfRule type="cellIs" dxfId="2974" priority="150" stopIfTrue="1" operator="lessThanOrEqual">
      <formula>0</formula>
    </cfRule>
    <cfRule type="cellIs" dxfId="2973" priority="151" stopIfTrue="1" operator="greaterThan">
      <formula>$F$30</formula>
    </cfRule>
    <cfRule type="cellIs" dxfId="2972" priority="159" stopIfTrue="1" operator="greaterThan">
      <formula>$F$33</formula>
    </cfRule>
    <cfRule type="cellIs" dxfId="2971" priority="160" stopIfTrue="1" operator="lessThanOrEqual">
      <formula>0</formula>
    </cfRule>
    <cfRule type="cellIs" dxfId="2970" priority="161" stopIfTrue="1" operator="greaterThan">
      <formula>$F$31</formula>
    </cfRule>
    <cfRule type="cellIs" dxfId="2969" priority="162" stopIfTrue="1" operator="lessThanOrEqual">
      <formula>0</formula>
    </cfRule>
  </conditionalFormatting>
  <conditionalFormatting sqref="H57:H58">
    <cfRule type="cellIs" dxfId="2968" priority="126" stopIfTrue="1" operator="lessThanOrEqual">
      <formula>0</formula>
    </cfRule>
    <cfRule type="cellIs" dxfId="2967" priority="127" stopIfTrue="1" operator="greaterThan">
      <formula>#REF!</formula>
    </cfRule>
    <cfRule type="cellIs" dxfId="2966" priority="135" stopIfTrue="1" operator="greaterThan">
      <formula>#REF!</formula>
    </cfRule>
    <cfRule type="cellIs" dxfId="2965" priority="136" stopIfTrue="1" operator="lessThanOrEqual">
      <formula>0</formula>
    </cfRule>
  </conditionalFormatting>
  <conditionalFormatting sqref="H73 H75:H81">
    <cfRule type="cellIs" dxfId="2964" priority="185" stopIfTrue="1" operator="greaterThan">
      <formula>4.5</formula>
    </cfRule>
    <cfRule type="cellIs" dxfId="2963" priority="186" stopIfTrue="1" operator="lessThanOrEqual">
      <formula>0</formula>
    </cfRule>
  </conditionalFormatting>
  <conditionalFormatting sqref="H49:I49">
    <cfRule type="cellIs" dxfId="2962" priority="65" stopIfTrue="1" operator="lessThanOrEqual">
      <formula>0</formula>
    </cfRule>
  </conditionalFormatting>
  <conditionalFormatting sqref="H49:I50 H52:I53">
    <cfRule type="cellIs" dxfId="2961" priority="62" stopIfTrue="1" operator="greaterThan">
      <formula>$F$64</formula>
    </cfRule>
  </conditionalFormatting>
  <conditionalFormatting sqref="H50:I50">
    <cfRule type="cellIs" dxfId="2960" priority="91" stopIfTrue="1" operator="lessThanOrEqual">
      <formula>0</formula>
    </cfRule>
  </conditionalFormatting>
  <conditionalFormatting sqref="H51:I51">
    <cfRule type="cellIs" dxfId="2959" priority="29" stopIfTrue="1" operator="greaterThan">
      <formula>$F$66</formula>
    </cfRule>
    <cfRule type="cellIs" dxfId="2958" priority="32" stopIfTrue="1" operator="lessThanOrEqual">
      <formula>0</formula>
    </cfRule>
  </conditionalFormatting>
  <conditionalFormatting sqref="H52:I53">
    <cfRule type="cellIs" dxfId="2957" priority="104" stopIfTrue="1" operator="lessThanOrEqual">
      <formula>0</formula>
    </cfRule>
  </conditionalFormatting>
  <conditionalFormatting sqref="H54:I55">
    <cfRule type="cellIs" dxfId="2956" priority="137" stopIfTrue="1" operator="greaterThan">
      <formula>#REF!</formula>
    </cfRule>
    <cfRule type="cellIs" dxfId="2955" priority="140" stopIfTrue="1" operator="lessThanOrEqual">
      <formula>0</formula>
    </cfRule>
    <cfRule type="cellIs" dxfId="2954" priority="145" stopIfTrue="1" operator="greaterThan">
      <formula>#REF!</formula>
    </cfRule>
    <cfRule type="cellIs" dxfId="2953" priority="146" stopIfTrue="1" operator="lessThanOrEqual">
      <formula>0</formula>
    </cfRule>
  </conditionalFormatting>
  <conditionalFormatting sqref="H56:I56">
    <cfRule type="cellIs" dxfId="2952" priority="149" stopIfTrue="1" operator="greaterThan">
      <formula>$F$32</formula>
    </cfRule>
    <cfRule type="cellIs" dxfId="2951" priority="152" stopIfTrue="1" operator="lessThanOrEqual">
      <formula>0</formula>
    </cfRule>
  </conditionalFormatting>
  <conditionalFormatting sqref="H57:I58">
    <cfRule type="cellIs" dxfId="2950" priority="125" stopIfTrue="1" operator="greaterThan">
      <formula>#REF!</formula>
    </cfRule>
    <cfRule type="cellIs" dxfId="2949" priority="128" stopIfTrue="1" operator="lessThanOrEqual">
      <formula>0</formula>
    </cfRule>
    <cfRule type="cellIs" dxfId="2948" priority="133" stopIfTrue="1" operator="greaterThan">
      <formula>#REF!</formula>
    </cfRule>
    <cfRule type="cellIs" dxfId="2947" priority="134" stopIfTrue="1" operator="lessThanOrEqual">
      <formula>0</formula>
    </cfRule>
  </conditionalFormatting>
  <conditionalFormatting sqref="H62:I69">
    <cfRule type="cellIs" dxfId="2946" priority="47" stopIfTrue="1" operator="greaterThan">
      <formula>$J62</formula>
    </cfRule>
    <cfRule type="cellIs" dxfId="2945" priority="48" stopIfTrue="1" operator="lessThanOrEqual">
      <formula>0</formula>
    </cfRule>
  </conditionalFormatting>
  <conditionalFormatting sqref="H70:I70">
    <cfRule type="cellIs" dxfId="2944" priority="55" operator="greaterThan">
      <formula>5.3</formula>
    </cfRule>
  </conditionalFormatting>
  <conditionalFormatting sqref="H71:I71">
    <cfRule type="cellIs" dxfId="2943" priority="53" stopIfTrue="1" operator="greaterThan">
      <formula>$J71</formula>
    </cfRule>
    <cfRule type="cellIs" dxfId="2942" priority="54" stopIfTrue="1" operator="lessThanOrEqual">
      <formula>0</formula>
    </cfRule>
  </conditionalFormatting>
  <conditionalFormatting sqref="I49">
    <cfRule type="cellIs" dxfId="2941" priority="66" stopIfTrue="1" operator="greaterThan">
      <formula>$F$62</formula>
    </cfRule>
    <cfRule type="cellIs" dxfId="2940" priority="67" stopIfTrue="1" operator="lessThanOrEqual">
      <formula>0</formula>
    </cfRule>
    <cfRule type="cellIs" dxfId="2939" priority="68" stopIfTrue="1" operator="greaterThan">
      <formula>$F$64</formula>
    </cfRule>
    <cfRule type="cellIs" dxfId="2938" priority="69" stopIfTrue="1" operator="lessThanOrEqual">
      <formula>0</formula>
    </cfRule>
    <cfRule type="cellIs" dxfId="2937" priority="70" stopIfTrue="1" operator="greaterThan">
      <formula>$F$62</formula>
    </cfRule>
    <cfRule type="cellIs" dxfId="2936" priority="71" stopIfTrue="1" operator="lessThanOrEqual">
      <formula>0</formula>
    </cfRule>
  </conditionalFormatting>
  <conditionalFormatting sqref="I50">
    <cfRule type="cellIs" dxfId="2935" priority="92" stopIfTrue="1" operator="greaterThan">
      <formula>$F$62</formula>
    </cfRule>
    <cfRule type="cellIs" dxfId="2934" priority="93" stopIfTrue="1" operator="lessThanOrEqual">
      <formula>0</formula>
    </cfRule>
    <cfRule type="cellIs" dxfId="2933" priority="94" stopIfTrue="1" operator="greaterThan">
      <formula>$F$64</formula>
    </cfRule>
    <cfRule type="cellIs" dxfId="2932" priority="95" stopIfTrue="1" operator="lessThanOrEqual">
      <formula>0</formula>
    </cfRule>
    <cfRule type="cellIs" dxfId="2931" priority="96" stopIfTrue="1" operator="greaterThan">
      <formula>$F$62</formula>
    </cfRule>
    <cfRule type="cellIs" dxfId="2930" priority="97" stopIfTrue="1" operator="lessThanOrEqual">
      <formula>0</formula>
    </cfRule>
  </conditionalFormatting>
  <conditionalFormatting sqref="I51">
    <cfRule type="cellIs" dxfId="2929" priority="33" stopIfTrue="1" operator="greaterThan">
      <formula>$F$64</formula>
    </cfRule>
    <cfRule type="cellIs" dxfId="2928" priority="34" stopIfTrue="1" operator="lessThanOrEqual">
      <formula>0</formula>
    </cfRule>
    <cfRule type="cellIs" dxfId="2927" priority="35" stopIfTrue="1" operator="greaterThan">
      <formula>$F$66</formula>
    </cfRule>
    <cfRule type="cellIs" dxfId="2926" priority="36" stopIfTrue="1" operator="lessThanOrEqual">
      <formula>0</formula>
    </cfRule>
    <cfRule type="cellIs" dxfId="2925" priority="37" stopIfTrue="1" operator="greaterThan">
      <formula>$F$64</formula>
    </cfRule>
    <cfRule type="cellIs" dxfId="2924" priority="38" stopIfTrue="1" operator="lessThanOrEqual">
      <formula>0</formula>
    </cfRule>
  </conditionalFormatting>
  <conditionalFormatting sqref="I52:I53">
    <cfRule type="cellIs" dxfId="2923" priority="105" stopIfTrue="1" operator="greaterThan">
      <formula>$F$62</formula>
    </cfRule>
    <cfRule type="cellIs" dxfId="2922" priority="106" stopIfTrue="1" operator="lessThanOrEqual">
      <formula>0</formula>
    </cfRule>
    <cfRule type="cellIs" dxfId="2921" priority="107" stopIfTrue="1" operator="greaterThan">
      <formula>$F$64</formula>
    </cfRule>
    <cfRule type="cellIs" dxfId="2920" priority="108" stopIfTrue="1" operator="lessThanOrEqual">
      <formula>0</formula>
    </cfRule>
    <cfRule type="cellIs" dxfId="2919" priority="109" stopIfTrue="1" operator="greaterThan">
      <formula>$F$62</formula>
    </cfRule>
    <cfRule type="cellIs" dxfId="2918" priority="110" stopIfTrue="1" operator="lessThanOrEqual">
      <formula>0</formula>
    </cfRule>
  </conditionalFormatting>
  <conditionalFormatting sqref="I54:I55">
    <cfRule type="cellIs" dxfId="2917" priority="141" stopIfTrue="1" operator="greaterThan">
      <formula>#REF!</formula>
    </cfRule>
    <cfRule type="cellIs" dxfId="2916" priority="142" stopIfTrue="1" operator="lessThanOrEqual">
      <formula>0</formula>
    </cfRule>
    <cfRule type="cellIs" dxfId="2915" priority="143" stopIfTrue="1" operator="greaterThan">
      <formula>#REF!</formula>
    </cfRule>
    <cfRule type="cellIs" dxfId="2914" priority="144" stopIfTrue="1" operator="lessThanOrEqual">
      <formula>0</formula>
    </cfRule>
  </conditionalFormatting>
  <conditionalFormatting sqref="I56">
    <cfRule type="cellIs" dxfId="2913" priority="153" stopIfTrue="1" operator="greaterThan">
      <formula>$F$30</formula>
    </cfRule>
    <cfRule type="cellIs" dxfId="2912" priority="154" stopIfTrue="1" operator="lessThanOrEqual">
      <formula>0</formula>
    </cfRule>
    <cfRule type="cellIs" dxfId="2911" priority="155" stopIfTrue="1" operator="greaterThan">
      <formula>$F$32</formula>
    </cfRule>
    <cfRule type="cellIs" dxfId="2910" priority="156" stopIfTrue="1" operator="lessThanOrEqual">
      <formula>0</formula>
    </cfRule>
    <cfRule type="cellIs" dxfId="2909" priority="157" stopIfTrue="1" operator="greaterThan">
      <formula>$F$30</formula>
    </cfRule>
    <cfRule type="cellIs" dxfId="2908" priority="158" stopIfTrue="1" operator="lessThanOrEqual">
      <formula>0</formula>
    </cfRule>
  </conditionalFormatting>
  <conditionalFormatting sqref="I57:I58">
    <cfRule type="cellIs" dxfId="2907" priority="129" stopIfTrue="1" operator="greaterThan">
      <formula>#REF!</formula>
    </cfRule>
    <cfRule type="cellIs" dxfId="2906" priority="130" stopIfTrue="1" operator="lessThanOrEqual">
      <formula>0</formula>
    </cfRule>
    <cfRule type="cellIs" dxfId="2905" priority="131" stopIfTrue="1" operator="greaterThan">
      <formula>#REF!</formula>
    </cfRule>
    <cfRule type="cellIs" dxfId="2904" priority="132" stopIfTrue="1" operator="lessThanOrEqual">
      <formula>0</formula>
    </cfRule>
  </conditionalFormatting>
  <conditionalFormatting sqref="I73:I81">
    <cfRule type="cellIs" dxfId="2903" priority="181" stopIfTrue="1" operator="greaterThan">
      <formula>4.5</formula>
    </cfRule>
    <cfRule type="cellIs" dxfId="2902" priority="182" stopIfTrue="1" operator="lessThanOrEqual">
      <formula>0</formula>
    </cfRule>
  </conditionalFormatting>
  <conditionalFormatting sqref="I10:J17">
    <cfRule type="cellIs" dxfId="2901" priority="19" operator="lessThan">
      <formula>97.9</formula>
    </cfRule>
  </conditionalFormatting>
  <conditionalFormatting sqref="J20:J22">
    <cfRule type="cellIs" dxfId="2900" priority="28" operator="lessThan">
      <formula>97.95</formula>
    </cfRule>
  </conditionalFormatting>
  <conditionalFormatting sqref="J22:J24">
    <cfRule type="cellIs" dxfId="2899" priority="163" operator="lessThan">
      <formula>97.4</formula>
    </cfRule>
  </conditionalFormatting>
  <conditionalFormatting sqref="J25:J26">
    <cfRule type="cellIs" dxfId="2898" priority="164" operator="lessThan">
      <formula>98</formula>
    </cfRule>
  </conditionalFormatting>
  <conditionalFormatting sqref="J27:J28">
    <cfRule type="cellIs" dxfId="2897" priority="165" stopIfTrue="1" operator="lessThan">
      <formula>96.8</formula>
    </cfRule>
    <cfRule type="cellIs" dxfId="2896" priority="166" stopIfTrue="1" operator="greaterThan">
      <formula>100</formula>
    </cfRule>
  </conditionalFormatting>
  <conditionalFormatting sqref="J27:J29">
    <cfRule type="cellIs" dxfId="2895" priority="167" operator="lessThan">
      <formula>98</formula>
    </cfRule>
  </conditionalFormatting>
  <conditionalFormatting sqref="J58">
    <cfRule type="cellIs" dxfId="2894" priority="117" stopIfTrue="1" operator="greaterThan">
      <formula>#REF!</formula>
    </cfRule>
    <cfRule type="cellIs" dxfId="2893" priority="118" stopIfTrue="1" operator="lessThanOrEqual">
      <formula>0</formula>
    </cfRule>
    <cfRule type="cellIs" dxfId="2892" priority="119" stopIfTrue="1" operator="greaterThan">
      <formula>#REF!</formula>
    </cfRule>
    <cfRule type="cellIs" dxfId="2891" priority="120" stopIfTrue="1" operator="lessThanOrEqual">
      <formula>0</formula>
    </cfRule>
    <cfRule type="cellIs" dxfId="2890" priority="121" stopIfTrue="1" operator="greaterThan">
      <formula>#REF!</formula>
    </cfRule>
    <cfRule type="cellIs" dxfId="2889" priority="122" stopIfTrue="1" operator="lessThanOrEqual">
      <formula>0</formula>
    </cfRule>
    <cfRule type="cellIs" dxfId="2888" priority="123" stopIfTrue="1" operator="greaterThan">
      <formula>#REF!</formula>
    </cfRule>
    <cfRule type="cellIs" dxfId="2887" priority="124" stopIfTrue="1" operator="lessThanOrEqual">
      <formula>0</formula>
    </cfRule>
  </conditionalFormatting>
  <conditionalFormatting sqref="J71">
    <cfRule type="cellIs" dxfId="2886" priority="56" stopIfTrue="1" operator="greaterThan">
      <formula>$F71</formula>
    </cfRule>
    <cfRule type="cellIs" dxfId="2885" priority="57" stopIfTrue="1" operator="lessThanOrEqual">
      <formula>0</formula>
    </cfRule>
  </conditionalFormatting>
  <conditionalFormatting sqref="K10:K17">
    <cfRule type="cellIs" dxfId="2884" priority="20" operator="greaterThan">
      <formula>6</formula>
    </cfRule>
    <cfRule type="cellIs" dxfId="2883" priority="21" operator="lessThan">
      <formula>4</formula>
    </cfRule>
    <cfRule type="cellIs" dxfId="2882" priority="22" operator="greaterThan">
      <formula>6.4</formula>
    </cfRule>
  </conditionalFormatting>
  <conditionalFormatting sqref="K49:K58">
    <cfRule type="cellIs" dxfId="2881" priority="102" stopIfTrue="1" operator="lessThan">
      <formula>100%</formula>
    </cfRule>
  </conditionalFormatting>
  <conditionalFormatting sqref="K62:K70">
    <cfRule type="cellIs" dxfId="2880" priority="46" stopIfTrue="1" operator="lessThan">
      <formula>100%</formula>
    </cfRule>
  </conditionalFormatting>
  <conditionalFormatting sqref="K73:K78">
    <cfRule type="cellIs" dxfId="2879" priority="187" stopIfTrue="1" operator="lessThan">
      <formula>100%</formula>
    </cfRule>
  </conditionalFormatting>
  <conditionalFormatting sqref="K80:K81">
    <cfRule type="cellIs" dxfId="2878" priority="194" stopIfTrue="1" operator="lessThan">
      <formula>100%</formula>
    </cfRule>
  </conditionalFormatting>
  <conditionalFormatting sqref="L10:L17">
    <cfRule type="cellIs" dxfId="2877" priority="16" operator="between">
      <formula>61</formula>
      <formula>65</formula>
    </cfRule>
    <cfRule type="cellIs" dxfId="2876" priority="17" operator="greaterThan">
      <formula>65</formula>
    </cfRule>
  </conditionalFormatting>
  <conditionalFormatting sqref="L20:M31">
    <cfRule type="cellIs" dxfId="2875" priority="27" operator="lessThan">
      <formula>97.95</formula>
    </cfRule>
  </conditionalFormatting>
  <conditionalFormatting sqref="L35:N35">
    <cfRule type="cellIs" dxfId="2874" priority="15" operator="notEqual">
      <formula>#REF!</formula>
    </cfRule>
  </conditionalFormatting>
  <conditionalFormatting sqref="L62:N71">
    <cfRule type="cellIs" dxfId="2873" priority="43" stopIfTrue="1" operator="lessThan">
      <formula>100%</formula>
    </cfRule>
  </conditionalFormatting>
  <conditionalFormatting sqref="L73:N81">
    <cfRule type="cellIs" dxfId="2872" priority="172" stopIfTrue="1" operator="lessThan">
      <formula>100%</formula>
    </cfRule>
  </conditionalFormatting>
  <conditionalFormatting sqref="M15:M17">
    <cfRule type="expression" dxfId="2871" priority="2">
      <formula>IF(+(IF(M15&lt;U15,0,IF(M15&gt;V15,0,1)))=0,1)</formula>
    </cfRule>
  </conditionalFormatting>
  <conditionalFormatting sqref="M10:N14 H10:H17">
    <cfRule type="expression" dxfId="2870" priority="25">
      <formula>IF(+(IF(H10&lt;#REF!,0,IF(H10&gt;#REF!,0,1)))=0,1)</formula>
    </cfRule>
  </conditionalFormatting>
  <conditionalFormatting sqref="N10:N17">
    <cfRule type="expression" dxfId="2869" priority="18">
      <formula>IF(+(IF(N10&lt;W10,0,IF(N10&gt;X10,0,1)))=0,1)</formula>
    </cfRule>
  </conditionalFormatting>
  <conditionalFormatting sqref="P6">
    <cfRule type="cellIs" dxfId="2868" priority="168" operator="greaterThanOrEqual">
      <formula>19</formula>
    </cfRule>
  </conditionalFormatting>
  <dataValidations count="1">
    <dataValidation type="list" allowBlank="1" showInputMessage="1" showErrorMessage="1" sqref="R8" xr:uid="{75D0D761-9343-4A0A-8138-C66EB69E041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87963-6B33-4514-A225-7951FEA7E0E5}">
  <sheetPr>
    <pageSetUpPr fitToPage="1"/>
  </sheetPr>
  <dimension ref="A1:BE73"/>
  <sheetViews>
    <sheetView topLeftCell="A5" zoomScale="85" zoomScaleNormal="85" workbookViewId="0">
      <selection activeCell="E10" sqref="E10:E14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46272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6" t="s">
        <v>15</v>
      </c>
      <c r="C10" s="366" t="str">
        <f>[7]Brewhouse!$A26</f>
        <v>MK020</v>
      </c>
      <c r="D10" s="279">
        <f>[7]Brewhouse!$AF26</f>
        <v>51.7</v>
      </c>
      <c r="E10" s="279">
        <f>[7]Brewhouse!$AI26</f>
        <v>51.1</v>
      </c>
      <c r="F10" s="278">
        <f>[7]Brewhouse!$X26</f>
        <v>49</v>
      </c>
      <c r="G10" s="279">
        <f>[7]Brewhouse!$AG26</f>
        <v>13.3</v>
      </c>
      <c r="H10" s="396">
        <v>13.5</v>
      </c>
      <c r="I10" s="489">
        <f>[7]Brewhouse!$AT26</f>
        <v>97.686758632829481</v>
      </c>
      <c r="J10" s="489">
        <f>[7]Brewhouse!$AU26</f>
        <v>98.354162430360631</v>
      </c>
      <c r="K10" s="490">
        <f>[7]Brewhouse!$S26</f>
        <v>8.4078431372549005</v>
      </c>
      <c r="L10" s="276">
        <f>[7]Brewhouse!$R26</f>
        <v>75</v>
      </c>
      <c r="M10" s="374">
        <f>[7]Brewhouse!$W26-[7]Brewhouse!$V26</f>
        <v>0.12638888888888888</v>
      </c>
      <c r="N10" s="370">
        <f>[7]Brewhouse!$AA26</f>
        <v>0.32361111111111113</v>
      </c>
      <c r="O10" s="420" t="str">
        <f>[7]Brewhouse!$AX26</f>
        <v>R. Sookram</v>
      </c>
      <c r="P10" s="418"/>
      <c r="R10" s="277" t="str">
        <f t="shared" ref="R10:R20" si="0">B10</f>
        <v>MACKESON</v>
      </c>
      <c r="S10" s="472">
        <f t="shared" ref="S10:S33" si="1">VLOOKUP($B10,$R$3:$X$9,2,FALSE)</f>
        <v>13.3</v>
      </c>
      <c r="T10" s="472">
        <f t="shared" ref="T10:T33" si="2">VLOOKUP($B10,$R$3:$X$9,3,FALSE)</f>
        <v>13.5</v>
      </c>
      <c r="U10" s="297">
        <f t="shared" ref="U10:U33" si="3">VLOOKUP($B10,$R$3:$X$9,4,FALSE)</f>
        <v>0</v>
      </c>
      <c r="V10" s="297">
        <f t="shared" ref="V10:V33" si="4">VLOOKUP($B10,$R$3:$X$9,5,FALSE)</f>
        <v>0.12905092592592593</v>
      </c>
      <c r="W10" s="297">
        <f t="shared" ref="W10:W33" si="5">VLOOKUP($B10,$R$3:$X$9,6,FALSE)</f>
        <v>0.27430555555555552</v>
      </c>
      <c r="X10" s="297">
        <f t="shared" ref="X10:X33" si="6">VLOOKUP($B10,$R$3:$X$9,7,FALSE)</f>
        <v>0.30208333333333331</v>
      </c>
      <c r="Y10" s="297">
        <f t="shared" ref="Y10:Y33" si="7">VLOOKUP($B10,$R$3:$Z$9,8,FALSE)</f>
        <v>0</v>
      </c>
      <c r="Z10" s="472">
        <f t="shared" ref="Z10:Z33" si="8">VLOOKUP($B10,$R$3:$Z$9,9,FALSE)</f>
        <v>0</v>
      </c>
    </row>
    <row r="11" spans="2:29" ht="15" customHeight="1">
      <c r="B11" s="36" t="s">
        <v>15</v>
      </c>
      <c r="C11" s="366" t="str">
        <f>[7]Brewhouse!$A27</f>
        <v>MK021</v>
      </c>
      <c r="D11" s="279">
        <f>[7]Brewhouse!$AF27</f>
        <v>50.6</v>
      </c>
      <c r="E11" s="279">
        <f>[7]Brewhouse!$AI27</f>
        <v>50.8</v>
      </c>
      <c r="F11" s="278">
        <f>[7]Brewhouse!$X27</f>
        <v>53</v>
      </c>
      <c r="G11" s="279">
        <f>[7]Brewhouse!$AG27</f>
        <v>13.3</v>
      </c>
      <c r="H11" s="396">
        <v>13.1</v>
      </c>
      <c r="I11" s="489">
        <f>[7]Brewhouse!$AT27</f>
        <v>97.217049049093575</v>
      </c>
      <c r="J11" s="489">
        <f>[7]Brewhouse!$AU27</f>
        <v>97.881105690196961</v>
      </c>
      <c r="K11" s="490">
        <f>[7]Brewhouse!$S27</f>
        <v>10.208571428571426</v>
      </c>
      <c r="L11" s="276">
        <f>[7]Brewhouse!$R27</f>
        <v>75</v>
      </c>
      <c r="M11" s="374">
        <f>[7]Brewhouse!$W27-[7]Brewhouse!$V27</f>
        <v>0.14722222222222225</v>
      </c>
      <c r="N11" s="370">
        <f>[7]Brewhouse!$AA27</f>
        <v>0.31388888888888888</v>
      </c>
      <c r="O11" s="420" t="str">
        <f>[7]Brewhouse!$AX27</f>
        <v>R. Sookram</v>
      </c>
      <c r="P11" s="418"/>
      <c r="R11" s="277" t="str">
        <f t="shared" si="0"/>
        <v>MACKESON</v>
      </c>
      <c r="S11" s="472">
        <f t="shared" si="1"/>
        <v>13.3</v>
      </c>
      <c r="T11" s="472">
        <f t="shared" si="2"/>
        <v>13.5</v>
      </c>
      <c r="U11" s="297">
        <f t="shared" si="3"/>
        <v>0</v>
      </c>
      <c r="V11" s="297">
        <f t="shared" si="4"/>
        <v>0.12905092592592593</v>
      </c>
      <c r="W11" s="297">
        <f t="shared" si="5"/>
        <v>0.27430555555555552</v>
      </c>
      <c r="X11" s="297">
        <f t="shared" si="6"/>
        <v>0.30208333333333331</v>
      </c>
      <c r="Y11" s="297">
        <f t="shared" si="7"/>
        <v>0</v>
      </c>
      <c r="Z11" s="472">
        <f t="shared" si="8"/>
        <v>0</v>
      </c>
    </row>
    <row r="12" spans="2:29" ht="15" customHeight="1">
      <c r="B12" s="36" t="s">
        <v>15</v>
      </c>
      <c r="C12" s="366" t="str">
        <f>[7]Brewhouse!$A28</f>
        <v>MK022</v>
      </c>
      <c r="D12" s="279">
        <f>[7]Brewhouse!$AF28</f>
        <v>50.4</v>
      </c>
      <c r="E12" s="279">
        <f>[7]Brewhouse!$AI28</f>
        <v>49.8</v>
      </c>
      <c r="F12" s="278">
        <f>[7]Brewhouse!$X28</f>
        <v>53</v>
      </c>
      <c r="G12" s="279">
        <f>[7]Brewhouse!$AG28</f>
        <v>13.3</v>
      </c>
      <c r="H12" s="396">
        <v>13.5</v>
      </c>
      <c r="I12" s="489">
        <f>[7]Brewhouse!$AT28</f>
        <v>95.303327611119286</v>
      </c>
      <c r="J12" s="489">
        <f>[7]Brewhouse!$AU28</f>
        <v>95.954312271098587</v>
      </c>
      <c r="K12" s="490">
        <f>[7]Brewhouse!$S28</f>
        <v>10.565714285714289</v>
      </c>
      <c r="L12" s="276">
        <f>[7]Brewhouse!$R28</f>
        <v>79</v>
      </c>
      <c r="M12" s="374">
        <f>[7]Brewhouse!$W28-[7]Brewhouse!$V28</f>
        <v>0.15138888888888891</v>
      </c>
      <c r="N12" s="370">
        <f>[7]Brewhouse!$AA28</f>
        <v>0.30972222222222218</v>
      </c>
      <c r="O12" s="420" t="str">
        <f>[7]Brewhouse!$AX28</f>
        <v>K.Benjamin</v>
      </c>
      <c r="P12" s="418"/>
      <c r="R12" s="277" t="str">
        <f t="shared" si="0"/>
        <v>MACKESON</v>
      </c>
      <c r="S12" s="472">
        <f t="shared" si="1"/>
        <v>13.3</v>
      </c>
      <c r="T12" s="472">
        <f t="shared" si="2"/>
        <v>13.5</v>
      </c>
      <c r="U12" s="297">
        <f t="shared" si="3"/>
        <v>0</v>
      </c>
      <c r="V12" s="297">
        <f t="shared" si="4"/>
        <v>0.12905092592592593</v>
      </c>
      <c r="W12" s="297">
        <f t="shared" si="5"/>
        <v>0.27430555555555552</v>
      </c>
      <c r="X12" s="297">
        <f t="shared" si="6"/>
        <v>0.30208333333333331</v>
      </c>
      <c r="Y12" s="297">
        <f t="shared" si="7"/>
        <v>0</v>
      </c>
      <c r="Z12" s="472">
        <f t="shared" si="8"/>
        <v>0</v>
      </c>
    </row>
    <row r="13" spans="2:29" ht="15" customHeight="1">
      <c r="B13" s="36" t="s">
        <v>15</v>
      </c>
      <c r="C13" s="366" t="str">
        <f>[7]Brewhouse!$A29</f>
        <v>MK023</v>
      </c>
      <c r="D13" s="279">
        <f>[7]Brewhouse!$AF29</f>
        <v>49.8</v>
      </c>
      <c r="E13" s="279">
        <f>[7]Brewhouse!$AI29</f>
        <v>49.3</v>
      </c>
      <c r="F13" s="278">
        <f>[7]Brewhouse!$X29</f>
        <v>47</v>
      </c>
      <c r="G13" s="279">
        <f>[7]Brewhouse!$AG29</f>
        <v>13.8</v>
      </c>
      <c r="H13" s="396">
        <v>13.7</v>
      </c>
      <c r="I13" s="489">
        <f>[7]Brewhouse!$AT29</f>
        <v>97.085382097037311</v>
      </c>
      <c r="J13" s="489">
        <f>[7]Brewhouse!$AU29</f>
        <v>97.749905018459387</v>
      </c>
      <c r="K13" s="490">
        <f>[7]Brewhouse!$S29</f>
        <v>8.7025830258302701</v>
      </c>
      <c r="L13" s="276">
        <f>[7]Brewhouse!$R29</f>
        <v>76</v>
      </c>
      <c r="M13" s="374">
        <f>[7]Brewhouse!$W29-[7]Brewhouse!$V29</f>
        <v>0.12361111111111112</v>
      </c>
      <c r="N13" s="370">
        <f>[7]Brewhouse!$AA29</f>
        <v>0.30555555555555558</v>
      </c>
      <c r="O13" s="420" t="str">
        <f>[7]Brewhouse!$AX29</f>
        <v>K.Benjamin</v>
      </c>
      <c r="P13" s="418"/>
      <c r="R13" s="277" t="str">
        <f t="shared" si="0"/>
        <v>MACKESON</v>
      </c>
      <c r="S13" s="472">
        <f t="shared" si="1"/>
        <v>13.3</v>
      </c>
      <c r="T13" s="472">
        <f t="shared" si="2"/>
        <v>13.5</v>
      </c>
      <c r="U13" s="297">
        <f t="shared" si="3"/>
        <v>0</v>
      </c>
      <c r="V13" s="297">
        <f t="shared" si="4"/>
        <v>0.12905092592592593</v>
      </c>
      <c r="W13" s="297">
        <f t="shared" si="5"/>
        <v>0.27430555555555552</v>
      </c>
      <c r="X13" s="297">
        <f t="shared" si="6"/>
        <v>0.30208333333333331</v>
      </c>
      <c r="Y13" s="297">
        <f t="shared" si="7"/>
        <v>0</v>
      </c>
      <c r="Z13" s="472">
        <f t="shared" si="8"/>
        <v>0</v>
      </c>
    </row>
    <row r="14" spans="2:29" ht="15" customHeight="1">
      <c r="B14" s="36" t="s">
        <v>15</v>
      </c>
      <c r="C14" s="366" t="str">
        <f>[7]Brewhouse!$A30</f>
        <v>MK024</v>
      </c>
      <c r="D14" s="279">
        <f>[7]Brewhouse!$AF30</f>
        <v>50.2</v>
      </c>
      <c r="E14" s="279">
        <f>[7]Brewhouse!$AI30</f>
        <v>49.7</v>
      </c>
      <c r="F14" s="278">
        <f>[7]Brewhouse!$X30</f>
        <v>53</v>
      </c>
      <c r="G14" s="279">
        <f>[7]Brewhouse!$AG30</f>
        <v>13.5</v>
      </c>
      <c r="H14" s="396">
        <v>13.5</v>
      </c>
      <c r="I14" s="489">
        <f>[7]Brewhouse!$AT30</f>
        <v>96.401573752548614</v>
      </c>
      <c r="J14" s="489">
        <f>[7]Brewhouse!$AU30</f>
        <v>97.060333676549575</v>
      </c>
      <c r="K14" s="490">
        <f>[7]Brewhouse!$S30</f>
        <v>7.964575645756458</v>
      </c>
      <c r="L14" s="276">
        <f>[7]Brewhouse!$R30</f>
        <v>76</v>
      </c>
      <c r="M14" s="374">
        <f>[7]Brewhouse!$W30-[7]Brewhouse!$V30</f>
        <v>0.12152777777777779</v>
      </c>
      <c r="N14" s="370">
        <f>[7]Brewhouse!$AA30</f>
        <v>0.27916666666666667</v>
      </c>
      <c r="O14" s="420" t="str">
        <f>[7]Brewhouse!$AX30</f>
        <v>R.Regis</v>
      </c>
      <c r="P14" s="418"/>
      <c r="R14" s="277" t="str">
        <f t="shared" si="0"/>
        <v>MACKESON</v>
      </c>
      <c r="S14" s="472">
        <f t="shared" si="1"/>
        <v>13.3</v>
      </c>
      <c r="T14" s="472">
        <f t="shared" si="2"/>
        <v>13.5</v>
      </c>
      <c r="U14" s="297">
        <f t="shared" si="3"/>
        <v>0</v>
      </c>
      <c r="V14" s="297">
        <f t="shared" si="4"/>
        <v>0.12905092592592593</v>
      </c>
      <c r="W14" s="297">
        <f t="shared" si="5"/>
        <v>0.27430555555555552</v>
      </c>
      <c r="X14" s="297">
        <f t="shared" si="6"/>
        <v>0.30208333333333331</v>
      </c>
      <c r="Y14" s="297">
        <f t="shared" si="7"/>
        <v>0</v>
      </c>
      <c r="Z14" s="472">
        <f t="shared" si="8"/>
        <v>0</v>
      </c>
    </row>
    <row r="15" spans="2:29" ht="15" customHeight="1">
      <c r="B15" s="36"/>
      <c r="C15" s="366"/>
      <c r="D15" s="279"/>
      <c r="E15" s="279"/>
      <c r="F15" s="278"/>
      <c r="G15" s="279"/>
      <c r="H15" s="396"/>
      <c r="I15" s="489"/>
      <c r="J15" s="489"/>
      <c r="K15" s="490"/>
      <c r="L15" s="276"/>
      <c r="M15" s="374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 customHeight="1">
      <c r="B16" s="36"/>
      <c r="C16" s="366"/>
      <c r="D16" s="279"/>
      <c r="E16" s="279"/>
      <c r="F16" s="278"/>
      <c r="G16" s="279"/>
      <c r="H16" s="396"/>
      <c r="I16" s="489"/>
      <c r="J16" s="489"/>
      <c r="K16" s="490"/>
      <c r="L16" s="276"/>
      <c r="M16" s="374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5" customHeight="1">
      <c r="B17" s="36"/>
      <c r="C17" s="366"/>
      <c r="D17" s="279"/>
      <c r="E17" s="279"/>
      <c r="F17" s="278"/>
      <c r="G17" s="279"/>
      <c r="H17" s="396"/>
      <c r="I17" s="489"/>
      <c r="J17" s="489"/>
      <c r="K17" s="490"/>
      <c r="L17" s="276"/>
      <c r="M17" s="374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" customHeight="1">
      <c r="B18" s="36"/>
      <c r="C18" s="366"/>
      <c r="D18" s="279"/>
      <c r="E18" s="279"/>
      <c r="F18" s="278"/>
      <c r="G18" s="279"/>
      <c r="H18" s="396"/>
      <c r="I18" s="489"/>
      <c r="J18" s="489"/>
      <c r="K18" s="490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B19" s="36"/>
      <c r="C19" s="366"/>
      <c r="D19" s="279"/>
      <c r="E19" s="279"/>
      <c r="F19" s="278"/>
      <c r="G19" s="279"/>
      <c r="H19" s="396"/>
      <c r="I19" s="489"/>
      <c r="J19" s="489"/>
      <c r="K19" s="490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358"/>
      <c r="C20" s="358"/>
      <c r="D20" s="358"/>
      <c r="E20" s="358"/>
      <c r="F20" s="294"/>
      <c r="G20" s="294"/>
      <c r="H20" s="348"/>
      <c r="I20" s="534"/>
      <c r="J20" s="534"/>
      <c r="K20" s="534"/>
      <c r="L20" s="534"/>
      <c r="M20" s="534"/>
      <c r="N20" s="534"/>
      <c r="O20" s="1"/>
      <c r="P20" s="12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 thickBot="1">
      <c r="B21" s="483" t="s">
        <v>162</v>
      </c>
      <c r="C21" s="388"/>
      <c r="D21" s="535" t="s">
        <v>35</v>
      </c>
      <c r="E21" s="536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ref="R21:R33" si="9">B21</f>
        <v xml:space="preserve">BRAND 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>
      <c r="A22" s="28"/>
      <c r="B22" s="537"/>
      <c r="C22" s="484"/>
      <c r="D22" s="522"/>
      <c r="E22" s="523"/>
      <c r="F22" s="294"/>
      <c r="G22" s="294"/>
      <c r="H22" s="348"/>
      <c r="I22" s="29" t="s">
        <v>6</v>
      </c>
      <c r="J22" s="323"/>
      <c r="K22" s="284">
        <f>COUNTA([3]Brewhouse!$A$696:$A$715)</f>
        <v>20</v>
      </c>
      <c r="L22" s="305">
        <f>AVERAGE([3]Brewhouse!$AU$696:$AU$715)</f>
        <v>98.440340070586117</v>
      </c>
      <c r="M22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AVERAGE([3]Brewhouse!$AU$42:$AU$123,[3]Brewhouse!$AU$125:$AU$188,[3]Brewhouse!$AU$198:$AU$290,[3]Brewhouse!$AU$292:$AU$370,[3]Brewhouse!$AU$372:$AU$439,[3]Brewhouse!$AU$441:$AU$497,[3]Brewhouse!$AU$499:$AU$519,[3]Brewhouse!$AU$521:$AU$593,[3]Brewhouse!$AU$595:$AU$715)</f>
        <v>98.290599313483128</v>
      </c>
      <c r="N22" s="30">
        <v>98</v>
      </c>
      <c r="O22" s="11"/>
      <c r="P22" s="31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38"/>
      <c r="C23" s="362"/>
      <c r="D23" s="524"/>
      <c r="E23" s="525"/>
      <c r="F23" s="294"/>
      <c r="G23" s="294"/>
      <c r="H23" s="348"/>
      <c r="I23" s="33" t="s">
        <v>9</v>
      </c>
      <c r="J23" s="323"/>
      <c r="K23" s="284"/>
      <c r="L23" s="302"/>
      <c r="M23" s="302">
        <f>AVERAGE([4]Brewhouse!$AS$52:$AS$81,[4]Brewhouse!$AS$83:$AS$124,[4]Brewhouse!$AS$134:$AS$177,[4]Brewhouse!$AS$22:$AS$179,[4]Brewhouse!$AS$214:$AS$249,[4]Brewhouse!$AS$252:$AS$293,[4]Brewhouse!$AS$295:$AS$325,[4]Brewhouse!$AS$327:$AS$361)</f>
        <v>98.239656393693409</v>
      </c>
      <c r="N23" s="30">
        <v>98</v>
      </c>
      <c r="O23" s="11"/>
      <c r="P23" s="31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38"/>
      <c r="C24" s="362"/>
      <c r="D24" s="529"/>
      <c r="E24" s="530"/>
      <c r="F24" s="294"/>
      <c r="G24" s="294"/>
      <c r="H24" s="348"/>
      <c r="I24" s="34" t="s">
        <v>12</v>
      </c>
      <c r="J24" s="323"/>
      <c r="K24" s="284"/>
      <c r="L24" s="302"/>
      <c r="M24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4" s="30">
        <v>98</v>
      </c>
      <c r="O24" s="11"/>
      <c r="P24" s="31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38"/>
      <c r="C25" s="362"/>
      <c r="D25" s="531"/>
      <c r="E25" s="525"/>
      <c r="F25" s="294"/>
      <c r="G25" s="294"/>
      <c r="H25" s="348"/>
      <c r="I25" s="22" t="s">
        <v>33</v>
      </c>
      <c r="J25" s="280"/>
      <c r="K25" s="284"/>
      <c r="L25" s="302"/>
      <c r="M25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5" s="30">
        <v>98</v>
      </c>
      <c r="O25" s="11"/>
      <c r="P25" s="31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38"/>
      <c r="C26" s="362"/>
      <c r="D26" s="529"/>
      <c r="E26" s="530"/>
      <c r="F26" s="294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38"/>
      <c r="C27" s="362"/>
      <c r="D27" s="531"/>
      <c r="E27" s="525"/>
      <c r="F27" s="417"/>
      <c r="G27" s="294"/>
      <c r="H27" s="348"/>
      <c r="I27" s="36" t="s">
        <v>15</v>
      </c>
      <c r="J27" s="323">
        <f>AVERAGE(I10:I14)</f>
        <v>96.738818228525659</v>
      </c>
      <c r="K27" s="284">
        <f>COUNTA([7]Brewhouse!$A$23:$A$30)</f>
        <v>8</v>
      </c>
      <c r="L27" s="302">
        <f>AVERAGE([7]Brewhouse!$AT$23:$AT$30)</f>
        <v>96.065914782338609</v>
      </c>
      <c r="M27" s="302">
        <f>AVERAGE([7]Brewhouse!$AT$4:$AT$11,[7]Brewhouse!$AT$13:$AT$16,[7]Brewhouse!$AT$18:$AT$30)</f>
        <v>93.22262799886262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38"/>
      <c r="C28" s="362"/>
      <c r="D28" s="529"/>
      <c r="E28" s="530"/>
      <c r="F28" s="417"/>
      <c r="G28" s="294"/>
      <c r="H28" s="348"/>
      <c r="I28" s="37" t="s">
        <v>16</v>
      </c>
      <c r="J28" s="323"/>
      <c r="K28" s="284"/>
      <c r="L28" s="302"/>
      <c r="M28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28" s="30">
        <v>98</v>
      </c>
      <c r="O28" s="11"/>
      <c r="P28" s="31" t="s">
        <v>41</v>
      </c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38"/>
      <c r="C29" s="362"/>
      <c r="D29" s="531"/>
      <c r="E29" s="525"/>
      <c r="F29" s="294"/>
      <c r="G29" s="294"/>
      <c r="H29" s="348"/>
      <c r="I29" s="411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38"/>
      <c r="C30" s="362"/>
      <c r="D30" s="529"/>
      <c r="E30" s="530"/>
      <c r="F30" s="294"/>
      <c r="G30" s="294"/>
      <c r="H30" s="348"/>
      <c r="I30" s="410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38"/>
      <c r="C31" s="362"/>
      <c r="D31" s="531"/>
      <c r="E31" s="525"/>
      <c r="F31" s="294"/>
      <c r="G31" s="294"/>
      <c r="H31" s="348"/>
      <c r="I31" s="406" t="s">
        <v>156</v>
      </c>
      <c r="J31" s="327"/>
      <c r="K31" s="407"/>
      <c r="L31" s="408"/>
      <c r="M31" s="408"/>
      <c r="N31" s="409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38"/>
      <c r="C32" s="349"/>
      <c r="D32" s="522"/>
      <c r="E32" s="523"/>
      <c r="F32" s="294"/>
      <c r="G32" s="294"/>
      <c r="H32" s="348"/>
      <c r="I32" s="1"/>
      <c r="J32" s="39"/>
      <c r="K32" s="404">
        <f>SUM(K22:K31)</f>
        <v>28</v>
      </c>
      <c r="L32" s="405">
        <f>((L22*K22)+(L23*K23)+(L24*K24)+(L25*K25)+(L26*K26)+(K29*L29)+(L27*K27)+(L28*K28)+(L31*K31))/(K32)</f>
        <v>97.761932845372556</v>
      </c>
      <c r="M32" s="405">
        <f>AVERAGE('[9]Jan30th-31st'!$L$42,'[10]Feb 27th-28th'!$L$45,'[11]Mar 31st'!$L$42,'[12]Apr 30th'!$L$41,'[13]May 29th '!$L$35,'[14]June 30th'!$L$32,[15]July31st!$L$36,'[16]Aug 31st'!$L$32,L32)</f>
        <v>97.955718849564022</v>
      </c>
      <c r="N32" s="40">
        <v>98</v>
      </c>
      <c r="O32" s="11"/>
      <c r="P32" s="31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39"/>
      <c r="C33" s="350"/>
      <c r="D33" s="524"/>
      <c r="E33" s="525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2:56" ht="15.75" thickBot="1">
      <c r="B34" s="519"/>
      <c r="C34" s="362"/>
      <c r="D34" s="522"/>
      <c r="E34" s="523"/>
      <c r="F34" s="294"/>
      <c r="G34" s="42"/>
      <c r="H34" s="41"/>
      <c r="I34" s="42"/>
      <c r="J34" s="526" t="s">
        <v>129</v>
      </c>
      <c r="K34" s="526"/>
      <c r="L34" s="294"/>
      <c r="M34" s="294"/>
      <c r="N34" s="294"/>
      <c r="O34" s="294"/>
      <c r="P34" s="12"/>
    </row>
    <row r="35" spans="2:56" ht="15.75" thickBot="1">
      <c r="B35" s="520"/>
      <c r="C35" s="362"/>
      <c r="D35" s="524"/>
      <c r="E35" s="525"/>
      <c r="F35" s="294"/>
      <c r="G35" s="42"/>
      <c r="H35" s="42"/>
      <c r="I35" s="42"/>
      <c r="J35" s="292" t="s">
        <v>17</v>
      </c>
      <c r="K35" s="293"/>
      <c r="L35" s="527" t="s">
        <v>136</v>
      </c>
      <c r="M35" s="527"/>
      <c r="N35" s="528"/>
      <c r="O35" s="294"/>
      <c r="P35" s="12"/>
    </row>
    <row r="36" spans="2:56" ht="15" customHeight="1" thickBot="1">
      <c r="B36" s="520"/>
      <c r="C36" s="349"/>
      <c r="D36" s="529"/>
      <c r="E36" s="530"/>
      <c r="F36" s="294"/>
      <c r="G36" s="42"/>
      <c r="H36" s="42"/>
      <c r="I36" s="42"/>
      <c r="J36" s="287" t="s">
        <v>6</v>
      </c>
      <c r="K36" s="324"/>
      <c r="L36" s="473" t="s">
        <v>37</v>
      </c>
      <c r="M36" s="474" t="s">
        <v>38</v>
      </c>
      <c r="N36" s="474" t="s">
        <v>84</v>
      </c>
      <c r="O36" s="294"/>
      <c r="P36" s="12"/>
    </row>
    <row r="37" spans="2:56" ht="15.75" customHeight="1" thickBot="1">
      <c r="B37" s="520"/>
      <c r="C37" s="349"/>
      <c r="D37" s="531"/>
      <c r="E37" s="525"/>
      <c r="F37" s="294"/>
      <c r="G37" s="42"/>
      <c r="H37" s="42"/>
      <c r="I37" s="42"/>
      <c r="J37" s="345" t="s">
        <v>9</v>
      </c>
      <c r="K37" s="324"/>
      <c r="L37" s="485">
        <f>AVERAGE('Sept 1st'!K45,'Sept 2nd'!K47,'Sept 3rd'!K44,K46)</f>
        <v>7</v>
      </c>
      <c r="M37" s="486">
        <f>AVERAGE('[9]Jan30th-31st'!$L$47,L37,'[10]Feb 26th '!$L$39,'[11]Mar 31st'!$L$47,'[12]Apr 30th'!$L$46,'[13]May 29th '!$L$40,'[14]June 30th'!$L$39,[15]July31st!$L$41,'[16]Aug 31st'!$L$37)</f>
        <v>6.5155670416539984</v>
      </c>
      <c r="N37" s="416">
        <v>9.1999999999999993</v>
      </c>
      <c r="O37" s="294"/>
      <c r="P37" s="12"/>
    </row>
    <row r="38" spans="2:56" ht="15" customHeight="1">
      <c r="B38" s="520"/>
      <c r="C38" s="349"/>
      <c r="D38" s="529"/>
      <c r="E38" s="530"/>
      <c r="F38" s="294"/>
      <c r="G38" s="42"/>
      <c r="H38" s="42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20"/>
      <c r="C39" s="349"/>
      <c r="D39" s="531"/>
      <c r="E39" s="525"/>
      <c r="F39" s="294"/>
      <c r="G39" s="42"/>
      <c r="H39" s="42"/>
      <c r="I39" s="42"/>
      <c r="J39" s="289" t="s">
        <v>33</v>
      </c>
      <c r="K39" s="324"/>
      <c r="L39" s="294"/>
      <c r="M39" s="294"/>
      <c r="N39" s="294"/>
      <c r="O39" s="294"/>
      <c r="P39" s="12"/>
    </row>
    <row r="40" spans="2:56" ht="15">
      <c r="B40" s="520"/>
      <c r="C40" s="349"/>
      <c r="D40" s="529"/>
      <c r="E40" s="530"/>
      <c r="F40" s="294"/>
      <c r="G40" s="42"/>
      <c r="H40" s="42"/>
      <c r="I40" s="42"/>
      <c r="J40" s="290" t="s">
        <v>16</v>
      </c>
      <c r="K40" s="324">
        <v>5</v>
      </c>
      <c r="L40" s="294"/>
      <c r="M40" s="294"/>
      <c r="N40" s="294"/>
      <c r="O40" s="294"/>
      <c r="P40" s="12"/>
      <c r="BC40" s="44"/>
      <c r="BD40" s="44"/>
    </row>
    <row r="41" spans="2:56" ht="15">
      <c r="B41" s="520"/>
      <c r="C41" s="349"/>
      <c r="D41" s="531"/>
      <c r="E41" s="525"/>
      <c r="F41" s="294"/>
      <c r="G41" s="42"/>
      <c r="H41" s="42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20"/>
      <c r="C42" s="349"/>
      <c r="D42" s="529"/>
      <c r="E42" s="530"/>
      <c r="F42" s="294"/>
      <c r="G42" s="42"/>
      <c r="H42" s="42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21"/>
      <c r="C43" s="350"/>
      <c r="D43" s="532"/>
      <c r="E43" s="533"/>
      <c r="F43" s="294" t="s">
        <v>165</v>
      </c>
      <c r="G43" s="42"/>
      <c r="H43" s="42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10"/>
      <c r="E44" s="511"/>
      <c r="F44" s="294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2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2"/>
      <c r="I46" s="42"/>
      <c r="J46" s="346" t="s">
        <v>130</v>
      </c>
      <c r="K46" s="324">
        <f>SUM(K36:K45)</f>
        <v>5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42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504" t="s">
        <v>17</v>
      </c>
      <c r="C49" s="504" t="s">
        <v>44</v>
      </c>
      <c r="D49" s="513" t="s">
        <v>45</v>
      </c>
      <c r="E49" s="515" t="s">
        <v>46</v>
      </c>
      <c r="F49" s="517" t="s">
        <v>47</v>
      </c>
      <c r="G49" s="502" t="s">
        <v>48</v>
      </c>
      <c r="H49" s="504" t="s">
        <v>49</v>
      </c>
      <c r="I49" s="504" t="s">
        <v>50</v>
      </c>
      <c r="J49" s="496" t="s">
        <v>28</v>
      </c>
      <c r="K49" s="506" t="s">
        <v>51</v>
      </c>
      <c r="L49" s="508" t="s">
        <v>52</v>
      </c>
      <c r="M49" s="496" t="s">
        <v>53</v>
      </c>
      <c r="N49" s="13"/>
      <c r="O49" s="13"/>
      <c r="P49" s="50"/>
    </row>
    <row r="50" spans="2:57" ht="28.5" customHeight="1" thickTop="1" thickBot="1">
      <c r="B50" s="505"/>
      <c r="C50" s="512"/>
      <c r="D50" s="514"/>
      <c r="E50" s="516"/>
      <c r="F50" s="518"/>
      <c r="G50" s="503"/>
      <c r="H50" s="505"/>
      <c r="I50" s="505"/>
      <c r="J50" s="497"/>
      <c r="K50" s="507"/>
      <c r="L50" s="509"/>
      <c r="M50" s="497"/>
      <c r="N50" s="13"/>
      <c r="O50" s="13"/>
      <c r="P50" s="50"/>
      <c r="Q50" s="355"/>
      <c r="AB50" s="475">
        <v>43474</v>
      </c>
      <c r="AC50" s="475">
        <v>43475</v>
      </c>
      <c r="AD50" s="475">
        <v>43476</v>
      </c>
      <c r="AE50" s="475">
        <v>43477</v>
      </c>
      <c r="AF50" s="475">
        <v>43478</v>
      </c>
      <c r="AG50" s="475">
        <v>43479</v>
      </c>
      <c r="AH50" s="475">
        <v>43480</v>
      </c>
      <c r="AI50" s="475">
        <v>43481</v>
      </c>
      <c r="AJ50" s="475">
        <v>43482</v>
      </c>
      <c r="AK50" s="475">
        <v>43483</v>
      </c>
      <c r="AL50" s="475">
        <v>43484</v>
      </c>
      <c r="AM50" s="475">
        <v>43485</v>
      </c>
      <c r="AN50" s="475">
        <v>43486</v>
      </c>
      <c r="AO50" s="475">
        <v>43487</v>
      </c>
      <c r="AP50" s="475">
        <v>43488</v>
      </c>
      <c r="AQ50" s="475">
        <v>43489</v>
      </c>
      <c r="AR50" s="475">
        <v>43490</v>
      </c>
      <c r="AS50" s="475">
        <v>43491</v>
      </c>
      <c r="AT50" s="475">
        <v>43492</v>
      </c>
      <c r="AU50" s="475">
        <v>43493</v>
      </c>
      <c r="AV50" s="475">
        <v>43494</v>
      </c>
      <c r="AW50" s="475">
        <v>43495</v>
      </c>
      <c r="AX50" s="475">
        <v>43496</v>
      </c>
    </row>
    <row r="51" spans="2:57" s="54" customFormat="1" ht="36.75" customHeight="1" thickBot="1">
      <c r="B51" s="491"/>
      <c r="C51" s="479"/>
      <c r="D51" s="445"/>
      <c r="E51" s="443"/>
      <c r="F51" s="444"/>
      <c r="G51" s="444"/>
      <c r="H51" s="458"/>
      <c r="I51" s="458"/>
      <c r="J51" s="448"/>
      <c r="K51" s="449"/>
      <c r="L51" s="457" t="e">
        <f>(((D51+E51)-G51)/(D51+E51))*100</f>
        <v>#DIV/0!</v>
      </c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[19]January_2019!L5</f>
        <v>0</v>
      </c>
      <c r="AC51" s="57">
        <f>[19]January_2019!M5</f>
        <v>0</v>
      </c>
      <c r="AD51" s="57">
        <f>[19]January_2019!N5</f>
        <v>0</v>
      </c>
      <c r="AE51" s="57">
        <f>[19]January_2019!O5</f>
        <v>0</v>
      </c>
      <c r="AF51" s="57">
        <f>[19]January_2019!P5</f>
        <v>0</v>
      </c>
      <c r="AG51" s="57">
        <f>[19]January_2019!Q5</f>
        <v>0</v>
      </c>
      <c r="AH51" s="57">
        <f>[19]January_2019!R5</f>
        <v>0</v>
      </c>
      <c r="AI51" s="57">
        <f>[19]January_2019!S5</f>
        <v>0</v>
      </c>
      <c r="AJ51" s="57">
        <f>[19]January_2019!T5</f>
        <v>0</v>
      </c>
      <c r="AK51" s="57">
        <f>[19]January_2019!U5</f>
        <v>0</v>
      </c>
      <c r="AL51" s="57">
        <f>[19]January_2019!V5</f>
        <v>0</v>
      </c>
      <c r="AM51" s="57">
        <f>[19]January_2019!W5</f>
        <v>0</v>
      </c>
      <c r="AN51" s="57">
        <f>[19]January_2019!X5</f>
        <v>0</v>
      </c>
      <c r="AO51" s="57">
        <f>[19]January_2019!Y5</f>
        <v>0</v>
      </c>
      <c r="AP51" s="57">
        <f>[19]January_2019!Z5</f>
        <v>0</v>
      </c>
      <c r="AQ51" s="57">
        <f>[19]January_2019!AA5</f>
        <v>0</v>
      </c>
      <c r="AR51" s="57">
        <f>[19]January_2019!AB5</f>
        <v>0</v>
      </c>
      <c r="AS51" s="57">
        <f>[19]January_2019!AC5</f>
        <v>0</v>
      </c>
      <c r="AT51" s="57">
        <f>[19]January_2019!AD5</f>
        <v>0</v>
      </c>
      <c r="AU51" s="57">
        <f>[19]January_2019!AE5</f>
        <v>0</v>
      </c>
      <c r="AV51" s="57">
        <f>[19]January_2019!AF5</f>
        <v>0</v>
      </c>
      <c r="AW51" s="57">
        <f>[19]January_2019!AG5</f>
        <v>0</v>
      </c>
      <c r="AX51" s="277">
        <f>[19]January_2019!AH5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4.25" customHeight="1" thickBot="1">
      <c r="B52" s="480"/>
      <c r="C52" s="479"/>
      <c r="D52" s="442"/>
      <c r="E52" s="443"/>
      <c r="F52" s="444"/>
      <c r="G52" s="445"/>
      <c r="H52" s="458"/>
      <c r="I52" s="458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[19]January_2019!L6</f>
        <v>0</v>
      </c>
      <c r="AC52" s="57">
        <f>[19]January_2019!M6</f>
        <v>0</v>
      </c>
      <c r="AD52" s="57">
        <f>[19]January_2019!N6</f>
        <v>0</v>
      </c>
      <c r="AE52" s="57">
        <f>[19]January_2019!O6</f>
        <v>0</v>
      </c>
      <c r="AF52" s="57">
        <f>[19]January_2019!P6</f>
        <v>0</v>
      </c>
      <c r="AG52" s="57">
        <f>[19]January_2019!Q6</f>
        <v>0</v>
      </c>
      <c r="AH52" s="57">
        <f>[19]January_2019!R6</f>
        <v>0</v>
      </c>
      <c r="AI52" s="57">
        <f>[19]January_2019!S6</f>
        <v>0</v>
      </c>
      <c r="AJ52" s="57">
        <f>[19]January_2019!T6</f>
        <v>0</v>
      </c>
      <c r="AK52" s="57">
        <f>[19]January_2019!U6</f>
        <v>0</v>
      </c>
      <c r="AL52" s="57">
        <f>[19]January_2019!V6</f>
        <v>0</v>
      </c>
      <c r="AM52" s="57">
        <f>[19]January_2019!W6</f>
        <v>0</v>
      </c>
      <c r="AN52" s="57">
        <f>[19]January_2019!X6</f>
        <v>0</v>
      </c>
      <c r="AO52" s="57">
        <f>[19]January_2019!Y6</f>
        <v>0</v>
      </c>
      <c r="AP52" s="57">
        <f>[19]January_2019!Z6</f>
        <v>0</v>
      </c>
      <c r="AQ52" s="57">
        <f>[19]January_2019!AA6</f>
        <v>0</v>
      </c>
      <c r="AR52" s="57">
        <f>[19]January_2019!AB6</f>
        <v>0</v>
      </c>
      <c r="AS52" s="57">
        <f>[19]January_2019!AC6</f>
        <v>0</v>
      </c>
      <c r="AT52" s="57">
        <f>[19]January_2019!AD6</f>
        <v>0</v>
      </c>
      <c r="AU52" s="57">
        <f>[19]January_2019!AE6</f>
        <v>0</v>
      </c>
      <c r="AV52" s="57">
        <f>[19]January_2019!AF6</f>
        <v>0</v>
      </c>
      <c r="AW52" s="57">
        <f>[19]January_2019!AG6</f>
        <v>0</v>
      </c>
      <c r="AX52" s="277">
        <f>[19]January_2019!AH6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37.15" customHeight="1" thickBot="1">
      <c r="B53" s="456"/>
      <c r="C53" s="479"/>
      <c r="D53" s="442"/>
      <c r="E53" s="443"/>
      <c r="F53" s="444"/>
      <c r="G53" s="444"/>
      <c r="H53" s="446"/>
      <c r="I53" s="446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[19]January_2019!L7</f>
        <v>285.8</v>
      </c>
      <c r="AC53" s="57">
        <f>[19]January_2019!M7</f>
        <v>508.1</v>
      </c>
      <c r="AD53" s="57">
        <f>[19]January_2019!N7</f>
        <v>0</v>
      </c>
      <c r="AE53" s="57">
        <f>[19]January_2019!O7</f>
        <v>0</v>
      </c>
      <c r="AF53" s="57">
        <f>[19]January_2019!P7</f>
        <v>109.56666666666666</v>
      </c>
      <c r="AG53" s="57">
        <f>[19]January_2019!Q7</f>
        <v>297.64999999999998</v>
      </c>
      <c r="AH53" s="57">
        <f>[19]January_2019!R7</f>
        <v>122.3</v>
      </c>
      <c r="AI53" s="57">
        <f>[19]January_2019!S7</f>
        <v>0</v>
      </c>
      <c r="AJ53" s="57">
        <f>[19]January_2019!T7</f>
        <v>294.7</v>
      </c>
      <c r="AK53" s="57">
        <f>[19]January_2019!U7</f>
        <v>280.5</v>
      </c>
      <c r="AL53" s="57">
        <f>[19]January_2019!V7</f>
        <v>0</v>
      </c>
      <c r="AM53" s="57">
        <f>[19]January_2019!W7</f>
        <v>0</v>
      </c>
      <c r="AN53" s="57">
        <f>[19]January_2019!X7</f>
        <v>188.25</v>
      </c>
      <c r="AO53" s="57">
        <f>[19]January_2019!Y7</f>
        <v>295.7</v>
      </c>
      <c r="AP53" s="57">
        <f>[19]January_2019!Z7</f>
        <v>257.8</v>
      </c>
      <c r="AQ53" s="57">
        <f>[19]January_2019!AA7</f>
        <v>291.2</v>
      </c>
      <c r="AR53" s="57">
        <f>[19]January_2019!AB7</f>
        <v>187</v>
      </c>
      <c r="AS53" s="57">
        <f>[19]January_2019!AC7</f>
        <v>0</v>
      </c>
      <c r="AT53" s="57">
        <f>[19]January_2019!AD7</f>
        <v>0</v>
      </c>
      <c r="AU53" s="57">
        <f>[19]January_2019!AE7</f>
        <v>485.1</v>
      </c>
      <c r="AV53" s="57">
        <f>[19]January_2019!AF7</f>
        <v>171.55</v>
      </c>
      <c r="AW53" s="57">
        <f>[19]January_2019!AG7</f>
        <v>423.8</v>
      </c>
      <c r="AX53" s="277">
        <f>[19]January_2019!AH7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8.600000000000001" hidden="1" customHeight="1" thickBot="1">
      <c r="B54" s="478"/>
      <c r="C54" s="430"/>
      <c r="D54" s="431"/>
      <c r="E54" s="432"/>
      <c r="F54" s="433"/>
      <c r="G54" s="434"/>
      <c r="H54" s="458"/>
      <c r="I54" s="45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8.65" hidden="1" customHeight="1" thickBot="1">
      <c r="B55" s="487"/>
      <c r="C55" s="479"/>
      <c r="D55" s="442"/>
      <c r="E55" s="443"/>
      <c r="F55" s="444"/>
      <c r="G55" s="445"/>
      <c r="H55" s="458"/>
      <c r="I55" s="458"/>
      <c r="J55" s="448"/>
      <c r="K55" s="45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5" hidden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81"/>
      <c r="C57" s="479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s="54" customFormat="1" ht="37.15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customHeight="1">
      <c r="B60" s="466"/>
      <c r="C60" s="430"/>
      <c r="D60" s="460"/>
      <c r="E60" s="461"/>
      <c r="F60" s="462"/>
      <c r="G60" s="460"/>
      <c r="H60" s="463"/>
      <c r="I60" s="463"/>
      <c r="J60" s="463"/>
      <c r="K60" s="464"/>
      <c r="L60" s="465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498" t="s">
        <v>55</v>
      </c>
      <c r="C62" s="499"/>
      <c r="D62" s="499"/>
      <c r="E62" s="499"/>
      <c r="F62" s="500"/>
      <c r="G62" s="498" t="s">
        <v>56</v>
      </c>
      <c r="H62" s="499"/>
      <c r="I62" s="499"/>
      <c r="J62" s="500"/>
      <c r="K62" s="498" t="s">
        <v>51</v>
      </c>
      <c r="L62" s="499"/>
      <c r="M62" s="499"/>
      <c r="N62" s="501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/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65"/>
      <c r="D64" s="76">
        <v>7.4556506636893838</v>
      </c>
      <c r="E64" s="76">
        <v>6.5474778039534414</v>
      </c>
      <c r="F64" s="66">
        <v>4.8</v>
      </c>
      <c r="G64" s="65"/>
      <c r="H64" s="477">
        <v>7.1556036556036569</v>
      </c>
      <c r="I64" s="477">
        <v>6.6650165071201641</v>
      </c>
      <c r="J64" s="66">
        <v>4.8</v>
      </c>
      <c r="K64" s="67"/>
      <c r="L64" s="194">
        <v>0.29475438596491227</v>
      </c>
      <c r="M64" s="194">
        <v>0.5207964922592172</v>
      </c>
      <c r="N64" s="68">
        <v>1</v>
      </c>
      <c r="O64" s="56"/>
      <c r="P64" s="69"/>
    </row>
    <row r="65" spans="2:16" ht="15">
      <c r="B65" s="33" t="s">
        <v>9</v>
      </c>
      <c r="C65" s="65"/>
      <c r="D65" s="76">
        <v>8.6363636363636189</v>
      </c>
      <c r="E65" s="76">
        <v>5.8721053130307412</v>
      </c>
      <c r="F65" s="66">
        <v>4.8</v>
      </c>
      <c r="G65" s="65"/>
      <c r="H65" s="76">
        <v>7.5248838752488254</v>
      </c>
      <c r="I65" s="76">
        <v>5.9880521869393624</v>
      </c>
      <c r="J65" s="66">
        <v>4.8</v>
      </c>
      <c r="K65" s="67"/>
      <c r="L65" s="194">
        <v>0.31736842105263158</v>
      </c>
      <c r="M65" s="194">
        <v>0.68971317640877172</v>
      </c>
      <c r="N65" s="68">
        <v>1</v>
      </c>
      <c r="P65" s="69"/>
    </row>
    <row r="66" spans="2:16" ht="15">
      <c r="B66" s="34" t="s">
        <v>40</v>
      </c>
      <c r="C66" s="65"/>
      <c r="D66" s="76"/>
      <c r="E66" s="76">
        <v>11.277593164016125</v>
      </c>
      <c r="F66" s="66">
        <v>5.5</v>
      </c>
      <c r="G66" s="65"/>
      <c r="H66" s="76"/>
      <c r="I66" s="76">
        <v>11.857907912244482</v>
      </c>
      <c r="J66" s="66">
        <v>5.5</v>
      </c>
      <c r="K66" s="67"/>
      <c r="L66" s="194"/>
      <c r="M66" s="194">
        <v>0.35370190356844494</v>
      </c>
      <c r="N66" s="68">
        <v>1</v>
      </c>
      <c r="P66" s="69"/>
    </row>
    <row r="67" spans="2:16" ht="15">
      <c r="B67" s="22" t="s">
        <v>33</v>
      </c>
      <c r="C67" s="65"/>
      <c r="D67" s="76"/>
      <c r="E67" s="76">
        <v>4.8685538193023836</v>
      </c>
      <c r="F67" s="66">
        <v>3.3</v>
      </c>
      <c r="G67" s="65"/>
      <c r="H67" s="76"/>
      <c r="I67" s="76">
        <v>4.8702525342252114</v>
      </c>
      <c r="J67" s="66">
        <v>3.3</v>
      </c>
      <c r="K67" s="67"/>
      <c r="L67" s="194"/>
      <c r="M67" s="194">
        <v>0.77919298245614044</v>
      </c>
      <c r="N67" s="68">
        <v>1</v>
      </c>
      <c r="P67" s="69"/>
    </row>
    <row r="68" spans="2:16" ht="15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 ht="15">
      <c r="B69" s="36" t="s">
        <v>15</v>
      </c>
      <c r="C69" s="65"/>
      <c r="D69" s="76"/>
      <c r="E69" s="76">
        <v>6.0400197628458603</v>
      </c>
      <c r="F69" s="70">
        <v>5.5</v>
      </c>
      <c r="G69" s="65"/>
      <c r="H69" s="76"/>
      <c r="I69" s="76">
        <v>8.2405787675951316</v>
      </c>
      <c r="J69" s="66">
        <v>5.5</v>
      </c>
      <c r="K69" s="67"/>
      <c r="L69" s="194"/>
      <c r="M69" s="194">
        <v>0.78491228070175445</v>
      </c>
      <c r="N69" s="68">
        <v>1</v>
      </c>
      <c r="P69" s="69"/>
    </row>
    <row r="70" spans="2:16" ht="15">
      <c r="B70" s="37" t="s">
        <v>16</v>
      </c>
      <c r="C70" s="482"/>
      <c r="D70" s="76"/>
      <c r="E70" s="76">
        <v>3.6168923014750334</v>
      </c>
      <c r="F70" s="66">
        <v>3.3</v>
      </c>
      <c r="G70" s="282"/>
      <c r="H70" s="76"/>
      <c r="I70" s="76">
        <v>5.0091179718082053</v>
      </c>
      <c r="J70" s="66">
        <v>3.3</v>
      </c>
      <c r="K70" s="67"/>
      <c r="L70" s="194"/>
      <c r="M70" s="194">
        <v>0.92642300194931759</v>
      </c>
      <c r="N70" s="71">
        <v>1</v>
      </c>
      <c r="P70" s="69"/>
    </row>
    <row r="71" spans="2:16" ht="15.75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 ht="15">
      <c r="D73" s="76">
        <v>7.8446052741036665</v>
      </c>
      <c r="E73" s="76">
        <v>6.3600552791945226</v>
      </c>
      <c r="F73" s="341">
        <v>5.5</v>
      </c>
      <c r="H73" s="76">
        <v>7.2769259340002819</v>
      </c>
      <c r="I73" s="76">
        <v>6.7041928627942324</v>
      </c>
      <c r="J73" s="341">
        <v>5.5</v>
      </c>
      <c r="L73" s="194">
        <v>0.30229239766081867</v>
      </c>
      <c r="M73" s="194">
        <v>0.59317096676560477</v>
      </c>
      <c r="N73" s="386">
        <v>1</v>
      </c>
    </row>
  </sheetData>
  <mergeCells count="51"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  <mergeCell ref="D44:E44"/>
    <mergeCell ref="B49:B50"/>
    <mergeCell ref="C49:C50"/>
    <mergeCell ref="D49:D50"/>
    <mergeCell ref="E49:E50"/>
    <mergeCell ref="B34:B43"/>
    <mergeCell ref="D34:E35"/>
    <mergeCell ref="J34:K34"/>
    <mergeCell ref="L35:N35"/>
    <mergeCell ref="D36:E37"/>
    <mergeCell ref="D38:E39"/>
    <mergeCell ref="D40:E41"/>
    <mergeCell ref="D42:E43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4:B45">
    <cfRule type="cellIs" dxfId="2867" priority="103" operator="notBetween">
      <formula>#REF!</formula>
      <formula>#REF!</formula>
    </cfRule>
  </conditionalFormatting>
  <conditionalFormatting sqref="C48">
    <cfRule type="cellIs" dxfId="2866" priority="185" stopIfTrue="1" operator="lessThan">
      <formula>96</formula>
    </cfRule>
    <cfRule type="cellIs" dxfId="2865" priority="186" stopIfTrue="1" operator="greaterThan">
      <formula>100</formula>
    </cfRule>
  </conditionalFormatting>
  <conditionalFormatting sqref="C64:C65">
    <cfRule type="cellIs" dxfId="2864" priority="66" stopIfTrue="1" operator="greaterThan">
      <formula>$F64</formula>
    </cfRule>
    <cfRule type="cellIs" dxfId="2863" priority="67" stopIfTrue="1" operator="lessThanOrEqual">
      <formula>0</formula>
    </cfRule>
    <cfRule type="cellIs" dxfId="2862" priority="68" stopIfTrue="1" operator="greaterThan">
      <formula>$F64</formula>
    </cfRule>
    <cfRule type="cellIs" dxfId="2861" priority="69" stopIfTrue="1" operator="lessThanOrEqual">
      <formula>0</formula>
    </cfRule>
  </conditionalFormatting>
  <conditionalFormatting sqref="C66:C68 C70:C72">
    <cfRule type="cellIs" dxfId="2860" priority="75" stopIfTrue="1" operator="greaterThan">
      <formula>$F69</formula>
    </cfRule>
  </conditionalFormatting>
  <conditionalFormatting sqref="C66:C68">
    <cfRule type="cellIs" dxfId="2859" priority="76" stopIfTrue="1" operator="lessThanOrEqual">
      <formula>0</formula>
    </cfRule>
  </conditionalFormatting>
  <conditionalFormatting sqref="C69">
    <cfRule type="cellIs" dxfId="2858" priority="187" stopIfTrue="1" operator="greaterThan">
      <formula>$F64</formula>
    </cfRule>
    <cfRule type="cellIs" dxfId="2857" priority="188" stopIfTrue="1" operator="lessThanOrEqual">
      <formula>0</formula>
    </cfRule>
    <cfRule type="cellIs" dxfId="2856" priority="189" stopIfTrue="1" operator="greaterThan">
      <formula>$F64</formula>
    </cfRule>
    <cfRule type="cellIs" dxfId="2855" priority="190" stopIfTrue="1" operator="lessThanOrEqual">
      <formula>0</formula>
    </cfRule>
  </conditionalFormatting>
  <conditionalFormatting sqref="C70:C72">
    <cfRule type="cellIs" dxfId="2854" priority="77" stopIfTrue="1" operator="lessThanOrEqual">
      <formula>0</formula>
    </cfRule>
  </conditionalFormatting>
  <conditionalFormatting sqref="C75:C79">
    <cfRule type="cellIs" dxfId="2853" priority="177" stopIfTrue="1" operator="lessThanOrEqual">
      <formula>0</formula>
    </cfRule>
  </conditionalFormatting>
  <conditionalFormatting sqref="C76:C79">
    <cfRule type="cellIs" dxfId="2852" priority="176" stopIfTrue="1" operator="greaterThan">
      <formula>$F$75</formula>
    </cfRule>
  </conditionalFormatting>
  <conditionalFormatting sqref="C81">
    <cfRule type="cellIs" dxfId="2851" priority="178" stopIfTrue="1" operator="greaterThan">
      <formula>$F$75</formula>
    </cfRule>
    <cfRule type="cellIs" dxfId="2850" priority="179" stopIfTrue="1" operator="lessThanOrEqual">
      <formula>0</formula>
    </cfRule>
  </conditionalFormatting>
  <conditionalFormatting sqref="C69:D69">
    <cfRule type="cellIs" dxfId="2849" priority="64" stopIfTrue="1" operator="greaterThan">
      <formula>$J69</formula>
    </cfRule>
    <cfRule type="cellIs" dxfId="2848" priority="65" stopIfTrue="1" operator="lessThanOrEqual">
      <formula>0</formula>
    </cfRule>
  </conditionalFormatting>
  <conditionalFormatting sqref="C75:D75 D77:D83">
    <cfRule type="cellIs" dxfId="2847" priority="171" stopIfTrue="1" operator="greaterThan">
      <formula>4.5</formula>
    </cfRule>
  </conditionalFormatting>
  <conditionalFormatting sqref="D44:D45">
    <cfRule type="cellIs" dxfId="2846" priority="104" operator="notBetween">
      <formula>#REF!</formula>
      <formula>#REF!</formula>
    </cfRule>
  </conditionalFormatting>
  <conditionalFormatting sqref="D64:D68 D70:D71">
    <cfRule type="cellIs" dxfId="2845" priority="74" stopIfTrue="1" operator="lessThanOrEqual">
      <formula>0</formula>
    </cfRule>
  </conditionalFormatting>
  <conditionalFormatting sqref="D64:D68 D70:D73">
    <cfRule type="cellIs" dxfId="2844" priority="70" stopIfTrue="1" operator="lessThanOrEqual">
      <formula>0</formula>
    </cfRule>
    <cfRule type="cellIs" dxfId="2843" priority="71" stopIfTrue="1" operator="greaterThan">
      <formula>$F64</formula>
    </cfRule>
  </conditionalFormatting>
  <conditionalFormatting sqref="D72:D73">
    <cfRule type="cellIs" dxfId="2842" priority="72" stopIfTrue="1" operator="lessThanOrEqual">
      <formula>0</formula>
    </cfRule>
  </conditionalFormatting>
  <conditionalFormatting sqref="D73">
    <cfRule type="cellIs" dxfId="2841" priority="73" stopIfTrue="1" operator="lessThanOrEqual">
      <formula>0</formula>
    </cfRule>
  </conditionalFormatting>
  <conditionalFormatting sqref="D75 D77:D83">
    <cfRule type="cellIs" dxfId="2840" priority="172" stopIfTrue="1" operator="lessThanOrEqual">
      <formula>0</formula>
    </cfRule>
  </conditionalFormatting>
  <conditionalFormatting sqref="D76">
    <cfRule type="cellIs" dxfId="2839" priority="163" stopIfTrue="1" operator="greaterThan">
      <formula>$F$75</formula>
    </cfRule>
    <cfRule type="cellIs" dxfId="2838" priority="164" stopIfTrue="1" operator="lessThanOrEqual">
      <formula>0</formula>
    </cfRule>
  </conditionalFormatting>
  <conditionalFormatting sqref="E10:E19">
    <cfRule type="cellIs" dxfId="2837" priority="12" operator="lessThan">
      <formula>48</formula>
    </cfRule>
  </conditionalFormatting>
  <conditionalFormatting sqref="E47 E48:F48">
    <cfRule type="cellIs" dxfId="2836" priority="168" stopIfTrue="1" operator="greaterThan">
      <formula>100</formula>
    </cfRule>
  </conditionalFormatting>
  <conditionalFormatting sqref="E48">
    <cfRule type="cellIs" dxfId="2835" priority="165" stopIfTrue="1" operator="lessThan">
      <formula>96.8</formula>
    </cfRule>
    <cfRule type="cellIs" dxfId="2834" priority="166" stopIfTrue="1" operator="greaterThan">
      <formula>100</formula>
    </cfRule>
  </conditionalFormatting>
  <conditionalFormatting sqref="E64:E72">
    <cfRule type="cellIs" dxfId="2833" priority="37" stopIfTrue="1" operator="lessThanOrEqual">
      <formula>0</formula>
    </cfRule>
  </conditionalFormatting>
  <conditionalFormatting sqref="E64:E73">
    <cfRule type="cellIs" dxfId="2832" priority="38" stopIfTrue="1" operator="greaterThan">
      <formula>$F64</formula>
    </cfRule>
    <cfRule type="cellIs" dxfId="2831" priority="39" stopIfTrue="1" operator="lessThanOrEqual">
      <formula>0</formula>
    </cfRule>
  </conditionalFormatting>
  <conditionalFormatting sqref="E73">
    <cfRule type="cellIs" dxfId="2830" priority="40" stopIfTrue="1" operator="lessThanOrEqual">
      <formula>0</formula>
    </cfRule>
  </conditionalFormatting>
  <conditionalFormatting sqref="E75:E83">
    <cfRule type="cellIs" dxfId="2829" priority="157" stopIfTrue="1" operator="greaterThan">
      <formula>4.5</formula>
    </cfRule>
    <cfRule type="cellIs" dxfId="2828" priority="158" stopIfTrue="1" operator="lessThanOrEqual">
      <formula>0</formula>
    </cfRule>
  </conditionalFormatting>
  <conditionalFormatting sqref="E48:F48 E47">
    <cfRule type="cellIs" dxfId="2827" priority="167" stopIfTrue="1" operator="lessThan">
      <formula>96.5</formula>
    </cfRule>
  </conditionalFormatting>
  <conditionalFormatting sqref="F10:F19">
    <cfRule type="cellIs" dxfId="2826" priority="14" operator="greaterThan">
      <formula>60</formula>
    </cfRule>
  </conditionalFormatting>
  <conditionalFormatting sqref="F48">
    <cfRule type="cellIs" dxfId="2825" priority="183" stopIfTrue="1" operator="lessThan">
      <formula>96.8</formula>
    </cfRule>
    <cfRule type="cellIs" dxfId="2824" priority="184" stopIfTrue="1" operator="greaterThan">
      <formula>100</formula>
    </cfRule>
  </conditionalFormatting>
  <conditionalFormatting sqref="G10:G19">
    <cfRule type="expression" dxfId="2823" priority="2">
      <formula>IF(+(IF(G10&lt;S10,0,IF(G10&gt;T10,0,1)))=0,1)</formula>
    </cfRule>
  </conditionalFormatting>
  <conditionalFormatting sqref="G64:G67 F73">
    <cfRule type="cellIs" dxfId="2822" priority="46" stopIfTrue="1" operator="greaterThan">
      <formula>$F64</formula>
    </cfRule>
    <cfRule type="cellIs" dxfId="2821" priority="47" stopIfTrue="1" operator="lessThanOrEqual">
      <formula>0</formula>
    </cfRule>
  </conditionalFormatting>
  <conditionalFormatting sqref="G66:G67">
    <cfRule type="cellIs" dxfId="2820" priority="32" stopIfTrue="1" operator="greaterThan">
      <formula>$F66</formula>
    </cfRule>
    <cfRule type="cellIs" dxfId="2819" priority="33" stopIfTrue="1" operator="lessThanOrEqual">
      <formula>0</formula>
    </cfRule>
  </conditionalFormatting>
  <conditionalFormatting sqref="G68:G72">
    <cfRule type="cellIs" dxfId="2818" priority="48" stopIfTrue="1" operator="greaterThan">
      <formula>$J68</formula>
    </cfRule>
    <cfRule type="cellIs" dxfId="2817" priority="49" stopIfTrue="1" operator="lessThanOrEqual">
      <formula>0</formula>
    </cfRule>
  </conditionalFormatting>
  <conditionalFormatting sqref="G69">
    <cfRule type="cellIs" dxfId="2816" priority="191" stopIfTrue="1" operator="greaterThan">
      <formula>$F64</formula>
    </cfRule>
    <cfRule type="cellIs" dxfId="2815" priority="192" stopIfTrue="1" operator="lessThanOrEqual">
      <formula>0</formula>
    </cfRule>
  </conditionalFormatting>
  <conditionalFormatting sqref="G77:G82 C80 C82">
    <cfRule type="cellIs" dxfId="2814" priority="180" stopIfTrue="1" operator="greaterThan">
      <formula>4.5</formula>
    </cfRule>
    <cfRule type="cellIs" dxfId="2813" priority="181" stopIfTrue="1" operator="lessThanOrEqual">
      <formula>0</formula>
    </cfRule>
  </conditionalFormatting>
  <conditionalFormatting sqref="G76:H76">
    <cfRule type="cellIs" dxfId="2812" priority="161" stopIfTrue="1" operator="greaterThan">
      <formula>$F$75</formula>
    </cfRule>
    <cfRule type="cellIs" dxfId="2811" priority="162" stopIfTrue="1" operator="lessThanOrEqual">
      <formula>0</formula>
    </cfRule>
  </conditionalFormatting>
  <conditionalFormatting sqref="H10:H19">
    <cfRule type="expression" dxfId="2810" priority="3">
      <formula>IF(+(IF(H10&lt;#REF!,0,IF(H10&gt;#REF!,0,1)))=0,1)</formula>
    </cfRule>
  </conditionalFormatting>
  <conditionalFormatting sqref="H33:H34 H47">
    <cfRule type="cellIs" dxfId="2809" priority="159" stopIfTrue="1" operator="greaterThan">
      <formula>0</formula>
    </cfRule>
  </conditionalFormatting>
  <conditionalFormatting sqref="H51">
    <cfRule type="cellIs" dxfId="2808" priority="51" stopIfTrue="1" operator="lessThanOrEqual">
      <formula>0</formula>
    </cfRule>
    <cfRule type="cellIs" dxfId="2807" priority="52" stopIfTrue="1" operator="greaterThan">
      <formula>$F$64</formula>
    </cfRule>
    <cfRule type="cellIs" dxfId="2806" priority="60" stopIfTrue="1" operator="greaterThan">
      <formula>$F$67</formula>
    </cfRule>
    <cfRule type="cellIs" dxfId="2805" priority="61" stopIfTrue="1" operator="lessThanOrEqual">
      <formula>0</formula>
    </cfRule>
    <cfRule type="cellIs" dxfId="2804" priority="62" stopIfTrue="1" operator="greaterThan">
      <formula>$F$65</formula>
    </cfRule>
  </conditionalFormatting>
  <conditionalFormatting sqref="H51:H52">
    <cfRule type="cellIs" dxfId="2803" priority="63" stopIfTrue="1" operator="lessThanOrEqual">
      <formula>0</formula>
    </cfRule>
  </conditionalFormatting>
  <conditionalFormatting sqref="H52 H54:H55">
    <cfRule type="cellIs" dxfId="2802" priority="89" stopIfTrue="1" operator="lessThanOrEqual">
      <formula>0</formula>
    </cfRule>
  </conditionalFormatting>
  <conditionalFormatting sqref="H52">
    <cfRule type="cellIs" dxfId="2801" priority="78" stopIfTrue="1" operator="greaterThan">
      <formula>$F$64</formula>
    </cfRule>
    <cfRule type="cellIs" dxfId="2800" priority="86" stopIfTrue="1" operator="greaterThan">
      <formula>$F$67</formula>
    </cfRule>
    <cfRule type="cellIs" dxfId="2799" priority="87" stopIfTrue="1" operator="lessThanOrEqual">
      <formula>0</formula>
    </cfRule>
    <cfRule type="cellIs" dxfId="2798" priority="88" stopIfTrue="1" operator="greaterThan">
      <formula>$F$65</formula>
    </cfRule>
  </conditionalFormatting>
  <conditionalFormatting sqref="H53">
    <cfRule type="cellIs" dxfId="2797" priority="18" stopIfTrue="1" operator="lessThanOrEqual">
      <formula>0</formula>
    </cfRule>
    <cfRule type="cellIs" dxfId="2796" priority="19" stopIfTrue="1" operator="greaterThan">
      <formula>$F$66</formula>
    </cfRule>
    <cfRule type="cellIs" dxfId="2795" priority="27" stopIfTrue="1" operator="greaterThan">
      <formula>$F$69</formula>
    </cfRule>
    <cfRule type="cellIs" dxfId="2794" priority="28" stopIfTrue="1" operator="lessThanOrEqual">
      <formula>0</formula>
    </cfRule>
    <cfRule type="cellIs" dxfId="2793" priority="29" stopIfTrue="1" operator="greaterThan">
      <formula>$F$67</formula>
    </cfRule>
    <cfRule type="cellIs" dxfId="2792" priority="30" stopIfTrue="1" operator="lessThanOrEqual">
      <formula>0</formula>
    </cfRule>
  </conditionalFormatting>
  <conditionalFormatting sqref="H54:H55">
    <cfRule type="cellIs" dxfId="2791" priority="91" stopIfTrue="1" operator="greaterThan">
      <formula>$F$64</formula>
    </cfRule>
    <cfRule type="cellIs" dxfId="2790" priority="99" stopIfTrue="1" operator="greaterThan">
      <formula>$F$67</formula>
    </cfRule>
    <cfRule type="cellIs" dxfId="2789" priority="100" stopIfTrue="1" operator="lessThanOrEqual">
      <formula>0</formula>
    </cfRule>
    <cfRule type="cellIs" dxfId="2788" priority="101" stopIfTrue="1" operator="greaterThan">
      <formula>$F$65</formula>
    </cfRule>
    <cfRule type="cellIs" dxfId="2787" priority="102" stopIfTrue="1" operator="lessThanOrEqual">
      <formula>0</formula>
    </cfRule>
  </conditionalFormatting>
  <conditionalFormatting sqref="H56:H57">
    <cfRule type="cellIs" dxfId="2786" priority="126" stopIfTrue="1" operator="lessThanOrEqual">
      <formula>0</formula>
    </cfRule>
    <cfRule type="cellIs" dxfId="2785" priority="127" stopIfTrue="1" operator="greaterThan">
      <formula>#REF!</formula>
    </cfRule>
    <cfRule type="cellIs" dxfId="2784" priority="135" stopIfTrue="1" operator="greaterThan">
      <formula>#REF!</formula>
    </cfRule>
    <cfRule type="cellIs" dxfId="2783" priority="136" stopIfTrue="1" operator="lessThanOrEqual">
      <formula>0</formula>
    </cfRule>
  </conditionalFormatting>
  <conditionalFormatting sqref="H58">
    <cfRule type="cellIs" dxfId="2782" priority="138" stopIfTrue="1" operator="lessThanOrEqual">
      <formula>0</formula>
    </cfRule>
    <cfRule type="cellIs" dxfId="2781" priority="139" stopIfTrue="1" operator="greaterThan">
      <formula>$F$32</formula>
    </cfRule>
    <cfRule type="cellIs" dxfId="2780" priority="147" stopIfTrue="1" operator="greaterThan">
      <formula>$F$35</formula>
    </cfRule>
    <cfRule type="cellIs" dxfId="2779" priority="148" stopIfTrue="1" operator="lessThanOrEqual">
      <formula>0</formula>
    </cfRule>
    <cfRule type="cellIs" dxfId="2778" priority="149" stopIfTrue="1" operator="greaterThan">
      <formula>$F$33</formula>
    </cfRule>
    <cfRule type="cellIs" dxfId="2777" priority="150" stopIfTrue="1" operator="lessThanOrEqual">
      <formula>0</formula>
    </cfRule>
  </conditionalFormatting>
  <conditionalFormatting sqref="H59:H60">
    <cfRule type="cellIs" dxfId="2776" priority="114" stopIfTrue="1" operator="lessThanOrEqual">
      <formula>0</formula>
    </cfRule>
    <cfRule type="cellIs" dxfId="2775" priority="115" stopIfTrue="1" operator="greaterThan">
      <formula>#REF!</formula>
    </cfRule>
    <cfRule type="cellIs" dxfId="2774" priority="123" stopIfTrue="1" operator="greaterThan">
      <formula>#REF!</formula>
    </cfRule>
    <cfRule type="cellIs" dxfId="2773" priority="124" stopIfTrue="1" operator="lessThanOrEqual">
      <formula>0</formula>
    </cfRule>
  </conditionalFormatting>
  <conditionalFormatting sqref="H75 H77:H83">
    <cfRule type="cellIs" dxfId="2772" priority="173" stopIfTrue="1" operator="greaterThan">
      <formula>4.5</formula>
    </cfRule>
    <cfRule type="cellIs" dxfId="2771" priority="174" stopIfTrue="1" operator="lessThanOrEqual">
      <formula>0</formula>
    </cfRule>
  </conditionalFormatting>
  <conditionalFormatting sqref="H51:I51">
    <cfRule type="cellIs" dxfId="2770" priority="53" stopIfTrue="1" operator="lessThanOrEqual">
      <formula>0</formula>
    </cfRule>
  </conditionalFormatting>
  <conditionalFormatting sqref="H51:I52 H54:I55">
    <cfRule type="cellIs" dxfId="2769" priority="50" stopIfTrue="1" operator="greaterThan">
      <formula>$F$66</formula>
    </cfRule>
  </conditionalFormatting>
  <conditionalFormatting sqref="H52:I52">
    <cfRule type="cellIs" dxfId="2768" priority="79" stopIfTrue="1" operator="lessThanOrEqual">
      <formula>0</formula>
    </cfRule>
  </conditionalFormatting>
  <conditionalFormatting sqref="H53:I53">
    <cfRule type="cellIs" dxfId="2767" priority="17" stopIfTrue="1" operator="greaterThan">
      <formula>$F$68</formula>
    </cfRule>
    <cfRule type="cellIs" dxfId="2766" priority="20" stopIfTrue="1" operator="lessThanOrEqual">
      <formula>0</formula>
    </cfRule>
  </conditionalFormatting>
  <conditionalFormatting sqref="H54:I55">
    <cfRule type="cellIs" dxfId="2765" priority="92" stopIfTrue="1" operator="lessThanOrEqual">
      <formula>0</formula>
    </cfRule>
  </conditionalFormatting>
  <conditionalFormatting sqref="H56:I57">
    <cfRule type="cellIs" dxfId="2764" priority="125" stopIfTrue="1" operator="greaterThan">
      <formula>#REF!</formula>
    </cfRule>
    <cfRule type="cellIs" dxfId="2763" priority="128" stopIfTrue="1" operator="lessThanOrEqual">
      <formula>0</formula>
    </cfRule>
    <cfRule type="cellIs" dxfId="2762" priority="133" stopIfTrue="1" operator="greaterThan">
      <formula>#REF!</formula>
    </cfRule>
    <cfRule type="cellIs" dxfId="2761" priority="134" stopIfTrue="1" operator="lessThanOrEqual">
      <formula>0</formula>
    </cfRule>
  </conditionalFormatting>
  <conditionalFormatting sqref="H58:I58">
    <cfRule type="cellIs" dxfId="2760" priority="137" stopIfTrue="1" operator="greaterThan">
      <formula>$F$34</formula>
    </cfRule>
    <cfRule type="cellIs" dxfId="2759" priority="140" stopIfTrue="1" operator="lessThanOrEqual">
      <formula>0</formula>
    </cfRule>
  </conditionalFormatting>
  <conditionalFormatting sqref="H59:I60">
    <cfRule type="cellIs" dxfId="2758" priority="113" stopIfTrue="1" operator="greaterThan">
      <formula>#REF!</formula>
    </cfRule>
    <cfRule type="cellIs" dxfId="2757" priority="116" stopIfTrue="1" operator="lessThanOrEqual">
      <formula>0</formula>
    </cfRule>
    <cfRule type="cellIs" dxfId="2756" priority="121" stopIfTrue="1" operator="greaterThan">
      <formula>#REF!</formula>
    </cfRule>
    <cfRule type="cellIs" dxfId="2755" priority="122" stopIfTrue="1" operator="lessThanOrEqual">
      <formula>0</formula>
    </cfRule>
  </conditionalFormatting>
  <conditionalFormatting sqref="H64:I71">
    <cfRule type="cellIs" dxfId="2754" priority="35" stopIfTrue="1" operator="greaterThan">
      <formula>$J64</formula>
    </cfRule>
    <cfRule type="cellIs" dxfId="2753" priority="36" stopIfTrue="1" operator="lessThanOrEqual">
      <formula>0</formula>
    </cfRule>
  </conditionalFormatting>
  <conditionalFormatting sqref="H72:I72">
    <cfRule type="cellIs" dxfId="2752" priority="43" operator="greaterThan">
      <formula>5.3</formula>
    </cfRule>
  </conditionalFormatting>
  <conditionalFormatting sqref="H73:I73">
    <cfRule type="cellIs" dxfId="2751" priority="41" stopIfTrue="1" operator="greaterThan">
      <formula>$J73</formula>
    </cfRule>
    <cfRule type="cellIs" dxfId="2750" priority="42" stopIfTrue="1" operator="lessThanOrEqual">
      <formula>0</formula>
    </cfRule>
  </conditionalFormatting>
  <conditionalFormatting sqref="I51">
    <cfRule type="cellIs" dxfId="2749" priority="54" stopIfTrue="1" operator="greaterThan">
      <formula>$F$64</formula>
    </cfRule>
    <cfRule type="cellIs" dxfId="2748" priority="55" stopIfTrue="1" operator="lessThanOrEqual">
      <formula>0</formula>
    </cfRule>
    <cfRule type="cellIs" dxfId="2747" priority="56" stopIfTrue="1" operator="greaterThan">
      <formula>$F$66</formula>
    </cfRule>
    <cfRule type="cellIs" dxfId="2746" priority="57" stopIfTrue="1" operator="lessThanOrEqual">
      <formula>0</formula>
    </cfRule>
    <cfRule type="cellIs" dxfId="2745" priority="58" stopIfTrue="1" operator="greaterThan">
      <formula>$F$64</formula>
    </cfRule>
    <cfRule type="cellIs" dxfId="2744" priority="59" stopIfTrue="1" operator="lessThanOrEqual">
      <formula>0</formula>
    </cfRule>
  </conditionalFormatting>
  <conditionalFormatting sqref="I52">
    <cfRule type="cellIs" dxfId="2743" priority="80" stopIfTrue="1" operator="greaterThan">
      <formula>$F$64</formula>
    </cfRule>
    <cfRule type="cellIs" dxfId="2742" priority="81" stopIfTrue="1" operator="lessThanOrEqual">
      <formula>0</formula>
    </cfRule>
    <cfRule type="cellIs" dxfId="2741" priority="82" stopIfTrue="1" operator="greaterThan">
      <formula>$F$66</formula>
    </cfRule>
    <cfRule type="cellIs" dxfId="2740" priority="83" stopIfTrue="1" operator="lessThanOrEqual">
      <formula>0</formula>
    </cfRule>
    <cfRule type="cellIs" dxfId="2739" priority="84" stopIfTrue="1" operator="greaterThan">
      <formula>$F$64</formula>
    </cfRule>
    <cfRule type="cellIs" dxfId="2738" priority="85" stopIfTrue="1" operator="lessThanOrEqual">
      <formula>0</formula>
    </cfRule>
  </conditionalFormatting>
  <conditionalFormatting sqref="I53">
    <cfRule type="cellIs" dxfId="2737" priority="21" stopIfTrue="1" operator="greaterThan">
      <formula>$F$66</formula>
    </cfRule>
    <cfRule type="cellIs" dxfId="2736" priority="22" stopIfTrue="1" operator="lessThanOrEqual">
      <formula>0</formula>
    </cfRule>
    <cfRule type="cellIs" dxfId="2735" priority="23" stopIfTrue="1" operator="greaterThan">
      <formula>$F$68</formula>
    </cfRule>
    <cfRule type="cellIs" dxfId="2734" priority="24" stopIfTrue="1" operator="lessThanOrEqual">
      <formula>0</formula>
    </cfRule>
    <cfRule type="cellIs" dxfId="2733" priority="25" stopIfTrue="1" operator="greaterThan">
      <formula>$F$66</formula>
    </cfRule>
    <cfRule type="cellIs" dxfId="2732" priority="26" stopIfTrue="1" operator="lessThanOrEqual">
      <formula>0</formula>
    </cfRule>
  </conditionalFormatting>
  <conditionalFormatting sqref="I54:I55">
    <cfRule type="cellIs" dxfId="2731" priority="93" stopIfTrue="1" operator="greaterThan">
      <formula>$F$64</formula>
    </cfRule>
    <cfRule type="cellIs" dxfId="2730" priority="94" stopIfTrue="1" operator="lessThanOrEqual">
      <formula>0</formula>
    </cfRule>
    <cfRule type="cellIs" dxfId="2729" priority="95" stopIfTrue="1" operator="greaterThan">
      <formula>$F$66</formula>
    </cfRule>
    <cfRule type="cellIs" dxfId="2728" priority="96" stopIfTrue="1" operator="lessThanOrEqual">
      <formula>0</formula>
    </cfRule>
    <cfRule type="cellIs" dxfId="2727" priority="97" stopIfTrue="1" operator="greaterThan">
      <formula>$F$64</formula>
    </cfRule>
    <cfRule type="cellIs" dxfId="2726" priority="98" stopIfTrue="1" operator="lessThanOrEqual">
      <formula>0</formula>
    </cfRule>
  </conditionalFormatting>
  <conditionalFormatting sqref="I56:I57">
    <cfRule type="cellIs" dxfId="2725" priority="129" stopIfTrue="1" operator="greaterThan">
      <formula>#REF!</formula>
    </cfRule>
    <cfRule type="cellIs" dxfId="2724" priority="130" stopIfTrue="1" operator="lessThanOrEqual">
      <formula>0</formula>
    </cfRule>
    <cfRule type="cellIs" dxfId="2723" priority="131" stopIfTrue="1" operator="greaterThan">
      <formula>#REF!</formula>
    </cfRule>
    <cfRule type="cellIs" dxfId="2722" priority="132" stopIfTrue="1" operator="lessThanOrEqual">
      <formula>0</formula>
    </cfRule>
  </conditionalFormatting>
  <conditionalFormatting sqref="I58">
    <cfRule type="cellIs" dxfId="2721" priority="141" stopIfTrue="1" operator="greaterThan">
      <formula>$F$32</formula>
    </cfRule>
    <cfRule type="cellIs" dxfId="2720" priority="142" stopIfTrue="1" operator="lessThanOrEqual">
      <formula>0</formula>
    </cfRule>
    <cfRule type="cellIs" dxfId="2719" priority="143" stopIfTrue="1" operator="greaterThan">
      <formula>$F$34</formula>
    </cfRule>
    <cfRule type="cellIs" dxfId="2718" priority="144" stopIfTrue="1" operator="lessThanOrEqual">
      <formula>0</formula>
    </cfRule>
    <cfRule type="cellIs" dxfId="2717" priority="145" stopIfTrue="1" operator="greaterThan">
      <formula>$F$32</formula>
    </cfRule>
    <cfRule type="cellIs" dxfId="2716" priority="146" stopIfTrue="1" operator="lessThanOrEqual">
      <formula>0</formula>
    </cfRule>
  </conditionalFormatting>
  <conditionalFormatting sqref="I59:I60">
    <cfRule type="cellIs" dxfId="2715" priority="117" stopIfTrue="1" operator="greaterThan">
      <formula>#REF!</formula>
    </cfRule>
    <cfRule type="cellIs" dxfId="2714" priority="118" stopIfTrue="1" operator="lessThanOrEqual">
      <formula>0</formula>
    </cfRule>
    <cfRule type="cellIs" dxfId="2713" priority="119" stopIfTrue="1" operator="greaterThan">
      <formula>#REF!</formula>
    </cfRule>
    <cfRule type="cellIs" dxfId="2712" priority="120" stopIfTrue="1" operator="lessThanOrEqual">
      <formula>0</formula>
    </cfRule>
  </conditionalFormatting>
  <conditionalFormatting sqref="I75:I83">
    <cfRule type="cellIs" dxfId="2711" priority="169" stopIfTrue="1" operator="greaterThan">
      <formula>4.5</formula>
    </cfRule>
    <cfRule type="cellIs" dxfId="2710" priority="170" stopIfTrue="1" operator="lessThanOrEqual">
      <formula>0</formula>
    </cfRule>
  </conditionalFormatting>
  <conditionalFormatting sqref="I10:J19">
    <cfRule type="cellIs" dxfId="2709" priority="8" operator="lessThan">
      <formula>97.9</formula>
    </cfRule>
  </conditionalFormatting>
  <conditionalFormatting sqref="J22:J24">
    <cfRule type="cellIs" dxfId="2708" priority="16" operator="lessThan">
      <formula>97.95</formula>
    </cfRule>
  </conditionalFormatting>
  <conditionalFormatting sqref="J24:J26">
    <cfRule type="cellIs" dxfId="2707" priority="151" operator="lessThan">
      <formula>97.4</formula>
    </cfRule>
  </conditionalFormatting>
  <conditionalFormatting sqref="J27:J28">
    <cfRule type="cellIs" dxfId="2706" priority="152" operator="lessThan">
      <formula>98</formula>
    </cfRule>
  </conditionalFormatting>
  <conditionalFormatting sqref="J29:J30">
    <cfRule type="cellIs" dxfId="2705" priority="153" stopIfTrue="1" operator="lessThan">
      <formula>96.8</formula>
    </cfRule>
    <cfRule type="cellIs" dxfId="2704" priority="154" stopIfTrue="1" operator="greaterThan">
      <formula>100</formula>
    </cfRule>
  </conditionalFormatting>
  <conditionalFormatting sqref="J29:J31">
    <cfRule type="cellIs" dxfId="2703" priority="155" operator="lessThan">
      <formula>98</formula>
    </cfRule>
  </conditionalFormatting>
  <conditionalFormatting sqref="J60">
    <cfRule type="cellIs" dxfId="2702" priority="105" stopIfTrue="1" operator="greaterThan">
      <formula>#REF!</formula>
    </cfRule>
    <cfRule type="cellIs" dxfId="2701" priority="106" stopIfTrue="1" operator="lessThanOrEqual">
      <formula>0</formula>
    </cfRule>
    <cfRule type="cellIs" dxfId="2700" priority="107" stopIfTrue="1" operator="greaterThan">
      <formula>#REF!</formula>
    </cfRule>
    <cfRule type="cellIs" dxfId="2699" priority="108" stopIfTrue="1" operator="lessThanOrEqual">
      <formula>0</formula>
    </cfRule>
    <cfRule type="cellIs" dxfId="2698" priority="109" stopIfTrue="1" operator="greaterThan">
      <formula>#REF!</formula>
    </cfRule>
    <cfRule type="cellIs" dxfId="2697" priority="110" stopIfTrue="1" operator="lessThanOrEqual">
      <formula>0</formula>
    </cfRule>
    <cfRule type="cellIs" dxfId="2696" priority="111" stopIfTrue="1" operator="greaterThan">
      <formula>#REF!</formula>
    </cfRule>
    <cfRule type="cellIs" dxfId="2695" priority="112" stopIfTrue="1" operator="lessThanOrEqual">
      <formula>0</formula>
    </cfRule>
  </conditionalFormatting>
  <conditionalFormatting sqref="J73">
    <cfRule type="cellIs" dxfId="2694" priority="44" stopIfTrue="1" operator="greaterThan">
      <formula>$F73</formula>
    </cfRule>
    <cfRule type="cellIs" dxfId="2693" priority="45" stopIfTrue="1" operator="lessThanOrEqual">
      <formula>0</formula>
    </cfRule>
  </conditionalFormatting>
  <conditionalFormatting sqref="K10:K19">
    <cfRule type="cellIs" dxfId="2692" priority="9" operator="greaterThan">
      <formula>6</formula>
    </cfRule>
    <cfRule type="cellIs" dxfId="2691" priority="10" operator="lessThan">
      <formula>4</formula>
    </cfRule>
    <cfRule type="cellIs" dxfId="2690" priority="11" operator="greaterThan">
      <formula>6.4</formula>
    </cfRule>
  </conditionalFormatting>
  <conditionalFormatting sqref="K51:K60">
    <cfRule type="cellIs" dxfId="2689" priority="90" stopIfTrue="1" operator="lessThan">
      <formula>100%</formula>
    </cfRule>
  </conditionalFormatting>
  <conditionalFormatting sqref="K64:K72">
    <cfRule type="cellIs" dxfId="2688" priority="34" stopIfTrue="1" operator="lessThan">
      <formula>100%</formula>
    </cfRule>
  </conditionalFormatting>
  <conditionalFormatting sqref="K75:K80">
    <cfRule type="cellIs" dxfId="2687" priority="175" stopIfTrue="1" operator="lessThan">
      <formula>100%</formula>
    </cfRule>
  </conditionalFormatting>
  <conditionalFormatting sqref="K82:K83">
    <cfRule type="cellIs" dxfId="2686" priority="182" stopIfTrue="1" operator="lessThan">
      <formula>100%</formula>
    </cfRule>
  </conditionalFormatting>
  <conditionalFormatting sqref="L10:L19">
    <cfRule type="cellIs" dxfId="2685" priority="5" operator="between">
      <formula>61</formula>
      <formula>65</formula>
    </cfRule>
    <cfRule type="cellIs" dxfId="2684" priority="6" operator="greaterThan">
      <formula>65</formula>
    </cfRule>
  </conditionalFormatting>
  <conditionalFormatting sqref="L22:M33">
    <cfRule type="cellIs" dxfId="2683" priority="15" operator="lessThan">
      <formula>97.95</formula>
    </cfRule>
  </conditionalFormatting>
  <conditionalFormatting sqref="L37:N37">
    <cfRule type="cellIs" dxfId="2682" priority="4" operator="notEqual">
      <formula>#REF!</formula>
    </cfRule>
  </conditionalFormatting>
  <conditionalFormatting sqref="L64:N73">
    <cfRule type="cellIs" dxfId="2681" priority="31" stopIfTrue="1" operator="lessThan">
      <formula>100%</formula>
    </cfRule>
  </conditionalFormatting>
  <conditionalFormatting sqref="L75:N83">
    <cfRule type="cellIs" dxfId="2680" priority="160" stopIfTrue="1" operator="lessThan">
      <formula>100%</formula>
    </cfRule>
  </conditionalFormatting>
  <conditionalFormatting sqref="M10:M19">
    <cfRule type="expression" dxfId="2679" priority="1">
      <formula>IF(+(IF(M10&lt;U10,0,IF(M10&gt;V10,0,1)))=0,1)</formula>
    </cfRule>
  </conditionalFormatting>
  <conditionalFormatting sqref="N10:N19">
    <cfRule type="expression" dxfId="2678" priority="7">
      <formula>IF(+(IF(N10&lt;W10,0,IF(N10&gt;X10,0,1)))=0,1)</formula>
    </cfRule>
  </conditionalFormatting>
  <conditionalFormatting sqref="P6">
    <cfRule type="cellIs" dxfId="2677" priority="156" operator="greaterThanOrEqual">
      <formula>19</formula>
    </cfRule>
  </conditionalFormatting>
  <dataValidations count="1">
    <dataValidation type="list" allowBlank="1" showInputMessage="1" showErrorMessage="1" sqref="R8" xr:uid="{5F1A0443-6659-4B7C-8E09-9ECD89CDE5F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D340-B67E-422D-B427-7AF2F3D7ECB7}">
  <sheetPr>
    <pageSetUpPr fitToPage="1"/>
  </sheetPr>
  <dimension ref="A1:BE75"/>
  <sheetViews>
    <sheetView topLeftCell="A9" zoomScale="85" zoomScaleNormal="85" workbookViewId="0">
      <selection activeCell="B18" sqref="B18:O18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46273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3" t="s">
        <v>9</v>
      </c>
      <c r="C10" s="366" t="str">
        <f>[4]Brewhouse!$A363</f>
        <v>ST305</v>
      </c>
      <c r="D10" s="279">
        <f>[4]Brewhouse!$AB363</f>
        <v>53.1</v>
      </c>
      <c r="E10" s="279">
        <f>[4]Brewhouse!$AG363</f>
        <v>48.1</v>
      </c>
      <c r="F10" s="278">
        <f>[4]Brewhouse!$V363</f>
        <v>60</v>
      </c>
      <c r="G10" s="279">
        <f>[4]Brewhouse!$AE363</f>
        <v>11.8</v>
      </c>
      <c r="H10" s="396">
        <v>11.9</v>
      </c>
      <c r="I10" s="368">
        <f>[4]Brewhouse!$AS363</f>
        <v>96.072468702631554</v>
      </c>
      <c r="J10" s="368">
        <f>[4]Brewhouse!$AT363</f>
        <v>96.692243443021482</v>
      </c>
      <c r="K10" s="281">
        <f>[4]Brewhouse!$Q363</f>
        <v>10.12241054613936</v>
      </c>
      <c r="L10" s="276">
        <f>[4]Brewhouse!$P363</f>
        <v>61</v>
      </c>
      <c r="M10" s="374">
        <f>[4]Brewhouse!$U363-[4]Brewhouse!$T363</f>
        <v>0.13541666666666669</v>
      </c>
      <c r="N10" s="370">
        <f>[4]Brewhouse!$AW363</f>
        <v>0.27500000000000002</v>
      </c>
      <c r="O10" s="420" t="str">
        <f>[4]Brewhouse!$AV363</f>
        <v>R. Regis</v>
      </c>
      <c r="P10" s="418"/>
      <c r="R10" s="277" t="str">
        <f t="shared" ref="R10:R16" si="0">B10</f>
        <v>STAG</v>
      </c>
      <c r="S10" s="472">
        <f t="shared" ref="S10:S16" si="1">VLOOKUP($B10,$R$3:$X$9,2,FALSE)</f>
        <v>11.6</v>
      </c>
      <c r="T10" s="472">
        <f t="shared" ref="T10:T16" si="2">VLOOKUP($B10,$R$3:$X$9,3,FALSE)</f>
        <v>12</v>
      </c>
      <c r="U10" s="297">
        <f t="shared" ref="U10:U16" si="3">VLOOKUP($B10,$R$3:$X$9,4,FALSE)</f>
        <v>0</v>
      </c>
      <c r="V10" s="297">
        <f t="shared" ref="V10:V16" si="4">VLOOKUP($B10,$R$3:$X$9,5,FALSE)</f>
        <v>0.118055555555556</v>
      </c>
      <c r="W10" s="297">
        <f t="shared" ref="W10:W16" si="5">VLOOKUP($B10,$R$3:$X$9,6,FALSE)</f>
        <v>0.22569444444444445</v>
      </c>
      <c r="X10" s="297">
        <f t="shared" ref="X10:X16" si="6">VLOOKUP($B10,$R$3:$X$9,7,FALSE)</f>
        <v>0.2638888888888889</v>
      </c>
      <c r="Y10" s="297">
        <f t="shared" ref="Y10:Y16" si="7">VLOOKUP($B10,$R$3:$Z$9,8,FALSE)</f>
        <v>0</v>
      </c>
      <c r="Z10" s="472">
        <f t="shared" ref="Z10:Z16" si="8">VLOOKUP($B10,$R$3:$Z$9,9,FALSE)</f>
        <v>60</v>
      </c>
    </row>
    <row r="11" spans="2:29" ht="15" customHeight="1">
      <c r="B11" s="33" t="s">
        <v>9</v>
      </c>
      <c r="C11" s="366" t="str">
        <f>[4]Brewhouse!$A364</f>
        <v>ST306</v>
      </c>
      <c r="D11" s="279">
        <f>[4]Brewhouse!$AB364</f>
        <v>53</v>
      </c>
      <c r="E11" s="279">
        <f>[4]Brewhouse!$AG364</f>
        <v>49.2</v>
      </c>
      <c r="F11" s="278">
        <f>[4]Brewhouse!$V364</f>
        <v>61</v>
      </c>
      <c r="G11" s="279">
        <f>[4]Brewhouse!$AE364</f>
        <v>11.8</v>
      </c>
      <c r="H11" s="396">
        <v>11.8</v>
      </c>
      <c r="I11" s="368">
        <f>[4]Brewhouse!$AS364</f>
        <v>98.269552186475522</v>
      </c>
      <c r="J11" s="368">
        <f>[4]Brewhouse!$AT364</f>
        <v>98.903500569577076</v>
      </c>
      <c r="K11" s="281">
        <f>[4]Brewhouse!$Q364</f>
        <v>9.3867924528301909</v>
      </c>
      <c r="L11" s="276">
        <f>[4]Brewhouse!$P364</f>
        <v>60</v>
      </c>
      <c r="M11" s="374">
        <f>[4]Brewhouse!$U364-[4]Brewhouse!$T364</f>
        <v>0.11736111111111108</v>
      </c>
      <c r="N11" s="370">
        <f>[4]Brewhouse!$AW364</f>
        <v>0.28680555555555554</v>
      </c>
      <c r="O11" s="420" t="str">
        <f>[4]Brewhouse!$AV364</f>
        <v>R. Regis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33" t="s">
        <v>9</v>
      </c>
      <c r="C12" s="366" t="str">
        <f>[4]Brewhouse!$A365</f>
        <v>ST307</v>
      </c>
      <c r="D12" s="279">
        <f>[4]Brewhouse!$AB365</f>
        <v>53</v>
      </c>
      <c r="E12" s="279">
        <f>[4]Brewhouse!$AG365</f>
        <v>50.4</v>
      </c>
      <c r="F12" s="278">
        <f>[4]Brewhouse!$V365</f>
        <v>62</v>
      </c>
      <c r="G12" s="279">
        <f>[4]Brewhouse!$AE365</f>
        <v>11.8</v>
      </c>
      <c r="H12" s="396">
        <v>11.8</v>
      </c>
      <c r="I12" s="368">
        <f>[4]Brewhouse!$AS365</f>
        <v>99.989796775773399</v>
      </c>
      <c r="J12" s="368">
        <f>[4]Brewhouse!$AT365</f>
        <v>101.31578107127406</v>
      </c>
      <c r="K12" s="281">
        <f>[4]Brewhouse!$Q365</f>
        <v>8.632075471698105</v>
      </c>
      <c r="L12" s="276">
        <f>[4]Brewhouse!$P365</f>
        <v>59</v>
      </c>
      <c r="M12" s="374">
        <f>[4]Brewhouse!$U365-[4]Brewhouse!$T365</f>
        <v>0.12013888888888896</v>
      </c>
      <c r="N12" s="370">
        <f>[4]Brewhouse!$AW365</f>
        <v>0.30625000000000002</v>
      </c>
      <c r="O12" s="420" t="str">
        <f>[4]Brewhouse!$AV365</f>
        <v>R.Sookram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33" t="s">
        <v>9</v>
      </c>
      <c r="C13" s="366" t="str">
        <f>[4]Brewhouse!$A366</f>
        <v>ST308</v>
      </c>
      <c r="D13" s="279">
        <f>[4]Brewhouse!$AB366</f>
        <v>53</v>
      </c>
      <c r="E13" s="279">
        <f>[4]Brewhouse!$AG366</f>
        <v>49.7</v>
      </c>
      <c r="F13" s="278">
        <f>[4]Brewhouse!$V366</f>
        <v>54</v>
      </c>
      <c r="G13" s="279">
        <f>[4]Brewhouse!$AE366</f>
        <v>11.8</v>
      </c>
      <c r="H13" s="396">
        <v>11.8</v>
      </c>
      <c r="I13" s="368">
        <f>[4]Brewhouse!$AS366</f>
        <v>99.103260744156756</v>
      </c>
      <c r="J13" s="368">
        <f>[4]Brewhouse!$AT366</f>
        <v>100.41571882956903</v>
      </c>
      <c r="K13" s="281">
        <f>[4]Brewhouse!$Q366</f>
        <v>8.4433962264150964</v>
      </c>
      <c r="L13" s="276">
        <f>[4]Brewhouse!$P366</f>
        <v>59</v>
      </c>
      <c r="M13" s="374">
        <f>[4]Brewhouse!$U366-[4]Brewhouse!$T366</f>
        <v>0.10833333333333328</v>
      </c>
      <c r="N13" s="370">
        <f>[4]Brewhouse!$AW366</f>
        <v>0.29791666666666661</v>
      </c>
      <c r="O13" s="420" t="str">
        <f>[4]Brewhouse!$AV366</f>
        <v>R.Sookram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33" t="s">
        <v>9</v>
      </c>
      <c r="C14" s="366" t="str">
        <f>[4]Brewhouse!$A367</f>
        <v>ST309</v>
      </c>
      <c r="D14" s="279">
        <f>[4]Brewhouse!$AB367</f>
        <v>53</v>
      </c>
      <c r="E14" s="279">
        <f>[4]Brewhouse!$AG367</f>
        <v>49.8</v>
      </c>
      <c r="F14" s="278">
        <f>[4]Brewhouse!$V367</f>
        <v>56</v>
      </c>
      <c r="G14" s="279">
        <f>[4]Brewhouse!$AE367</f>
        <v>11.9</v>
      </c>
      <c r="H14" s="396">
        <v>11.9</v>
      </c>
      <c r="I14" s="368">
        <f>[4]Brewhouse!$AS367</f>
        <v>99.933359063716594</v>
      </c>
      <c r="J14" s="368">
        <f>[4]Brewhouse!$AT367</f>
        <v>101.2577049337968</v>
      </c>
      <c r="K14" s="281">
        <f>[4]Brewhouse!$Q367</f>
        <v>8.4433962264150964</v>
      </c>
      <c r="L14" s="276">
        <f>[4]Brewhouse!$P367</f>
        <v>61</v>
      </c>
      <c r="M14" s="374">
        <f>[4]Brewhouse!$U367-[4]Brewhouse!$T367</f>
        <v>0.10902777777777783</v>
      </c>
      <c r="N14" s="370">
        <f>[4]Brewhouse!$AW367</f>
        <v>0.24930555555555556</v>
      </c>
      <c r="O14" s="420" t="str">
        <f>[4]Brewhouse!$AV367</f>
        <v>R.Sookram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33" t="s">
        <v>9</v>
      </c>
      <c r="C15" s="366" t="str">
        <f>[4]Brewhouse!$A368</f>
        <v>ST310</v>
      </c>
      <c r="D15" s="279">
        <f>[4]Brewhouse!$AB368</f>
        <v>53</v>
      </c>
      <c r="E15" s="279">
        <f>[4]Brewhouse!$AG368</f>
        <v>51.3</v>
      </c>
      <c r="F15" s="278">
        <f>[4]Brewhouse!$V368</f>
        <v>59</v>
      </c>
      <c r="G15" s="279">
        <f>[4]Brewhouse!$AE368</f>
        <v>11.9</v>
      </c>
      <c r="H15" s="396">
        <v>11.9</v>
      </c>
      <c r="I15" s="368">
        <f>[4]Brewhouse!$AS368</f>
        <v>103.33714761585293</v>
      </c>
      <c r="J15" s="368">
        <f>[4]Brewhouse!$AT368</f>
        <v>104.70521224853189</v>
      </c>
      <c r="K15" s="281">
        <f>[4]Brewhouse!$Q368</f>
        <v>5.2358490566037714</v>
      </c>
      <c r="L15" s="276">
        <f>[4]Brewhouse!$P368</f>
        <v>61</v>
      </c>
      <c r="M15" s="374">
        <f>[4]Brewhouse!$U368-[4]Brewhouse!$T368</f>
        <v>0.12291666666666667</v>
      </c>
      <c r="N15" s="370">
        <f>[4]Brewhouse!$AW368</f>
        <v>0.27083333333333337</v>
      </c>
      <c r="O15" s="420" t="str">
        <f>[4]Brewhouse!$AV368</f>
        <v>K. Benjamin</v>
      </c>
      <c r="P15" s="418"/>
      <c r="R15" s="277" t="str">
        <f t="shared" si="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33" t="s">
        <v>9</v>
      </c>
      <c r="C16" s="366" t="str">
        <f>[4]Brewhouse!$A369</f>
        <v>ST311</v>
      </c>
      <c r="D16" s="279">
        <f>[4]Brewhouse!$AB369</f>
        <v>53</v>
      </c>
      <c r="E16" s="279">
        <f>[4]Brewhouse!$AG369</f>
        <v>52.6</v>
      </c>
      <c r="F16" s="278">
        <f>[4]Brewhouse!$V369</f>
        <v>56</v>
      </c>
      <c r="G16" s="279">
        <f>[4]Brewhouse!$AE369</f>
        <v>11.7</v>
      </c>
      <c r="H16" s="396">
        <v>11.8</v>
      </c>
      <c r="I16" s="368">
        <f>[4]Brewhouse!$AS369</f>
        <v>103.81878537188666</v>
      </c>
      <c r="J16" s="368">
        <f>[4]Brewhouse!$AT369</f>
        <v>105.19415798265723</v>
      </c>
      <c r="K16" s="281">
        <f>[4]Brewhouse!$Q369</f>
        <v>5.2358490566037714</v>
      </c>
      <c r="L16" s="276">
        <f>[4]Brewhouse!$P369</f>
        <v>60</v>
      </c>
      <c r="M16" s="374">
        <f>[4]Brewhouse!$U369-[4]Brewhouse!$T369</f>
        <v>0.13611111111111096</v>
      </c>
      <c r="N16" s="370">
        <f>[4]Brewhouse!$AW369</f>
        <v>0.27916666666666656</v>
      </c>
      <c r="O16" s="420" t="str">
        <f>[4]Brewhouse!$AV369</f>
        <v>K. Benjamin</v>
      </c>
      <c r="P16" s="418"/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33" t="s">
        <v>9</v>
      </c>
      <c r="C17" s="366" t="str">
        <f>[4]Brewhouse!$A370</f>
        <v>ST312</v>
      </c>
      <c r="D17" s="279">
        <f>[4]Brewhouse!$AB370</f>
        <v>53</v>
      </c>
      <c r="E17" s="279">
        <f>[4]Brewhouse!$AG370</f>
        <v>50.2</v>
      </c>
      <c r="F17" s="278">
        <f>[4]Brewhouse!$V370</f>
        <v>60</v>
      </c>
      <c r="G17" s="279">
        <f>[4]Brewhouse!$AE370</f>
        <v>12</v>
      </c>
      <c r="H17" s="396">
        <v>12</v>
      </c>
      <c r="I17" s="368">
        <f>[4]Brewhouse!$AS370</f>
        <v>101.75531402615744</v>
      </c>
      <c r="J17" s="368">
        <f>[4]Brewhouse!$AT370</f>
        <v>103.10335013937737</v>
      </c>
      <c r="K17" s="281">
        <f>[4]Brewhouse!$Q370</f>
        <v>7.3113207547169807</v>
      </c>
      <c r="L17" s="276">
        <f>[4]Brewhouse!$P370</f>
        <v>61</v>
      </c>
      <c r="M17" s="374">
        <f>[4]Brewhouse!$U370-[4]Brewhouse!$T370</f>
        <v>0.11875000000000013</v>
      </c>
      <c r="N17" s="370">
        <f>[4]Brewhouse!$AW370</f>
        <v>0.30625000000000002</v>
      </c>
      <c r="O17" s="420" t="str">
        <f>[4]Brewhouse!$AV370</f>
        <v>K. Benjamin</v>
      </c>
      <c r="P17" s="418"/>
      <c r="R17" s="277" t="str">
        <f t="shared" ref="R17:R35" si="9">B17</f>
        <v>STAG</v>
      </c>
      <c r="S17" s="472">
        <f t="shared" ref="S17:S35" si="10">VLOOKUP($B17,$R$3:$X$9,2,FALSE)</f>
        <v>11.6</v>
      </c>
      <c r="T17" s="472">
        <f t="shared" ref="T17:T35" si="11">VLOOKUP($B17,$R$3:$X$9,3,FALSE)</f>
        <v>12</v>
      </c>
      <c r="U17" s="297">
        <f t="shared" ref="U17:U35" si="12">VLOOKUP($B17,$R$3:$X$9,4,FALSE)</f>
        <v>0</v>
      </c>
      <c r="V17" s="297">
        <f t="shared" ref="V17:V35" si="13">VLOOKUP($B17,$R$3:$X$9,5,FALSE)</f>
        <v>0.118055555555556</v>
      </c>
      <c r="W17" s="297">
        <f t="shared" ref="W17:W35" si="14">VLOOKUP($B17,$R$3:$X$9,6,FALSE)</f>
        <v>0.22569444444444445</v>
      </c>
      <c r="X17" s="297">
        <f t="shared" ref="X17:X35" si="15">VLOOKUP($B17,$R$3:$X$9,7,FALSE)</f>
        <v>0.2638888888888889</v>
      </c>
      <c r="Y17" s="297">
        <f t="shared" ref="Y17:Y35" si="16">VLOOKUP($B17,$R$3:$Z$9,8,FALSE)</f>
        <v>0</v>
      </c>
      <c r="Z17" s="472">
        <f t="shared" ref="Z17:Z35" si="17">VLOOKUP($B17,$R$3:$Z$9,9,FALSE)</f>
        <v>60</v>
      </c>
    </row>
    <row r="18" spans="1:27" ht="15" customHeight="1">
      <c r="B18" s="33" t="s">
        <v>9</v>
      </c>
      <c r="C18" s="366" t="str">
        <f>[4]Brewhouse!$A371</f>
        <v>ST313</v>
      </c>
      <c r="D18" s="279">
        <f>[4]Brewhouse!$AB371</f>
        <v>53</v>
      </c>
      <c r="E18" s="279">
        <f>[4]Brewhouse!$AG371</f>
        <v>49.8</v>
      </c>
      <c r="F18" s="278">
        <f>[4]Brewhouse!$V371</f>
        <v>60</v>
      </c>
      <c r="G18" s="279">
        <f>[4]Brewhouse!$AE371</f>
        <v>11.8</v>
      </c>
      <c r="H18" s="396">
        <v>11.9</v>
      </c>
      <c r="I18" s="368">
        <f>[4]Brewhouse!$AS371</f>
        <v>99.050413722591401</v>
      </c>
      <c r="J18" s="368">
        <f>[4]Brewhouse!$AT371</f>
        <v>100.3630585448235</v>
      </c>
      <c r="K18" s="281">
        <f>[4]Brewhouse!$Q371</f>
        <v>8.2547169811320753</v>
      </c>
      <c r="L18" s="276">
        <f>[4]Brewhouse!$P371</f>
        <v>61</v>
      </c>
      <c r="M18" s="374">
        <f>[4]Brewhouse!$U371-[4]Brewhouse!$T371</f>
        <v>0.1479166666666667</v>
      </c>
      <c r="N18" s="370">
        <f>[4]Brewhouse!$AW371</f>
        <v>0.36041666666666672</v>
      </c>
      <c r="O18" s="420" t="str">
        <f>[4]Brewhouse!$AV371</f>
        <v>K. Benjamin</v>
      </c>
      <c r="P18" s="418"/>
      <c r="R18" s="277" t="str">
        <f t="shared" si="9"/>
        <v>STAG</v>
      </c>
      <c r="S18" s="472">
        <f t="shared" si="10"/>
        <v>11.6</v>
      </c>
      <c r="T18" s="472">
        <f t="shared" si="11"/>
        <v>12</v>
      </c>
      <c r="U18" s="297">
        <f t="shared" si="12"/>
        <v>0</v>
      </c>
      <c r="V18" s="297">
        <f t="shared" si="13"/>
        <v>0.118055555555556</v>
      </c>
      <c r="W18" s="297">
        <f t="shared" si="14"/>
        <v>0.22569444444444445</v>
      </c>
      <c r="X18" s="297">
        <f t="shared" si="15"/>
        <v>0.2638888888888889</v>
      </c>
      <c r="Y18" s="297">
        <f t="shared" si="16"/>
        <v>0</v>
      </c>
      <c r="Z18" s="472">
        <f t="shared" si="17"/>
        <v>60</v>
      </c>
    </row>
    <row r="19" spans="1:27" ht="15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0"/>
        <v>#N/A</v>
      </c>
      <c r="T19" s="472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472" t="e">
        <f t="shared" si="17"/>
        <v>#N/A</v>
      </c>
    </row>
    <row r="20" spans="1:27" ht="15" customHeight="1">
      <c r="B20" s="36"/>
      <c r="C20" s="366"/>
      <c r="D20" s="279"/>
      <c r="E20" s="279"/>
      <c r="F20" s="278"/>
      <c r="G20" s="279"/>
      <c r="H20" s="396"/>
      <c r="I20" s="489"/>
      <c r="J20" s="489"/>
      <c r="K20" s="490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5" customHeight="1">
      <c r="B21" s="36"/>
      <c r="C21" s="366"/>
      <c r="D21" s="279"/>
      <c r="E21" s="279"/>
      <c r="F21" s="278"/>
      <c r="G21" s="279"/>
      <c r="H21" s="396"/>
      <c r="I21" s="489"/>
      <c r="J21" s="489"/>
      <c r="K21" s="490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34"/>
      <c r="J22" s="534"/>
      <c r="K22" s="534"/>
      <c r="L22" s="534"/>
      <c r="M22" s="534"/>
      <c r="N22" s="534"/>
      <c r="O22" s="1"/>
      <c r="P22" s="12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7.25" customHeight="1" thickBot="1">
      <c r="B23" s="483" t="s">
        <v>162</v>
      </c>
      <c r="C23" s="388"/>
      <c r="D23" s="535" t="s">
        <v>35</v>
      </c>
      <c r="E23" s="536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7.25" customHeight="1">
      <c r="A24" s="28"/>
      <c r="B24" s="537"/>
      <c r="C24" s="484"/>
      <c r="D24" s="522"/>
      <c r="E24" s="523"/>
      <c r="F24" s="294"/>
      <c r="G24" s="294"/>
      <c r="H24" s="348"/>
      <c r="I24" s="29" t="s">
        <v>6</v>
      </c>
      <c r="J24" s="323"/>
      <c r="K24" s="284">
        <f>COUNTA([3]Brewhouse!$A$696:$A$715)</f>
        <v>20</v>
      </c>
      <c r="L24" s="305">
        <f>AVERAGE([3]Brewhouse!$AU$696:$AU$715)</f>
        <v>98.440340070586117</v>
      </c>
      <c r="M24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AVERAGE([3]Brewhouse!$AU$42:$AU$123,[3]Brewhouse!$AU$125:$AU$188,[3]Brewhouse!$AU$198:$AU$290,[3]Brewhouse!$AU$292:$AU$370,[3]Brewhouse!$AU$372:$AU$439,[3]Brewhouse!$AU$441:$AU$497,[3]Brewhouse!$AU$499:$AU$519,[3]Brewhouse!$AU$521:$AU$593,[3]Brewhouse!$AU$595:$AU$715)</f>
        <v>98.290599313483128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5" customHeight="1">
      <c r="A25" s="28"/>
      <c r="B25" s="538"/>
      <c r="C25" s="362"/>
      <c r="D25" s="524"/>
      <c r="E25" s="525"/>
      <c r="F25" s="294"/>
      <c r="G25" s="294"/>
      <c r="H25" s="348"/>
      <c r="I25" s="33" t="s">
        <v>9</v>
      </c>
      <c r="J25" s="323">
        <f>AVERAGE(I10:I18)</f>
        <v>100.1477886899158</v>
      </c>
      <c r="K25" s="284">
        <f>COUNTA([4]Brewhouse!$A$363:$A$371)</f>
        <v>9</v>
      </c>
      <c r="L25" s="302">
        <f>AVERAGE([4]Brewhouse!$AS$363:$AS$371)</f>
        <v>100.1477886899158</v>
      </c>
      <c r="M25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AVERAGE([4]Brewhouse!$AS$52:$AS$81,[4]Brewhouse!$AS$83:$AS$124,[4]Brewhouse!$AS$134:$AS$177,[4]Brewhouse!$AS$22:$AS$179,[4]Brewhouse!$AS$214:$AS$249,[4]Brewhouse!$AS$252:$AS$293,[4]Brewhouse!$AS$295:$AS$325,[4]Brewhouse!$AS$327:$AS$361,[4]Brewhouse!$AS$363:$AS$371)</f>
        <v>98.279874638812842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8"/>
      <c r="C26" s="362"/>
      <c r="D26" s="529"/>
      <c r="E26" s="530"/>
      <c r="F26" s="294"/>
      <c r="G26" s="294"/>
      <c r="H26" s="348"/>
      <c r="I26" s="34" t="s">
        <v>12</v>
      </c>
      <c r="J26" s="323"/>
      <c r="K26" s="284"/>
      <c r="L26" s="302"/>
      <c r="M26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8"/>
      <c r="C27" s="362"/>
      <c r="D27" s="531"/>
      <c r="E27" s="525"/>
      <c r="F27" s="294"/>
      <c r="G27" s="294"/>
      <c r="H27" s="348"/>
      <c r="I27" s="22" t="s">
        <v>33</v>
      </c>
      <c r="J27" s="280"/>
      <c r="K27" s="284"/>
      <c r="L27" s="302"/>
      <c r="M27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8"/>
      <c r="C28" s="362"/>
      <c r="D28" s="529"/>
      <c r="E28" s="530"/>
      <c r="F28" s="294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38"/>
      <c r="C29" s="362"/>
      <c r="D29" s="531"/>
      <c r="E29" s="525"/>
      <c r="F29" s="417"/>
      <c r="G29" s="294"/>
      <c r="H29" s="348"/>
      <c r="I29" s="36" t="s">
        <v>15</v>
      </c>
      <c r="J29" s="323"/>
      <c r="K29" s="284">
        <f>COUNTA([7]Brewhouse!$A$23:$A$30)</f>
        <v>8</v>
      </c>
      <c r="L29" s="302">
        <f>AVERAGE([7]Brewhouse!$AT$23:$AT$30)</f>
        <v>96.065914782338609</v>
      </c>
      <c r="M29" s="302">
        <f>AVERAGE([7]Brewhouse!$AT$4:$AT$11,[7]Brewhouse!$AT$13:$AT$16,[7]Brewhouse!$AT$18:$AT$30)</f>
        <v>93.22262799886262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38"/>
      <c r="C30" s="362"/>
      <c r="D30" s="529"/>
      <c r="E30" s="530"/>
      <c r="F30" s="417"/>
      <c r="G30" s="294"/>
      <c r="H30" s="348"/>
      <c r="I30" s="37" t="s">
        <v>16</v>
      </c>
      <c r="J30" s="323"/>
      <c r="K30" s="284"/>
      <c r="L30" s="302"/>
      <c r="M30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38"/>
      <c r="C31" s="362"/>
      <c r="D31" s="531"/>
      <c r="E31" s="525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7" ht="14.65" customHeight="1">
      <c r="A32" s="28"/>
      <c r="B32" s="538"/>
      <c r="C32" s="362"/>
      <c r="D32" s="529"/>
      <c r="E32" s="530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38"/>
      <c r="C33" s="362"/>
      <c r="D33" s="531"/>
      <c r="E33" s="525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38"/>
      <c r="C34" s="349"/>
      <c r="D34" s="522"/>
      <c r="E34" s="523"/>
      <c r="F34" s="294"/>
      <c r="G34" s="294"/>
      <c r="H34" s="348"/>
      <c r="I34" s="1"/>
      <c r="J34" s="39"/>
      <c r="K34" s="404">
        <f>SUM(K24:K33)</f>
        <v>37</v>
      </c>
      <c r="L34" s="405">
        <f>((L24*K24)+(L25*K25)+(L26*K26)+(L27*K27)+(L28*K28)+(K31*L31)+(L29*K29)+(L30*K30)+(L33*K33))/(K34)</f>
        <v>98.342276158910096</v>
      </c>
      <c r="M34" s="405">
        <f>AVERAGE('[9]Jan30th-31st'!$L$42,'[10]Feb 27th-28th'!$L$45,'[11]Mar 31st'!$L$42,'[12]Apr 30th'!$L$41,'[13]May 29th '!$L$35,'[14]June 30th'!$L$32,[15]July31st!$L$36,'[16]Aug 31st'!$L$32,L34)</f>
        <v>98.028261763756205</v>
      </c>
      <c r="N34" s="4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39"/>
      <c r="C35" s="350"/>
      <c r="D35" s="524"/>
      <c r="E35" s="525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19"/>
      <c r="C36" s="362"/>
      <c r="D36" s="522"/>
      <c r="E36" s="523"/>
      <c r="F36" s="294"/>
      <c r="G36" s="42"/>
      <c r="H36" s="41"/>
      <c r="I36" s="42"/>
      <c r="J36" s="526" t="s">
        <v>129</v>
      </c>
      <c r="K36" s="526"/>
      <c r="L36" s="294"/>
      <c r="M36" s="294"/>
      <c r="N36" s="294"/>
      <c r="O36" s="294"/>
      <c r="P36" s="12"/>
    </row>
    <row r="37" spans="1:56" ht="15.75" thickBot="1">
      <c r="B37" s="520"/>
      <c r="C37" s="362"/>
      <c r="D37" s="524"/>
      <c r="E37" s="525"/>
      <c r="F37" s="294"/>
      <c r="G37" s="42"/>
      <c r="H37" s="42"/>
      <c r="I37" s="42"/>
      <c r="J37" s="292" t="s">
        <v>17</v>
      </c>
      <c r="K37" s="293"/>
      <c r="L37" s="527" t="s">
        <v>136</v>
      </c>
      <c r="M37" s="527"/>
      <c r="N37" s="528"/>
      <c r="O37" s="294"/>
      <c r="P37" s="12"/>
    </row>
    <row r="38" spans="1:56" ht="15" customHeight="1" thickBot="1">
      <c r="B38" s="520"/>
      <c r="C38" s="349"/>
      <c r="D38" s="529"/>
      <c r="E38" s="530"/>
      <c r="F38" s="294"/>
      <c r="G38" s="42"/>
      <c r="H38" s="42"/>
      <c r="I38" s="42"/>
      <c r="J38" s="287" t="s">
        <v>6</v>
      </c>
      <c r="K38" s="324"/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0"/>
      <c r="C39" s="349"/>
      <c r="D39" s="531"/>
      <c r="E39" s="525"/>
      <c r="F39" s="294"/>
      <c r="G39" s="42"/>
      <c r="H39" s="42"/>
      <c r="I39" s="42"/>
      <c r="J39" s="345" t="s">
        <v>9</v>
      </c>
      <c r="K39" s="324">
        <v>9</v>
      </c>
      <c r="L39" s="485">
        <f>AVERAGE('Sept 1st'!K45,'Sept 2nd'!K47,'Sept 3rd'!K44,K48)</f>
        <v>8</v>
      </c>
      <c r="M39" s="486">
        <f>AVERAGE('[9]Jan30th-31st'!$L$47,L39,'[10]Feb 26th '!$L$39,'[11]Mar 31st'!$L$47,'[12]Apr 30th'!$L$46,'[13]May 29th '!$L$40,'[14]June 30th'!$L$39,[15]July31st!$L$41,'[16]Aug 31st'!$L$37)</f>
        <v>6.6266781527651091</v>
      </c>
      <c r="N39" s="416">
        <v>9.1999999999999993</v>
      </c>
      <c r="O39" s="294"/>
      <c r="P39" s="12"/>
    </row>
    <row r="40" spans="1:56" ht="15" customHeight="1">
      <c r="B40" s="520"/>
      <c r="C40" s="349"/>
      <c r="D40" s="529"/>
      <c r="E40" s="530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0"/>
      <c r="C41" s="349"/>
      <c r="D41" s="531"/>
      <c r="E41" s="525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0"/>
      <c r="C42" s="349"/>
      <c r="D42" s="529"/>
      <c r="E42" s="530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0"/>
      <c r="C43" s="349"/>
      <c r="D43" s="531"/>
      <c r="E43" s="525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0"/>
      <c r="C44" s="349"/>
      <c r="D44" s="529"/>
      <c r="E44" s="530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1"/>
      <c r="C45" s="350"/>
      <c r="D45" s="532"/>
      <c r="E45" s="533"/>
      <c r="F45" s="294" t="s">
        <v>165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10"/>
      <c r="E46" s="511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9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42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04" t="s">
        <v>17</v>
      </c>
      <c r="C51" s="504" t="s">
        <v>44</v>
      </c>
      <c r="D51" s="513" t="s">
        <v>45</v>
      </c>
      <c r="E51" s="515" t="s">
        <v>46</v>
      </c>
      <c r="F51" s="517" t="s">
        <v>47</v>
      </c>
      <c r="G51" s="502" t="s">
        <v>48</v>
      </c>
      <c r="H51" s="504" t="s">
        <v>49</v>
      </c>
      <c r="I51" s="504" t="s">
        <v>50</v>
      </c>
      <c r="J51" s="496" t="s">
        <v>28</v>
      </c>
      <c r="K51" s="506" t="s">
        <v>51</v>
      </c>
      <c r="L51" s="508" t="s">
        <v>52</v>
      </c>
      <c r="M51" s="496" t="s">
        <v>53</v>
      </c>
      <c r="N51" s="13"/>
      <c r="O51" s="13"/>
      <c r="P51" s="50"/>
    </row>
    <row r="52" spans="2:57" ht="28.5" customHeight="1" thickTop="1" thickBot="1">
      <c r="B52" s="505"/>
      <c r="C52" s="512"/>
      <c r="D52" s="514"/>
      <c r="E52" s="516"/>
      <c r="F52" s="518"/>
      <c r="G52" s="503"/>
      <c r="H52" s="505"/>
      <c r="I52" s="505"/>
      <c r="J52" s="497"/>
      <c r="K52" s="507"/>
      <c r="L52" s="509"/>
      <c r="M52" s="497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456" t="str">
        <f>J38</f>
        <v>CARIB</v>
      </c>
      <c r="C53" s="479">
        <v>46272</v>
      </c>
      <c r="D53" s="445">
        <f>[17]September_2026!$J$3</f>
        <v>405.6</v>
      </c>
      <c r="E53" s="443"/>
      <c r="F53" s="444"/>
      <c r="G53" s="444">
        <f>[17]September_2026!$J$7</f>
        <v>380.09999999999997</v>
      </c>
      <c r="H53" s="458"/>
      <c r="I53" s="458"/>
      <c r="J53" s="448" t="s">
        <v>174</v>
      </c>
      <c r="K53" s="449">
        <f>[18]September_2026!$J$18</f>
        <v>1.3336842105263156</v>
      </c>
      <c r="L53" s="457">
        <f>(((D53+E53)-G53)/(D53+E53))*100</f>
        <v>6.2869822485207241</v>
      </c>
      <c r="M53" s="455" t="s">
        <v>175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[19]January_2019!L5</f>
        <v>0</v>
      </c>
      <c r="AC53" s="57">
        <f>[19]January_2019!M5</f>
        <v>0</v>
      </c>
      <c r="AD53" s="57">
        <f>[19]January_2019!N5</f>
        <v>0</v>
      </c>
      <c r="AE53" s="57">
        <f>[19]January_2019!O5</f>
        <v>0</v>
      </c>
      <c r="AF53" s="57">
        <f>[19]January_2019!P5</f>
        <v>0</v>
      </c>
      <c r="AG53" s="57">
        <f>[19]January_2019!Q5</f>
        <v>0</v>
      </c>
      <c r="AH53" s="57">
        <f>[19]January_2019!R5</f>
        <v>0</v>
      </c>
      <c r="AI53" s="57">
        <f>[19]January_2019!S5</f>
        <v>0</v>
      </c>
      <c r="AJ53" s="57">
        <f>[19]January_2019!T5</f>
        <v>0</v>
      </c>
      <c r="AK53" s="57">
        <f>[19]January_2019!U5</f>
        <v>0</v>
      </c>
      <c r="AL53" s="57">
        <f>[19]January_2019!V5</f>
        <v>0</v>
      </c>
      <c r="AM53" s="57">
        <f>[19]January_2019!W5</f>
        <v>0</v>
      </c>
      <c r="AN53" s="57">
        <f>[19]January_2019!X5</f>
        <v>0</v>
      </c>
      <c r="AO53" s="57">
        <f>[19]January_2019!Y5</f>
        <v>0</v>
      </c>
      <c r="AP53" s="57">
        <f>[19]January_2019!Z5</f>
        <v>0</v>
      </c>
      <c r="AQ53" s="57">
        <f>[19]January_2019!AA5</f>
        <v>0</v>
      </c>
      <c r="AR53" s="57">
        <f>[19]January_2019!AB5</f>
        <v>0</v>
      </c>
      <c r="AS53" s="57">
        <f>[19]January_2019!AC5</f>
        <v>0</v>
      </c>
      <c r="AT53" s="57">
        <f>[19]January_2019!AD5</f>
        <v>0</v>
      </c>
      <c r="AU53" s="57">
        <f>[19]January_2019!AE5</f>
        <v>0</v>
      </c>
      <c r="AV53" s="57">
        <f>[19]January_2019!AF5</f>
        <v>0</v>
      </c>
      <c r="AW53" s="57">
        <f>[19]January_2019!AG5</f>
        <v>0</v>
      </c>
      <c r="AX53" s="277">
        <f>[19]January_2019!AH5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[19]January_2019!L6</f>
        <v>0</v>
      </c>
      <c r="AC54" s="57">
        <f>[19]January_2019!M6</f>
        <v>0</v>
      </c>
      <c r="AD54" s="57">
        <f>[19]January_2019!N6</f>
        <v>0</v>
      </c>
      <c r="AE54" s="57">
        <f>[19]January_2019!O6</f>
        <v>0</v>
      </c>
      <c r="AF54" s="57">
        <f>[19]January_2019!P6</f>
        <v>0</v>
      </c>
      <c r="AG54" s="57">
        <f>[19]January_2019!Q6</f>
        <v>0</v>
      </c>
      <c r="AH54" s="57">
        <f>[19]January_2019!R6</f>
        <v>0</v>
      </c>
      <c r="AI54" s="57">
        <f>[19]January_2019!S6</f>
        <v>0</v>
      </c>
      <c r="AJ54" s="57">
        <f>[19]January_2019!T6</f>
        <v>0</v>
      </c>
      <c r="AK54" s="57">
        <f>[19]January_2019!U6</f>
        <v>0</v>
      </c>
      <c r="AL54" s="57">
        <f>[19]January_2019!V6</f>
        <v>0</v>
      </c>
      <c r="AM54" s="57">
        <f>[19]January_2019!W6</f>
        <v>0</v>
      </c>
      <c r="AN54" s="57">
        <f>[19]January_2019!X6</f>
        <v>0</v>
      </c>
      <c r="AO54" s="57">
        <f>[19]January_2019!Y6</f>
        <v>0</v>
      </c>
      <c r="AP54" s="57">
        <f>[19]January_2019!Z6</f>
        <v>0</v>
      </c>
      <c r="AQ54" s="57">
        <f>[19]January_2019!AA6</f>
        <v>0</v>
      </c>
      <c r="AR54" s="57">
        <f>[19]January_2019!AB6</f>
        <v>0</v>
      </c>
      <c r="AS54" s="57">
        <f>[19]January_2019!AC6</f>
        <v>0</v>
      </c>
      <c r="AT54" s="57">
        <f>[19]January_2019!AD6</f>
        <v>0</v>
      </c>
      <c r="AU54" s="57">
        <f>[19]January_2019!AE6</f>
        <v>0</v>
      </c>
      <c r="AV54" s="57">
        <f>[19]January_2019!AF6</f>
        <v>0</v>
      </c>
      <c r="AW54" s="57">
        <f>[19]January_2019!AG6</f>
        <v>0</v>
      </c>
      <c r="AX54" s="277">
        <f>[19]January_2019!AH6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customHeight="1" thickBot="1">
      <c r="B55" s="456"/>
      <c r="C55" s="479"/>
      <c r="D55" s="442"/>
      <c r="E55" s="443"/>
      <c r="F55" s="444"/>
      <c r="G55" s="444"/>
      <c r="H55" s="446"/>
      <c r="I55" s="446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[19]January_2019!L7</f>
        <v>285.8</v>
      </c>
      <c r="AC55" s="57">
        <f>[19]January_2019!M7</f>
        <v>508.1</v>
      </c>
      <c r="AD55" s="57">
        <f>[19]January_2019!N7</f>
        <v>0</v>
      </c>
      <c r="AE55" s="57">
        <f>[19]January_2019!O7</f>
        <v>0</v>
      </c>
      <c r="AF55" s="57">
        <f>[19]January_2019!P7</f>
        <v>109.56666666666666</v>
      </c>
      <c r="AG55" s="57">
        <f>[19]January_2019!Q7</f>
        <v>297.64999999999998</v>
      </c>
      <c r="AH55" s="57">
        <f>[19]January_2019!R7</f>
        <v>122.3</v>
      </c>
      <c r="AI55" s="57">
        <f>[19]January_2019!S7</f>
        <v>0</v>
      </c>
      <c r="AJ55" s="57">
        <f>[19]January_2019!T7</f>
        <v>294.7</v>
      </c>
      <c r="AK55" s="57">
        <f>[19]January_2019!U7</f>
        <v>280.5</v>
      </c>
      <c r="AL55" s="57">
        <f>[19]January_2019!V7</f>
        <v>0</v>
      </c>
      <c r="AM55" s="57">
        <f>[19]January_2019!W7</f>
        <v>0</v>
      </c>
      <c r="AN55" s="57">
        <f>[19]January_2019!X7</f>
        <v>188.25</v>
      </c>
      <c r="AO55" s="57">
        <f>[19]January_2019!Y7</f>
        <v>295.7</v>
      </c>
      <c r="AP55" s="57">
        <f>[19]January_2019!Z7</f>
        <v>257.8</v>
      </c>
      <c r="AQ55" s="57">
        <f>[19]January_2019!AA7</f>
        <v>291.2</v>
      </c>
      <c r="AR55" s="57">
        <f>[19]January_2019!AB7</f>
        <v>187</v>
      </c>
      <c r="AS55" s="57">
        <f>[19]January_2019!AC7</f>
        <v>0</v>
      </c>
      <c r="AT55" s="57">
        <f>[19]January_2019!AD7</f>
        <v>0</v>
      </c>
      <c r="AU55" s="57">
        <f>[19]January_2019!AE7</f>
        <v>485.1</v>
      </c>
      <c r="AV55" s="57">
        <f>[19]January_2019!AF7</f>
        <v>171.55</v>
      </c>
      <c r="AW55" s="57">
        <f>[19]January_2019!AG7</f>
        <v>423.8</v>
      </c>
      <c r="AX55" s="277">
        <f>[19]January_2019!AH7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8.600000000000001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65" hidden="1" customHeight="1" thickBot="1">
      <c r="B57" s="487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1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498" t="s">
        <v>55</v>
      </c>
      <c r="C64" s="499"/>
      <c r="D64" s="499"/>
      <c r="E64" s="499"/>
      <c r="F64" s="500"/>
      <c r="G64" s="498" t="s">
        <v>56</v>
      </c>
      <c r="H64" s="499"/>
      <c r="I64" s="499"/>
      <c r="J64" s="500"/>
      <c r="K64" s="498" t="s">
        <v>51</v>
      </c>
      <c r="L64" s="499"/>
      <c r="M64" s="499"/>
      <c r="N64" s="501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/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6.2869822485207241</v>
      </c>
      <c r="D66" s="76">
        <v>7.0644548980770567</v>
      </c>
      <c r="E66" s="76">
        <v>6.5435272343170396</v>
      </c>
      <c r="F66" s="66">
        <v>4.8</v>
      </c>
      <c r="G66" s="65">
        <f>[17]September_2026!$J$11</f>
        <v>5.4475333924406968</v>
      </c>
      <c r="H66" s="477">
        <v>6.5869191698805878</v>
      </c>
      <c r="I66" s="477">
        <v>6.6493737245686244</v>
      </c>
      <c r="J66" s="66">
        <v>4.8</v>
      </c>
      <c r="K66" s="67">
        <f>K53</f>
        <v>1.3336842105263156</v>
      </c>
      <c r="L66" s="194">
        <v>0.64106432748538</v>
      </c>
      <c r="M66" s="194">
        <v>0.52938387608595039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8.6363636363636189</v>
      </c>
      <c r="E67" s="76">
        <v>5.8721053130307412</v>
      </c>
      <c r="F67" s="66">
        <v>4.8</v>
      </c>
      <c r="G67" s="65"/>
      <c r="H67" s="76">
        <v>7.5248838752488254</v>
      </c>
      <c r="I67" s="76">
        <v>5.9880521869393624</v>
      </c>
      <c r="J67" s="66">
        <v>4.8</v>
      </c>
      <c r="K67" s="67"/>
      <c r="L67" s="194">
        <v>0.31736842105263158</v>
      </c>
      <c r="M67" s="194">
        <v>0.68971317640877172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11.277593164016125</v>
      </c>
      <c r="F68" s="66">
        <v>5.5</v>
      </c>
      <c r="G68" s="65"/>
      <c r="H68" s="76"/>
      <c r="I68" s="76">
        <v>11.857907912244482</v>
      </c>
      <c r="J68" s="66">
        <v>5.5</v>
      </c>
      <c r="K68" s="67"/>
      <c r="L68" s="194"/>
      <c r="M68" s="194">
        <v>0.35370190356844494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4.8685538193023836</v>
      </c>
      <c r="F69" s="66">
        <v>3.3</v>
      </c>
      <c r="G69" s="65"/>
      <c r="H69" s="76"/>
      <c r="I69" s="76">
        <v>4.8702525342252114</v>
      </c>
      <c r="J69" s="66">
        <v>3.3</v>
      </c>
      <c r="K69" s="67"/>
      <c r="L69" s="194"/>
      <c r="M69" s="194">
        <v>0.77919298245614044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/>
      <c r="E71" s="76">
        <v>6.0400197628458603</v>
      </c>
      <c r="F71" s="70">
        <v>5.5</v>
      </c>
      <c r="G71" s="65"/>
      <c r="H71" s="76"/>
      <c r="I71" s="76">
        <v>8.2405787675951316</v>
      </c>
      <c r="J71" s="66">
        <v>5.5</v>
      </c>
      <c r="K71" s="67"/>
      <c r="L71" s="194"/>
      <c r="M71" s="194">
        <v>0.78491228070175445</v>
      </c>
      <c r="N71" s="68">
        <v>1</v>
      </c>
      <c r="P71" s="69"/>
    </row>
    <row r="72" spans="2:16" ht="15">
      <c r="B72" s="37" t="s">
        <v>16</v>
      </c>
      <c r="C72" s="482"/>
      <c r="D72" s="76"/>
      <c r="E72" s="76">
        <v>3.6168923014750334</v>
      </c>
      <c r="F72" s="66">
        <v>3.3</v>
      </c>
      <c r="G72" s="282"/>
      <c r="H72" s="76"/>
      <c r="I72" s="76">
        <v>5.0091179718082053</v>
      </c>
      <c r="J72" s="66">
        <v>3.3</v>
      </c>
      <c r="K72" s="67"/>
      <c r="L72" s="194"/>
      <c r="M72" s="194">
        <v>0.92642300194931759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7.4516389873732507</v>
      </c>
      <c r="E75" s="76">
        <v>6.3594774096338567</v>
      </c>
      <c r="F75" s="341">
        <v>5.5</v>
      </c>
      <c r="H75" s="76">
        <v>6.8177241263363779</v>
      </c>
      <c r="I75" s="76">
        <v>6.6964944460192761</v>
      </c>
      <c r="J75" s="341">
        <v>5.5</v>
      </c>
      <c r="L75" s="194">
        <v>0.56014035087719294</v>
      </c>
      <c r="M75" s="194">
        <v>0.5974774743279827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2676" priority="114" operator="notBetween">
      <formula>#REF!</formula>
      <formula>#REF!</formula>
    </cfRule>
  </conditionalFormatting>
  <conditionalFormatting sqref="C50">
    <cfRule type="cellIs" dxfId="2675" priority="196" stopIfTrue="1" operator="lessThan">
      <formula>96</formula>
    </cfRule>
    <cfRule type="cellIs" dxfId="2674" priority="197" stopIfTrue="1" operator="greaterThan">
      <formula>100</formula>
    </cfRule>
  </conditionalFormatting>
  <conditionalFormatting sqref="C66:C67">
    <cfRule type="cellIs" dxfId="2673" priority="77" stopIfTrue="1" operator="greaterThan">
      <formula>$F66</formula>
    </cfRule>
    <cfRule type="cellIs" dxfId="2672" priority="78" stopIfTrue="1" operator="lessThanOrEqual">
      <formula>0</formula>
    </cfRule>
    <cfRule type="cellIs" dxfId="2671" priority="79" stopIfTrue="1" operator="greaterThan">
      <formula>$F66</formula>
    </cfRule>
    <cfRule type="cellIs" dxfId="2670" priority="80" stopIfTrue="1" operator="lessThanOrEqual">
      <formula>0</formula>
    </cfRule>
  </conditionalFormatting>
  <conditionalFormatting sqref="C68:C70 C72:C74">
    <cfRule type="cellIs" dxfId="2669" priority="86" stopIfTrue="1" operator="greaterThan">
      <formula>$F71</formula>
    </cfRule>
  </conditionalFormatting>
  <conditionalFormatting sqref="C68:C70">
    <cfRule type="cellIs" dxfId="2668" priority="87" stopIfTrue="1" operator="lessThanOrEqual">
      <formula>0</formula>
    </cfRule>
  </conditionalFormatting>
  <conditionalFormatting sqref="C71">
    <cfRule type="cellIs" dxfId="2667" priority="198" stopIfTrue="1" operator="greaterThan">
      <formula>$F66</formula>
    </cfRule>
    <cfRule type="cellIs" dxfId="2666" priority="199" stopIfTrue="1" operator="lessThanOrEqual">
      <formula>0</formula>
    </cfRule>
    <cfRule type="cellIs" dxfId="2665" priority="200" stopIfTrue="1" operator="greaterThan">
      <formula>$F66</formula>
    </cfRule>
    <cfRule type="cellIs" dxfId="2664" priority="201" stopIfTrue="1" operator="lessThanOrEqual">
      <formula>0</formula>
    </cfRule>
  </conditionalFormatting>
  <conditionalFormatting sqref="C72:C74">
    <cfRule type="cellIs" dxfId="2663" priority="88" stopIfTrue="1" operator="lessThanOrEqual">
      <formula>0</formula>
    </cfRule>
  </conditionalFormatting>
  <conditionalFormatting sqref="C77:C81">
    <cfRule type="cellIs" dxfId="2662" priority="188" stopIfTrue="1" operator="lessThanOrEqual">
      <formula>0</formula>
    </cfRule>
  </conditionalFormatting>
  <conditionalFormatting sqref="C78:C81">
    <cfRule type="cellIs" dxfId="2661" priority="187" stopIfTrue="1" operator="greaterThan">
      <formula>$F$77</formula>
    </cfRule>
  </conditionalFormatting>
  <conditionalFormatting sqref="C83">
    <cfRule type="cellIs" dxfId="2660" priority="189" stopIfTrue="1" operator="greaterThan">
      <formula>$F$77</formula>
    </cfRule>
    <cfRule type="cellIs" dxfId="2659" priority="190" stopIfTrue="1" operator="lessThanOrEqual">
      <formula>0</formula>
    </cfRule>
  </conditionalFormatting>
  <conditionalFormatting sqref="C71:D71">
    <cfRule type="cellIs" dxfId="2658" priority="75" stopIfTrue="1" operator="greaterThan">
      <formula>$J71</formula>
    </cfRule>
    <cfRule type="cellIs" dxfId="2657" priority="76" stopIfTrue="1" operator="lessThanOrEqual">
      <formula>0</formula>
    </cfRule>
  </conditionalFormatting>
  <conditionalFormatting sqref="C77:D77 D79:D85">
    <cfRule type="cellIs" dxfId="2656" priority="182" stopIfTrue="1" operator="greaterThan">
      <formula>4.5</formula>
    </cfRule>
  </conditionalFormatting>
  <conditionalFormatting sqref="D46:D47">
    <cfRule type="cellIs" dxfId="2655" priority="115" operator="notBetween">
      <formula>#REF!</formula>
      <formula>#REF!</formula>
    </cfRule>
  </conditionalFormatting>
  <conditionalFormatting sqref="D66:D70 D72:D73">
    <cfRule type="cellIs" dxfId="2654" priority="85" stopIfTrue="1" operator="lessThanOrEqual">
      <formula>0</formula>
    </cfRule>
  </conditionalFormatting>
  <conditionalFormatting sqref="D66:D70 D72:D75">
    <cfRule type="cellIs" dxfId="2653" priority="81" stopIfTrue="1" operator="lessThanOrEqual">
      <formula>0</formula>
    </cfRule>
    <cfRule type="cellIs" dxfId="2652" priority="82" stopIfTrue="1" operator="greaterThan">
      <formula>$F66</formula>
    </cfRule>
  </conditionalFormatting>
  <conditionalFormatting sqref="D74:D75">
    <cfRule type="cellIs" dxfId="2651" priority="83" stopIfTrue="1" operator="lessThanOrEqual">
      <formula>0</formula>
    </cfRule>
  </conditionalFormatting>
  <conditionalFormatting sqref="D75">
    <cfRule type="cellIs" dxfId="2650" priority="84" stopIfTrue="1" operator="lessThanOrEqual">
      <formula>0</formula>
    </cfRule>
  </conditionalFormatting>
  <conditionalFormatting sqref="D77 D79:D85">
    <cfRule type="cellIs" dxfId="2649" priority="183" stopIfTrue="1" operator="lessThanOrEqual">
      <formula>0</formula>
    </cfRule>
  </conditionalFormatting>
  <conditionalFormatting sqref="D78">
    <cfRule type="cellIs" dxfId="2648" priority="174" stopIfTrue="1" operator="greaterThan">
      <formula>$F$77</formula>
    </cfRule>
    <cfRule type="cellIs" dxfId="2647" priority="175" stopIfTrue="1" operator="lessThanOrEqual">
      <formula>0</formula>
    </cfRule>
  </conditionalFormatting>
  <conditionalFormatting sqref="E10:E21">
    <cfRule type="cellIs" dxfId="2646" priority="24" operator="lessThan">
      <formula>48</formula>
    </cfRule>
  </conditionalFormatting>
  <conditionalFormatting sqref="E49 E50:F50">
    <cfRule type="cellIs" dxfId="2645" priority="179" stopIfTrue="1" operator="greaterThan">
      <formula>100</formula>
    </cfRule>
  </conditionalFormatting>
  <conditionalFormatting sqref="E50">
    <cfRule type="cellIs" dxfId="2644" priority="176" stopIfTrue="1" operator="lessThan">
      <formula>96.8</formula>
    </cfRule>
    <cfRule type="cellIs" dxfId="2643" priority="177" stopIfTrue="1" operator="greaterThan">
      <formula>100</formula>
    </cfRule>
  </conditionalFormatting>
  <conditionalFormatting sqref="E66:E74">
    <cfRule type="cellIs" dxfId="2642" priority="48" stopIfTrue="1" operator="lessThanOrEqual">
      <formula>0</formula>
    </cfRule>
  </conditionalFormatting>
  <conditionalFormatting sqref="E66:E75">
    <cfRule type="cellIs" dxfId="2641" priority="49" stopIfTrue="1" operator="greaterThan">
      <formula>$F66</formula>
    </cfRule>
    <cfRule type="cellIs" dxfId="2640" priority="50" stopIfTrue="1" operator="lessThanOrEqual">
      <formula>0</formula>
    </cfRule>
  </conditionalFormatting>
  <conditionalFormatting sqref="E75">
    <cfRule type="cellIs" dxfId="2639" priority="51" stopIfTrue="1" operator="lessThanOrEqual">
      <formula>0</formula>
    </cfRule>
  </conditionalFormatting>
  <conditionalFormatting sqref="E77:E85">
    <cfRule type="cellIs" dxfId="2638" priority="168" stopIfTrue="1" operator="greaterThan">
      <formula>4.5</formula>
    </cfRule>
    <cfRule type="cellIs" dxfId="2637" priority="169" stopIfTrue="1" operator="lessThanOrEqual">
      <formula>0</formula>
    </cfRule>
  </conditionalFormatting>
  <conditionalFormatting sqref="E50:F50 E49">
    <cfRule type="cellIs" dxfId="2636" priority="178" stopIfTrue="1" operator="lessThan">
      <formula>96.5</formula>
    </cfRule>
  </conditionalFormatting>
  <conditionalFormatting sqref="F10:F21">
    <cfRule type="cellIs" dxfId="2635" priority="25" operator="greaterThan">
      <formula>60</formula>
    </cfRule>
  </conditionalFormatting>
  <conditionalFormatting sqref="F50">
    <cfRule type="cellIs" dxfId="2634" priority="194" stopIfTrue="1" operator="lessThan">
      <formula>96.8</formula>
    </cfRule>
    <cfRule type="cellIs" dxfId="2633" priority="195" stopIfTrue="1" operator="greaterThan">
      <formula>100</formula>
    </cfRule>
  </conditionalFormatting>
  <conditionalFormatting sqref="G10:G19 M10:N19 H10:H21">
    <cfRule type="expression" dxfId="2632" priority="15">
      <formula>IF(+(IF(G10&lt;#REF!,0,IF(G10&gt;#REF!,0,1)))=0,1)</formula>
    </cfRule>
  </conditionalFormatting>
  <conditionalFormatting sqref="G10:G21">
    <cfRule type="expression" dxfId="2631" priority="14">
      <formula>IF(+(IF(G10&lt;S10,0,IF(G10&gt;T10,0,1)))=0,1)</formula>
    </cfRule>
  </conditionalFormatting>
  <conditionalFormatting sqref="G66:G69 F75">
    <cfRule type="cellIs" dxfId="2630" priority="57" stopIfTrue="1" operator="greaterThan">
      <formula>$F66</formula>
    </cfRule>
    <cfRule type="cellIs" dxfId="2629" priority="58" stopIfTrue="1" operator="lessThanOrEqual">
      <formula>0</formula>
    </cfRule>
  </conditionalFormatting>
  <conditionalFormatting sqref="G68:G69">
    <cfRule type="cellIs" dxfId="2628" priority="43" stopIfTrue="1" operator="greaterThan">
      <formula>$F68</formula>
    </cfRule>
    <cfRule type="cellIs" dxfId="2627" priority="44" stopIfTrue="1" operator="lessThanOrEqual">
      <formula>0</formula>
    </cfRule>
  </conditionalFormatting>
  <conditionalFormatting sqref="G70:G74">
    <cfRule type="cellIs" dxfId="2626" priority="59" stopIfTrue="1" operator="greaterThan">
      <formula>$J70</formula>
    </cfRule>
    <cfRule type="cellIs" dxfId="2625" priority="60" stopIfTrue="1" operator="lessThanOrEqual">
      <formula>0</formula>
    </cfRule>
  </conditionalFormatting>
  <conditionalFormatting sqref="G71">
    <cfRule type="cellIs" dxfId="2624" priority="202" stopIfTrue="1" operator="greaterThan">
      <formula>$F66</formula>
    </cfRule>
    <cfRule type="cellIs" dxfId="2623" priority="203" stopIfTrue="1" operator="lessThanOrEqual">
      <formula>0</formula>
    </cfRule>
  </conditionalFormatting>
  <conditionalFormatting sqref="G79:G84 C82 C84">
    <cfRule type="cellIs" dxfId="2622" priority="191" stopIfTrue="1" operator="greaterThan">
      <formula>4.5</formula>
    </cfRule>
    <cfRule type="cellIs" dxfId="2621" priority="192" stopIfTrue="1" operator="lessThanOrEqual">
      <formula>0</formula>
    </cfRule>
  </conditionalFormatting>
  <conditionalFormatting sqref="G78:H78">
    <cfRule type="cellIs" dxfId="2620" priority="172" stopIfTrue="1" operator="greaterThan">
      <formula>$F$77</formula>
    </cfRule>
    <cfRule type="cellIs" dxfId="2619" priority="173" stopIfTrue="1" operator="lessThanOrEqual">
      <formula>0</formula>
    </cfRule>
  </conditionalFormatting>
  <conditionalFormatting sqref="H35:H36 H49">
    <cfRule type="cellIs" dxfId="2618" priority="170" stopIfTrue="1" operator="greaterThan">
      <formula>0</formula>
    </cfRule>
  </conditionalFormatting>
  <conditionalFormatting sqref="H53">
    <cfRule type="cellIs" dxfId="2617" priority="62" stopIfTrue="1" operator="lessThanOrEqual">
      <formula>0</formula>
    </cfRule>
    <cfRule type="cellIs" dxfId="2616" priority="63" stopIfTrue="1" operator="greaterThan">
      <formula>$F$66</formula>
    </cfRule>
    <cfRule type="cellIs" dxfId="2615" priority="71" stopIfTrue="1" operator="greaterThan">
      <formula>$F$69</formula>
    </cfRule>
    <cfRule type="cellIs" dxfId="2614" priority="72" stopIfTrue="1" operator="lessThanOrEqual">
      <formula>0</formula>
    </cfRule>
    <cfRule type="cellIs" dxfId="2613" priority="73" stopIfTrue="1" operator="greaterThan">
      <formula>$F$67</formula>
    </cfRule>
  </conditionalFormatting>
  <conditionalFormatting sqref="H53:H54">
    <cfRule type="cellIs" dxfId="2612" priority="74" stopIfTrue="1" operator="lessThanOrEqual">
      <formula>0</formula>
    </cfRule>
  </conditionalFormatting>
  <conditionalFormatting sqref="H54 H56:H57">
    <cfRule type="cellIs" dxfId="2611" priority="100" stopIfTrue="1" operator="lessThanOrEqual">
      <formula>0</formula>
    </cfRule>
  </conditionalFormatting>
  <conditionalFormatting sqref="H54">
    <cfRule type="cellIs" dxfId="2610" priority="89" stopIfTrue="1" operator="greaterThan">
      <formula>$F$66</formula>
    </cfRule>
    <cfRule type="cellIs" dxfId="2609" priority="97" stopIfTrue="1" operator="greaterThan">
      <formula>$F$69</formula>
    </cfRule>
    <cfRule type="cellIs" dxfId="2608" priority="98" stopIfTrue="1" operator="lessThanOrEqual">
      <formula>0</formula>
    </cfRule>
    <cfRule type="cellIs" dxfId="2607" priority="99" stopIfTrue="1" operator="greaterThan">
      <formula>$F$67</formula>
    </cfRule>
  </conditionalFormatting>
  <conditionalFormatting sqref="H55">
    <cfRule type="cellIs" dxfId="2606" priority="29" stopIfTrue="1" operator="lessThanOrEqual">
      <formula>0</formula>
    </cfRule>
    <cfRule type="cellIs" dxfId="2605" priority="30" stopIfTrue="1" operator="greaterThan">
      <formula>$F$68</formula>
    </cfRule>
    <cfRule type="cellIs" dxfId="2604" priority="38" stopIfTrue="1" operator="greaterThan">
      <formula>$F$71</formula>
    </cfRule>
    <cfRule type="cellIs" dxfId="2603" priority="39" stopIfTrue="1" operator="lessThanOrEqual">
      <formula>0</formula>
    </cfRule>
    <cfRule type="cellIs" dxfId="2602" priority="40" stopIfTrue="1" operator="greaterThan">
      <formula>$F$69</formula>
    </cfRule>
    <cfRule type="cellIs" dxfId="2601" priority="41" stopIfTrue="1" operator="lessThanOrEqual">
      <formula>0</formula>
    </cfRule>
  </conditionalFormatting>
  <conditionalFormatting sqref="H56:H57">
    <cfRule type="cellIs" dxfId="2600" priority="102" stopIfTrue="1" operator="greaterThan">
      <formula>$F$66</formula>
    </cfRule>
    <cfRule type="cellIs" dxfId="2599" priority="110" stopIfTrue="1" operator="greaterThan">
      <formula>$F$69</formula>
    </cfRule>
    <cfRule type="cellIs" dxfId="2598" priority="111" stopIfTrue="1" operator="lessThanOrEqual">
      <formula>0</formula>
    </cfRule>
    <cfRule type="cellIs" dxfId="2597" priority="112" stopIfTrue="1" operator="greaterThan">
      <formula>$F$67</formula>
    </cfRule>
    <cfRule type="cellIs" dxfId="2596" priority="113" stopIfTrue="1" operator="lessThanOrEqual">
      <formula>0</formula>
    </cfRule>
  </conditionalFormatting>
  <conditionalFormatting sqref="H58:H59">
    <cfRule type="cellIs" dxfId="2595" priority="137" stopIfTrue="1" operator="lessThanOrEqual">
      <formula>0</formula>
    </cfRule>
    <cfRule type="cellIs" dxfId="2594" priority="138" stopIfTrue="1" operator="greaterThan">
      <formula>#REF!</formula>
    </cfRule>
    <cfRule type="cellIs" dxfId="2593" priority="146" stopIfTrue="1" operator="greaterThan">
      <formula>#REF!</formula>
    </cfRule>
    <cfRule type="cellIs" dxfId="2592" priority="147" stopIfTrue="1" operator="lessThanOrEqual">
      <formula>0</formula>
    </cfRule>
  </conditionalFormatting>
  <conditionalFormatting sqref="H60">
    <cfRule type="cellIs" dxfId="2591" priority="149" stopIfTrue="1" operator="lessThanOrEqual">
      <formula>0</formula>
    </cfRule>
    <cfRule type="cellIs" dxfId="2590" priority="150" stopIfTrue="1" operator="greaterThan">
      <formula>$F$34</formula>
    </cfRule>
    <cfRule type="cellIs" dxfId="2589" priority="158" stopIfTrue="1" operator="greaterThan">
      <formula>$F$37</formula>
    </cfRule>
    <cfRule type="cellIs" dxfId="2588" priority="159" stopIfTrue="1" operator="lessThanOrEqual">
      <formula>0</formula>
    </cfRule>
    <cfRule type="cellIs" dxfId="2587" priority="160" stopIfTrue="1" operator="greaterThan">
      <formula>$F$35</formula>
    </cfRule>
    <cfRule type="cellIs" dxfId="2586" priority="161" stopIfTrue="1" operator="lessThanOrEqual">
      <formula>0</formula>
    </cfRule>
  </conditionalFormatting>
  <conditionalFormatting sqref="H61:H62">
    <cfRule type="cellIs" dxfId="2585" priority="125" stopIfTrue="1" operator="lessThanOrEqual">
      <formula>0</formula>
    </cfRule>
    <cfRule type="cellIs" dxfId="2584" priority="126" stopIfTrue="1" operator="greaterThan">
      <formula>#REF!</formula>
    </cfRule>
    <cfRule type="cellIs" dxfId="2583" priority="134" stopIfTrue="1" operator="greaterThan">
      <formula>#REF!</formula>
    </cfRule>
    <cfRule type="cellIs" dxfId="2582" priority="135" stopIfTrue="1" operator="lessThanOrEqual">
      <formula>0</formula>
    </cfRule>
  </conditionalFormatting>
  <conditionalFormatting sqref="H77 H79:H85">
    <cfRule type="cellIs" dxfId="2581" priority="184" stopIfTrue="1" operator="greaterThan">
      <formula>4.5</formula>
    </cfRule>
    <cfRule type="cellIs" dxfId="2580" priority="185" stopIfTrue="1" operator="lessThanOrEqual">
      <formula>0</formula>
    </cfRule>
  </conditionalFormatting>
  <conditionalFormatting sqref="H53:I53">
    <cfRule type="cellIs" dxfId="2579" priority="64" stopIfTrue="1" operator="lessThanOrEqual">
      <formula>0</formula>
    </cfRule>
  </conditionalFormatting>
  <conditionalFormatting sqref="H53:I54 H56:I57">
    <cfRule type="cellIs" dxfId="2578" priority="61" stopIfTrue="1" operator="greaterThan">
      <formula>$F$68</formula>
    </cfRule>
  </conditionalFormatting>
  <conditionalFormatting sqref="H54:I54">
    <cfRule type="cellIs" dxfId="2577" priority="90" stopIfTrue="1" operator="lessThanOrEqual">
      <formula>0</formula>
    </cfRule>
  </conditionalFormatting>
  <conditionalFormatting sqref="H55:I55">
    <cfRule type="cellIs" dxfId="2576" priority="28" stopIfTrue="1" operator="greaterThan">
      <formula>$F$70</formula>
    </cfRule>
    <cfRule type="cellIs" dxfId="2575" priority="31" stopIfTrue="1" operator="lessThanOrEqual">
      <formula>0</formula>
    </cfRule>
  </conditionalFormatting>
  <conditionalFormatting sqref="H56:I57">
    <cfRule type="cellIs" dxfId="2574" priority="103" stopIfTrue="1" operator="lessThanOrEqual">
      <formula>0</formula>
    </cfRule>
  </conditionalFormatting>
  <conditionalFormatting sqref="H58:I59">
    <cfRule type="cellIs" dxfId="2573" priority="136" stopIfTrue="1" operator="greaterThan">
      <formula>#REF!</formula>
    </cfRule>
    <cfRule type="cellIs" dxfId="2572" priority="139" stopIfTrue="1" operator="lessThanOrEqual">
      <formula>0</formula>
    </cfRule>
    <cfRule type="cellIs" dxfId="2571" priority="144" stopIfTrue="1" operator="greaterThan">
      <formula>#REF!</formula>
    </cfRule>
    <cfRule type="cellIs" dxfId="2570" priority="145" stopIfTrue="1" operator="lessThanOrEqual">
      <formula>0</formula>
    </cfRule>
  </conditionalFormatting>
  <conditionalFormatting sqref="H60:I60">
    <cfRule type="cellIs" dxfId="2569" priority="148" stopIfTrue="1" operator="greaterThan">
      <formula>$F$36</formula>
    </cfRule>
    <cfRule type="cellIs" dxfId="2568" priority="151" stopIfTrue="1" operator="lessThanOrEqual">
      <formula>0</formula>
    </cfRule>
  </conditionalFormatting>
  <conditionalFormatting sqref="H61:I62">
    <cfRule type="cellIs" dxfId="2567" priority="124" stopIfTrue="1" operator="greaterThan">
      <formula>#REF!</formula>
    </cfRule>
    <cfRule type="cellIs" dxfId="2566" priority="127" stopIfTrue="1" operator="lessThanOrEqual">
      <formula>0</formula>
    </cfRule>
    <cfRule type="cellIs" dxfId="2565" priority="132" stopIfTrue="1" operator="greaterThan">
      <formula>#REF!</formula>
    </cfRule>
    <cfRule type="cellIs" dxfId="2564" priority="133" stopIfTrue="1" operator="lessThanOrEqual">
      <formula>0</formula>
    </cfRule>
  </conditionalFormatting>
  <conditionalFormatting sqref="H66:I73">
    <cfRule type="cellIs" dxfId="2563" priority="46" stopIfTrue="1" operator="greaterThan">
      <formula>$J66</formula>
    </cfRule>
    <cfRule type="cellIs" dxfId="2562" priority="47" stopIfTrue="1" operator="lessThanOrEqual">
      <formula>0</formula>
    </cfRule>
  </conditionalFormatting>
  <conditionalFormatting sqref="H74:I74">
    <cfRule type="cellIs" dxfId="2561" priority="54" operator="greaterThan">
      <formula>5.3</formula>
    </cfRule>
  </conditionalFormatting>
  <conditionalFormatting sqref="H75:I75">
    <cfRule type="cellIs" dxfId="2560" priority="52" stopIfTrue="1" operator="greaterThan">
      <formula>$J75</formula>
    </cfRule>
    <cfRule type="cellIs" dxfId="2559" priority="53" stopIfTrue="1" operator="lessThanOrEqual">
      <formula>0</formula>
    </cfRule>
  </conditionalFormatting>
  <conditionalFormatting sqref="I53">
    <cfRule type="cellIs" dxfId="2558" priority="65" stopIfTrue="1" operator="greaterThan">
      <formula>$F$66</formula>
    </cfRule>
    <cfRule type="cellIs" dxfId="2557" priority="66" stopIfTrue="1" operator="lessThanOrEqual">
      <formula>0</formula>
    </cfRule>
    <cfRule type="cellIs" dxfId="2556" priority="67" stopIfTrue="1" operator="greaterThan">
      <formula>$F$68</formula>
    </cfRule>
    <cfRule type="cellIs" dxfId="2555" priority="68" stopIfTrue="1" operator="lessThanOrEqual">
      <formula>0</formula>
    </cfRule>
    <cfRule type="cellIs" dxfId="2554" priority="69" stopIfTrue="1" operator="greaterThan">
      <formula>$F$66</formula>
    </cfRule>
    <cfRule type="cellIs" dxfId="2553" priority="70" stopIfTrue="1" operator="lessThanOrEqual">
      <formula>0</formula>
    </cfRule>
  </conditionalFormatting>
  <conditionalFormatting sqref="I54">
    <cfRule type="cellIs" dxfId="2552" priority="91" stopIfTrue="1" operator="greaterThan">
      <formula>$F$66</formula>
    </cfRule>
    <cfRule type="cellIs" dxfId="2551" priority="92" stopIfTrue="1" operator="lessThanOrEqual">
      <formula>0</formula>
    </cfRule>
    <cfRule type="cellIs" dxfId="2550" priority="93" stopIfTrue="1" operator="greaterThan">
      <formula>$F$68</formula>
    </cfRule>
    <cfRule type="cellIs" dxfId="2549" priority="94" stopIfTrue="1" operator="lessThanOrEqual">
      <formula>0</formula>
    </cfRule>
    <cfRule type="cellIs" dxfId="2548" priority="95" stopIfTrue="1" operator="greaterThan">
      <formula>$F$66</formula>
    </cfRule>
    <cfRule type="cellIs" dxfId="2547" priority="96" stopIfTrue="1" operator="lessThanOrEqual">
      <formula>0</formula>
    </cfRule>
  </conditionalFormatting>
  <conditionalFormatting sqref="I55">
    <cfRule type="cellIs" dxfId="2546" priority="32" stopIfTrue="1" operator="greaterThan">
      <formula>$F$68</formula>
    </cfRule>
    <cfRule type="cellIs" dxfId="2545" priority="33" stopIfTrue="1" operator="lessThanOrEqual">
      <formula>0</formula>
    </cfRule>
    <cfRule type="cellIs" dxfId="2544" priority="34" stopIfTrue="1" operator="greaterThan">
      <formula>$F$70</formula>
    </cfRule>
    <cfRule type="cellIs" dxfId="2543" priority="35" stopIfTrue="1" operator="lessThanOrEqual">
      <formula>0</formula>
    </cfRule>
    <cfRule type="cellIs" dxfId="2542" priority="36" stopIfTrue="1" operator="greaterThan">
      <formula>$F$68</formula>
    </cfRule>
    <cfRule type="cellIs" dxfId="2541" priority="37" stopIfTrue="1" operator="lessThanOrEqual">
      <formula>0</formula>
    </cfRule>
  </conditionalFormatting>
  <conditionalFormatting sqref="I56:I57">
    <cfRule type="cellIs" dxfId="2540" priority="104" stopIfTrue="1" operator="greaterThan">
      <formula>$F$66</formula>
    </cfRule>
    <cfRule type="cellIs" dxfId="2539" priority="105" stopIfTrue="1" operator="lessThanOrEqual">
      <formula>0</formula>
    </cfRule>
    <cfRule type="cellIs" dxfId="2538" priority="106" stopIfTrue="1" operator="greaterThan">
      <formula>$F$68</formula>
    </cfRule>
    <cfRule type="cellIs" dxfId="2537" priority="107" stopIfTrue="1" operator="lessThanOrEqual">
      <formula>0</formula>
    </cfRule>
    <cfRule type="cellIs" dxfId="2536" priority="108" stopIfTrue="1" operator="greaterThan">
      <formula>$F$66</formula>
    </cfRule>
    <cfRule type="cellIs" dxfId="2535" priority="109" stopIfTrue="1" operator="lessThanOrEqual">
      <formula>0</formula>
    </cfRule>
  </conditionalFormatting>
  <conditionalFormatting sqref="I58:I59">
    <cfRule type="cellIs" dxfId="2534" priority="140" stopIfTrue="1" operator="greaterThan">
      <formula>#REF!</formula>
    </cfRule>
    <cfRule type="cellIs" dxfId="2533" priority="141" stopIfTrue="1" operator="lessThanOrEqual">
      <formula>0</formula>
    </cfRule>
    <cfRule type="cellIs" dxfId="2532" priority="142" stopIfTrue="1" operator="greaterThan">
      <formula>#REF!</formula>
    </cfRule>
    <cfRule type="cellIs" dxfId="2531" priority="143" stopIfTrue="1" operator="lessThanOrEqual">
      <formula>0</formula>
    </cfRule>
  </conditionalFormatting>
  <conditionalFormatting sqref="I60">
    <cfRule type="cellIs" dxfId="2530" priority="152" stopIfTrue="1" operator="greaterThan">
      <formula>$F$34</formula>
    </cfRule>
    <cfRule type="cellIs" dxfId="2529" priority="153" stopIfTrue="1" operator="lessThanOrEqual">
      <formula>0</formula>
    </cfRule>
    <cfRule type="cellIs" dxfId="2528" priority="154" stopIfTrue="1" operator="greaterThan">
      <formula>$F$36</formula>
    </cfRule>
    <cfRule type="cellIs" dxfId="2527" priority="155" stopIfTrue="1" operator="lessThanOrEqual">
      <formula>0</formula>
    </cfRule>
    <cfRule type="cellIs" dxfId="2526" priority="156" stopIfTrue="1" operator="greaterThan">
      <formula>$F$34</formula>
    </cfRule>
    <cfRule type="cellIs" dxfId="2525" priority="157" stopIfTrue="1" operator="lessThanOrEqual">
      <formula>0</formula>
    </cfRule>
  </conditionalFormatting>
  <conditionalFormatting sqref="I61:I62">
    <cfRule type="cellIs" dxfId="2524" priority="128" stopIfTrue="1" operator="greaterThan">
      <formula>#REF!</formula>
    </cfRule>
    <cfRule type="cellIs" dxfId="2523" priority="129" stopIfTrue="1" operator="lessThanOrEqual">
      <formula>0</formula>
    </cfRule>
    <cfRule type="cellIs" dxfId="2522" priority="130" stopIfTrue="1" operator="greaterThan">
      <formula>#REF!</formula>
    </cfRule>
    <cfRule type="cellIs" dxfId="2521" priority="131" stopIfTrue="1" operator="lessThanOrEqual">
      <formula>0</formula>
    </cfRule>
  </conditionalFormatting>
  <conditionalFormatting sqref="I77:I85">
    <cfRule type="cellIs" dxfId="2520" priority="180" stopIfTrue="1" operator="greaterThan">
      <formula>4.5</formula>
    </cfRule>
    <cfRule type="cellIs" dxfId="2519" priority="181" stopIfTrue="1" operator="lessThanOrEqual">
      <formula>0</formula>
    </cfRule>
  </conditionalFormatting>
  <conditionalFormatting sqref="I10:J21">
    <cfRule type="cellIs" dxfId="2518" priority="20" operator="lessThan">
      <formula>97.9</formula>
    </cfRule>
  </conditionalFormatting>
  <conditionalFormatting sqref="J24:J26">
    <cfRule type="cellIs" dxfId="2517" priority="27" operator="lessThan">
      <formula>97.95</formula>
    </cfRule>
  </conditionalFormatting>
  <conditionalFormatting sqref="J26:J28">
    <cfRule type="cellIs" dxfId="2516" priority="162" operator="lessThan">
      <formula>97.4</formula>
    </cfRule>
  </conditionalFormatting>
  <conditionalFormatting sqref="J29:J30">
    <cfRule type="cellIs" dxfId="2515" priority="163" operator="lessThan">
      <formula>98</formula>
    </cfRule>
  </conditionalFormatting>
  <conditionalFormatting sqref="J31:J32">
    <cfRule type="cellIs" dxfId="2514" priority="164" stopIfTrue="1" operator="lessThan">
      <formula>96.8</formula>
    </cfRule>
    <cfRule type="cellIs" dxfId="2513" priority="165" stopIfTrue="1" operator="greaterThan">
      <formula>100</formula>
    </cfRule>
  </conditionalFormatting>
  <conditionalFormatting sqref="J31:J33">
    <cfRule type="cellIs" dxfId="2512" priority="166" operator="lessThan">
      <formula>98</formula>
    </cfRule>
  </conditionalFormatting>
  <conditionalFormatting sqref="J62">
    <cfRule type="cellIs" dxfId="2511" priority="116" stopIfTrue="1" operator="greaterThan">
      <formula>#REF!</formula>
    </cfRule>
    <cfRule type="cellIs" dxfId="2510" priority="117" stopIfTrue="1" operator="lessThanOrEqual">
      <formula>0</formula>
    </cfRule>
    <cfRule type="cellIs" dxfId="2509" priority="118" stopIfTrue="1" operator="greaterThan">
      <formula>#REF!</formula>
    </cfRule>
    <cfRule type="cellIs" dxfId="2508" priority="119" stopIfTrue="1" operator="lessThanOrEqual">
      <formula>0</formula>
    </cfRule>
    <cfRule type="cellIs" dxfId="2507" priority="120" stopIfTrue="1" operator="greaterThan">
      <formula>#REF!</formula>
    </cfRule>
    <cfRule type="cellIs" dxfId="2506" priority="121" stopIfTrue="1" operator="lessThanOrEqual">
      <formula>0</formula>
    </cfRule>
    <cfRule type="cellIs" dxfId="2505" priority="122" stopIfTrue="1" operator="greaterThan">
      <formula>#REF!</formula>
    </cfRule>
    <cfRule type="cellIs" dxfId="2504" priority="123" stopIfTrue="1" operator="lessThanOrEqual">
      <formula>0</formula>
    </cfRule>
  </conditionalFormatting>
  <conditionalFormatting sqref="J75">
    <cfRule type="cellIs" dxfId="2503" priority="55" stopIfTrue="1" operator="greaterThan">
      <formula>$F75</formula>
    </cfRule>
    <cfRule type="cellIs" dxfId="2502" priority="56" stopIfTrue="1" operator="lessThanOrEqual">
      <formula>0</formula>
    </cfRule>
  </conditionalFormatting>
  <conditionalFormatting sqref="K10:K21">
    <cfRule type="cellIs" dxfId="2501" priority="21" operator="greaterThan">
      <formula>6</formula>
    </cfRule>
    <cfRule type="cellIs" dxfId="2500" priority="22" operator="lessThan">
      <formula>4</formula>
    </cfRule>
    <cfRule type="cellIs" dxfId="2499" priority="23" operator="greaterThan">
      <formula>6.4</formula>
    </cfRule>
  </conditionalFormatting>
  <conditionalFormatting sqref="K53:K62">
    <cfRule type="cellIs" dxfId="2498" priority="101" stopIfTrue="1" operator="lessThan">
      <formula>100%</formula>
    </cfRule>
  </conditionalFormatting>
  <conditionalFormatting sqref="K66:K74">
    <cfRule type="cellIs" dxfId="2497" priority="45" stopIfTrue="1" operator="lessThan">
      <formula>100%</formula>
    </cfRule>
  </conditionalFormatting>
  <conditionalFormatting sqref="K77:K82">
    <cfRule type="cellIs" dxfId="2496" priority="186" stopIfTrue="1" operator="lessThan">
      <formula>100%</formula>
    </cfRule>
  </conditionalFormatting>
  <conditionalFormatting sqref="K84:K85">
    <cfRule type="cellIs" dxfId="2495" priority="193" stopIfTrue="1" operator="lessThan">
      <formula>100%</formula>
    </cfRule>
  </conditionalFormatting>
  <conditionalFormatting sqref="L10:L21">
    <cfRule type="cellIs" dxfId="2494" priority="17" operator="between">
      <formula>61</formula>
      <formula>65</formula>
    </cfRule>
    <cfRule type="cellIs" dxfId="2493" priority="18" operator="greaterThan">
      <formula>65</formula>
    </cfRule>
  </conditionalFormatting>
  <conditionalFormatting sqref="L24:M35">
    <cfRule type="cellIs" dxfId="2492" priority="26" operator="lessThan">
      <formula>97.95</formula>
    </cfRule>
  </conditionalFormatting>
  <conditionalFormatting sqref="L39:N39">
    <cfRule type="cellIs" dxfId="2491" priority="16" operator="notEqual">
      <formula>#REF!</formula>
    </cfRule>
  </conditionalFormatting>
  <conditionalFormatting sqref="L66:N75">
    <cfRule type="cellIs" dxfId="2490" priority="42" stopIfTrue="1" operator="lessThan">
      <formula>100%</formula>
    </cfRule>
  </conditionalFormatting>
  <conditionalFormatting sqref="L77:N85">
    <cfRule type="cellIs" dxfId="2489" priority="171" stopIfTrue="1" operator="lessThan">
      <formula>100%</formula>
    </cfRule>
  </conditionalFormatting>
  <conditionalFormatting sqref="M20:M21">
    <cfRule type="expression" dxfId="2488" priority="13">
      <formula>IF(+(IF(M20&lt;U20,0,IF(M20&gt;V20,0,1)))=0,1)</formula>
    </cfRule>
  </conditionalFormatting>
  <conditionalFormatting sqref="N10:N21">
    <cfRule type="expression" dxfId="2487" priority="19">
      <formula>IF(+(IF(N10&lt;W10,0,IF(N10&gt;X10,0,1)))=0,1)</formula>
    </cfRule>
  </conditionalFormatting>
  <conditionalFormatting sqref="P6">
    <cfRule type="cellIs" dxfId="2486" priority="167" operator="greaterThanOrEqual">
      <formula>19</formula>
    </cfRule>
  </conditionalFormatting>
  <dataValidations count="1">
    <dataValidation type="list" allowBlank="1" showInputMessage="1" showErrorMessage="1" sqref="R8" xr:uid="{57A4812C-8E84-437F-BA51-57C82A57D67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7B4C-81BF-42D7-AD79-4710631B8C22}">
  <sheetPr>
    <pageSetUpPr fitToPage="1"/>
  </sheetPr>
  <dimension ref="A1:BE75"/>
  <sheetViews>
    <sheetView topLeftCell="A5" zoomScale="85" zoomScaleNormal="85" workbookViewId="0">
      <selection activeCell="E10" sqref="E10:E16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46274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3" t="s">
        <v>9</v>
      </c>
      <c r="C10" s="366" t="str">
        <f>[4]Brewhouse!$A372</f>
        <v>ST314</v>
      </c>
      <c r="D10" s="279">
        <f>[4]Brewhouse!$AB372</f>
        <v>53</v>
      </c>
      <c r="E10" s="279">
        <f>[4]Brewhouse!$AG372</f>
        <v>51.6</v>
      </c>
      <c r="F10" s="278">
        <f>[4]Brewhouse!$V372</f>
        <v>54</v>
      </c>
      <c r="G10" s="279">
        <f>[4]Brewhouse!$AE372</f>
        <v>11.9</v>
      </c>
      <c r="H10" s="396">
        <v>11.9</v>
      </c>
      <c r="I10" s="368">
        <f>[4]Brewhouse!$AS372</f>
        <v>103.67708915402727</v>
      </c>
      <c r="J10" s="368">
        <f>[4]Brewhouse!$AT372</f>
        <v>105.05058459876861</v>
      </c>
      <c r="K10" s="281">
        <f>[4]Brewhouse!$Q372</f>
        <v>6.7452830188679158</v>
      </c>
      <c r="L10" s="276">
        <f>[4]Brewhouse!$P372</f>
        <v>61</v>
      </c>
      <c r="M10" s="374">
        <f>[4]Brewhouse!$U372-[4]Brewhouse!$T372</f>
        <v>0.12083333333333335</v>
      </c>
      <c r="N10" s="370">
        <f>[4]Brewhouse!$AW372</f>
        <v>0.34652777777777777</v>
      </c>
      <c r="O10" s="420" t="str">
        <f>[4]Brewhouse!$AV372</f>
        <v>R. Regis</v>
      </c>
      <c r="P10" s="418"/>
      <c r="R10" s="277" t="str">
        <f t="shared" ref="R10:R16" si="0">B10</f>
        <v>STAG</v>
      </c>
      <c r="S10" s="472">
        <f t="shared" ref="S10:S16" si="1">VLOOKUP($B10,$R$3:$X$9,2,FALSE)</f>
        <v>11.6</v>
      </c>
      <c r="T10" s="472">
        <f t="shared" ref="T10:T16" si="2">VLOOKUP($B10,$R$3:$X$9,3,FALSE)</f>
        <v>12</v>
      </c>
      <c r="U10" s="297">
        <f t="shared" ref="U10:U16" si="3">VLOOKUP($B10,$R$3:$X$9,4,FALSE)</f>
        <v>0</v>
      </c>
      <c r="V10" s="297">
        <f t="shared" ref="V10:V16" si="4">VLOOKUP($B10,$R$3:$X$9,5,FALSE)</f>
        <v>0.118055555555556</v>
      </c>
      <c r="W10" s="297">
        <f t="shared" ref="W10:W16" si="5">VLOOKUP($B10,$R$3:$X$9,6,FALSE)</f>
        <v>0.22569444444444445</v>
      </c>
      <c r="X10" s="297">
        <f t="shared" ref="X10:X16" si="6">VLOOKUP($B10,$R$3:$X$9,7,FALSE)</f>
        <v>0.2638888888888889</v>
      </c>
      <c r="Y10" s="297">
        <f t="shared" ref="Y10:Y16" si="7">VLOOKUP($B10,$R$3:$Z$9,8,FALSE)</f>
        <v>0</v>
      </c>
      <c r="Z10" s="472">
        <f t="shared" ref="Z10:Z16" si="8">VLOOKUP($B10,$R$3:$Z$9,9,FALSE)</f>
        <v>60</v>
      </c>
    </row>
    <row r="11" spans="2:29" ht="15" customHeight="1">
      <c r="B11" s="33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420"/>
      <c r="P11" s="418"/>
      <c r="R11" s="277">
        <f t="shared" si="0"/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2:29" ht="15" customHeight="1">
      <c r="B12" s="29" t="s">
        <v>6</v>
      </c>
      <c r="C12" s="366" t="str">
        <f>[3]Brewhouse!$A716</f>
        <v>CA667</v>
      </c>
      <c r="D12" s="279">
        <f>[3]Brewhouse!$AF716</f>
        <v>49.4</v>
      </c>
      <c r="E12" s="279">
        <f>[3]Brewhouse!$AI716</f>
        <v>51.6</v>
      </c>
      <c r="F12" s="278">
        <f>[3]Brewhouse!$V716</f>
        <v>60</v>
      </c>
      <c r="G12" s="279">
        <f>[3]Brewhouse!AG716</f>
        <v>11.4</v>
      </c>
      <c r="H12" s="493">
        <v>11.5</v>
      </c>
      <c r="I12" s="368">
        <f>[3]Brewhouse!$AU716</f>
        <v>97.406889141099541</v>
      </c>
      <c r="J12" s="368">
        <f>[3]Brewhouse!$AV716</f>
        <v>98.958332527536214</v>
      </c>
      <c r="K12" s="281">
        <f>[3]Brewhouse!$Q716</f>
        <v>10.018484288354902</v>
      </c>
      <c r="L12" s="276">
        <f>[3]Brewhouse!$P716</f>
        <v>61</v>
      </c>
      <c r="M12" s="374">
        <f>[3]Brewhouse!$U716-[3]Brewhouse!$T716</f>
        <v>0.12222222222222223</v>
      </c>
      <c r="N12" s="370">
        <f>[3]Brewhouse!$Z716</f>
        <v>0.27986111111111106</v>
      </c>
      <c r="O12" s="420" t="str">
        <f>[3]Brewhouse!$AX716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[3]Brewhouse!$A717</f>
        <v>CA668</v>
      </c>
      <c r="D13" s="279">
        <f>[3]Brewhouse!$AF717</f>
        <v>49.1</v>
      </c>
      <c r="E13" s="279">
        <f>[3]Brewhouse!$AI717</f>
        <v>49.5</v>
      </c>
      <c r="F13" s="278">
        <f>[3]Brewhouse!$V717</f>
        <v>54</v>
      </c>
      <c r="G13" s="279">
        <f>[3]Brewhouse!AG717</f>
        <v>12</v>
      </c>
      <c r="H13" s="493">
        <v>12.2</v>
      </c>
      <c r="I13" s="368">
        <f>[3]Brewhouse!$AU717</f>
        <v>98.502058292495235</v>
      </c>
      <c r="J13" s="368">
        <f>[3]Brewhouse!$AV717</f>
        <v>100.07104960823823</v>
      </c>
      <c r="K13" s="281">
        <f>[3]Brewhouse!$Q717</f>
        <v>10.407407407407403</v>
      </c>
      <c r="L13" s="276">
        <f>[3]Brewhouse!$P717</f>
        <v>60</v>
      </c>
      <c r="M13" s="374">
        <f>[3]Brewhouse!$U717-[3]Brewhouse!$T717</f>
        <v>0.1118055555555556</v>
      </c>
      <c r="N13" s="370">
        <f>[3]Brewhouse!$Z717</f>
        <v>0.30000000000000004</v>
      </c>
      <c r="O13" s="420" t="str">
        <f>[3]Brewhouse!$AX717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[3]Brewhouse!$A718</f>
        <v>CA669</v>
      </c>
      <c r="D14" s="279">
        <f>[3]Brewhouse!$AF718</f>
        <v>49</v>
      </c>
      <c r="E14" s="279">
        <f>[3]Brewhouse!$AI718</f>
        <v>49.6</v>
      </c>
      <c r="F14" s="278">
        <f>[3]Brewhouse!$V718</f>
        <v>57</v>
      </c>
      <c r="G14" s="279">
        <f>[3]Brewhouse!AG718</f>
        <v>11.7</v>
      </c>
      <c r="H14" s="396">
        <v>11.8</v>
      </c>
      <c r="I14" s="368">
        <f>[3]Brewhouse!$AU718</f>
        <v>98.31722610678014</v>
      </c>
      <c r="J14" s="368">
        <f>[3]Brewhouse!$AV718</f>
        <v>99.881351871296076</v>
      </c>
      <c r="K14" s="281">
        <f>[3]Brewhouse!$Q718</f>
        <v>12.074074074074066</v>
      </c>
      <c r="L14" s="276">
        <f>[3]Brewhouse!$P718</f>
        <v>60</v>
      </c>
      <c r="M14" s="374">
        <f>[3]Brewhouse!$U718-[3]Brewhouse!$T718</f>
        <v>0.11458333333333337</v>
      </c>
      <c r="N14" s="370">
        <f>[3]Brewhouse!$Z718</f>
        <v>0.25138888888888888</v>
      </c>
      <c r="O14" s="420" t="str">
        <f>[3]Brewhouse!$AX718</f>
        <v>K. Benjamin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[3]Brewhouse!$A719</f>
        <v>CA670</v>
      </c>
      <c r="D15" s="279">
        <f>[3]Brewhouse!$AF719</f>
        <v>50.7</v>
      </c>
      <c r="E15" s="279">
        <f>[3]Brewhouse!$AI719</f>
        <v>51.3</v>
      </c>
      <c r="F15" s="278">
        <f>[3]Brewhouse!$V719</f>
        <v>58</v>
      </c>
      <c r="G15" s="279">
        <f>[3]Brewhouse!AG719</f>
        <v>11.7</v>
      </c>
      <c r="H15" s="396">
        <v>11.9</v>
      </c>
      <c r="I15" s="368">
        <f>[3]Brewhouse!$AU719</f>
        <v>101.29884115103513</v>
      </c>
      <c r="J15" s="368">
        <f>[3]Brewhouse!$AV719</f>
        <v>102.91073758372262</v>
      </c>
      <c r="K15" s="281">
        <f>[3]Brewhouse!$Q719</f>
        <v>8.9259259259259256</v>
      </c>
      <c r="L15" s="276">
        <f>[3]Brewhouse!$P719</f>
        <v>60</v>
      </c>
      <c r="M15" s="374">
        <f>[3]Brewhouse!$U719-[3]Brewhouse!$T719</f>
        <v>0.11249999999999993</v>
      </c>
      <c r="N15" s="370">
        <f>[3]Brewhouse!$Z719</f>
        <v>0.26111111111111107</v>
      </c>
      <c r="O15" s="420" t="str">
        <f>[3]Brewhouse!$AX719</f>
        <v>K. Benjamin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[3]Brewhouse!$A720</f>
        <v>CA671</v>
      </c>
      <c r="D16" s="279">
        <f>[3]Brewhouse!$AF720</f>
        <v>49.7</v>
      </c>
      <c r="E16" s="279">
        <f>[3]Brewhouse!$AI720</f>
        <v>50.3</v>
      </c>
      <c r="F16" s="278">
        <f>[3]Brewhouse!$V720</f>
        <v>58</v>
      </c>
      <c r="G16" s="279">
        <f>[3]Brewhouse!AG720</f>
        <v>11.8</v>
      </c>
      <c r="H16" s="396">
        <v>11.8</v>
      </c>
      <c r="I16" s="368">
        <f>[3]Brewhouse!$AU720</f>
        <v>100.09020957845156</v>
      </c>
      <c r="J16" s="368">
        <f>[3]Brewhouse!$AV720</f>
        <v>101.68298409826757</v>
      </c>
      <c r="K16" s="281">
        <f>[3]Brewhouse!$Q720</f>
        <v>10.757855822550832</v>
      </c>
      <c r="L16" s="276">
        <f>[3]Brewhouse!$P720</f>
        <v>60</v>
      </c>
      <c r="M16" s="374">
        <f>[3]Brewhouse!$U720-[3]Brewhouse!$T720</f>
        <v>0.1166666666666667</v>
      </c>
      <c r="N16" s="370">
        <f>[3]Brewhouse!$Z720</f>
        <v>0.27847222222222223</v>
      </c>
      <c r="O16" s="420" t="str">
        <f>[3]Brewhouse!$AX720</f>
        <v>K. Benjamin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/>
      <c r="S17" s="472"/>
      <c r="T17" s="472"/>
      <c r="U17" s="297"/>
      <c r="V17" s="297"/>
      <c r="W17" s="297"/>
      <c r="X17" s="297"/>
      <c r="Y17" s="297"/>
      <c r="Z17" s="472"/>
    </row>
    <row r="18" spans="1:27" ht="15" customHeight="1">
      <c r="B18" s="492">
        <v>46274</v>
      </c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/>
      <c r="S18" s="472"/>
      <c r="T18" s="472"/>
      <c r="U18" s="297"/>
      <c r="V18" s="297"/>
      <c r="W18" s="297"/>
      <c r="X18" s="297"/>
      <c r="Y18" s="297"/>
      <c r="Z18" s="472"/>
    </row>
    <row r="19" spans="1:27" ht="15" customHeight="1">
      <c r="B19" s="29" t="s">
        <v>6</v>
      </c>
      <c r="C19" s="366" t="str">
        <f>[3]Brewhouse!$A721</f>
        <v>CA672</v>
      </c>
      <c r="D19" s="279">
        <f>[3]Brewhouse!$AF721</f>
        <v>50.2</v>
      </c>
      <c r="E19" s="279">
        <f>[3]Brewhouse!$AI721</f>
        <v>50.7</v>
      </c>
      <c r="F19" s="278">
        <f>[3]Brewhouse!$V721</f>
        <v>60</v>
      </c>
      <c r="G19" s="279">
        <f>[3]Brewhouse!AG721</f>
        <v>11.7</v>
      </c>
      <c r="H19" s="396">
        <v>11.9</v>
      </c>
      <c r="I19" s="368">
        <f>[3]Brewhouse!$AU721</f>
        <v>99.733387411391178</v>
      </c>
      <c r="J19" s="368">
        <f>[3]Brewhouse!$AV721</f>
        <v>101.32070242510316</v>
      </c>
      <c r="K19" s="281">
        <f>[3]Brewhouse!$Q721</f>
        <v>8.7245841035120115</v>
      </c>
      <c r="L19" s="276">
        <f>[3]Brewhouse!$P721</f>
        <v>60</v>
      </c>
      <c r="M19" s="374">
        <f>[3]Brewhouse!$U721-[3]Brewhouse!$T721</f>
        <v>7.986111111111116E-2</v>
      </c>
      <c r="N19" s="370">
        <f>[3]Brewhouse!$Z721</f>
        <v>0.23055555555555562</v>
      </c>
      <c r="O19" s="420" t="str">
        <f>[3]Brewhouse!$AX721</f>
        <v>R. Regis</v>
      </c>
      <c r="P19" s="418"/>
      <c r="R19" s="277" t="str">
        <f t="shared" ref="R19:R35" si="9">B19</f>
        <v>CARIB</v>
      </c>
      <c r="S19" s="472">
        <f t="shared" ref="S19:S35" si="10">VLOOKUP($B19,$R$3:$X$9,2,FALSE)</f>
        <v>11.6</v>
      </c>
      <c r="T19" s="472">
        <f t="shared" ref="T19:T35" si="11">VLOOKUP($B19,$R$3:$X$9,3,FALSE)</f>
        <v>12</v>
      </c>
      <c r="U19" s="297">
        <f t="shared" ref="U19:U35" si="12">VLOOKUP($B19,$R$3:$X$9,4,FALSE)</f>
        <v>0</v>
      </c>
      <c r="V19" s="297">
        <f t="shared" ref="V19:V35" si="13">VLOOKUP($B19,$R$3:$X$9,5,FALSE)</f>
        <v>0.118055555555556</v>
      </c>
      <c r="W19" s="297">
        <f t="shared" ref="W19:W35" si="14">VLOOKUP($B19,$R$3:$X$9,6,FALSE)</f>
        <v>0.22569444444444445</v>
      </c>
      <c r="X19" s="297">
        <f t="shared" ref="X19:X35" si="15">VLOOKUP($B19,$R$3:$X$9,7,FALSE)</f>
        <v>0.2638888888888889</v>
      </c>
      <c r="Y19" s="297">
        <f t="shared" ref="Y19:Y35" si="16">VLOOKUP($B19,$R$3:$Z$9,8,FALSE)</f>
        <v>0</v>
      </c>
      <c r="Z19" s="472">
        <f t="shared" ref="Z19:Z35" si="17">VLOOKUP($B19,$R$3:$Z$9,9,FALSE)</f>
        <v>60</v>
      </c>
    </row>
    <row r="20" spans="1:27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5" customHeight="1">
      <c r="B21" s="36"/>
      <c r="C21" s="366"/>
      <c r="D21" s="279"/>
      <c r="E21" s="279"/>
      <c r="F21" s="278"/>
      <c r="G21" s="279"/>
      <c r="H21" s="396"/>
      <c r="I21" s="489"/>
      <c r="J21" s="489"/>
      <c r="K21" s="490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34"/>
      <c r="J22" s="534"/>
      <c r="K22" s="534"/>
      <c r="L22" s="534"/>
      <c r="M22" s="534"/>
      <c r="N22" s="534"/>
      <c r="O22" s="1"/>
      <c r="P22" s="12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7.25" customHeight="1" thickBot="1">
      <c r="B23" s="483" t="s">
        <v>162</v>
      </c>
      <c r="C23" s="388"/>
      <c r="D23" s="535" t="s">
        <v>35</v>
      </c>
      <c r="E23" s="536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7.25" customHeight="1">
      <c r="A24" s="28"/>
      <c r="B24" s="537"/>
      <c r="C24" s="484"/>
      <c r="D24" s="522"/>
      <c r="E24" s="523"/>
      <c r="F24" s="294"/>
      <c r="G24" s="294"/>
      <c r="H24" s="348"/>
      <c r="I24" s="29" t="s">
        <v>6</v>
      </c>
      <c r="J24" s="323">
        <f>AVERAGE(I12:I16)</f>
        <v>99.123044853972331</v>
      </c>
      <c r="K24" s="284">
        <f>COUNTA([3]Brewhouse!$A$696:$A$721)</f>
        <v>26</v>
      </c>
      <c r="L24" s="305">
        <f>AVERAGE([3]Brewhouse!$AU$696:$AU$721)</f>
        <v>98.621362042037518</v>
      </c>
      <c r="M24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AVERAGE([3]Brewhouse!$AU$42:$AU$123,[3]Brewhouse!$AU$125:$AU$188,[3]Brewhouse!$AU$198:$AU$290,[3]Brewhouse!$AU$292:$AU$370,[3]Brewhouse!$AU$372:$AU$439,[3]Brewhouse!$AU$441:$AU$497,[3]Brewhouse!$AU$499:$AU$519,[3]Brewhouse!$AU$521:$AU$593,[3]Brewhouse!$AU$595:$AU$721)</f>
        <v>98.299053334298137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5" customHeight="1">
      <c r="A25" s="28"/>
      <c r="B25" s="538"/>
      <c r="C25" s="362"/>
      <c r="D25" s="524"/>
      <c r="E25" s="525"/>
      <c r="F25" s="294"/>
      <c r="G25" s="294"/>
      <c r="H25" s="348"/>
      <c r="I25" s="33" t="s">
        <v>9</v>
      </c>
      <c r="J25" s="323">
        <f>I10</f>
        <v>103.67708915402727</v>
      </c>
      <c r="K25" s="284">
        <f>COUNTA([4]Brewhouse!$A$363:$A$372)</f>
        <v>10</v>
      </c>
      <c r="L25" s="302">
        <f>AVERAGE([4]Brewhouse!$AS$363:$AS$372)</f>
        <v>100.50071873632695</v>
      </c>
      <c r="M25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AVERAGE([4]Brewhouse!$AS$52:$AS$81,[4]Brewhouse!$AS$83:$AS$124,[4]Brewhouse!$AS$134:$AS$177,[4]Brewhouse!$AS$22:$AS$179,[4]Brewhouse!$AS$214:$AS$249,[4]Brewhouse!$AS$252:$AS$293,[4]Brewhouse!$AS$295:$AS$325,[4]Brewhouse!$AS$327:$AS$361,[4]Brewhouse!$AS$363:$AS$372)</f>
        <v>98.29248495310074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8"/>
      <c r="C26" s="362"/>
      <c r="D26" s="529"/>
      <c r="E26" s="530"/>
      <c r="F26" s="294"/>
      <c r="G26" s="294"/>
      <c r="H26" s="348"/>
      <c r="I26" s="34" t="s">
        <v>12</v>
      </c>
      <c r="J26" s="323"/>
      <c r="K26" s="284"/>
      <c r="L26" s="302"/>
      <c r="M26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8"/>
      <c r="C27" s="362"/>
      <c r="D27" s="531"/>
      <c r="E27" s="525"/>
      <c r="F27" s="294"/>
      <c r="G27" s="294"/>
      <c r="H27" s="348"/>
      <c r="I27" s="22" t="s">
        <v>33</v>
      </c>
      <c r="J27" s="280"/>
      <c r="K27" s="284"/>
      <c r="L27" s="302"/>
      <c r="M27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8"/>
      <c r="C28" s="362"/>
      <c r="D28" s="529"/>
      <c r="E28" s="530"/>
      <c r="F28" s="294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38"/>
      <c r="C29" s="362"/>
      <c r="D29" s="531"/>
      <c r="E29" s="525"/>
      <c r="F29" s="417"/>
      <c r="G29" s="294"/>
      <c r="H29" s="348"/>
      <c r="I29" s="36" t="s">
        <v>15</v>
      </c>
      <c r="J29" s="323"/>
      <c r="K29" s="284">
        <f>COUNTA([7]Brewhouse!$A$23:$A$30)</f>
        <v>8</v>
      </c>
      <c r="L29" s="302">
        <f>AVERAGE([7]Brewhouse!$AT$23:$AT$30)</f>
        <v>96.065914782338609</v>
      </c>
      <c r="M29" s="302">
        <f>AVERAGE([7]Brewhouse!$AT$4:$AT$11,[7]Brewhouse!$AT$13:$AT$16,[7]Brewhouse!$AT$18:$AT$30)</f>
        <v>93.22262799886262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38"/>
      <c r="C30" s="362"/>
      <c r="D30" s="529"/>
      <c r="E30" s="530"/>
      <c r="F30" s="417"/>
      <c r="G30" s="294"/>
      <c r="H30" s="348"/>
      <c r="I30" s="37" t="s">
        <v>16</v>
      </c>
      <c r="J30" s="323"/>
      <c r="K30" s="284"/>
      <c r="L30" s="302"/>
      <c r="M30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38"/>
      <c r="C31" s="362"/>
      <c r="D31" s="531"/>
      <c r="E31" s="525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7" ht="14.65" customHeight="1">
      <c r="A32" s="28"/>
      <c r="B32" s="538"/>
      <c r="C32" s="362"/>
      <c r="D32" s="529"/>
      <c r="E32" s="530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38"/>
      <c r="C33" s="362"/>
      <c r="D33" s="531"/>
      <c r="E33" s="525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38"/>
      <c r="C34" s="349"/>
      <c r="D34" s="522"/>
      <c r="E34" s="523"/>
      <c r="F34" s="294"/>
      <c r="G34" s="294"/>
      <c r="H34" s="348"/>
      <c r="I34" s="1"/>
      <c r="J34" s="39"/>
      <c r="K34" s="404">
        <f>SUM(K24:K33)</f>
        <v>44</v>
      </c>
      <c r="L34" s="405">
        <f>((L24*K24)+(L25*K25)+(L26*K26)+(L27*K27)+(L28*K28)+(K31*L31)+(L29*K29)+(L30*K30)+(L33*K33))/(K34)</f>
        <v>98.583861788976222</v>
      </c>
      <c r="M34" s="405">
        <f>AVERAGE('[9]Jan30th-31st'!$L$42,'[10]Feb 27th-28th'!$L$45,'[11]Mar 31st'!$L$42,'[12]Apr 30th'!$L$41,'[13]May 29th '!$L$35,'[14]June 30th'!$L$32,[15]July31st!$L$36,'[16]Aug 31st'!$L$32,L34)</f>
        <v>98.05845996751448</v>
      </c>
      <c r="N34" s="4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39"/>
      <c r="C35" s="350"/>
      <c r="D35" s="524"/>
      <c r="E35" s="525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19"/>
      <c r="C36" s="362"/>
      <c r="D36" s="522"/>
      <c r="E36" s="523"/>
      <c r="F36" s="294"/>
      <c r="G36" s="42"/>
      <c r="H36" s="41"/>
      <c r="I36" s="42"/>
      <c r="J36" s="526" t="s">
        <v>129</v>
      </c>
      <c r="K36" s="526"/>
      <c r="L36" s="294"/>
      <c r="M36" s="294"/>
      <c r="N36" s="294"/>
      <c r="O36" s="294"/>
      <c r="P36" s="12"/>
    </row>
    <row r="37" spans="1:56" ht="15.75" thickBot="1">
      <c r="B37" s="520"/>
      <c r="C37" s="362"/>
      <c r="D37" s="524"/>
      <c r="E37" s="525"/>
      <c r="F37" s="294"/>
      <c r="G37" s="42"/>
      <c r="H37" s="42"/>
      <c r="I37" s="42"/>
      <c r="J37" s="292" t="s">
        <v>17</v>
      </c>
      <c r="K37" s="293"/>
      <c r="L37" s="527" t="s">
        <v>136</v>
      </c>
      <c r="M37" s="527"/>
      <c r="N37" s="528"/>
      <c r="O37" s="294"/>
      <c r="P37" s="12"/>
    </row>
    <row r="38" spans="1:56" ht="15" customHeight="1" thickBot="1">
      <c r="B38" s="520"/>
      <c r="C38" s="349"/>
      <c r="D38" s="529"/>
      <c r="E38" s="530"/>
      <c r="F38" s="294"/>
      <c r="G38" s="42"/>
      <c r="H38" s="42"/>
      <c r="I38" s="42"/>
      <c r="J38" s="287" t="s">
        <v>6</v>
      </c>
      <c r="K38" s="324">
        <v>5</v>
      </c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0"/>
      <c r="C39" s="349"/>
      <c r="D39" s="531"/>
      <c r="E39" s="525"/>
      <c r="F39" s="294"/>
      <c r="G39" s="42"/>
      <c r="H39" s="42"/>
      <c r="I39" s="42"/>
      <c r="J39" s="345" t="s">
        <v>9</v>
      </c>
      <c r="K39" s="324">
        <v>1</v>
      </c>
      <c r="L39" s="485">
        <f>AVERAGE('Sept 1st'!K45,'Sept 2nd'!K47,'Sept 3rd'!K44,'Sept 4th'!K46,'Sept 7th'!K48,K48)</f>
        <v>7.166666666666667</v>
      </c>
      <c r="M39" s="486">
        <f>AVERAGE('[9]Jan30th-31st'!$L$47,L39,'[10]Feb 26th '!$L$39,'[11]Mar 31st'!$L$47,'[12]Apr 30th'!$L$46,'[13]May 29th '!$L$40,'[14]June 30th'!$L$39,[15]July31st!$L$41,'[16]Aug 31st'!$L$37)</f>
        <v>6.5340855601725174</v>
      </c>
      <c r="N39" s="416">
        <v>9.1999999999999993</v>
      </c>
      <c r="O39" s="294"/>
      <c r="P39" s="12"/>
    </row>
    <row r="40" spans="1:56" ht="15" customHeight="1">
      <c r="B40" s="520"/>
      <c r="C40" s="349"/>
      <c r="D40" s="529"/>
      <c r="E40" s="530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0"/>
      <c r="C41" s="349"/>
      <c r="D41" s="531"/>
      <c r="E41" s="525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0"/>
      <c r="C42" s="349"/>
      <c r="D42" s="529"/>
      <c r="E42" s="530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0"/>
      <c r="C43" s="349"/>
      <c r="D43" s="531"/>
      <c r="E43" s="525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0"/>
      <c r="C44" s="349"/>
      <c r="D44" s="529"/>
      <c r="E44" s="530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1"/>
      <c r="C45" s="350"/>
      <c r="D45" s="532"/>
      <c r="E45" s="533"/>
      <c r="F45" s="294" t="s">
        <v>165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10"/>
      <c r="E46" s="511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6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42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04" t="s">
        <v>17</v>
      </c>
      <c r="C51" s="504" t="s">
        <v>44</v>
      </c>
      <c r="D51" s="513" t="s">
        <v>45</v>
      </c>
      <c r="E51" s="515" t="s">
        <v>46</v>
      </c>
      <c r="F51" s="517" t="s">
        <v>47</v>
      </c>
      <c r="G51" s="502" t="s">
        <v>48</v>
      </c>
      <c r="H51" s="504" t="s">
        <v>49</v>
      </c>
      <c r="I51" s="504" t="s">
        <v>50</v>
      </c>
      <c r="J51" s="496" t="s">
        <v>28</v>
      </c>
      <c r="K51" s="506" t="s">
        <v>51</v>
      </c>
      <c r="L51" s="508" t="s">
        <v>52</v>
      </c>
      <c r="M51" s="496" t="s">
        <v>53</v>
      </c>
      <c r="N51" s="13"/>
      <c r="O51" s="13"/>
      <c r="P51" s="50"/>
    </row>
    <row r="52" spans="2:57" ht="28.5" customHeight="1" thickTop="1" thickBot="1">
      <c r="B52" s="505"/>
      <c r="C52" s="512"/>
      <c r="D52" s="514"/>
      <c r="E52" s="516"/>
      <c r="F52" s="518"/>
      <c r="G52" s="503"/>
      <c r="H52" s="505"/>
      <c r="I52" s="505"/>
      <c r="J52" s="497"/>
      <c r="K52" s="507"/>
      <c r="L52" s="509"/>
      <c r="M52" s="497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456" t="str">
        <f>J38</f>
        <v>CARIB</v>
      </c>
      <c r="C53" s="479">
        <v>46273</v>
      </c>
      <c r="D53" s="445">
        <f>[17]September_2026!$K$3</f>
        <v>202.60000000000002</v>
      </c>
      <c r="E53" s="443"/>
      <c r="F53" s="444"/>
      <c r="G53" s="444">
        <f>[17]September_2026!$K$7</f>
        <v>188</v>
      </c>
      <c r="H53" s="458"/>
      <c r="I53" s="458"/>
      <c r="J53" s="448" t="s">
        <v>174</v>
      </c>
      <c r="K53" s="449">
        <f>[18]September_2026!$K$18</f>
        <v>0.6596491228070176</v>
      </c>
      <c r="L53" s="457">
        <f>(((D53+E53)-G53)/(D53+E53))*100</f>
        <v>7.2063178677196555</v>
      </c>
      <c r="M53" s="455" t="s">
        <v>175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[19]January_2019!L5</f>
        <v>0</v>
      </c>
      <c r="AC53" s="57">
        <f>[19]January_2019!M5</f>
        <v>0</v>
      </c>
      <c r="AD53" s="57">
        <f>[19]January_2019!N5</f>
        <v>0</v>
      </c>
      <c r="AE53" s="57">
        <f>[19]January_2019!O5</f>
        <v>0</v>
      </c>
      <c r="AF53" s="57">
        <f>[19]January_2019!P5</f>
        <v>0</v>
      </c>
      <c r="AG53" s="57">
        <f>[19]January_2019!Q5</f>
        <v>0</v>
      </c>
      <c r="AH53" s="57">
        <f>[19]January_2019!R5</f>
        <v>0</v>
      </c>
      <c r="AI53" s="57">
        <f>[19]January_2019!S5</f>
        <v>0</v>
      </c>
      <c r="AJ53" s="57">
        <f>[19]January_2019!T5</f>
        <v>0</v>
      </c>
      <c r="AK53" s="57">
        <f>[19]January_2019!U5</f>
        <v>0</v>
      </c>
      <c r="AL53" s="57">
        <f>[19]January_2019!V5</f>
        <v>0</v>
      </c>
      <c r="AM53" s="57">
        <f>[19]January_2019!W5</f>
        <v>0</v>
      </c>
      <c r="AN53" s="57">
        <f>[19]January_2019!X5</f>
        <v>0</v>
      </c>
      <c r="AO53" s="57">
        <f>[19]January_2019!Y5</f>
        <v>0</v>
      </c>
      <c r="AP53" s="57">
        <f>[19]January_2019!Z5</f>
        <v>0</v>
      </c>
      <c r="AQ53" s="57">
        <f>[19]January_2019!AA5</f>
        <v>0</v>
      </c>
      <c r="AR53" s="57">
        <f>[19]January_2019!AB5</f>
        <v>0</v>
      </c>
      <c r="AS53" s="57">
        <f>[19]January_2019!AC5</f>
        <v>0</v>
      </c>
      <c r="AT53" s="57">
        <f>[19]January_2019!AD5</f>
        <v>0</v>
      </c>
      <c r="AU53" s="57">
        <f>[19]January_2019!AE5</f>
        <v>0</v>
      </c>
      <c r="AV53" s="57">
        <f>[19]January_2019!AF5</f>
        <v>0</v>
      </c>
      <c r="AW53" s="57">
        <f>[19]January_2019!AG5</f>
        <v>0</v>
      </c>
      <c r="AX53" s="277">
        <f>[19]January_2019!AH5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[19]January_2019!L6</f>
        <v>0</v>
      </c>
      <c r="AC54" s="57">
        <f>[19]January_2019!M6</f>
        <v>0</v>
      </c>
      <c r="AD54" s="57">
        <f>[19]January_2019!N6</f>
        <v>0</v>
      </c>
      <c r="AE54" s="57">
        <f>[19]January_2019!O6</f>
        <v>0</v>
      </c>
      <c r="AF54" s="57">
        <f>[19]January_2019!P6</f>
        <v>0</v>
      </c>
      <c r="AG54" s="57">
        <f>[19]January_2019!Q6</f>
        <v>0</v>
      </c>
      <c r="AH54" s="57">
        <f>[19]January_2019!R6</f>
        <v>0</v>
      </c>
      <c r="AI54" s="57">
        <f>[19]January_2019!S6</f>
        <v>0</v>
      </c>
      <c r="AJ54" s="57">
        <f>[19]January_2019!T6</f>
        <v>0</v>
      </c>
      <c r="AK54" s="57">
        <f>[19]January_2019!U6</f>
        <v>0</v>
      </c>
      <c r="AL54" s="57">
        <f>[19]January_2019!V6</f>
        <v>0</v>
      </c>
      <c r="AM54" s="57">
        <f>[19]January_2019!W6</f>
        <v>0</v>
      </c>
      <c r="AN54" s="57">
        <f>[19]January_2019!X6</f>
        <v>0</v>
      </c>
      <c r="AO54" s="57">
        <f>[19]January_2019!Y6</f>
        <v>0</v>
      </c>
      <c r="AP54" s="57">
        <f>[19]January_2019!Z6</f>
        <v>0</v>
      </c>
      <c r="AQ54" s="57">
        <f>[19]January_2019!AA6</f>
        <v>0</v>
      </c>
      <c r="AR54" s="57">
        <f>[19]January_2019!AB6</f>
        <v>0</v>
      </c>
      <c r="AS54" s="57">
        <f>[19]January_2019!AC6</f>
        <v>0</v>
      </c>
      <c r="AT54" s="57">
        <f>[19]January_2019!AD6</f>
        <v>0</v>
      </c>
      <c r="AU54" s="57">
        <f>[19]January_2019!AE6</f>
        <v>0</v>
      </c>
      <c r="AV54" s="57">
        <f>[19]January_2019!AF6</f>
        <v>0</v>
      </c>
      <c r="AW54" s="57">
        <f>[19]January_2019!AG6</f>
        <v>0</v>
      </c>
      <c r="AX54" s="277">
        <f>[19]January_2019!AH6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customHeight="1" thickBot="1">
      <c r="B55" s="456"/>
      <c r="C55" s="479"/>
      <c r="D55" s="442"/>
      <c r="E55" s="443"/>
      <c r="F55" s="444"/>
      <c r="G55" s="444"/>
      <c r="H55" s="446"/>
      <c r="I55" s="446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[19]January_2019!L7</f>
        <v>285.8</v>
      </c>
      <c r="AC55" s="57">
        <f>[19]January_2019!M7</f>
        <v>508.1</v>
      </c>
      <c r="AD55" s="57">
        <f>[19]January_2019!N7</f>
        <v>0</v>
      </c>
      <c r="AE55" s="57">
        <f>[19]January_2019!O7</f>
        <v>0</v>
      </c>
      <c r="AF55" s="57">
        <f>[19]January_2019!P7</f>
        <v>109.56666666666666</v>
      </c>
      <c r="AG55" s="57">
        <f>[19]January_2019!Q7</f>
        <v>297.64999999999998</v>
      </c>
      <c r="AH55" s="57">
        <f>[19]January_2019!R7</f>
        <v>122.3</v>
      </c>
      <c r="AI55" s="57">
        <f>[19]January_2019!S7</f>
        <v>0</v>
      </c>
      <c r="AJ55" s="57">
        <f>[19]January_2019!T7</f>
        <v>294.7</v>
      </c>
      <c r="AK55" s="57">
        <f>[19]January_2019!U7</f>
        <v>280.5</v>
      </c>
      <c r="AL55" s="57">
        <f>[19]January_2019!V7</f>
        <v>0</v>
      </c>
      <c r="AM55" s="57">
        <f>[19]January_2019!W7</f>
        <v>0</v>
      </c>
      <c r="AN55" s="57">
        <f>[19]January_2019!X7</f>
        <v>188.25</v>
      </c>
      <c r="AO55" s="57">
        <f>[19]January_2019!Y7</f>
        <v>295.7</v>
      </c>
      <c r="AP55" s="57">
        <f>[19]January_2019!Z7</f>
        <v>257.8</v>
      </c>
      <c r="AQ55" s="57">
        <f>[19]January_2019!AA7</f>
        <v>291.2</v>
      </c>
      <c r="AR55" s="57">
        <f>[19]January_2019!AB7</f>
        <v>187</v>
      </c>
      <c r="AS55" s="57">
        <f>[19]January_2019!AC7</f>
        <v>0</v>
      </c>
      <c r="AT55" s="57">
        <f>[19]January_2019!AD7</f>
        <v>0</v>
      </c>
      <c r="AU55" s="57">
        <f>[19]January_2019!AE7</f>
        <v>485.1</v>
      </c>
      <c r="AV55" s="57">
        <f>[19]January_2019!AF7</f>
        <v>171.55</v>
      </c>
      <c r="AW55" s="57">
        <f>[19]January_2019!AG7</f>
        <v>423.8</v>
      </c>
      <c r="AX55" s="277">
        <f>[19]January_2019!AH7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8.600000000000001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65" hidden="1" customHeight="1" thickBot="1">
      <c r="B57" s="487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1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498" t="s">
        <v>55</v>
      </c>
      <c r="C64" s="499"/>
      <c r="D64" s="499"/>
      <c r="E64" s="499"/>
      <c r="F64" s="500"/>
      <c r="G64" s="498" t="s">
        <v>56</v>
      </c>
      <c r="H64" s="499"/>
      <c r="I64" s="499"/>
      <c r="J64" s="500"/>
      <c r="K64" s="498" t="s">
        <v>51</v>
      </c>
      <c r="L64" s="499"/>
      <c r="M64" s="499"/>
      <c r="N64" s="501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/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7.2063178677196555</v>
      </c>
      <c r="D66" s="76">
        <v>7.0847769214452256</v>
      </c>
      <c r="E66" s="76">
        <v>6.5485103358957559</v>
      </c>
      <c r="F66" s="66">
        <v>4.8</v>
      </c>
      <c r="G66" s="65">
        <f>[17]September_2026!$K$11</f>
        <v>6.3824837244952164</v>
      </c>
      <c r="H66" s="477">
        <v>6.557544735366819</v>
      </c>
      <c r="I66" s="477">
        <v>6.6476566283164011</v>
      </c>
      <c r="J66" s="66">
        <v>4.8</v>
      </c>
      <c r="K66" s="67">
        <f>K53</f>
        <v>0.6596491228070176</v>
      </c>
      <c r="L66" s="194">
        <v>0.6457105263157894</v>
      </c>
      <c r="M66" s="194">
        <v>0.53074561872431725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8.6363636363636189</v>
      </c>
      <c r="E67" s="76">
        <v>5.8721053130307412</v>
      </c>
      <c r="F67" s="66">
        <v>4.8</v>
      </c>
      <c r="G67" s="65"/>
      <c r="H67" s="76">
        <v>7.5248838752488254</v>
      </c>
      <c r="I67" s="76">
        <v>5.9880521869393624</v>
      </c>
      <c r="J67" s="66">
        <v>4.8</v>
      </c>
      <c r="K67" s="67"/>
      <c r="L67" s="194">
        <v>0.31736842105263158</v>
      </c>
      <c r="M67" s="194">
        <v>0.68971317640877172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11.277593164016125</v>
      </c>
      <c r="F68" s="66">
        <v>5.5</v>
      </c>
      <c r="G68" s="65"/>
      <c r="H68" s="76"/>
      <c r="I68" s="76">
        <v>11.857907912244482</v>
      </c>
      <c r="J68" s="66">
        <v>5.5</v>
      </c>
      <c r="K68" s="67"/>
      <c r="L68" s="194"/>
      <c r="M68" s="194">
        <v>0.35370190356844494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4.8685538193023836</v>
      </c>
      <c r="F69" s="66">
        <v>3.3</v>
      </c>
      <c r="G69" s="65"/>
      <c r="H69" s="76"/>
      <c r="I69" s="76">
        <v>4.8702525342252114</v>
      </c>
      <c r="J69" s="66">
        <v>3.3</v>
      </c>
      <c r="K69" s="67"/>
      <c r="L69" s="194"/>
      <c r="M69" s="194">
        <v>0.77919298245614044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/>
      <c r="E71" s="76">
        <v>6.0400197628458603</v>
      </c>
      <c r="F71" s="70">
        <v>5.5</v>
      </c>
      <c r="G71" s="65"/>
      <c r="H71" s="76"/>
      <c r="I71" s="76">
        <v>8.2405787675951316</v>
      </c>
      <c r="J71" s="66">
        <v>5.5</v>
      </c>
      <c r="K71" s="67"/>
      <c r="L71" s="194"/>
      <c r="M71" s="194">
        <v>0.78491228070175445</v>
      </c>
      <c r="N71" s="68">
        <v>1</v>
      </c>
      <c r="P71" s="69"/>
    </row>
    <row r="72" spans="2:16" ht="15">
      <c r="B72" s="37" t="s">
        <v>16</v>
      </c>
      <c r="C72" s="482"/>
      <c r="D72" s="76"/>
      <c r="E72" s="76">
        <v>3.6168923014750334</v>
      </c>
      <c r="F72" s="66">
        <v>3.3</v>
      </c>
      <c r="G72" s="282"/>
      <c r="H72" s="76"/>
      <c r="I72" s="76">
        <v>5.0091179718082053</v>
      </c>
      <c r="J72" s="66">
        <v>3.3</v>
      </c>
      <c r="K72" s="67"/>
      <c r="L72" s="194"/>
      <c r="M72" s="194">
        <v>0.92642300194931759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7.4241838369330972</v>
      </c>
      <c r="E75" s="76">
        <v>6.3628093992587402</v>
      </c>
      <c r="F75" s="341">
        <v>5.5</v>
      </c>
      <c r="H75" s="76">
        <v>6.7688468707049791</v>
      </c>
      <c r="I75" s="76">
        <v>6.6955279414088089</v>
      </c>
      <c r="J75" s="341">
        <v>5.5</v>
      </c>
      <c r="L75" s="194">
        <v>0.5800421052631578</v>
      </c>
      <c r="M75" s="194">
        <v>0.59783694744059124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2485" priority="113" operator="notBetween">
      <formula>#REF!</formula>
      <formula>#REF!</formula>
    </cfRule>
  </conditionalFormatting>
  <conditionalFormatting sqref="C50">
    <cfRule type="cellIs" dxfId="2484" priority="195" stopIfTrue="1" operator="lessThan">
      <formula>96</formula>
    </cfRule>
    <cfRule type="cellIs" dxfId="2483" priority="196" stopIfTrue="1" operator="greaterThan">
      <formula>100</formula>
    </cfRule>
  </conditionalFormatting>
  <conditionalFormatting sqref="C66:C67">
    <cfRule type="cellIs" dxfId="2482" priority="76" stopIfTrue="1" operator="greaterThan">
      <formula>$F66</formula>
    </cfRule>
    <cfRule type="cellIs" dxfId="2481" priority="77" stopIfTrue="1" operator="lessThanOrEqual">
      <formula>0</formula>
    </cfRule>
    <cfRule type="cellIs" dxfId="2480" priority="78" stopIfTrue="1" operator="greaterThan">
      <formula>$F66</formula>
    </cfRule>
    <cfRule type="cellIs" dxfId="2479" priority="79" stopIfTrue="1" operator="lessThanOrEqual">
      <formula>0</formula>
    </cfRule>
  </conditionalFormatting>
  <conditionalFormatting sqref="C68:C70 C72:C74">
    <cfRule type="cellIs" dxfId="2478" priority="85" stopIfTrue="1" operator="greaterThan">
      <formula>$F71</formula>
    </cfRule>
  </conditionalFormatting>
  <conditionalFormatting sqref="C68:C70">
    <cfRule type="cellIs" dxfId="2477" priority="86" stopIfTrue="1" operator="lessThanOrEqual">
      <formula>0</formula>
    </cfRule>
  </conditionalFormatting>
  <conditionalFormatting sqref="C71">
    <cfRule type="cellIs" dxfId="2476" priority="197" stopIfTrue="1" operator="greaterThan">
      <formula>$F66</formula>
    </cfRule>
    <cfRule type="cellIs" dxfId="2475" priority="198" stopIfTrue="1" operator="lessThanOrEqual">
      <formula>0</formula>
    </cfRule>
    <cfRule type="cellIs" dxfId="2474" priority="199" stopIfTrue="1" operator="greaterThan">
      <formula>$F66</formula>
    </cfRule>
    <cfRule type="cellIs" dxfId="2473" priority="200" stopIfTrue="1" operator="lessThanOrEqual">
      <formula>0</formula>
    </cfRule>
  </conditionalFormatting>
  <conditionalFormatting sqref="C72:C74">
    <cfRule type="cellIs" dxfId="2472" priority="87" stopIfTrue="1" operator="lessThanOrEqual">
      <formula>0</formula>
    </cfRule>
  </conditionalFormatting>
  <conditionalFormatting sqref="C77:C81">
    <cfRule type="cellIs" dxfId="2471" priority="187" stopIfTrue="1" operator="lessThanOrEqual">
      <formula>0</formula>
    </cfRule>
  </conditionalFormatting>
  <conditionalFormatting sqref="C78:C81">
    <cfRule type="cellIs" dxfId="2470" priority="186" stopIfTrue="1" operator="greaterThan">
      <formula>$F$77</formula>
    </cfRule>
  </conditionalFormatting>
  <conditionalFormatting sqref="C83">
    <cfRule type="cellIs" dxfId="2469" priority="188" stopIfTrue="1" operator="greaterThan">
      <formula>$F$77</formula>
    </cfRule>
    <cfRule type="cellIs" dxfId="2468" priority="189" stopIfTrue="1" operator="lessThanOrEqual">
      <formula>0</formula>
    </cfRule>
  </conditionalFormatting>
  <conditionalFormatting sqref="C71:D71">
    <cfRule type="cellIs" dxfId="2467" priority="74" stopIfTrue="1" operator="greaterThan">
      <formula>$J71</formula>
    </cfRule>
    <cfRule type="cellIs" dxfId="2466" priority="75" stopIfTrue="1" operator="lessThanOrEqual">
      <formula>0</formula>
    </cfRule>
  </conditionalFormatting>
  <conditionalFormatting sqref="C77:D77 D79:D85">
    <cfRule type="cellIs" dxfId="2465" priority="181" stopIfTrue="1" operator="greaterThan">
      <formula>4.5</formula>
    </cfRule>
  </conditionalFormatting>
  <conditionalFormatting sqref="D46:D47">
    <cfRule type="cellIs" dxfId="2464" priority="114" operator="notBetween">
      <formula>#REF!</formula>
      <formula>#REF!</formula>
    </cfRule>
  </conditionalFormatting>
  <conditionalFormatting sqref="D66:D70 D72:D73">
    <cfRule type="cellIs" dxfId="2463" priority="84" stopIfTrue="1" operator="lessThanOrEqual">
      <formula>0</formula>
    </cfRule>
  </conditionalFormatting>
  <conditionalFormatting sqref="D66:D70 D72:D75">
    <cfRule type="cellIs" dxfId="2462" priority="80" stopIfTrue="1" operator="lessThanOrEqual">
      <formula>0</formula>
    </cfRule>
    <cfRule type="cellIs" dxfId="2461" priority="81" stopIfTrue="1" operator="greaterThan">
      <formula>$F66</formula>
    </cfRule>
  </conditionalFormatting>
  <conditionalFormatting sqref="D74:D75">
    <cfRule type="cellIs" dxfId="2460" priority="82" stopIfTrue="1" operator="lessThanOrEqual">
      <formula>0</formula>
    </cfRule>
  </conditionalFormatting>
  <conditionalFormatting sqref="D75">
    <cfRule type="cellIs" dxfId="2459" priority="83" stopIfTrue="1" operator="lessThanOrEqual">
      <formula>0</formula>
    </cfRule>
  </conditionalFormatting>
  <conditionalFormatting sqref="D77 D79:D85">
    <cfRule type="cellIs" dxfId="2458" priority="182" stopIfTrue="1" operator="lessThanOrEqual">
      <formula>0</formula>
    </cfRule>
  </conditionalFormatting>
  <conditionalFormatting sqref="D78">
    <cfRule type="cellIs" dxfId="2457" priority="173" stopIfTrue="1" operator="greaterThan">
      <formula>$F$77</formula>
    </cfRule>
    <cfRule type="cellIs" dxfId="2456" priority="174" stopIfTrue="1" operator="lessThanOrEqual">
      <formula>0</formula>
    </cfRule>
  </conditionalFormatting>
  <conditionalFormatting sqref="E10:E21">
    <cfRule type="cellIs" dxfId="2455" priority="23" operator="lessThan">
      <formula>48</formula>
    </cfRule>
  </conditionalFormatting>
  <conditionalFormatting sqref="E49 E50:F50">
    <cfRule type="cellIs" dxfId="2454" priority="178" stopIfTrue="1" operator="greaterThan">
      <formula>100</formula>
    </cfRule>
  </conditionalFormatting>
  <conditionalFormatting sqref="E50">
    <cfRule type="cellIs" dxfId="2453" priority="175" stopIfTrue="1" operator="lessThan">
      <formula>96.8</formula>
    </cfRule>
    <cfRule type="cellIs" dxfId="2452" priority="176" stopIfTrue="1" operator="greaterThan">
      <formula>100</formula>
    </cfRule>
  </conditionalFormatting>
  <conditionalFormatting sqref="E66:E74">
    <cfRule type="cellIs" dxfId="2451" priority="47" stopIfTrue="1" operator="lessThanOrEqual">
      <formula>0</formula>
    </cfRule>
  </conditionalFormatting>
  <conditionalFormatting sqref="E66:E75">
    <cfRule type="cellIs" dxfId="2450" priority="48" stopIfTrue="1" operator="greaterThan">
      <formula>$F66</formula>
    </cfRule>
    <cfRule type="cellIs" dxfId="2449" priority="49" stopIfTrue="1" operator="lessThanOrEqual">
      <formula>0</formula>
    </cfRule>
  </conditionalFormatting>
  <conditionalFormatting sqref="E75">
    <cfRule type="cellIs" dxfId="2448" priority="50" stopIfTrue="1" operator="lessThanOrEqual">
      <formula>0</formula>
    </cfRule>
  </conditionalFormatting>
  <conditionalFormatting sqref="E77:E85">
    <cfRule type="cellIs" dxfId="2447" priority="167" stopIfTrue="1" operator="greaterThan">
      <formula>4.5</formula>
    </cfRule>
    <cfRule type="cellIs" dxfId="2446" priority="168" stopIfTrue="1" operator="lessThanOrEqual">
      <formula>0</formula>
    </cfRule>
  </conditionalFormatting>
  <conditionalFormatting sqref="E50:F50 E49">
    <cfRule type="cellIs" dxfId="2445" priority="177" stopIfTrue="1" operator="lessThan">
      <formula>96.5</formula>
    </cfRule>
  </conditionalFormatting>
  <conditionalFormatting sqref="F10:F21">
    <cfRule type="cellIs" dxfId="2444" priority="24" operator="greaterThan">
      <formula>60</formula>
    </cfRule>
  </conditionalFormatting>
  <conditionalFormatting sqref="F50">
    <cfRule type="cellIs" dxfId="2443" priority="193" stopIfTrue="1" operator="lessThan">
      <formula>96.8</formula>
    </cfRule>
    <cfRule type="cellIs" dxfId="2442" priority="194" stopIfTrue="1" operator="greaterThan">
      <formula>100</formula>
    </cfRule>
  </conditionalFormatting>
  <conditionalFormatting sqref="G10:G11 G21">
    <cfRule type="expression" dxfId="2441" priority="13">
      <formula>IF(+(IF(G10&lt;S10,0,IF(G10&gt;T10,0,1)))=0,1)</formula>
    </cfRule>
  </conditionalFormatting>
  <conditionalFormatting sqref="G66:G69 F75">
    <cfRule type="cellIs" dxfId="2440" priority="56" stopIfTrue="1" operator="greaterThan">
      <formula>$F66</formula>
    </cfRule>
    <cfRule type="cellIs" dxfId="2439" priority="57" stopIfTrue="1" operator="lessThanOrEqual">
      <formula>0</formula>
    </cfRule>
  </conditionalFormatting>
  <conditionalFormatting sqref="G68:G69">
    <cfRule type="cellIs" dxfId="2438" priority="42" stopIfTrue="1" operator="greaterThan">
      <formula>$F68</formula>
    </cfRule>
    <cfRule type="cellIs" dxfId="2437" priority="43" stopIfTrue="1" operator="lessThanOrEqual">
      <formula>0</formula>
    </cfRule>
  </conditionalFormatting>
  <conditionalFormatting sqref="G70:G74">
    <cfRule type="cellIs" dxfId="2436" priority="58" stopIfTrue="1" operator="greaterThan">
      <formula>$J70</formula>
    </cfRule>
    <cfRule type="cellIs" dxfId="2435" priority="59" stopIfTrue="1" operator="lessThanOrEqual">
      <formula>0</formula>
    </cfRule>
  </conditionalFormatting>
  <conditionalFormatting sqref="G71">
    <cfRule type="cellIs" dxfId="2434" priority="201" stopIfTrue="1" operator="greaterThan">
      <formula>$F66</formula>
    </cfRule>
    <cfRule type="cellIs" dxfId="2433" priority="202" stopIfTrue="1" operator="lessThanOrEqual">
      <formula>0</formula>
    </cfRule>
  </conditionalFormatting>
  <conditionalFormatting sqref="G79:G84 C82 C84">
    <cfRule type="cellIs" dxfId="2432" priority="190" stopIfTrue="1" operator="greaterThan">
      <formula>4.5</formula>
    </cfRule>
    <cfRule type="cellIs" dxfId="2431" priority="191" stopIfTrue="1" operator="lessThanOrEqual">
      <formula>0</formula>
    </cfRule>
  </conditionalFormatting>
  <conditionalFormatting sqref="G10:H20 M10:N20 H21">
    <cfRule type="expression" dxfId="2430" priority="14">
      <formula>IF(+(IF(G10&lt;#REF!,0,IF(G10&gt;#REF!,0,1)))=0,1)</formula>
    </cfRule>
  </conditionalFormatting>
  <conditionalFormatting sqref="G78:H78">
    <cfRule type="cellIs" dxfId="2429" priority="171" stopIfTrue="1" operator="greaterThan">
      <formula>$F$77</formula>
    </cfRule>
    <cfRule type="cellIs" dxfId="2428" priority="172" stopIfTrue="1" operator="lessThanOrEqual">
      <formula>0</formula>
    </cfRule>
  </conditionalFormatting>
  <conditionalFormatting sqref="H35:H36 H49">
    <cfRule type="cellIs" dxfId="2427" priority="169" stopIfTrue="1" operator="greaterThan">
      <formula>0</formula>
    </cfRule>
  </conditionalFormatting>
  <conditionalFormatting sqref="H53">
    <cfRule type="cellIs" dxfId="2426" priority="61" stopIfTrue="1" operator="lessThanOrEqual">
      <formula>0</formula>
    </cfRule>
    <cfRule type="cellIs" dxfId="2425" priority="62" stopIfTrue="1" operator="greaterThan">
      <formula>$F$66</formula>
    </cfRule>
    <cfRule type="cellIs" dxfId="2424" priority="70" stopIfTrue="1" operator="greaterThan">
      <formula>$F$69</formula>
    </cfRule>
    <cfRule type="cellIs" dxfId="2423" priority="71" stopIfTrue="1" operator="lessThanOrEqual">
      <formula>0</formula>
    </cfRule>
    <cfRule type="cellIs" dxfId="2422" priority="72" stopIfTrue="1" operator="greaterThan">
      <formula>$F$67</formula>
    </cfRule>
  </conditionalFormatting>
  <conditionalFormatting sqref="H53:H54">
    <cfRule type="cellIs" dxfId="2421" priority="73" stopIfTrue="1" operator="lessThanOrEqual">
      <formula>0</formula>
    </cfRule>
  </conditionalFormatting>
  <conditionalFormatting sqref="H54 H56:H57">
    <cfRule type="cellIs" dxfId="2420" priority="99" stopIfTrue="1" operator="lessThanOrEqual">
      <formula>0</formula>
    </cfRule>
  </conditionalFormatting>
  <conditionalFormatting sqref="H54">
    <cfRule type="cellIs" dxfId="2419" priority="88" stopIfTrue="1" operator="greaterThan">
      <formula>$F$66</formula>
    </cfRule>
    <cfRule type="cellIs" dxfId="2418" priority="96" stopIfTrue="1" operator="greaterThan">
      <formula>$F$69</formula>
    </cfRule>
    <cfRule type="cellIs" dxfId="2417" priority="97" stopIfTrue="1" operator="lessThanOrEqual">
      <formula>0</formula>
    </cfRule>
    <cfRule type="cellIs" dxfId="2416" priority="98" stopIfTrue="1" operator="greaterThan">
      <formula>$F$67</formula>
    </cfRule>
  </conditionalFormatting>
  <conditionalFormatting sqref="H55">
    <cfRule type="cellIs" dxfId="2415" priority="28" stopIfTrue="1" operator="lessThanOrEqual">
      <formula>0</formula>
    </cfRule>
    <cfRule type="cellIs" dxfId="2414" priority="29" stopIfTrue="1" operator="greaterThan">
      <formula>$F$68</formula>
    </cfRule>
    <cfRule type="cellIs" dxfId="2413" priority="37" stopIfTrue="1" operator="greaterThan">
      <formula>$F$71</formula>
    </cfRule>
    <cfRule type="cellIs" dxfId="2412" priority="38" stopIfTrue="1" operator="lessThanOrEqual">
      <formula>0</formula>
    </cfRule>
    <cfRule type="cellIs" dxfId="2411" priority="39" stopIfTrue="1" operator="greaterThan">
      <formula>$F$69</formula>
    </cfRule>
    <cfRule type="cellIs" dxfId="2410" priority="40" stopIfTrue="1" operator="lessThanOrEqual">
      <formula>0</formula>
    </cfRule>
  </conditionalFormatting>
  <conditionalFormatting sqref="H56:H57">
    <cfRule type="cellIs" dxfId="2409" priority="101" stopIfTrue="1" operator="greaterThan">
      <formula>$F$66</formula>
    </cfRule>
    <cfRule type="cellIs" dxfId="2408" priority="109" stopIfTrue="1" operator="greaterThan">
      <formula>$F$69</formula>
    </cfRule>
    <cfRule type="cellIs" dxfId="2407" priority="110" stopIfTrue="1" operator="lessThanOrEqual">
      <formula>0</formula>
    </cfRule>
    <cfRule type="cellIs" dxfId="2406" priority="111" stopIfTrue="1" operator="greaterThan">
      <formula>$F$67</formula>
    </cfRule>
    <cfRule type="cellIs" dxfId="2405" priority="112" stopIfTrue="1" operator="lessThanOrEqual">
      <formula>0</formula>
    </cfRule>
  </conditionalFormatting>
  <conditionalFormatting sqref="H58:H59">
    <cfRule type="cellIs" dxfId="2404" priority="136" stopIfTrue="1" operator="lessThanOrEqual">
      <formula>0</formula>
    </cfRule>
    <cfRule type="cellIs" dxfId="2403" priority="137" stopIfTrue="1" operator="greaterThan">
      <formula>#REF!</formula>
    </cfRule>
    <cfRule type="cellIs" dxfId="2402" priority="145" stopIfTrue="1" operator="greaterThan">
      <formula>#REF!</formula>
    </cfRule>
    <cfRule type="cellIs" dxfId="2401" priority="146" stopIfTrue="1" operator="lessThanOrEqual">
      <formula>0</formula>
    </cfRule>
  </conditionalFormatting>
  <conditionalFormatting sqref="H60">
    <cfRule type="cellIs" dxfId="2400" priority="148" stopIfTrue="1" operator="lessThanOrEqual">
      <formula>0</formula>
    </cfRule>
    <cfRule type="cellIs" dxfId="2399" priority="149" stopIfTrue="1" operator="greaterThan">
      <formula>$F$34</formula>
    </cfRule>
    <cfRule type="cellIs" dxfId="2398" priority="157" stopIfTrue="1" operator="greaterThan">
      <formula>$F$37</formula>
    </cfRule>
    <cfRule type="cellIs" dxfId="2397" priority="158" stopIfTrue="1" operator="lessThanOrEqual">
      <formula>0</formula>
    </cfRule>
    <cfRule type="cellIs" dxfId="2396" priority="159" stopIfTrue="1" operator="greaterThan">
      <formula>$F$35</formula>
    </cfRule>
    <cfRule type="cellIs" dxfId="2395" priority="160" stopIfTrue="1" operator="lessThanOrEqual">
      <formula>0</formula>
    </cfRule>
  </conditionalFormatting>
  <conditionalFormatting sqref="H61:H62">
    <cfRule type="cellIs" dxfId="2394" priority="124" stopIfTrue="1" operator="lessThanOrEqual">
      <formula>0</formula>
    </cfRule>
    <cfRule type="cellIs" dxfId="2393" priority="125" stopIfTrue="1" operator="greaterThan">
      <formula>#REF!</formula>
    </cfRule>
    <cfRule type="cellIs" dxfId="2392" priority="133" stopIfTrue="1" operator="greaterThan">
      <formula>#REF!</formula>
    </cfRule>
    <cfRule type="cellIs" dxfId="2391" priority="134" stopIfTrue="1" operator="lessThanOrEqual">
      <formula>0</formula>
    </cfRule>
  </conditionalFormatting>
  <conditionalFormatting sqref="H77 H79:H85">
    <cfRule type="cellIs" dxfId="2390" priority="183" stopIfTrue="1" operator="greaterThan">
      <formula>4.5</formula>
    </cfRule>
    <cfRule type="cellIs" dxfId="2389" priority="184" stopIfTrue="1" operator="lessThanOrEqual">
      <formula>0</formula>
    </cfRule>
  </conditionalFormatting>
  <conditionalFormatting sqref="H53:I53">
    <cfRule type="cellIs" dxfId="2388" priority="63" stopIfTrue="1" operator="lessThanOrEqual">
      <formula>0</formula>
    </cfRule>
  </conditionalFormatting>
  <conditionalFormatting sqref="H53:I54 H56:I57">
    <cfRule type="cellIs" dxfId="2387" priority="60" stopIfTrue="1" operator="greaterThan">
      <formula>$F$68</formula>
    </cfRule>
  </conditionalFormatting>
  <conditionalFormatting sqref="H54:I54">
    <cfRule type="cellIs" dxfId="2386" priority="89" stopIfTrue="1" operator="lessThanOrEqual">
      <formula>0</formula>
    </cfRule>
  </conditionalFormatting>
  <conditionalFormatting sqref="H55:I55">
    <cfRule type="cellIs" dxfId="2385" priority="27" stopIfTrue="1" operator="greaterThan">
      <formula>$F$70</formula>
    </cfRule>
    <cfRule type="cellIs" dxfId="2384" priority="30" stopIfTrue="1" operator="lessThanOrEqual">
      <formula>0</formula>
    </cfRule>
  </conditionalFormatting>
  <conditionalFormatting sqref="H56:I57">
    <cfRule type="cellIs" dxfId="2383" priority="102" stopIfTrue="1" operator="lessThanOrEqual">
      <formula>0</formula>
    </cfRule>
  </conditionalFormatting>
  <conditionalFormatting sqref="H58:I59">
    <cfRule type="cellIs" dxfId="2382" priority="135" stopIfTrue="1" operator="greaterThan">
      <formula>#REF!</formula>
    </cfRule>
    <cfRule type="cellIs" dxfId="2381" priority="138" stopIfTrue="1" operator="lessThanOrEqual">
      <formula>0</formula>
    </cfRule>
    <cfRule type="cellIs" dxfId="2380" priority="143" stopIfTrue="1" operator="greaterThan">
      <formula>#REF!</formula>
    </cfRule>
    <cfRule type="cellIs" dxfId="2379" priority="144" stopIfTrue="1" operator="lessThanOrEqual">
      <formula>0</formula>
    </cfRule>
  </conditionalFormatting>
  <conditionalFormatting sqref="H60:I60">
    <cfRule type="cellIs" dxfId="2378" priority="147" stopIfTrue="1" operator="greaterThan">
      <formula>$F$36</formula>
    </cfRule>
    <cfRule type="cellIs" dxfId="2377" priority="150" stopIfTrue="1" operator="lessThanOrEqual">
      <formula>0</formula>
    </cfRule>
  </conditionalFormatting>
  <conditionalFormatting sqref="H61:I62">
    <cfRule type="cellIs" dxfId="2376" priority="123" stopIfTrue="1" operator="greaterThan">
      <formula>#REF!</formula>
    </cfRule>
    <cfRule type="cellIs" dxfId="2375" priority="126" stopIfTrue="1" operator="lessThanOrEqual">
      <formula>0</formula>
    </cfRule>
    <cfRule type="cellIs" dxfId="2374" priority="131" stopIfTrue="1" operator="greaterThan">
      <formula>#REF!</formula>
    </cfRule>
    <cfRule type="cellIs" dxfId="2373" priority="132" stopIfTrue="1" operator="lessThanOrEqual">
      <formula>0</formula>
    </cfRule>
  </conditionalFormatting>
  <conditionalFormatting sqref="H66:I73">
    <cfRule type="cellIs" dxfId="2372" priority="45" stopIfTrue="1" operator="greaterThan">
      <formula>$J66</formula>
    </cfRule>
    <cfRule type="cellIs" dxfId="2371" priority="46" stopIfTrue="1" operator="lessThanOrEqual">
      <formula>0</formula>
    </cfRule>
  </conditionalFormatting>
  <conditionalFormatting sqref="H74:I74">
    <cfRule type="cellIs" dxfId="2370" priority="53" operator="greaterThan">
      <formula>5.3</formula>
    </cfRule>
  </conditionalFormatting>
  <conditionalFormatting sqref="H75:I75">
    <cfRule type="cellIs" dxfId="2369" priority="51" stopIfTrue="1" operator="greaterThan">
      <formula>$J75</formula>
    </cfRule>
    <cfRule type="cellIs" dxfId="2368" priority="52" stopIfTrue="1" operator="lessThanOrEqual">
      <formula>0</formula>
    </cfRule>
  </conditionalFormatting>
  <conditionalFormatting sqref="I53">
    <cfRule type="cellIs" dxfId="2367" priority="64" stopIfTrue="1" operator="greaterThan">
      <formula>$F$66</formula>
    </cfRule>
    <cfRule type="cellIs" dxfId="2366" priority="65" stopIfTrue="1" operator="lessThanOrEqual">
      <formula>0</formula>
    </cfRule>
    <cfRule type="cellIs" dxfId="2365" priority="66" stopIfTrue="1" operator="greaterThan">
      <formula>$F$68</formula>
    </cfRule>
    <cfRule type="cellIs" dxfId="2364" priority="67" stopIfTrue="1" operator="lessThanOrEqual">
      <formula>0</formula>
    </cfRule>
    <cfRule type="cellIs" dxfId="2363" priority="68" stopIfTrue="1" operator="greaterThan">
      <formula>$F$66</formula>
    </cfRule>
    <cfRule type="cellIs" dxfId="2362" priority="69" stopIfTrue="1" operator="lessThanOrEqual">
      <formula>0</formula>
    </cfRule>
  </conditionalFormatting>
  <conditionalFormatting sqref="I54">
    <cfRule type="cellIs" dxfId="2361" priority="90" stopIfTrue="1" operator="greaterThan">
      <formula>$F$66</formula>
    </cfRule>
    <cfRule type="cellIs" dxfId="2360" priority="91" stopIfTrue="1" operator="lessThanOrEqual">
      <formula>0</formula>
    </cfRule>
    <cfRule type="cellIs" dxfId="2359" priority="92" stopIfTrue="1" operator="greaterThan">
      <formula>$F$68</formula>
    </cfRule>
    <cfRule type="cellIs" dxfId="2358" priority="93" stopIfTrue="1" operator="lessThanOrEqual">
      <formula>0</formula>
    </cfRule>
    <cfRule type="cellIs" dxfId="2357" priority="94" stopIfTrue="1" operator="greaterThan">
      <formula>$F$66</formula>
    </cfRule>
    <cfRule type="cellIs" dxfId="2356" priority="95" stopIfTrue="1" operator="lessThanOrEqual">
      <formula>0</formula>
    </cfRule>
  </conditionalFormatting>
  <conditionalFormatting sqref="I55">
    <cfRule type="cellIs" dxfId="2355" priority="31" stopIfTrue="1" operator="greaterThan">
      <formula>$F$68</formula>
    </cfRule>
    <cfRule type="cellIs" dxfId="2354" priority="32" stopIfTrue="1" operator="lessThanOrEqual">
      <formula>0</formula>
    </cfRule>
    <cfRule type="cellIs" dxfId="2353" priority="33" stopIfTrue="1" operator="greaterThan">
      <formula>$F$70</formula>
    </cfRule>
    <cfRule type="cellIs" dxfId="2352" priority="34" stopIfTrue="1" operator="lessThanOrEqual">
      <formula>0</formula>
    </cfRule>
    <cfRule type="cellIs" dxfId="2351" priority="35" stopIfTrue="1" operator="greaterThan">
      <formula>$F$68</formula>
    </cfRule>
    <cfRule type="cellIs" dxfId="2350" priority="36" stopIfTrue="1" operator="lessThanOrEqual">
      <formula>0</formula>
    </cfRule>
  </conditionalFormatting>
  <conditionalFormatting sqref="I56:I57">
    <cfRule type="cellIs" dxfId="2349" priority="103" stopIfTrue="1" operator="greaterThan">
      <formula>$F$66</formula>
    </cfRule>
    <cfRule type="cellIs" dxfId="2348" priority="104" stopIfTrue="1" operator="lessThanOrEqual">
      <formula>0</formula>
    </cfRule>
    <cfRule type="cellIs" dxfId="2347" priority="105" stopIfTrue="1" operator="greaterThan">
      <formula>$F$68</formula>
    </cfRule>
    <cfRule type="cellIs" dxfId="2346" priority="106" stopIfTrue="1" operator="lessThanOrEqual">
      <formula>0</formula>
    </cfRule>
    <cfRule type="cellIs" dxfId="2345" priority="107" stopIfTrue="1" operator="greaterThan">
      <formula>$F$66</formula>
    </cfRule>
    <cfRule type="cellIs" dxfId="2344" priority="108" stopIfTrue="1" operator="lessThanOrEqual">
      <formula>0</formula>
    </cfRule>
  </conditionalFormatting>
  <conditionalFormatting sqref="I58:I59">
    <cfRule type="cellIs" dxfId="2343" priority="139" stopIfTrue="1" operator="greaterThan">
      <formula>#REF!</formula>
    </cfRule>
    <cfRule type="cellIs" dxfId="2342" priority="140" stopIfTrue="1" operator="lessThanOrEqual">
      <formula>0</formula>
    </cfRule>
    <cfRule type="cellIs" dxfId="2341" priority="141" stopIfTrue="1" operator="greaterThan">
      <formula>#REF!</formula>
    </cfRule>
    <cfRule type="cellIs" dxfId="2340" priority="142" stopIfTrue="1" operator="lessThanOrEqual">
      <formula>0</formula>
    </cfRule>
  </conditionalFormatting>
  <conditionalFormatting sqref="I60">
    <cfRule type="cellIs" dxfId="2339" priority="151" stopIfTrue="1" operator="greaterThan">
      <formula>$F$34</formula>
    </cfRule>
    <cfRule type="cellIs" dxfId="2338" priority="152" stopIfTrue="1" operator="lessThanOrEqual">
      <formula>0</formula>
    </cfRule>
    <cfRule type="cellIs" dxfId="2337" priority="153" stopIfTrue="1" operator="greaterThan">
      <formula>$F$36</formula>
    </cfRule>
    <cfRule type="cellIs" dxfId="2336" priority="154" stopIfTrue="1" operator="lessThanOrEqual">
      <formula>0</formula>
    </cfRule>
    <cfRule type="cellIs" dxfId="2335" priority="155" stopIfTrue="1" operator="greaterThan">
      <formula>$F$34</formula>
    </cfRule>
    <cfRule type="cellIs" dxfId="2334" priority="156" stopIfTrue="1" operator="lessThanOrEqual">
      <formula>0</formula>
    </cfRule>
  </conditionalFormatting>
  <conditionalFormatting sqref="I61:I62">
    <cfRule type="cellIs" dxfId="2333" priority="127" stopIfTrue="1" operator="greaterThan">
      <formula>#REF!</formula>
    </cfRule>
    <cfRule type="cellIs" dxfId="2332" priority="128" stopIfTrue="1" operator="lessThanOrEqual">
      <formula>0</formula>
    </cfRule>
    <cfRule type="cellIs" dxfId="2331" priority="129" stopIfTrue="1" operator="greaterThan">
      <formula>#REF!</formula>
    </cfRule>
    <cfRule type="cellIs" dxfId="2330" priority="130" stopIfTrue="1" operator="lessThanOrEqual">
      <formula>0</formula>
    </cfRule>
  </conditionalFormatting>
  <conditionalFormatting sqref="I77:I85">
    <cfRule type="cellIs" dxfId="2329" priority="179" stopIfTrue="1" operator="greaterThan">
      <formula>4.5</formula>
    </cfRule>
    <cfRule type="cellIs" dxfId="2328" priority="180" stopIfTrue="1" operator="lessThanOrEqual">
      <formula>0</formula>
    </cfRule>
  </conditionalFormatting>
  <conditionalFormatting sqref="I10:J21">
    <cfRule type="cellIs" dxfId="2327" priority="19" operator="lessThan">
      <formula>97.9</formula>
    </cfRule>
  </conditionalFormatting>
  <conditionalFormatting sqref="J24:J26">
    <cfRule type="cellIs" dxfId="2326" priority="26" operator="lessThan">
      <formula>97.95</formula>
    </cfRule>
  </conditionalFormatting>
  <conditionalFormatting sqref="J25:J28">
    <cfRule type="cellIs" dxfId="2325" priority="161" operator="lessThan">
      <formula>97.4</formula>
    </cfRule>
  </conditionalFormatting>
  <conditionalFormatting sqref="J29:J30">
    <cfRule type="cellIs" dxfId="2324" priority="162" operator="lessThan">
      <formula>98</formula>
    </cfRule>
  </conditionalFormatting>
  <conditionalFormatting sqref="J31:J32">
    <cfRule type="cellIs" dxfId="2323" priority="163" stopIfTrue="1" operator="lessThan">
      <formula>96.8</formula>
    </cfRule>
    <cfRule type="cellIs" dxfId="2322" priority="164" stopIfTrue="1" operator="greaterThan">
      <formula>100</formula>
    </cfRule>
  </conditionalFormatting>
  <conditionalFormatting sqref="J31:J33">
    <cfRule type="cellIs" dxfId="2321" priority="165" operator="lessThan">
      <formula>98</formula>
    </cfRule>
  </conditionalFormatting>
  <conditionalFormatting sqref="J62">
    <cfRule type="cellIs" dxfId="2320" priority="115" stopIfTrue="1" operator="greaterThan">
      <formula>#REF!</formula>
    </cfRule>
    <cfRule type="cellIs" dxfId="2319" priority="116" stopIfTrue="1" operator="lessThanOrEqual">
      <formula>0</formula>
    </cfRule>
    <cfRule type="cellIs" dxfId="2318" priority="117" stopIfTrue="1" operator="greaterThan">
      <formula>#REF!</formula>
    </cfRule>
    <cfRule type="cellIs" dxfId="2317" priority="118" stopIfTrue="1" operator="lessThanOrEqual">
      <formula>0</formula>
    </cfRule>
    <cfRule type="cellIs" dxfId="2316" priority="119" stopIfTrue="1" operator="greaterThan">
      <formula>#REF!</formula>
    </cfRule>
    <cfRule type="cellIs" dxfId="2315" priority="120" stopIfTrue="1" operator="lessThanOrEqual">
      <formula>0</formula>
    </cfRule>
    <cfRule type="cellIs" dxfId="2314" priority="121" stopIfTrue="1" operator="greaterThan">
      <formula>#REF!</formula>
    </cfRule>
    <cfRule type="cellIs" dxfId="2313" priority="122" stopIfTrue="1" operator="lessThanOrEqual">
      <formula>0</formula>
    </cfRule>
  </conditionalFormatting>
  <conditionalFormatting sqref="J75">
    <cfRule type="cellIs" dxfId="2312" priority="54" stopIfTrue="1" operator="greaterThan">
      <formula>$F75</formula>
    </cfRule>
    <cfRule type="cellIs" dxfId="2311" priority="55" stopIfTrue="1" operator="lessThanOrEqual">
      <formula>0</formula>
    </cfRule>
  </conditionalFormatting>
  <conditionalFormatting sqref="K10:K21">
    <cfRule type="cellIs" dxfId="2310" priority="20" operator="greaterThan">
      <formula>6</formula>
    </cfRule>
    <cfRule type="cellIs" dxfId="2309" priority="21" operator="lessThan">
      <formula>4</formula>
    </cfRule>
    <cfRule type="cellIs" dxfId="2308" priority="22" operator="greaterThan">
      <formula>6.4</formula>
    </cfRule>
  </conditionalFormatting>
  <conditionalFormatting sqref="K53:K62">
    <cfRule type="cellIs" dxfId="2307" priority="100" stopIfTrue="1" operator="lessThan">
      <formula>100%</formula>
    </cfRule>
  </conditionalFormatting>
  <conditionalFormatting sqref="K66:K74">
    <cfRule type="cellIs" dxfId="2306" priority="44" stopIfTrue="1" operator="lessThan">
      <formula>100%</formula>
    </cfRule>
  </conditionalFormatting>
  <conditionalFormatting sqref="K77:K82">
    <cfRule type="cellIs" dxfId="2305" priority="185" stopIfTrue="1" operator="lessThan">
      <formula>100%</formula>
    </cfRule>
  </conditionalFormatting>
  <conditionalFormatting sqref="K84:K85">
    <cfRule type="cellIs" dxfId="2304" priority="192" stopIfTrue="1" operator="lessThan">
      <formula>100%</formula>
    </cfRule>
  </conditionalFormatting>
  <conditionalFormatting sqref="L10:L21">
    <cfRule type="cellIs" dxfId="2303" priority="16" operator="between">
      <formula>61</formula>
      <formula>65</formula>
    </cfRule>
    <cfRule type="cellIs" dxfId="2302" priority="17" operator="greaterThan">
      <formula>65</formula>
    </cfRule>
  </conditionalFormatting>
  <conditionalFormatting sqref="L24:M35">
    <cfRule type="cellIs" dxfId="2301" priority="25" operator="lessThan">
      <formula>97.95</formula>
    </cfRule>
  </conditionalFormatting>
  <conditionalFormatting sqref="L39:N39">
    <cfRule type="cellIs" dxfId="2300" priority="15" operator="notEqual">
      <formula>#REF!</formula>
    </cfRule>
  </conditionalFormatting>
  <conditionalFormatting sqref="L66:N75">
    <cfRule type="cellIs" dxfId="2299" priority="41" stopIfTrue="1" operator="lessThan">
      <formula>100%</formula>
    </cfRule>
  </conditionalFormatting>
  <conditionalFormatting sqref="L77:N85">
    <cfRule type="cellIs" dxfId="2298" priority="170" stopIfTrue="1" operator="lessThan">
      <formula>100%</formula>
    </cfRule>
  </conditionalFormatting>
  <conditionalFormatting sqref="M21">
    <cfRule type="expression" dxfId="2297" priority="12">
      <formula>IF(+(IF(M21&lt;U21,0,IF(M21&gt;V21,0,1)))=0,1)</formula>
    </cfRule>
  </conditionalFormatting>
  <conditionalFormatting sqref="N10:N21">
    <cfRule type="expression" dxfId="2296" priority="18">
      <formula>IF(+(IF(N10&lt;W10,0,IF(N10&gt;X10,0,1)))=0,1)</formula>
    </cfRule>
  </conditionalFormatting>
  <conditionalFormatting sqref="P6">
    <cfRule type="cellIs" dxfId="2295" priority="166" operator="greaterThanOrEqual">
      <formula>19</formula>
    </cfRule>
  </conditionalFormatting>
  <dataValidations count="1">
    <dataValidation type="list" allowBlank="1" showInputMessage="1" showErrorMessage="1" sqref="R8" xr:uid="{90F6C5B4-6BB8-4472-93FA-47313BE9EFC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565C-580F-423C-BE3B-D328AAE4E23D}">
  <sheetPr>
    <pageSetUpPr fitToPage="1"/>
  </sheetPr>
  <dimension ref="A1:BE77"/>
  <sheetViews>
    <sheetView zoomScale="85" zoomScaleNormal="85" workbookViewId="0">
      <selection activeCell="D77" sqref="D7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46275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[3]Brewhouse!$A721</f>
        <v>CA672</v>
      </c>
      <c r="D10" s="279">
        <f>[3]Brewhouse!$AF721</f>
        <v>50.2</v>
      </c>
      <c r="E10" s="279">
        <f>[3]Brewhouse!$AI721</f>
        <v>50.7</v>
      </c>
      <c r="F10" s="278">
        <f>[3]Brewhouse!$V721</f>
        <v>60</v>
      </c>
      <c r="G10" s="279">
        <f>[3]Brewhouse!AG721</f>
        <v>11.7</v>
      </c>
      <c r="H10" s="396">
        <v>11.9</v>
      </c>
      <c r="I10" s="368">
        <f>[3]Brewhouse!$AU721</f>
        <v>99.733387411391178</v>
      </c>
      <c r="J10" s="368">
        <f>[3]Brewhouse!$AV721</f>
        <v>101.32070242510316</v>
      </c>
      <c r="K10" s="281">
        <f>[3]Brewhouse!$Q721</f>
        <v>8.7245841035120115</v>
      </c>
      <c r="L10" s="276">
        <f>[3]Brewhouse!$P721</f>
        <v>60</v>
      </c>
      <c r="M10" s="374">
        <f>[3]Brewhouse!$U721-[3]Brewhouse!$T721</f>
        <v>7.986111111111116E-2</v>
      </c>
      <c r="N10" s="370">
        <f>[3]Brewhouse!$Z721</f>
        <v>0.23055555555555562</v>
      </c>
      <c r="O10" s="420" t="str">
        <f>[3]Brewhouse!$AX721</f>
        <v>R. Regis</v>
      </c>
      <c r="P10" s="418"/>
      <c r="R10" s="277" t="str">
        <f t="shared" ref="R10:R37" si="0">B10</f>
        <v>CARIB</v>
      </c>
      <c r="S10" s="472">
        <f t="shared" ref="S10:S37" si="1">VLOOKUP($B10,$R$3:$X$9,2,FALSE)</f>
        <v>11.6</v>
      </c>
      <c r="T10" s="472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472">
        <f t="shared" ref="Z10:Z37" si="8">VLOOKUP($B10,$R$3:$Z$9,9,FALSE)</f>
        <v>60</v>
      </c>
    </row>
    <row r="11" spans="2:29" ht="15" customHeight="1">
      <c r="B11" s="29" t="s">
        <v>6</v>
      </c>
      <c r="C11" s="366" t="str">
        <f>[3]Brewhouse!$A722</f>
        <v>CA673</v>
      </c>
      <c r="D11" s="279">
        <f>[3]Brewhouse!$AF722</f>
        <v>49.9</v>
      </c>
      <c r="E11" s="279">
        <f>[3]Brewhouse!$AI722</f>
        <v>50.5</v>
      </c>
      <c r="F11" s="278">
        <f>[3]Brewhouse!$V722</f>
        <v>64</v>
      </c>
      <c r="G11" s="279">
        <f>[3]Brewhouse!AG722</f>
        <v>11.6</v>
      </c>
      <c r="H11" s="396">
        <v>11.9</v>
      </c>
      <c r="I11" s="368">
        <f>[3]Brewhouse!$AU722</f>
        <v>98.19754764179018</v>
      </c>
      <c r="J11" s="368">
        <f>[3]Brewhouse!$AV722</f>
        <v>99.760633157394977</v>
      </c>
      <c r="K11" s="281">
        <f>[3]Brewhouse!$Q722</f>
        <v>9.0942698706099847</v>
      </c>
      <c r="L11" s="276">
        <f>[3]Brewhouse!$P722</f>
        <v>58</v>
      </c>
      <c r="M11" s="374">
        <f>[3]Brewhouse!$U722-[3]Brewhouse!$T722</f>
        <v>0.11388888888888893</v>
      </c>
      <c r="N11" s="370">
        <f>[3]Brewhouse!$Z722</f>
        <v>0.27638888888888896</v>
      </c>
      <c r="O11" s="420" t="str">
        <f>[3]Brewhouse!$AX722</f>
        <v>R. Regis</v>
      </c>
      <c r="P11" s="418"/>
      <c r="R11" s="277" t="str">
        <f t="shared" ref="R11:R28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[3]Brewhouse!$A723</f>
        <v>CA674</v>
      </c>
      <c r="D12" s="279">
        <f>[3]Brewhouse!$AF723</f>
        <v>49.9</v>
      </c>
      <c r="E12" s="279">
        <f>[3]Brewhouse!$AI723</f>
        <v>51</v>
      </c>
      <c r="F12" s="278">
        <f>[3]Brewhouse!$V723</f>
        <v>62</v>
      </c>
      <c r="G12" s="279">
        <f>[3]Brewhouse!AG723</f>
        <v>11.8</v>
      </c>
      <c r="H12" s="396">
        <v>11.8</v>
      </c>
      <c r="I12" s="368">
        <f>[3]Brewhouse!$AU723</f>
        <v>101.48311507954335</v>
      </c>
      <c r="J12" s="368">
        <f>[3]Brewhouse!$AV723</f>
        <v>103.09805544754764</v>
      </c>
      <c r="K12" s="281">
        <f>[3]Brewhouse!$Q723</f>
        <v>9.0942698706099847</v>
      </c>
      <c r="L12" s="276">
        <f>[3]Brewhouse!$P723</f>
        <v>57</v>
      </c>
      <c r="M12" s="374">
        <f>[3]Brewhouse!$U723-[3]Brewhouse!$T723</f>
        <v>0.11250000000000004</v>
      </c>
      <c r="N12" s="370">
        <f>[3]Brewhouse!$Z723</f>
        <v>0.28958333333333336</v>
      </c>
      <c r="O12" s="420" t="str">
        <f>[3]Brewhouse!$AX723</f>
        <v>R. Sookram</v>
      </c>
      <c r="P12" s="418"/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[3]Brewhouse!$A724</f>
        <v>CA675</v>
      </c>
      <c r="D13" s="279">
        <f>[3]Brewhouse!$AF724</f>
        <v>48.8</v>
      </c>
      <c r="E13" s="279">
        <f>[3]Brewhouse!$AI724</f>
        <v>50.8</v>
      </c>
      <c r="F13" s="278">
        <f>[3]Brewhouse!$V724</f>
        <v>62</v>
      </c>
      <c r="G13" s="279">
        <f>[3]Brewhouse!AG724</f>
        <v>11.6</v>
      </c>
      <c r="H13" s="396">
        <v>11.8</v>
      </c>
      <c r="I13" s="368">
        <f>[3]Brewhouse!$AU724</f>
        <v>99.282975850914454</v>
      </c>
      <c r="J13" s="368">
        <f>[3]Brewhouse!$AV724</f>
        <v>100.86290454576744</v>
      </c>
      <c r="K13" s="281">
        <f>[3]Brewhouse!$Q724</f>
        <v>9.8518518518518512</v>
      </c>
      <c r="L13" s="276">
        <f>[3]Brewhouse!$P724</f>
        <v>57</v>
      </c>
      <c r="M13" s="374">
        <f>[3]Brewhouse!$U724-[3]Brewhouse!$T724</f>
        <v>0.125</v>
      </c>
      <c r="N13" s="370">
        <f>[3]Brewhouse!$Z724</f>
        <v>0.28333333333333333</v>
      </c>
      <c r="O13" s="420" t="str">
        <f>[3]Brewhouse!$AX724</f>
        <v>R. Sookram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[3]Brewhouse!$A725</f>
        <v>CA676</v>
      </c>
      <c r="D14" s="279">
        <f>[3]Brewhouse!$AF725</f>
        <v>47.6</v>
      </c>
      <c r="E14" s="279">
        <f>[3]Brewhouse!$AI725</f>
        <v>49.8</v>
      </c>
      <c r="F14" s="278">
        <f>[3]Brewhouse!$V725</f>
        <v>60</v>
      </c>
      <c r="G14" s="279">
        <f>[3]Brewhouse!AG725</f>
        <v>11.6</v>
      </c>
      <c r="H14" s="367"/>
      <c r="I14" s="368">
        <f>[3]Brewhouse!$AU725</f>
        <v>97.081866203837734</v>
      </c>
      <c r="J14" s="368">
        <f>[3]Brewhouse!$AV725</f>
        <v>98.626980711468789</v>
      </c>
      <c r="K14" s="281">
        <f>[3]Brewhouse!$Q725</f>
        <v>13.18518518518518</v>
      </c>
      <c r="L14" s="276">
        <f>[3]Brewhouse!$P725</f>
        <v>59</v>
      </c>
      <c r="M14" s="374">
        <f>[3]Brewhouse!$U725-[3]Brewhouse!$T725</f>
        <v>0.11041666666666672</v>
      </c>
      <c r="N14" s="370">
        <f>[3]Brewhouse!$Z725</f>
        <v>0.30069444444444449</v>
      </c>
      <c r="O14" s="420" t="str">
        <f>[3]Brewhouse!$AX725</f>
        <v>R. Sookram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[3]Brewhouse!$A726</f>
        <v>CA677</v>
      </c>
      <c r="D15" s="279">
        <f>[3]Brewhouse!$AF726</f>
        <v>49.4</v>
      </c>
      <c r="E15" s="279">
        <f>[3]Brewhouse!$AI726</f>
        <v>50</v>
      </c>
      <c r="F15" s="278">
        <f>[3]Brewhouse!$V726</f>
        <v>58</v>
      </c>
      <c r="G15" s="279">
        <f>[3]Brewhouse!AG726</f>
        <v>11.8</v>
      </c>
      <c r="H15" s="396">
        <v>11.9</v>
      </c>
      <c r="I15" s="368">
        <f>[3]Brewhouse!$AU726</f>
        <v>98.865119442395837</v>
      </c>
      <c r="J15" s="368">
        <f>[3]Brewhouse!$AV726</f>
        <v>100.43893867303237</v>
      </c>
      <c r="K15" s="281">
        <f>[3]Brewhouse!$Q726</f>
        <v>9.8518518518518512</v>
      </c>
      <c r="L15" s="276">
        <f>[3]Brewhouse!$P726</f>
        <v>59</v>
      </c>
      <c r="M15" s="374">
        <f>[3]Brewhouse!$U726-[3]Brewhouse!$T726</f>
        <v>0.11180555555555549</v>
      </c>
      <c r="N15" s="370">
        <f>[3]Brewhouse!$Z726</f>
        <v>0.29236111111111107</v>
      </c>
      <c r="O15" s="420" t="str">
        <f>[3]Brewhouse!$AX726</f>
        <v>R. Sookram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[3]Brewhouse!$A727</f>
        <v>CA678</v>
      </c>
      <c r="D16" s="279">
        <f>[3]Brewhouse!$AF727</f>
        <v>49.2</v>
      </c>
      <c r="E16" s="279">
        <f>[3]Brewhouse!$AI727</f>
        <v>49.8</v>
      </c>
      <c r="F16" s="278">
        <f>[3]Brewhouse!$V727</f>
        <v>57</v>
      </c>
      <c r="G16" s="279">
        <f>[3]Brewhouse!AG727</f>
        <v>11.6</v>
      </c>
      <c r="H16" s="396">
        <v>11.8</v>
      </c>
      <c r="I16" s="368">
        <f>[3]Brewhouse!$AU727</f>
        <v>96.958974493352486</v>
      </c>
      <c r="J16" s="368">
        <f>[3]Brewhouse!$AV727</f>
        <v>98.5022390338234</v>
      </c>
      <c r="K16" s="281">
        <f>[3]Brewhouse!$Q727</f>
        <v>10.388170055452859</v>
      </c>
      <c r="L16" s="276">
        <f>[3]Brewhouse!$P727</f>
        <v>59</v>
      </c>
      <c r="M16" s="374">
        <f>[3]Brewhouse!$U727-[3]Brewhouse!$T727</f>
        <v>0.11041666666666661</v>
      </c>
      <c r="N16" s="370">
        <f>[3]Brewhouse!$Z727</f>
        <v>0.26666666666666661</v>
      </c>
      <c r="O16" s="420" t="str">
        <f>[3]Brewhouse!$AX727</f>
        <v>R. Sookram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 customHeight="1">
      <c r="B23" s="36"/>
      <c r="C23" s="366"/>
      <c r="D23" s="279"/>
      <c r="E23" s="279"/>
      <c r="F23" s="278"/>
      <c r="G23" s="279"/>
      <c r="H23" s="396"/>
      <c r="I23" s="489"/>
      <c r="J23" s="489"/>
      <c r="K23" s="490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customHeight="1" thickBot="1">
      <c r="B24" s="358"/>
      <c r="C24" s="358"/>
      <c r="D24" s="358"/>
      <c r="E24" s="358"/>
      <c r="F24" s="294"/>
      <c r="G24" s="294"/>
      <c r="H24" s="348"/>
      <c r="I24" s="534"/>
      <c r="J24" s="534"/>
      <c r="K24" s="534"/>
      <c r="L24" s="534"/>
      <c r="M24" s="534"/>
      <c r="N24" s="534"/>
      <c r="O24" s="1"/>
      <c r="P24" s="12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 thickBot="1">
      <c r="B25" s="483" t="s">
        <v>162</v>
      </c>
      <c r="C25" s="388"/>
      <c r="D25" s="535" t="s">
        <v>35</v>
      </c>
      <c r="E25" s="536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>
      <c r="A26" s="28"/>
      <c r="B26" s="537"/>
      <c r="C26" s="484"/>
      <c r="D26" s="522"/>
      <c r="E26" s="523"/>
      <c r="F26" s="294"/>
      <c r="G26" s="294"/>
      <c r="H26" s="348"/>
      <c r="I26" s="29" t="s">
        <v>6</v>
      </c>
      <c r="J26" s="323">
        <f>AVERAGE(I10:I16)</f>
        <v>98.80042658903217</v>
      </c>
      <c r="K26" s="284">
        <f>COUNTA([3]Brewhouse!$A$696:$A$727)</f>
        <v>32</v>
      </c>
      <c r="L26" s="305">
        <f>AVERAGE([3]Brewhouse!$AU$696:$AU$727)</f>
        <v>98.625781618900291</v>
      </c>
      <c r="M26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AVERAGE([3]Brewhouse!$AU$42:$AU$123,[3]Brewhouse!$AU$125:$AU$188,[3]Brewhouse!$AU$198:$AU$290,[3]Brewhouse!$AU$292:$AU$370,[3]Brewhouse!$AU$372:$AU$439,[3]Brewhouse!$AU$441:$AU$497,[3]Brewhouse!$AU$499:$AU$519,[3]Brewhouse!$AU$521:$AU$593,[3]Brewhouse!$AU$595:$AU$727)</f>
        <v>98.302155395144268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" customHeight="1">
      <c r="A27" s="28"/>
      <c r="B27" s="538"/>
      <c r="C27" s="362"/>
      <c r="D27" s="524"/>
      <c r="E27" s="525"/>
      <c r="F27" s="294"/>
      <c r="G27" s="294"/>
      <c r="H27" s="348"/>
      <c r="I27" s="33" t="s">
        <v>9</v>
      </c>
      <c r="J27" s="323"/>
      <c r="K27" s="284">
        <f>COUNTA([4]Brewhouse!$A$363:$A$372)</f>
        <v>10</v>
      </c>
      <c r="L27" s="302">
        <f>AVERAGE([4]Brewhouse!$AS$363:$AS$372)</f>
        <v>100.50071873632695</v>
      </c>
      <c r="M27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AVERAGE([4]Brewhouse!$AS$52:$AS$81,[4]Brewhouse!$AS$83:$AS$124,[4]Brewhouse!$AS$134:$AS$177,[4]Brewhouse!$AS$22:$AS$179,[4]Brewhouse!$AS$214:$AS$249,[4]Brewhouse!$AS$252:$AS$293,[4]Brewhouse!$AS$295:$AS$325,[4]Brewhouse!$AS$327:$AS$361,[4]Brewhouse!$AS$363:$AS$372)</f>
        <v>98.29248495310074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65" customHeight="1">
      <c r="A28" s="28"/>
      <c r="B28" s="538"/>
      <c r="C28" s="362"/>
      <c r="D28" s="529"/>
      <c r="E28" s="530"/>
      <c r="F28" s="294"/>
      <c r="G28" s="294"/>
      <c r="H28" s="348"/>
      <c r="I28" s="34" t="s">
        <v>12</v>
      </c>
      <c r="J28" s="323"/>
      <c r="K28" s="284"/>
      <c r="L28" s="302"/>
      <c r="M28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38"/>
      <c r="C29" s="362"/>
      <c r="D29" s="531"/>
      <c r="E29" s="525"/>
      <c r="F29" s="294"/>
      <c r="G29" s="294"/>
      <c r="H29" s="348"/>
      <c r="I29" s="22" t="s">
        <v>33</v>
      </c>
      <c r="J29" s="280"/>
      <c r="K29" s="284"/>
      <c r="L29" s="302"/>
      <c r="M29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38"/>
      <c r="C30" s="362"/>
      <c r="D30" s="529"/>
      <c r="E30" s="530"/>
      <c r="F30" s="294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38"/>
      <c r="C31" s="362"/>
      <c r="D31" s="531"/>
      <c r="E31" s="525"/>
      <c r="F31" s="417"/>
      <c r="G31" s="294"/>
      <c r="H31" s="348"/>
      <c r="I31" s="36" t="s">
        <v>15</v>
      </c>
      <c r="J31" s="323"/>
      <c r="K31" s="284">
        <f>COUNTA([7]Brewhouse!$A$23:$A$30)</f>
        <v>8</v>
      </c>
      <c r="L31" s="302">
        <f>AVERAGE([7]Brewhouse!$AT$23:$AT$30)</f>
        <v>96.065914782338609</v>
      </c>
      <c r="M31" s="302">
        <f>AVERAGE([7]Brewhouse!$AT$4:$AT$11,[7]Brewhouse!$AT$13:$AT$16,[7]Brewhouse!$AT$18:$AT$30)</f>
        <v>93.22262799886262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38"/>
      <c r="C32" s="362"/>
      <c r="D32" s="529"/>
      <c r="E32" s="530"/>
      <c r="F32" s="417"/>
      <c r="G32" s="294"/>
      <c r="H32" s="348"/>
      <c r="I32" s="37" t="s">
        <v>16</v>
      </c>
      <c r="J32" s="323"/>
      <c r="K32" s="284"/>
      <c r="L32" s="302"/>
      <c r="M32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2" s="30">
        <v>98</v>
      </c>
      <c r="O32" s="11"/>
      <c r="P32" s="31" t="s">
        <v>41</v>
      </c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38"/>
      <c r="C33" s="362"/>
      <c r="D33" s="531"/>
      <c r="E33" s="525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38"/>
      <c r="C34" s="362"/>
      <c r="D34" s="529"/>
      <c r="E34" s="530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38"/>
      <c r="C35" s="362"/>
      <c r="D35" s="531"/>
      <c r="E35" s="525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38"/>
      <c r="C36" s="349"/>
      <c r="D36" s="522"/>
      <c r="E36" s="523"/>
      <c r="F36" s="294"/>
      <c r="G36" s="294"/>
      <c r="H36" s="348"/>
      <c r="I36" s="1"/>
      <c r="J36" s="39"/>
      <c r="K36" s="404">
        <f>SUM(K26:K35)</f>
        <v>50</v>
      </c>
      <c r="L36" s="405">
        <f>((L26*K26)+(L27*K27)+(L28*K28)+(L29*K29)+(L30*K30)+(K33*L33)+(L31*K31)+(L32*K32)+(L35*K35))/(K36)</f>
        <v>98.591190348535747</v>
      </c>
      <c r="M36" s="405">
        <f>AVERAGE('[9]Jan30th-31st'!$L$42,'[10]Feb 27th-28th'!$L$45,'[11]Mar 31st'!$L$42,'[12]Apr 30th'!$L$41,'[13]May 29th '!$L$35,'[14]June 30th'!$L$32,[15]July31st!$L$36,'[16]Aug 31st'!$L$32,L36)</f>
        <v>98.059376037459415</v>
      </c>
      <c r="N36" s="4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39"/>
      <c r="C37" s="350"/>
      <c r="D37" s="524"/>
      <c r="E37" s="525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19"/>
      <c r="C38" s="362"/>
      <c r="D38" s="522"/>
      <c r="E38" s="523"/>
      <c r="F38" s="294"/>
      <c r="G38" s="42"/>
      <c r="H38" s="41"/>
      <c r="I38" s="42"/>
      <c r="J38" s="526" t="s">
        <v>129</v>
      </c>
      <c r="K38" s="526"/>
      <c r="L38" s="294"/>
      <c r="M38" s="294"/>
      <c r="N38" s="294"/>
      <c r="O38" s="294"/>
      <c r="P38" s="12"/>
    </row>
    <row r="39" spans="1:56" ht="15.75" thickBot="1">
      <c r="B39" s="520"/>
      <c r="C39" s="362"/>
      <c r="D39" s="524"/>
      <c r="E39" s="525"/>
      <c r="F39" s="294"/>
      <c r="G39" s="42"/>
      <c r="H39" s="42"/>
      <c r="I39" s="42"/>
      <c r="J39" s="292" t="s">
        <v>17</v>
      </c>
      <c r="K39" s="293"/>
      <c r="L39" s="527" t="s">
        <v>136</v>
      </c>
      <c r="M39" s="527"/>
      <c r="N39" s="528"/>
      <c r="O39" s="294"/>
      <c r="P39" s="12"/>
    </row>
    <row r="40" spans="1:56" ht="15" customHeight="1" thickBot="1">
      <c r="B40" s="520"/>
      <c r="C40" s="349"/>
      <c r="D40" s="529"/>
      <c r="E40" s="530"/>
      <c r="F40" s="294"/>
      <c r="G40" s="42"/>
      <c r="H40" s="42"/>
      <c r="I40" s="42"/>
      <c r="J40" s="287" t="s">
        <v>6</v>
      </c>
      <c r="K40" s="324">
        <v>7</v>
      </c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20"/>
      <c r="C41" s="349"/>
      <c r="D41" s="531"/>
      <c r="E41" s="525"/>
      <c r="F41" s="294"/>
      <c r="G41" s="42"/>
      <c r="H41" s="42"/>
      <c r="I41" s="42"/>
      <c r="J41" s="345" t="s">
        <v>9</v>
      </c>
      <c r="K41" s="324"/>
      <c r="L41" s="485">
        <f>AVERAGE('Sept 1st'!K45,'Sept 2nd'!K47,'Sept 3rd'!K44,'Sept 4th'!K46,'Sept 7th'!K48,'Sept 8th'!K48,K50)</f>
        <v>7.1428571428571432</v>
      </c>
      <c r="M41" s="486">
        <f>AVERAGE('[9]Jan30th-31st'!$L$47,L41,'[10]Feb 26th '!$L$39,'[11]Mar 31st'!$L$47,'[12]Apr 30th'!$L$46,'[13]May 29th '!$L$40,'[14]June 30th'!$L$39,[15]July31st!$L$41,'[16]Aug 31st'!$L$37)</f>
        <v>6.5314400575270142</v>
      </c>
      <c r="N41" s="416">
        <v>9.1999999999999993</v>
      </c>
      <c r="O41" s="294"/>
      <c r="P41" s="12"/>
    </row>
    <row r="42" spans="1:56" ht="15" customHeight="1">
      <c r="B42" s="520"/>
      <c r="C42" s="349"/>
      <c r="D42" s="529"/>
      <c r="E42" s="530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0"/>
      <c r="C43" s="349"/>
      <c r="D43" s="531"/>
      <c r="E43" s="525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0"/>
      <c r="C44" s="349"/>
      <c r="D44" s="529"/>
      <c r="E44" s="530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0"/>
      <c r="C45" s="349"/>
      <c r="D45" s="531"/>
      <c r="E45" s="525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0"/>
      <c r="C46" s="349"/>
      <c r="D46" s="529"/>
      <c r="E46" s="530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1"/>
      <c r="C47" s="350"/>
      <c r="D47" s="532"/>
      <c r="E47" s="533"/>
      <c r="F47" s="294" t="s">
        <v>165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10"/>
      <c r="E48" s="511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7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42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04" t="s">
        <v>17</v>
      </c>
      <c r="C53" s="504" t="s">
        <v>44</v>
      </c>
      <c r="D53" s="513" t="s">
        <v>45</v>
      </c>
      <c r="E53" s="515" t="s">
        <v>46</v>
      </c>
      <c r="F53" s="517" t="s">
        <v>47</v>
      </c>
      <c r="G53" s="502" t="s">
        <v>48</v>
      </c>
      <c r="H53" s="504" t="s">
        <v>49</v>
      </c>
      <c r="I53" s="504" t="s">
        <v>50</v>
      </c>
      <c r="J53" s="496" t="s">
        <v>28</v>
      </c>
      <c r="K53" s="506" t="s">
        <v>51</v>
      </c>
      <c r="L53" s="508" t="s">
        <v>52</v>
      </c>
      <c r="M53" s="496" t="s">
        <v>53</v>
      </c>
      <c r="N53" s="13"/>
      <c r="O53" s="13"/>
      <c r="P53" s="50"/>
    </row>
    <row r="54" spans="2:57" ht="28.5" customHeight="1" thickTop="1" thickBot="1">
      <c r="B54" s="505"/>
      <c r="C54" s="512"/>
      <c r="D54" s="514"/>
      <c r="E54" s="516"/>
      <c r="F54" s="518"/>
      <c r="G54" s="503"/>
      <c r="H54" s="505"/>
      <c r="I54" s="505"/>
      <c r="J54" s="497"/>
      <c r="K54" s="507"/>
      <c r="L54" s="509"/>
      <c r="M54" s="497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2:57" s="54" customFormat="1" ht="36.75" customHeight="1" thickBot="1">
      <c r="B55" s="456" t="str">
        <f>J40</f>
        <v>CARIB</v>
      </c>
      <c r="C55" s="479">
        <v>46274</v>
      </c>
      <c r="D55" s="445">
        <f>[17]September_2026!$L$3</f>
        <v>201.20000000000002</v>
      </c>
      <c r="E55" s="443"/>
      <c r="F55" s="444"/>
      <c r="G55" s="444">
        <f>[17]September_2026!$L$7</f>
        <v>193.2</v>
      </c>
      <c r="H55" s="458"/>
      <c r="I55" s="458"/>
      <c r="J55" s="448" t="s">
        <v>174</v>
      </c>
      <c r="K55" s="449">
        <f>[18]September_2026!$L$18</f>
        <v>0.67789473684210522</v>
      </c>
      <c r="L55" s="476">
        <f>(((D55+E55)-G55)/(D55+E55))*100</f>
        <v>3.9761431411530954</v>
      </c>
      <c r="M55" s="455" t="s">
        <v>176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[19]January_2019!L5</f>
        <v>0</v>
      </c>
      <c r="AC55" s="57">
        <f>[19]January_2019!M5</f>
        <v>0</v>
      </c>
      <c r="AD55" s="57">
        <f>[19]January_2019!N5</f>
        <v>0</v>
      </c>
      <c r="AE55" s="57">
        <f>[19]January_2019!O5</f>
        <v>0</v>
      </c>
      <c r="AF55" s="57">
        <f>[19]January_2019!P5</f>
        <v>0</v>
      </c>
      <c r="AG55" s="57">
        <f>[19]January_2019!Q5</f>
        <v>0</v>
      </c>
      <c r="AH55" s="57">
        <f>[19]January_2019!R5</f>
        <v>0</v>
      </c>
      <c r="AI55" s="57">
        <f>[19]January_2019!S5</f>
        <v>0</v>
      </c>
      <c r="AJ55" s="57">
        <f>[19]January_2019!T5</f>
        <v>0</v>
      </c>
      <c r="AK55" s="57">
        <f>[19]January_2019!U5</f>
        <v>0</v>
      </c>
      <c r="AL55" s="57">
        <f>[19]January_2019!V5</f>
        <v>0</v>
      </c>
      <c r="AM55" s="57">
        <f>[19]January_2019!W5</f>
        <v>0</v>
      </c>
      <c r="AN55" s="57">
        <f>[19]January_2019!X5</f>
        <v>0</v>
      </c>
      <c r="AO55" s="57">
        <f>[19]January_2019!Y5</f>
        <v>0</v>
      </c>
      <c r="AP55" s="57">
        <f>[19]January_2019!Z5</f>
        <v>0</v>
      </c>
      <c r="AQ55" s="57">
        <f>[19]January_2019!AA5</f>
        <v>0</v>
      </c>
      <c r="AR55" s="57">
        <f>[19]January_2019!AB5</f>
        <v>0</v>
      </c>
      <c r="AS55" s="57">
        <f>[19]January_2019!AC5</f>
        <v>0</v>
      </c>
      <c r="AT55" s="57">
        <f>[19]January_2019!AD5</f>
        <v>0</v>
      </c>
      <c r="AU55" s="57">
        <f>[19]January_2019!AE5</f>
        <v>0</v>
      </c>
      <c r="AV55" s="57">
        <f>[19]January_2019!AF5</f>
        <v>0</v>
      </c>
      <c r="AW55" s="57">
        <f>[19]January_2019!AG5</f>
        <v>0</v>
      </c>
      <c r="AX55" s="277">
        <f>[19]January_2019!AH5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4.25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[19]January_2019!L6</f>
        <v>0</v>
      </c>
      <c r="AC56" s="57">
        <f>[19]January_2019!M6</f>
        <v>0</v>
      </c>
      <c r="AD56" s="57">
        <f>[19]January_2019!N6</f>
        <v>0</v>
      </c>
      <c r="AE56" s="57">
        <f>[19]January_2019!O6</f>
        <v>0</v>
      </c>
      <c r="AF56" s="57">
        <f>[19]January_2019!P6</f>
        <v>0</v>
      </c>
      <c r="AG56" s="57">
        <f>[19]January_2019!Q6</f>
        <v>0</v>
      </c>
      <c r="AH56" s="57">
        <f>[19]January_2019!R6</f>
        <v>0</v>
      </c>
      <c r="AI56" s="57">
        <f>[19]January_2019!S6</f>
        <v>0</v>
      </c>
      <c r="AJ56" s="57">
        <f>[19]January_2019!T6</f>
        <v>0</v>
      </c>
      <c r="AK56" s="57">
        <f>[19]January_2019!U6</f>
        <v>0</v>
      </c>
      <c r="AL56" s="57">
        <f>[19]January_2019!V6</f>
        <v>0</v>
      </c>
      <c r="AM56" s="57">
        <f>[19]January_2019!W6</f>
        <v>0</v>
      </c>
      <c r="AN56" s="57">
        <f>[19]January_2019!X6</f>
        <v>0</v>
      </c>
      <c r="AO56" s="57">
        <f>[19]January_2019!Y6</f>
        <v>0</v>
      </c>
      <c r="AP56" s="57">
        <f>[19]January_2019!Z6</f>
        <v>0</v>
      </c>
      <c r="AQ56" s="57">
        <f>[19]January_2019!AA6</f>
        <v>0</v>
      </c>
      <c r="AR56" s="57">
        <f>[19]January_2019!AB6</f>
        <v>0</v>
      </c>
      <c r="AS56" s="57">
        <f>[19]January_2019!AC6</f>
        <v>0</v>
      </c>
      <c r="AT56" s="57">
        <f>[19]January_2019!AD6</f>
        <v>0</v>
      </c>
      <c r="AU56" s="57">
        <f>[19]January_2019!AE6</f>
        <v>0</v>
      </c>
      <c r="AV56" s="57">
        <f>[19]January_2019!AF6</f>
        <v>0</v>
      </c>
      <c r="AW56" s="57">
        <f>[19]January_2019!AG6</f>
        <v>0</v>
      </c>
      <c r="AX56" s="277">
        <f>[19]January_2019!AH6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37.15" customHeight="1" thickBot="1">
      <c r="B57" s="456" t="str">
        <f>B55</f>
        <v>CARIB</v>
      </c>
      <c r="C57" s="479">
        <v>46274</v>
      </c>
      <c r="D57" s="442">
        <f>[17]September_2026!$I$3</f>
        <v>289.77000000000004</v>
      </c>
      <c r="E57" s="443"/>
      <c r="F57" s="444"/>
      <c r="G57" s="444">
        <f>[17]September_2026!$I$7</f>
        <v>261.10000000000002</v>
      </c>
      <c r="H57" s="446"/>
      <c r="I57" s="446"/>
      <c r="J57" s="448" t="s">
        <v>174</v>
      </c>
      <c r="K57" s="449">
        <f>[18]September_2026!$I$18</f>
        <v>0.91614035087719303</v>
      </c>
      <c r="L57" s="457">
        <f>(((D57+E57)-G57)/(D57+E57))*100</f>
        <v>9.8940539048210692</v>
      </c>
      <c r="M57" s="455" t="s">
        <v>173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[19]January_2019!L7</f>
        <v>285.8</v>
      </c>
      <c r="AC57" s="57">
        <f>[19]January_2019!M7</f>
        <v>508.1</v>
      </c>
      <c r="AD57" s="57">
        <f>[19]January_2019!N7</f>
        <v>0</v>
      </c>
      <c r="AE57" s="57">
        <f>[19]January_2019!O7</f>
        <v>0</v>
      </c>
      <c r="AF57" s="57">
        <f>[19]January_2019!P7</f>
        <v>109.56666666666666</v>
      </c>
      <c r="AG57" s="57">
        <f>[19]January_2019!Q7</f>
        <v>297.64999999999998</v>
      </c>
      <c r="AH57" s="57">
        <f>[19]January_2019!R7</f>
        <v>122.3</v>
      </c>
      <c r="AI57" s="57">
        <f>[19]January_2019!S7</f>
        <v>0</v>
      </c>
      <c r="AJ57" s="57">
        <f>[19]January_2019!T7</f>
        <v>294.7</v>
      </c>
      <c r="AK57" s="57">
        <f>[19]January_2019!U7</f>
        <v>280.5</v>
      </c>
      <c r="AL57" s="57">
        <f>[19]January_2019!V7</f>
        <v>0</v>
      </c>
      <c r="AM57" s="57">
        <f>[19]January_2019!W7</f>
        <v>0</v>
      </c>
      <c r="AN57" s="57">
        <f>[19]January_2019!X7</f>
        <v>188.25</v>
      </c>
      <c r="AO57" s="57">
        <f>[19]January_2019!Y7</f>
        <v>295.7</v>
      </c>
      <c r="AP57" s="57">
        <f>[19]January_2019!Z7</f>
        <v>257.8</v>
      </c>
      <c r="AQ57" s="57">
        <f>[19]January_2019!AA7</f>
        <v>291.2</v>
      </c>
      <c r="AR57" s="57">
        <f>[19]January_2019!AB7</f>
        <v>187</v>
      </c>
      <c r="AS57" s="57">
        <f>[19]January_2019!AC7</f>
        <v>0</v>
      </c>
      <c r="AT57" s="57">
        <f>[19]January_2019!AD7</f>
        <v>0</v>
      </c>
      <c r="AU57" s="57">
        <f>[19]January_2019!AE7</f>
        <v>485.1</v>
      </c>
      <c r="AV57" s="57">
        <f>[19]January_2019!AF7</f>
        <v>171.55</v>
      </c>
      <c r="AW57" s="57">
        <f>[19]January_2019!AG7</f>
        <v>423.8</v>
      </c>
      <c r="AX57" s="277">
        <f>[19]January_2019!AH7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8.600000000000001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65" hidden="1" customHeight="1" thickBot="1">
      <c r="B59" s="487"/>
      <c r="C59" s="479"/>
      <c r="D59" s="442"/>
      <c r="E59" s="443"/>
      <c r="F59" s="444"/>
      <c r="G59" s="445"/>
      <c r="H59" s="458"/>
      <c r="I59" s="458"/>
      <c r="J59" s="448"/>
      <c r="K59" s="45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hidden="1" customHeight="1" thickBot="1">
      <c r="B61" s="481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15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498" t="s">
        <v>55</v>
      </c>
      <c r="C66" s="499"/>
      <c r="D66" s="499"/>
      <c r="E66" s="499"/>
      <c r="F66" s="500"/>
      <c r="G66" s="498" t="s">
        <v>56</v>
      </c>
      <c r="H66" s="499"/>
      <c r="I66" s="499"/>
      <c r="J66" s="500"/>
      <c r="K66" s="498" t="s">
        <v>51</v>
      </c>
      <c r="L66" s="499"/>
      <c r="M66" s="499"/>
      <c r="N66" s="501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>
        <f>AVERAGE(L55,L57)</f>
        <v>6.9350985229870821</v>
      </c>
      <c r="D68" s="76">
        <v>6.4472271157030416</v>
      </c>
      <c r="E68" s="76">
        <v>6.5138721351025444</v>
      </c>
      <c r="F68" s="66">
        <v>4.8</v>
      </c>
      <c r="G68" s="65">
        <f>AVERAGE([17]September_2026!$I$11,[17]September_2026!$L$11)</f>
        <v>6.148326145664484</v>
      </c>
      <c r="H68" s="477">
        <v>5.8950679057106816</v>
      </c>
      <c r="I68" s="477">
        <v>6.6073232901305987</v>
      </c>
      <c r="J68" s="66">
        <v>4.8</v>
      </c>
      <c r="K68" s="67">
        <f>AVERAGE(K55,K57)</f>
        <v>0.79701754385964918</v>
      </c>
      <c r="L68" s="194">
        <v>0.6961461988304094</v>
      </c>
      <c r="M68" s="194">
        <v>0.53619861956746828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8.6363636363636189</v>
      </c>
      <c r="E69" s="76">
        <v>5.8721053130307412</v>
      </c>
      <c r="F69" s="66">
        <v>4.8</v>
      </c>
      <c r="G69" s="65"/>
      <c r="H69" s="76">
        <v>7.5248838752488254</v>
      </c>
      <c r="I69" s="76">
        <v>5.9880521869393624</v>
      </c>
      <c r="J69" s="66">
        <v>4.8</v>
      </c>
      <c r="K69" s="67"/>
      <c r="L69" s="194">
        <v>0.31736842105263158</v>
      </c>
      <c r="M69" s="194">
        <v>0.68971317640877172</v>
      </c>
      <c r="N69" s="68">
        <v>1</v>
      </c>
      <c r="P69" s="69"/>
    </row>
    <row r="70" spans="2:16" ht="15">
      <c r="B70" s="34" t="s">
        <v>40</v>
      </c>
      <c r="C70" s="65"/>
      <c r="D70" s="76"/>
      <c r="E70" s="76">
        <v>11.277593164016125</v>
      </c>
      <c r="F70" s="66">
        <v>5.5</v>
      </c>
      <c r="G70" s="65"/>
      <c r="H70" s="76"/>
      <c r="I70" s="76">
        <v>11.857907912244482</v>
      </c>
      <c r="J70" s="66">
        <v>5.5</v>
      </c>
      <c r="K70" s="67"/>
      <c r="L70" s="194"/>
      <c r="M70" s="194">
        <v>0.35370190356844494</v>
      </c>
      <c r="N70" s="68">
        <v>1</v>
      </c>
      <c r="P70" s="69"/>
    </row>
    <row r="71" spans="2:16" ht="15">
      <c r="B71" s="22" t="s">
        <v>33</v>
      </c>
      <c r="C71" s="65"/>
      <c r="D71" s="76"/>
      <c r="E71" s="76">
        <v>4.8685538193023836</v>
      </c>
      <c r="F71" s="66">
        <v>3.3</v>
      </c>
      <c r="G71" s="65"/>
      <c r="H71" s="76"/>
      <c r="I71" s="76">
        <v>4.8702525342252114</v>
      </c>
      <c r="J71" s="66">
        <v>3.3</v>
      </c>
      <c r="K71" s="67"/>
      <c r="L71" s="194"/>
      <c r="M71" s="194">
        <v>0.77919298245614044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65"/>
      <c r="D73" s="76"/>
      <c r="E73" s="76">
        <v>6.0400197628458603</v>
      </c>
      <c r="F73" s="70">
        <v>5.5</v>
      </c>
      <c r="G73" s="65"/>
      <c r="H73" s="76"/>
      <c r="I73" s="76">
        <v>8.2405787675951316</v>
      </c>
      <c r="J73" s="66">
        <v>5.5</v>
      </c>
      <c r="K73" s="67"/>
      <c r="L73" s="194"/>
      <c r="M73" s="194">
        <v>0.78491228070175445</v>
      </c>
      <c r="N73" s="68">
        <v>1</v>
      </c>
      <c r="P73" s="69"/>
    </row>
    <row r="74" spans="2:16" ht="15">
      <c r="B74" s="37" t="s">
        <v>16</v>
      </c>
      <c r="C74" s="482"/>
      <c r="D74" s="76"/>
      <c r="E74" s="76">
        <v>3.6168923014750334</v>
      </c>
      <c r="F74" s="66">
        <v>3.3</v>
      </c>
      <c r="G74" s="282"/>
      <c r="H74" s="76"/>
      <c r="I74" s="76">
        <v>5.0091179718082053</v>
      </c>
      <c r="J74" s="66">
        <v>3.3</v>
      </c>
      <c r="K74" s="67"/>
      <c r="L74" s="194"/>
      <c r="M74" s="194">
        <v>0.92642300194931759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6.8264028308117464</v>
      </c>
      <c r="E77" s="76">
        <v>6.3462316681768955</v>
      </c>
      <c r="F77" s="341">
        <v>5.5</v>
      </c>
      <c r="H77" s="76">
        <v>6.177284152675111</v>
      </c>
      <c r="I77" s="76">
        <v>6.6757418645566347</v>
      </c>
      <c r="J77" s="341">
        <v>5.5</v>
      </c>
      <c r="L77" s="194">
        <v>0.64203508771929829</v>
      </c>
      <c r="M77" s="194">
        <v>0.60011391967476069</v>
      </c>
      <c r="N77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2294" priority="102" operator="notBetween">
      <formula>#REF!</formula>
      <formula>#REF!</formula>
    </cfRule>
  </conditionalFormatting>
  <conditionalFormatting sqref="C52">
    <cfRule type="cellIs" dxfId="2293" priority="184" stopIfTrue="1" operator="lessThan">
      <formula>96</formula>
    </cfRule>
    <cfRule type="cellIs" dxfId="2292" priority="185" stopIfTrue="1" operator="greaterThan">
      <formula>100</formula>
    </cfRule>
  </conditionalFormatting>
  <conditionalFormatting sqref="C68:C69">
    <cfRule type="cellIs" dxfId="2291" priority="65" stopIfTrue="1" operator="greaterThan">
      <formula>$F68</formula>
    </cfRule>
    <cfRule type="cellIs" dxfId="2290" priority="66" stopIfTrue="1" operator="lessThanOrEqual">
      <formula>0</formula>
    </cfRule>
    <cfRule type="cellIs" dxfId="2289" priority="67" stopIfTrue="1" operator="greaterThan">
      <formula>$F68</formula>
    </cfRule>
    <cfRule type="cellIs" dxfId="2288" priority="68" stopIfTrue="1" operator="lessThanOrEqual">
      <formula>0</formula>
    </cfRule>
  </conditionalFormatting>
  <conditionalFormatting sqref="C70:C72 C74:C76">
    <cfRule type="cellIs" dxfId="2287" priority="74" stopIfTrue="1" operator="greaterThan">
      <formula>$F73</formula>
    </cfRule>
  </conditionalFormatting>
  <conditionalFormatting sqref="C70:C72">
    <cfRule type="cellIs" dxfId="2286" priority="75" stopIfTrue="1" operator="lessThanOrEqual">
      <formula>0</formula>
    </cfRule>
  </conditionalFormatting>
  <conditionalFormatting sqref="C73">
    <cfRule type="cellIs" dxfId="2285" priority="186" stopIfTrue="1" operator="greaterThan">
      <formula>$F68</formula>
    </cfRule>
    <cfRule type="cellIs" dxfId="2284" priority="187" stopIfTrue="1" operator="lessThanOrEqual">
      <formula>0</formula>
    </cfRule>
    <cfRule type="cellIs" dxfId="2283" priority="188" stopIfTrue="1" operator="greaterThan">
      <formula>$F68</formula>
    </cfRule>
    <cfRule type="cellIs" dxfId="2282" priority="189" stopIfTrue="1" operator="lessThanOrEqual">
      <formula>0</formula>
    </cfRule>
  </conditionalFormatting>
  <conditionalFormatting sqref="C74:C76">
    <cfRule type="cellIs" dxfId="2281" priority="76" stopIfTrue="1" operator="lessThanOrEqual">
      <formula>0</formula>
    </cfRule>
  </conditionalFormatting>
  <conditionalFormatting sqref="C79:C83">
    <cfRule type="cellIs" dxfId="2280" priority="176" stopIfTrue="1" operator="lessThanOrEqual">
      <formula>0</formula>
    </cfRule>
  </conditionalFormatting>
  <conditionalFormatting sqref="C80:C83">
    <cfRule type="cellIs" dxfId="2279" priority="175" stopIfTrue="1" operator="greaterThan">
      <formula>$F$79</formula>
    </cfRule>
  </conditionalFormatting>
  <conditionalFormatting sqref="C85">
    <cfRule type="cellIs" dxfId="2278" priority="177" stopIfTrue="1" operator="greaterThan">
      <formula>$F$79</formula>
    </cfRule>
    <cfRule type="cellIs" dxfId="2277" priority="178" stopIfTrue="1" operator="lessThanOrEqual">
      <formula>0</formula>
    </cfRule>
  </conditionalFormatting>
  <conditionalFormatting sqref="C73:D73">
    <cfRule type="cellIs" dxfId="2276" priority="63" stopIfTrue="1" operator="greaterThan">
      <formula>$J73</formula>
    </cfRule>
    <cfRule type="cellIs" dxfId="2275" priority="64" stopIfTrue="1" operator="lessThanOrEqual">
      <formula>0</formula>
    </cfRule>
  </conditionalFormatting>
  <conditionalFormatting sqref="C79:D79 D81:D87">
    <cfRule type="cellIs" dxfId="2274" priority="170" stopIfTrue="1" operator="greaterThan">
      <formula>4.5</formula>
    </cfRule>
  </conditionalFormatting>
  <conditionalFormatting sqref="D48:D49">
    <cfRule type="cellIs" dxfId="2273" priority="103" operator="notBetween">
      <formula>#REF!</formula>
      <formula>#REF!</formula>
    </cfRule>
  </conditionalFormatting>
  <conditionalFormatting sqref="D68:D72 D74:D75">
    <cfRule type="cellIs" dxfId="2272" priority="73" stopIfTrue="1" operator="lessThanOrEqual">
      <formula>0</formula>
    </cfRule>
  </conditionalFormatting>
  <conditionalFormatting sqref="D68:D72 D74:D77">
    <cfRule type="cellIs" dxfId="2271" priority="69" stopIfTrue="1" operator="lessThanOrEqual">
      <formula>0</formula>
    </cfRule>
    <cfRule type="cellIs" dxfId="2270" priority="70" stopIfTrue="1" operator="greaterThan">
      <formula>$F68</formula>
    </cfRule>
  </conditionalFormatting>
  <conditionalFormatting sqref="D76:D77">
    <cfRule type="cellIs" dxfId="2269" priority="71" stopIfTrue="1" operator="lessThanOrEqual">
      <formula>0</formula>
    </cfRule>
  </conditionalFormatting>
  <conditionalFormatting sqref="D77">
    <cfRule type="cellIs" dxfId="2268" priority="72" stopIfTrue="1" operator="lessThanOrEqual">
      <formula>0</formula>
    </cfRule>
  </conditionalFormatting>
  <conditionalFormatting sqref="D79 D81:D87">
    <cfRule type="cellIs" dxfId="2267" priority="171" stopIfTrue="1" operator="lessThanOrEqual">
      <formula>0</formula>
    </cfRule>
  </conditionalFormatting>
  <conditionalFormatting sqref="D80">
    <cfRule type="cellIs" dxfId="2266" priority="162" stopIfTrue="1" operator="greaterThan">
      <formula>$F$79</formula>
    </cfRule>
    <cfRule type="cellIs" dxfId="2265" priority="163" stopIfTrue="1" operator="lessThanOrEqual">
      <formula>0</formula>
    </cfRule>
  </conditionalFormatting>
  <conditionalFormatting sqref="E10:E23">
    <cfRule type="cellIs" dxfId="2264" priority="12" operator="lessThan">
      <formula>48</formula>
    </cfRule>
  </conditionalFormatting>
  <conditionalFormatting sqref="E51 E52:F52">
    <cfRule type="cellIs" dxfId="2263" priority="167" stopIfTrue="1" operator="greaterThan">
      <formula>100</formula>
    </cfRule>
  </conditionalFormatting>
  <conditionalFormatting sqref="E52">
    <cfRule type="cellIs" dxfId="2262" priority="164" stopIfTrue="1" operator="lessThan">
      <formula>96.8</formula>
    </cfRule>
    <cfRule type="cellIs" dxfId="2261" priority="165" stopIfTrue="1" operator="greaterThan">
      <formula>100</formula>
    </cfRule>
  </conditionalFormatting>
  <conditionalFormatting sqref="E68:E76">
    <cfRule type="cellIs" dxfId="2260" priority="36" stopIfTrue="1" operator="lessThanOrEqual">
      <formula>0</formula>
    </cfRule>
  </conditionalFormatting>
  <conditionalFormatting sqref="E68:E77">
    <cfRule type="cellIs" dxfId="2259" priority="37" stopIfTrue="1" operator="greaterThan">
      <formula>$F68</formula>
    </cfRule>
    <cfRule type="cellIs" dxfId="2258" priority="38" stopIfTrue="1" operator="lessThanOrEqual">
      <formula>0</formula>
    </cfRule>
  </conditionalFormatting>
  <conditionalFormatting sqref="E77">
    <cfRule type="cellIs" dxfId="2257" priority="39" stopIfTrue="1" operator="lessThanOrEqual">
      <formula>0</formula>
    </cfRule>
  </conditionalFormatting>
  <conditionalFormatting sqref="E79:E87">
    <cfRule type="cellIs" dxfId="2256" priority="156" stopIfTrue="1" operator="greaterThan">
      <formula>4.5</formula>
    </cfRule>
    <cfRule type="cellIs" dxfId="2255" priority="157" stopIfTrue="1" operator="lessThanOrEqual">
      <formula>0</formula>
    </cfRule>
  </conditionalFormatting>
  <conditionalFormatting sqref="E52:F52 E51">
    <cfRule type="cellIs" dxfId="2254" priority="166" stopIfTrue="1" operator="lessThan">
      <formula>96.5</formula>
    </cfRule>
  </conditionalFormatting>
  <conditionalFormatting sqref="F10:F23">
    <cfRule type="cellIs" dxfId="2253" priority="13" operator="greaterThan">
      <formula>60</formula>
    </cfRule>
  </conditionalFormatting>
  <conditionalFormatting sqref="F52">
    <cfRule type="cellIs" dxfId="2252" priority="182" stopIfTrue="1" operator="lessThan">
      <formula>96.8</formula>
    </cfRule>
    <cfRule type="cellIs" dxfId="2251" priority="183" stopIfTrue="1" operator="greaterThan">
      <formula>100</formula>
    </cfRule>
  </conditionalFormatting>
  <conditionalFormatting sqref="G23">
    <cfRule type="expression" dxfId="2250" priority="2">
      <formula>IF(+(IF(G23&lt;S23,0,IF(G23&gt;T23,0,1)))=0,1)</formula>
    </cfRule>
  </conditionalFormatting>
  <conditionalFormatting sqref="G68:G71 F77">
    <cfRule type="cellIs" dxfId="2249" priority="45" stopIfTrue="1" operator="greaterThan">
      <formula>$F68</formula>
    </cfRule>
    <cfRule type="cellIs" dxfId="2248" priority="46" stopIfTrue="1" operator="lessThanOrEqual">
      <formula>0</formula>
    </cfRule>
  </conditionalFormatting>
  <conditionalFormatting sqref="G70:G71">
    <cfRule type="cellIs" dxfId="2247" priority="31" stopIfTrue="1" operator="greaterThan">
      <formula>$F70</formula>
    </cfRule>
    <cfRule type="cellIs" dxfId="2246" priority="32" stopIfTrue="1" operator="lessThanOrEqual">
      <formula>0</formula>
    </cfRule>
  </conditionalFormatting>
  <conditionalFormatting sqref="G72:G76">
    <cfRule type="cellIs" dxfId="2245" priority="47" stopIfTrue="1" operator="greaterThan">
      <formula>$J72</formula>
    </cfRule>
    <cfRule type="cellIs" dxfId="2244" priority="48" stopIfTrue="1" operator="lessThanOrEqual">
      <formula>0</formula>
    </cfRule>
  </conditionalFormatting>
  <conditionalFormatting sqref="G73">
    <cfRule type="cellIs" dxfId="2243" priority="190" stopIfTrue="1" operator="greaterThan">
      <formula>$F68</formula>
    </cfRule>
    <cfRule type="cellIs" dxfId="2242" priority="191" stopIfTrue="1" operator="lessThanOrEqual">
      <formula>0</formula>
    </cfRule>
  </conditionalFormatting>
  <conditionalFormatting sqref="G81:G86 C84 C86">
    <cfRule type="cellIs" dxfId="2241" priority="179" stopIfTrue="1" operator="greaterThan">
      <formula>4.5</formula>
    </cfRule>
    <cfRule type="cellIs" dxfId="2240" priority="180" stopIfTrue="1" operator="lessThanOrEqual">
      <formula>0</formula>
    </cfRule>
  </conditionalFormatting>
  <conditionalFormatting sqref="G10:H22 M10:N22 H23">
    <cfRule type="expression" dxfId="2239" priority="3">
      <formula>IF(+(IF(G10&lt;#REF!,0,IF(G10&gt;#REF!,0,1)))=0,1)</formula>
    </cfRule>
  </conditionalFormatting>
  <conditionalFormatting sqref="G80:H80">
    <cfRule type="cellIs" dxfId="2238" priority="160" stopIfTrue="1" operator="greaterThan">
      <formula>$F$79</formula>
    </cfRule>
    <cfRule type="cellIs" dxfId="2237" priority="161" stopIfTrue="1" operator="lessThanOrEqual">
      <formula>0</formula>
    </cfRule>
  </conditionalFormatting>
  <conditionalFormatting sqref="H37:H38 H51">
    <cfRule type="cellIs" dxfId="2236" priority="158" stopIfTrue="1" operator="greaterThan">
      <formula>0</formula>
    </cfRule>
  </conditionalFormatting>
  <conditionalFormatting sqref="H55">
    <cfRule type="cellIs" dxfId="2235" priority="50" stopIfTrue="1" operator="lessThanOrEqual">
      <formula>0</formula>
    </cfRule>
    <cfRule type="cellIs" dxfId="2234" priority="51" stopIfTrue="1" operator="greaterThan">
      <formula>$F$68</formula>
    </cfRule>
    <cfRule type="cellIs" dxfId="2233" priority="59" stopIfTrue="1" operator="greaterThan">
      <formula>$F$71</formula>
    </cfRule>
    <cfRule type="cellIs" dxfId="2232" priority="60" stopIfTrue="1" operator="lessThanOrEqual">
      <formula>0</formula>
    </cfRule>
    <cfRule type="cellIs" dxfId="2231" priority="61" stopIfTrue="1" operator="greaterThan">
      <formula>$F$69</formula>
    </cfRule>
  </conditionalFormatting>
  <conditionalFormatting sqref="H55:H56">
    <cfRule type="cellIs" dxfId="2230" priority="62" stopIfTrue="1" operator="lessThanOrEqual">
      <formula>0</formula>
    </cfRule>
  </conditionalFormatting>
  <conditionalFormatting sqref="H56 H58:H59">
    <cfRule type="cellIs" dxfId="2229" priority="88" stopIfTrue="1" operator="lessThanOrEqual">
      <formula>0</formula>
    </cfRule>
  </conditionalFormatting>
  <conditionalFormatting sqref="H56">
    <cfRule type="cellIs" dxfId="2228" priority="77" stopIfTrue="1" operator="greaterThan">
      <formula>$F$68</formula>
    </cfRule>
    <cfRule type="cellIs" dxfId="2227" priority="85" stopIfTrue="1" operator="greaterThan">
      <formula>$F$71</formula>
    </cfRule>
    <cfRule type="cellIs" dxfId="2226" priority="86" stopIfTrue="1" operator="lessThanOrEqual">
      <formula>0</formula>
    </cfRule>
    <cfRule type="cellIs" dxfId="2225" priority="87" stopIfTrue="1" operator="greaterThan">
      <formula>$F$69</formula>
    </cfRule>
  </conditionalFormatting>
  <conditionalFormatting sqref="H57">
    <cfRule type="cellIs" dxfId="2224" priority="17" stopIfTrue="1" operator="lessThanOrEqual">
      <formula>0</formula>
    </cfRule>
    <cfRule type="cellIs" dxfId="2223" priority="18" stopIfTrue="1" operator="greaterThan">
      <formula>$F$70</formula>
    </cfRule>
    <cfRule type="cellIs" dxfId="2222" priority="26" stopIfTrue="1" operator="greaterThan">
      <formula>$F$73</formula>
    </cfRule>
    <cfRule type="cellIs" dxfId="2221" priority="27" stopIfTrue="1" operator="lessThanOrEqual">
      <formula>0</formula>
    </cfRule>
    <cfRule type="cellIs" dxfId="2220" priority="28" stopIfTrue="1" operator="greaterThan">
      <formula>$F$71</formula>
    </cfRule>
    <cfRule type="cellIs" dxfId="2219" priority="29" stopIfTrue="1" operator="lessThanOrEqual">
      <formula>0</formula>
    </cfRule>
  </conditionalFormatting>
  <conditionalFormatting sqref="H58:H59">
    <cfRule type="cellIs" dxfId="2218" priority="90" stopIfTrue="1" operator="greaterThan">
      <formula>$F$68</formula>
    </cfRule>
    <cfRule type="cellIs" dxfId="2217" priority="98" stopIfTrue="1" operator="greaterThan">
      <formula>$F$71</formula>
    </cfRule>
    <cfRule type="cellIs" dxfId="2216" priority="99" stopIfTrue="1" operator="lessThanOrEqual">
      <formula>0</formula>
    </cfRule>
    <cfRule type="cellIs" dxfId="2215" priority="100" stopIfTrue="1" operator="greaterThan">
      <formula>$F$69</formula>
    </cfRule>
    <cfRule type="cellIs" dxfId="2214" priority="101" stopIfTrue="1" operator="lessThanOrEqual">
      <formula>0</formula>
    </cfRule>
  </conditionalFormatting>
  <conditionalFormatting sqref="H60:H61">
    <cfRule type="cellIs" dxfId="2213" priority="125" stopIfTrue="1" operator="lessThanOrEqual">
      <formula>0</formula>
    </cfRule>
    <cfRule type="cellIs" dxfId="2212" priority="126" stopIfTrue="1" operator="greaterThan">
      <formula>#REF!</formula>
    </cfRule>
    <cfRule type="cellIs" dxfId="2211" priority="134" stopIfTrue="1" operator="greaterThan">
      <formula>#REF!</formula>
    </cfRule>
    <cfRule type="cellIs" dxfId="2210" priority="135" stopIfTrue="1" operator="lessThanOrEqual">
      <formula>0</formula>
    </cfRule>
  </conditionalFormatting>
  <conditionalFormatting sqref="H62">
    <cfRule type="cellIs" dxfId="2209" priority="137" stopIfTrue="1" operator="lessThanOrEqual">
      <formula>0</formula>
    </cfRule>
    <cfRule type="cellIs" dxfId="2208" priority="138" stopIfTrue="1" operator="greaterThan">
      <formula>$F$36</formula>
    </cfRule>
    <cfRule type="cellIs" dxfId="2207" priority="146" stopIfTrue="1" operator="greaterThan">
      <formula>$F$39</formula>
    </cfRule>
    <cfRule type="cellIs" dxfId="2206" priority="147" stopIfTrue="1" operator="lessThanOrEqual">
      <formula>0</formula>
    </cfRule>
    <cfRule type="cellIs" dxfId="2205" priority="148" stopIfTrue="1" operator="greaterThan">
      <formula>$F$37</formula>
    </cfRule>
    <cfRule type="cellIs" dxfId="2204" priority="149" stopIfTrue="1" operator="lessThanOrEqual">
      <formula>0</formula>
    </cfRule>
  </conditionalFormatting>
  <conditionalFormatting sqref="H63:H64">
    <cfRule type="cellIs" dxfId="2203" priority="113" stopIfTrue="1" operator="lessThanOrEqual">
      <formula>0</formula>
    </cfRule>
    <cfRule type="cellIs" dxfId="2202" priority="114" stopIfTrue="1" operator="greaterThan">
      <formula>#REF!</formula>
    </cfRule>
    <cfRule type="cellIs" dxfId="2201" priority="122" stopIfTrue="1" operator="greaterThan">
      <formula>#REF!</formula>
    </cfRule>
    <cfRule type="cellIs" dxfId="2200" priority="123" stopIfTrue="1" operator="lessThanOrEqual">
      <formula>0</formula>
    </cfRule>
  </conditionalFormatting>
  <conditionalFormatting sqref="H79 H81:H87">
    <cfRule type="cellIs" dxfId="2199" priority="172" stopIfTrue="1" operator="greaterThan">
      <formula>4.5</formula>
    </cfRule>
    <cfRule type="cellIs" dxfId="2198" priority="173" stopIfTrue="1" operator="lessThanOrEqual">
      <formula>0</formula>
    </cfRule>
  </conditionalFormatting>
  <conditionalFormatting sqref="H55:I55">
    <cfRule type="cellIs" dxfId="2197" priority="52" stopIfTrue="1" operator="lessThanOrEqual">
      <formula>0</formula>
    </cfRule>
  </conditionalFormatting>
  <conditionalFormatting sqref="H55:I56 H58:I59">
    <cfRule type="cellIs" dxfId="2196" priority="49" stopIfTrue="1" operator="greaterThan">
      <formula>$F$70</formula>
    </cfRule>
  </conditionalFormatting>
  <conditionalFormatting sqref="H56:I56">
    <cfRule type="cellIs" dxfId="2195" priority="78" stopIfTrue="1" operator="lessThanOrEqual">
      <formula>0</formula>
    </cfRule>
  </conditionalFormatting>
  <conditionalFormatting sqref="H57:I57">
    <cfRule type="cellIs" dxfId="2194" priority="16" stopIfTrue="1" operator="greaterThan">
      <formula>$F$72</formula>
    </cfRule>
    <cfRule type="cellIs" dxfId="2193" priority="19" stopIfTrue="1" operator="lessThanOrEqual">
      <formula>0</formula>
    </cfRule>
  </conditionalFormatting>
  <conditionalFormatting sqref="H58:I59">
    <cfRule type="cellIs" dxfId="2192" priority="91" stopIfTrue="1" operator="lessThanOrEqual">
      <formula>0</formula>
    </cfRule>
  </conditionalFormatting>
  <conditionalFormatting sqref="H60:I61">
    <cfRule type="cellIs" dxfId="2191" priority="124" stopIfTrue="1" operator="greaterThan">
      <formula>#REF!</formula>
    </cfRule>
    <cfRule type="cellIs" dxfId="2190" priority="127" stopIfTrue="1" operator="lessThanOrEqual">
      <formula>0</formula>
    </cfRule>
    <cfRule type="cellIs" dxfId="2189" priority="132" stopIfTrue="1" operator="greaterThan">
      <formula>#REF!</formula>
    </cfRule>
    <cfRule type="cellIs" dxfId="2188" priority="133" stopIfTrue="1" operator="lessThanOrEqual">
      <formula>0</formula>
    </cfRule>
  </conditionalFormatting>
  <conditionalFormatting sqref="H62:I62">
    <cfRule type="cellIs" dxfId="2187" priority="136" stopIfTrue="1" operator="greaterThan">
      <formula>$F$38</formula>
    </cfRule>
    <cfRule type="cellIs" dxfId="2186" priority="139" stopIfTrue="1" operator="lessThanOrEqual">
      <formula>0</formula>
    </cfRule>
  </conditionalFormatting>
  <conditionalFormatting sqref="H63:I64">
    <cfRule type="cellIs" dxfId="2185" priority="112" stopIfTrue="1" operator="greaterThan">
      <formula>#REF!</formula>
    </cfRule>
    <cfRule type="cellIs" dxfId="2184" priority="115" stopIfTrue="1" operator="lessThanOrEqual">
      <formula>0</formula>
    </cfRule>
    <cfRule type="cellIs" dxfId="2183" priority="120" stopIfTrue="1" operator="greaterThan">
      <formula>#REF!</formula>
    </cfRule>
    <cfRule type="cellIs" dxfId="2182" priority="121" stopIfTrue="1" operator="lessThanOrEqual">
      <formula>0</formula>
    </cfRule>
  </conditionalFormatting>
  <conditionalFormatting sqref="H68:I75">
    <cfRule type="cellIs" dxfId="2181" priority="34" stopIfTrue="1" operator="greaterThan">
      <formula>$J68</formula>
    </cfRule>
    <cfRule type="cellIs" dxfId="2180" priority="35" stopIfTrue="1" operator="lessThanOrEqual">
      <formula>0</formula>
    </cfRule>
  </conditionalFormatting>
  <conditionalFormatting sqref="H76:I76">
    <cfRule type="cellIs" dxfId="2179" priority="42" operator="greaterThan">
      <formula>5.3</formula>
    </cfRule>
  </conditionalFormatting>
  <conditionalFormatting sqref="H77:I77">
    <cfRule type="cellIs" dxfId="2178" priority="40" stopIfTrue="1" operator="greaterThan">
      <formula>$J77</formula>
    </cfRule>
    <cfRule type="cellIs" dxfId="2177" priority="41" stopIfTrue="1" operator="lessThanOrEqual">
      <formula>0</formula>
    </cfRule>
  </conditionalFormatting>
  <conditionalFormatting sqref="I55">
    <cfRule type="cellIs" dxfId="2176" priority="53" stopIfTrue="1" operator="greaterThan">
      <formula>$F$68</formula>
    </cfRule>
    <cfRule type="cellIs" dxfId="2175" priority="54" stopIfTrue="1" operator="lessThanOrEqual">
      <formula>0</formula>
    </cfRule>
    <cfRule type="cellIs" dxfId="2174" priority="55" stopIfTrue="1" operator="greaterThan">
      <formula>$F$70</formula>
    </cfRule>
    <cfRule type="cellIs" dxfId="2173" priority="56" stopIfTrue="1" operator="lessThanOrEqual">
      <formula>0</formula>
    </cfRule>
    <cfRule type="cellIs" dxfId="2172" priority="57" stopIfTrue="1" operator="greaterThan">
      <formula>$F$68</formula>
    </cfRule>
    <cfRule type="cellIs" dxfId="2171" priority="58" stopIfTrue="1" operator="lessThanOrEqual">
      <formula>0</formula>
    </cfRule>
  </conditionalFormatting>
  <conditionalFormatting sqref="I56">
    <cfRule type="cellIs" dxfId="2170" priority="79" stopIfTrue="1" operator="greaterThan">
      <formula>$F$68</formula>
    </cfRule>
    <cfRule type="cellIs" dxfId="2169" priority="80" stopIfTrue="1" operator="lessThanOrEqual">
      <formula>0</formula>
    </cfRule>
    <cfRule type="cellIs" dxfId="2168" priority="81" stopIfTrue="1" operator="greaterThan">
      <formula>$F$70</formula>
    </cfRule>
    <cfRule type="cellIs" dxfId="2167" priority="82" stopIfTrue="1" operator="lessThanOrEqual">
      <formula>0</formula>
    </cfRule>
    <cfRule type="cellIs" dxfId="2166" priority="83" stopIfTrue="1" operator="greaterThan">
      <formula>$F$68</formula>
    </cfRule>
    <cfRule type="cellIs" dxfId="2165" priority="84" stopIfTrue="1" operator="lessThanOrEqual">
      <formula>0</formula>
    </cfRule>
  </conditionalFormatting>
  <conditionalFormatting sqref="I57">
    <cfRule type="cellIs" dxfId="2164" priority="20" stopIfTrue="1" operator="greaterThan">
      <formula>$F$70</formula>
    </cfRule>
    <cfRule type="cellIs" dxfId="2163" priority="21" stopIfTrue="1" operator="lessThanOrEqual">
      <formula>0</formula>
    </cfRule>
    <cfRule type="cellIs" dxfId="2162" priority="22" stopIfTrue="1" operator="greaterThan">
      <formula>$F$72</formula>
    </cfRule>
    <cfRule type="cellIs" dxfId="2161" priority="23" stopIfTrue="1" operator="lessThanOrEqual">
      <formula>0</formula>
    </cfRule>
    <cfRule type="cellIs" dxfId="2160" priority="24" stopIfTrue="1" operator="greaterThan">
      <formula>$F$70</formula>
    </cfRule>
    <cfRule type="cellIs" dxfId="2159" priority="25" stopIfTrue="1" operator="lessThanOrEqual">
      <formula>0</formula>
    </cfRule>
  </conditionalFormatting>
  <conditionalFormatting sqref="I58:I59">
    <cfRule type="cellIs" dxfId="2158" priority="92" stopIfTrue="1" operator="greaterThan">
      <formula>$F$68</formula>
    </cfRule>
    <cfRule type="cellIs" dxfId="2157" priority="93" stopIfTrue="1" operator="lessThanOrEqual">
      <formula>0</formula>
    </cfRule>
    <cfRule type="cellIs" dxfId="2156" priority="94" stopIfTrue="1" operator="greaterThan">
      <formula>$F$70</formula>
    </cfRule>
    <cfRule type="cellIs" dxfId="2155" priority="95" stopIfTrue="1" operator="lessThanOrEqual">
      <formula>0</formula>
    </cfRule>
    <cfRule type="cellIs" dxfId="2154" priority="96" stopIfTrue="1" operator="greaterThan">
      <formula>$F$68</formula>
    </cfRule>
    <cfRule type="cellIs" dxfId="2153" priority="97" stopIfTrue="1" operator="lessThanOrEqual">
      <formula>0</formula>
    </cfRule>
  </conditionalFormatting>
  <conditionalFormatting sqref="I60:I61">
    <cfRule type="cellIs" dxfId="2152" priority="128" stopIfTrue="1" operator="greaterThan">
      <formula>#REF!</formula>
    </cfRule>
    <cfRule type="cellIs" dxfId="2151" priority="129" stopIfTrue="1" operator="lessThanOrEqual">
      <formula>0</formula>
    </cfRule>
    <cfRule type="cellIs" dxfId="2150" priority="130" stopIfTrue="1" operator="greaterThan">
      <formula>#REF!</formula>
    </cfRule>
    <cfRule type="cellIs" dxfId="2149" priority="131" stopIfTrue="1" operator="lessThanOrEqual">
      <formula>0</formula>
    </cfRule>
  </conditionalFormatting>
  <conditionalFormatting sqref="I62">
    <cfRule type="cellIs" dxfId="2148" priority="140" stopIfTrue="1" operator="greaterThan">
      <formula>$F$36</formula>
    </cfRule>
    <cfRule type="cellIs" dxfId="2147" priority="141" stopIfTrue="1" operator="lessThanOrEqual">
      <formula>0</formula>
    </cfRule>
    <cfRule type="cellIs" dxfId="2146" priority="142" stopIfTrue="1" operator="greaterThan">
      <formula>$F$38</formula>
    </cfRule>
    <cfRule type="cellIs" dxfId="2145" priority="143" stopIfTrue="1" operator="lessThanOrEqual">
      <formula>0</formula>
    </cfRule>
    <cfRule type="cellIs" dxfId="2144" priority="144" stopIfTrue="1" operator="greaterThan">
      <formula>$F$36</formula>
    </cfRule>
    <cfRule type="cellIs" dxfId="2143" priority="145" stopIfTrue="1" operator="lessThanOrEqual">
      <formula>0</formula>
    </cfRule>
  </conditionalFormatting>
  <conditionalFormatting sqref="I63:I64">
    <cfRule type="cellIs" dxfId="2142" priority="116" stopIfTrue="1" operator="greaterThan">
      <formula>#REF!</formula>
    </cfRule>
    <cfRule type="cellIs" dxfId="2141" priority="117" stopIfTrue="1" operator="lessThanOrEqual">
      <formula>0</formula>
    </cfRule>
    <cfRule type="cellIs" dxfId="2140" priority="118" stopIfTrue="1" operator="greaterThan">
      <formula>#REF!</formula>
    </cfRule>
    <cfRule type="cellIs" dxfId="2139" priority="119" stopIfTrue="1" operator="lessThanOrEqual">
      <formula>0</formula>
    </cfRule>
  </conditionalFormatting>
  <conditionalFormatting sqref="I79:I87">
    <cfRule type="cellIs" dxfId="2138" priority="168" stopIfTrue="1" operator="greaterThan">
      <formula>4.5</formula>
    </cfRule>
    <cfRule type="cellIs" dxfId="2137" priority="169" stopIfTrue="1" operator="lessThanOrEqual">
      <formula>0</formula>
    </cfRule>
  </conditionalFormatting>
  <conditionalFormatting sqref="I10:J23">
    <cfRule type="cellIs" dxfId="2136" priority="8" operator="lessThan">
      <formula>97.9</formula>
    </cfRule>
  </conditionalFormatting>
  <conditionalFormatting sqref="J26:J28">
    <cfRule type="cellIs" dxfId="2135" priority="15" operator="lessThan">
      <formula>97.95</formula>
    </cfRule>
  </conditionalFormatting>
  <conditionalFormatting sqref="J27:J30">
    <cfRule type="cellIs" dxfId="2134" priority="150" operator="lessThan">
      <formula>97.4</formula>
    </cfRule>
  </conditionalFormatting>
  <conditionalFormatting sqref="J31:J32">
    <cfRule type="cellIs" dxfId="2133" priority="151" operator="lessThan">
      <formula>98</formula>
    </cfRule>
  </conditionalFormatting>
  <conditionalFormatting sqref="J33:J34">
    <cfRule type="cellIs" dxfId="2132" priority="152" stopIfTrue="1" operator="lessThan">
      <formula>96.8</formula>
    </cfRule>
    <cfRule type="cellIs" dxfId="2131" priority="153" stopIfTrue="1" operator="greaterThan">
      <formula>100</formula>
    </cfRule>
  </conditionalFormatting>
  <conditionalFormatting sqref="J33:J35">
    <cfRule type="cellIs" dxfId="2130" priority="154" operator="lessThan">
      <formula>98</formula>
    </cfRule>
  </conditionalFormatting>
  <conditionalFormatting sqref="J64">
    <cfRule type="cellIs" dxfId="2129" priority="104" stopIfTrue="1" operator="greaterThan">
      <formula>#REF!</formula>
    </cfRule>
    <cfRule type="cellIs" dxfId="2128" priority="105" stopIfTrue="1" operator="lessThanOrEqual">
      <formula>0</formula>
    </cfRule>
    <cfRule type="cellIs" dxfId="2127" priority="106" stopIfTrue="1" operator="greaterThan">
      <formula>#REF!</formula>
    </cfRule>
    <cfRule type="cellIs" dxfId="2126" priority="107" stopIfTrue="1" operator="lessThanOrEqual">
      <formula>0</formula>
    </cfRule>
    <cfRule type="cellIs" dxfId="2125" priority="108" stopIfTrue="1" operator="greaterThan">
      <formula>#REF!</formula>
    </cfRule>
    <cfRule type="cellIs" dxfId="2124" priority="109" stopIfTrue="1" operator="lessThanOrEqual">
      <formula>0</formula>
    </cfRule>
    <cfRule type="cellIs" dxfId="2123" priority="110" stopIfTrue="1" operator="greaterThan">
      <formula>#REF!</formula>
    </cfRule>
    <cfRule type="cellIs" dxfId="2122" priority="111" stopIfTrue="1" operator="lessThanOrEqual">
      <formula>0</formula>
    </cfRule>
  </conditionalFormatting>
  <conditionalFormatting sqref="J77">
    <cfRule type="cellIs" dxfId="2121" priority="43" stopIfTrue="1" operator="greaterThan">
      <formula>$F77</formula>
    </cfRule>
    <cfRule type="cellIs" dxfId="2120" priority="44" stopIfTrue="1" operator="lessThanOrEqual">
      <formula>0</formula>
    </cfRule>
  </conditionalFormatting>
  <conditionalFormatting sqref="K10:K23">
    <cfRule type="cellIs" dxfId="2119" priority="9" operator="greaterThan">
      <formula>6</formula>
    </cfRule>
    <cfRule type="cellIs" dxfId="2118" priority="10" operator="lessThan">
      <formula>4</formula>
    </cfRule>
    <cfRule type="cellIs" dxfId="2117" priority="11" operator="greaterThan">
      <formula>6.4</formula>
    </cfRule>
  </conditionalFormatting>
  <conditionalFormatting sqref="K55:K64">
    <cfRule type="cellIs" dxfId="2116" priority="89" stopIfTrue="1" operator="lessThan">
      <formula>100%</formula>
    </cfRule>
  </conditionalFormatting>
  <conditionalFormatting sqref="K68:K76">
    <cfRule type="cellIs" dxfId="2115" priority="33" stopIfTrue="1" operator="lessThan">
      <formula>100%</formula>
    </cfRule>
  </conditionalFormatting>
  <conditionalFormatting sqref="K79:K84">
    <cfRule type="cellIs" dxfId="2114" priority="174" stopIfTrue="1" operator="lessThan">
      <formula>100%</formula>
    </cfRule>
  </conditionalFormatting>
  <conditionalFormatting sqref="K86:K87">
    <cfRule type="cellIs" dxfId="2113" priority="181" stopIfTrue="1" operator="lessThan">
      <formula>100%</formula>
    </cfRule>
  </conditionalFormatting>
  <conditionalFormatting sqref="L10:L23">
    <cfRule type="cellIs" dxfId="2112" priority="5" operator="between">
      <formula>61</formula>
      <formula>65</formula>
    </cfRule>
    <cfRule type="cellIs" dxfId="2111" priority="6" operator="greaterThan">
      <formula>65</formula>
    </cfRule>
  </conditionalFormatting>
  <conditionalFormatting sqref="L26:M37">
    <cfRule type="cellIs" dxfId="2110" priority="14" operator="lessThan">
      <formula>97.95</formula>
    </cfRule>
  </conditionalFormatting>
  <conditionalFormatting sqref="L41:N41">
    <cfRule type="cellIs" dxfId="2109" priority="4" operator="notEqual">
      <formula>#REF!</formula>
    </cfRule>
  </conditionalFormatting>
  <conditionalFormatting sqref="L68:N77">
    <cfRule type="cellIs" dxfId="2108" priority="30" stopIfTrue="1" operator="lessThan">
      <formula>100%</formula>
    </cfRule>
  </conditionalFormatting>
  <conditionalFormatting sqref="L79:N87">
    <cfRule type="cellIs" dxfId="2107" priority="159" stopIfTrue="1" operator="lessThan">
      <formula>100%</formula>
    </cfRule>
  </conditionalFormatting>
  <conditionalFormatting sqref="M23">
    <cfRule type="expression" dxfId="2106" priority="1">
      <formula>IF(+(IF(M23&lt;U23,0,IF(M23&gt;V23,0,1)))=0,1)</formula>
    </cfRule>
  </conditionalFormatting>
  <conditionalFormatting sqref="N10:N23">
    <cfRule type="expression" dxfId="2105" priority="7">
      <formula>IF(+(IF(N10&lt;W10,0,IF(N10&gt;X10,0,1)))=0,1)</formula>
    </cfRule>
  </conditionalFormatting>
  <conditionalFormatting sqref="P6">
    <cfRule type="cellIs" dxfId="2104" priority="155" operator="greaterThanOrEqual">
      <formula>19</formula>
    </cfRule>
  </conditionalFormatting>
  <dataValidations count="1">
    <dataValidation type="list" allowBlank="1" showInputMessage="1" showErrorMessage="1" sqref="R8" xr:uid="{098D11FB-E50D-4A62-B2C5-C30EE5AB0F3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0936-1797-48F7-B64A-2A89FA4D30E1}">
  <sheetPr>
    <pageSetUpPr fitToPage="1"/>
  </sheetPr>
  <dimension ref="A1:BE76"/>
  <sheetViews>
    <sheetView topLeftCell="A17" zoomScale="85" zoomScaleNormal="85" workbookViewId="0">
      <selection activeCell="H18" sqref="H18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46276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[3]Brewhouse!$A728</f>
        <v>CA679</v>
      </c>
      <c r="D10" s="279">
        <f>[3]Brewhouse!$AF728</f>
        <v>49.5</v>
      </c>
      <c r="E10" s="279">
        <f>[3]Brewhouse!$AI728</f>
        <v>50.1</v>
      </c>
      <c r="F10" s="278">
        <f>[3]Brewhouse!$V728</f>
        <v>60</v>
      </c>
      <c r="G10" s="279">
        <f>[3]Brewhouse!AG728</f>
        <v>11.7</v>
      </c>
      <c r="H10" s="396">
        <v>11.7</v>
      </c>
      <c r="I10" s="368">
        <f>[3]Brewhouse!$AU728</f>
        <v>98.55311063729188</v>
      </c>
      <c r="J10" s="368">
        <f>[3]Brewhouse!$AV728</f>
        <v>100.12164085794217</v>
      </c>
      <c r="K10" s="281">
        <f>[3]Brewhouse!$Q728</f>
        <v>10.573012939001845</v>
      </c>
      <c r="L10" s="276">
        <f>[3]Brewhouse!$P728</f>
        <v>60</v>
      </c>
      <c r="M10" s="374">
        <f>[3]Brewhouse!$U728-[3]Brewhouse!$T728</f>
        <v>0.13125000000000009</v>
      </c>
      <c r="N10" s="370">
        <f>[3]Brewhouse!$Z728</f>
        <v>0.2777777777777779</v>
      </c>
      <c r="O10" s="420" t="str">
        <f>[3]Brewhouse!$AX728</f>
        <v>R. Regis</v>
      </c>
      <c r="P10" s="418"/>
      <c r="R10" s="277" t="str">
        <f t="shared" ref="R10:R36" si="0">B10</f>
        <v>CARIB</v>
      </c>
      <c r="S10" s="472">
        <f t="shared" ref="S10:S36" si="1">VLOOKUP($B10,$R$3:$X$9,2,FALSE)</f>
        <v>11.6</v>
      </c>
      <c r="T10" s="472">
        <f t="shared" ref="T10:T36" si="2">VLOOKUP($B10,$R$3:$X$9,3,FALSE)</f>
        <v>12</v>
      </c>
      <c r="U10" s="297">
        <f t="shared" ref="U10:U36" si="3">VLOOKUP($B10,$R$3:$X$9,4,FALSE)</f>
        <v>0</v>
      </c>
      <c r="V10" s="297">
        <f t="shared" ref="V10:V36" si="4">VLOOKUP($B10,$R$3:$X$9,5,FALSE)</f>
        <v>0.118055555555556</v>
      </c>
      <c r="W10" s="297">
        <f t="shared" ref="W10:W36" si="5">VLOOKUP($B10,$R$3:$X$9,6,FALSE)</f>
        <v>0.22569444444444445</v>
      </c>
      <c r="X10" s="297">
        <f t="shared" ref="X10:X36" si="6">VLOOKUP($B10,$R$3:$X$9,7,FALSE)</f>
        <v>0.2638888888888889</v>
      </c>
      <c r="Y10" s="297">
        <f t="shared" ref="Y10:Y36" si="7">VLOOKUP($B10,$R$3:$Z$9,8,FALSE)</f>
        <v>0</v>
      </c>
      <c r="Z10" s="472">
        <f t="shared" ref="Z10:Z36" si="8">VLOOKUP($B10,$R$3:$Z$9,9,FALSE)</f>
        <v>60</v>
      </c>
    </row>
    <row r="11" spans="2:29" ht="15" customHeight="1">
      <c r="B11" s="29" t="s">
        <v>6</v>
      </c>
      <c r="C11" s="366" t="str">
        <f>[3]Brewhouse!$A729</f>
        <v>CA680</v>
      </c>
      <c r="D11" s="279">
        <f>[3]Brewhouse!$AF729</f>
        <v>49.6</v>
      </c>
      <c r="E11" s="279">
        <f>[3]Brewhouse!$AI729</f>
        <v>50.2</v>
      </c>
      <c r="F11" s="278">
        <f>[3]Brewhouse!$V729</f>
        <v>62</v>
      </c>
      <c r="G11" s="279">
        <f>[3]Brewhouse!AG729</f>
        <v>11.7</v>
      </c>
      <c r="H11" s="396">
        <v>11.8</v>
      </c>
      <c r="I11" s="368">
        <f>[3]Brewhouse!$AU729</f>
        <v>99.126741243313148</v>
      </c>
      <c r="J11" s="368">
        <f>[3]Brewhouse!$AV729</f>
        <v>100.70407459459798</v>
      </c>
      <c r="K11" s="281">
        <f>[3]Brewhouse!$Q729</f>
        <v>9.6487985212569285</v>
      </c>
      <c r="L11" s="276">
        <f>[3]Brewhouse!$P729</f>
        <v>61</v>
      </c>
      <c r="M11" s="374">
        <f>[3]Brewhouse!$U729-[3]Brewhouse!$T729</f>
        <v>0.1159722222222222</v>
      </c>
      <c r="N11" s="370">
        <f>[3]Brewhouse!$Z729</f>
        <v>0.2722222222222222</v>
      </c>
      <c r="O11" s="420" t="str">
        <f>[3]Brewhouse!$AX729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[3]Brewhouse!$A730</f>
        <v>CA681</v>
      </c>
      <c r="D12" s="279">
        <f>[3]Brewhouse!$AF730</f>
        <v>49.1</v>
      </c>
      <c r="E12" s="279">
        <f>[3]Brewhouse!$AI730</f>
        <v>51.2</v>
      </c>
      <c r="F12" s="278">
        <f>[3]Brewhouse!$V730</f>
        <v>64</v>
      </c>
      <c r="G12" s="279">
        <f>[3]Brewhouse!AG730</f>
        <v>11.3</v>
      </c>
      <c r="H12" s="493">
        <v>11.3</v>
      </c>
      <c r="I12" s="368">
        <f>[3]Brewhouse!$AU730</f>
        <v>97.093447006200122</v>
      </c>
      <c r="J12" s="368">
        <f>[3]Brewhouse!$AV730</f>
        <v>98.638745829053391</v>
      </c>
      <c r="K12" s="281">
        <f>[3]Brewhouse!$Q730</f>
        <v>10.407407407407403</v>
      </c>
      <c r="L12" s="276">
        <f>[3]Brewhouse!$P730</f>
        <v>60</v>
      </c>
      <c r="M12" s="374">
        <f>[3]Brewhouse!$U730-[3]Brewhouse!$T730</f>
        <v>0.12291666666666667</v>
      </c>
      <c r="N12" s="370">
        <f>[3]Brewhouse!$Z730</f>
        <v>0.27361111111111108</v>
      </c>
      <c r="O12" s="420" t="str">
        <f>[3]Brewhouse!$AX730</f>
        <v>R. Regis</v>
      </c>
      <c r="P12" s="418"/>
      <c r="R12" s="277" t="str">
        <f t="shared" ref="R12:R26" si="9">B12</f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[3]Brewhouse!$A731</f>
        <v>CA682</v>
      </c>
      <c r="D13" s="279">
        <f>[3]Brewhouse!$AF731</f>
        <v>50.8</v>
      </c>
      <c r="E13" s="279">
        <f>[3]Brewhouse!$AI731</f>
        <v>51.4</v>
      </c>
      <c r="F13" s="278">
        <f>[3]Brewhouse!$V731</f>
        <v>63</v>
      </c>
      <c r="G13" s="279">
        <f>[3]Brewhouse!AG731</f>
        <v>12.5</v>
      </c>
      <c r="H13" s="493">
        <v>12.3</v>
      </c>
      <c r="I13" s="368">
        <f>[3]Brewhouse!$AU731</f>
        <v>108.52324334564575</v>
      </c>
      <c r="J13" s="368">
        <f>[3]Brewhouse!$AV731</f>
        <v>110.25033518128058</v>
      </c>
      <c r="K13" s="281">
        <f>[3]Brewhouse!$Q731</f>
        <v>7.2592592592592622</v>
      </c>
      <c r="L13" s="276">
        <f>[3]Brewhouse!$P731</f>
        <v>60</v>
      </c>
      <c r="M13" s="374">
        <f>[3]Brewhouse!$U731-[3]Brewhouse!$T731</f>
        <v>0.13541666666666669</v>
      </c>
      <c r="N13" s="370">
        <f>[3]Brewhouse!$Z731</f>
        <v>0.29861111111111116</v>
      </c>
      <c r="O13" s="420" t="str">
        <f>[3]Brewhouse!$AX731</f>
        <v>K. Benjamin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[3]Brewhouse!$A732</f>
        <v>CA683</v>
      </c>
      <c r="D14" s="279">
        <f>[3]Brewhouse!$AF732</f>
        <v>48.5</v>
      </c>
      <c r="E14" s="279">
        <f>[3]Brewhouse!$AI732</f>
        <v>49.4</v>
      </c>
      <c r="F14" s="278">
        <f>[3]Brewhouse!$V732</f>
        <v>60</v>
      </c>
      <c r="G14" s="279">
        <f>[3]Brewhouse!AG732</f>
        <v>11.6</v>
      </c>
      <c r="H14" s="396">
        <v>11.7</v>
      </c>
      <c r="I14" s="368">
        <f>[3]Brewhouse!$AU732</f>
        <v>96.180187549630773</v>
      </c>
      <c r="J14" s="368">
        <f>[3]Brewhouse!$AV732</f>
        <v>97.711056390981454</v>
      </c>
      <c r="K14" s="281">
        <f>[3]Brewhouse!$Q732</f>
        <v>11.518518518518517</v>
      </c>
      <c r="L14" s="276">
        <f>[3]Brewhouse!$P732</f>
        <v>61</v>
      </c>
      <c r="M14" s="374">
        <f>[3]Brewhouse!$U732-[3]Brewhouse!$T732</f>
        <v>0.12361111111111101</v>
      </c>
      <c r="N14" s="370">
        <f>[3]Brewhouse!$Z732</f>
        <v>0.26111111111111107</v>
      </c>
      <c r="O14" s="420" t="str">
        <f>[3]Brewhouse!$AX732</f>
        <v>K. Benjamin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[3]Brewhouse!$A733</f>
        <v>CA684</v>
      </c>
      <c r="D15" s="279">
        <f>[3]Brewhouse!$AF733</f>
        <v>48.8</v>
      </c>
      <c r="E15" s="279">
        <f>[3]Brewhouse!$AI733</f>
        <v>49.3</v>
      </c>
      <c r="F15" s="278">
        <f>[3]Brewhouse!$V733</f>
        <v>57</v>
      </c>
      <c r="G15" s="279">
        <f>[3]Brewhouse!AG733</f>
        <v>11.7</v>
      </c>
      <c r="H15" s="396">
        <v>11.7</v>
      </c>
      <c r="I15" s="368">
        <f>[3]Brewhouse!$AU733</f>
        <v>97.102481872305134</v>
      </c>
      <c r="J15" s="368">
        <f>[3]Brewhouse!$AV733</f>
        <v>98.647818138448599</v>
      </c>
      <c r="K15" s="281">
        <f>[3]Brewhouse!$Q733</f>
        <v>11.127541589648803</v>
      </c>
      <c r="L15" s="276">
        <f>[3]Brewhouse!$P733</f>
        <v>61</v>
      </c>
      <c r="M15" s="374">
        <f>[3]Brewhouse!$U733-[3]Brewhouse!$T733</f>
        <v>0.11458333333333326</v>
      </c>
      <c r="N15" s="370">
        <f>[3]Brewhouse!$Z733</f>
        <v>0.27986111111111101</v>
      </c>
      <c r="O15" s="420" t="str">
        <f>[3]Brewhouse!$AX733</f>
        <v>K. Benjamin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494">
        <v>46276</v>
      </c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20"/>
      <c r="P16" s="418"/>
      <c r="R16" s="277"/>
      <c r="S16" s="472"/>
      <c r="T16" s="472"/>
      <c r="U16" s="297"/>
      <c r="V16" s="297"/>
      <c r="W16" s="297"/>
      <c r="X16" s="297"/>
      <c r="Y16" s="297"/>
      <c r="Z16" s="472"/>
    </row>
    <row r="17" spans="1:26" ht="15" customHeight="1">
      <c r="B17" s="29" t="s">
        <v>6</v>
      </c>
      <c r="C17" s="366" t="str">
        <f>[3]Brewhouse!$A734</f>
        <v>CA685</v>
      </c>
      <c r="D17" s="279">
        <f>[3]Brewhouse!$AF734</f>
        <v>49.1</v>
      </c>
      <c r="E17" s="279">
        <f>[3]Brewhouse!$AI734</f>
        <v>49.4</v>
      </c>
      <c r="F17" s="278">
        <f>[3]Brewhouse!$V734</f>
        <v>56</v>
      </c>
      <c r="G17" s="279">
        <f>[3]Brewhouse!AG734</f>
        <v>11.8</v>
      </c>
      <c r="H17" s="396">
        <v>11.8</v>
      </c>
      <c r="I17" s="368">
        <f>[3]Brewhouse!$AU734</f>
        <v>98.17458240291262</v>
      </c>
      <c r="J17" s="368">
        <f>[3]Brewhouse!$AV734</f>
        <v>99.736980599904328</v>
      </c>
      <c r="K17" s="281">
        <f>[3]Brewhouse!$Q734</f>
        <v>10.573012939001845</v>
      </c>
      <c r="L17" s="276">
        <f>[3]Brewhouse!$P734</f>
        <v>59</v>
      </c>
      <c r="M17" s="374">
        <f>[3]Brewhouse!$U734-[3]Brewhouse!$T734</f>
        <v>0.11736111111111125</v>
      </c>
      <c r="N17" s="370">
        <f>[3]Brewhouse!$Z734</f>
        <v>0.27708333333333335</v>
      </c>
      <c r="O17" s="420" t="str">
        <f>[3]Brewhouse!$AX734</f>
        <v>R. Regis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customHeight="1">
      <c r="B22" s="36"/>
      <c r="C22" s="366"/>
      <c r="D22" s="279"/>
      <c r="E22" s="279"/>
      <c r="F22" s="278"/>
      <c r="G22" s="279"/>
      <c r="H22" s="396"/>
      <c r="I22" s="489"/>
      <c r="J22" s="489"/>
      <c r="K22" s="490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7.25" customHeight="1" thickBot="1">
      <c r="B23" s="358"/>
      <c r="C23" s="358"/>
      <c r="D23" s="358"/>
      <c r="E23" s="358"/>
      <c r="F23" s="294"/>
      <c r="G23" s="294"/>
      <c r="H23" s="348"/>
      <c r="I23" s="534"/>
      <c r="J23" s="534"/>
      <c r="K23" s="534"/>
      <c r="L23" s="534"/>
      <c r="M23" s="534"/>
      <c r="N23" s="534"/>
      <c r="O23" s="1"/>
      <c r="P23" s="12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customHeight="1" thickBot="1">
      <c r="B24" s="483" t="s">
        <v>162</v>
      </c>
      <c r="C24" s="388"/>
      <c r="D24" s="535" t="s">
        <v>35</v>
      </c>
      <c r="E24" s="536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9"/>
        <v xml:space="preserve">BRAND 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>
      <c r="A25" s="28"/>
      <c r="B25" s="537"/>
      <c r="C25" s="484"/>
      <c r="D25" s="522"/>
      <c r="E25" s="523"/>
      <c r="F25" s="294"/>
      <c r="G25" s="294"/>
      <c r="H25" s="348"/>
      <c r="I25" s="29" t="s">
        <v>6</v>
      </c>
      <c r="J25" s="323">
        <f>AVERAGE(I10:I17)</f>
        <v>99.250542008185647</v>
      </c>
      <c r="K25" s="284">
        <f>COUNTA([3]Brewhouse!$A$696:$A$734)</f>
        <v>39</v>
      </c>
      <c r="L25" s="305">
        <f>AVERAGE([3]Brewhouse!$AU$696:$AU$734)</f>
        <v>98.73791809902842</v>
      </c>
      <c r="M25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AVERAGE([3]Brewhouse!$AU$42:$AU$123,[3]Brewhouse!$AU$125:$AU$188,[3]Brewhouse!$AU$198:$AU$290,[3]Brewhouse!$AU$292:$AU$370,[3]Brewhouse!$AU$372:$AU$439,[3]Brewhouse!$AU$441:$AU$497,[3]Brewhouse!$AU$499:$AU$519,[3]Brewhouse!$AU$521:$AU$593,[3]Brewhouse!$AU$595:$AU$734)</f>
        <v>98.311975966581088</v>
      </c>
      <c r="N25" s="30">
        <v>98</v>
      </c>
      <c r="O25" s="11"/>
      <c r="P25" s="31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customHeight="1">
      <c r="A26" s="28"/>
      <c r="B26" s="538"/>
      <c r="C26" s="362"/>
      <c r="D26" s="524"/>
      <c r="E26" s="525"/>
      <c r="F26" s="294"/>
      <c r="G26" s="294"/>
      <c r="H26" s="348"/>
      <c r="I26" s="33" t="s">
        <v>9</v>
      </c>
      <c r="J26" s="323"/>
      <c r="K26" s="284">
        <f>COUNTA([4]Brewhouse!$A$363:$A$372)</f>
        <v>10</v>
      </c>
      <c r="L26" s="302">
        <f>AVERAGE([4]Brewhouse!$AS$363:$AS$372)</f>
        <v>100.50071873632695</v>
      </c>
      <c r="M26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AVERAGE([4]Brewhouse!$AS$52:$AS$81,[4]Brewhouse!$AS$83:$AS$124,[4]Brewhouse!$AS$134:$AS$177,[4]Brewhouse!$AS$22:$AS$179,[4]Brewhouse!$AS$214:$AS$249,[4]Brewhouse!$AS$252:$AS$293,[4]Brewhouse!$AS$295:$AS$325,[4]Brewhouse!$AS$327:$AS$361,[4]Brewhouse!$AS$363:$AS$372)</f>
        <v>98.29248495310074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4.65" customHeight="1">
      <c r="A27" s="28"/>
      <c r="B27" s="538"/>
      <c r="C27" s="362"/>
      <c r="D27" s="529"/>
      <c r="E27" s="530"/>
      <c r="F27" s="294"/>
      <c r="G27" s="294"/>
      <c r="H27" s="348"/>
      <c r="I27" s="34" t="s">
        <v>12</v>
      </c>
      <c r="J27" s="323"/>
      <c r="K27" s="284"/>
      <c r="L27" s="302"/>
      <c r="M27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65" customHeight="1">
      <c r="A28" s="28"/>
      <c r="B28" s="538"/>
      <c r="C28" s="362"/>
      <c r="D28" s="531"/>
      <c r="E28" s="525"/>
      <c r="F28" s="294"/>
      <c r="G28" s="294"/>
      <c r="H28" s="348"/>
      <c r="I28" s="22" t="s">
        <v>33</v>
      </c>
      <c r="J28" s="280"/>
      <c r="K28" s="284"/>
      <c r="L28" s="302"/>
      <c r="M28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38"/>
      <c r="C29" s="362"/>
      <c r="D29" s="529"/>
      <c r="E29" s="530"/>
      <c r="F29" s="294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38"/>
      <c r="C30" s="362"/>
      <c r="D30" s="531"/>
      <c r="E30" s="525"/>
      <c r="F30" s="417"/>
      <c r="G30" s="294"/>
      <c r="H30" s="348"/>
      <c r="I30" s="36" t="s">
        <v>15</v>
      </c>
      <c r="J30" s="323"/>
      <c r="K30" s="284">
        <f>COUNTA([7]Brewhouse!$A$23:$A$30)</f>
        <v>8</v>
      </c>
      <c r="L30" s="302">
        <f>AVERAGE([7]Brewhouse!$AT$23:$AT$30)</f>
        <v>96.065914782338609</v>
      </c>
      <c r="M30" s="302">
        <f>AVERAGE([7]Brewhouse!$AT$4:$AT$11,[7]Brewhouse!$AT$13:$AT$16,[7]Brewhouse!$AT$18:$AT$30)</f>
        <v>93.22262799886262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38"/>
      <c r="C31" s="362"/>
      <c r="D31" s="529"/>
      <c r="E31" s="530"/>
      <c r="F31" s="417"/>
      <c r="G31" s="294"/>
      <c r="H31" s="348"/>
      <c r="I31" s="37" t="s">
        <v>16</v>
      </c>
      <c r="J31" s="323"/>
      <c r="K31" s="284"/>
      <c r="L31" s="302"/>
      <c r="M31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1" s="30">
        <v>98</v>
      </c>
      <c r="O31" s="11"/>
      <c r="P31" s="31" t="s">
        <v>41</v>
      </c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38"/>
      <c r="C32" s="362"/>
      <c r="D32" s="531"/>
      <c r="E32" s="525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38"/>
      <c r="C33" s="362"/>
      <c r="D33" s="529"/>
      <c r="E33" s="530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38"/>
      <c r="C34" s="362"/>
      <c r="D34" s="531"/>
      <c r="E34" s="525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38"/>
      <c r="C35" s="349"/>
      <c r="D35" s="522"/>
      <c r="E35" s="523"/>
      <c r="F35" s="294"/>
      <c r="G35" s="294"/>
      <c r="H35" s="348"/>
      <c r="I35" s="1"/>
      <c r="J35" s="39"/>
      <c r="K35" s="404">
        <f>SUM(K25:K34)</f>
        <v>57</v>
      </c>
      <c r="L35" s="405">
        <f>((L25*K25)+(L26*K26)+(L27*K27)+(L28*K28)+(L29*K29)+(K32*L32)+(L30*K30)+(L31*K31)+(L34*K34))/(K35)</f>
        <v>98.672163359369947</v>
      </c>
      <c r="M35" s="405">
        <f>AVERAGE('[9]Jan30th-31st'!$L$42,'[10]Feb 27th-28th'!$L$45,'[11]Mar 31st'!$L$42,'[12]Apr 30th'!$L$41,'[13]May 29th '!$L$35,'[14]June 30th'!$L$32,[15]July31st!$L$36,'[16]Aug 31st'!$L$32,L35)</f>
        <v>98.069497663813692</v>
      </c>
      <c r="N35" s="4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39"/>
      <c r="C36" s="350"/>
      <c r="D36" s="524"/>
      <c r="E36" s="525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19"/>
      <c r="C37" s="362"/>
      <c r="D37" s="522"/>
      <c r="E37" s="523"/>
      <c r="F37" s="294"/>
      <c r="G37" s="42"/>
      <c r="H37" s="41"/>
      <c r="I37" s="42"/>
      <c r="J37" s="526" t="s">
        <v>129</v>
      </c>
      <c r="K37" s="526"/>
      <c r="L37" s="294"/>
      <c r="M37" s="294"/>
      <c r="N37" s="294"/>
      <c r="O37" s="294"/>
      <c r="P37" s="12"/>
    </row>
    <row r="38" spans="1:56" ht="15.75" thickBot="1">
      <c r="B38" s="520"/>
      <c r="C38" s="362"/>
      <c r="D38" s="524"/>
      <c r="E38" s="525"/>
      <c r="F38" s="294"/>
      <c r="G38" s="42"/>
      <c r="H38" s="42"/>
      <c r="I38" s="42"/>
      <c r="J38" s="292" t="s">
        <v>17</v>
      </c>
      <c r="K38" s="293"/>
      <c r="L38" s="527" t="s">
        <v>136</v>
      </c>
      <c r="M38" s="527"/>
      <c r="N38" s="528"/>
      <c r="O38" s="294"/>
      <c r="P38" s="12"/>
    </row>
    <row r="39" spans="1:56" ht="15" customHeight="1" thickBot="1">
      <c r="B39" s="520"/>
      <c r="C39" s="349"/>
      <c r="D39" s="529"/>
      <c r="E39" s="530"/>
      <c r="F39" s="294"/>
      <c r="G39" s="42"/>
      <c r="H39" s="42"/>
      <c r="I39" s="42"/>
      <c r="J39" s="287" t="s">
        <v>6</v>
      </c>
      <c r="K39" s="324">
        <v>6</v>
      </c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20"/>
      <c r="C40" s="349"/>
      <c r="D40" s="531"/>
      <c r="E40" s="525"/>
      <c r="F40" s="294"/>
      <c r="G40" s="42"/>
      <c r="H40" s="42"/>
      <c r="I40" s="42"/>
      <c r="J40" s="345" t="s">
        <v>9</v>
      </c>
      <c r="K40" s="324"/>
      <c r="L40" s="485">
        <f>AVERAGE('Sept 1st'!K45,'Sept 2nd'!K47,'Sept 3rd'!K44,'Sept 4th'!K46,'Sept 7th'!K48,'Sept 8th'!K48,'Sept 9th'!K50,K49)</f>
        <v>7</v>
      </c>
      <c r="M40" s="486">
        <f>AVERAGE('[9]Jan30th-31st'!$L$47,L40,'[10]Feb 26th '!$L$39,'[11]Mar 31st'!$L$47,'[12]Apr 30th'!$L$46,'[13]May 29th '!$L$40,'[14]June 30th'!$L$39,[15]July31st!$L$41,'[16]Aug 31st'!$L$37)</f>
        <v>6.5155670416539984</v>
      </c>
      <c r="N40" s="416">
        <v>9.1999999999999993</v>
      </c>
      <c r="O40" s="294"/>
      <c r="P40" s="12"/>
    </row>
    <row r="41" spans="1:56" ht="15" customHeight="1">
      <c r="B41" s="520"/>
      <c r="C41" s="349"/>
      <c r="D41" s="529"/>
      <c r="E41" s="530"/>
      <c r="F41" s="294"/>
      <c r="G41" s="42"/>
      <c r="H41" s="42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0"/>
      <c r="C42" s="349"/>
      <c r="D42" s="531"/>
      <c r="E42" s="525"/>
      <c r="F42" s="294"/>
      <c r="G42" s="42"/>
      <c r="H42" s="42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20"/>
      <c r="C43" s="349"/>
      <c r="D43" s="529"/>
      <c r="E43" s="530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0"/>
      <c r="C44" s="349"/>
      <c r="D44" s="531"/>
      <c r="E44" s="525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0"/>
      <c r="C45" s="349"/>
      <c r="D45" s="529"/>
      <c r="E45" s="530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21"/>
      <c r="C46" s="350"/>
      <c r="D46" s="532"/>
      <c r="E46" s="533"/>
      <c r="F46" s="294" t="s">
        <v>165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10"/>
      <c r="E47" s="511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6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42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04" t="s">
        <v>17</v>
      </c>
      <c r="C52" s="504" t="s">
        <v>44</v>
      </c>
      <c r="D52" s="513" t="s">
        <v>45</v>
      </c>
      <c r="E52" s="515" t="s">
        <v>46</v>
      </c>
      <c r="F52" s="517" t="s">
        <v>47</v>
      </c>
      <c r="G52" s="502" t="s">
        <v>48</v>
      </c>
      <c r="H52" s="504" t="s">
        <v>49</v>
      </c>
      <c r="I52" s="504" t="s">
        <v>50</v>
      </c>
      <c r="J52" s="496" t="s">
        <v>28</v>
      </c>
      <c r="K52" s="506" t="s">
        <v>51</v>
      </c>
      <c r="L52" s="508" t="s">
        <v>52</v>
      </c>
      <c r="M52" s="496" t="s">
        <v>53</v>
      </c>
      <c r="N52" s="13"/>
      <c r="O52" s="13"/>
      <c r="P52" s="50"/>
    </row>
    <row r="53" spans="2:57" ht="28.5" customHeight="1" thickTop="1" thickBot="1">
      <c r="B53" s="505"/>
      <c r="C53" s="512"/>
      <c r="D53" s="514"/>
      <c r="E53" s="516"/>
      <c r="F53" s="518"/>
      <c r="G53" s="503"/>
      <c r="H53" s="505"/>
      <c r="I53" s="505"/>
      <c r="J53" s="497"/>
      <c r="K53" s="507"/>
      <c r="L53" s="509"/>
      <c r="M53" s="497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2:57" s="54" customFormat="1" ht="36.75" customHeight="1" thickBot="1">
      <c r="B54" s="456" t="str">
        <f>J39</f>
        <v>CARIB</v>
      </c>
      <c r="C54" s="479">
        <v>46275</v>
      </c>
      <c r="D54" s="445">
        <f>[17]September_2026!$M$3</f>
        <v>117.1</v>
      </c>
      <c r="E54" s="443"/>
      <c r="F54" s="444"/>
      <c r="G54" s="444">
        <f>[17]September_2026!$M$7</f>
        <v>109</v>
      </c>
      <c r="H54" s="458"/>
      <c r="I54" s="458"/>
      <c r="J54" s="448" t="s">
        <v>177</v>
      </c>
      <c r="K54" s="449">
        <f>[18]September_2026!$M$18</f>
        <v>0.19122807017543861</v>
      </c>
      <c r="L54" s="457">
        <f>(((D54+E54)-G54)/(D54+E54))*100</f>
        <v>6.9171648163962374</v>
      </c>
      <c r="M54" s="455" t="s">
        <v>173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[19]January_2019!L5</f>
        <v>0</v>
      </c>
      <c r="AC54" s="57">
        <f>[19]January_2019!M5</f>
        <v>0</v>
      </c>
      <c r="AD54" s="57">
        <f>[19]January_2019!N5</f>
        <v>0</v>
      </c>
      <c r="AE54" s="57">
        <f>[19]January_2019!O5</f>
        <v>0</v>
      </c>
      <c r="AF54" s="57">
        <f>[19]January_2019!P5</f>
        <v>0</v>
      </c>
      <c r="AG54" s="57">
        <f>[19]January_2019!Q5</f>
        <v>0</v>
      </c>
      <c r="AH54" s="57">
        <f>[19]January_2019!R5</f>
        <v>0</v>
      </c>
      <c r="AI54" s="57">
        <f>[19]January_2019!S5</f>
        <v>0</v>
      </c>
      <c r="AJ54" s="57">
        <f>[19]January_2019!T5</f>
        <v>0</v>
      </c>
      <c r="AK54" s="57">
        <f>[19]January_2019!U5</f>
        <v>0</v>
      </c>
      <c r="AL54" s="57">
        <f>[19]January_2019!V5</f>
        <v>0</v>
      </c>
      <c r="AM54" s="57">
        <f>[19]January_2019!W5</f>
        <v>0</v>
      </c>
      <c r="AN54" s="57">
        <f>[19]January_2019!X5</f>
        <v>0</v>
      </c>
      <c r="AO54" s="57">
        <f>[19]January_2019!Y5</f>
        <v>0</v>
      </c>
      <c r="AP54" s="57">
        <f>[19]January_2019!Z5</f>
        <v>0</v>
      </c>
      <c r="AQ54" s="57">
        <f>[19]January_2019!AA5</f>
        <v>0</v>
      </c>
      <c r="AR54" s="57">
        <f>[19]January_2019!AB5</f>
        <v>0</v>
      </c>
      <c r="AS54" s="57">
        <f>[19]January_2019!AC5</f>
        <v>0</v>
      </c>
      <c r="AT54" s="57">
        <f>[19]January_2019!AD5</f>
        <v>0</v>
      </c>
      <c r="AU54" s="57">
        <f>[19]January_2019!AE5</f>
        <v>0</v>
      </c>
      <c r="AV54" s="57">
        <f>[19]January_2019!AF5</f>
        <v>0</v>
      </c>
      <c r="AW54" s="57">
        <f>[19]January_2019!AG5</f>
        <v>0</v>
      </c>
      <c r="AX54" s="277">
        <f>[19]January_2019!AH5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4.25" customHeight="1" thickBot="1">
      <c r="B55" s="480"/>
      <c r="C55" s="479"/>
      <c r="D55" s="442"/>
      <c r="E55" s="443"/>
      <c r="F55" s="444"/>
      <c r="G55" s="445"/>
      <c r="H55" s="458"/>
      <c r="I55" s="458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[19]January_2019!L6</f>
        <v>0</v>
      </c>
      <c r="AC55" s="57">
        <f>[19]January_2019!M6</f>
        <v>0</v>
      </c>
      <c r="AD55" s="57">
        <f>[19]January_2019!N6</f>
        <v>0</v>
      </c>
      <c r="AE55" s="57">
        <f>[19]January_2019!O6</f>
        <v>0</v>
      </c>
      <c r="AF55" s="57">
        <f>[19]January_2019!P6</f>
        <v>0</v>
      </c>
      <c r="AG55" s="57">
        <f>[19]January_2019!Q6</f>
        <v>0</v>
      </c>
      <c r="AH55" s="57">
        <f>[19]January_2019!R6</f>
        <v>0</v>
      </c>
      <c r="AI55" s="57">
        <f>[19]January_2019!S6</f>
        <v>0</v>
      </c>
      <c r="AJ55" s="57">
        <f>[19]January_2019!T6</f>
        <v>0</v>
      </c>
      <c r="AK55" s="57">
        <f>[19]January_2019!U6</f>
        <v>0</v>
      </c>
      <c r="AL55" s="57">
        <f>[19]January_2019!V6</f>
        <v>0</v>
      </c>
      <c r="AM55" s="57">
        <f>[19]January_2019!W6</f>
        <v>0</v>
      </c>
      <c r="AN55" s="57">
        <f>[19]January_2019!X6</f>
        <v>0</v>
      </c>
      <c r="AO55" s="57">
        <f>[19]January_2019!Y6</f>
        <v>0</v>
      </c>
      <c r="AP55" s="57">
        <f>[19]January_2019!Z6</f>
        <v>0</v>
      </c>
      <c r="AQ55" s="57">
        <f>[19]January_2019!AA6</f>
        <v>0</v>
      </c>
      <c r="AR55" s="57">
        <f>[19]January_2019!AB6</f>
        <v>0</v>
      </c>
      <c r="AS55" s="57">
        <f>[19]January_2019!AC6</f>
        <v>0</v>
      </c>
      <c r="AT55" s="57">
        <f>[19]January_2019!AD6</f>
        <v>0</v>
      </c>
      <c r="AU55" s="57">
        <f>[19]January_2019!AE6</f>
        <v>0</v>
      </c>
      <c r="AV55" s="57">
        <f>[19]January_2019!AF6</f>
        <v>0</v>
      </c>
      <c r="AW55" s="57">
        <f>[19]January_2019!AG6</f>
        <v>0</v>
      </c>
      <c r="AX55" s="277">
        <f>[19]January_2019!AH6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37.15" customHeight="1" thickBot="1">
      <c r="B56" s="456"/>
      <c r="C56" s="479"/>
      <c r="D56" s="442"/>
      <c r="E56" s="443"/>
      <c r="F56" s="444"/>
      <c r="G56" s="444"/>
      <c r="H56" s="446"/>
      <c r="I56" s="446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[19]January_2019!L7</f>
        <v>285.8</v>
      </c>
      <c r="AC56" s="57">
        <f>[19]January_2019!M7</f>
        <v>508.1</v>
      </c>
      <c r="AD56" s="57">
        <f>[19]January_2019!N7</f>
        <v>0</v>
      </c>
      <c r="AE56" s="57">
        <f>[19]January_2019!O7</f>
        <v>0</v>
      </c>
      <c r="AF56" s="57">
        <f>[19]January_2019!P7</f>
        <v>109.56666666666666</v>
      </c>
      <c r="AG56" s="57">
        <f>[19]January_2019!Q7</f>
        <v>297.64999999999998</v>
      </c>
      <c r="AH56" s="57">
        <f>[19]January_2019!R7</f>
        <v>122.3</v>
      </c>
      <c r="AI56" s="57">
        <f>[19]January_2019!S7</f>
        <v>0</v>
      </c>
      <c r="AJ56" s="57">
        <f>[19]January_2019!T7</f>
        <v>294.7</v>
      </c>
      <c r="AK56" s="57">
        <f>[19]January_2019!U7</f>
        <v>280.5</v>
      </c>
      <c r="AL56" s="57">
        <f>[19]January_2019!V7</f>
        <v>0</v>
      </c>
      <c r="AM56" s="57">
        <f>[19]January_2019!W7</f>
        <v>0</v>
      </c>
      <c r="AN56" s="57">
        <f>[19]January_2019!X7</f>
        <v>188.25</v>
      </c>
      <c r="AO56" s="57">
        <f>[19]January_2019!Y7</f>
        <v>295.7</v>
      </c>
      <c r="AP56" s="57">
        <f>[19]January_2019!Z7</f>
        <v>257.8</v>
      </c>
      <c r="AQ56" s="57">
        <f>[19]January_2019!AA7</f>
        <v>291.2</v>
      </c>
      <c r="AR56" s="57">
        <f>[19]January_2019!AB7</f>
        <v>187</v>
      </c>
      <c r="AS56" s="57">
        <f>[19]January_2019!AC7</f>
        <v>0</v>
      </c>
      <c r="AT56" s="57">
        <f>[19]January_2019!AD7</f>
        <v>0</v>
      </c>
      <c r="AU56" s="57">
        <f>[19]January_2019!AE7</f>
        <v>485.1</v>
      </c>
      <c r="AV56" s="57">
        <f>[19]January_2019!AF7</f>
        <v>171.55</v>
      </c>
      <c r="AW56" s="57">
        <f>[19]January_2019!AG7</f>
        <v>423.8</v>
      </c>
      <c r="AX56" s="277">
        <f>[19]January_2019!AH7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8.600000000000001" hidden="1" customHeight="1" thickBot="1">
      <c r="B57" s="478"/>
      <c r="C57" s="430"/>
      <c r="D57" s="431"/>
      <c r="E57" s="432"/>
      <c r="F57" s="433"/>
      <c r="G57" s="434"/>
      <c r="H57" s="458"/>
      <c r="I57" s="45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65" hidden="1" customHeight="1" thickBot="1">
      <c r="B58" s="487"/>
      <c r="C58" s="479"/>
      <c r="D58" s="442"/>
      <c r="E58" s="443"/>
      <c r="F58" s="444"/>
      <c r="G58" s="445"/>
      <c r="H58" s="458"/>
      <c r="I58" s="458"/>
      <c r="J58" s="448"/>
      <c r="K58" s="45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81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498" t="s">
        <v>55</v>
      </c>
      <c r="C65" s="499"/>
      <c r="D65" s="499"/>
      <c r="E65" s="499"/>
      <c r="F65" s="500"/>
      <c r="G65" s="498" t="s">
        <v>56</v>
      </c>
      <c r="H65" s="499"/>
      <c r="I65" s="499"/>
      <c r="J65" s="500"/>
      <c r="K65" s="498" t="s">
        <v>51</v>
      </c>
      <c r="L65" s="499"/>
      <c r="M65" s="499"/>
      <c r="N65" s="501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/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>
        <f>AVERAGE(L54,L56)</f>
        <v>6.9171648163962374</v>
      </c>
      <c r="D67" s="76">
        <v>7.1683223149077477</v>
      </c>
      <c r="E67" s="76">
        <v>6.5664758512118544</v>
      </c>
      <c r="F67" s="66">
        <v>4.8</v>
      </c>
      <c r="G67" s="65">
        <f>[17]September_2026!$M$11</f>
        <v>7.2894961571306611</v>
      </c>
      <c r="H67" s="477">
        <v>6.6712241771672547</v>
      </c>
      <c r="I67" s="477">
        <v>6.6530949425970096</v>
      </c>
      <c r="J67" s="66">
        <v>4.8</v>
      </c>
      <c r="K67" s="67">
        <f>AVERAGE(K54,K56)</f>
        <v>0.19122807017543861</v>
      </c>
      <c r="L67" s="194">
        <v>0.62401503759398502</v>
      </c>
      <c r="M67" s="194">
        <v>0.53270208479630277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8.6363636363636189</v>
      </c>
      <c r="E68" s="76">
        <v>5.8721053130307412</v>
      </c>
      <c r="F68" s="66">
        <v>4.8</v>
      </c>
      <c r="G68" s="65"/>
      <c r="H68" s="76">
        <v>7.5248838752488254</v>
      </c>
      <c r="I68" s="76">
        <v>5.9880521869393624</v>
      </c>
      <c r="J68" s="66">
        <v>4.8</v>
      </c>
      <c r="K68" s="67"/>
      <c r="L68" s="194">
        <v>0.31736842105263158</v>
      </c>
      <c r="M68" s="194">
        <v>0.68971317640877172</v>
      </c>
      <c r="N68" s="68">
        <v>1</v>
      </c>
      <c r="P68" s="69"/>
    </row>
    <row r="69" spans="2:16" ht="15">
      <c r="B69" s="34" t="s">
        <v>40</v>
      </c>
      <c r="C69" s="65"/>
      <c r="D69" s="76"/>
      <c r="E69" s="76">
        <v>11.277593164016125</v>
      </c>
      <c r="F69" s="66">
        <v>5.5</v>
      </c>
      <c r="G69" s="65"/>
      <c r="H69" s="76"/>
      <c r="I69" s="76">
        <v>11.857907912244482</v>
      </c>
      <c r="J69" s="66">
        <v>5.5</v>
      </c>
      <c r="K69" s="67"/>
      <c r="L69" s="194"/>
      <c r="M69" s="194">
        <v>0.35370190356844494</v>
      </c>
      <c r="N69" s="68">
        <v>1</v>
      </c>
      <c r="P69" s="69"/>
    </row>
    <row r="70" spans="2:16" ht="15">
      <c r="B70" s="22" t="s">
        <v>33</v>
      </c>
      <c r="C70" s="65"/>
      <c r="D70" s="76"/>
      <c r="E70" s="76">
        <v>4.8685538193023836</v>
      </c>
      <c r="F70" s="66">
        <v>3.3</v>
      </c>
      <c r="G70" s="65"/>
      <c r="H70" s="76"/>
      <c r="I70" s="76">
        <v>4.8702525342252114</v>
      </c>
      <c r="J70" s="66">
        <v>3.3</v>
      </c>
      <c r="K70" s="67"/>
      <c r="L70" s="194"/>
      <c r="M70" s="194">
        <v>0.77919298245614044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65"/>
      <c r="D72" s="76"/>
      <c r="E72" s="76">
        <v>6.0400197628458603</v>
      </c>
      <c r="F72" s="70">
        <v>5.5</v>
      </c>
      <c r="G72" s="65"/>
      <c r="H72" s="76"/>
      <c r="I72" s="76">
        <v>8.2405787675951316</v>
      </c>
      <c r="J72" s="66">
        <v>5.5</v>
      </c>
      <c r="K72" s="67"/>
      <c r="L72" s="194"/>
      <c r="M72" s="194">
        <v>0.78491228070175445</v>
      </c>
      <c r="N72" s="68">
        <v>1</v>
      </c>
      <c r="P72" s="69"/>
    </row>
    <row r="73" spans="2:16" ht="15">
      <c r="B73" s="37" t="s">
        <v>16</v>
      </c>
      <c r="C73" s="482"/>
      <c r="D73" s="76"/>
      <c r="E73" s="76">
        <v>3.6168923014750334</v>
      </c>
      <c r="F73" s="66">
        <v>3.3</v>
      </c>
      <c r="G73" s="282"/>
      <c r="H73" s="76"/>
      <c r="I73" s="76">
        <v>5.0091179718082053</v>
      </c>
      <c r="J73" s="66">
        <v>3.3</v>
      </c>
      <c r="K73" s="67"/>
      <c r="L73" s="194"/>
      <c r="M73" s="194">
        <v>0.92642300194931759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7.4087091718802176</v>
      </c>
      <c r="E76" s="76">
        <v>6.3744786687240067</v>
      </c>
      <c r="F76" s="341">
        <v>5.5</v>
      </c>
      <c r="H76" s="76">
        <v>6.81088060468403</v>
      </c>
      <c r="I76" s="76">
        <v>6.6977196776970018</v>
      </c>
      <c r="J76" s="341">
        <v>5.5</v>
      </c>
      <c r="L76" s="194">
        <v>0.58568421052631581</v>
      </c>
      <c r="M76" s="194">
        <v>0.59779007285381003</v>
      </c>
      <c r="N76" s="386">
        <v>1</v>
      </c>
    </row>
  </sheetData>
  <mergeCells count="51"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2103" priority="102" operator="notBetween">
      <formula>#REF!</formula>
      <formula>#REF!</formula>
    </cfRule>
  </conditionalFormatting>
  <conditionalFormatting sqref="C51">
    <cfRule type="cellIs" dxfId="2102" priority="184" stopIfTrue="1" operator="lessThan">
      <formula>96</formula>
    </cfRule>
    <cfRule type="cellIs" dxfId="2101" priority="185" stopIfTrue="1" operator="greaterThan">
      <formula>100</formula>
    </cfRule>
  </conditionalFormatting>
  <conditionalFormatting sqref="C67:C68">
    <cfRule type="cellIs" dxfId="2100" priority="65" stopIfTrue="1" operator="greaterThan">
      <formula>$F67</formula>
    </cfRule>
    <cfRule type="cellIs" dxfId="2099" priority="66" stopIfTrue="1" operator="lessThanOrEqual">
      <formula>0</formula>
    </cfRule>
    <cfRule type="cellIs" dxfId="2098" priority="67" stopIfTrue="1" operator="greaterThan">
      <formula>$F67</formula>
    </cfRule>
    <cfRule type="cellIs" dxfId="2097" priority="68" stopIfTrue="1" operator="lessThanOrEqual">
      <formula>0</formula>
    </cfRule>
  </conditionalFormatting>
  <conditionalFormatting sqref="C69:C71 C73:C75">
    <cfRule type="cellIs" dxfId="2096" priority="74" stopIfTrue="1" operator="greaterThan">
      <formula>$F72</formula>
    </cfRule>
  </conditionalFormatting>
  <conditionalFormatting sqref="C69:C71">
    <cfRule type="cellIs" dxfId="2095" priority="75" stopIfTrue="1" operator="lessThanOrEqual">
      <formula>0</formula>
    </cfRule>
  </conditionalFormatting>
  <conditionalFormatting sqref="C72">
    <cfRule type="cellIs" dxfId="2094" priority="186" stopIfTrue="1" operator="greaterThan">
      <formula>$F67</formula>
    </cfRule>
    <cfRule type="cellIs" dxfId="2093" priority="187" stopIfTrue="1" operator="lessThanOrEqual">
      <formula>0</formula>
    </cfRule>
    <cfRule type="cellIs" dxfId="2092" priority="188" stopIfTrue="1" operator="greaterThan">
      <formula>$F67</formula>
    </cfRule>
    <cfRule type="cellIs" dxfId="2091" priority="189" stopIfTrue="1" operator="lessThanOrEqual">
      <formula>0</formula>
    </cfRule>
  </conditionalFormatting>
  <conditionalFormatting sqref="C73:C75">
    <cfRule type="cellIs" dxfId="2090" priority="76" stopIfTrue="1" operator="lessThanOrEqual">
      <formula>0</formula>
    </cfRule>
  </conditionalFormatting>
  <conditionalFormatting sqref="C78:C82">
    <cfRule type="cellIs" dxfId="2089" priority="176" stopIfTrue="1" operator="lessThanOrEqual">
      <formula>0</formula>
    </cfRule>
  </conditionalFormatting>
  <conditionalFormatting sqref="C79:C82">
    <cfRule type="cellIs" dxfId="2088" priority="175" stopIfTrue="1" operator="greaterThan">
      <formula>$F$78</formula>
    </cfRule>
  </conditionalFormatting>
  <conditionalFormatting sqref="C84">
    <cfRule type="cellIs" dxfId="2087" priority="177" stopIfTrue="1" operator="greaterThan">
      <formula>$F$78</formula>
    </cfRule>
    <cfRule type="cellIs" dxfId="2086" priority="178" stopIfTrue="1" operator="lessThanOrEqual">
      <formula>0</formula>
    </cfRule>
  </conditionalFormatting>
  <conditionalFormatting sqref="C72:D72">
    <cfRule type="cellIs" dxfId="2085" priority="63" stopIfTrue="1" operator="greaterThan">
      <formula>$J72</formula>
    </cfRule>
    <cfRule type="cellIs" dxfId="2084" priority="64" stopIfTrue="1" operator="lessThanOrEqual">
      <formula>0</formula>
    </cfRule>
  </conditionalFormatting>
  <conditionalFormatting sqref="C78:D78 D80:D86">
    <cfRule type="cellIs" dxfId="2083" priority="170" stopIfTrue="1" operator="greaterThan">
      <formula>4.5</formula>
    </cfRule>
  </conditionalFormatting>
  <conditionalFormatting sqref="D47:D48">
    <cfRule type="cellIs" dxfId="2082" priority="103" operator="notBetween">
      <formula>#REF!</formula>
      <formula>#REF!</formula>
    </cfRule>
  </conditionalFormatting>
  <conditionalFormatting sqref="D67:D71 D73:D74">
    <cfRule type="cellIs" dxfId="2081" priority="73" stopIfTrue="1" operator="lessThanOrEqual">
      <formula>0</formula>
    </cfRule>
  </conditionalFormatting>
  <conditionalFormatting sqref="D67:D71 D73:D76">
    <cfRule type="cellIs" dxfId="2080" priority="69" stopIfTrue="1" operator="lessThanOrEqual">
      <formula>0</formula>
    </cfRule>
    <cfRule type="cellIs" dxfId="2079" priority="70" stopIfTrue="1" operator="greaterThan">
      <formula>$F67</formula>
    </cfRule>
  </conditionalFormatting>
  <conditionalFormatting sqref="D75:D76">
    <cfRule type="cellIs" dxfId="2078" priority="71" stopIfTrue="1" operator="lessThanOrEqual">
      <formula>0</formula>
    </cfRule>
  </conditionalFormatting>
  <conditionalFormatting sqref="D76">
    <cfRule type="cellIs" dxfId="2077" priority="72" stopIfTrue="1" operator="lessThanOrEqual">
      <formula>0</formula>
    </cfRule>
  </conditionalFormatting>
  <conditionalFormatting sqref="D78 D80:D86">
    <cfRule type="cellIs" dxfId="2076" priority="171" stopIfTrue="1" operator="lessThanOrEqual">
      <formula>0</formula>
    </cfRule>
  </conditionalFormatting>
  <conditionalFormatting sqref="D79">
    <cfRule type="cellIs" dxfId="2075" priority="162" stopIfTrue="1" operator="greaterThan">
      <formula>$F$78</formula>
    </cfRule>
    <cfRule type="cellIs" dxfId="2074" priority="163" stopIfTrue="1" operator="lessThanOrEqual">
      <formula>0</formula>
    </cfRule>
  </conditionalFormatting>
  <conditionalFormatting sqref="E10:E22">
    <cfRule type="cellIs" dxfId="2073" priority="12" operator="lessThan">
      <formula>48</formula>
    </cfRule>
  </conditionalFormatting>
  <conditionalFormatting sqref="E50 E51:F51">
    <cfRule type="cellIs" dxfId="2072" priority="167" stopIfTrue="1" operator="greaterThan">
      <formula>100</formula>
    </cfRule>
  </conditionalFormatting>
  <conditionalFormatting sqref="E51">
    <cfRule type="cellIs" dxfId="2071" priority="164" stopIfTrue="1" operator="lessThan">
      <formula>96.8</formula>
    </cfRule>
    <cfRule type="cellIs" dxfId="2070" priority="165" stopIfTrue="1" operator="greaterThan">
      <formula>100</formula>
    </cfRule>
  </conditionalFormatting>
  <conditionalFormatting sqref="E67:E75">
    <cfRule type="cellIs" dxfId="2069" priority="36" stopIfTrue="1" operator="lessThanOrEqual">
      <formula>0</formula>
    </cfRule>
  </conditionalFormatting>
  <conditionalFormatting sqref="E67:E76">
    <cfRule type="cellIs" dxfId="2068" priority="37" stopIfTrue="1" operator="greaterThan">
      <formula>$F67</formula>
    </cfRule>
    <cfRule type="cellIs" dxfId="2067" priority="38" stopIfTrue="1" operator="lessThanOrEqual">
      <formula>0</formula>
    </cfRule>
  </conditionalFormatting>
  <conditionalFormatting sqref="E76">
    <cfRule type="cellIs" dxfId="2066" priority="39" stopIfTrue="1" operator="lessThanOrEqual">
      <formula>0</formula>
    </cfRule>
  </conditionalFormatting>
  <conditionalFormatting sqref="E78:E86">
    <cfRule type="cellIs" dxfId="2065" priority="156" stopIfTrue="1" operator="greaterThan">
      <formula>4.5</formula>
    </cfRule>
    <cfRule type="cellIs" dxfId="2064" priority="157" stopIfTrue="1" operator="lessThanOrEqual">
      <formula>0</formula>
    </cfRule>
  </conditionalFormatting>
  <conditionalFormatting sqref="E51:F51 E50">
    <cfRule type="cellIs" dxfId="2063" priority="166" stopIfTrue="1" operator="lessThan">
      <formula>96.5</formula>
    </cfRule>
  </conditionalFormatting>
  <conditionalFormatting sqref="F10:F22">
    <cfRule type="cellIs" dxfId="2062" priority="13" operator="greaterThan">
      <formula>60</formula>
    </cfRule>
  </conditionalFormatting>
  <conditionalFormatting sqref="F51">
    <cfRule type="cellIs" dxfId="2061" priority="182" stopIfTrue="1" operator="lessThan">
      <formula>96.8</formula>
    </cfRule>
    <cfRule type="cellIs" dxfId="2060" priority="183" stopIfTrue="1" operator="greaterThan">
      <formula>100</formula>
    </cfRule>
  </conditionalFormatting>
  <conditionalFormatting sqref="G22">
    <cfRule type="expression" dxfId="2059" priority="2">
      <formula>IF(+(IF(G22&lt;S22,0,IF(G22&gt;T22,0,1)))=0,1)</formula>
    </cfRule>
  </conditionalFormatting>
  <conditionalFormatting sqref="G67:G70 F76">
    <cfRule type="cellIs" dxfId="2058" priority="45" stopIfTrue="1" operator="greaterThan">
      <formula>$F67</formula>
    </cfRule>
    <cfRule type="cellIs" dxfId="2057" priority="46" stopIfTrue="1" operator="lessThanOrEqual">
      <formula>0</formula>
    </cfRule>
  </conditionalFormatting>
  <conditionalFormatting sqref="G69:G70">
    <cfRule type="cellIs" dxfId="2056" priority="31" stopIfTrue="1" operator="greaterThan">
      <formula>$F69</formula>
    </cfRule>
    <cfRule type="cellIs" dxfId="2055" priority="32" stopIfTrue="1" operator="lessThanOrEqual">
      <formula>0</formula>
    </cfRule>
  </conditionalFormatting>
  <conditionalFormatting sqref="G71:G75">
    <cfRule type="cellIs" dxfId="2054" priority="47" stopIfTrue="1" operator="greaterThan">
      <formula>$J71</formula>
    </cfRule>
    <cfRule type="cellIs" dxfId="2053" priority="48" stopIfTrue="1" operator="lessThanOrEqual">
      <formula>0</formula>
    </cfRule>
  </conditionalFormatting>
  <conditionalFormatting sqref="G72">
    <cfRule type="cellIs" dxfId="2052" priority="190" stopIfTrue="1" operator="greaterThan">
      <formula>$F67</formula>
    </cfRule>
    <cfRule type="cellIs" dxfId="2051" priority="191" stopIfTrue="1" operator="lessThanOrEqual">
      <formula>0</formula>
    </cfRule>
  </conditionalFormatting>
  <conditionalFormatting sqref="G80:G85 C83 C85">
    <cfRule type="cellIs" dxfId="2050" priority="179" stopIfTrue="1" operator="greaterThan">
      <formula>4.5</formula>
    </cfRule>
    <cfRule type="cellIs" dxfId="2049" priority="180" stopIfTrue="1" operator="lessThanOrEqual">
      <formula>0</formula>
    </cfRule>
  </conditionalFormatting>
  <conditionalFormatting sqref="G10:H21 M10:N21 H22">
    <cfRule type="expression" dxfId="2048" priority="3">
      <formula>IF(+(IF(G10&lt;#REF!,0,IF(G10&gt;#REF!,0,1)))=0,1)</formula>
    </cfRule>
  </conditionalFormatting>
  <conditionalFormatting sqref="G79:H79">
    <cfRule type="cellIs" dxfId="2047" priority="160" stopIfTrue="1" operator="greaterThan">
      <formula>$F$78</formula>
    </cfRule>
    <cfRule type="cellIs" dxfId="2046" priority="161" stopIfTrue="1" operator="lessThanOrEqual">
      <formula>0</formula>
    </cfRule>
  </conditionalFormatting>
  <conditionalFormatting sqref="H36:H37 H50">
    <cfRule type="cellIs" dxfId="2045" priority="158" stopIfTrue="1" operator="greaterThan">
      <formula>0</formula>
    </cfRule>
  </conditionalFormatting>
  <conditionalFormatting sqref="H54">
    <cfRule type="cellIs" dxfId="2044" priority="50" stopIfTrue="1" operator="lessThanOrEqual">
      <formula>0</formula>
    </cfRule>
    <cfRule type="cellIs" dxfId="2043" priority="51" stopIfTrue="1" operator="greaterThan">
      <formula>$F$67</formula>
    </cfRule>
    <cfRule type="cellIs" dxfId="2042" priority="59" stopIfTrue="1" operator="greaterThan">
      <formula>$F$70</formula>
    </cfRule>
    <cfRule type="cellIs" dxfId="2041" priority="60" stopIfTrue="1" operator="lessThanOrEqual">
      <formula>0</formula>
    </cfRule>
    <cfRule type="cellIs" dxfId="2040" priority="61" stopIfTrue="1" operator="greaterThan">
      <formula>$F$68</formula>
    </cfRule>
  </conditionalFormatting>
  <conditionalFormatting sqref="H54:H55">
    <cfRule type="cellIs" dxfId="2039" priority="62" stopIfTrue="1" operator="lessThanOrEqual">
      <formula>0</formula>
    </cfRule>
  </conditionalFormatting>
  <conditionalFormatting sqref="H55 H57:H58">
    <cfRule type="cellIs" dxfId="2038" priority="88" stopIfTrue="1" operator="lessThanOrEqual">
      <formula>0</formula>
    </cfRule>
  </conditionalFormatting>
  <conditionalFormatting sqref="H55">
    <cfRule type="cellIs" dxfId="2037" priority="77" stopIfTrue="1" operator="greaterThan">
      <formula>$F$67</formula>
    </cfRule>
    <cfRule type="cellIs" dxfId="2036" priority="85" stopIfTrue="1" operator="greaterThan">
      <formula>$F$70</formula>
    </cfRule>
    <cfRule type="cellIs" dxfId="2035" priority="86" stopIfTrue="1" operator="lessThanOrEqual">
      <formula>0</formula>
    </cfRule>
    <cfRule type="cellIs" dxfId="2034" priority="87" stopIfTrue="1" operator="greaterThan">
      <formula>$F$68</formula>
    </cfRule>
  </conditionalFormatting>
  <conditionalFormatting sqref="H56">
    <cfRule type="cellIs" dxfId="2033" priority="17" stopIfTrue="1" operator="lessThanOrEqual">
      <formula>0</formula>
    </cfRule>
    <cfRule type="cellIs" dxfId="2032" priority="18" stopIfTrue="1" operator="greaterThan">
      <formula>$F$69</formula>
    </cfRule>
    <cfRule type="cellIs" dxfId="2031" priority="26" stopIfTrue="1" operator="greaterThan">
      <formula>$F$72</formula>
    </cfRule>
    <cfRule type="cellIs" dxfId="2030" priority="27" stopIfTrue="1" operator="lessThanOrEqual">
      <formula>0</formula>
    </cfRule>
    <cfRule type="cellIs" dxfId="2029" priority="28" stopIfTrue="1" operator="greaterThan">
      <formula>$F$70</formula>
    </cfRule>
    <cfRule type="cellIs" dxfId="2028" priority="29" stopIfTrue="1" operator="lessThanOrEqual">
      <formula>0</formula>
    </cfRule>
  </conditionalFormatting>
  <conditionalFormatting sqref="H57:H58">
    <cfRule type="cellIs" dxfId="2027" priority="90" stopIfTrue="1" operator="greaterThan">
      <formula>$F$67</formula>
    </cfRule>
    <cfRule type="cellIs" dxfId="2026" priority="98" stopIfTrue="1" operator="greaterThan">
      <formula>$F$70</formula>
    </cfRule>
    <cfRule type="cellIs" dxfId="2025" priority="99" stopIfTrue="1" operator="lessThanOrEqual">
      <formula>0</formula>
    </cfRule>
    <cfRule type="cellIs" dxfId="2024" priority="100" stopIfTrue="1" operator="greaterThan">
      <formula>$F$68</formula>
    </cfRule>
    <cfRule type="cellIs" dxfId="2023" priority="101" stopIfTrue="1" operator="lessThanOrEqual">
      <formula>0</formula>
    </cfRule>
  </conditionalFormatting>
  <conditionalFormatting sqref="H59:H60">
    <cfRule type="cellIs" dxfId="2022" priority="125" stopIfTrue="1" operator="lessThanOrEqual">
      <formula>0</formula>
    </cfRule>
    <cfRule type="cellIs" dxfId="2021" priority="126" stopIfTrue="1" operator="greaterThan">
      <formula>#REF!</formula>
    </cfRule>
    <cfRule type="cellIs" dxfId="2020" priority="134" stopIfTrue="1" operator="greaterThan">
      <formula>#REF!</formula>
    </cfRule>
    <cfRule type="cellIs" dxfId="2019" priority="135" stopIfTrue="1" operator="lessThanOrEqual">
      <formula>0</formula>
    </cfRule>
  </conditionalFormatting>
  <conditionalFormatting sqref="H61">
    <cfRule type="cellIs" dxfId="2018" priority="137" stopIfTrue="1" operator="lessThanOrEqual">
      <formula>0</formula>
    </cfRule>
    <cfRule type="cellIs" dxfId="2017" priority="138" stopIfTrue="1" operator="greaterThan">
      <formula>$F$35</formula>
    </cfRule>
    <cfRule type="cellIs" dxfId="2016" priority="146" stopIfTrue="1" operator="greaterThan">
      <formula>$F$38</formula>
    </cfRule>
    <cfRule type="cellIs" dxfId="2015" priority="147" stopIfTrue="1" operator="lessThanOrEqual">
      <formula>0</formula>
    </cfRule>
    <cfRule type="cellIs" dxfId="2014" priority="148" stopIfTrue="1" operator="greaterThan">
      <formula>$F$36</formula>
    </cfRule>
    <cfRule type="cellIs" dxfId="2013" priority="149" stopIfTrue="1" operator="lessThanOrEqual">
      <formula>0</formula>
    </cfRule>
  </conditionalFormatting>
  <conditionalFormatting sqref="H62:H63">
    <cfRule type="cellIs" dxfId="2012" priority="113" stopIfTrue="1" operator="lessThanOrEqual">
      <formula>0</formula>
    </cfRule>
    <cfRule type="cellIs" dxfId="2011" priority="114" stopIfTrue="1" operator="greaterThan">
      <formula>#REF!</formula>
    </cfRule>
    <cfRule type="cellIs" dxfId="2010" priority="122" stopIfTrue="1" operator="greaterThan">
      <formula>#REF!</formula>
    </cfRule>
    <cfRule type="cellIs" dxfId="2009" priority="123" stopIfTrue="1" operator="lessThanOrEqual">
      <formula>0</formula>
    </cfRule>
  </conditionalFormatting>
  <conditionalFormatting sqref="H78 H80:H86">
    <cfRule type="cellIs" dxfId="2008" priority="172" stopIfTrue="1" operator="greaterThan">
      <formula>4.5</formula>
    </cfRule>
    <cfRule type="cellIs" dxfId="2007" priority="173" stopIfTrue="1" operator="lessThanOrEqual">
      <formula>0</formula>
    </cfRule>
  </conditionalFormatting>
  <conditionalFormatting sqref="H54:I54">
    <cfRule type="cellIs" dxfId="2006" priority="52" stopIfTrue="1" operator="lessThanOrEqual">
      <formula>0</formula>
    </cfRule>
  </conditionalFormatting>
  <conditionalFormatting sqref="H54:I55 H57:I58">
    <cfRule type="cellIs" dxfId="2005" priority="49" stopIfTrue="1" operator="greaterThan">
      <formula>$F$69</formula>
    </cfRule>
  </conditionalFormatting>
  <conditionalFormatting sqref="H55:I55">
    <cfRule type="cellIs" dxfId="2004" priority="78" stopIfTrue="1" operator="lessThanOrEqual">
      <formula>0</formula>
    </cfRule>
  </conditionalFormatting>
  <conditionalFormatting sqref="H56:I56">
    <cfRule type="cellIs" dxfId="2003" priority="16" stopIfTrue="1" operator="greaterThan">
      <formula>$F$71</formula>
    </cfRule>
    <cfRule type="cellIs" dxfId="2002" priority="19" stopIfTrue="1" operator="lessThanOrEqual">
      <formula>0</formula>
    </cfRule>
  </conditionalFormatting>
  <conditionalFormatting sqref="H57:I58">
    <cfRule type="cellIs" dxfId="2001" priority="91" stopIfTrue="1" operator="lessThanOrEqual">
      <formula>0</formula>
    </cfRule>
  </conditionalFormatting>
  <conditionalFormatting sqref="H59:I60">
    <cfRule type="cellIs" dxfId="2000" priority="124" stopIfTrue="1" operator="greaterThan">
      <formula>#REF!</formula>
    </cfRule>
    <cfRule type="cellIs" dxfId="1999" priority="127" stopIfTrue="1" operator="lessThanOrEqual">
      <formula>0</formula>
    </cfRule>
    <cfRule type="cellIs" dxfId="1998" priority="132" stopIfTrue="1" operator="greaterThan">
      <formula>#REF!</formula>
    </cfRule>
    <cfRule type="cellIs" dxfId="1997" priority="133" stopIfTrue="1" operator="lessThanOrEqual">
      <formula>0</formula>
    </cfRule>
  </conditionalFormatting>
  <conditionalFormatting sqref="H61:I61">
    <cfRule type="cellIs" dxfId="1996" priority="136" stopIfTrue="1" operator="greaterThan">
      <formula>$F$37</formula>
    </cfRule>
    <cfRule type="cellIs" dxfId="1995" priority="139" stopIfTrue="1" operator="lessThanOrEqual">
      <formula>0</formula>
    </cfRule>
  </conditionalFormatting>
  <conditionalFormatting sqref="H62:I63">
    <cfRule type="cellIs" dxfId="1994" priority="112" stopIfTrue="1" operator="greaterThan">
      <formula>#REF!</formula>
    </cfRule>
    <cfRule type="cellIs" dxfId="1993" priority="115" stopIfTrue="1" operator="lessThanOrEqual">
      <formula>0</formula>
    </cfRule>
    <cfRule type="cellIs" dxfId="1992" priority="120" stopIfTrue="1" operator="greaterThan">
      <formula>#REF!</formula>
    </cfRule>
    <cfRule type="cellIs" dxfId="1991" priority="121" stopIfTrue="1" operator="lessThanOrEqual">
      <formula>0</formula>
    </cfRule>
  </conditionalFormatting>
  <conditionalFormatting sqref="H67:I74">
    <cfRule type="cellIs" dxfId="1990" priority="34" stopIfTrue="1" operator="greaterThan">
      <formula>$J67</formula>
    </cfRule>
    <cfRule type="cellIs" dxfId="1989" priority="35" stopIfTrue="1" operator="lessThanOrEqual">
      <formula>0</formula>
    </cfRule>
  </conditionalFormatting>
  <conditionalFormatting sqref="H75:I75">
    <cfRule type="cellIs" dxfId="1988" priority="42" operator="greaterThan">
      <formula>5.3</formula>
    </cfRule>
  </conditionalFormatting>
  <conditionalFormatting sqref="H76:I76">
    <cfRule type="cellIs" dxfId="1987" priority="40" stopIfTrue="1" operator="greaterThan">
      <formula>$J76</formula>
    </cfRule>
    <cfRule type="cellIs" dxfId="1986" priority="41" stopIfTrue="1" operator="lessThanOrEqual">
      <formula>0</formula>
    </cfRule>
  </conditionalFormatting>
  <conditionalFormatting sqref="I54">
    <cfRule type="cellIs" dxfId="1985" priority="53" stopIfTrue="1" operator="greaterThan">
      <formula>$F$67</formula>
    </cfRule>
    <cfRule type="cellIs" dxfId="1984" priority="54" stopIfTrue="1" operator="lessThanOrEqual">
      <formula>0</formula>
    </cfRule>
    <cfRule type="cellIs" dxfId="1983" priority="55" stopIfTrue="1" operator="greaterThan">
      <formula>$F$69</formula>
    </cfRule>
    <cfRule type="cellIs" dxfId="1982" priority="56" stopIfTrue="1" operator="lessThanOrEqual">
      <formula>0</formula>
    </cfRule>
    <cfRule type="cellIs" dxfId="1981" priority="57" stopIfTrue="1" operator="greaterThan">
      <formula>$F$67</formula>
    </cfRule>
    <cfRule type="cellIs" dxfId="1980" priority="58" stopIfTrue="1" operator="lessThanOrEqual">
      <formula>0</formula>
    </cfRule>
  </conditionalFormatting>
  <conditionalFormatting sqref="I55">
    <cfRule type="cellIs" dxfId="1979" priority="79" stopIfTrue="1" operator="greaterThan">
      <formula>$F$67</formula>
    </cfRule>
    <cfRule type="cellIs" dxfId="1978" priority="80" stopIfTrue="1" operator="lessThanOrEqual">
      <formula>0</formula>
    </cfRule>
    <cfRule type="cellIs" dxfId="1977" priority="81" stopIfTrue="1" operator="greaterThan">
      <formula>$F$69</formula>
    </cfRule>
    <cfRule type="cellIs" dxfId="1976" priority="82" stopIfTrue="1" operator="lessThanOrEqual">
      <formula>0</formula>
    </cfRule>
    <cfRule type="cellIs" dxfId="1975" priority="83" stopIfTrue="1" operator="greaterThan">
      <formula>$F$67</formula>
    </cfRule>
    <cfRule type="cellIs" dxfId="1974" priority="84" stopIfTrue="1" operator="lessThanOrEqual">
      <formula>0</formula>
    </cfRule>
  </conditionalFormatting>
  <conditionalFormatting sqref="I56">
    <cfRule type="cellIs" dxfId="1973" priority="20" stopIfTrue="1" operator="greaterThan">
      <formula>$F$69</formula>
    </cfRule>
    <cfRule type="cellIs" dxfId="1972" priority="21" stopIfTrue="1" operator="lessThanOrEqual">
      <formula>0</formula>
    </cfRule>
    <cfRule type="cellIs" dxfId="1971" priority="22" stopIfTrue="1" operator="greaterThan">
      <formula>$F$71</formula>
    </cfRule>
    <cfRule type="cellIs" dxfId="1970" priority="23" stopIfTrue="1" operator="lessThanOrEqual">
      <formula>0</formula>
    </cfRule>
    <cfRule type="cellIs" dxfId="1969" priority="24" stopIfTrue="1" operator="greaterThan">
      <formula>$F$69</formula>
    </cfRule>
    <cfRule type="cellIs" dxfId="1968" priority="25" stopIfTrue="1" operator="lessThanOrEqual">
      <formula>0</formula>
    </cfRule>
  </conditionalFormatting>
  <conditionalFormatting sqref="I57:I58">
    <cfRule type="cellIs" dxfId="1967" priority="92" stopIfTrue="1" operator="greaterThan">
      <formula>$F$67</formula>
    </cfRule>
    <cfRule type="cellIs" dxfId="1966" priority="93" stopIfTrue="1" operator="lessThanOrEqual">
      <formula>0</formula>
    </cfRule>
    <cfRule type="cellIs" dxfId="1965" priority="94" stopIfTrue="1" operator="greaterThan">
      <formula>$F$69</formula>
    </cfRule>
    <cfRule type="cellIs" dxfId="1964" priority="95" stopIfTrue="1" operator="lessThanOrEqual">
      <formula>0</formula>
    </cfRule>
    <cfRule type="cellIs" dxfId="1963" priority="96" stopIfTrue="1" operator="greaterThan">
      <formula>$F$67</formula>
    </cfRule>
    <cfRule type="cellIs" dxfId="1962" priority="97" stopIfTrue="1" operator="lessThanOrEqual">
      <formula>0</formula>
    </cfRule>
  </conditionalFormatting>
  <conditionalFormatting sqref="I59:I60">
    <cfRule type="cellIs" dxfId="1961" priority="128" stopIfTrue="1" operator="greaterThan">
      <formula>#REF!</formula>
    </cfRule>
    <cfRule type="cellIs" dxfId="1960" priority="129" stopIfTrue="1" operator="lessThanOrEqual">
      <formula>0</formula>
    </cfRule>
    <cfRule type="cellIs" dxfId="1959" priority="130" stopIfTrue="1" operator="greaterThan">
      <formula>#REF!</formula>
    </cfRule>
    <cfRule type="cellIs" dxfId="1958" priority="131" stopIfTrue="1" operator="lessThanOrEqual">
      <formula>0</formula>
    </cfRule>
  </conditionalFormatting>
  <conditionalFormatting sqref="I61">
    <cfRule type="cellIs" dxfId="1957" priority="140" stopIfTrue="1" operator="greaterThan">
      <formula>$F$35</formula>
    </cfRule>
    <cfRule type="cellIs" dxfId="1956" priority="141" stopIfTrue="1" operator="lessThanOrEqual">
      <formula>0</formula>
    </cfRule>
    <cfRule type="cellIs" dxfId="1955" priority="142" stopIfTrue="1" operator="greaterThan">
      <formula>$F$37</formula>
    </cfRule>
    <cfRule type="cellIs" dxfId="1954" priority="143" stopIfTrue="1" operator="lessThanOrEqual">
      <formula>0</formula>
    </cfRule>
    <cfRule type="cellIs" dxfId="1953" priority="144" stopIfTrue="1" operator="greaterThan">
      <formula>$F$35</formula>
    </cfRule>
    <cfRule type="cellIs" dxfId="1952" priority="145" stopIfTrue="1" operator="lessThanOrEqual">
      <formula>0</formula>
    </cfRule>
  </conditionalFormatting>
  <conditionalFormatting sqref="I62:I63">
    <cfRule type="cellIs" dxfId="1951" priority="116" stopIfTrue="1" operator="greaterThan">
      <formula>#REF!</formula>
    </cfRule>
    <cfRule type="cellIs" dxfId="1950" priority="117" stopIfTrue="1" operator="lessThanOrEqual">
      <formula>0</formula>
    </cfRule>
    <cfRule type="cellIs" dxfId="1949" priority="118" stopIfTrue="1" operator="greaterThan">
      <formula>#REF!</formula>
    </cfRule>
    <cfRule type="cellIs" dxfId="1948" priority="119" stopIfTrue="1" operator="lessThanOrEqual">
      <formula>0</formula>
    </cfRule>
  </conditionalFormatting>
  <conditionalFormatting sqref="I78:I86">
    <cfRule type="cellIs" dxfId="1947" priority="168" stopIfTrue="1" operator="greaterThan">
      <formula>4.5</formula>
    </cfRule>
    <cfRule type="cellIs" dxfId="1946" priority="169" stopIfTrue="1" operator="lessThanOrEqual">
      <formula>0</formula>
    </cfRule>
  </conditionalFormatting>
  <conditionalFormatting sqref="I10:J22">
    <cfRule type="cellIs" dxfId="1945" priority="8" operator="lessThan">
      <formula>97.9</formula>
    </cfRule>
  </conditionalFormatting>
  <conditionalFormatting sqref="J25:J27">
    <cfRule type="cellIs" dxfId="1944" priority="15" operator="lessThan">
      <formula>97.95</formula>
    </cfRule>
  </conditionalFormatting>
  <conditionalFormatting sqref="J26:J29">
    <cfRule type="cellIs" dxfId="1943" priority="150" operator="lessThan">
      <formula>97.4</formula>
    </cfRule>
  </conditionalFormatting>
  <conditionalFormatting sqref="J30:J31">
    <cfRule type="cellIs" dxfId="1942" priority="151" operator="lessThan">
      <formula>98</formula>
    </cfRule>
  </conditionalFormatting>
  <conditionalFormatting sqref="J32:J33">
    <cfRule type="cellIs" dxfId="1941" priority="152" stopIfTrue="1" operator="lessThan">
      <formula>96.8</formula>
    </cfRule>
    <cfRule type="cellIs" dxfId="1940" priority="153" stopIfTrue="1" operator="greaterThan">
      <formula>100</formula>
    </cfRule>
  </conditionalFormatting>
  <conditionalFormatting sqref="J32:J34">
    <cfRule type="cellIs" dxfId="1939" priority="154" operator="lessThan">
      <formula>98</formula>
    </cfRule>
  </conditionalFormatting>
  <conditionalFormatting sqref="J63">
    <cfRule type="cellIs" dxfId="1938" priority="104" stopIfTrue="1" operator="greaterThan">
      <formula>#REF!</formula>
    </cfRule>
    <cfRule type="cellIs" dxfId="1937" priority="105" stopIfTrue="1" operator="lessThanOrEqual">
      <formula>0</formula>
    </cfRule>
    <cfRule type="cellIs" dxfId="1936" priority="106" stopIfTrue="1" operator="greaterThan">
      <formula>#REF!</formula>
    </cfRule>
    <cfRule type="cellIs" dxfId="1935" priority="107" stopIfTrue="1" operator="lessThanOrEqual">
      <formula>0</formula>
    </cfRule>
    <cfRule type="cellIs" dxfId="1934" priority="108" stopIfTrue="1" operator="greaterThan">
      <formula>#REF!</formula>
    </cfRule>
    <cfRule type="cellIs" dxfId="1933" priority="109" stopIfTrue="1" operator="lessThanOrEqual">
      <formula>0</formula>
    </cfRule>
    <cfRule type="cellIs" dxfId="1932" priority="110" stopIfTrue="1" operator="greaterThan">
      <formula>#REF!</formula>
    </cfRule>
    <cfRule type="cellIs" dxfId="1931" priority="111" stopIfTrue="1" operator="lessThanOrEqual">
      <formula>0</formula>
    </cfRule>
  </conditionalFormatting>
  <conditionalFormatting sqref="J76">
    <cfRule type="cellIs" dxfId="1930" priority="43" stopIfTrue="1" operator="greaterThan">
      <formula>$F76</formula>
    </cfRule>
    <cfRule type="cellIs" dxfId="1929" priority="44" stopIfTrue="1" operator="lessThanOrEqual">
      <formula>0</formula>
    </cfRule>
  </conditionalFormatting>
  <conditionalFormatting sqref="K10:K22">
    <cfRule type="cellIs" dxfId="1928" priority="9" operator="greaterThan">
      <formula>6</formula>
    </cfRule>
    <cfRule type="cellIs" dxfId="1927" priority="10" operator="lessThan">
      <formula>4</formula>
    </cfRule>
    <cfRule type="cellIs" dxfId="1926" priority="11" operator="greaterThan">
      <formula>6.4</formula>
    </cfRule>
  </conditionalFormatting>
  <conditionalFormatting sqref="K54:K63">
    <cfRule type="cellIs" dxfId="1925" priority="89" stopIfTrue="1" operator="lessThan">
      <formula>100%</formula>
    </cfRule>
  </conditionalFormatting>
  <conditionalFormatting sqref="K67:K75">
    <cfRule type="cellIs" dxfId="1924" priority="33" stopIfTrue="1" operator="lessThan">
      <formula>100%</formula>
    </cfRule>
  </conditionalFormatting>
  <conditionalFormatting sqref="K78:K83">
    <cfRule type="cellIs" dxfId="1923" priority="174" stopIfTrue="1" operator="lessThan">
      <formula>100%</formula>
    </cfRule>
  </conditionalFormatting>
  <conditionalFormatting sqref="K85:K86">
    <cfRule type="cellIs" dxfId="1922" priority="181" stopIfTrue="1" operator="lessThan">
      <formula>100%</formula>
    </cfRule>
  </conditionalFormatting>
  <conditionalFormatting sqref="L10:L22">
    <cfRule type="cellIs" dxfId="1921" priority="5" operator="between">
      <formula>61</formula>
      <formula>65</formula>
    </cfRule>
    <cfRule type="cellIs" dxfId="1920" priority="6" operator="greaterThan">
      <formula>65</formula>
    </cfRule>
  </conditionalFormatting>
  <conditionalFormatting sqref="L25:M36">
    <cfRule type="cellIs" dxfId="1919" priority="14" operator="lessThan">
      <formula>97.95</formula>
    </cfRule>
  </conditionalFormatting>
  <conditionalFormatting sqref="L40:N40">
    <cfRule type="cellIs" dxfId="1918" priority="4" operator="notEqual">
      <formula>#REF!</formula>
    </cfRule>
  </conditionalFormatting>
  <conditionalFormatting sqref="L67:N76">
    <cfRule type="cellIs" dxfId="1917" priority="30" stopIfTrue="1" operator="lessThan">
      <formula>100%</formula>
    </cfRule>
  </conditionalFormatting>
  <conditionalFormatting sqref="L78:N86">
    <cfRule type="cellIs" dxfId="1916" priority="159" stopIfTrue="1" operator="lessThan">
      <formula>100%</formula>
    </cfRule>
  </conditionalFormatting>
  <conditionalFormatting sqref="M22">
    <cfRule type="expression" dxfId="1915" priority="1">
      <formula>IF(+(IF(M22&lt;U22,0,IF(M22&gt;V22,0,1)))=0,1)</formula>
    </cfRule>
  </conditionalFormatting>
  <conditionalFormatting sqref="N10:N22">
    <cfRule type="expression" dxfId="1914" priority="7">
      <formula>IF(+(IF(N10&lt;W10,0,IF(N10&gt;X10,0,1)))=0,1)</formula>
    </cfRule>
  </conditionalFormatting>
  <conditionalFormatting sqref="P6">
    <cfRule type="cellIs" dxfId="1913" priority="155" operator="greaterThanOrEqual">
      <formula>19</formula>
    </cfRule>
  </conditionalFormatting>
  <dataValidations count="1">
    <dataValidation type="list" allowBlank="1" showInputMessage="1" showErrorMessage="1" sqref="R8" xr:uid="{4C9AD791-EA20-4B16-92F1-8C278E54D1E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B2E1-BAD9-4D22-8F70-95F2A36D9F70}">
  <sheetPr>
    <pageSetUpPr fitToPage="1"/>
  </sheetPr>
  <dimension ref="A1:BE72"/>
  <sheetViews>
    <sheetView topLeftCell="A5" zoomScale="85" zoomScaleNormal="85" workbookViewId="0">
      <selection activeCell="G13" sqref="G13:H13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46279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[3]Brewhouse!$A734</f>
        <v>CA685</v>
      </c>
      <c r="D10" s="279">
        <f>[3]Brewhouse!$AF734</f>
        <v>49.1</v>
      </c>
      <c r="E10" s="279">
        <f>[3]Brewhouse!$AI734</f>
        <v>49.4</v>
      </c>
      <c r="F10" s="278">
        <f>[3]Brewhouse!$V734</f>
        <v>56</v>
      </c>
      <c r="G10" s="279">
        <f>[3]Brewhouse!AG734</f>
        <v>11.8</v>
      </c>
      <c r="H10" s="396">
        <v>11.8</v>
      </c>
      <c r="I10" s="368">
        <f>[3]Brewhouse!$AU734</f>
        <v>98.17458240291262</v>
      </c>
      <c r="J10" s="368">
        <f>[3]Brewhouse!$AV734</f>
        <v>99.736980599904328</v>
      </c>
      <c r="K10" s="281">
        <f>[3]Brewhouse!$Q734</f>
        <v>10.573012939001845</v>
      </c>
      <c r="L10" s="276">
        <f>[3]Brewhouse!$P734</f>
        <v>59</v>
      </c>
      <c r="M10" s="374">
        <f>[3]Brewhouse!$U734-[3]Brewhouse!$T734</f>
        <v>0.11736111111111125</v>
      </c>
      <c r="N10" s="370">
        <f>[3]Brewhouse!$Z734</f>
        <v>0.27708333333333335</v>
      </c>
      <c r="O10" s="420" t="str">
        <f>[3]Brewhouse!$AX734</f>
        <v>R. Regis</v>
      </c>
      <c r="P10" s="418"/>
      <c r="R10" s="277" t="str">
        <f t="shared" ref="R10:R32" si="0">B10</f>
        <v>CARIB</v>
      </c>
      <c r="S10" s="472">
        <f t="shared" ref="S10:S32" si="1">VLOOKUP($B10,$R$3:$X$9,2,FALSE)</f>
        <v>11.6</v>
      </c>
      <c r="T10" s="472">
        <f t="shared" ref="T10:T32" si="2">VLOOKUP($B10,$R$3:$X$9,3,FALSE)</f>
        <v>12</v>
      </c>
      <c r="U10" s="297">
        <f t="shared" ref="U10:U32" si="3">VLOOKUP($B10,$R$3:$X$9,4,FALSE)</f>
        <v>0</v>
      </c>
      <c r="V10" s="297">
        <f t="shared" ref="V10:V32" si="4">VLOOKUP($B10,$R$3:$X$9,5,FALSE)</f>
        <v>0.118055555555556</v>
      </c>
      <c r="W10" s="297">
        <f t="shared" ref="W10:W32" si="5">VLOOKUP($B10,$R$3:$X$9,6,FALSE)</f>
        <v>0.22569444444444445</v>
      </c>
      <c r="X10" s="297">
        <f t="shared" ref="X10:X32" si="6">VLOOKUP($B10,$R$3:$X$9,7,FALSE)</f>
        <v>0.2638888888888889</v>
      </c>
      <c r="Y10" s="297">
        <f t="shared" ref="Y10:Y32" si="7">VLOOKUP($B10,$R$3:$Z$9,8,FALSE)</f>
        <v>0</v>
      </c>
      <c r="Z10" s="472">
        <f t="shared" ref="Z10:Z32" si="8">VLOOKUP($B10,$R$3:$Z$9,9,FALSE)</f>
        <v>60</v>
      </c>
    </row>
    <row r="11" spans="2:29" ht="15" customHeight="1">
      <c r="B11" s="29" t="s">
        <v>6</v>
      </c>
      <c r="C11" s="366" t="str">
        <f>[3]Brewhouse!$A735</f>
        <v>CA686</v>
      </c>
      <c r="D11" s="279">
        <f>[3]Brewhouse!$AF735</f>
        <v>50.3</v>
      </c>
      <c r="E11" s="279">
        <f>[3]Brewhouse!$AI735</f>
        <v>50.7</v>
      </c>
      <c r="F11" s="278">
        <f>[3]Brewhouse!$V735</f>
        <v>63</v>
      </c>
      <c r="G11" s="488">
        <f>[3]Brewhouse!AG735</f>
        <v>11.5</v>
      </c>
      <c r="H11" s="396">
        <v>11.6</v>
      </c>
      <c r="I11" s="368">
        <f>[3]Brewhouse!$AU735</f>
        <v>98.18822759357343</v>
      </c>
      <c r="J11" s="368">
        <f>[3]Brewhouse!$AV735</f>
        <v>99.7507351326785</v>
      </c>
      <c r="K11" s="281">
        <f>[3]Brewhouse!$Q735</f>
        <v>8.3548983364140526</v>
      </c>
      <c r="L11" s="276">
        <f>[3]Brewhouse!$P735</f>
        <v>62</v>
      </c>
      <c r="M11" s="374">
        <f>[3]Brewhouse!$U735-[3]Brewhouse!$T735</f>
        <v>0.14166666666666666</v>
      </c>
      <c r="N11" s="370">
        <f>[3]Brewhouse!$Z735</f>
        <v>0.29652777777777783</v>
      </c>
      <c r="O11" s="420" t="str">
        <f>[3]Brewhouse!$AX735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[3]Brewhouse!$A736</f>
        <v>CA687</v>
      </c>
      <c r="D12" s="279">
        <f>[3]Brewhouse!$AF736</f>
        <v>49.9</v>
      </c>
      <c r="E12" s="279">
        <f>[3]Brewhouse!$AI736</f>
        <v>50.3</v>
      </c>
      <c r="F12" s="278">
        <f>[3]Brewhouse!$V736</f>
        <v>63</v>
      </c>
      <c r="G12" s="279">
        <f>[3]Brewhouse!AG736</f>
        <v>11.8</v>
      </c>
      <c r="H12" s="396">
        <v>11.8</v>
      </c>
      <c r="I12" s="368">
        <f>[3]Brewhouse!$AU736</f>
        <v>99.836488721311795</v>
      </c>
      <c r="J12" s="368">
        <f>[3]Brewhouse!$AV736</f>
        <v>101.42544465248801</v>
      </c>
      <c r="K12" s="281">
        <f>[3]Brewhouse!$Q736</f>
        <v>9.0942698706099847</v>
      </c>
      <c r="L12" s="276">
        <f>[3]Brewhouse!$P736</f>
        <v>58</v>
      </c>
      <c r="M12" s="374">
        <f>[3]Brewhouse!$U736-[3]Brewhouse!$T736</f>
        <v>0.12569444444444439</v>
      </c>
      <c r="N12" s="370">
        <f>[3]Brewhouse!$Z736</f>
        <v>0.28333333333333327</v>
      </c>
      <c r="O12" s="420" t="str">
        <f>[3]Brewhouse!$AX736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[3]Brewhouse!$A737</f>
        <v>CA688</v>
      </c>
      <c r="D13" s="279">
        <f>[3]Brewhouse!$AF737</f>
        <v>48.5</v>
      </c>
      <c r="E13" s="279">
        <f>[3]Brewhouse!$AI737</f>
        <v>47.7</v>
      </c>
      <c r="F13" s="278">
        <f>[3]Brewhouse!$V737</f>
        <v>58</v>
      </c>
      <c r="G13" s="279">
        <f>[3]Brewhouse!AG737</f>
        <v>11.9</v>
      </c>
      <c r="H13" s="396">
        <v>11.8</v>
      </c>
      <c r="I13" s="368">
        <f>[3]Brewhouse!$AU737</f>
        <v>96.129104901277245</v>
      </c>
      <c r="J13" s="368">
        <f>[3]Brewhouse!$AV737</f>
        <v>97.658526544714448</v>
      </c>
      <c r="K13" s="281">
        <f>[3]Brewhouse!$Q737</f>
        <v>11.518518518518517</v>
      </c>
      <c r="L13" s="276">
        <f>[3]Brewhouse!$P737</f>
        <v>64</v>
      </c>
      <c r="M13" s="374">
        <f>[3]Brewhouse!$U737-[3]Brewhouse!$T737</f>
        <v>0.12083333333333335</v>
      </c>
      <c r="N13" s="370">
        <f>[3]Brewhouse!$Z737</f>
        <v>0.2680555555555556</v>
      </c>
      <c r="O13" s="420" t="str">
        <f>[3]Brewhouse!$AX737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[3]Brewhouse!$A738</f>
        <v>CA689</v>
      </c>
      <c r="D14" s="279">
        <f>[3]Brewhouse!$AF738</f>
        <v>49.1</v>
      </c>
      <c r="E14" s="279">
        <f>[3]Brewhouse!$AI738</f>
        <v>50.9</v>
      </c>
      <c r="F14" s="278">
        <f>[3]Brewhouse!$V738</f>
        <v>63</v>
      </c>
      <c r="G14" s="279">
        <f>[3]Brewhouse!AG738</f>
        <v>11.6</v>
      </c>
      <c r="H14" s="396">
        <v>11.6</v>
      </c>
      <c r="I14" s="368">
        <f>[3]Brewhouse!$AU738</f>
        <v>96.773121785755123</v>
      </c>
      <c r="J14" s="368">
        <f>[3]Brewhouse!$AV738</f>
        <v>98.315387286588233</v>
      </c>
      <c r="K14" s="281">
        <f>[3]Brewhouse!$Q738</f>
        <v>10.407407407407403</v>
      </c>
      <c r="L14" s="276">
        <f>[3]Brewhouse!$P738</f>
        <v>58</v>
      </c>
      <c r="M14" s="374">
        <f>[3]Brewhouse!$U738-[3]Brewhouse!$T738</f>
        <v>0.12569444444444444</v>
      </c>
      <c r="N14" s="370">
        <f>[3]Brewhouse!$Z738</f>
        <v>0.26249999999999996</v>
      </c>
      <c r="O14" s="420" t="str">
        <f>[3]Brewhouse!$AX738</f>
        <v>R. Sookram</v>
      </c>
      <c r="P14" s="418"/>
      <c r="R14" s="277" t="str">
        <f t="shared" ref="R14:R23" si="9">B14</f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[3]Brewhouse!$A739</f>
        <v>CA690</v>
      </c>
      <c r="D15" s="279">
        <f>[3]Brewhouse!$AF739</f>
        <v>50.5</v>
      </c>
      <c r="E15" s="279">
        <f>[3]Brewhouse!$AI739</f>
        <v>52</v>
      </c>
      <c r="F15" s="278">
        <f>[3]Brewhouse!$V739</f>
        <v>58</v>
      </c>
      <c r="G15" s="488">
        <f>[3]Brewhouse!AG739</f>
        <v>11.4</v>
      </c>
      <c r="H15" s="493">
        <v>11.4</v>
      </c>
      <c r="I15" s="368">
        <f>[3]Brewhouse!$AU739</f>
        <v>100.67902306542751</v>
      </c>
      <c r="J15" s="368">
        <f>[3]Brewhouse!$AV739</f>
        <v>102.2803858299127</v>
      </c>
      <c r="K15" s="281">
        <f>[3]Brewhouse!$Q739</f>
        <v>7.8148148148148131</v>
      </c>
      <c r="L15" s="276">
        <f>[3]Brewhouse!$P739</f>
        <v>60</v>
      </c>
      <c r="M15" s="374">
        <f>[3]Brewhouse!$U739-[3]Brewhouse!$T739</f>
        <v>0.12083333333333335</v>
      </c>
      <c r="N15" s="370">
        <f>[3]Brewhouse!$Z739</f>
        <v>0.26250000000000007</v>
      </c>
      <c r="O15" s="420" t="str">
        <f>[3]Brewhouse!$AX739</f>
        <v>K. Benjamin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20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" customHeight="1">
      <c r="B18" s="36"/>
      <c r="C18" s="366"/>
      <c r="D18" s="279"/>
      <c r="E18" s="279"/>
      <c r="F18" s="278"/>
      <c r="G18" s="279"/>
      <c r="H18" s="396"/>
      <c r="I18" s="489"/>
      <c r="J18" s="489"/>
      <c r="K18" s="490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7.25" customHeight="1" thickBot="1">
      <c r="B19" s="358"/>
      <c r="C19" s="358"/>
      <c r="D19" s="358"/>
      <c r="E19" s="358"/>
      <c r="F19" s="294"/>
      <c r="G19" s="294"/>
      <c r="H19" s="348"/>
      <c r="I19" s="534"/>
      <c r="J19" s="534"/>
      <c r="K19" s="534"/>
      <c r="L19" s="534"/>
      <c r="M19" s="534"/>
      <c r="N19" s="534"/>
      <c r="O19" s="1"/>
      <c r="P19" s="12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483" t="s">
        <v>162</v>
      </c>
      <c r="C20" s="388"/>
      <c r="D20" s="535" t="s">
        <v>35</v>
      </c>
      <c r="E20" s="536"/>
      <c r="F20" s="294"/>
      <c r="G20" s="294"/>
      <c r="H20" s="348"/>
      <c r="I20" s="24" t="s">
        <v>17</v>
      </c>
      <c r="J20" s="25"/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9"/>
        <v xml:space="preserve">BRAND 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>
      <c r="A21" s="28"/>
      <c r="B21" s="537"/>
      <c r="C21" s="484"/>
      <c r="D21" s="522"/>
      <c r="E21" s="523"/>
      <c r="F21" s="294"/>
      <c r="G21" s="294"/>
      <c r="H21" s="348"/>
      <c r="I21" s="29" t="s">
        <v>6</v>
      </c>
      <c r="J21" s="323">
        <f>AVERAGE(I10:I15)</f>
        <v>98.296758078376286</v>
      </c>
      <c r="K21" s="284">
        <f>COUNTA([3]Brewhouse!$A$696:$A$739)</f>
        <v>44</v>
      </c>
      <c r="L21" s="305">
        <f>AVERAGE([3]Brewhouse!$AU$696:$AU$739)</f>
        <v>98.690562998396686</v>
      </c>
      <c r="M21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AVERAGE([3]Brewhouse!$AU$42:$AU$123,[3]Brewhouse!$AU$125:$AU$188,[3]Brewhouse!$AU$198:$AU$290,[3]Brewhouse!$AU$292:$AU$370,[3]Brewhouse!$AU$372:$AU$439,[3]Brewhouse!$AU$441:$AU$497,[3]Brewhouse!$AU$499:$AU$519,[3]Brewhouse!$AU$521:$AU$593,[3]Brewhouse!$AU$595:$AU$739)</f>
        <v>98.312043640934149</v>
      </c>
      <c r="N21" s="30">
        <v>98</v>
      </c>
      <c r="O21" s="11"/>
      <c r="P21" s="31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" customHeight="1">
      <c r="A22" s="28"/>
      <c r="B22" s="538"/>
      <c r="C22" s="362"/>
      <c r="D22" s="524"/>
      <c r="E22" s="525"/>
      <c r="F22" s="294"/>
      <c r="G22" s="294"/>
      <c r="H22" s="348"/>
      <c r="I22" s="33" t="s">
        <v>9</v>
      </c>
      <c r="J22" s="323"/>
      <c r="K22" s="284">
        <f>COUNTA([4]Brewhouse!$A$363:$A$372)</f>
        <v>10</v>
      </c>
      <c r="L22" s="302">
        <f>AVERAGE([4]Brewhouse!$AS$363:$AS$372)</f>
        <v>100.50071873632695</v>
      </c>
      <c r="M22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AVERAGE([4]Brewhouse!$AS$52:$AS$81,[4]Brewhouse!$AS$83:$AS$124,[4]Brewhouse!$AS$134:$AS$177,[4]Brewhouse!$AS$22:$AS$179,[4]Brewhouse!$AS$214:$AS$249,[4]Brewhouse!$AS$252:$AS$293,[4]Brewhouse!$AS$295:$AS$325,[4]Brewhouse!$AS$327:$AS$361,[4]Brewhouse!$AS$363:$AS$372)</f>
        <v>98.29248495310074</v>
      </c>
      <c r="N22" s="30">
        <v>98</v>
      </c>
      <c r="O22" s="11"/>
      <c r="P22" s="31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4.65" customHeight="1">
      <c r="A23" s="28"/>
      <c r="B23" s="538"/>
      <c r="C23" s="362"/>
      <c r="D23" s="529"/>
      <c r="E23" s="530"/>
      <c r="F23" s="294"/>
      <c r="G23" s="294"/>
      <c r="H23" s="348"/>
      <c r="I23" s="34" t="s">
        <v>12</v>
      </c>
      <c r="J23" s="323"/>
      <c r="K23" s="284"/>
      <c r="L23" s="302"/>
      <c r="M23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3" s="30">
        <v>98</v>
      </c>
      <c r="O23" s="11"/>
      <c r="P23" s="31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38"/>
      <c r="C24" s="362"/>
      <c r="D24" s="531"/>
      <c r="E24" s="525"/>
      <c r="F24" s="294"/>
      <c r="G24" s="294"/>
      <c r="H24" s="348"/>
      <c r="I24" s="22" t="s">
        <v>33</v>
      </c>
      <c r="J24" s="280"/>
      <c r="K24" s="284"/>
      <c r="L24" s="302"/>
      <c r="M24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38"/>
      <c r="C25" s="362"/>
      <c r="D25" s="529"/>
      <c r="E25" s="530"/>
      <c r="F25" s="294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38"/>
      <c r="C26" s="362"/>
      <c r="D26" s="531"/>
      <c r="E26" s="525"/>
      <c r="F26" s="417"/>
      <c r="G26" s="294"/>
      <c r="H26" s="348"/>
      <c r="I26" s="36" t="s">
        <v>15</v>
      </c>
      <c r="J26" s="323"/>
      <c r="K26" s="284">
        <f>COUNTA([7]Brewhouse!$A$23:$A$30)</f>
        <v>8</v>
      </c>
      <c r="L26" s="302">
        <f>AVERAGE([7]Brewhouse!$AT$23:$AT$30)</f>
        <v>96.065914782338609</v>
      </c>
      <c r="M26" s="302">
        <f>AVERAGE([7]Brewhouse!$AT$4:$AT$11,[7]Brewhouse!$AT$13:$AT$16,[7]Brewhouse!$AT$18:$AT$30)</f>
        <v>93.22262799886262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38"/>
      <c r="C27" s="362"/>
      <c r="D27" s="529"/>
      <c r="E27" s="530"/>
      <c r="F27" s="417"/>
      <c r="G27" s="294"/>
      <c r="H27" s="348"/>
      <c r="I27" s="37" t="s">
        <v>16</v>
      </c>
      <c r="J27" s="323"/>
      <c r="K27" s="284"/>
      <c r="L27" s="302"/>
      <c r="M27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27" s="30">
        <v>98</v>
      </c>
      <c r="O27" s="11"/>
      <c r="P27" s="31" t="s">
        <v>41</v>
      </c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38"/>
      <c r="C28" s="362"/>
      <c r="D28" s="531"/>
      <c r="E28" s="525"/>
      <c r="F28" s="294"/>
      <c r="G28" s="294"/>
      <c r="H28" s="348"/>
      <c r="I28" s="411" t="s">
        <v>158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38"/>
      <c r="C29" s="362"/>
      <c r="D29" s="529"/>
      <c r="E29" s="530"/>
      <c r="F29" s="294"/>
      <c r="G29" s="294"/>
      <c r="H29" s="348"/>
      <c r="I29" s="410" t="s">
        <v>157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5" customHeight="1" thickBot="1">
      <c r="A30" s="28"/>
      <c r="B30" s="538"/>
      <c r="C30" s="362"/>
      <c r="D30" s="531"/>
      <c r="E30" s="525"/>
      <c r="F30" s="294"/>
      <c r="G30" s="294"/>
      <c r="H30" s="348"/>
      <c r="I30" s="406" t="s">
        <v>156</v>
      </c>
      <c r="J30" s="327"/>
      <c r="K30" s="407"/>
      <c r="L30" s="408"/>
      <c r="M30" s="408"/>
      <c r="N30" s="409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38"/>
      <c r="C31" s="349"/>
      <c r="D31" s="522"/>
      <c r="E31" s="523"/>
      <c r="F31" s="294"/>
      <c r="G31" s="294"/>
      <c r="H31" s="348"/>
      <c r="I31" s="1"/>
      <c r="J31" s="39"/>
      <c r="K31" s="404">
        <f>SUM(K21:K30)</f>
        <v>62</v>
      </c>
      <c r="L31" s="405">
        <f>((L21*K21)+(L22*K22)+(L23*K23)+(L24*K24)+(L25*K25)+(K28*L28)+(L26*K26)+(L27*K27)+(L30*K30))/(K31)</f>
        <v>98.643859315345694</v>
      </c>
      <c r="M31" s="405">
        <f>AVERAGE('[9]Jan30th-31st'!$L$42,'[10]Feb 27th-28th'!$L$45,'[11]Mar 31st'!$L$42,'[12]Apr 30th'!$L$41,'[13]May 29th '!$L$35,'[14]June 30th'!$L$32,[15]July31st!$L$36,'[16]Aug 31st'!$L$32,L31)</f>
        <v>98.065959658310661</v>
      </c>
      <c r="N31" s="4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.75" thickBot="1">
      <c r="B32" s="539"/>
      <c r="C32" s="350"/>
      <c r="D32" s="524"/>
      <c r="E32" s="525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19"/>
      <c r="C33" s="362"/>
      <c r="D33" s="522"/>
      <c r="E33" s="523"/>
      <c r="F33" s="294"/>
      <c r="G33" s="42"/>
      <c r="H33" s="41"/>
      <c r="I33" s="42"/>
      <c r="J33" s="526" t="s">
        <v>129</v>
      </c>
      <c r="K33" s="526"/>
      <c r="L33" s="294"/>
      <c r="M33" s="294"/>
      <c r="N33" s="294"/>
      <c r="O33" s="294"/>
      <c r="P33" s="12"/>
    </row>
    <row r="34" spans="2:56" ht="15.75" thickBot="1">
      <c r="B34" s="520"/>
      <c r="C34" s="362"/>
      <c r="D34" s="524"/>
      <c r="E34" s="525"/>
      <c r="F34" s="294"/>
      <c r="G34" s="42"/>
      <c r="H34" s="42"/>
      <c r="I34" s="42"/>
      <c r="J34" s="292" t="s">
        <v>17</v>
      </c>
      <c r="K34" s="293"/>
      <c r="L34" s="527" t="s">
        <v>136</v>
      </c>
      <c r="M34" s="527"/>
      <c r="N34" s="528"/>
      <c r="O34" s="294"/>
      <c r="P34" s="12"/>
    </row>
    <row r="35" spans="2:56" ht="15" customHeight="1" thickBot="1">
      <c r="B35" s="520"/>
      <c r="C35" s="349"/>
      <c r="D35" s="529"/>
      <c r="E35" s="530"/>
      <c r="F35" s="294"/>
      <c r="G35" s="42"/>
      <c r="H35" s="42"/>
      <c r="I35" s="42"/>
      <c r="J35" s="287" t="s">
        <v>6</v>
      </c>
      <c r="K35" s="324">
        <v>6</v>
      </c>
      <c r="L35" s="473" t="s">
        <v>37</v>
      </c>
      <c r="M35" s="474" t="s">
        <v>38</v>
      </c>
      <c r="N35" s="474" t="s">
        <v>84</v>
      </c>
      <c r="O35" s="294"/>
      <c r="P35" s="12"/>
    </row>
    <row r="36" spans="2:56" ht="15.75" customHeight="1" thickBot="1">
      <c r="B36" s="520"/>
      <c r="C36" s="349"/>
      <c r="D36" s="531"/>
      <c r="E36" s="525"/>
      <c r="F36" s="294"/>
      <c r="G36" s="42"/>
      <c r="H36" s="42"/>
      <c r="I36" s="42"/>
      <c r="J36" s="345" t="s">
        <v>9</v>
      </c>
      <c r="K36" s="324"/>
      <c r="L36" s="485">
        <f>AVERAGE('Sept 1st'!K45,'Sept 2nd'!K47,'Sept 3rd'!K44,'Sept 4th'!K46,'Sept 7th'!K48,'Sept 8th'!K48,'Sept 9th'!K50,'Sept 10th'!K49,K45)</f>
        <v>6.8888888888888893</v>
      </c>
      <c r="M36" s="486">
        <f>AVERAGE('[9]Jan30th-31st'!$L$47,L36,'[10]Feb 26th '!$L$39,'[11]Mar 31st'!$L$47,'[12]Apr 30th'!$L$46,'[13]May 29th '!$L$40,'[14]June 30th'!$L$39,[15]July31st!$L$41,'[16]Aug 31st'!$L$37)</f>
        <v>6.5032213626416526</v>
      </c>
      <c r="N36" s="416">
        <v>9.1999999999999993</v>
      </c>
      <c r="O36" s="294"/>
      <c r="P36" s="12"/>
    </row>
    <row r="37" spans="2:56" ht="15" customHeight="1">
      <c r="B37" s="520"/>
      <c r="C37" s="349"/>
      <c r="D37" s="529"/>
      <c r="E37" s="530"/>
      <c r="F37" s="294"/>
      <c r="G37" s="42"/>
      <c r="H37" s="42"/>
      <c r="I37" s="42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20"/>
      <c r="C38" s="349"/>
      <c r="D38" s="531"/>
      <c r="E38" s="525"/>
      <c r="F38" s="294"/>
      <c r="G38" s="42"/>
      <c r="H38" s="42"/>
      <c r="I38" s="42"/>
      <c r="J38" s="289" t="s">
        <v>33</v>
      </c>
      <c r="K38" s="324"/>
      <c r="L38" s="294"/>
      <c r="M38" s="294"/>
      <c r="N38" s="294"/>
      <c r="O38" s="294"/>
      <c r="P38" s="12"/>
    </row>
    <row r="39" spans="2:56" ht="15">
      <c r="B39" s="520"/>
      <c r="C39" s="349"/>
      <c r="D39" s="529"/>
      <c r="E39" s="530"/>
      <c r="F39" s="294"/>
      <c r="G39" s="42"/>
      <c r="H39" s="42"/>
      <c r="I39" s="42"/>
      <c r="J39" s="290" t="s">
        <v>16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0"/>
      <c r="C40" s="349"/>
      <c r="D40" s="531"/>
      <c r="E40" s="525"/>
      <c r="F40" s="294"/>
      <c r="G40" s="42"/>
      <c r="H40" s="42"/>
      <c r="I40" s="42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0"/>
      <c r="C41" s="349"/>
      <c r="D41" s="529"/>
      <c r="E41" s="530"/>
      <c r="F41" s="294"/>
      <c r="G41" s="42"/>
      <c r="H41" s="42"/>
      <c r="I41" s="42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.75" thickBot="1">
      <c r="B42" s="521"/>
      <c r="C42" s="350"/>
      <c r="D42" s="532"/>
      <c r="E42" s="533"/>
      <c r="F42" s="294" t="s">
        <v>165</v>
      </c>
      <c r="G42" s="42"/>
      <c r="H42" s="42"/>
      <c r="I42" s="42"/>
      <c r="J42" s="291" t="s">
        <v>148</v>
      </c>
      <c r="K42" s="324"/>
      <c r="L42" s="294"/>
      <c r="M42" s="294"/>
      <c r="N42" s="294" t="s">
        <v>41</v>
      </c>
      <c r="O42" s="294"/>
      <c r="P42" s="12"/>
      <c r="BC42" s="44"/>
      <c r="BD42" s="44"/>
    </row>
    <row r="43" spans="2:56" ht="17.649999999999999" customHeight="1" thickBot="1">
      <c r="B43" s="312" t="s">
        <v>139</v>
      </c>
      <c r="C43" s="313"/>
      <c r="D43" s="510"/>
      <c r="E43" s="511"/>
      <c r="F43" s="294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649999999999999" customHeight="1">
      <c r="B44" s="363"/>
      <c r="C44" s="364"/>
      <c r="D44" s="365"/>
      <c r="E44" s="365"/>
      <c r="F44" s="294"/>
      <c r="G44" s="42"/>
      <c r="H44" s="42"/>
      <c r="I44" s="42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6" customHeight="1">
      <c r="B45" s="45"/>
      <c r="C45" s="11"/>
      <c r="D45" s="11"/>
      <c r="E45" s="46"/>
      <c r="F45" s="294"/>
      <c r="G45" s="42"/>
      <c r="H45" s="42"/>
      <c r="I45" s="42"/>
      <c r="J45" s="346" t="s">
        <v>130</v>
      </c>
      <c r="K45" s="324">
        <f>SUM(K35:K44)</f>
        <v>6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2"/>
      <c r="L46" s="42"/>
      <c r="N46" s="315"/>
      <c r="P46" s="334"/>
    </row>
    <row r="47" spans="2:56" ht="15" customHeight="1" thickBot="1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1"/>
      <c r="O47" s="48"/>
      <c r="P47" s="49"/>
    </row>
    <row r="48" spans="2:56" ht="15" customHeight="1" thickBot="1">
      <c r="B48" s="504" t="s">
        <v>17</v>
      </c>
      <c r="C48" s="504" t="s">
        <v>44</v>
      </c>
      <c r="D48" s="513" t="s">
        <v>45</v>
      </c>
      <c r="E48" s="515" t="s">
        <v>46</v>
      </c>
      <c r="F48" s="517" t="s">
        <v>47</v>
      </c>
      <c r="G48" s="502" t="s">
        <v>48</v>
      </c>
      <c r="H48" s="504" t="s">
        <v>49</v>
      </c>
      <c r="I48" s="504" t="s">
        <v>50</v>
      </c>
      <c r="J48" s="496" t="s">
        <v>28</v>
      </c>
      <c r="K48" s="506" t="s">
        <v>51</v>
      </c>
      <c r="L48" s="508" t="s">
        <v>52</v>
      </c>
      <c r="M48" s="496" t="s">
        <v>53</v>
      </c>
      <c r="N48" s="13"/>
      <c r="O48" s="13"/>
      <c r="P48" s="50"/>
    </row>
    <row r="49" spans="2:57" ht="28.5" customHeight="1" thickTop="1" thickBot="1">
      <c r="B49" s="505"/>
      <c r="C49" s="512"/>
      <c r="D49" s="514"/>
      <c r="E49" s="516"/>
      <c r="F49" s="518"/>
      <c r="G49" s="503"/>
      <c r="H49" s="505"/>
      <c r="I49" s="505"/>
      <c r="J49" s="497"/>
      <c r="K49" s="507"/>
      <c r="L49" s="509"/>
      <c r="M49" s="497"/>
      <c r="N49" s="13"/>
      <c r="O49" s="13"/>
      <c r="P49" s="50"/>
      <c r="Q49" s="355"/>
      <c r="AB49" s="475">
        <v>43474</v>
      </c>
      <c r="AC49" s="475">
        <v>43475</v>
      </c>
      <c r="AD49" s="475">
        <v>43476</v>
      </c>
      <c r="AE49" s="475">
        <v>43477</v>
      </c>
      <c r="AF49" s="475">
        <v>43478</v>
      </c>
      <c r="AG49" s="475">
        <v>43479</v>
      </c>
      <c r="AH49" s="475">
        <v>43480</v>
      </c>
      <c r="AI49" s="475">
        <v>43481</v>
      </c>
      <c r="AJ49" s="475">
        <v>43482</v>
      </c>
      <c r="AK49" s="475">
        <v>43483</v>
      </c>
      <c r="AL49" s="475">
        <v>43484</v>
      </c>
      <c r="AM49" s="475">
        <v>43485</v>
      </c>
      <c r="AN49" s="475">
        <v>43486</v>
      </c>
      <c r="AO49" s="475">
        <v>43487</v>
      </c>
      <c r="AP49" s="475">
        <v>43488</v>
      </c>
      <c r="AQ49" s="475">
        <v>43489</v>
      </c>
      <c r="AR49" s="475">
        <v>43490</v>
      </c>
      <c r="AS49" s="475">
        <v>43491</v>
      </c>
      <c r="AT49" s="475">
        <v>43492</v>
      </c>
      <c r="AU49" s="475">
        <v>43493</v>
      </c>
      <c r="AV49" s="475">
        <v>43494</v>
      </c>
      <c r="AW49" s="475">
        <v>43495</v>
      </c>
      <c r="AX49" s="475">
        <v>43496</v>
      </c>
    </row>
    <row r="50" spans="2:57" s="54" customFormat="1" ht="36.75" customHeight="1" thickBot="1">
      <c r="B50" s="495" t="str">
        <f>J40</f>
        <v>MACKESON</v>
      </c>
      <c r="C50" s="479">
        <v>46276</v>
      </c>
      <c r="D50" s="445">
        <f>[17]September_2026!$N$34</f>
        <v>199.59999999999997</v>
      </c>
      <c r="E50" s="443">
        <f>SUM([7]Process!$Y$27:$Y$30)</f>
        <v>3.8</v>
      </c>
      <c r="F50" s="444"/>
      <c r="G50" s="444">
        <f>[17]September_2026!$N$39</f>
        <v>193</v>
      </c>
      <c r="H50" s="458"/>
      <c r="I50" s="458"/>
      <c r="J50" s="448" t="s">
        <v>150</v>
      </c>
      <c r="K50" s="449">
        <f>[18]September_2026!$N$39</f>
        <v>0.67719298245614035</v>
      </c>
      <c r="L50" s="457">
        <f>(((D50+E50)-G50)/(D50+E50))*100</f>
        <v>5.1130776794493498</v>
      </c>
      <c r="M50" s="455" t="s">
        <v>176</v>
      </c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[19]January_2019!L5</f>
        <v>0</v>
      </c>
      <c r="AC50" s="57">
        <f>[19]January_2019!M5</f>
        <v>0</v>
      </c>
      <c r="AD50" s="57">
        <f>[19]January_2019!N5</f>
        <v>0</v>
      </c>
      <c r="AE50" s="57">
        <f>[19]January_2019!O5</f>
        <v>0</v>
      </c>
      <c r="AF50" s="57">
        <f>[19]January_2019!P5</f>
        <v>0</v>
      </c>
      <c r="AG50" s="57">
        <f>[19]January_2019!Q5</f>
        <v>0</v>
      </c>
      <c r="AH50" s="57">
        <f>[19]January_2019!R5</f>
        <v>0</v>
      </c>
      <c r="AI50" s="57">
        <f>[19]January_2019!S5</f>
        <v>0</v>
      </c>
      <c r="AJ50" s="57">
        <f>[19]January_2019!T5</f>
        <v>0</v>
      </c>
      <c r="AK50" s="57">
        <f>[19]January_2019!U5</f>
        <v>0</v>
      </c>
      <c r="AL50" s="57">
        <f>[19]January_2019!V5</f>
        <v>0</v>
      </c>
      <c r="AM50" s="57">
        <f>[19]January_2019!W5</f>
        <v>0</v>
      </c>
      <c r="AN50" s="57">
        <f>[19]January_2019!X5</f>
        <v>0</v>
      </c>
      <c r="AO50" s="57">
        <f>[19]January_2019!Y5</f>
        <v>0</v>
      </c>
      <c r="AP50" s="57">
        <f>[19]January_2019!Z5</f>
        <v>0</v>
      </c>
      <c r="AQ50" s="57">
        <f>[19]January_2019!AA5</f>
        <v>0</v>
      </c>
      <c r="AR50" s="57">
        <f>[19]January_2019!AB5</f>
        <v>0</v>
      </c>
      <c r="AS50" s="57">
        <f>[19]January_2019!AC5</f>
        <v>0</v>
      </c>
      <c r="AT50" s="57">
        <f>[19]January_2019!AD5</f>
        <v>0</v>
      </c>
      <c r="AU50" s="57">
        <f>[19]January_2019!AE5</f>
        <v>0</v>
      </c>
      <c r="AV50" s="57">
        <f>[19]January_2019!AF5</f>
        <v>0</v>
      </c>
      <c r="AW50" s="57">
        <f>[19]January_2019!AG5</f>
        <v>0</v>
      </c>
      <c r="AX50" s="277">
        <f>[19]January_2019!AH5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14.25" customHeight="1" thickBot="1">
      <c r="B51" s="480"/>
      <c r="C51" s="479"/>
      <c r="D51" s="442"/>
      <c r="E51" s="443"/>
      <c r="F51" s="444"/>
      <c r="G51" s="445"/>
      <c r="H51" s="458"/>
      <c r="I51" s="458"/>
      <c r="J51" s="476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[19]January_2019!L6</f>
        <v>0</v>
      </c>
      <c r="AC51" s="57">
        <f>[19]January_2019!M6</f>
        <v>0</v>
      </c>
      <c r="AD51" s="57">
        <f>[19]January_2019!N6</f>
        <v>0</v>
      </c>
      <c r="AE51" s="57">
        <f>[19]January_2019!O6</f>
        <v>0</v>
      </c>
      <c r="AF51" s="57">
        <f>[19]January_2019!P6</f>
        <v>0</v>
      </c>
      <c r="AG51" s="57">
        <f>[19]January_2019!Q6</f>
        <v>0</v>
      </c>
      <c r="AH51" s="57">
        <f>[19]January_2019!R6</f>
        <v>0</v>
      </c>
      <c r="AI51" s="57">
        <f>[19]January_2019!S6</f>
        <v>0</v>
      </c>
      <c r="AJ51" s="57">
        <f>[19]January_2019!T6</f>
        <v>0</v>
      </c>
      <c r="AK51" s="57">
        <f>[19]January_2019!U6</f>
        <v>0</v>
      </c>
      <c r="AL51" s="57">
        <f>[19]January_2019!V6</f>
        <v>0</v>
      </c>
      <c r="AM51" s="57">
        <f>[19]January_2019!W6</f>
        <v>0</v>
      </c>
      <c r="AN51" s="57">
        <f>[19]January_2019!X6</f>
        <v>0</v>
      </c>
      <c r="AO51" s="57">
        <f>[19]January_2019!Y6</f>
        <v>0</v>
      </c>
      <c r="AP51" s="57">
        <f>[19]January_2019!Z6</f>
        <v>0</v>
      </c>
      <c r="AQ51" s="57">
        <f>[19]January_2019!AA6</f>
        <v>0</v>
      </c>
      <c r="AR51" s="57">
        <f>[19]January_2019!AB6</f>
        <v>0</v>
      </c>
      <c r="AS51" s="57">
        <f>[19]January_2019!AC6</f>
        <v>0</v>
      </c>
      <c r="AT51" s="57">
        <f>[19]January_2019!AD6</f>
        <v>0</v>
      </c>
      <c r="AU51" s="57">
        <f>[19]January_2019!AE6</f>
        <v>0</v>
      </c>
      <c r="AV51" s="57">
        <f>[19]January_2019!AF6</f>
        <v>0</v>
      </c>
      <c r="AW51" s="57">
        <f>[19]January_2019!AG6</f>
        <v>0</v>
      </c>
      <c r="AX51" s="277">
        <f>[19]January_2019!AH6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37.15" customHeight="1" thickBot="1">
      <c r="B52" s="495" t="str">
        <f>J40</f>
        <v>MACKESON</v>
      </c>
      <c r="C52" s="479">
        <v>46276</v>
      </c>
      <c r="D52" s="442">
        <f>[17]September_2026!$O$34</f>
        <v>99.2</v>
      </c>
      <c r="E52" s="443">
        <f>[38]MACKESON!$S$7</f>
        <v>1.9</v>
      </c>
      <c r="F52" s="444"/>
      <c r="G52" s="444">
        <f>[17]September_2026!$O$39</f>
        <v>97</v>
      </c>
      <c r="H52" s="446"/>
      <c r="I52" s="446"/>
      <c r="J52" s="448" t="s">
        <v>174</v>
      </c>
      <c r="K52" s="449">
        <f>[18]September_2026!$O$39</f>
        <v>0.34035087719298246</v>
      </c>
      <c r="L52" s="457">
        <f>(((D52+E52)-G52)/(D52+E52))*100</f>
        <v>4.055390702274984</v>
      </c>
      <c r="M52" s="455" t="s">
        <v>178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[19]January_2019!L7</f>
        <v>285.8</v>
      </c>
      <c r="AC52" s="57">
        <f>[19]January_2019!M7</f>
        <v>508.1</v>
      </c>
      <c r="AD52" s="57">
        <f>[19]January_2019!N7</f>
        <v>0</v>
      </c>
      <c r="AE52" s="57">
        <f>[19]January_2019!O7</f>
        <v>0</v>
      </c>
      <c r="AF52" s="57">
        <f>[19]January_2019!P7</f>
        <v>109.56666666666666</v>
      </c>
      <c r="AG52" s="57">
        <f>[19]January_2019!Q7</f>
        <v>297.64999999999998</v>
      </c>
      <c r="AH52" s="57">
        <f>[19]January_2019!R7</f>
        <v>122.3</v>
      </c>
      <c r="AI52" s="57">
        <f>[19]January_2019!S7</f>
        <v>0</v>
      </c>
      <c r="AJ52" s="57">
        <f>[19]January_2019!T7</f>
        <v>294.7</v>
      </c>
      <c r="AK52" s="57">
        <f>[19]January_2019!U7</f>
        <v>280.5</v>
      </c>
      <c r="AL52" s="57">
        <f>[19]January_2019!V7</f>
        <v>0</v>
      </c>
      <c r="AM52" s="57">
        <f>[19]January_2019!W7</f>
        <v>0</v>
      </c>
      <c r="AN52" s="57">
        <f>[19]January_2019!X7</f>
        <v>188.25</v>
      </c>
      <c r="AO52" s="57">
        <f>[19]January_2019!Y7</f>
        <v>295.7</v>
      </c>
      <c r="AP52" s="57">
        <f>[19]January_2019!Z7</f>
        <v>257.8</v>
      </c>
      <c r="AQ52" s="57">
        <f>[19]January_2019!AA7</f>
        <v>291.2</v>
      </c>
      <c r="AR52" s="57">
        <f>[19]January_2019!AB7</f>
        <v>187</v>
      </c>
      <c r="AS52" s="57">
        <f>[19]January_2019!AC7</f>
        <v>0</v>
      </c>
      <c r="AT52" s="57">
        <f>[19]January_2019!AD7</f>
        <v>0</v>
      </c>
      <c r="AU52" s="57">
        <f>[19]January_2019!AE7</f>
        <v>485.1</v>
      </c>
      <c r="AV52" s="57">
        <f>[19]January_2019!AF7</f>
        <v>171.55</v>
      </c>
      <c r="AW52" s="57">
        <f>[19]January_2019!AG7</f>
        <v>423.8</v>
      </c>
      <c r="AX52" s="277">
        <f>[19]January_2019!AH7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8.600000000000001" hidden="1" customHeight="1" thickBot="1">
      <c r="B53" s="478"/>
      <c r="C53" s="430"/>
      <c r="D53" s="431"/>
      <c r="E53" s="432"/>
      <c r="F53" s="433"/>
      <c r="G53" s="434"/>
      <c r="H53" s="458"/>
      <c r="I53" s="458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38.65" hidden="1" customHeight="1" thickBot="1">
      <c r="B54" s="487"/>
      <c r="C54" s="479"/>
      <c r="D54" s="442"/>
      <c r="E54" s="443"/>
      <c r="F54" s="444"/>
      <c r="G54" s="445"/>
      <c r="H54" s="458"/>
      <c r="I54" s="458"/>
      <c r="J54" s="448"/>
      <c r="K54" s="45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5" hidden="1">
      <c r="B55" s="453"/>
      <c r="C55" s="430"/>
      <c r="D55" s="431"/>
      <c r="E55" s="432"/>
      <c r="F55" s="433"/>
      <c r="G55" s="434"/>
      <c r="H55" s="435"/>
      <c r="I55" s="450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81"/>
      <c r="C56" s="479"/>
      <c r="D56" s="442"/>
      <c r="E56" s="443"/>
      <c r="F56" s="444"/>
      <c r="G56" s="445"/>
      <c r="H56" s="446"/>
      <c r="I56" s="447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6.5" hidden="1" customHeight="1" thickBot="1">
      <c r="B57" s="437"/>
      <c r="C57" s="423"/>
      <c r="D57" s="424"/>
      <c r="E57" s="425"/>
      <c r="F57" s="426"/>
      <c r="G57" s="427"/>
      <c r="H57" s="428"/>
      <c r="I57" s="438"/>
      <c r="J57" s="439"/>
      <c r="K57" s="429"/>
      <c r="L57" s="440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</row>
    <row r="58" spans="2:57" s="54" customFormat="1" ht="37.15" hidden="1" customHeight="1" thickBot="1">
      <c r="B58" s="456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customHeight="1">
      <c r="B59" s="466"/>
      <c r="C59" s="430"/>
      <c r="D59" s="460"/>
      <c r="E59" s="461"/>
      <c r="F59" s="462"/>
      <c r="G59" s="460"/>
      <c r="H59" s="463"/>
      <c r="I59" s="463"/>
      <c r="J59" s="463"/>
      <c r="K59" s="464"/>
      <c r="L59" s="465"/>
      <c r="M59" s="5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498" t="s">
        <v>55</v>
      </c>
      <c r="C61" s="499"/>
      <c r="D61" s="499"/>
      <c r="E61" s="499"/>
      <c r="F61" s="500"/>
      <c r="G61" s="498" t="s">
        <v>56</v>
      </c>
      <c r="H61" s="499"/>
      <c r="I61" s="499"/>
      <c r="J61" s="500"/>
      <c r="K61" s="498" t="s">
        <v>51</v>
      </c>
      <c r="L61" s="499"/>
      <c r="M61" s="499"/>
      <c r="N61" s="501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/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/>
      <c r="D63" s="76">
        <v>7.1683223149077477</v>
      </c>
      <c r="E63" s="76">
        <v>6.5664758512118544</v>
      </c>
      <c r="F63" s="66">
        <v>4.8</v>
      </c>
      <c r="G63" s="65"/>
      <c r="H63" s="477">
        <v>6.6712241771672547</v>
      </c>
      <c r="I63" s="477">
        <v>6.6530949425970096</v>
      </c>
      <c r="J63" s="66">
        <v>4.8</v>
      </c>
      <c r="K63" s="67"/>
      <c r="L63" s="194">
        <v>0.62401503759398502</v>
      </c>
      <c r="M63" s="194">
        <v>0.53270208479630277</v>
      </c>
      <c r="N63" s="68">
        <v>1</v>
      </c>
      <c r="O63" s="56"/>
      <c r="P63" s="69"/>
    </row>
    <row r="64" spans="2:57" ht="15">
      <c r="B64" s="33" t="s">
        <v>9</v>
      </c>
      <c r="C64" s="65"/>
      <c r="D64" s="76">
        <v>8.6363636363636189</v>
      </c>
      <c r="E64" s="76">
        <v>5.8721053130307412</v>
      </c>
      <c r="F64" s="66">
        <v>4.8</v>
      </c>
      <c r="G64" s="65"/>
      <c r="H64" s="76">
        <v>7.5248838752488254</v>
      </c>
      <c r="I64" s="76">
        <v>5.9880521869393624</v>
      </c>
      <c r="J64" s="66">
        <v>4.8</v>
      </c>
      <c r="K64" s="67"/>
      <c r="L64" s="194">
        <v>0.31736842105263158</v>
      </c>
      <c r="M64" s="194">
        <v>0.68971317640877172</v>
      </c>
      <c r="N64" s="68">
        <v>1</v>
      </c>
      <c r="P64" s="69"/>
    </row>
    <row r="65" spans="2:16" ht="15">
      <c r="B65" s="34" t="s">
        <v>40</v>
      </c>
      <c r="C65" s="65"/>
      <c r="D65" s="76"/>
      <c r="E65" s="76">
        <v>11.277593164016125</v>
      </c>
      <c r="F65" s="66">
        <v>5.5</v>
      </c>
      <c r="G65" s="65"/>
      <c r="H65" s="76"/>
      <c r="I65" s="76">
        <v>11.857907912244482</v>
      </c>
      <c r="J65" s="66">
        <v>5.5</v>
      </c>
      <c r="K65" s="67"/>
      <c r="L65" s="194"/>
      <c r="M65" s="194">
        <v>0.35370190356844494</v>
      </c>
      <c r="N65" s="68">
        <v>1</v>
      </c>
      <c r="P65" s="69"/>
    </row>
    <row r="66" spans="2:16" ht="15">
      <c r="B66" s="22" t="s">
        <v>33</v>
      </c>
      <c r="C66" s="65"/>
      <c r="D66" s="76"/>
      <c r="E66" s="76">
        <v>4.8685538193023836</v>
      </c>
      <c r="F66" s="66">
        <v>3.3</v>
      </c>
      <c r="G66" s="65"/>
      <c r="H66" s="76"/>
      <c r="I66" s="76">
        <v>4.8702525342252114</v>
      </c>
      <c r="J66" s="66">
        <v>3.3</v>
      </c>
      <c r="K66" s="67"/>
      <c r="L66" s="194"/>
      <c r="M66" s="194">
        <v>0.77919298245614044</v>
      </c>
      <c r="N66" s="68">
        <v>1</v>
      </c>
      <c r="P66" s="69"/>
    </row>
    <row r="67" spans="2:16" ht="15">
      <c r="B67" s="35" t="s">
        <v>164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 ht="15">
      <c r="B68" s="36" t="s">
        <v>15</v>
      </c>
      <c r="C68" s="65">
        <f>AVERAGE(L50,L52)</f>
        <v>4.5842341908621673</v>
      </c>
      <c r="D68" s="76">
        <v>6.8855672629257718</v>
      </c>
      <c r="E68" s="76">
        <v>6.3233965672990236</v>
      </c>
      <c r="F68" s="70">
        <v>5.5</v>
      </c>
      <c r="G68" s="65">
        <f>AVERAGE([17]September_2026!$N$43:$O$43)</f>
        <v>5.2526770594169907</v>
      </c>
      <c r="H68" s="76">
        <v>7.4264332958762713</v>
      </c>
      <c r="I68" s="76">
        <v>7.9667553186446929</v>
      </c>
      <c r="J68" s="66">
        <v>5.5</v>
      </c>
      <c r="K68" s="67">
        <f>AVERAGE(K50,K52)</f>
        <v>0.50877192982456143</v>
      </c>
      <c r="L68" s="194">
        <v>0.391812865497076</v>
      </c>
      <c r="M68" s="194">
        <v>0.5883625730994152</v>
      </c>
      <c r="N68" s="68">
        <v>1</v>
      </c>
      <c r="P68" s="69"/>
    </row>
    <row r="69" spans="2:16" ht="15">
      <c r="B69" s="37" t="s">
        <v>16</v>
      </c>
      <c r="C69" s="482"/>
      <c r="D69" s="76"/>
      <c r="E69" s="76">
        <v>3.6168923014750334</v>
      </c>
      <c r="F69" s="66">
        <v>3.3</v>
      </c>
      <c r="G69" s="282"/>
      <c r="H69" s="76"/>
      <c r="I69" s="76">
        <v>5.0091179718082053</v>
      </c>
      <c r="J69" s="66">
        <v>3.3</v>
      </c>
      <c r="K69" s="67"/>
      <c r="L69" s="194"/>
      <c r="M69" s="194">
        <v>0.92642300194931759</v>
      </c>
      <c r="N69" s="71">
        <v>1</v>
      </c>
      <c r="P69" s="69"/>
    </row>
    <row r="70" spans="2:16" ht="15.75" thickBot="1">
      <c r="B70" s="38" t="s">
        <v>163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L70" s="194"/>
      <c r="M70" s="194"/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/>
      <c r="F71" s="66">
        <v>4.8</v>
      </c>
      <c r="G71" s="282"/>
      <c r="H71" s="76"/>
      <c r="I71" s="76"/>
      <c r="J71" s="66">
        <v>4.8</v>
      </c>
      <c r="K71" s="67"/>
      <c r="L71" s="194"/>
      <c r="M71" s="194"/>
      <c r="N71" s="71">
        <v>1</v>
      </c>
      <c r="O71" s="74"/>
      <c r="P71" s="75"/>
    </row>
    <row r="72" spans="2:16" ht="15">
      <c r="D72" s="76">
        <v>7.3331753034703908</v>
      </c>
      <c r="E72" s="76">
        <v>6.378450933754924</v>
      </c>
      <c r="F72" s="341">
        <v>5.5</v>
      </c>
      <c r="H72" s="76">
        <v>6.9168836389050607</v>
      </c>
      <c r="I72" s="76">
        <v>6.7031757949393809</v>
      </c>
      <c r="J72" s="341">
        <v>5.5</v>
      </c>
      <c r="L72" s="194">
        <v>0.53281020733652318</v>
      </c>
      <c r="M72" s="194">
        <v>0.59433701786386905</v>
      </c>
      <c r="N7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B33:B42"/>
    <mergeCell ref="D33:E34"/>
    <mergeCell ref="J33:K33"/>
    <mergeCell ref="L34:N34"/>
    <mergeCell ref="D35:E36"/>
    <mergeCell ref="D37:E38"/>
    <mergeCell ref="D39:E40"/>
    <mergeCell ref="D41:E42"/>
    <mergeCell ref="D43:E43"/>
    <mergeCell ref="B48:B49"/>
    <mergeCell ref="C48:C49"/>
    <mergeCell ref="D48:D49"/>
    <mergeCell ref="E48:E49"/>
    <mergeCell ref="M48:M49"/>
    <mergeCell ref="B61:F61"/>
    <mergeCell ref="G61:J61"/>
    <mergeCell ref="K61:N61"/>
    <mergeCell ref="G48:G49"/>
    <mergeCell ref="H48:H49"/>
    <mergeCell ref="I48:I49"/>
    <mergeCell ref="J48:J49"/>
    <mergeCell ref="K48:K49"/>
    <mergeCell ref="L48:L49"/>
    <mergeCell ref="F48:F49"/>
  </mergeCells>
  <conditionalFormatting sqref="B43:B44">
    <cfRule type="cellIs" dxfId="1912" priority="102" operator="notBetween">
      <formula>#REF!</formula>
      <formula>#REF!</formula>
    </cfRule>
  </conditionalFormatting>
  <conditionalFormatting sqref="C47">
    <cfRule type="cellIs" dxfId="1911" priority="184" stopIfTrue="1" operator="lessThan">
      <formula>96</formula>
    </cfRule>
    <cfRule type="cellIs" dxfId="1910" priority="185" stopIfTrue="1" operator="greaterThan">
      <formula>100</formula>
    </cfRule>
  </conditionalFormatting>
  <conditionalFormatting sqref="C63:C64">
    <cfRule type="cellIs" dxfId="1909" priority="65" stopIfTrue="1" operator="greaterThan">
      <formula>$F63</formula>
    </cfRule>
    <cfRule type="cellIs" dxfId="1908" priority="66" stopIfTrue="1" operator="lessThanOrEqual">
      <formula>0</formula>
    </cfRule>
    <cfRule type="cellIs" dxfId="1907" priority="67" stopIfTrue="1" operator="greaterThan">
      <formula>$F63</formula>
    </cfRule>
    <cfRule type="cellIs" dxfId="1906" priority="68" stopIfTrue="1" operator="lessThanOrEqual">
      <formula>0</formula>
    </cfRule>
  </conditionalFormatting>
  <conditionalFormatting sqref="C65:C67 C69:C71">
    <cfRule type="cellIs" dxfId="1905" priority="74" stopIfTrue="1" operator="greaterThan">
      <formula>$F68</formula>
    </cfRule>
  </conditionalFormatting>
  <conditionalFormatting sqref="C65:C67">
    <cfRule type="cellIs" dxfId="1904" priority="75" stopIfTrue="1" operator="lessThanOrEqual">
      <formula>0</formula>
    </cfRule>
  </conditionalFormatting>
  <conditionalFormatting sqref="C68">
    <cfRule type="cellIs" dxfId="1903" priority="186" stopIfTrue="1" operator="greaterThan">
      <formula>$F63</formula>
    </cfRule>
    <cfRule type="cellIs" dxfId="1902" priority="187" stopIfTrue="1" operator="lessThanOrEqual">
      <formula>0</formula>
    </cfRule>
    <cfRule type="cellIs" dxfId="1901" priority="188" stopIfTrue="1" operator="greaterThan">
      <formula>$F63</formula>
    </cfRule>
    <cfRule type="cellIs" dxfId="1900" priority="189" stopIfTrue="1" operator="lessThanOrEqual">
      <formula>0</formula>
    </cfRule>
  </conditionalFormatting>
  <conditionalFormatting sqref="C69:C71">
    <cfRule type="cellIs" dxfId="1899" priority="76" stopIfTrue="1" operator="lessThanOrEqual">
      <formula>0</formula>
    </cfRule>
  </conditionalFormatting>
  <conditionalFormatting sqref="C74:C78">
    <cfRule type="cellIs" dxfId="1898" priority="176" stopIfTrue="1" operator="lessThanOrEqual">
      <formula>0</formula>
    </cfRule>
  </conditionalFormatting>
  <conditionalFormatting sqref="C75:C78">
    <cfRule type="cellIs" dxfId="1897" priority="175" stopIfTrue="1" operator="greaterThan">
      <formula>$F$74</formula>
    </cfRule>
  </conditionalFormatting>
  <conditionalFormatting sqref="C80">
    <cfRule type="cellIs" dxfId="1896" priority="177" stopIfTrue="1" operator="greaterThan">
      <formula>$F$74</formula>
    </cfRule>
    <cfRule type="cellIs" dxfId="1895" priority="178" stopIfTrue="1" operator="lessThanOrEqual">
      <formula>0</formula>
    </cfRule>
  </conditionalFormatting>
  <conditionalFormatting sqref="C68:D68">
    <cfRule type="cellIs" dxfId="1894" priority="63" stopIfTrue="1" operator="greaterThan">
      <formula>$J68</formula>
    </cfRule>
    <cfRule type="cellIs" dxfId="1893" priority="64" stopIfTrue="1" operator="lessThanOrEqual">
      <formula>0</formula>
    </cfRule>
  </conditionalFormatting>
  <conditionalFormatting sqref="C74:D74 D76:D82">
    <cfRule type="cellIs" dxfId="1892" priority="170" stopIfTrue="1" operator="greaterThan">
      <formula>4.5</formula>
    </cfRule>
  </conditionalFormatting>
  <conditionalFormatting sqref="D43:D44">
    <cfRule type="cellIs" dxfId="1891" priority="103" operator="notBetween">
      <formula>#REF!</formula>
      <formula>#REF!</formula>
    </cfRule>
  </conditionalFormatting>
  <conditionalFormatting sqref="D63:D67 D69:D70">
    <cfRule type="cellIs" dxfId="1890" priority="73" stopIfTrue="1" operator="lessThanOrEqual">
      <formula>0</formula>
    </cfRule>
  </conditionalFormatting>
  <conditionalFormatting sqref="D63:D67 D69:D72">
    <cfRule type="cellIs" dxfId="1889" priority="69" stopIfTrue="1" operator="lessThanOrEqual">
      <formula>0</formula>
    </cfRule>
    <cfRule type="cellIs" dxfId="1888" priority="70" stopIfTrue="1" operator="greaterThan">
      <formula>$F63</formula>
    </cfRule>
  </conditionalFormatting>
  <conditionalFormatting sqref="D71:D72">
    <cfRule type="cellIs" dxfId="1887" priority="71" stopIfTrue="1" operator="lessThanOrEqual">
      <formula>0</formula>
    </cfRule>
  </conditionalFormatting>
  <conditionalFormatting sqref="D72">
    <cfRule type="cellIs" dxfId="1886" priority="72" stopIfTrue="1" operator="lessThanOrEqual">
      <formula>0</formula>
    </cfRule>
  </conditionalFormatting>
  <conditionalFormatting sqref="D74 D76:D82">
    <cfRule type="cellIs" dxfId="1885" priority="171" stopIfTrue="1" operator="lessThanOrEqual">
      <formula>0</formula>
    </cfRule>
  </conditionalFormatting>
  <conditionalFormatting sqref="D75">
    <cfRule type="cellIs" dxfId="1884" priority="162" stopIfTrue="1" operator="greaterThan">
      <formula>$F$74</formula>
    </cfRule>
    <cfRule type="cellIs" dxfId="1883" priority="163" stopIfTrue="1" operator="lessThanOrEqual">
      <formula>0</formula>
    </cfRule>
  </conditionalFormatting>
  <conditionalFormatting sqref="E10:E18">
    <cfRule type="cellIs" dxfId="1882" priority="12" operator="lessThan">
      <formula>48</formula>
    </cfRule>
  </conditionalFormatting>
  <conditionalFormatting sqref="E46 E47:F47">
    <cfRule type="cellIs" dxfId="1881" priority="167" stopIfTrue="1" operator="greaterThan">
      <formula>100</formula>
    </cfRule>
  </conditionalFormatting>
  <conditionalFormatting sqref="E47">
    <cfRule type="cellIs" dxfId="1880" priority="164" stopIfTrue="1" operator="lessThan">
      <formula>96.8</formula>
    </cfRule>
    <cfRule type="cellIs" dxfId="1879" priority="165" stopIfTrue="1" operator="greaterThan">
      <formula>100</formula>
    </cfRule>
  </conditionalFormatting>
  <conditionalFormatting sqref="E63:E71">
    <cfRule type="cellIs" dxfId="1878" priority="36" stopIfTrue="1" operator="lessThanOrEqual">
      <formula>0</formula>
    </cfRule>
  </conditionalFormatting>
  <conditionalFormatting sqref="E63:E72">
    <cfRule type="cellIs" dxfId="1877" priority="37" stopIfTrue="1" operator="greaterThan">
      <formula>$F63</formula>
    </cfRule>
    <cfRule type="cellIs" dxfId="1876" priority="38" stopIfTrue="1" operator="lessThanOrEqual">
      <formula>0</formula>
    </cfRule>
  </conditionalFormatting>
  <conditionalFormatting sqref="E72">
    <cfRule type="cellIs" dxfId="1875" priority="39" stopIfTrue="1" operator="lessThanOrEqual">
      <formula>0</formula>
    </cfRule>
  </conditionalFormatting>
  <conditionalFormatting sqref="E74:E82">
    <cfRule type="cellIs" dxfId="1874" priority="156" stopIfTrue="1" operator="greaterThan">
      <formula>4.5</formula>
    </cfRule>
    <cfRule type="cellIs" dxfId="1873" priority="157" stopIfTrue="1" operator="lessThanOrEqual">
      <formula>0</formula>
    </cfRule>
  </conditionalFormatting>
  <conditionalFormatting sqref="E47:F47 E46">
    <cfRule type="cellIs" dxfId="1872" priority="166" stopIfTrue="1" operator="lessThan">
      <formula>96.5</formula>
    </cfRule>
  </conditionalFormatting>
  <conditionalFormatting sqref="F10:F18">
    <cfRule type="cellIs" dxfId="1871" priority="13" operator="greaterThan">
      <formula>60</formula>
    </cfRule>
  </conditionalFormatting>
  <conditionalFormatting sqref="F47">
    <cfRule type="cellIs" dxfId="1870" priority="182" stopIfTrue="1" operator="lessThan">
      <formula>96.8</formula>
    </cfRule>
    <cfRule type="cellIs" dxfId="1869" priority="183" stopIfTrue="1" operator="greaterThan">
      <formula>100</formula>
    </cfRule>
  </conditionalFormatting>
  <conditionalFormatting sqref="G18">
    <cfRule type="expression" dxfId="1868" priority="2">
      <formula>IF(+(IF(G18&lt;S18,0,IF(G18&gt;T18,0,1)))=0,1)</formula>
    </cfRule>
  </conditionalFormatting>
  <conditionalFormatting sqref="G63:G66 F72">
    <cfRule type="cellIs" dxfId="1867" priority="45" stopIfTrue="1" operator="greaterThan">
      <formula>$F63</formula>
    </cfRule>
    <cfRule type="cellIs" dxfId="1866" priority="46" stopIfTrue="1" operator="lessThanOrEqual">
      <formula>0</formula>
    </cfRule>
  </conditionalFormatting>
  <conditionalFormatting sqref="G65:G66">
    <cfRule type="cellIs" dxfId="1865" priority="31" stopIfTrue="1" operator="greaterThan">
      <formula>$F65</formula>
    </cfRule>
    <cfRule type="cellIs" dxfId="1864" priority="32" stopIfTrue="1" operator="lessThanOrEqual">
      <formula>0</formula>
    </cfRule>
  </conditionalFormatting>
  <conditionalFormatting sqref="G67:G71">
    <cfRule type="cellIs" dxfId="1863" priority="47" stopIfTrue="1" operator="greaterThan">
      <formula>$J67</formula>
    </cfRule>
    <cfRule type="cellIs" dxfId="1862" priority="48" stopIfTrue="1" operator="lessThanOrEqual">
      <formula>0</formula>
    </cfRule>
  </conditionalFormatting>
  <conditionalFormatting sqref="G68">
    <cfRule type="cellIs" dxfId="1861" priority="190" stopIfTrue="1" operator="greaterThan">
      <formula>$F63</formula>
    </cfRule>
    <cfRule type="cellIs" dxfId="1860" priority="191" stopIfTrue="1" operator="lessThanOrEqual">
      <formula>0</formula>
    </cfRule>
  </conditionalFormatting>
  <conditionalFormatting sqref="G76:G81 C79 C81">
    <cfRule type="cellIs" dxfId="1859" priority="179" stopIfTrue="1" operator="greaterThan">
      <formula>4.5</formula>
    </cfRule>
    <cfRule type="cellIs" dxfId="1858" priority="180" stopIfTrue="1" operator="lessThanOrEqual">
      <formula>0</formula>
    </cfRule>
  </conditionalFormatting>
  <conditionalFormatting sqref="G10:H10 M10:N17 G11:G17 H11:H18">
    <cfRule type="expression" dxfId="1857" priority="3">
      <formula>IF(+(IF(G10&lt;#REF!,0,IF(G10&gt;#REF!,0,1)))=0,1)</formula>
    </cfRule>
  </conditionalFormatting>
  <conditionalFormatting sqref="G75:H75">
    <cfRule type="cellIs" dxfId="1856" priority="160" stopIfTrue="1" operator="greaterThan">
      <formula>$F$74</formula>
    </cfRule>
    <cfRule type="cellIs" dxfId="1855" priority="161" stopIfTrue="1" operator="lessThanOrEqual">
      <formula>0</formula>
    </cfRule>
  </conditionalFormatting>
  <conditionalFormatting sqref="H32:H33 H46">
    <cfRule type="cellIs" dxfId="1854" priority="158" stopIfTrue="1" operator="greaterThan">
      <formula>0</formula>
    </cfRule>
  </conditionalFormatting>
  <conditionalFormatting sqref="H50">
    <cfRule type="cellIs" dxfId="1853" priority="50" stopIfTrue="1" operator="lessThanOrEqual">
      <formula>0</formula>
    </cfRule>
    <cfRule type="cellIs" dxfId="1852" priority="51" stopIfTrue="1" operator="greaterThan">
      <formula>$F$63</formula>
    </cfRule>
    <cfRule type="cellIs" dxfId="1851" priority="59" stopIfTrue="1" operator="greaterThan">
      <formula>$F$66</formula>
    </cfRule>
    <cfRule type="cellIs" dxfId="1850" priority="60" stopIfTrue="1" operator="lessThanOrEqual">
      <formula>0</formula>
    </cfRule>
    <cfRule type="cellIs" dxfId="1849" priority="61" stopIfTrue="1" operator="greaterThan">
      <formula>$F$64</formula>
    </cfRule>
  </conditionalFormatting>
  <conditionalFormatting sqref="H50:H51">
    <cfRule type="cellIs" dxfId="1848" priority="62" stopIfTrue="1" operator="lessThanOrEqual">
      <formula>0</formula>
    </cfRule>
  </conditionalFormatting>
  <conditionalFormatting sqref="H51 H53:H54">
    <cfRule type="cellIs" dxfId="1847" priority="88" stopIfTrue="1" operator="lessThanOrEqual">
      <formula>0</formula>
    </cfRule>
  </conditionalFormatting>
  <conditionalFormatting sqref="H51">
    <cfRule type="cellIs" dxfId="1846" priority="77" stopIfTrue="1" operator="greaterThan">
      <formula>$F$63</formula>
    </cfRule>
    <cfRule type="cellIs" dxfId="1845" priority="85" stopIfTrue="1" operator="greaterThan">
      <formula>$F$66</formula>
    </cfRule>
    <cfRule type="cellIs" dxfId="1844" priority="86" stopIfTrue="1" operator="lessThanOrEqual">
      <formula>0</formula>
    </cfRule>
    <cfRule type="cellIs" dxfId="1843" priority="87" stopIfTrue="1" operator="greaterThan">
      <formula>$F$64</formula>
    </cfRule>
  </conditionalFormatting>
  <conditionalFormatting sqref="H52">
    <cfRule type="cellIs" dxfId="1842" priority="17" stopIfTrue="1" operator="lessThanOrEqual">
      <formula>0</formula>
    </cfRule>
    <cfRule type="cellIs" dxfId="1841" priority="18" stopIfTrue="1" operator="greaterThan">
      <formula>$F$65</formula>
    </cfRule>
    <cfRule type="cellIs" dxfId="1840" priority="26" stopIfTrue="1" operator="greaterThan">
      <formula>$F$68</formula>
    </cfRule>
    <cfRule type="cellIs" dxfId="1839" priority="27" stopIfTrue="1" operator="lessThanOrEqual">
      <formula>0</formula>
    </cfRule>
    <cfRule type="cellIs" dxfId="1838" priority="28" stopIfTrue="1" operator="greaterThan">
      <formula>$F$66</formula>
    </cfRule>
    <cfRule type="cellIs" dxfId="1837" priority="29" stopIfTrue="1" operator="lessThanOrEqual">
      <formula>0</formula>
    </cfRule>
  </conditionalFormatting>
  <conditionalFormatting sqref="H53:H54">
    <cfRule type="cellIs" dxfId="1836" priority="90" stopIfTrue="1" operator="greaterThan">
      <formula>$F$63</formula>
    </cfRule>
    <cfRule type="cellIs" dxfId="1835" priority="98" stopIfTrue="1" operator="greaterThan">
      <formula>$F$66</formula>
    </cfRule>
    <cfRule type="cellIs" dxfId="1834" priority="99" stopIfTrue="1" operator="lessThanOrEqual">
      <formula>0</formula>
    </cfRule>
    <cfRule type="cellIs" dxfId="1833" priority="100" stopIfTrue="1" operator="greaterThan">
      <formula>$F$64</formula>
    </cfRule>
    <cfRule type="cellIs" dxfId="1832" priority="101" stopIfTrue="1" operator="lessThanOrEqual">
      <formula>0</formula>
    </cfRule>
  </conditionalFormatting>
  <conditionalFormatting sqref="H55:H56">
    <cfRule type="cellIs" dxfId="1831" priority="125" stopIfTrue="1" operator="lessThanOrEqual">
      <formula>0</formula>
    </cfRule>
    <cfRule type="cellIs" dxfId="1830" priority="126" stopIfTrue="1" operator="greaterThan">
      <formula>#REF!</formula>
    </cfRule>
    <cfRule type="cellIs" dxfId="1829" priority="134" stopIfTrue="1" operator="greaterThan">
      <formula>#REF!</formula>
    </cfRule>
    <cfRule type="cellIs" dxfId="1828" priority="135" stopIfTrue="1" operator="lessThanOrEqual">
      <formula>0</formula>
    </cfRule>
  </conditionalFormatting>
  <conditionalFormatting sqref="H57">
    <cfRule type="cellIs" dxfId="1827" priority="137" stopIfTrue="1" operator="lessThanOrEqual">
      <formula>0</formula>
    </cfRule>
    <cfRule type="cellIs" dxfId="1826" priority="138" stopIfTrue="1" operator="greaterThan">
      <formula>$F$31</formula>
    </cfRule>
    <cfRule type="cellIs" dxfId="1825" priority="146" stopIfTrue="1" operator="greaterThan">
      <formula>$F$34</formula>
    </cfRule>
    <cfRule type="cellIs" dxfId="1824" priority="147" stopIfTrue="1" operator="lessThanOrEqual">
      <formula>0</formula>
    </cfRule>
    <cfRule type="cellIs" dxfId="1823" priority="148" stopIfTrue="1" operator="greaterThan">
      <formula>$F$32</formula>
    </cfRule>
    <cfRule type="cellIs" dxfId="1822" priority="149" stopIfTrue="1" operator="lessThanOrEqual">
      <formula>0</formula>
    </cfRule>
  </conditionalFormatting>
  <conditionalFormatting sqref="H58:H59">
    <cfRule type="cellIs" dxfId="1821" priority="113" stopIfTrue="1" operator="lessThanOrEqual">
      <formula>0</formula>
    </cfRule>
    <cfRule type="cellIs" dxfId="1820" priority="114" stopIfTrue="1" operator="greaterThan">
      <formula>#REF!</formula>
    </cfRule>
    <cfRule type="cellIs" dxfId="1819" priority="122" stopIfTrue="1" operator="greaterThan">
      <formula>#REF!</formula>
    </cfRule>
    <cfRule type="cellIs" dxfId="1818" priority="123" stopIfTrue="1" operator="lessThanOrEqual">
      <formula>0</formula>
    </cfRule>
  </conditionalFormatting>
  <conditionalFormatting sqref="H74 H76:H82">
    <cfRule type="cellIs" dxfId="1817" priority="172" stopIfTrue="1" operator="greaterThan">
      <formula>4.5</formula>
    </cfRule>
    <cfRule type="cellIs" dxfId="1816" priority="173" stopIfTrue="1" operator="lessThanOrEqual">
      <formula>0</formula>
    </cfRule>
  </conditionalFormatting>
  <conditionalFormatting sqref="H50:I50">
    <cfRule type="cellIs" dxfId="1815" priority="52" stopIfTrue="1" operator="lessThanOrEqual">
      <formula>0</formula>
    </cfRule>
  </conditionalFormatting>
  <conditionalFormatting sqref="H50:I51 H53:I54">
    <cfRule type="cellIs" dxfId="1814" priority="49" stopIfTrue="1" operator="greaterThan">
      <formula>$F$65</formula>
    </cfRule>
  </conditionalFormatting>
  <conditionalFormatting sqref="H51:I51">
    <cfRule type="cellIs" dxfId="1813" priority="78" stopIfTrue="1" operator="lessThanOrEqual">
      <formula>0</formula>
    </cfRule>
  </conditionalFormatting>
  <conditionalFormatting sqref="H52:I52">
    <cfRule type="cellIs" dxfId="1812" priority="16" stopIfTrue="1" operator="greaterThan">
      <formula>$F$67</formula>
    </cfRule>
    <cfRule type="cellIs" dxfId="1811" priority="19" stopIfTrue="1" operator="lessThanOrEqual">
      <formula>0</formula>
    </cfRule>
  </conditionalFormatting>
  <conditionalFormatting sqref="H53:I54">
    <cfRule type="cellIs" dxfId="1810" priority="91" stopIfTrue="1" operator="lessThanOrEqual">
      <formula>0</formula>
    </cfRule>
  </conditionalFormatting>
  <conditionalFormatting sqref="H55:I56">
    <cfRule type="cellIs" dxfId="1809" priority="124" stopIfTrue="1" operator="greaterThan">
      <formula>#REF!</formula>
    </cfRule>
    <cfRule type="cellIs" dxfId="1808" priority="127" stopIfTrue="1" operator="lessThanOrEqual">
      <formula>0</formula>
    </cfRule>
    <cfRule type="cellIs" dxfId="1807" priority="132" stopIfTrue="1" operator="greaterThan">
      <formula>#REF!</formula>
    </cfRule>
    <cfRule type="cellIs" dxfId="1806" priority="133" stopIfTrue="1" operator="lessThanOrEqual">
      <formula>0</formula>
    </cfRule>
  </conditionalFormatting>
  <conditionalFormatting sqref="H57:I57">
    <cfRule type="cellIs" dxfId="1805" priority="136" stopIfTrue="1" operator="greaterThan">
      <formula>$F$33</formula>
    </cfRule>
    <cfRule type="cellIs" dxfId="1804" priority="139" stopIfTrue="1" operator="lessThanOrEqual">
      <formula>0</formula>
    </cfRule>
  </conditionalFormatting>
  <conditionalFormatting sqref="H58:I59">
    <cfRule type="cellIs" dxfId="1803" priority="112" stopIfTrue="1" operator="greaterThan">
      <formula>#REF!</formula>
    </cfRule>
    <cfRule type="cellIs" dxfId="1802" priority="115" stopIfTrue="1" operator="lessThanOrEqual">
      <formula>0</formula>
    </cfRule>
    <cfRule type="cellIs" dxfId="1801" priority="120" stopIfTrue="1" operator="greaterThan">
      <formula>#REF!</formula>
    </cfRule>
    <cfRule type="cellIs" dxfId="1800" priority="121" stopIfTrue="1" operator="lessThanOrEqual">
      <formula>0</formula>
    </cfRule>
  </conditionalFormatting>
  <conditionalFormatting sqref="H63:I70">
    <cfRule type="cellIs" dxfId="1799" priority="34" stopIfTrue="1" operator="greaterThan">
      <formula>$J63</formula>
    </cfRule>
    <cfRule type="cellIs" dxfId="1798" priority="35" stopIfTrue="1" operator="lessThanOrEqual">
      <formula>0</formula>
    </cfRule>
  </conditionalFormatting>
  <conditionalFormatting sqref="H71:I71">
    <cfRule type="cellIs" dxfId="1797" priority="42" operator="greaterThan">
      <formula>5.3</formula>
    </cfRule>
  </conditionalFormatting>
  <conditionalFormatting sqref="H72:I72">
    <cfRule type="cellIs" dxfId="1796" priority="40" stopIfTrue="1" operator="greaterThan">
      <formula>$J72</formula>
    </cfRule>
    <cfRule type="cellIs" dxfId="1795" priority="41" stopIfTrue="1" operator="lessThanOrEqual">
      <formula>0</formula>
    </cfRule>
  </conditionalFormatting>
  <conditionalFormatting sqref="I50">
    <cfRule type="cellIs" dxfId="1794" priority="53" stopIfTrue="1" operator="greaterThan">
      <formula>$F$63</formula>
    </cfRule>
    <cfRule type="cellIs" dxfId="1793" priority="54" stopIfTrue="1" operator="lessThanOrEqual">
      <formula>0</formula>
    </cfRule>
    <cfRule type="cellIs" dxfId="1792" priority="55" stopIfTrue="1" operator="greaterThan">
      <formula>$F$65</formula>
    </cfRule>
    <cfRule type="cellIs" dxfId="1791" priority="56" stopIfTrue="1" operator="lessThanOrEqual">
      <formula>0</formula>
    </cfRule>
    <cfRule type="cellIs" dxfId="1790" priority="57" stopIfTrue="1" operator="greaterThan">
      <formula>$F$63</formula>
    </cfRule>
    <cfRule type="cellIs" dxfId="1789" priority="58" stopIfTrue="1" operator="lessThanOrEqual">
      <formula>0</formula>
    </cfRule>
  </conditionalFormatting>
  <conditionalFormatting sqref="I51">
    <cfRule type="cellIs" dxfId="1788" priority="79" stopIfTrue="1" operator="greaterThan">
      <formula>$F$63</formula>
    </cfRule>
    <cfRule type="cellIs" dxfId="1787" priority="80" stopIfTrue="1" operator="lessThanOrEqual">
      <formula>0</formula>
    </cfRule>
    <cfRule type="cellIs" dxfId="1786" priority="81" stopIfTrue="1" operator="greaterThan">
      <formula>$F$65</formula>
    </cfRule>
    <cfRule type="cellIs" dxfId="1785" priority="82" stopIfTrue="1" operator="lessThanOrEqual">
      <formula>0</formula>
    </cfRule>
    <cfRule type="cellIs" dxfId="1784" priority="83" stopIfTrue="1" operator="greaterThan">
      <formula>$F$63</formula>
    </cfRule>
    <cfRule type="cellIs" dxfId="1783" priority="84" stopIfTrue="1" operator="lessThanOrEqual">
      <formula>0</formula>
    </cfRule>
  </conditionalFormatting>
  <conditionalFormatting sqref="I52">
    <cfRule type="cellIs" dxfId="1782" priority="20" stopIfTrue="1" operator="greaterThan">
      <formula>$F$65</formula>
    </cfRule>
    <cfRule type="cellIs" dxfId="1781" priority="21" stopIfTrue="1" operator="lessThanOrEqual">
      <formula>0</formula>
    </cfRule>
    <cfRule type="cellIs" dxfId="1780" priority="22" stopIfTrue="1" operator="greaterThan">
      <formula>$F$67</formula>
    </cfRule>
    <cfRule type="cellIs" dxfId="1779" priority="23" stopIfTrue="1" operator="lessThanOrEqual">
      <formula>0</formula>
    </cfRule>
    <cfRule type="cellIs" dxfId="1778" priority="24" stopIfTrue="1" operator="greaterThan">
      <formula>$F$65</formula>
    </cfRule>
    <cfRule type="cellIs" dxfId="1777" priority="25" stopIfTrue="1" operator="lessThanOrEqual">
      <formula>0</formula>
    </cfRule>
  </conditionalFormatting>
  <conditionalFormatting sqref="I53:I54">
    <cfRule type="cellIs" dxfId="1776" priority="92" stopIfTrue="1" operator="greaterThan">
      <formula>$F$63</formula>
    </cfRule>
    <cfRule type="cellIs" dxfId="1775" priority="93" stopIfTrue="1" operator="lessThanOrEqual">
      <formula>0</formula>
    </cfRule>
    <cfRule type="cellIs" dxfId="1774" priority="94" stopIfTrue="1" operator="greaterThan">
      <formula>$F$65</formula>
    </cfRule>
    <cfRule type="cellIs" dxfId="1773" priority="95" stopIfTrue="1" operator="lessThanOrEqual">
      <formula>0</formula>
    </cfRule>
    <cfRule type="cellIs" dxfId="1772" priority="96" stopIfTrue="1" operator="greaterThan">
      <formula>$F$63</formula>
    </cfRule>
    <cfRule type="cellIs" dxfId="1771" priority="97" stopIfTrue="1" operator="lessThanOrEqual">
      <formula>0</formula>
    </cfRule>
  </conditionalFormatting>
  <conditionalFormatting sqref="I55:I56">
    <cfRule type="cellIs" dxfId="1770" priority="128" stopIfTrue="1" operator="greaterThan">
      <formula>#REF!</formula>
    </cfRule>
    <cfRule type="cellIs" dxfId="1769" priority="129" stopIfTrue="1" operator="lessThanOrEqual">
      <formula>0</formula>
    </cfRule>
    <cfRule type="cellIs" dxfId="1768" priority="130" stopIfTrue="1" operator="greaterThan">
      <formula>#REF!</formula>
    </cfRule>
    <cfRule type="cellIs" dxfId="1767" priority="131" stopIfTrue="1" operator="lessThanOrEqual">
      <formula>0</formula>
    </cfRule>
  </conditionalFormatting>
  <conditionalFormatting sqref="I57">
    <cfRule type="cellIs" dxfId="1766" priority="140" stopIfTrue="1" operator="greaterThan">
      <formula>$F$31</formula>
    </cfRule>
    <cfRule type="cellIs" dxfId="1765" priority="141" stopIfTrue="1" operator="lessThanOrEqual">
      <formula>0</formula>
    </cfRule>
    <cfRule type="cellIs" dxfId="1764" priority="142" stopIfTrue="1" operator="greaterThan">
      <formula>$F$33</formula>
    </cfRule>
    <cfRule type="cellIs" dxfId="1763" priority="143" stopIfTrue="1" operator="lessThanOrEqual">
      <formula>0</formula>
    </cfRule>
    <cfRule type="cellIs" dxfId="1762" priority="144" stopIfTrue="1" operator="greaterThan">
      <formula>$F$31</formula>
    </cfRule>
    <cfRule type="cellIs" dxfId="1761" priority="145" stopIfTrue="1" operator="lessThanOrEqual">
      <formula>0</formula>
    </cfRule>
  </conditionalFormatting>
  <conditionalFormatting sqref="I58:I59">
    <cfRule type="cellIs" dxfId="1760" priority="116" stopIfTrue="1" operator="greaterThan">
      <formula>#REF!</formula>
    </cfRule>
    <cfRule type="cellIs" dxfId="1759" priority="117" stopIfTrue="1" operator="lessThanOrEqual">
      <formula>0</formula>
    </cfRule>
    <cfRule type="cellIs" dxfId="1758" priority="118" stopIfTrue="1" operator="greaterThan">
      <formula>#REF!</formula>
    </cfRule>
    <cfRule type="cellIs" dxfId="1757" priority="119" stopIfTrue="1" operator="lessThanOrEqual">
      <formula>0</formula>
    </cfRule>
  </conditionalFormatting>
  <conditionalFormatting sqref="I74:I82">
    <cfRule type="cellIs" dxfId="1756" priority="168" stopIfTrue="1" operator="greaterThan">
      <formula>4.5</formula>
    </cfRule>
    <cfRule type="cellIs" dxfId="1755" priority="169" stopIfTrue="1" operator="lessThanOrEqual">
      <formula>0</formula>
    </cfRule>
  </conditionalFormatting>
  <conditionalFormatting sqref="I10:J18">
    <cfRule type="cellIs" dxfId="1754" priority="8" operator="lessThan">
      <formula>97.9</formula>
    </cfRule>
  </conditionalFormatting>
  <conditionalFormatting sqref="J21:J23">
    <cfRule type="cellIs" dxfId="1753" priority="15" operator="lessThan">
      <formula>97.95</formula>
    </cfRule>
  </conditionalFormatting>
  <conditionalFormatting sqref="J22:J25">
    <cfRule type="cellIs" dxfId="1752" priority="150" operator="lessThan">
      <formula>97.4</formula>
    </cfRule>
  </conditionalFormatting>
  <conditionalFormatting sqref="J26:J27">
    <cfRule type="cellIs" dxfId="1751" priority="151" operator="lessThan">
      <formula>98</formula>
    </cfRule>
  </conditionalFormatting>
  <conditionalFormatting sqref="J28:J29">
    <cfRule type="cellIs" dxfId="1750" priority="152" stopIfTrue="1" operator="lessThan">
      <formula>96.8</formula>
    </cfRule>
    <cfRule type="cellIs" dxfId="1749" priority="153" stopIfTrue="1" operator="greaterThan">
      <formula>100</formula>
    </cfRule>
  </conditionalFormatting>
  <conditionalFormatting sqref="J28:J30">
    <cfRule type="cellIs" dxfId="1748" priority="154" operator="lessThan">
      <formula>98</formula>
    </cfRule>
  </conditionalFormatting>
  <conditionalFormatting sqref="J59">
    <cfRule type="cellIs" dxfId="1747" priority="104" stopIfTrue="1" operator="greaterThan">
      <formula>#REF!</formula>
    </cfRule>
    <cfRule type="cellIs" dxfId="1746" priority="105" stopIfTrue="1" operator="lessThanOrEqual">
      <formula>0</formula>
    </cfRule>
    <cfRule type="cellIs" dxfId="1745" priority="106" stopIfTrue="1" operator="greaterThan">
      <formula>#REF!</formula>
    </cfRule>
    <cfRule type="cellIs" dxfId="1744" priority="107" stopIfTrue="1" operator="lessThanOrEqual">
      <formula>0</formula>
    </cfRule>
    <cfRule type="cellIs" dxfId="1743" priority="108" stopIfTrue="1" operator="greaterThan">
      <formula>#REF!</formula>
    </cfRule>
    <cfRule type="cellIs" dxfId="1742" priority="109" stopIfTrue="1" operator="lessThanOrEqual">
      <formula>0</formula>
    </cfRule>
    <cfRule type="cellIs" dxfId="1741" priority="110" stopIfTrue="1" operator="greaterThan">
      <formula>#REF!</formula>
    </cfRule>
    <cfRule type="cellIs" dxfId="1740" priority="111" stopIfTrue="1" operator="lessThanOrEqual">
      <formula>0</formula>
    </cfRule>
  </conditionalFormatting>
  <conditionalFormatting sqref="J72">
    <cfRule type="cellIs" dxfId="1739" priority="43" stopIfTrue="1" operator="greaterThan">
      <formula>$F72</formula>
    </cfRule>
    <cfRule type="cellIs" dxfId="1738" priority="44" stopIfTrue="1" operator="lessThanOrEqual">
      <formula>0</formula>
    </cfRule>
  </conditionalFormatting>
  <conditionalFormatting sqref="K10:K18">
    <cfRule type="cellIs" dxfId="1737" priority="9" operator="greaterThan">
      <formula>6</formula>
    </cfRule>
    <cfRule type="cellIs" dxfId="1736" priority="10" operator="lessThan">
      <formula>4</formula>
    </cfRule>
    <cfRule type="cellIs" dxfId="1735" priority="11" operator="greaterThan">
      <formula>6.4</formula>
    </cfRule>
  </conditionalFormatting>
  <conditionalFormatting sqref="K50:K59">
    <cfRule type="cellIs" dxfId="1734" priority="89" stopIfTrue="1" operator="lessThan">
      <formula>100%</formula>
    </cfRule>
  </conditionalFormatting>
  <conditionalFormatting sqref="K63:K71">
    <cfRule type="cellIs" dxfId="1733" priority="33" stopIfTrue="1" operator="lessThan">
      <formula>100%</formula>
    </cfRule>
  </conditionalFormatting>
  <conditionalFormatting sqref="K74:K79">
    <cfRule type="cellIs" dxfId="1732" priority="174" stopIfTrue="1" operator="lessThan">
      <formula>100%</formula>
    </cfRule>
  </conditionalFormatting>
  <conditionalFormatting sqref="K81:K82">
    <cfRule type="cellIs" dxfId="1731" priority="181" stopIfTrue="1" operator="lessThan">
      <formula>100%</formula>
    </cfRule>
  </conditionalFormatting>
  <conditionalFormatting sqref="L10:L18">
    <cfRule type="cellIs" dxfId="1730" priority="5" operator="between">
      <formula>61</formula>
      <formula>65</formula>
    </cfRule>
    <cfRule type="cellIs" dxfId="1729" priority="6" operator="greaterThan">
      <formula>65</formula>
    </cfRule>
  </conditionalFormatting>
  <conditionalFormatting sqref="L21:M32">
    <cfRule type="cellIs" dxfId="1728" priority="14" operator="lessThan">
      <formula>97.95</formula>
    </cfRule>
  </conditionalFormatting>
  <conditionalFormatting sqref="L36:N36">
    <cfRule type="cellIs" dxfId="1727" priority="4" operator="notEqual">
      <formula>#REF!</formula>
    </cfRule>
  </conditionalFormatting>
  <conditionalFormatting sqref="L63:N72">
    <cfRule type="cellIs" dxfId="1726" priority="30" stopIfTrue="1" operator="lessThan">
      <formula>100%</formula>
    </cfRule>
  </conditionalFormatting>
  <conditionalFormatting sqref="L74:N82">
    <cfRule type="cellIs" dxfId="1725" priority="159" stopIfTrue="1" operator="lessThan">
      <formula>100%</formula>
    </cfRule>
  </conditionalFormatting>
  <conditionalFormatting sqref="M18">
    <cfRule type="expression" dxfId="1724" priority="1">
      <formula>IF(+(IF(M18&lt;U18,0,IF(M18&gt;V18,0,1)))=0,1)</formula>
    </cfRule>
  </conditionalFormatting>
  <conditionalFormatting sqref="N10:N18">
    <cfRule type="expression" dxfId="1723" priority="7">
      <formula>IF(+(IF(N10&lt;W10,0,IF(N10&gt;X10,0,1)))=0,1)</formula>
    </cfRule>
  </conditionalFormatting>
  <conditionalFormatting sqref="P6">
    <cfRule type="cellIs" dxfId="1722" priority="155" operator="greaterThanOrEqual">
      <formula>19</formula>
    </cfRule>
  </conditionalFormatting>
  <dataValidations count="1">
    <dataValidation type="list" allowBlank="1" showInputMessage="1" showErrorMessage="1" sqref="R8" xr:uid="{E323F676-B2D8-4B16-BA70-65C5BAC1CB4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0CD0-82CE-4B20-8CBC-6E64BD0D7A5E}">
  <sheetPr>
    <pageSetUpPr fitToPage="1"/>
  </sheetPr>
  <dimension ref="A1:BE72"/>
  <sheetViews>
    <sheetView zoomScale="85" zoomScaleNormal="85" workbookViewId="0">
      <selection activeCell="H15" sqref="H15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46280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[3]Brewhouse!$A740</f>
        <v>CA691</v>
      </c>
      <c r="D10" s="279">
        <f>[3]Brewhouse!$AF740</f>
        <v>51.4</v>
      </c>
      <c r="E10" s="279">
        <f>[3]Brewhouse!$AI740</f>
        <v>51.8</v>
      </c>
      <c r="F10" s="278">
        <f>[3]Brewhouse!$V740</f>
        <v>59</v>
      </c>
      <c r="G10" s="279">
        <f>[3]Brewhouse!AG740</f>
        <v>11.7</v>
      </c>
      <c r="H10" s="396">
        <v>11.9</v>
      </c>
      <c r="I10" s="368">
        <f>[3]Brewhouse!$AU740</f>
        <v>99.289141660170145</v>
      </c>
      <c r="J10" s="368">
        <f>[3]Brewhouse!$AV740</f>
        <v>100.46551152774322</v>
      </c>
      <c r="K10" s="281">
        <f>[3]Brewhouse!$Q740</f>
        <v>11.497227356746762</v>
      </c>
      <c r="L10" s="276">
        <f>[3]Brewhouse!$P740</f>
        <v>59</v>
      </c>
      <c r="M10" s="374">
        <f>[3]Brewhouse!$U740-[3]Brewhouse!$T740</f>
        <v>0.11527777777777781</v>
      </c>
      <c r="N10" s="370">
        <f>[3]Brewhouse!$Z740</f>
        <v>0.25694444444444442</v>
      </c>
      <c r="O10" s="420" t="str">
        <f>[3]Brewhouse!$AX740</f>
        <v>R. Regis</v>
      </c>
      <c r="P10" s="418"/>
      <c r="R10" s="277" t="str">
        <f t="shared" ref="R10:R15" si="0">B10</f>
        <v>CARIB</v>
      </c>
      <c r="S10" s="472">
        <f t="shared" ref="S10:S15" si="1">VLOOKUP($B10,$R$3:$X$9,2,FALSE)</f>
        <v>11.6</v>
      </c>
      <c r="T10" s="472">
        <f t="shared" ref="T10:T15" si="2">VLOOKUP($B10,$R$3:$X$9,3,FALSE)</f>
        <v>12</v>
      </c>
      <c r="U10" s="297">
        <f t="shared" ref="U10:U15" si="3">VLOOKUP($B10,$R$3:$X$9,4,FALSE)</f>
        <v>0</v>
      </c>
      <c r="V10" s="297">
        <f t="shared" ref="V10:V15" si="4">VLOOKUP($B10,$R$3:$X$9,5,FALSE)</f>
        <v>0.118055555555556</v>
      </c>
      <c r="W10" s="297">
        <f t="shared" ref="W10:W15" si="5">VLOOKUP($B10,$R$3:$X$9,6,FALSE)</f>
        <v>0.22569444444444445</v>
      </c>
      <c r="X10" s="297">
        <f t="shared" ref="X10:X15" si="6">VLOOKUP($B10,$R$3:$X$9,7,FALSE)</f>
        <v>0.2638888888888889</v>
      </c>
      <c r="Y10" s="297">
        <f t="shared" ref="Y10:Y15" si="7">VLOOKUP($B10,$R$3:$Z$9,8,FALSE)</f>
        <v>0</v>
      </c>
      <c r="Z10" s="472">
        <f t="shared" ref="Z10:Z15" si="8">VLOOKUP($B10,$R$3:$Z$9,9,FALSE)</f>
        <v>60</v>
      </c>
    </row>
    <row r="11" spans="2:29" ht="15" customHeight="1">
      <c r="B11" s="29" t="s">
        <v>6</v>
      </c>
      <c r="C11" s="366" t="str">
        <f>[3]Brewhouse!$A741</f>
        <v>CA692</v>
      </c>
      <c r="D11" s="279">
        <f>[3]Brewhouse!$AF741</f>
        <v>50.2</v>
      </c>
      <c r="E11" s="279">
        <f>[3]Brewhouse!$AI741</f>
        <v>50.7</v>
      </c>
      <c r="F11" s="278">
        <f>[3]Brewhouse!$V741</f>
        <v>58</v>
      </c>
      <c r="G11" s="279">
        <f>[3]Brewhouse!AG741</f>
        <v>11.9</v>
      </c>
      <c r="H11" s="396">
        <v>11.9</v>
      </c>
      <c r="I11" s="368">
        <f>[3]Brewhouse!$AU741</f>
        <v>99.330638505114962</v>
      </c>
      <c r="J11" s="368">
        <f>[3]Brewhouse!$AV741</f>
        <v>100.10092572379527</v>
      </c>
      <c r="K11" s="281">
        <f>[3]Brewhouse!$Q741</f>
        <v>11.497227356746762</v>
      </c>
      <c r="L11" s="276">
        <f>[3]Brewhouse!$P741</f>
        <v>58</v>
      </c>
      <c r="M11" s="374">
        <f>[3]Brewhouse!$U741-[3]Brewhouse!$T741</f>
        <v>0.10624999999999996</v>
      </c>
      <c r="N11" s="370">
        <f>[3]Brewhouse!$Z741</f>
        <v>0.25347222222222221</v>
      </c>
      <c r="O11" s="420" t="str">
        <f>[3]Brewhouse!$AX741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[3]Brewhouse!$A742</f>
        <v>CA693</v>
      </c>
      <c r="D12" s="279">
        <f>[3]Brewhouse!$AF742</f>
        <v>50.5</v>
      </c>
      <c r="E12" s="279">
        <f>[3]Brewhouse!$AI742</f>
        <v>51</v>
      </c>
      <c r="F12" s="278">
        <f>[3]Brewhouse!$V742</f>
        <v>56</v>
      </c>
      <c r="G12" s="279">
        <f>[3]Brewhouse!AG742</f>
        <v>12</v>
      </c>
      <c r="H12" s="396">
        <v>12</v>
      </c>
      <c r="I12" s="368">
        <f>[3]Brewhouse!$AU742</f>
        <v>100.92529729319159</v>
      </c>
      <c r="J12" s="368">
        <f>[3]Brewhouse!$AV742</f>
        <v>101.70790009349962</v>
      </c>
      <c r="K12" s="281">
        <f>[3]Brewhouse!$Q742</f>
        <v>12.421441774491679</v>
      </c>
      <c r="L12" s="276">
        <f>[3]Brewhouse!$P742</f>
        <v>57</v>
      </c>
      <c r="M12" s="374">
        <f>[3]Brewhouse!$U742-[3]Brewhouse!$T742</f>
        <v>0.1118055555555556</v>
      </c>
      <c r="N12" s="370">
        <f>[3]Brewhouse!$Z742</f>
        <v>0.27500000000000002</v>
      </c>
      <c r="O12" s="420" t="str">
        <f>[3]Brewhouse!$AX742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[3]Brewhouse!$A743</f>
        <v>CA694</v>
      </c>
      <c r="D13" s="279">
        <f>[3]Brewhouse!$AF743</f>
        <v>50.7</v>
      </c>
      <c r="E13" s="279">
        <f>[3]Brewhouse!$AI743</f>
        <v>51.2</v>
      </c>
      <c r="F13" s="278">
        <f>[3]Brewhouse!$V743</f>
        <v>53</v>
      </c>
      <c r="G13" s="279">
        <f>[3]Brewhouse!AG743</f>
        <v>12</v>
      </c>
      <c r="H13" s="493">
        <v>12.1</v>
      </c>
      <c r="I13" s="368">
        <f>[3]Brewhouse!$AU743</f>
        <v>101.94859726081698</v>
      </c>
      <c r="J13" s="368">
        <f>[3]Brewhouse!$AV743</f>
        <v>102.73887731575459</v>
      </c>
      <c r="K13" s="281">
        <f>[3]Brewhouse!$Q743</f>
        <v>9.8336414048059151</v>
      </c>
      <c r="L13" s="276">
        <f>[3]Brewhouse!$P743</f>
        <v>58</v>
      </c>
      <c r="M13" s="374">
        <f>[3]Brewhouse!$U743-[3]Brewhouse!$T743</f>
        <v>0.1479166666666667</v>
      </c>
      <c r="N13" s="370">
        <f>[3]Brewhouse!$Z743</f>
        <v>0.30277777777777781</v>
      </c>
      <c r="O13" s="420" t="str">
        <f>[3]Brewhouse!$AX743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[3]Brewhouse!$A744</f>
        <v>CA695</v>
      </c>
      <c r="D14" s="279">
        <f>[3]Brewhouse!$AF744</f>
        <v>49.4</v>
      </c>
      <c r="E14" s="279">
        <f>[3]Brewhouse!$AI744</f>
        <v>50.3</v>
      </c>
      <c r="F14" s="278">
        <f>[3]Brewhouse!$V744</f>
        <v>53</v>
      </c>
      <c r="G14" s="279">
        <f>[3]Brewhouse!AG744</f>
        <v>11.9</v>
      </c>
      <c r="H14" s="396">
        <v>12</v>
      </c>
      <c r="I14" s="368">
        <f>[3]Brewhouse!$AU744</f>
        <v>98.546964828545995</v>
      </c>
      <c r="J14" s="368">
        <f>[3]Brewhouse!$AV744</f>
        <v>99.311174830510865</v>
      </c>
      <c r="K14" s="281">
        <f>[3]Brewhouse!$Q744</f>
        <v>9.8518518518518512</v>
      </c>
      <c r="L14" s="276">
        <f>[3]Brewhouse!$P744</f>
        <v>45</v>
      </c>
      <c r="M14" s="374">
        <f>[3]Brewhouse!$U744-[3]Brewhouse!$T744</f>
        <v>0.11805555555555558</v>
      </c>
      <c r="N14" s="370">
        <f>[3]Brewhouse!$Z744</f>
        <v>0.26736111111111116</v>
      </c>
      <c r="O14" s="420" t="str">
        <f>[3]Brewhouse!$AX744</f>
        <v>R. Sookram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[3]Brewhouse!$A745</f>
        <v>CA696</v>
      </c>
      <c r="D15" s="279">
        <f>[3]Brewhouse!$AF745</f>
        <v>52</v>
      </c>
      <c r="E15" s="279">
        <f>[3]Brewhouse!$AI745</f>
        <v>52.4</v>
      </c>
      <c r="F15" s="278">
        <f>[3]Brewhouse!$V745</f>
        <v>55</v>
      </c>
      <c r="G15" s="279">
        <f>[3]Brewhouse!AG745</f>
        <v>11.8</v>
      </c>
      <c r="H15" s="396">
        <v>11.9</v>
      </c>
      <c r="I15" s="368">
        <f>[3]Brewhouse!$AU745</f>
        <v>101.75420442737169</v>
      </c>
      <c r="J15" s="368">
        <f>[3]Brewhouse!$AV745</f>
        <v>102.54328586585805</v>
      </c>
      <c r="K15" s="281">
        <f>[3]Brewhouse!$Q745</f>
        <v>8</v>
      </c>
      <c r="L15" s="276">
        <f>[3]Brewhouse!$P745</f>
        <v>61</v>
      </c>
      <c r="M15" s="374">
        <f>[3]Brewhouse!$U745-[3]Brewhouse!$T745</f>
        <v>0.11527777777777781</v>
      </c>
      <c r="N15" s="370">
        <f>[3]Brewhouse!$Z745</f>
        <v>0.27083333333333337</v>
      </c>
      <c r="O15" s="420" t="str">
        <f>[3]Brewhouse!$AX745</f>
        <v>K. Benjamin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20"/>
      <c r="P16" s="418"/>
      <c r="R16" s="277">
        <f t="shared" ref="R16:R32" si="9">B16</f>
        <v>0</v>
      </c>
      <c r="S16" s="472" t="e">
        <f t="shared" ref="S16:S32" si="10">VLOOKUP($B16,$R$3:$X$9,2,FALSE)</f>
        <v>#N/A</v>
      </c>
      <c r="T16" s="472" t="e">
        <f t="shared" ref="T16:T32" si="11">VLOOKUP($B16,$R$3:$X$9,3,FALSE)</f>
        <v>#N/A</v>
      </c>
      <c r="U16" s="297" t="e">
        <f t="shared" ref="U16:U32" si="12">VLOOKUP($B16,$R$3:$X$9,4,FALSE)</f>
        <v>#N/A</v>
      </c>
      <c r="V16" s="297" t="e">
        <f t="shared" ref="V16:V32" si="13">VLOOKUP($B16,$R$3:$X$9,5,FALSE)</f>
        <v>#N/A</v>
      </c>
      <c r="W16" s="297" t="e">
        <f t="shared" ref="W16:W32" si="14">VLOOKUP($B16,$R$3:$X$9,6,FALSE)</f>
        <v>#N/A</v>
      </c>
      <c r="X16" s="297" t="e">
        <f t="shared" ref="X16:X32" si="15">VLOOKUP($B16,$R$3:$X$9,7,FALSE)</f>
        <v>#N/A</v>
      </c>
      <c r="Y16" s="297" t="e">
        <f t="shared" ref="Y16:Y32" si="16">VLOOKUP($B16,$R$3:$Z$9,8,FALSE)</f>
        <v>#N/A</v>
      </c>
      <c r="Z16" s="472" t="e">
        <f t="shared" ref="Z16:Z32" si="17">VLOOKUP($B16,$R$3:$Z$9,9,FALSE)</f>
        <v>#N/A</v>
      </c>
    </row>
    <row r="17" spans="1:27" ht="1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9"/>
        <v>0</v>
      </c>
      <c r="S17" s="472" t="e">
        <f t="shared" si="10"/>
        <v>#N/A</v>
      </c>
      <c r="T17" s="472" t="e">
        <f t="shared" si="11"/>
        <v>#N/A</v>
      </c>
      <c r="U17" s="297" t="e">
        <f t="shared" si="12"/>
        <v>#N/A</v>
      </c>
      <c r="V17" s="297" t="e">
        <f t="shared" si="13"/>
        <v>#N/A</v>
      </c>
      <c r="W17" s="297" t="e">
        <f t="shared" si="14"/>
        <v>#N/A</v>
      </c>
      <c r="X17" s="297" t="e">
        <f t="shared" si="15"/>
        <v>#N/A</v>
      </c>
      <c r="Y17" s="297" t="e">
        <f t="shared" si="16"/>
        <v>#N/A</v>
      </c>
      <c r="Z17" s="472" t="e">
        <f t="shared" si="17"/>
        <v>#N/A</v>
      </c>
    </row>
    <row r="18" spans="1:27" ht="15" customHeight="1">
      <c r="B18" s="36"/>
      <c r="C18" s="366"/>
      <c r="D18" s="279"/>
      <c r="E18" s="279"/>
      <c r="F18" s="278"/>
      <c r="G18" s="279"/>
      <c r="H18" s="396"/>
      <c r="I18" s="489"/>
      <c r="J18" s="489"/>
      <c r="K18" s="490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0"/>
        <v>#N/A</v>
      </c>
      <c r="T18" s="472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472" t="e">
        <f t="shared" si="17"/>
        <v>#N/A</v>
      </c>
    </row>
    <row r="19" spans="1:27" ht="17.25" customHeight="1" thickBot="1">
      <c r="B19" s="358"/>
      <c r="C19" s="358"/>
      <c r="D19" s="358"/>
      <c r="E19" s="358"/>
      <c r="F19" s="294"/>
      <c r="G19" s="294"/>
      <c r="H19" s="348"/>
      <c r="I19" s="534"/>
      <c r="J19" s="534"/>
      <c r="K19" s="534"/>
      <c r="L19" s="534"/>
      <c r="M19" s="534"/>
      <c r="N19" s="534"/>
      <c r="O19" s="1"/>
      <c r="P19" s="12"/>
      <c r="R19" s="277">
        <f t="shared" si="9"/>
        <v>0</v>
      </c>
      <c r="S19" s="472" t="e">
        <f t="shared" si="10"/>
        <v>#N/A</v>
      </c>
      <c r="T19" s="472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472" t="e">
        <f t="shared" si="17"/>
        <v>#N/A</v>
      </c>
    </row>
    <row r="20" spans="1:27" ht="17.25" customHeight="1" thickBot="1">
      <c r="B20" s="483" t="s">
        <v>162</v>
      </c>
      <c r="C20" s="388"/>
      <c r="D20" s="535" t="s">
        <v>35</v>
      </c>
      <c r="E20" s="536"/>
      <c r="F20" s="294"/>
      <c r="G20" s="294"/>
      <c r="H20" s="348"/>
      <c r="I20" s="24" t="s">
        <v>17</v>
      </c>
      <c r="J20" s="25"/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9"/>
        <v xml:space="preserve">BRAND 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7.25" customHeight="1">
      <c r="A21" s="28"/>
      <c r="B21" s="537"/>
      <c r="C21" s="484"/>
      <c r="D21" s="522"/>
      <c r="E21" s="523"/>
      <c r="F21" s="294"/>
      <c r="G21" s="294"/>
      <c r="H21" s="348"/>
      <c r="I21" s="29" t="s">
        <v>6</v>
      </c>
      <c r="J21" s="323">
        <f>AVERAGE(I10:I15)</f>
        <v>100.29914066253524</v>
      </c>
      <c r="K21" s="284">
        <f>COUNTA([3]Brewhouse!$A$696:$A$745)</f>
        <v>50</v>
      </c>
      <c r="L21" s="305">
        <f>AVERAGE([3]Brewhouse!$AU$696:$AU$745)</f>
        <v>98.883592318093321</v>
      </c>
      <c r="M21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AVERAGE([3]Brewhouse!$AU$42:$AU$123,[3]Brewhouse!$AU$125:$AU$188,[3]Brewhouse!$AU$198:$AU$290,[3]Brewhouse!$AU$292:$AU$370,[3]Brewhouse!$AU$372:$AU$439,[3]Brewhouse!$AU$441:$AU$497,[3]Brewhouse!$AU$499:$AU$519,[3]Brewhouse!$AU$521:$AU$593,[3]Brewhouse!$AU$595:$AU$745)</f>
        <v>98.329398200074777</v>
      </c>
      <c r="N21" s="30">
        <v>98</v>
      </c>
      <c r="O21" s="11"/>
      <c r="P21" s="31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5" customHeight="1">
      <c r="A22" s="28"/>
      <c r="B22" s="538"/>
      <c r="C22" s="362"/>
      <c r="D22" s="524"/>
      <c r="E22" s="525"/>
      <c r="F22" s="294"/>
      <c r="G22" s="294"/>
      <c r="H22" s="348"/>
      <c r="I22" s="33" t="s">
        <v>9</v>
      </c>
      <c r="J22" s="323"/>
      <c r="K22" s="284">
        <f>COUNTA([4]Brewhouse!$A$363:$A$372)</f>
        <v>10</v>
      </c>
      <c r="L22" s="302">
        <f>AVERAGE([4]Brewhouse!$AS$363:$AS$372)</f>
        <v>100.50071873632695</v>
      </c>
      <c r="M22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AVERAGE([4]Brewhouse!$AS$52:$AS$81,[4]Brewhouse!$AS$83:$AS$124,[4]Brewhouse!$AS$134:$AS$177,[4]Brewhouse!$AS$22:$AS$179,[4]Brewhouse!$AS$214:$AS$249,[4]Brewhouse!$AS$252:$AS$293,[4]Brewhouse!$AS$295:$AS$325,[4]Brewhouse!$AS$327:$AS$361,[4]Brewhouse!$AS$363:$AS$372)</f>
        <v>98.29248495310074</v>
      </c>
      <c r="N22" s="30">
        <v>98</v>
      </c>
      <c r="O22" s="11"/>
      <c r="P22" s="31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4.65" customHeight="1">
      <c r="A23" s="28"/>
      <c r="B23" s="538"/>
      <c r="C23" s="362"/>
      <c r="D23" s="529"/>
      <c r="E23" s="530"/>
      <c r="F23" s="294"/>
      <c r="G23" s="294"/>
      <c r="H23" s="348"/>
      <c r="I23" s="34" t="s">
        <v>12</v>
      </c>
      <c r="J23" s="323"/>
      <c r="K23" s="284"/>
      <c r="L23" s="302"/>
      <c r="M23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3" s="30">
        <v>98</v>
      </c>
      <c r="O23" s="11"/>
      <c r="P23" s="31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4.65" customHeight="1">
      <c r="A24" s="28"/>
      <c r="B24" s="538"/>
      <c r="C24" s="362"/>
      <c r="D24" s="531"/>
      <c r="E24" s="525"/>
      <c r="F24" s="294"/>
      <c r="G24" s="294"/>
      <c r="H24" s="348"/>
      <c r="I24" s="22" t="s">
        <v>33</v>
      </c>
      <c r="J24" s="280"/>
      <c r="K24" s="284"/>
      <c r="L24" s="302"/>
      <c r="M24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4.65" customHeight="1">
      <c r="A25" s="28"/>
      <c r="B25" s="538"/>
      <c r="C25" s="362"/>
      <c r="D25" s="529"/>
      <c r="E25" s="530"/>
      <c r="F25" s="294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8"/>
      <c r="C26" s="362"/>
      <c r="D26" s="531"/>
      <c r="E26" s="525"/>
      <c r="F26" s="417"/>
      <c r="G26" s="294"/>
      <c r="H26" s="348"/>
      <c r="I26" s="36" t="s">
        <v>15</v>
      </c>
      <c r="J26" s="323"/>
      <c r="K26" s="284">
        <f>COUNTA([7]Brewhouse!$A$23:$A$30)</f>
        <v>8</v>
      </c>
      <c r="L26" s="302">
        <f>AVERAGE([7]Brewhouse!$AT$23:$AT$30)</f>
        <v>96.065914782338609</v>
      </c>
      <c r="M26" s="302">
        <f>AVERAGE([7]Brewhouse!$AT$4:$AT$11,[7]Brewhouse!$AT$13:$AT$16,[7]Brewhouse!$AT$18:$AT$30)</f>
        <v>93.22262799886262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8"/>
      <c r="C27" s="362"/>
      <c r="D27" s="529"/>
      <c r="E27" s="530"/>
      <c r="F27" s="417"/>
      <c r="G27" s="294"/>
      <c r="H27" s="348"/>
      <c r="I27" s="37" t="s">
        <v>16</v>
      </c>
      <c r="J27" s="323"/>
      <c r="K27" s="284"/>
      <c r="L27" s="302"/>
      <c r="M27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27" s="30">
        <v>98</v>
      </c>
      <c r="O27" s="11"/>
      <c r="P27" s="31" t="s">
        <v>41</v>
      </c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8"/>
      <c r="C28" s="362"/>
      <c r="D28" s="531"/>
      <c r="E28" s="525"/>
      <c r="F28" s="294"/>
      <c r="G28" s="294"/>
      <c r="H28" s="348"/>
      <c r="I28" s="411" t="s">
        <v>158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38"/>
      <c r="C29" s="362"/>
      <c r="D29" s="529"/>
      <c r="E29" s="530"/>
      <c r="F29" s="294"/>
      <c r="G29" s="294"/>
      <c r="H29" s="348"/>
      <c r="I29" s="410" t="s">
        <v>157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  <c r="AA29" s="472"/>
    </row>
    <row r="30" spans="1:27" ht="15" customHeight="1" thickBot="1">
      <c r="A30" s="28"/>
      <c r="B30" s="538"/>
      <c r="C30" s="362"/>
      <c r="D30" s="531"/>
      <c r="E30" s="525"/>
      <c r="F30" s="294"/>
      <c r="G30" s="294"/>
      <c r="H30" s="348"/>
      <c r="I30" s="406" t="s">
        <v>156</v>
      </c>
      <c r="J30" s="327"/>
      <c r="K30" s="407"/>
      <c r="L30" s="408"/>
      <c r="M30" s="408"/>
      <c r="N30" s="409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  <c r="AA30" s="472"/>
    </row>
    <row r="31" spans="1:27" ht="15" customHeight="1" thickBot="1">
      <c r="A31" s="28"/>
      <c r="B31" s="538"/>
      <c r="C31" s="349"/>
      <c r="D31" s="522"/>
      <c r="E31" s="523"/>
      <c r="F31" s="294"/>
      <c r="G31" s="294"/>
      <c r="H31" s="348"/>
      <c r="I31" s="1"/>
      <c r="J31" s="39"/>
      <c r="K31" s="404">
        <f>SUM(K21:K30)</f>
        <v>68</v>
      </c>
      <c r="L31" s="405">
        <f>((L21*K21)+(L22*K22)+(L23*K23)+(L24*K24)+(L25*K25)+(K28*L28)+(L26*K26)+(L27*K27)+(L30*K30))/(K31)</f>
        <v>98.789913551862426</v>
      </c>
      <c r="M31" s="405">
        <f>AVERAGE('[9]Jan30th-31st'!$L$42,'[10]Feb 27th-28th'!$L$45,'[11]Mar 31st'!$L$42,'[12]Apr 30th'!$L$41,'[13]May 29th '!$L$35,'[14]June 30th'!$L$32,[15]July31st!$L$36,'[16]Aug 31st'!$L$32,L31)</f>
        <v>98.084216437875256</v>
      </c>
      <c r="N31" s="4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  <c r="AA31" s="472"/>
    </row>
    <row r="32" spans="1:27" ht="15.75" thickBot="1">
      <c r="B32" s="539"/>
      <c r="C32" s="350"/>
      <c r="D32" s="524"/>
      <c r="E32" s="525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2:56" ht="15.75" thickBot="1">
      <c r="B33" s="519"/>
      <c r="C33" s="362"/>
      <c r="D33" s="522"/>
      <c r="E33" s="523"/>
      <c r="F33" s="294"/>
      <c r="G33" s="42"/>
      <c r="H33" s="41"/>
      <c r="I33" s="42"/>
      <c r="J33" s="526" t="s">
        <v>129</v>
      </c>
      <c r="K33" s="526"/>
      <c r="L33" s="294"/>
      <c r="M33" s="294"/>
      <c r="N33" s="294"/>
      <c r="O33" s="294"/>
      <c r="P33" s="12"/>
    </row>
    <row r="34" spans="2:56" ht="15.75" thickBot="1">
      <c r="B34" s="520"/>
      <c r="C34" s="362"/>
      <c r="D34" s="524"/>
      <c r="E34" s="525"/>
      <c r="F34" s="294"/>
      <c r="G34" s="42"/>
      <c r="H34" s="42"/>
      <c r="I34" s="42"/>
      <c r="J34" s="292" t="s">
        <v>17</v>
      </c>
      <c r="K34" s="293"/>
      <c r="L34" s="527" t="s">
        <v>136</v>
      </c>
      <c r="M34" s="527"/>
      <c r="N34" s="528"/>
      <c r="O34" s="294"/>
      <c r="P34" s="12"/>
    </row>
    <row r="35" spans="2:56" ht="15" customHeight="1" thickBot="1">
      <c r="B35" s="520"/>
      <c r="C35" s="349"/>
      <c r="D35" s="529"/>
      <c r="E35" s="530"/>
      <c r="F35" s="294"/>
      <c r="G35" s="42"/>
      <c r="H35" s="42"/>
      <c r="I35" s="42"/>
      <c r="J35" s="287" t="s">
        <v>6</v>
      </c>
      <c r="K35" s="324">
        <v>6</v>
      </c>
      <c r="L35" s="473" t="s">
        <v>37</v>
      </c>
      <c r="M35" s="474" t="s">
        <v>38</v>
      </c>
      <c r="N35" s="474" t="s">
        <v>84</v>
      </c>
      <c r="O35" s="294"/>
      <c r="P35" s="12"/>
    </row>
    <row r="36" spans="2:56" ht="15.75" customHeight="1" thickBot="1">
      <c r="B36" s="520"/>
      <c r="C36" s="349"/>
      <c r="D36" s="531"/>
      <c r="E36" s="525"/>
      <c r="F36" s="294"/>
      <c r="G36" s="42"/>
      <c r="H36" s="42"/>
      <c r="I36" s="42"/>
      <c r="J36" s="345" t="s">
        <v>9</v>
      </c>
      <c r="K36" s="324"/>
      <c r="L36" s="485">
        <f>AVERAGE('Sept 1st'!K45,'Sept 2nd'!K47,'Sept 3rd'!K44,'Sept 4th'!K46,'Sept 7th'!K48,'Sept 8th'!K48,'Sept 9th'!K50,'Sept 10th'!K49,'Sept 11th '!K45,K45)</f>
        <v>6.8</v>
      </c>
      <c r="M36" s="486">
        <f>AVERAGE('[9]Jan30th-31st'!$L$47,L36,'[10]Feb 26th '!$L$39,'[11]Mar 31st'!$L$47,'[12]Apr 30th'!$L$46,'[13]May 29th '!$L$40,'[14]June 30th'!$L$39,[15]July31st!$L$41,'[16]Aug 31st'!$L$37)</f>
        <v>6.4933448194317762</v>
      </c>
      <c r="N36" s="416">
        <v>9.1999999999999993</v>
      </c>
      <c r="O36" s="294"/>
      <c r="P36" s="12"/>
    </row>
    <row r="37" spans="2:56" ht="15" customHeight="1">
      <c r="B37" s="520"/>
      <c r="C37" s="349"/>
      <c r="D37" s="529"/>
      <c r="E37" s="530"/>
      <c r="F37" s="294"/>
      <c r="G37" s="42"/>
      <c r="H37" s="42"/>
      <c r="I37" s="42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20"/>
      <c r="C38" s="349"/>
      <c r="D38" s="531"/>
      <c r="E38" s="525"/>
      <c r="F38" s="294"/>
      <c r="G38" s="42"/>
      <c r="H38" s="42"/>
      <c r="I38" s="42"/>
      <c r="J38" s="289" t="s">
        <v>33</v>
      </c>
      <c r="K38" s="324"/>
      <c r="L38" s="294"/>
      <c r="M38" s="294"/>
      <c r="N38" s="294"/>
      <c r="O38" s="294"/>
      <c r="P38" s="12"/>
    </row>
    <row r="39" spans="2:56" ht="15">
      <c r="B39" s="520"/>
      <c r="C39" s="349"/>
      <c r="D39" s="529"/>
      <c r="E39" s="530"/>
      <c r="F39" s="294"/>
      <c r="G39" s="42"/>
      <c r="H39" s="42"/>
      <c r="I39" s="42"/>
      <c r="J39" s="290" t="s">
        <v>16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0"/>
      <c r="C40" s="349"/>
      <c r="D40" s="531"/>
      <c r="E40" s="525"/>
      <c r="F40" s="294"/>
      <c r="G40" s="42"/>
      <c r="H40" s="42"/>
      <c r="I40" s="42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0"/>
      <c r="C41" s="349"/>
      <c r="D41" s="529"/>
      <c r="E41" s="530"/>
      <c r="F41" s="294"/>
      <c r="G41" s="42"/>
      <c r="H41" s="42"/>
      <c r="I41" s="42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.75" thickBot="1">
      <c r="B42" s="521"/>
      <c r="C42" s="350"/>
      <c r="D42" s="532"/>
      <c r="E42" s="533"/>
      <c r="F42" s="294" t="s">
        <v>165</v>
      </c>
      <c r="G42" s="42"/>
      <c r="H42" s="42"/>
      <c r="I42" s="42"/>
      <c r="J42" s="291" t="s">
        <v>148</v>
      </c>
      <c r="K42" s="324"/>
      <c r="L42" s="294"/>
      <c r="M42" s="294"/>
      <c r="N42" s="294" t="s">
        <v>41</v>
      </c>
      <c r="O42" s="294"/>
      <c r="P42" s="12"/>
      <c r="BC42" s="44"/>
      <c r="BD42" s="44"/>
    </row>
    <row r="43" spans="2:56" ht="17.649999999999999" customHeight="1" thickBot="1">
      <c r="B43" s="312" t="s">
        <v>139</v>
      </c>
      <c r="C43" s="313"/>
      <c r="D43" s="510"/>
      <c r="E43" s="511"/>
      <c r="F43" s="294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649999999999999" customHeight="1">
      <c r="B44" s="363"/>
      <c r="C44" s="364"/>
      <c r="D44" s="365"/>
      <c r="E44" s="365"/>
      <c r="F44" s="294"/>
      <c r="G44" s="42"/>
      <c r="H44" s="42"/>
      <c r="I44" s="42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6" customHeight="1">
      <c r="B45" s="45"/>
      <c r="C45" s="11"/>
      <c r="D45" s="11"/>
      <c r="E45" s="46"/>
      <c r="F45" s="294"/>
      <c r="G45" s="42"/>
      <c r="H45" s="42"/>
      <c r="I45" s="42"/>
      <c r="J45" s="346" t="s">
        <v>130</v>
      </c>
      <c r="K45" s="324">
        <f>SUM(K35:K44)</f>
        <v>6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2"/>
      <c r="L46" s="42"/>
      <c r="N46" s="315"/>
      <c r="P46" s="334"/>
    </row>
    <row r="47" spans="2:56" ht="15" customHeight="1" thickBot="1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1"/>
      <c r="O47" s="48"/>
      <c r="P47" s="49"/>
    </row>
    <row r="48" spans="2:56" ht="15" customHeight="1" thickBot="1">
      <c r="B48" s="504" t="s">
        <v>17</v>
      </c>
      <c r="C48" s="504" t="s">
        <v>44</v>
      </c>
      <c r="D48" s="513" t="s">
        <v>45</v>
      </c>
      <c r="E48" s="515" t="s">
        <v>46</v>
      </c>
      <c r="F48" s="517" t="s">
        <v>47</v>
      </c>
      <c r="G48" s="502" t="s">
        <v>48</v>
      </c>
      <c r="H48" s="504" t="s">
        <v>49</v>
      </c>
      <c r="I48" s="504" t="s">
        <v>50</v>
      </c>
      <c r="J48" s="496" t="s">
        <v>28</v>
      </c>
      <c r="K48" s="506" t="s">
        <v>51</v>
      </c>
      <c r="L48" s="508" t="s">
        <v>52</v>
      </c>
      <c r="M48" s="496" t="s">
        <v>53</v>
      </c>
      <c r="N48" s="13"/>
      <c r="O48" s="13"/>
      <c r="P48" s="50"/>
    </row>
    <row r="49" spans="2:57" ht="28.5" customHeight="1" thickTop="1" thickBot="1">
      <c r="B49" s="505"/>
      <c r="C49" s="512"/>
      <c r="D49" s="514"/>
      <c r="E49" s="516"/>
      <c r="F49" s="518"/>
      <c r="G49" s="503"/>
      <c r="H49" s="505"/>
      <c r="I49" s="505"/>
      <c r="J49" s="497"/>
      <c r="K49" s="507"/>
      <c r="L49" s="509"/>
      <c r="M49" s="497"/>
      <c r="N49" s="13"/>
      <c r="O49" s="13"/>
      <c r="P49" s="50"/>
      <c r="Q49" s="355"/>
      <c r="AB49" s="475">
        <v>43474</v>
      </c>
      <c r="AC49" s="475">
        <v>43475</v>
      </c>
      <c r="AD49" s="475">
        <v>43476</v>
      </c>
      <c r="AE49" s="475">
        <v>43477</v>
      </c>
      <c r="AF49" s="475">
        <v>43478</v>
      </c>
      <c r="AG49" s="475">
        <v>43479</v>
      </c>
      <c r="AH49" s="475">
        <v>43480</v>
      </c>
      <c r="AI49" s="475">
        <v>43481</v>
      </c>
      <c r="AJ49" s="475">
        <v>43482</v>
      </c>
      <c r="AK49" s="475">
        <v>43483</v>
      </c>
      <c r="AL49" s="475">
        <v>43484</v>
      </c>
      <c r="AM49" s="475">
        <v>43485</v>
      </c>
      <c r="AN49" s="475">
        <v>43486</v>
      </c>
      <c r="AO49" s="475">
        <v>43487</v>
      </c>
      <c r="AP49" s="475">
        <v>43488</v>
      </c>
      <c r="AQ49" s="475">
        <v>43489</v>
      </c>
      <c r="AR49" s="475">
        <v>43490</v>
      </c>
      <c r="AS49" s="475">
        <v>43491</v>
      </c>
      <c r="AT49" s="475">
        <v>43492</v>
      </c>
      <c r="AU49" s="475">
        <v>43493</v>
      </c>
      <c r="AV49" s="475">
        <v>43494</v>
      </c>
      <c r="AW49" s="475">
        <v>43495</v>
      </c>
      <c r="AX49" s="475">
        <v>43496</v>
      </c>
    </row>
    <row r="50" spans="2:57" s="54" customFormat="1" ht="36.75" customHeight="1" thickBot="1">
      <c r="B50" s="491" t="str">
        <f>J36</f>
        <v>STAG</v>
      </c>
      <c r="C50" s="479">
        <v>46279</v>
      </c>
      <c r="D50" s="445">
        <f>[17]September_2026!$Q$13</f>
        <v>494</v>
      </c>
      <c r="E50" s="443"/>
      <c r="F50" s="444"/>
      <c r="G50" s="444">
        <f>[17]September_2026!$Q$17</f>
        <v>455.40000000000003</v>
      </c>
      <c r="H50" s="458"/>
      <c r="I50" s="458"/>
      <c r="J50" s="448" t="s">
        <v>169</v>
      </c>
      <c r="K50" s="449">
        <f>[18]September_2026!$Q$25</f>
        <v>0.31957894736842107</v>
      </c>
      <c r="L50" s="457">
        <f>(((D50+E50)-G50)/(D50+E50))*100</f>
        <v>7.8137651821862271</v>
      </c>
      <c r="M50" s="455" t="s">
        <v>178</v>
      </c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[19]January_2019!L5</f>
        <v>0</v>
      </c>
      <c r="AC50" s="57">
        <f>[19]January_2019!M5</f>
        <v>0</v>
      </c>
      <c r="AD50" s="57">
        <f>[19]January_2019!N5</f>
        <v>0</v>
      </c>
      <c r="AE50" s="57">
        <f>[19]January_2019!O5</f>
        <v>0</v>
      </c>
      <c r="AF50" s="57">
        <f>[19]January_2019!P5</f>
        <v>0</v>
      </c>
      <c r="AG50" s="57">
        <f>[19]January_2019!Q5</f>
        <v>0</v>
      </c>
      <c r="AH50" s="57">
        <f>[19]January_2019!R5</f>
        <v>0</v>
      </c>
      <c r="AI50" s="57">
        <f>[19]January_2019!S5</f>
        <v>0</v>
      </c>
      <c r="AJ50" s="57">
        <f>[19]January_2019!T5</f>
        <v>0</v>
      </c>
      <c r="AK50" s="57">
        <f>[19]January_2019!U5</f>
        <v>0</v>
      </c>
      <c r="AL50" s="57">
        <f>[19]January_2019!V5</f>
        <v>0</v>
      </c>
      <c r="AM50" s="57">
        <f>[19]January_2019!W5</f>
        <v>0</v>
      </c>
      <c r="AN50" s="57">
        <f>[19]January_2019!X5</f>
        <v>0</v>
      </c>
      <c r="AO50" s="57">
        <f>[19]January_2019!Y5</f>
        <v>0</v>
      </c>
      <c r="AP50" s="57">
        <f>[19]January_2019!Z5</f>
        <v>0</v>
      </c>
      <c r="AQ50" s="57">
        <f>[19]January_2019!AA5</f>
        <v>0</v>
      </c>
      <c r="AR50" s="57">
        <f>[19]January_2019!AB5</f>
        <v>0</v>
      </c>
      <c r="AS50" s="57">
        <f>[19]January_2019!AC5</f>
        <v>0</v>
      </c>
      <c r="AT50" s="57">
        <f>[19]January_2019!AD5</f>
        <v>0</v>
      </c>
      <c r="AU50" s="57">
        <f>[19]January_2019!AE5</f>
        <v>0</v>
      </c>
      <c r="AV50" s="57">
        <f>[19]January_2019!AF5</f>
        <v>0</v>
      </c>
      <c r="AW50" s="57">
        <f>[19]January_2019!AG5</f>
        <v>0</v>
      </c>
      <c r="AX50" s="277">
        <f>[19]January_2019!AH5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14.25" customHeight="1" thickBot="1">
      <c r="B51" s="480"/>
      <c r="C51" s="479"/>
      <c r="D51" s="442"/>
      <c r="E51" s="443"/>
      <c r="F51" s="444"/>
      <c r="G51" s="445"/>
      <c r="H51" s="458"/>
      <c r="I51" s="458"/>
      <c r="J51" s="476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[19]January_2019!L6</f>
        <v>0</v>
      </c>
      <c r="AC51" s="57">
        <f>[19]January_2019!M6</f>
        <v>0</v>
      </c>
      <c r="AD51" s="57">
        <f>[19]January_2019!N6</f>
        <v>0</v>
      </c>
      <c r="AE51" s="57">
        <f>[19]January_2019!O6</f>
        <v>0</v>
      </c>
      <c r="AF51" s="57">
        <f>[19]January_2019!P6</f>
        <v>0</v>
      </c>
      <c r="AG51" s="57">
        <f>[19]January_2019!Q6</f>
        <v>0</v>
      </c>
      <c r="AH51" s="57">
        <f>[19]January_2019!R6</f>
        <v>0</v>
      </c>
      <c r="AI51" s="57">
        <f>[19]January_2019!S6</f>
        <v>0</v>
      </c>
      <c r="AJ51" s="57">
        <f>[19]January_2019!T6</f>
        <v>0</v>
      </c>
      <c r="AK51" s="57">
        <f>[19]January_2019!U6</f>
        <v>0</v>
      </c>
      <c r="AL51" s="57">
        <f>[19]January_2019!V6</f>
        <v>0</v>
      </c>
      <c r="AM51" s="57">
        <f>[19]January_2019!W6</f>
        <v>0</v>
      </c>
      <c r="AN51" s="57">
        <f>[19]January_2019!X6</f>
        <v>0</v>
      </c>
      <c r="AO51" s="57">
        <f>[19]January_2019!Y6</f>
        <v>0</v>
      </c>
      <c r="AP51" s="57">
        <f>[19]January_2019!Z6</f>
        <v>0</v>
      </c>
      <c r="AQ51" s="57">
        <f>[19]January_2019!AA6</f>
        <v>0</v>
      </c>
      <c r="AR51" s="57">
        <f>[19]January_2019!AB6</f>
        <v>0</v>
      </c>
      <c r="AS51" s="57">
        <f>[19]January_2019!AC6</f>
        <v>0</v>
      </c>
      <c r="AT51" s="57">
        <f>[19]January_2019!AD6</f>
        <v>0</v>
      </c>
      <c r="AU51" s="57">
        <f>[19]January_2019!AE6</f>
        <v>0</v>
      </c>
      <c r="AV51" s="57">
        <f>[19]January_2019!AF6</f>
        <v>0</v>
      </c>
      <c r="AW51" s="57">
        <f>[19]January_2019!AG6</f>
        <v>0</v>
      </c>
      <c r="AX51" s="277">
        <f>[19]January_2019!AH6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37.15" hidden="1" customHeight="1" thickBot="1">
      <c r="B52" s="495"/>
      <c r="C52" s="479"/>
      <c r="D52" s="442"/>
      <c r="E52" s="443"/>
      <c r="F52" s="444"/>
      <c r="G52" s="444"/>
      <c r="H52" s="446"/>
      <c r="I52" s="446"/>
      <c r="J52" s="448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[19]January_2019!L7</f>
        <v>285.8</v>
      </c>
      <c r="AC52" s="57">
        <f>[19]January_2019!M7</f>
        <v>508.1</v>
      </c>
      <c r="AD52" s="57">
        <f>[19]January_2019!N7</f>
        <v>0</v>
      </c>
      <c r="AE52" s="57">
        <f>[19]January_2019!O7</f>
        <v>0</v>
      </c>
      <c r="AF52" s="57">
        <f>[19]January_2019!P7</f>
        <v>109.56666666666666</v>
      </c>
      <c r="AG52" s="57">
        <f>[19]January_2019!Q7</f>
        <v>297.64999999999998</v>
      </c>
      <c r="AH52" s="57">
        <f>[19]January_2019!R7</f>
        <v>122.3</v>
      </c>
      <c r="AI52" s="57">
        <f>[19]January_2019!S7</f>
        <v>0</v>
      </c>
      <c r="AJ52" s="57">
        <f>[19]January_2019!T7</f>
        <v>294.7</v>
      </c>
      <c r="AK52" s="57">
        <f>[19]January_2019!U7</f>
        <v>280.5</v>
      </c>
      <c r="AL52" s="57">
        <f>[19]January_2019!V7</f>
        <v>0</v>
      </c>
      <c r="AM52" s="57">
        <f>[19]January_2019!W7</f>
        <v>0</v>
      </c>
      <c r="AN52" s="57">
        <f>[19]January_2019!X7</f>
        <v>188.25</v>
      </c>
      <c r="AO52" s="57">
        <f>[19]January_2019!Y7</f>
        <v>295.7</v>
      </c>
      <c r="AP52" s="57">
        <f>[19]January_2019!Z7</f>
        <v>257.8</v>
      </c>
      <c r="AQ52" s="57">
        <f>[19]January_2019!AA7</f>
        <v>291.2</v>
      </c>
      <c r="AR52" s="57">
        <f>[19]January_2019!AB7</f>
        <v>187</v>
      </c>
      <c r="AS52" s="57">
        <f>[19]January_2019!AC7</f>
        <v>0</v>
      </c>
      <c r="AT52" s="57">
        <f>[19]January_2019!AD7</f>
        <v>0</v>
      </c>
      <c r="AU52" s="57">
        <f>[19]January_2019!AE7</f>
        <v>485.1</v>
      </c>
      <c r="AV52" s="57">
        <f>[19]January_2019!AF7</f>
        <v>171.55</v>
      </c>
      <c r="AW52" s="57">
        <f>[19]January_2019!AG7</f>
        <v>423.8</v>
      </c>
      <c r="AX52" s="277">
        <f>[19]January_2019!AH7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8.600000000000001" hidden="1" customHeight="1" thickBot="1">
      <c r="B53" s="478"/>
      <c r="C53" s="430"/>
      <c r="D53" s="431"/>
      <c r="E53" s="432"/>
      <c r="F53" s="433"/>
      <c r="G53" s="434"/>
      <c r="H53" s="458"/>
      <c r="I53" s="458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38.65" hidden="1" customHeight="1" thickBot="1">
      <c r="B54" s="487"/>
      <c r="C54" s="479"/>
      <c r="D54" s="442"/>
      <c r="E54" s="443"/>
      <c r="F54" s="444"/>
      <c r="G54" s="445"/>
      <c r="H54" s="458"/>
      <c r="I54" s="458"/>
      <c r="J54" s="448"/>
      <c r="K54" s="45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5" hidden="1">
      <c r="B55" s="453"/>
      <c r="C55" s="430"/>
      <c r="D55" s="431"/>
      <c r="E55" s="432"/>
      <c r="F55" s="433"/>
      <c r="G55" s="434"/>
      <c r="H55" s="435"/>
      <c r="I55" s="450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81"/>
      <c r="C56" s="479"/>
      <c r="D56" s="442"/>
      <c r="E56" s="443"/>
      <c r="F56" s="444"/>
      <c r="G56" s="445"/>
      <c r="H56" s="446"/>
      <c r="I56" s="447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6.5" hidden="1" customHeight="1" thickBot="1">
      <c r="B57" s="437"/>
      <c r="C57" s="423"/>
      <c r="D57" s="424"/>
      <c r="E57" s="425"/>
      <c r="F57" s="426"/>
      <c r="G57" s="427"/>
      <c r="H57" s="428"/>
      <c r="I57" s="438"/>
      <c r="J57" s="439"/>
      <c r="K57" s="429"/>
      <c r="L57" s="440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</row>
    <row r="58" spans="2:57" s="54" customFormat="1" ht="37.15" hidden="1" customHeight="1" thickBot="1">
      <c r="B58" s="456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customHeight="1">
      <c r="B59" s="466"/>
      <c r="C59" s="430"/>
      <c r="D59" s="460"/>
      <c r="E59" s="461"/>
      <c r="F59" s="462"/>
      <c r="G59" s="460"/>
      <c r="H59" s="463"/>
      <c r="I59" s="463"/>
      <c r="J59" s="463"/>
      <c r="K59" s="464"/>
      <c r="L59" s="465"/>
      <c r="M59" s="5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498" t="s">
        <v>55</v>
      </c>
      <c r="C61" s="499"/>
      <c r="D61" s="499"/>
      <c r="E61" s="499"/>
      <c r="F61" s="500"/>
      <c r="G61" s="498" t="s">
        <v>56</v>
      </c>
      <c r="H61" s="499"/>
      <c r="I61" s="499"/>
      <c r="J61" s="500"/>
      <c r="K61" s="498" t="s">
        <v>51</v>
      </c>
      <c r="L61" s="499"/>
      <c r="M61" s="499"/>
      <c r="N61" s="501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/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/>
      <c r="D63" s="76">
        <v>7.1683223149077477</v>
      </c>
      <c r="E63" s="76">
        <v>6.5664758512118544</v>
      </c>
      <c r="F63" s="66">
        <v>4.8</v>
      </c>
      <c r="G63" s="65"/>
      <c r="H63" s="477">
        <v>6.6712241771672547</v>
      </c>
      <c r="I63" s="477">
        <v>6.6530949425970096</v>
      </c>
      <c r="J63" s="66">
        <v>4.8</v>
      </c>
      <c r="K63" s="67">
        <f>K50</f>
        <v>0.31957894736842107</v>
      </c>
      <c r="L63" s="194">
        <v>0.62401503759398502</v>
      </c>
      <c r="M63" s="194">
        <v>0.53270208479630277</v>
      </c>
      <c r="N63" s="68">
        <v>1</v>
      </c>
      <c r="O63" s="56"/>
      <c r="P63" s="69"/>
    </row>
    <row r="64" spans="2:57" ht="15">
      <c r="B64" s="33" t="s">
        <v>9</v>
      </c>
      <c r="C64" s="65">
        <f>L50</f>
        <v>7.8137651821862271</v>
      </c>
      <c r="D64" s="76">
        <v>8.1797752808988591</v>
      </c>
      <c r="E64" s="76">
        <v>5.939590940751847</v>
      </c>
      <c r="F64" s="66">
        <v>4.8</v>
      </c>
      <c r="G64" s="65">
        <f>[17]September_2026!$Q$21</f>
        <v>6.8511779913174742</v>
      </c>
      <c r="H64" s="76">
        <v>7.1493286491954091</v>
      </c>
      <c r="I64" s="76">
        <v>6.0146000548367518</v>
      </c>
      <c r="J64" s="66">
        <v>4.8</v>
      </c>
      <c r="K64" s="67"/>
      <c r="L64" s="194">
        <v>0.31847368421052635</v>
      </c>
      <c r="M64" s="194">
        <v>0.68029295501093157</v>
      </c>
      <c r="N64" s="68">
        <v>1</v>
      </c>
      <c r="P64" s="69"/>
    </row>
    <row r="65" spans="2:16" ht="15">
      <c r="B65" s="34" t="s">
        <v>40</v>
      </c>
      <c r="C65" s="65"/>
      <c r="D65" s="76"/>
      <c r="E65" s="76">
        <v>11.277593164016125</v>
      </c>
      <c r="F65" s="66">
        <v>5.5</v>
      </c>
      <c r="G65" s="65"/>
      <c r="H65" s="76"/>
      <c r="I65" s="76">
        <v>11.857907912244482</v>
      </c>
      <c r="J65" s="66">
        <v>5.5</v>
      </c>
      <c r="K65" s="67"/>
      <c r="L65" s="194"/>
      <c r="M65" s="194">
        <v>0.35370190356844494</v>
      </c>
      <c r="N65" s="68">
        <v>1</v>
      </c>
      <c r="P65" s="69"/>
    </row>
    <row r="66" spans="2:16" ht="15">
      <c r="B66" s="22" t="s">
        <v>33</v>
      </c>
      <c r="C66" s="65"/>
      <c r="D66" s="76"/>
      <c r="E66" s="76">
        <v>4.8685538193023836</v>
      </c>
      <c r="F66" s="66">
        <v>3.3</v>
      </c>
      <c r="G66" s="65"/>
      <c r="H66" s="76"/>
      <c r="I66" s="76">
        <v>4.8702525342252114</v>
      </c>
      <c r="J66" s="66">
        <v>3.3</v>
      </c>
      <c r="K66" s="67"/>
      <c r="L66" s="194"/>
      <c r="M66" s="194">
        <v>0.77919298245614044</v>
      </c>
      <c r="N66" s="68">
        <v>1</v>
      </c>
      <c r="P66" s="69"/>
    </row>
    <row r="67" spans="2:16" ht="15">
      <c r="B67" s="35" t="s">
        <v>164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 ht="15">
      <c r="B68" s="36" t="s">
        <v>15</v>
      </c>
      <c r="C68" s="65"/>
      <c r="D68" s="76">
        <v>6.8855672629257718</v>
      </c>
      <c r="E68" s="76">
        <v>6.3233965672990236</v>
      </c>
      <c r="F68" s="70">
        <v>5.5</v>
      </c>
      <c r="G68" s="65"/>
      <c r="H68" s="76">
        <v>7.4264332958762713</v>
      </c>
      <c r="I68" s="76">
        <v>7.9667553186446929</v>
      </c>
      <c r="J68" s="66">
        <v>5.5</v>
      </c>
      <c r="K68" s="67"/>
      <c r="L68" s="194">
        <v>0.391812865497076</v>
      </c>
      <c r="M68" s="194">
        <v>0.5883625730994152</v>
      </c>
      <c r="N68" s="68">
        <v>1</v>
      </c>
      <c r="P68" s="69"/>
    </row>
    <row r="69" spans="2:16" ht="15">
      <c r="B69" s="37" t="s">
        <v>16</v>
      </c>
      <c r="C69" s="482"/>
      <c r="D69" s="76"/>
      <c r="E69" s="76">
        <v>3.6168923014750334</v>
      </c>
      <c r="F69" s="66">
        <v>3.3</v>
      </c>
      <c r="G69" s="282"/>
      <c r="H69" s="76"/>
      <c r="I69" s="76">
        <v>5.0091179718082053</v>
      </c>
      <c r="J69" s="66">
        <v>3.3</v>
      </c>
      <c r="K69" s="67"/>
      <c r="L69" s="194"/>
      <c r="M69" s="194">
        <v>0.92642300194931759</v>
      </c>
      <c r="N69" s="71">
        <v>1</v>
      </c>
      <c r="P69" s="69"/>
    </row>
    <row r="70" spans="2:16" ht="15.75" thickBot="1">
      <c r="B70" s="38" t="s">
        <v>163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L70" s="194"/>
      <c r="M70" s="194"/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/>
      <c r="F71" s="66">
        <v>4.8</v>
      </c>
      <c r="G71" s="282"/>
      <c r="H71" s="76"/>
      <c r="I71" s="76"/>
      <c r="J71" s="66">
        <v>4.8</v>
      </c>
      <c r="K71" s="67"/>
      <c r="L71" s="194"/>
      <c r="M71" s="194"/>
      <c r="N71" s="71">
        <v>1</v>
      </c>
      <c r="O71" s="74"/>
      <c r="P71" s="75"/>
    </row>
    <row r="72" spans="2:16" ht="15">
      <c r="D72" s="76">
        <v>7.4046746394335576</v>
      </c>
      <c r="E72" s="76">
        <v>6.3918286687512609</v>
      </c>
      <c r="F72" s="341">
        <v>5.5</v>
      </c>
      <c r="H72" s="76">
        <v>6.9073087003620639</v>
      </c>
      <c r="I72" s="76">
        <v>6.704265397809281</v>
      </c>
      <c r="J72" s="341">
        <v>5.5</v>
      </c>
      <c r="L72" s="194">
        <v>0.51504093567251463</v>
      </c>
      <c r="M72" s="194">
        <v>0.59281017827258786</v>
      </c>
      <c r="N72" s="386">
        <v>1</v>
      </c>
    </row>
  </sheetData>
  <mergeCells count="51">
    <mergeCell ref="M48:M49"/>
    <mergeCell ref="B61:F61"/>
    <mergeCell ref="G61:J61"/>
    <mergeCell ref="K61:N61"/>
    <mergeCell ref="G48:G49"/>
    <mergeCell ref="H48:H49"/>
    <mergeCell ref="I48:I49"/>
    <mergeCell ref="J48:J49"/>
    <mergeCell ref="K48:K49"/>
    <mergeCell ref="L48:L49"/>
    <mergeCell ref="F48:F49"/>
    <mergeCell ref="D43:E43"/>
    <mergeCell ref="B48:B49"/>
    <mergeCell ref="C48:C49"/>
    <mergeCell ref="D48:D49"/>
    <mergeCell ref="E48:E49"/>
    <mergeCell ref="B33:B42"/>
    <mergeCell ref="D33:E34"/>
    <mergeCell ref="J33:K33"/>
    <mergeCell ref="L34:N34"/>
    <mergeCell ref="D35:E36"/>
    <mergeCell ref="D37:E38"/>
    <mergeCell ref="D39:E40"/>
    <mergeCell ref="D41:E42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3:B44">
    <cfRule type="cellIs" dxfId="1721" priority="103" operator="notBetween">
      <formula>#REF!</formula>
      <formula>#REF!</formula>
    </cfRule>
  </conditionalFormatting>
  <conditionalFormatting sqref="C47">
    <cfRule type="cellIs" dxfId="1720" priority="185" stopIfTrue="1" operator="lessThan">
      <formula>96</formula>
    </cfRule>
    <cfRule type="cellIs" dxfId="1719" priority="186" stopIfTrue="1" operator="greaterThan">
      <formula>100</formula>
    </cfRule>
  </conditionalFormatting>
  <conditionalFormatting sqref="C63:C64">
    <cfRule type="cellIs" dxfId="1718" priority="66" stopIfTrue="1" operator="greaterThan">
      <formula>$F63</formula>
    </cfRule>
    <cfRule type="cellIs" dxfId="1717" priority="67" stopIfTrue="1" operator="lessThanOrEqual">
      <formula>0</formula>
    </cfRule>
    <cfRule type="cellIs" dxfId="1716" priority="68" stopIfTrue="1" operator="greaterThan">
      <formula>$F63</formula>
    </cfRule>
    <cfRule type="cellIs" dxfId="1715" priority="69" stopIfTrue="1" operator="lessThanOrEqual">
      <formula>0</formula>
    </cfRule>
  </conditionalFormatting>
  <conditionalFormatting sqref="C65:C67 C69:C71">
    <cfRule type="cellIs" dxfId="1714" priority="75" stopIfTrue="1" operator="greaterThan">
      <formula>$F68</formula>
    </cfRule>
  </conditionalFormatting>
  <conditionalFormatting sqref="C65:C67">
    <cfRule type="cellIs" dxfId="1713" priority="76" stopIfTrue="1" operator="lessThanOrEqual">
      <formula>0</formula>
    </cfRule>
  </conditionalFormatting>
  <conditionalFormatting sqref="C68">
    <cfRule type="cellIs" dxfId="1712" priority="187" stopIfTrue="1" operator="greaterThan">
      <formula>$F63</formula>
    </cfRule>
    <cfRule type="cellIs" dxfId="1711" priority="188" stopIfTrue="1" operator="lessThanOrEqual">
      <formula>0</formula>
    </cfRule>
    <cfRule type="cellIs" dxfId="1710" priority="189" stopIfTrue="1" operator="greaterThan">
      <formula>$F63</formula>
    </cfRule>
    <cfRule type="cellIs" dxfId="1709" priority="190" stopIfTrue="1" operator="lessThanOrEqual">
      <formula>0</formula>
    </cfRule>
  </conditionalFormatting>
  <conditionalFormatting sqref="C69:C71">
    <cfRule type="cellIs" dxfId="1708" priority="77" stopIfTrue="1" operator="lessThanOrEqual">
      <formula>0</formula>
    </cfRule>
  </conditionalFormatting>
  <conditionalFormatting sqref="C74:C78">
    <cfRule type="cellIs" dxfId="1707" priority="177" stopIfTrue="1" operator="lessThanOrEqual">
      <formula>0</formula>
    </cfRule>
  </conditionalFormatting>
  <conditionalFormatting sqref="C75:C78">
    <cfRule type="cellIs" dxfId="1706" priority="176" stopIfTrue="1" operator="greaterThan">
      <formula>$F$74</formula>
    </cfRule>
  </conditionalFormatting>
  <conditionalFormatting sqref="C80">
    <cfRule type="cellIs" dxfId="1705" priority="178" stopIfTrue="1" operator="greaterThan">
      <formula>$F$74</formula>
    </cfRule>
    <cfRule type="cellIs" dxfId="1704" priority="179" stopIfTrue="1" operator="lessThanOrEqual">
      <formula>0</formula>
    </cfRule>
  </conditionalFormatting>
  <conditionalFormatting sqref="C68:D68">
    <cfRule type="cellIs" dxfId="1703" priority="64" stopIfTrue="1" operator="greaterThan">
      <formula>$J68</formula>
    </cfRule>
    <cfRule type="cellIs" dxfId="1702" priority="65" stopIfTrue="1" operator="lessThanOrEqual">
      <formula>0</formula>
    </cfRule>
  </conditionalFormatting>
  <conditionalFormatting sqref="C74:D74 D76:D82">
    <cfRule type="cellIs" dxfId="1701" priority="171" stopIfTrue="1" operator="greaterThan">
      <formula>4.5</formula>
    </cfRule>
  </conditionalFormatting>
  <conditionalFormatting sqref="D43:D44">
    <cfRule type="cellIs" dxfId="1700" priority="104" operator="notBetween">
      <formula>#REF!</formula>
      <formula>#REF!</formula>
    </cfRule>
  </conditionalFormatting>
  <conditionalFormatting sqref="D63:D67 D69:D70">
    <cfRule type="cellIs" dxfId="1699" priority="74" stopIfTrue="1" operator="lessThanOrEqual">
      <formula>0</formula>
    </cfRule>
  </conditionalFormatting>
  <conditionalFormatting sqref="D63:D67 D69:D72">
    <cfRule type="cellIs" dxfId="1698" priority="70" stopIfTrue="1" operator="lessThanOrEqual">
      <formula>0</formula>
    </cfRule>
    <cfRule type="cellIs" dxfId="1697" priority="71" stopIfTrue="1" operator="greaterThan">
      <formula>$F63</formula>
    </cfRule>
  </conditionalFormatting>
  <conditionalFormatting sqref="D71:D72">
    <cfRule type="cellIs" dxfId="1696" priority="72" stopIfTrue="1" operator="lessThanOrEqual">
      <formula>0</formula>
    </cfRule>
  </conditionalFormatting>
  <conditionalFormatting sqref="D72">
    <cfRule type="cellIs" dxfId="1695" priority="73" stopIfTrue="1" operator="lessThanOrEqual">
      <formula>0</formula>
    </cfRule>
  </conditionalFormatting>
  <conditionalFormatting sqref="D74 D76:D82">
    <cfRule type="cellIs" dxfId="1694" priority="172" stopIfTrue="1" operator="lessThanOrEqual">
      <formula>0</formula>
    </cfRule>
  </conditionalFormatting>
  <conditionalFormatting sqref="D75">
    <cfRule type="cellIs" dxfId="1693" priority="163" stopIfTrue="1" operator="greaterThan">
      <formula>$F$74</formula>
    </cfRule>
    <cfRule type="cellIs" dxfId="1692" priority="164" stopIfTrue="1" operator="lessThanOrEqual">
      <formula>0</formula>
    </cfRule>
  </conditionalFormatting>
  <conditionalFormatting sqref="E10:E18">
    <cfRule type="cellIs" dxfId="1691" priority="13" operator="lessThan">
      <formula>48</formula>
    </cfRule>
  </conditionalFormatting>
  <conditionalFormatting sqref="E46 E47:F47">
    <cfRule type="cellIs" dxfId="1690" priority="168" stopIfTrue="1" operator="greaterThan">
      <formula>100</formula>
    </cfRule>
  </conditionalFormatting>
  <conditionalFormatting sqref="E47">
    <cfRule type="cellIs" dxfId="1689" priority="165" stopIfTrue="1" operator="lessThan">
      <formula>96.8</formula>
    </cfRule>
    <cfRule type="cellIs" dxfId="1688" priority="166" stopIfTrue="1" operator="greaterThan">
      <formula>100</formula>
    </cfRule>
  </conditionalFormatting>
  <conditionalFormatting sqref="E63:E71">
    <cfRule type="cellIs" dxfId="1687" priority="37" stopIfTrue="1" operator="lessThanOrEqual">
      <formula>0</formula>
    </cfRule>
  </conditionalFormatting>
  <conditionalFormatting sqref="E63:E72">
    <cfRule type="cellIs" dxfId="1686" priority="38" stopIfTrue="1" operator="greaterThan">
      <formula>$F63</formula>
    </cfRule>
    <cfRule type="cellIs" dxfId="1685" priority="39" stopIfTrue="1" operator="lessThanOrEqual">
      <formula>0</formula>
    </cfRule>
  </conditionalFormatting>
  <conditionalFormatting sqref="E72">
    <cfRule type="cellIs" dxfId="1684" priority="40" stopIfTrue="1" operator="lessThanOrEqual">
      <formula>0</formula>
    </cfRule>
  </conditionalFormatting>
  <conditionalFormatting sqref="E74:E82">
    <cfRule type="cellIs" dxfId="1683" priority="157" stopIfTrue="1" operator="greaterThan">
      <formula>4.5</formula>
    </cfRule>
    <cfRule type="cellIs" dxfId="1682" priority="158" stopIfTrue="1" operator="lessThanOrEqual">
      <formula>0</formula>
    </cfRule>
  </conditionalFormatting>
  <conditionalFormatting sqref="E47:F47 E46">
    <cfRule type="cellIs" dxfId="1681" priority="167" stopIfTrue="1" operator="lessThan">
      <formula>96.5</formula>
    </cfRule>
  </conditionalFormatting>
  <conditionalFormatting sqref="F10:F18">
    <cfRule type="cellIs" dxfId="1680" priority="14" operator="greaterThan">
      <formula>60</formula>
    </cfRule>
  </conditionalFormatting>
  <conditionalFormatting sqref="F47">
    <cfRule type="cellIs" dxfId="1679" priority="183" stopIfTrue="1" operator="lessThan">
      <formula>96.8</formula>
    </cfRule>
    <cfRule type="cellIs" dxfId="1678" priority="184" stopIfTrue="1" operator="greaterThan">
      <formula>100</formula>
    </cfRule>
  </conditionalFormatting>
  <conditionalFormatting sqref="G18">
    <cfRule type="expression" dxfId="1677" priority="3">
      <formula>IF(+(IF(G18&lt;S18,0,IF(G18&gt;T18,0,1)))=0,1)</formula>
    </cfRule>
  </conditionalFormatting>
  <conditionalFormatting sqref="G63:G66 F72">
    <cfRule type="cellIs" dxfId="1676" priority="46" stopIfTrue="1" operator="greaterThan">
      <formula>$F63</formula>
    </cfRule>
    <cfRule type="cellIs" dxfId="1675" priority="47" stopIfTrue="1" operator="lessThanOrEqual">
      <formula>0</formula>
    </cfRule>
  </conditionalFormatting>
  <conditionalFormatting sqref="G65:G66">
    <cfRule type="cellIs" dxfId="1674" priority="32" stopIfTrue="1" operator="greaterThan">
      <formula>$F65</formula>
    </cfRule>
    <cfRule type="cellIs" dxfId="1673" priority="33" stopIfTrue="1" operator="lessThanOrEqual">
      <formula>0</formula>
    </cfRule>
  </conditionalFormatting>
  <conditionalFormatting sqref="G67:G71">
    <cfRule type="cellIs" dxfId="1672" priority="48" stopIfTrue="1" operator="greaterThan">
      <formula>$J67</formula>
    </cfRule>
    <cfRule type="cellIs" dxfId="1671" priority="49" stopIfTrue="1" operator="lessThanOrEqual">
      <formula>0</formula>
    </cfRule>
  </conditionalFormatting>
  <conditionalFormatting sqref="G68">
    <cfRule type="cellIs" dxfId="1670" priority="191" stopIfTrue="1" operator="greaterThan">
      <formula>$F63</formula>
    </cfRule>
    <cfRule type="cellIs" dxfId="1669" priority="192" stopIfTrue="1" operator="lessThanOrEqual">
      <formula>0</formula>
    </cfRule>
  </conditionalFormatting>
  <conditionalFormatting sqref="G76:G81 C79 C81">
    <cfRule type="cellIs" dxfId="1668" priority="180" stopIfTrue="1" operator="greaterThan">
      <formula>4.5</formula>
    </cfRule>
    <cfRule type="cellIs" dxfId="1667" priority="181" stopIfTrue="1" operator="lessThanOrEqual">
      <formula>0</formula>
    </cfRule>
  </conditionalFormatting>
  <conditionalFormatting sqref="G10:H15">
    <cfRule type="expression" dxfId="1666" priority="1">
      <formula>IF(+(IF(G10&lt;#REF!,0,IF(G10&gt;#REF!,0,1)))=0,1)</formula>
    </cfRule>
  </conditionalFormatting>
  <conditionalFormatting sqref="G75:H75">
    <cfRule type="cellIs" dxfId="1665" priority="161" stopIfTrue="1" operator="greaterThan">
      <formula>$F$74</formula>
    </cfRule>
    <cfRule type="cellIs" dxfId="1664" priority="162" stopIfTrue="1" operator="lessThanOrEqual">
      <formula>0</formula>
    </cfRule>
  </conditionalFormatting>
  <conditionalFormatting sqref="H32:H33 H46">
    <cfRule type="cellIs" dxfId="1663" priority="159" stopIfTrue="1" operator="greaterThan">
      <formula>0</formula>
    </cfRule>
  </conditionalFormatting>
  <conditionalFormatting sqref="H50">
    <cfRule type="cellIs" dxfId="1662" priority="51" stopIfTrue="1" operator="lessThanOrEqual">
      <formula>0</formula>
    </cfRule>
    <cfRule type="cellIs" dxfId="1661" priority="52" stopIfTrue="1" operator="greaterThan">
      <formula>$F$63</formula>
    </cfRule>
    <cfRule type="cellIs" dxfId="1660" priority="60" stopIfTrue="1" operator="greaterThan">
      <formula>$F$66</formula>
    </cfRule>
    <cfRule type="cellIs" dxfId="1659" priority="61" stopIfTrue="1" operator="lessThanOrEqual">
      <formula>0</formula>
    </cfRule>
    <cfRule type="cellIs" dxfId="1658" priority="62" stopIfTrue="1" operator="greaterThan">
      <formula>$F$64</formula>
    </cfRule>
  </conditionalFormatting>
  <conditionalFormatting sqref="H50:H51">
    <cfRule type="cellIs" dxfId="1657" priority="63" stopIfTrue="1" operator="lessThanOrEqual">
      <formula>0</formula>
    </cfRule>
  </conditionalFormatting>
  <conditionalFormatting sqref="H51 H53:H54">
    <cfRule type="cellIs" dxfId="1656" priority="89" stopIfTrue="1" operator="lessThanOrEqual">
      <formula>0</formula>
    </cfRule>
  </conditionalFormatting>
  <conditionalFormatting sqref="H51">
    <cfRule type="cellIs" dxfId="1655" priority="78" stopIfTrue="1" operator="greaterThan">
      <formula>$F$63</formula>
    </cfRule>
    <cfRule type="cellIs" dxfId="1654" priority="86" stopIfTrue="1" operator="greaterThan">
      <formula>$F$66</formula>
    </cfRule>
    <cfRule type="cellIs" dxfId="1653" priority="87" stopIfTrue="1" operator="lessThanOrEqual">
      <formula>0</formula>
    </cfRule>
    <cfRule type="cellIs" dxfId="1652" priority="88" stopIfTrue="1" operator="greaterThan">
      <formula>$F$64</formula>
    </cfRule>
  </conditionalFormatting>
  <conditionalFormatting sqref="H52">
    <cfRule type="cellIs" dxfId="1651" priority="18" stopIfTrue="1" operator="lessThanOrEqual">
      <formula>0</formula>
    </cfRule>
    <cfRule type="cellIs" dxfId="1650" priority="19" stopIfTrue="1" operator="greaterThan">
      <formula>$F$65</formula>
    </cfRule>
    <cfRule type="cellIs" dxfId="1649" priority="27" stopIfTrue="1" operator="greaterThan">
      <formula>$F$68</formula>
    </cfRule>
    <cfRule type="cellIs" dxfId="1648" priority="28" stopIfTrue="1" operator="lessThanOrEqual">
      <formula>0</formula>
    </cfRule>
    <cfRule type="cellIs" dxfId="1647" priority="29" stopIfTrue="1" operator="greaterThan">
      <formula>$F$66</formula>
    </cfRule>
    <cfRule type="cellIs" dxfId="1646" priority="30" stopIfTrue="1" operator="lessThanOrEqual">
      <formula>0</formula>
    </cfRule>
  </conditionalFormatting>
  <conditionalFormatting sqref="H53:H54">
    <cfRule type="cellIs" dxfId="1645" priority="91" stopIfTrue="1" operator="greaterThan">
      <formula>$F$63</formula>
    </cfRule>
    <cfRule type="cellIs" dxfId="1644" priority="99" stopIfTrue="1" operator="greaterThan">
      <formula>$F$66</formula>
    </cfRule>
    <cfRule type="cellIs" dxfId="1643" priority="100" stopIfTrue="1" operator="lessThanOrEqual">
      <formula>0</formula>
    </cfRule>
    <cfRule type="cellIs" dxfId="1642" priority="101" stopIfTrue="1" operator="greaterThan">
      <formula>$F$64</formula>
    </cfRule>
    <cfRule type="cellIs" dxfId="1641" priority="102" stopIfTrue="1" operator="lessThanOrEqual">
      <formula>0</formula>
    </cfRule>
  </conditionalFormatting>
  <conditionalFormatting sqref="H55:H56">
    <cfRule type="cellIs" dxfId="1640" priority="126" stopIfTrue="1" operator="lessThanOrEqual">
      <formula>0</formula>
    </cfRule>
    <cfRule type="cellIs" dxfId="1639" priority="127" stopIfTrue="1" operator="greaterThan">
      <formula>#REF!</formula>
    </cfRule>
    <cfRule type="cellIs" dxfId="1638" priority="135" stopIfTrue="1" operator="greaterThan">
      <formula>#REF!</formula>
    </cfRule>
    <cfRule type="cellIs" dxfId="1637" priority="136" stopIfTrue="1" operator="lessThanOrEqual">
      <formula>0</formula>
    </cfRule>
  </conditionalFormatting>
  <conditionalFormatting sqref="H57">
    <cfRule type="cellIs" dxfId="1636" priority="138" stopIfTrue="1" operator="lessThanOrEqual">
      <formula>0</formula>
    </cfRule>
    <cfRule type="cellIs" dxfId="1635" priority="139" stopIfTrue="1" operator="greaterThan">
      <formula>$F$31</formula>
    </cfRule>
    <cfRule type="cellIs" dxfId="1634" priority="147" stopIfTrue="1" operator="greaterThan">
      <formula>$F$34</formula>
    </cfRule>
    <cfRule type="cellIs" dxfId="1633" priority="148" stopIfTrue="1" operator="lessThanOrEqual">
      <formula>0</formula>
    </cfRule>
    <cfRule type="cellIs" dxfId="1632" priority="149" stopIfTrue="1" operator="greaterThan">
      <formula>$F$32</formula>
    </cfRule>
    <cfRule type="cellIs" dxfId="1631" priority="150" stopIfTrue="1" operator="lessThanOrEqual">
      <formula>0</formula>
    </cfRule>
  </conditionalFormatting>
  <conditionalFormatting sqref="H58:H59">
    <cfRule type="cellIs" dxfId="1630" priority="114" stopIfTrue="1" operator="lessThanOrEqual">
      <formula>0</formula>
    </cfRule>
    <cfRule type="cellIs" dxfId="1629" priority="115" stopIfTrue="1" operator="greaterThan">
      <formula>#REF!</formula>
    </cfRule>
    <cfRule type="cellIs" dxfId="1628" priority="123" stopIfTrue="1" operator="greaterThan">
      <formula>#REF!</formula>
    </cfRule>
    <cfRule type="cellIs" dxfId="1627" priority="124" stopIfTrue="1" operator="lessThanOrEqual">
      <formula>0</formula>
    </cfRule>
  </conditionalFormatting>
  <conditionalFormatting sqref="H74 H76:H82">
    <cfRule type="cellIs" dxfId="1626" priority="173" stopIfTrue="1" operator="greaterThan">
      <formula>4.5</formula>
    </cfRule>
    <cfRule type="cellIs" dxfId="1625" priority="174" stopIfTrue="1" operator="lessThanOrEqual">
      <formula>0</formula>
    </cfRule>
  </conditionalFormatting>
  <conditionalFormatting sqref="H50:I50">
    <cfRule type="cellIs" dxfId="1624" priority="53" stopIfTrue="1" operator="lessThanOrEqual">
      <formula>0</formula>
    </cfRule>
  </conditionalFormatting>
  <conditionalFormatting sqref="H50:I51 H53:I54">
    <cfRule type="cellIs" dxfId="1623" priority="50" stopIfTrue="1" operator="greaterThan">
      <formula>$F$65</formula>
    </cfRule>
  </conditionalFormatting>
  <conditionalFormatting sqref="H51:I51">
    <cfRule type="cellIs" dxfId="1622" priority="79" stopIfTrue="1" operator="lessThanOrEqual">
      <formula>0</formula>
    </cfRule>
  </conditionalFormatting>
  <conditionalFormatting sqref="H52:I52">
    <cfRule type="cellIs" dxfId="1621" priority="17" stopIfTrue="1" operator="greaterThan">
      <formula>$F$67</formula>
    </cfRule>
    <cfRule type="cellIs" dxfId="1620" priority="20" stopIfTrue="1" operator="lessThanOrEqual">
      <formula>0</formula>
    </cfRule>
  </conditionalFormatting>
  <conditionalFormatting sqref="H53:I54">
    <cfRule type="cellIs" dxfId="1619" priority="92" stopIfTrue="1" operator="lessThanOrEqual">
      <formula>0</formula>
    </cfRule>
  </conditionalFormatting>
  <conditionalFormatting sqref="H55:I56">
    <cfRule type="cellIs" dxfId="1618" priority="125" stopIfTrue="1" operator="greaterThan">
      <formula>#REF!</formula>
    </cfRule>
    <cfRule type="cellIs" dxfId="1617" priority="128" stopIfTrue="1" operator="lessThanOrEqual">
      <formula>0</formula>
    </cfRule>
    <cfRule type="cellIs" dxfId="1616" priority="133" stopIfTrue="1" operator="greaterThan">
      <formula>#REF!</formula>
    </cfRule>
    <cfRule type="cellIs" dxfId="1615" priority="134" stopIfTrue="1" operator="lessThanOrEqual">
      <formula>0</formula>
    </cfRule>
  </conditionalFormatting>
  <conditionalFormatting sqref="H57:I57">
    <cfRule type="cellIs" dxfId="1614" priority="137" stopIfTrue="1" operator="greaterThan">
      <formula>$F$33</formula>
    </cfRule>
    <cfRule type="cellIs" dxfId="1613" priority="140" stopIfTrue="1" operator="lessThanOrEqual">
      <formula>0</formula>
    </cfRule>
  </conditionalFormatting>
  <conditionalFormatting sqref="H58:I59">
    <cfRule type="cellIs" dxfId="1612" priority="113" stopIfTrue="1" operator="greaterThan">
      <formula>#REF!</formula>
    </cfRule>
    <cfRule type="cellIs" dxfId="1611" priority="116" stopIfTrue="1" operator="lessThanOrEqual">
      <formula>0</formula>
    </cfRule>
    <cfRule type="cellIs" dxfId="1610" priority="121" stopIfTrue="1" operator="greaterThan">
      <formula>#REF!</formula>
    </cfRule>
    <cfRule type="cellIs" dxfId="1609" priority="122" stopIfTrue="1" operator="lessThanOrEqual">
      <formula>0</formula>
    </cfRule>
  </conditionalFormatting>
  <conditionalFormatting sqref="H63:I70">
    <cfRule type="cellIs" dxfId="1608" priority="35" stopIfTrue="1" operator="greaterThan">
      <formula>$J63</formula>
    </cfRule>
    <cfRule type="cellIs" dxfId="1607" priority="36" stopIfTrue="1" operator="lessThanOrEqual">
      <formula>0</formula>
    </cfRule>
  </conditionalFormatting>
  <conditionalFormatting sqref="H71:I71">
    <cfRule type="cellIs" dxfId="1606" priority="43" operator="greaterThan">
      <formula>5.3</formula>
    </cfRule>
  </conditionalFormatting>
  <conditionalFormatting sqref="H72:I72">
    <cfRule type="cellIs" dxfId="1605" priority="41" stopIfTrue="1" operator="greaterThan">
      <formula>$J72</formula>
    </cfRule>
    <cfRule type="cellIs" dxfId="1604" priority="42" stopIfTrue="1" operator="lessThanOrEqual">
      <formula>0</formula>
    </cfRule>
  </conditionalFormatting>
  <conditionalFormatting sqref="I50">
    <cfRule type="cellIs" dxfId="1603" priority="54" stopIfTrue="1" operator="greaterThan">
      <formula>$F$63</formula>
    </cfRule>
    <cfRule type="cellIs" dxfId="1602" priority="55" stopIfTrue="1" operator="lessThanOrEqual">
      <formula>0</formula>
    </cfRule>
    <cfRule type="cellIs" dxfId="1601" priority="56" stopIfTrue="1" operator="greaterThan">
      <formula>$F$65</formula>
    </cfRule>
    <cfRule type="cellIs" dxfId="1600" priority="57" stopIfTrue="1" operator="lessThanOrEqual">
      <formula>0</formula>
    </cfRule>
    <cfRule type="cellIs" dxfId="1599" priority="58" stopIfTrue="1" operator="greaterThan">
      <formula>$F$63</formula>
    </cfRule>
    <cfRule type="cellIs" dxfId="1598" priority="59" stopIfTrue="1" operator="lessThanOrEqual">
      <formula>0</formula>
    </cfRule>
  </conditionalFormatting>
  <conditionalFormatting sqref="I51">
    <cfRule type="cellIs" dxfId="1597" priority="80" stopIfTrue="1" operator="greaterThan">
      <formula>$F$63</formula>
    </cfRule>
    <cfRule type="cellIs" dxfId="1596" priority="81" stopIfTrue="1" operator="lessThanOrEqual">
      <formula>0</formula>
    </cfRule>
    <cfRule type="cellIs" dxfId="1595" priority="82" stopIfTrue="1" operator="greaterThan">
      <formula>$F$65</formula>
    </cfRule>
    <cfRule type="cellIs" dxfId="1594" priority="83" stopIfTrue="1" operator="lessThanOrEqual">
      <formula>0</formula>
    </cfRule>
    <cfRule type="cellIs" dxfId="1593" priority="84" stopIfTrue="1" operator="greaterThan">
      <formula>$F$63</formula>
    </cfRule>
    <cfRule type="cellIs" dxfId="1592" priority="85" stopIfTrue="1" operator="lessThanOrEqual">
      <formula>0</formula>
    </cfRule>
  </conditionalFormatting>
  <conditionalFormatting sqref="I52">
    <cfRule type="cellIs" dxfId="1591" priority="21" stopIfTrue="1" operator="greaterThan">
      <formula>$F$65</formula>
    </cfRule>
    <cfRule type="cellIs" dxfId="1590" priority="22" stopIfTrue="1" operator="lessThanOrEqual">
      <formula>0</formula>
    </cfRule>
    <cfRule type="cellIs" dxfId="1589" priority="23" stopIfTrue="1" operator="greaterThan">
      <formula>$F$67</formula>
    </cfRule>
    <cfRule type="cellIs" dxfId="1588" priority="24" stopIfTrue="1" operator="lessThanOrEqual">
      <formula>0</formula>
    </cfRule>
    <cfRule type="cellIs" dxfId="1587" priority="25" stopIfTrue="1" operator="greaterThan">
      <formula>$F$65</formula>
    </cfRule>
    <cfRule type="cellIs" dxfId="1586" priority="26" stopIfTrue="1" operator="lessThanOrEqual">
      <formula>0</formula>
    </cfRule>
  </conditionalFormatting>
  <conditionalFormatting sqref="I53:I54">
    <cfRule type="cellIs" dxfId="1585" priority="93" stopIfTrue="1" operator="greaterThan">
      <formula>$F$63</formula>
    </cfRule>
    <cfRule type="cellIs" dxfId="1584" priority="94" stopIfTrue="1" operator="lessThanOrEqual">
      <formula>0</formula>
    </cfRule>
    <cfRule type="cellIs" dxfId="1583" priority="95" stopIfTrue="1" operator="greaterThan">
      <formula>$F$65</formula>
    </cfRule>
    <cfRule type="cellIs" dxfId="1582" priority="96" stopIfTrue="1" operator="lessThanOrEqual">
      <formula>0</formula>
    </cfRule>
    <cfRule type="cellIs" dxfId="1581" priority="97" stopIfTrue="1" operator="greaterThan">
      <formula>$F$63</formula>
    </cfRule>
    <cfRule type="cellIs" dxfId="1580" priority="98" stopIfTrue="1" operator="lessThanOrEqual">
      <formula>0</formula>
    </cfRule>
  </conditionalFormatting>
  <conditionalFormatting sqref="I55:I56">
    <cfRule type="cellIs" dxfId="1579" priority="129" stopIfTrue="1" operator="greaterThan">
      <formula>#REF!</formula>
    </cfRule>
    <cfRule type="cellIs" dxfId="1578" priority="130" stopIfTrue="1" operator="lessThanOrEqual">
      <formula>0</formula>
    </cfRule>
    <cfRule type="cellIs" dxfId="1577" priority="131" stopIfTrue="1" operator="greaterThan">
      <formula>#REF!</formula>
    </cfRule>
    <cfRule type="cellIs" dxfId="1576" priority="132" stopIfTrue="1" operator="lessThanOrEqual">
      <formula>0</formula>
    </cfRule>
  </conditionalFormatting>
  <conditionalFormatting sqref="I57">
    <cfRule type="cellIs" dxfId="1575" priority="141" stopIfTrue="1" operator="greaterThan">
      <formula>$F$31</formula>
    </cfRule>
    <cfRule type="cellIs" dxfId="1574" priority="142" stopIfTrue="1" operator="lessThanOrEqual">
      <formula>0</formula>
    </cfRule>
    <cfRule type="cellIs" dxfId="1573" priority="143" stopIfTrue="1" operator="greaterThan">
      <formula>$F$33</formula>
    </cfRule>
    <cfRule type="cellIs" dxfId="1572" priority="144" stopIfTrue="1" operator="lessThanOrEqual">
      <formula>0</formula>
    </cfRule>
    <cfRule type="cellIs" dxfId="1571" priority="145" stopIfTrue="1" operator="greaterThan">
      <formula>$F$31</formula>
    </cfRule>
    <cfRule type="cellIs" dxfId="1570" priority="146" stopIfTrue="1" operator="lessThanOrEqual">
      <formula>0</formula>
    </cfRule>
  </conditionalFormatting>
  <conditionalFormatting sqref="I58:I59">
    <cfRule type="cellIs" dxfId="1569" priority="117" stopIfTrue="1" operator="greaterThan">
      <formula>#REF!</formula>
    </cfRule>
    <cfRule type="cellIs" dxfId="1568" priority="118" stopIfTrue="1" operator="lessThanOrEqual">
      <formula>0</formula>
    </cfRule>
    <cfRule type="cellIs" dxfId="1567" priority="119" stopIfTrue="1" operator="greaterThan">
      <formula>#REF!</formula>
    </cfRule>
    <cfRule type="cellIs" dxfId="1566" priority="120" stopIfTrue="1" operator="lessThanOrEqual">
      <formula>0</formula>
    </cfRule>
  </conditionalFormatting>
  <conditionalFormatting sqref="I74:I82">
    <cfRule type="cellIs" dxfId="1565" priority="169" stopIfTrue="1" operator="greaterThan">
      <formula>4.5</formula>
    </cfRule>
    <cfRule type="cellIs" dxfId="1564" priority="170" stopIfTrue="1" operator="lessThanOrEqual">
      <formula>0</formula>
    </cfRule>
  </conditionalFormatting>
  <conditionalFormatting sqref="I10:J18">
    <cfRule type="cellIs" dxfId="1563" priority="9" operator="lessThan">
      <formula>97.9</formula>
    </cfRule>
  </conditionalFormatting>
  <conditionalFormatting sqref="J21:J23">
    <cfRule type="cellIs" dxfId="1562" priority="16" operator="lessThan">
      <formula>97.95</formula>
    </cfRule>
  </conditionalFormatting>
  <conditionalFormatting sqref="J22:J25">
    <cfRule type="cellIs" dxfId="1561" priority="151" operator="lessThan">
      <formula>97.4</formula>
    </cfRule>
  </conditionalFormatting>
  <conditionalFormatting sqref="J26:J27">
    <cfRule type="cellIs" dxfId="1560" priority="152" operator="lessThan">
      <formula>98</formula>
    </cfRule>
  </conditionalFormatting>
  <conditionalFormatting sqref="J28:J29">
    <cfRule type="cellIs" dxfId="1559" priority="153" stopIfTrue="1" operator="lessThan">
      <formula>96.8</formula>
    </cfRule>
    <cfRule type="cellIs" dxfId="1558" priority="154" stopIfTrue="1" operator="greaterThan">
      <formula>100</formula>
    </cfRule>
  </conditionalFormatting>
  <conditionalFormatting sqref="J28:J30">
    <cfRule type="cellIs" dxfId="1557" priority="155" operator="lessThan">
      <formula>98</formula>
    </cfRule>
  </conditionalFormatting>
  <conditionalFormatting sqref="J59">
    <cfRule type="cellIs" dxfId="1556" priority="105" stopIfTrue="1" operator="greaterThan">
      <formula>#REF!</formula>
    </cfRule>
    <cfRule type="cellIs" dxfId="1555" priority="106" stopIfTrue="1" operator="lessThanOrEqual">
      <formula>0</formula>
    </cfRule>
    <cfRule type="cellIs" dxfId="1554" priority="107" stopIfTrue="1" operator="greaterThan">
      <formula>#REF!</formula>
    </cfRule>
    <cfRule type="cellIs" dxfId="1553" priority="108" stopIfTrue="1" operator="lessThanOrEqual">
      <formula>0</formula>
    </cfRule>
    <cfRule type="cellIs" dxfId="1552" priority="109" stopIfTrue="1" operator="greaterThan">
      <formula>#REF!</formula>
    </cfRule>
    <cfRule type="cellIs" dxfId="1551" priority="110" stopIfTrue="1" operator="lessThanOrEqual">
      <formula>0</formula>
    </cfRule>
    <cfRule type="cellIs" dxfId="1550" priority="111" stopIfTrue="1" operator="greaterThan">
      <formula>#REF!</formula>
    </cfRule>
    <cfRule type="cellIs" dxfId="1549" priority="112" stopIfTrue="1" operator="lessThanOrEqual">
      <formula>0</formula>
    </cfRule>
  </conditionalFormatting>
  <conditionalFormatting sqref="J72">
    <cfRule type="cellIs" dxfId="1548" priority="44" stopIfTrue="1" operator="greaterThan">
      <formula>$F72</formula>
    </cfRule>
    <cfRule type="cellIs" dxfId="1547" priority="45" stopIfTrue="1" operator="lessThanOrEqual">
      <formula>0</formula>
    </cfRule>
  </conditionalFormatting>
  <conditionalFormatting sqref="K10:K18">
    <cfRule type="cellIs" dxfId="1546" priority="10" operator="greaterThan">
      <formula>6</formula>
    </cfRule>
    <cfRule type="cellIs" dxfId="1545" priority="11" operator="lessThan">
      <formula>4</formula>
    </cfRule>
    <cfRule type="cellIs" dxfId="1544" priority="12" operator="greaterThan">
      <formula>6.4</formula>
    </cfRule>
  </conditionalFormatting>
  <conditionalFormatting sqref="K50:K59">
    <cfRule type="cellIs" dxfId="1543" priority="90" stopIfTrue="1" operator="lessThan">
      <formula>100%</formula>
    </cfRule>
  </conditionalFormatting>
  <conditionalFormatting sqref="K63:K71">
    <cfRule type="cellIs" dxfId="1542" priority="34" stopIfTrue="1" operator="lessThan">
      <formula>100%</formula>
    </cfRule>
  </conditionalFormatting>
  <conditionalFormatting sqref="K74:K79">
    <cfRule type="cellIs" dxfId="1541" priority="175" stopIfTrue="1" operator="lessThan">
      <formula>100%</formula>
    </cfRule>
  </conditionalFormatting>
  <conditionalFormatting sqref="K81:K82">
    <cfRule type="cellIs" dxfId="1540" priority="182" stopIfTrue="1" operator="lessThan">
      <formula>100%</formula>
    </cfRule>
  </conditionalFormatting>
  <conditionalFormatting sqref="L10:L18">
    <cfRule type="cellIs" dxfId="1539" priority="6" operator="between">
      <formula>61</formula>
      <formula>65</formula>
    </cfRule>
    <cfRule type="cellIs" dxfId="1538" priority="7" operator="greaterThan">
      <formula>65</formula>
    </cfRule>
  </conditionalFormatting>
  <conditionalFormatting sqref="L21:M32">
    <cfRule type="cellIs" dxfId="1537" priority="15" operator="lessThan">
      <formula>97.95</formula>
    </cfRule>
  </conditionalFormatting>
  <conditionalFormatting sqref="L36:N36">
    <cfRule type="cellIs" dxfId="1536" priority="5" operator="notEqual">
      <formula>#REF!</formula>
    </cfRule>
  </conditionalFormatting>
  <conditionalFormatting sqref="L63:N72">
    <cfRule type="cellIs" dxfId="1535" priority="31" stopIfTrue="1" operator="lessThan">
      <formula>100%</formula>
    </cfRule>
  </conditionalFormatting>
  <conditionalFormatting sqref="L74:N82">
    <cfRule type="cellIs" dxfId="1534" priority="160" stopIfTrue="1" operator="lessThan">
      <formula>100%</formula>
    </cfRule>
  </conditionalFormatting>
  <conditionalFormatting sqref="M18">
    <cfRule type="expression" dxfId="1533" priority="2">
      <formula>IF(+(IF(M18&lt;U18,0,IF(M18&gt;V18,0,1)))=0,1)</formula>
    </cfRule>
  </conditionalFormatting>
  <conditionalFormatting sqref="M10:N17 G16:G17 H16:H18">
    <cfRule type="expression" dxfId="1532" priority="4">
      <formula>IF(+(IF(G10&lt;#REF!,0,IF(G10&gt;#REF!,0,1)))=0,1)</formula>
    </cfRule>
  </conditionalFormatting>
  <conditionalFormatting sqref="N10:N18">
    <cfRule type="expression" dxfId="1531" priority="8">
      <formula>IF(+(IF(N10&lt;W10,0,IF(N10&gt;X10,0,1)))=0,1)</formula>
    </cfRule>
  </conditionalFormatting>
  <conditionalFormatting sqref="P6">
    <cfRule type="cellIs" dxfId="1530" priority="156" operator="greaterThanOrEqual">
      <formula>19</formula>
    </cfRule>
  </conditionalFormatting>
  <dataValidations count="1">
    <dataValidation type="list" allowBlank="1" showInputMessage="1" showErrorMessage="1" sqref="R8" xr:uid="{1C11E4F6-4F3A-4830-895C-31D5FC7047A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71E6-9C93-4F25-84BF-89CABDBF5EAB}">
  <sheetPr>
    <pageSetUpPr fitToPage="1"/>
  </sheetPr>
  <dimension ref="A1:BE75"/>
  <sheetViews>
    <sheetView topLeftCell="A9" zoomScale="85" zoomScaleNormal="85" workbookViewId="0">
      <selection activeCell="G10" sqref="G10:G16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46281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[3]Brewhouse!$A746</f>
        <v>CA697</v>
      </c>
      <c r="D10" s="279">
        <f>[3]Brewhouse!$AF746</f>
        <v>51.4</v>
      </c>
      <c r="E10" s="279">
        <f>[3]Brewhouse!$AI746</f>
        <v>51.6</v>
      </c>
      <c r="F10" s="278">
        <f>[3]Brewhouse!$V746</f>
        <v>63</v>
      </c>
      <c r="G10" s="279">
        <f>[3]Brewhouse!AG746</f>
        <v>11.9</v>
      </c>
      <c r="H10" s="396">
        <v>12</v>
      </c>
      <c r="I10" s="368">
        <f>[3]Brewhouse!$AU746</f>
        <v>100.59914666956269</v>
      </c>
      <c r="J10" s="368">
        <f>[3]Brewhouse!$AV746</f>
        <v>101.37947158397257</v>
      </c>
      <c r="K10" s="281">
        <f>[3]Brewhouse!$Q746</f>
        <v>6.1481481481481488</v>
      </c>
      <c r="L10" s="276">
        <f>[3]Brewhouse!$P746</f>
        <v>59</v>
      </c>
      <c r="M10" s="374">
        <f>[3]Brewhouse!$U746-[3]Brewhouse!$T746</f>
        <v>0.11458333333333337</v>
      </c>
      <c r="N10" s="370">
        <f>[3]Brewhouse!$Z746</f>
        <v>0.2638888888888889</v>
      </c>
      <c r="O10" s="420" t="str">
        <f>[3]Brewhouse!$AX746</f>
        <v>K. Benjamin</v>
      </c>
      <c r="P10" s="418"/>
      <c r="R10" s="277" t="str">
        <f t="shared" ref="R10:R18" si="0">B10</f>
        <v>CARIB</v>
      </c>
      <c r="S10" s="472">
        <f t="shared" ref="S10:S18" si="1">VLOOKUP($B10,$R$3:$X$9,2,FALSE)</f>
        <v>11.6</v>
      </c>
      <c r="T10" s="472">
        <f t="shared" ref="T10:T18" si="2">VLOOKUP($B10,$R$3:$X$9,3,FALSE)</f>
        <v>12</v>
      </c>
      <c r="U10" s="297">
        <f t="shared" ref="U10:U18" si="3">VLOOKUP($B10,$R$3:$X$9,4,FALSE)</f>
        <v>0</v>
      </c>
      <c r="V10" s="297">
        <f t="shared" ref="V10:V18" si="4">VLOOKUP($B10,$R$3:$X$9,5,FALSE)</f>
        <v>0.118055555555556</v>
      </c>
      <c r="W10" s="297">
        <f t="shared" ref="W10:W18" si="5">VLOOKUP($B10,$R$3:$X$9,6,FALSE)</f>
        <v>0.22569444444444445</v>
      </c>
      <c r="X10" s="297">
        <f t="shared" ref="X10:X18" si="6">VLOOKUP($B10,$R$3:$X$9,7,FALSE)</f>
        <v>0.2638888888888889</v>
      </c>
      <c r="Y10" s="297">
        <f t="shared" ref="Y10:Y18" si="7">VLOOKUP($B10,$R$3:$Z$9,8,FALSE)</f>
        <v>0</v>
      </c>
      <c r="Z10" s="472">
        <f t="shared" ref="Z10:Z18" si="8">VLOOKUP($B10,$R$3:$Z$9,9,FALSE)</f>
        <v>60</v>
      </c>
    </row>
    <row r="11" spans="2:29" ht="15" customHeight="1">
      <c r="B11" s="29" t="s">
        <v>6</v>
      </c>
      <c r="C11" s="366" t="str">
        <f>[3]Brewhouse!$A747</f>
        <v>CA698</v>
      </c>
      <c r="D11" s="279">
        <f>[3]Brewhouse!$AF747</f>
        <v>50</v>
      </c>
      <c r="E11" s="279">
        <f>[3]Brewhouse!$AI747</f>
        <v>50.5</v>
      </c>
      <c r="F11" s="278">
        <f>[3]Brewhouse!$V747</f>
        <v>55</v>
      </c>
      <c r="G11" s="279">
        <f>[3]Brewhouse!AG747</f>
        <v>11.7</v>
      </c>
      <c r="H11" s="396">
        <v>11.8</v>
      </c>
      <c r="I11" s="368">
        <f>[3]Brewhouse!$AU747</f>
        <v>96.83330789221209</v>
      </c>
      <c r="J11" s="368">
        <f>[3]Brewhouse!$AV747</f>
        <v>97.584373925744757</v>
      </c>
      <c r="K11" s="281">
        <f>[3]Brewhouse!$Q747</f>
        <v>8.9094269870609999</v>
      </c>
      <c r="L11" s="276">
        <f>[3]Brewhouse!$P747</f>
        <v>60</v>
      </c>
      <c r="M11" s="374">
        <f>[3]Brewhouse!$U747-[3]Brewhouse!$T747</f>
        <v>0.1076388888888889</v>
      </c>
      <c r="N11" s="370">
        <f>[3]Brewhouse!$Z747</f>
        <v>0.27569444444444446</v>
      </c>
      <c r="O11" s="420" t="str">
        <f>[3]Brewhouse!$AX747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[3]Brewhouse!$A748</f>
        <v>CA699</v>
      </c>
      <c r="D12" s="279">
        <f>[3]Brewhouse!$AF748</f>
        <v>49</v>
      </c>
      <c r="E12" s="279">
        <f>[3]Brewhouse!$AI748</f>
        <v>49.7</v>
      </c>
      <c r="F12" s="278">
        <f>[3]Brewhouse!$V748</f>
        <v>61</v>
      </c>
      <c r="G12" s="279">
        <f>[3]Brewhouse!AG748</f>
        <v>11.8</v>
      </c>
      <c r="H12" s="396">
        <v>11.8</v>
      </c>
      <c r="I12" s="368">
        <f>[3]Brewhouse!$AU748</f>
        <v>96.27440025962683</v>
      </c>
      <c r="J12" s="368">
        <f>[3]Brewhouse!$AV748</f>
        <v>97.021083292762469</v>
      </c>
      <c r="K12" s="281">
        <f>[3]Brewhouse!$Q748</f>
        <v>12.975970425138639</v>
      </c>
      <c r="L12" s="276">
        <f>[3]Brewhouse!$P748</f>
        <v>61</v>
      </c>
      <c r="M12" s="374">
        <f>[3]Brewhouse!$U748-[3]Brewhouse!$T748</f>
        <v>0.10902777777777783</v>
      </c>
      <c r="N12" s="370">
        <f>[3]Brewhouse!$Z748</f>
        <v>0.25277777777777777</v>
      </c>
      <c r="O12" s="420" t="str">
        <f>[3]Brewhouse!$AX748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[3]Brewhouse!$A749</f>
        <v>CA700</v>
      </c>
      <c r="D13" s="279">
        <f>[3]Brewhouse!$AF749</f>
        <v>49.4</v>
      </c>
      <c r="E13" s="279">
        <f>[3]Brewhouse!$AI749</f>
        <v>50</v>
      </c>
      <c r="F13" s="278">
        <f>[3]Brewhouse!$V749</f>
        <v>59</v>
      </c>
      <c r="G13" s="279">
        <f>[3]Brewhouse!AG749</f>
        <v>11.9</v>
      </c>
      <c r="H13" s="396">
        <v>12</v>
      </c>
      <c r="I13" s="368">
        <f>[3]Brewhouse!$AU749</f>
        <v>98.200690439983745</v>
      </c>
      <c r="J13" s="368">
        <f>[3]Brewhouse!$AV749</f>
        <v>98.962116481498398</v>
      </c>
      <c r="K13" s="281">
        <f>[3]Brewhouse!$Q749</f>
        <v>13.715341959334568</v>
      </c>
      <c r="L13" s="276">
        <f>[3]Brewhouse!$P749</f>
        <v>59</v>
      </c>
      <c r="M13" s="374">
        <f>[3]Brewhouse!$U749-[3]Brewhouse!$T749</f>
        <v>0.10972222222222217</v>
      </c>
      <c r="N13" s="370">
        <f>[3]Brewhouse!$Z749</f>
        <v>0.24722222222222223</v>
      </c>
      <c r="O13" s="420" t="str">
        <f>[3]Brewhouse!$AX749</f>
        <v>R. Regis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[3]Brewhouse!$A750</f>
        <v>CA701</v>
      </c>
      <c r="D14" s="279">
        <f>[3]Brewhouse!$AF750</f>
        <v>48.4</v>
      </c>
      <c r="E14" s="279">
        <f>[3]Brewhouse!$AI750</f>
        <v>49.1</v>
      </c>
      <c r="F14" s="278">
        <f>[3]Brewhouse!$V750</f>
        <v>57</v>
      </c>
      <c r="G14" s="279">
        <f>[3]Brewhouse!AG750</f>
        <v>11.8</v>
      </c>
      <c r="H14" s="396">
        <v>11.9</v>
      </c>
      <c r="I14" s="368">
        <f>[3]Brewhouse!$AU750</f>
        <v>95.935798235039968</v>
      </c>
      <c r="J14" s="368">
        <f>[3]Brewhouse!$AV750</f>
        <v>96.679517313882144</v>
      </c>
      <c r="K14" s="281">
        <f>[3]Brewhouse!$Q750</f>
        <v>14.085027726432529</v>
      </c>
      <c r="L14" s="276">
        <f>[3]Brewhouse!$P750</f>
        <v>61</v>
      </c>
      <c r="M14" s="374">
        <f>[3]Brewhouse!$U750-[3]Brewhouse!$T750</f>
        <v>0.1069444444444444</v>
      </c>
      <c r="N14" s="370">
        <f>[3]Brewhouse!$Z750</f>
        <v>0.25277777777777777</v>
      </c>
      <c r="O14" s="420" t="str">
        <f>[3]Brewhouse!$AX750</f>
        <v>D. Gomaz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[3]Brewhouse!$A751</f>
        <v>CA702</v>
      </c>
      <c r="D15" s="279">
        <f>[3]Brewhouse!$AF751</f>
        <v>50.9</v>
      </c>
      <c r="E15" s="279">
        <f>[3]Brewhouse!$AI751</f>
        <v>51.5</v>
      </c>
      <c r="F15" s="278">
        <f>[3]Brewhouse!$V751</f>
        <v>54</v>
      </c>
      <c r="G15" s="488">
        <f>[3]Brewhouse!AG751</f>
        <v>12.2</v>
      </c>
      <c r="H15" s="493">
        <v>12.1</v>
      </c>
      <c r="I15" s="368">
        <f>[3]Brewhouse!$AU751</f>
        <v>103.95583994710779</v>
      </c>
      <c r="J15" s="368">
        <f>[3]Brewhouse!$AV751</f>
        <v>104.7618376976899</v>
      </c>
      <c r="K15" s="281">
        <f>[3]Brewhouse!$Q751</f>
        <v>12.421441774491679</v>
      </c>
      <c r="L15" s="276">
        <f>[3]Brewhouse!$P751</f>
        <v>59</v>
      </c>
      <c r="M15" s="374">
        <f>[3]Brewhouse!$U751-[3]Brewhouse!$T751</f>
        <v>0.10902777777777783</v>
      </c>
      <c r="N15" s="370">
        <f>[3]Brewhouse!$Z751</f>
        <v>0.25000000000000011</v>
      </c>
      <c r="O15" s="420" t="str">
        <f>[3]Brewhouse!$AX751</f>
        <v>D. Gomaz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[3]Brewhouse!$A752</f>
        <v>CA703</v>
      </c>
      <c r="D16" s="279">
        <f>[3]Brewhouse!$AF752</f>
        <v>47.2</v>
      </c>
      <c r="E16" s="279">
        <f>[3]Brewhouse!$AI752</f>
        <v>47.6</v>
      </c>
      <c r="F16" s="278">
        <f>[3]Brewhouse!$V752</f>
        <v>50</v>
      </c>
      <c r="G16" s="279">
        <f>[3]Brewhouse!AG752</f>
        <v>11.9</v>
      </c>
      <c r="H16" s="396">
        <v>12</v>
      </c>
      <c r="I16" s="368">
        <f>[3]Brewhouse!$AU752</f>
        <v>93.602427745802785</v>
      </c>
      <c r="J16" s="368">
        <f>[3]Brewhouse!$AV752</f>
        <v>94.32815269064983</v>
      </c>
      <c r="K16" s="281">
        <f>[3]Brewhouse!$Q752</f>
        <v>13.92592592592592</v>
      </c>
      <c r="L16" s="276">
        <f>[3]Brewhouse!$P752</f>
        <v>59</v>
      </c>
      <c r="M16" s="374">
        <f>[3]Brewhouse!$U752-[3]Brewhouse!$T752</f>
        <v>0.10624999999999996</v>
      </c>
      <c r="N16" s="370">
        <f>[3]Brewhouse!$Z752</f>
        <v>0.24861111111111101</v>
      </c>
      <c r="O16" s="420" t="str">
        <f>[3]Brewhouse!$AX752</f>
        <v>K. Benjamin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ref="R19:R35" si="9">B19</f>
        <v>0</v>
      </c>
      <c r="S19" s="472" t="e">
        <f t="shared" ref="S19:S35" si="10">VLOOKUP($B19,$R$3:$X$9,2,FALSE)</f>
        <v>#N/A</v>
      </c>
      <c r="T19" s="472" t="e">
        <f t="shared" ref="T19:T35" si="11">VLOOKUP($B19,$R$3:$X$9,3,FALSE)</f>
        <v>#N/A</v>
      </c>
      <c r="U19" s="297" t="e">
        <f t="shared" ref="U19:U35" si="12">VLOOKUP($B19,$R$3:$X$9,4,FALSE)</f>
        <v>#N/A</v>
      </c>
      <c r="V19" s="297" t="e">
        <f t="shared" ref="V19:V35" si="13">VLOOKUP($B19,$R$3:$X$9,5,FALSE)</f>
        <v>#N/A</v>
      </c>
      <c r="W19" s="297" t="e">
        <f t="shared" ref="W19:W35" si="14">VLOOKUP($B19,$R$3:$X$9,6,FALSE)</f>
        <v>#N/A</v>
      </c>
      <c r="X19" s="297" t="e">
        <f t="shared" ref="X19:X35" si="15">VLOOKUP($B19,$R$3:$X$9,7,FALSE)</f>
        <v>#N/A</v>
      </c>
      <c r="Y19" s="297" t="e">
        <f t="shared" ref="Y19:Y35" si="16">VLOOKUP($B19,$R$3:$Z$9,8,FALSE)</f>
        <v>#N/A</v>
      </c>
      <c r="Z19" s="472" t="e">
        <f t="shared" ref="Z19:Z35" si="17">VLOOKUP($B19,$R$3:$Z$9,9,FALSE)</f>
        <v>#N/A</v>
      </c>
    </row>
    <row r="20" spans="1:27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5" customHeight="1">
      <c r="B21" s="36"/>
      <c r="C21" s="366"/>
      <c r="D21" s="279"/>
      <c r="E21" s="279"/>
      <c r="F21" s="278"/>
      <c r="G21" s="279"/>
      <c r="H21" s="396"/>
      <c r="I21" s="489"/>
      <c r="J21" s="489"/>
      <c r="K21" s="490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34"/>
      <c r="J22" s="534"/>
      <c r="K22" s="534"/>
      <c r="L22" s="534"/>
      <c r="M22" s="534"/>
      <c r="N22" s="534"/>
      <c r="O22" s="1"/>
      <c r="P22" s="12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7.25" customHeight="1" thickBot="1">
      <c r="B23" s="483" t="s">
        <v>162</v>
      </c>
      <c r="C23" s="388"/>
      <c r="D23" s="535" t="s">
        <v>35</v>
      </c>
      <c r="E23" s="536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7.25" customHeight="1">
      <c r="A24" s="28"/>
      <c r="B24" s="537"/>
      <c r="C24" s="484"/>
      <c r="D24" s="522"/>
      <c r="E24" s="523"/>
      <c r="F24" s="294"/>
      <c r="G24" s="294"/>
      <c r="H24" s="348"/>
      <c r="I24" s="29" t="s">
        <v>6</v>
      </c>
      <c r="J24" s="323">
        <f>AVERAGE(I10:I16)</f>
        <v>97.914515884190834</v>
      </c>
      <c r="K24" s="284">
        <f>COUNTA([3]Brewhouse!$A$696:$A$752)</f>
        <v>57</v>
      </c>
      <c r="L24" s="305">
        <f>AVERAGE([3]Brewhouse!$AU$696:$AU$752)</f>
        <v>98.764582931473726</v>
      </c>
      <c r="M24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$752)</f>
        <v>98.324342967065277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5" customHeight="1">
      <c r="A25" s="28"/>
      <c r="B25" s="538"/>
      <c r="C25" s="362"/>
      <c r="D25" s="524"/>
      <c r="E25" s="525"/>
      <c r="F25" s="294"/>
      <c r="G25" s="294"/>
      <c r="H25" s="348"/>
      <c r="I25" s="33" t="s">
        <v>9</v>
      </c>
      <c r="J25" s="323"/>
      <c r="K25" s="284">
        <f>COUNTA([4]Brewhouse!$A$363:$A$372)</f>
        <v>10</v>
      </c>
      <c r="L25" s="302">
        <f>AVERAGE([4]Brewhouse!$AS$363:$AS$372)</f>
        <v>100.50071873632695</v>
      </c>
      <c r="M25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AVERAGE([4]Brewhouse!$AS$52:$AS$81,[4]Brewhouse!$AS$83:$AS$124,[4]Brewhouse!$AS$134:$AS$177,[4]Brewhouse!$AS$22:$AS$179,[4]Brewhouse!$AS$214:$AS$249,[4]Brewhouse!$AS$252:$AS$293,[4]Brewhouse!$AS$295:$AS$325,[4]Brewhouse!$AS$327:$AS$361,[4]Brewhouse!$AS$363:$AS$372)</f>
        <v>98.29248495310074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8"/>
      <c r="C26" s="362"/>
      <c r="D26" s="529"/>
      <c r="E26" s="530"/>
      <c r="F26" s="294"/>
      <c r="G26" s="294"/>
      <c r="H26" s="348"/>
      <c r="I26" s="34" t="s">
        <v>12</v>
      </c>
      <c r="J26" s="323"/>
      <c r="K26" s="284"/>
      <c r="L26" s="302"/>
      <c r="M26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8"/>
      <c r="C27" s="362"/>
      <c r="D27" s="531"/>
      <c r="E27" s="525"/>
      <c r="F27" s="294"/>
      <c r="G27" s="294"/>
      <c r="H27" s="348"/>
      <c r="I27" s="22" t="s">
        <v>33</v>
      </c>
      <c r="J27" s="280"/>
      <c r="K27" s="284"/>
      <c r="L27" s="302"/>
      <c r="M27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8"/>
      <c r="C28" s="362"/>
      <c r="D28" s="529"/>
      <c r="E28" s="530"/>
      <c r="F28" s="294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38"/>
      <c r="C29" s="362"/>
      <c r="D29" s="531"/>
      <c r="E29" s="525"/>
      <c r="F29" s="417"/>
      <c r="G29" s="294"/>
      <c r="H29" s="348"/>
      <c r="I29" s="36" t="s">
        <v>15</v>
      </c>
      <c r="J29" s="323"/>
      <c r="K29" s="284">
        <f>COUNTA([7]Brewhouse!$A$23:$A$30)</f>
        <v>8</v>
      </c>
      <c r="L29" s="302">
        <f>AVERAGE([7]Brewhouse!$AT$23:$AT$30)</f>
        <v>96.065914782338609</v>
      </c>
      <c r="M29" s="302">
        <f>AVERAGE([7]Brewhouse!$AT$4:$AT$11,[7]Brewhouse!$AT$13:$AT$16,[7]Brewhouse!$AT$18:$AT$30)</f>
        <v>93.22262799886262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38"/>
      <c r="C30" s="362"/>
      <c r="D30" s="529"/>
      <c r="E30" s="530"/>
      <c r="F30" s="417"/>
      <c r="G30" s="294"/>
      <c r="H30" s="348"/>
      <c r="I30" s="37" t="s">
        <v>16</v>
      </c>
      <c r="J30" s="323"/>
      <c r="K30" s="284"/>
      <c r="L30" s="302"/>
      <c r="M30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38"/>
      <c r="C31" s="362"/>
      <c r="D31" s="531"/>
      <c r="E31" s="525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7" ht="14.65" customHeight="1">
      <c r="A32" s="28"/>
      <c r="B32" s="538"/>
      <c r="C32" s="362"/>
      <c r="D32" s="529"/>
      <c r="E32" s="530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38"/>
      <c r="C33" s="362"/>
      <c r="D33" s="531"/>
      <c r="E33" s="525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38"/>
      <c r="C34" s="349"/>
      <c r="D34" s="522"/>
      <c r="E34" s="523"/>
      <c r="F34" s="294"/>
      <c r="G34" s="294"/>
      <c r="H34" s="348"/>
      <c r="I34" s="1"/>
      <c r="J34" s="39"/>
      <c r="K34" s="404">
        <f>SUM(K24:K33)</f>
        <v>75</v>
      </c>
      <c r="L34" s="405">
        <f>((L24*K24)+(L25*K25)+(L26*K26)+(L27*K27)+(L28*K28)+(K31*L31)+(L29*K29)+(L30*K30)+(L33*K33))/(K34)</f>
        <v>98.708209769546414</v>
      </c>
      <c r="M34" s="405">
        <f>AVERAGE('[9]Jan30th-31st'!$L$42,'[10]Feb 27th-28th'!$L$45,'[11]Mar 31st'!$L$42,'[12]Apr 30th'!$L$41,'[13]May 29th '!$L$35,'[14]June 30th'!$L$32,[15]July31st!$L$36,'[16]Aug 31st'!$L$32,L34)</f>
        <v>98.074003465085752</v>
      </c>
      <c r="N34" s="4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39"/>
      <c r="C35" s="350"/>
      <c r="D35" s="524"/>
      <c r="E35" s="525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19"/>
      <c r="C36" s="362"/>
      <c r="D36" s="522"/>
      <c r="E36" s="523"/>
      <c r="F36" s="294"/>
      <c r="G36" s="42"/>
      <c r="H36" s="41"/>
      <c r="I36" s="42"/>
      <c r="J36" s="526" t="s">
        <v>129</v>
      </c>
      <c r="K36" s="526"/>
      <c r="L36" s="294"/>
      <c r="M36" s="294"/>
      <c r="N36" s="294"/>
      <c r="O36" s="294"/>
      <c r="P36" s="12"/>
    </row>
    <row r="37" spans="1:56" ht="15.75" thickBot="1">
      <c r="B37" s="520"/>
      <c r="C37" s="362"/>
      <c r="D37" s="524"/>
      <c r="E37" s="525"/>
      <c r="F37" s="294"/>
      <c r="G37" s="42"/>
      <c r="H37" s="42"/>
      <c r="I37" s="42"/>
      <c r="J37" s="292" t="s">
        <v>17</v>
      </c>
      <c r="K37" s="293"/>
      <c r="L37" s="527" t="s">
        <v>136</v>
      </c>
      <c r="M37" s="527"/>
      <c r="N37" s="528"/>
      <c r="O37" s="294"/>
      <c r="P37" s="12"/>
    </row>
    <row r="38" spans="1:56" ht="15" customHeight="1" thickBot="1">
      <c r="B38" s="520"/>
      <c r="C38" s="349"/>
      <c r="D38" s="529"/>
      <c r="E38" s="530"/>
      <c r="F38" s="294"/>
      <c r="G38" s="42"/>
      <c r="H38" s="42"/>
      <c r="I38" s="42"/>
      <c r="J38" s="287" t="s">
        <v>6</v>
      </c>
      <c r="K38" s="324">
        <v>7</v>
      </c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0"/>
      <c r="C39" s="349"/>
      <c r="D39" s="531"/>
      <c r="E39" s="525"/>
      <c r="F39" s="294"/>
      <c r="G39" s="42"/>
      <c r="H39" s="42"/>
      <c r="I39" s="42"/>
      <c r="J39" s="345" t="s">
        <v>9</v>
      </c>
      <c r="K39" s="324"/>
      <c r="L39" s="485">
        <f>AVERAGE('Sept 1st'!K45,'Sept 2nd'!K47,'Sept 3rd'!K44,'Sept 4th'!K46,'Sept 7th'!K48,'Sept 8th'!K48,'Sept 9th'!K50,'Sept 10th'!K49,'Sept 11th '!K45,'Sept 14th'!K45,K48)</f>
        <v>6.8181818181818183</v>
      </c>
      <c r="M39" s="486">
        <f>AVERAGE('[9]Jan30th-31st'!$L$47,L39,'[10]Feb 26th '!$L$39,'[11]Mar 31st'!$L$47,'[12]Apr 30th'!$L$46,'[13]May 29th '!$L$40,'[14]June 30th'!$L$39,[15]July31st!$L$41,'[16]Aug 31st'!$L$37)</f>
        <v>6.4953650214519776</v>
      </c>
      <c r="N39" s="416">
        <v>9.1999999999999993</v>
      </c>
      <c r="O39" s="294"/>
      <c r="P39" s="12"/>
    </row>
    <row r="40" spans="1:56" ht="15" customHeight="1">
      <c r="B40" s="520"/>
      <c r="C40" s="349"/>
      <c r="D40" s="529"/>
      <c r="E40" s="530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0"/>
      <c r="C41" s="349"/>
      <c r="D41" s="531"/>
      <c r="E41" s="525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0"/>
      <c r="C42" s="349"/>
      <c r="D42" s="529"/>
      <c r="E42" s="530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0"/>
      <c r="C43" s="349"/>
      <c r="D43" s="531"/>
      <c r="E43" s="525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0"/>
      <c r="C44" s="349"/>
      <c r="D44" s="529"/>
      <c r="E44" s="530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1"/>
      <c r="C45" s="350"/>
      <c r="D45" s="532"/>
      <c r="E45" s="533"/>
      <c r="F45" s="294" t="s">
        <v>165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10"/>
      <c r="E46" s="511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7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42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04" t="s">
        <v>17</v>
      </c>
      <c r="C51" s="504" t="s">
        <v>44</v>
      </c>
      <c r="D51" s="513" t="s">
        <v>45</v>
      </c>
      <c r="E51" s="515" t="s">
        <v>46</v>
      </c>
      <c r="F51" s="517" t="s">
        <v>47</v>
      </c>
      <c r="G51" s="502" t="s">
        <v>48</v>
      </c>
      <c r="H51" s="504" t="s">
        <v>49</v>
      </c>
      <c r="I51" s="504" t="s">
        <v>50</v>
      </c>
      <c r="J51" s="496" t="s">
        <v>28</v>
      </c>
      <c r="K51" s="506" t="s">
        <v>51</v>
      </c>
      <c r="L51" s="508" t="s">
        <v>52</v>
      </c>
      <c r="M51" s="496" t="s">
        <v>53</v>
      </c>
      <c r="N51" s="13"/>
      <c r="O51" s="13"/>
      <c r="P51" s="50"/>
    </row>
    <row r="52" spans="2:57" ht="28.5" customHeight="1" thickTop="1" thickBot="1">
      <c r="B52" s="505"/>
      <c r="C52" s="512"/>
      <c r="D52" s="514"/>
      <c r="E52" s="516"/>
      <c r="F52" s="518"/>
      <c r="G52" s="503"/>
      <c r="H52" s="505"/>
      <c r="I52" s="505"/>
      <c r="J52" s="497"/>
      <c r="K52" s="507"/>
      <c r="L52" s="509"/>
      <c r="M52" s="497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456" t="str">
        <f>J38</f>
        <v>CARIB</v>
      </c>
      <c r="C53" s="479">
        <v>46280</v>
      </c>
      <c r="D53" s="445">
        <f>[17]September_2026!$R$3</f>
        <v>801.3</v>
      </c>
      <c r="E53" s="443"/>
      <c r="F53" s="444"/>
      <c r="G53" s="444">
        <f>[17]September_2026!$R$7</f>
        <v>737.7</v>
      </c>
      <c r="H53" s="458"/>
      <c r="I53" s="458"/>
      <c r="J53" s="448" t="s">
        <v>180</v>
      </c>
      <c r="K53" s="449">
        <f>[18]September_2026!$R$18</f>
        <v>0.43140350877192984</v>
      </c>
      <c r="L53" s="457">
        <f>(((D53+E53)-G53)/(D53+E53))*100</f>
        <v>7.9371022089105097</v>
      </c>
      <c r="M53" s="455" t="s">
        <v>179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[19]January_2019!L5</f>
        <v>0</v>
      </c>
      <c r="AC53" s="57">
        <f>[19]January_2019!M5</f>
        <v>0</v>
      </c>
      <c r="AD53" s="57">
        <f>[19]January_2019!N5</f>
        <v>0</v>
      </c>
      <c r="AE53" s="57">
        <f>[19]January_2019!O5</f>
        <v>0</v>
      </c>
      <c r="AF53" s="57">
        <f>[19]January_2019!P5</f>
        <v>0</v>
      </c>
      <c r="AG53" s="57">
        <f>[19]January_2019!Q5</f>
        <v>0</v>
      </c>
      <c r="AH53" s="57">
        <f>[19]January_2019!R5</f>
        <v>0</v>
      </c>
      <c r="AI53" s="57">
        <f>[19]January_2019!S5</f>
        <v>0</v>
      </c>
      <c r="AJ53" s="57">
        <f>[19]January_2019!T5</f>
        <v>0</v>
      </c>
      <c r="AK53" s="57">
        <f>[19]January_2019!U5</f>
        <v>0</v>
      </c>
      <c r="AL53" s="57">
        <f>[19]January_2019!V5</f>
        <v>0</v>
      </c>
      <c r="AM53" s="57">
        <f>[19]January_2019!W5</f>
        <v>0</v>
      </c>
      <c r="AN53" s="57">
        <f>[19]January_2019!X5</f>
        <v>0</v>
      </c>
      <c r="AO53" s="57">
        <f>[19]January_2019!Y5</f>
        <v>0</v>
      </c>
      <c r="AP53" s="57">
        <f>[19]January_2019!Z5</f>
        <v>0</v>
      </c>
      <c r="AQ53" s="57">
        <f>[19]January_2019!AA5</f>
        <v>0</v>
      </c>
      <c r="AR53" s="57">
        <f>[19]January_2019!AB5</f>
        <v>0</v>
      </c>
      <c r="AS53" s="57">
        <f>[19]January_2019!AC5</f>
        <v>0</v>
      </c>
      <c r="AT53" s="57">
        <f>[19]January_2019!AD5</f>
        <v>0</v>
      </c>
      <c r="AU53" s="57">
        <f>[19]January_2019!AE5</f>
        <v>0</v>
      </c>
      <c r="AV53" s="57">
        <f>[19]January_2019!AF5</f>
        <v>0</v>
      </c>
      <c r="AW53" s="57">
        <f>[19]January_2019!AG5</f>
        <v>0</v>
      </c>
      <c r="AX53" s="277">
        <f>[19]January_2019!AH5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[19]January_2019!L6</f>
        <v>0</v>
      </c>
      <c r="AC54" s="57">
        <f>[19]January_2019!M6</f>
        <v>0</v>
      </c>
      <c r="AD54" s="57">
        <f>[19]January_2019!N6</f>
        <v>0</v>
      </c>
      <c r="AE54" s="57">
        <f>[19]January_2019!O6</f>
        <v>0</v>
      </c>
      <c r="AF54" s="57">
        <f>[19]January_2019!P6</f>
        <v>0</v>
      </c>
      <c r="AG54" s="57">
        <f>[19]January_2019!Q6</f>
        <v>0</v>
      </c>
      <c r="AH54" s="57">
        <f>[19]January_2019!R6</f>
        <v>0</v>
      </c>
      <c r="AI54" s="57">
        <f>[19]January_2019!S6</f>
        <v>0</v>
      </c>
      <c r="AJ54" s="57">
        <f>[19]January_2019!T6</f>
        <v>0</v>
      </c>
      <c r="AK54" s="57">
        <f>[19]January_2019!U6</f>
        <v>0</v>
      </c>
      <c r="AL54" s="57">
        <f>[19]January_2019!V6</f>
        <v>0</v>
      </c>
      <c r="AM54" s="57">
        <f>[19]January_2019!W6</f>
        <v>0</v>
      </c>
      <c r="AN54" s="57">
        <f>[19]January_2019!X6</f>
        <v>0</v>
      </c>
      <c r="AO54" s="57">
        <f>[19]January_2019!Y6</f>
        <v>0</v>
      </c>
      <c r="AP54" s="57">
        <f>[19]January_2019!Z6</f>
        <v>0</v>
      </c>
      <c r="AQ54" s="57">
        <f>[19]January_2019!AA6</f>
        <v>0</v>
      </c>
      <c r="AR54" s="57">
        <f>[19]January_2019!AB6</f>
        <v>0</v>
      </c>
      <c r="AS54" s="57">
        <f>[19]January_2019!AC6</f>
        <v>0</v>
      </c>
      <c r="AT54" s="57">
        <f>[19]January_2019!AD6</f>
        <v>0</v>
      </c>
      <c r="AU54" s="57">
        <f>[19]January_2019!AE6</f>
        <v>0</v>
      </c>
      <c r="AV54" s="57">
        <f>[19]January_2019!AF6</f>
        <v>0</v>
      </c>
      <c r="AW54" s="57">
        <f>[19]January_2019!AG6</f>
        <v>0</v>
      </c>
      <c r="AX54" s="277">
        <f>[19]January_2019!AH6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hidden="1" customHeight="1" thickBot="1">
      <c r="B55" s="495"/>
      <c r="C55" s="479"/>
      <c r="D55" s="442"/>
      <c r="E55" s="443"/>
      <c r="F55" s="444"/>
      <c r="G55" s="444"/>
      <c r="H55" s="446"/>
      <c r="I55" s="446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[19]January_2019!L7</f>
        <v>285.8</v>
      </c>
      <c r="AC55" s="57">
        <f>[19]January_2019!M7</f>
        <v>508.1</v>
      </c>
      <c r="AD55" s="57">
        <f>[19]January_2019!N7</f>
        <v>0</v>
      </c>
      <c r="AE55" s="57">
        <f>[19]January_2019!O7</f>
        <v>0</v>
      </c>
      <c r="AF55" s="57">
        <f>[19]January_2019!P7</f>
        <v>109.56666666666666</v>
      </c>
      <c r="AG55" s="57">
        <f>[19]January_2019!Q7</f>
        <v>297.64999999999998</v>
      </c>
      <c r="AH55" s="57">
        <f>[19]January_2019!R7</f>
        <v>122.3</v>
      </c>
      <c r="AI55" s="57">
        <f>[19]January_2019!S7</f>
        <v>0</v>
      </c>
      <c r="AJ55" s="57">
        <f>[19]January_2019!T7</f>
        <v>294.7</v>
      </c>
      <c r="AK55" s="57">
        <f>[19]January_2019!U7</f>
        <v>280.5</v>
      </c>
      <c r="AL55" s="57">
        <f>[19]January_2019!V7</f>
        <v>0</v>
      </c>
      <c r="AM55" s="57">
        <f>[19]January_2019!W7</f>
        <v>0</v>
      </c>
      <c r="AN55" s="57">
        <f>[19]January_2019!X7</f>
        <v>188.25</v>
      </c>
      <c r="AO55" s="57">
        <f>[19]January_2019!Y7</f>
        <v>295.7</v>
      </c>
      <c r="AP55" s="57">
        <f>[19]January_2019!Z7</f>
        <v>257.8</v>
      </c>
      <c r="AQ55" s="57">
        <f>[19]January_2019!AA7</f>
        <v>291.2</v>
      </c>
      <c r="AR55" s="57">
        <f>[19]January_2019!AB7</f>
        <v>187</v>
      </c>
      <c r="AS55" s="57">
        <f>[19]January_2019!AC7</f>
        <v>0</v>
      </c>
      <c r="AT55" s="57">
        <f>[19]January_2019!AD7</f>
        <v>0</v>
      </c>
      <c r="AU55" s="57">
        <f>[19]January_2019!AE7</f>
        <v>485.1</v>
      </c>
      <c r="AV55" s="57">
        <f>[19]January_2019!AF7</f>
        <v>171.55</v>
      </c>
      <c r="AW55" s="57">
        <f>[19]January_2019!AG7</f>
        <v>423.8</v>
      </c>
      <c r="AX55" s="277">
        <f>[19]January_2019!AH7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8.600000000000001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65" hidden="1" customHeight="1" thickBot="1">
      <c r="B57" s="487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1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498" t="s">
        <v>55</v>
      </c>
      <c r="C64" s="499"/>
      <c r="D64" s="499"/>
      <c r="E64" s="499"/>
      <c r="F64" s="500"/>
      <c r="G64" s="498" t="s">
        <v>56</v>
      </c>
      <c r="H64" s="499"/>
      <c r="I64" s="499"/>
      <c r="J64" s="500"/>
      <c r="K64" s="498" t="s">
        <v>51</v>
      </c>
      <c r="L64" s="499"/>
      <c r="M64" s="499"/>
      <c r="N64" s="501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7.9371022089105097</v>
      </c>
      <c r="D66" s="76">
        <v>7.1031671548020761</v>
      </c>
      <c r="E66" s="76">
        <v>6.5769948005270145</v>
      </c>
      <c r="F66" s="66">
        <v>4.8</v>
      </c>
      <c r="G66" s="65">
        <f>[17]September_2026!$R$11</f>
        <v>6.7385616355521467</v>
      </c>
      <c r="H66" s="477">
        <v>6.4041575385468743</v>
      </c>
      <c r="I66" s="477">
        <v>6.6307190081077829</v>
      </c>
      <c r="J66" s="66">
        <v>4.8</v>
      </c>
      <c r="K66" s="67">
        <f>K53</f>
        <v>0.43140350877192984</v>
      </c>
      <c r="L66" s="194">
        <v>0.60052339181286551</v>
      </c>
      <c r="M66" s="194">
        <v>0.53173259312468302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8.1797752808988591</v>
      </c>
      <c r="E67" s="76">
        <v>5.939590940751847</v>
      </c>
      <c r="F67" s="66">
        <v>4.8</v>
      </c>
      <c r="G67" s="65"/>
      <c r="H67" s="76">
        <v>7.1493286491954091</v>
      </c>
      <c r="I67" s="76">
        <v>6.0146000548367518</v>
      </c>
      <c r="J67" s="66">
        <v>4.8</v>
      </c>
      <c r="K67" s="67"/>
      <c r="L67" s="194">
        <v>0.31847368421052635</v>
      </c>
      <c r="M67" s="194">
        <v>0.68029295501093157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11.277593164016125</v>
      </c>
      <c r="F68" s="66">
        <v>5.5</v>
      </c>
      <c r="G68" s="65"/>
      <c r="H68" s="76"/>
      <c r="I68" s="76">
        <v>11.857907912244482</v>
      </c>
      <c r="J68" s="66">
        <v>5.5</v>
      </c>
      <c r="K68" s="67"/>
      <c r="L68" s="194"/>
      <c r="M68" s="194">
        <v>0.35370190356844494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4.8685538193023836</v>
      </c>
      <c r="F69" s="66">
        <v>3.3</v>
      </c>
      <c r="G69" s="65"/>
      <c r="H69" s="76"/>
      <c r="I69" s="76">
        <v>4.8702525342252114</v>
      </c>
      <c r="J69" s="66">
        <v>3.3</v>
      </c>
      <c r="K69" s="67"/>
      <c r="L69" s="194"/>
      <c r="M69" s="194">
        <v>0.77919298245614044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>
        <v>6.8855672629257718</v>
      </c>
      <c r="E71" s="76">
        <v>6.3233965672990236</v>
      </c>
      <c r="F71" s="70">
        <v>5.5</v>
      </c>
      <c r="G71" s="65"/>
      <c r="H71" s="76">
        <v>7.4264332958762713</v>
      </c>
      <c r="I71" s="76">
        <v>7.9667553186446929</v>
      </c>
      <c r="J71" s="66">
        <v>5.5</v>
      </c>
      <c r="K71" s="67"/>
      <c r="L71" s="194">
        <v>0.391812865497076</v>
      </c>
      <c r="M71" s="194">
        <v>0.5883625730994152</v>
      </c>
      <c r="N71" s="68">
        <v>1</v>
      </c>
      <c r="P71" s="69"/>
    </row>
    <row r="72" spans="2:16" ht="15">
      <c r="B72" s="37" t="s">
        <v>16</v>
      </c>
      <c r="C72" s="482"/>
      <c r="D72" s="76"/>
      <c r="E72" s="76">
        <v>3.6168923014750334</v>
      </c>
      <c r="F72" s="66">
        <v>3.3</v>
      </c>
      <c r="G72" s="282"/>
      <c r="H72" s="76"/>
      <c r="I72" s="76">
        <v>5.0091179718082053</v>
      </c>
      <c r="J72" s="66">
        <v>3.3</v>
      </c>
      <c r="K72" s="67"/>
      <c r="L72" s="194"/>
      <c r="M72" s="194">
        <v>0.92642300194931759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7.3140907910921831</v>
      </c>
      <c r="E75" s="76">
        <v>6.3999736818578956</v>
      </c>
      <c r="F75" s="341">
        <v>5.5</v>
      </c>
      <c r="H75" s="76">
        <v>6.6840393045153821</v>
      </c>
      <c r="I75" s="76">
        <v>6.6928815041484677</v>
      </c>
      <c r="J75" s="341">
        <v>5.5</v>
      </c>
      <c r="L75" s="194">
        <v>0.50896716149347732</v>
      </c>
      <c r="M75" s="194">
        <v>0.59194404706036807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1529" priority="103" operator="notBetween">
      <formula>#REF!</formula>
      <formula>#REF!</formula>
    </cfRule>
  </conditionalFormatting>
  <conditionalFormatting sqref="C50">
    <cfRule type="cellIs" dxfId="1528" priority="185" stopIfTrue="1" operator="lessThan">
      <formula>96</formula>
    </cfRule>
    <cfRule type="cellIs" dxfId="1527" priority="186" stopIfTrue="1" operator="greaterThan">
      <formula>100</formula>
    </cfRule>
  </conditionalFormatting>
  <conditionalFormatting sqref="C66:C67">
    <cfRule type="cellIs" dxfId="1526" priority="66" stopIfTrue="1" operator="greaterThan">
      <formula>$F66</formula>
    </cfRule>
    <cfRule type="cellIs" dxfId="1525" priority="67" stopIfTrue="1" operator="lessThanOrEqual">
      <formula>0</formula>
    </cfRule>
    <cfRule type="cellIs" dxfId="1524" priority="68" stopIfTrue="1" operator="greaterThan">
      <formula>$F66</formula>
    </cfRule>
    <cfRule type="cellIs" dxfId="1523" priority="69" stopIfTrue="1" operator="lessThanOrEqual">
      <formula>0</formula>
    </cfRule>
  </conditionalFormatting>
  <conditionalFormatting sqref="C68:C70 C72:C74">
    <cfRule type="cellIs" dxfId="1522" priority="75" stopIfTrue="1" operator="greaterThan">
      <formula>$F71</formula>
    </cfRule>
  </conditionalFormatting>
  <conditionalFormatting sqref="C68:C70">
    <cfRule type="cellIs" dxfId="1521" priority="76" stopIfTrue="1" operator="lessThanOrEqual">
      <formula>0</formula>
    </cfRule>
  </conditionalFormatting>
  <conditionalFormatting sqref="C71">
    <cfRule type="cellIs" dxfId="1520" priority="187" stopIfTrue="1" operator="greaterThan">
      <formula>$F66</formula>
    </cfRule>
    <cfRule type="cellIs" dxfId="1519" priority="188" stopIfTrue="1" operator="lessThanOrEqual">
      <formula>0</formula>
    </cfRule>
    <cfRule type="cellIs" dxfId="1518" priority="189" stopIfTrue="1" operator="greaterThan">
      <formula>$F66</formula>
    </cfRule>
    <cfRule type="cellIs" dxfId="1517" priority="190" stopIfTrue="1" operator="lessThanOrEqual">
      <formula>0</formula>
    </cfRule>
  </conditionalFormatting>
  <conditionalFormatting sqref="C72:C74">
    <cfRule type="cellIs" dxfId="1516" priority="77" stopIfTrue="1" operator="lessThanOrEqual">
      <formula>0</formula>
    </cfRule>
  </conditionalFormatting>
  <conditionalFormatting sqref="C77:C81">
    <cfRule type="cellIs" dxfId="1515" priority="177" stopIfTrue="1" operator="lessThanOrEqual">
      <formula>0</formula>
    </cfRule>
  </conditionalFormatting>
  <conditionalFormatting sqref="C78:C81">
    <cfRule type="cellIs" dxfId="1514" priority="176" stopIfTrue="1" operator="greaterThan">
      <formula>$F$77</formula>
    </cfRule>
  </conditionalFormatting>
  <conditionalFormatting sqref="C83">
    <cfRule type="cellIs" dxfId="1513" priority="178" stopIfTrue="1" operator="greaterThan">
      <formula>$F$77</formula>
    </cfRule>
    <cfRule type="cellIs" dxfId="1512" priority="179" stopIfTrue="1" operator="lessThanOrEqual">
      <formula>0</formula>
    </cfRule>
  </conditionalFormatting>
  <conditionalFormatting sqref="C71:D71">
    <cfRule type="cellIs" dxfId="1511" priority="64" stopIfTrue="1" operator="greaterThan">
      <formula>$J71</formula>
    </cfRule>
    <cfRule type="cellIs" dxfId="1510" priority="65" stopIfTrue="1" operator="lessThanOrEqual">
      <formula>0</formula>
    </cfRule>
  </conditionalFormatting>
  <conditionalFormatting sqref="C77:D77 D79:D85">
    <cfRule type="cellIs" dxfId="1509" priority="171" stopIfTrue="1" operator="greaterThan">
      <formula>4.5</formula>
    </cfRule>
  </conditionalFormatting>
  <conditionalFormatting sqref="D46:D47">
    <cfRule type="cellIs" dxfId="1508" priority="104" operator="notBetween">
      <formula>#REF!</formula>
      <formula>#REF!</formula>
    </cfRule>
  </conditionalFormatting>
  <conditionalFormatting sqref="D66:D70 D72:D73">
    <cfRule type="cellIs" dxfId="1507" priority="74" stopIfTrue="1" operator="lessThanOrEqual">
      <formula>0</formula>
    </cfRule>
  </conditionalFormatting>
  <conditionalFormatting sqref="D66:D70 D72:D75">
    <cfRule type="cellIs" dxfId="1506" priority="70" stopIfTrue="1" operator="lessThanOrEqual">
      <formula>0</formula>
    </cfRule>
    <cfRule type="cellIs" dxfId="1505" priority="71" stopIfTrue="1" operator="greaterThan">
      <formula>$F66</formula>
    </cfRule>
  </conditionalFormatting>
  <conditionalFormatting sqref="D74:D75">
    <cfRule type="cellIs" dxfId="1504" priority="72" stopIfTrue="1" operator="lessThanOrEqual">
      <formula>0</formula>
    </cfRule>
  </conditionalFormatting>
  <conditionalFormatting sqref="D75">
    <cfRule type="cellIs" dxfId="1503" priority="73" stopIfTrue="1" operator="lessThanOrEqual">
      <formula>0</formula>
    </cfRule>
  </conditionalFormatting>
  <conditionalFormatting sqref="D77 D79:D85">
    <cfRule type="cellIs" dxfId="1502" priority="172" stopIfTrue="1" operator="lessThanOrEqual">
      <formula>0</formula>
    </cfRule>
  </conditionalFormatting>
  <conditionalFormatting sqref="D78">
    <cfRule type="cellIs" dxfId="1501" priority="163" stopIfTrue="1" operator="greaterThan">
      <formula>$F$77</formula>
    </cfRule>
    <cfRule type="cellIs" dxfId="1500" priority="164" stopIfTrue="1" operator="lessThanOrEqual">
      <formula>0</formula>
    </cfRule>
  </conditionalFormatting>
  <conditionalFormatting sqref="E10:E21">
    <cfRule type="cellIs" dxfId="1499" priority="13" operator="lessThan">
      <formula>48</formula>
    </cfRule>
  </conditionalFormatting>
  <conditionalFormatting sqref="E49 E50:F50">
    <cfRule type="cellIs" dxfId="1498" priority="168" stopIfTrue="1" operator="greaterThan">
      <formula>100</formula>
    </cfRule>
  </conditionalFormatting>
  <conditionalFormatting sqref="E50">
    <cfRule type="cellIs" dxfId="1497" priority="165" stopIfTrue="1" operator="lessThan">
      <formula>96.8</formula>
    </cfRule>
    <cfRule type="cellIs" dxfId="1496" priority="166" stopIfTrue="1" operator="greaterThan">
      <formula>100</formula>
    </cfRule>
  </conditionalFormatting>
  <conditionalFormatting sqref="E66:E74">
    <cfRule type="cellIs" dxfId="1495" priority="37" stopIfTrue="1" operator="lessThanOrEqual">
      <formula>0</formula>
    </cfRule>
  </conditionalFormatting>
  <conditionalFormatting sqref="E66:E75">
    <cfRule type="cellIs" dxfId="1494" priority="38" stopIfTrue="1" operator="greaterThan">
      <formula>$F66</formula>
    </cfRule>
    <cfRule type="cellIs" dxfId="1493" priority="39" stopIfTrue="1" operator="lessThanOrEqual">
      <formula>0</formula>
    </cfRule>
  </conditionalFormatting>
  <conditionalFormatting sqref="E75">
    <cfRule type="cellIs" dxfId="1492" priority="40" stopIfTrue="1" operator="lessThanOrEqual">
      <formula>0</formula>
    </cfRule>
  </conditionalFormatting>
  <conditionalFormatting sqref="E77:E85">
    <cfRule type="cellIs" dxfId="1491" priority="157" stopIfTrue="1" operator="greaterThan">
      <formula>4.5</formula>
    </cfRule>
    <cfRule type="cellIs" dxfId="1490" priority="158" stopIfTrue="1" operator="lessThanOrEqual">
      <formula>0</formula>
    </cfRule>
  </conditionalFormatting>
  <conditionalFormatting sqref="E50:F50 E49">
    <cfRule type="cellIs" dxfId="1489" priority="167" stopIfTrue="1" operator="lessThan">
      <formula>96.5</formula>
    </cfRule>
  </conditionalFormatting>
  <conditionalFormatting sqref="F10:F21">
    <cfRule type="cellIs" dxfId="1488" priority="14" operator="greaterThan">
      <formula>60</formula>
    </cfRule>
  </conditionalFormatting>
  <conditionalFormatting sqref="F50">
    <cfRule type="cellIs" dxfId="1487" priority="183" stopIfTrue="1" operator="lessThan">
      <formula>96.8</formula>
    </cfRule>
    <cfRule type="cellIs" dxfId="1486" priority="184" stopIfTrue="1" operator="greaterThan">
      <formula>100</formula>
    </cfRule>
  </conditionalFormatting>
  <conditionalFormatting sqref="G19:G20 H19:H21">
    <cfRule type="expression" dxfId="1485" priority="4">
      <formula>IF(+(IF(G19&lt;#REF!,0,IF(G19&gt;#REF!,0,1)))=0,1)</formula>
    </cfRule>
  </conditionalFormatting>
  <conditionalFormatting sqref="G21">
    <cfRule type="expression" dxfId="1484" priority="3">
      <formula>IF(+(IF(G21&lt;S21,0,IF(G21&gt;T21,0,1)))=0,1)</formula>
    </cfRule>
  </conditionalFormatting>
  <conditionalFormatting sqref="G66:G69 F75">
    <cfRule type="cellIs" dxfId="1483" priority="46" stopIfTrue="1" operator="greaterThan">
      <formula>$F66</formula>
    </cfRule>
    <cfRule type="cellIs" dxfId="1482" priority="47" stopIfTrue="1" operator="lessThanOrEqual">
      <formula>0</formula>
    </cfRule>
  </conditionalFormatting>
  <conditionalFormatting sqref="G68:G69">
    <cfRule type="cellIs" dxfId="1481" priority="32" stopIfTrue="1" operator="greaterThan">
      <formula>$F68</formula>
    </cfRule>
    <cfRule type="cellIs" dxfId="1480" priority="33" stopIfTrue="1" operator="lessThanOrEqual">
      <formula>0</formula>
    </cfRule>
  </conditionalFormatting>
  <conditionalFormatting sqref="G70:G74">
    <cfRule type="cellIs" dxfId="1479" priority="48" stopIfTrue="1" operator="greaterThan">
      <formula>$J70</formula>
    </cfRule>
    <cfRule type="cellIs" dxfId="1478" priority="49" stopIfTrue="1" operator="lessThanOrEqual">
      <formula>0</formula>
    </cfRule>
  </conditionalFormatting>
  <conditionalFormatting sqref="G71">
    <cfRule type="cellIs" dxfId="1477" priority="191" stopIfTrue="1" operator="greaterThan">
      <formula>$F66</formula>
    </cfRule>
    <cfRule type="cellIs" dxfId="1476" priority="192" stopIfTrue="1" operator="lessThanOrEqual">
      <formula>0</formula>
    </cfRule>
  </conditionalFormatting>
  <conditionalFormatting sqref="G79:G84 C82 C84">
    <cfRule type="cellIs" dxfId="1475" priority="180" stopIfTrue="1" operator="greaterThan">
      <formula>4.5</formula>
    </cfRule>
    <cfRule type="cellIs" dxfId="1474" priority="181" stopIfTrue="1" operator="lessThanOrEqual">
      <formula>0</formula>
    </cfRule>
  </conditionalFormatting>
  <conditionalFormatting sqref="G10:H18 M10:N20">
    <cfRule type="expression" dxfId="1473" priority="1">
      <formula>IF(+(IF(G10&lt;#REF!,0,IF(G10&gt;#REF!,0,1)))=0,1)</formula>
    </cfRule>
  </conditionalFormatting>
  <conditionalFormatting sqref="G78:H78">
    <cfRule type="cellIs" dxfId="1472" priority="161" stopIfTrue="1" operator="greaterThan">
      <formula>$F$77</formula>
    </cfRule>
    <cfRule type="cellIs" dxfId="1471" priority="162" stopIfTrue="1" operator="lessThanOrEqual">
      <formula>0</formula>
    </cfRule>
  </conditionalFormatting>
  <conditionalFormatting sqref="H35:H36 H49">
    <cfRule type="cellIs" dxfId="1470" priority="159" stopIfTrue="1" operator="greaterThan">
      <formula>0</formula>
    </cfRule>
  </conditionalFormatting>
  <conditionalFormatting sqref="H53">
    <cfRule type="cellIs" dxfId="1469" priority="51" stopIfTrue="1" operator="lessThanOrEqual">
      <formula>0</formula>
    </cfRule>
    <cfRule type="cellIs" dxfId="1468" priority="52" stopIfTrue="1" operator="greaterThan">
      <formula>$F$66</formula>
    </cfRule>
    <cfRule type="cellIs" dxfId="1467" priority="60" stopIfTrue="1" operator="greaterThan">
      <formula>$F$69</formula>
    </cfRule>
    <cfRule type="cellIs" dxfId="1466" priority="61" stopIfTrue="1" operator="lessThanOrEqual">
      <formula>0</formula>
    </cfRule>
    <cfRule type="cellIs" dxfId="1465" priority="62" stopIfTrue="1" operator="greaterThan">
      <formula>$F$67</formula>
    </cfRule>
  </conditionalFormatting>
  <conditionalFormatting sqref="H53:H54">
    <cfRule type="cellIs" dxfId="1464" priority="63" stopIfTrue="1" operator="lessThanOrEqual">
      <formula>0</formula>
    </cfRule>
  </conditionalFormatting>
  <conditionalFormatting sqref="H54 H56:H57">
    <cfRule type="cellIs" dxfId="1463" priority="89" stopIfTrue="1" operator="lessThanOrEqual">
      <formula>0</formula>
    </cfRule>
  </conditionalFormatting>
  <conditionalFormatting sqref="H54">
    <cfRule type="cellIs" dxfId="1462" priority="78" stopIfTrue="1" operator="greaterThan">
      <formula>$F$66</formula>
    </cfRule>
    <cfRule type="cellIs" dxfId="1461" priority="86" stopIfTrue="1" operator="greaterThan">
      <formula>$F$69</formula>
    </cfRule>
    <cfRule type="cellIs" dxfId="1460" priority="87" stopIfTrue="1" operator="lessThanOrEqual">
      <formula>0</formula>
    </cfRule>
    <cfRule type="cellIs" dxfId="1459" priority="88" stopIfTrue="1" operator="greaterThan">
      <formula>$F$67</formula>
    </cfRule>
  </conditionalFormatting>
  <conditionalFormatting sqref="H55">
    <cfRule type="cellIs" dxfId="1458" priority="18" stopIfTrue="1" operator="lessThanOrEqual">
      <formula>0</formula>
    </cfRule>
    <cfRule type="cellIs" dxfId="1457" priority="19" stopIfTrue="1" operator="greaterThan">
      <formula>$F$68</formula>
    </cfRule>
    <cfRule type="cellIs" dxfId="1456" priority="27" stopIfTrue="1" operator="greaterThan">
      <formula>$F$71</formula>
    </cfRule>
    <cfRule type="cellIs" dxfId="1455" priority="28" stopIfTrue="1" operator="lessThanOrEqual">
      <formula>0</formula>
    </cfRule>
    <cfRule type="cellIs" dxfId="1454" priority="29" stopIfTrue="1" operator="greaterThan">
      <formula>$F$69</formula>
    </cfRule>
    <cfRule type="cellIs" dxfId="1453" priority="30" stopIfTrue="1" operator="lessThanOrEqual">
      <formula>0</formula>
    </cfRule>
  </conditionalFormatting>
  <conditionalFormatting sqref="H56:H57">
    <cfRule type="cellIs" dxfId="1452" priority="91" stopIfTrue="1" operator="greaterThan">
      <formula>$F$66</formula>
    </cfRule>
    <cfRule type="cellIs" dxfId="1451" priority="99" stopIfTrue="1" operator="greaterThan">
      <formula>$F$69</formula>
    </cfRule>
    <cfRule type="cellIs" dxfId="1450" priority="100" stopIfTrue="1" operator="lessThanOrEqual">
      <formula>0</formula>
    </cfRule>
    <cfRule type="cellIs" dxfId="1449" priority="101" stopIfTrue="1" operator="greaterThan">
      <formula>$F$67</formula>
    </cfRule>
    <cfRule type="cellIs" dxfId="1448" priority="102" stopIfTrue="1" operator="lessThanOrEqual">
      <formula>0</formula>
    </cfRule>
  </conditionalFormatting>
  <conditionalFormatting sqref="H58:H59">
    <cfRule type="cellIs" dxfId="1447" priority="126" stopIfTrue="1" operator="lessThanOrEqual">
      <formula>0</formula>
    </cfRule>
    <cfRule type="cellIs" dxfId="1446" priority="127" stopIfTrue="1" operator="greaterThan">
      <formula>#REF!</formula>
    </cfRule>
    <cfRule type="cellIs" dxfId="1445" priority="135" stopIfTrue="1" operator="greaterThan">
      <formula>#REF!</formula>
    </cfRule>
    <cfRule type="cellIs" dxfId="1444" priority="136" stopIfTrue="1" operator="lessThanOrEqual">
      <formula>0</formula>
    </cfRule>
  </conditionalFormatting>
  <conditionalFormatting sqref="H60">
    <cfRule type="cellIs" dxfId="1443" priority="138" stopIfTrue="1" operator="lessThanOrEqual">
      <formula>0</formula>
    </cfRule>
    <cfRule type="cellIs" dxfId="1442" priority="139" stopIfTrue="1" operator="greaterThan">
      <formula>$F$34</formula>
    </cfRule>
    <cfRule type="cellIs" dxfId="1441" priority="147" stopIfTrue="1" operator="greaterThan">
      <formula>$F$37</formula>
    </cfRule>
    <cfRule type="cellIs" dxfId="1440" priority="148" stopIfTrue="1" operator="lessThanOrEqual">
      <formula>0</formula>
    </cfRule>
    <cfRule type="cellIs" dxfId="1439" priority="149" stopIfTrue="1" operator="greaterThan">
      <formula>$F$35</formula>
    </cfRule>
    <cfRule type="cellIs" dxfId="1438" priority="150" stopIfTrue="1" operator="lessThanOrEqual">
      <formula>0</formula>
    </cfRule>
  </conditionalFormatting>
  <conditionalFormatting sqref="H61:H62">
    <cfRule type="cellIs" dxfId="1437" priority="114" stopIfTrue="1" operator="lessThanOrEqual">
      <formula>0</formula>
    </cfRule>
    <cfRule type="cellIs" dxfId="1436" priority="115" stopIfTrue="1" operator="greaterThan">
      <formula>#REF!</formula>
    </cfRule>
    <cfRule type="cellIs" dxfId="1435" priority="123" stopIfTrue="1" operator="greaterThan">
      <formula>#REF!</formula>
    </cfRule>
    <cfRule type="cellIs" dxfId="1434" priority="124" stopIfTrue="1" operator="lessThanOrEqual">
      <formula>0</formula>
    </cfRule>
  </conditionalFormatting>
  <conditionalFormatting sqref="H77 H79:H85">
    <cfRule type="cellIs" dxfId="1433" priority="173" stopIfTrue="1" operator="greaterThan">
      <formula>4.5</formula>
    </cfRule>
    <cfRule type="cellIs" dxfId="1432" priority="174" stopIfTrue="1" operator="lessThanOrEqual">
      <formula>0</formula>
    </cfRule>
  </conditionalFormatting>
  <conditionalFormatting sqref="H53:I53">
    <cfRule type="cellIs" dxfId="1431" priority="53" stopIfTrue="1" operator="lessThanOrEqual">
      <formula>0</formula>
    </cfRule>
  </conditionalFormatting>
  <conditionalFormatting sqref="H53:I54 H56:I57">
    <cfRule type="cellIs" dxfId="1430" priority="50" stopIfTrue="1" operator="greaterThan">
      <formula>$F$68</formula>
    </cfRule>
  </conditionalFormatting>
  <conditionalFormatting sqref="H54:I54">
    <cfRule type="cellIs" dxfId="1429" priority="79" stopIfTrue="1" operator="lessThanOrEqual">
      <formula>0</formula>
    </cfRule>
  </conditionalFormatting>
  <conditionalFormatting sqref="H55:I55">
    <cfRule type="cellIs" dxfId="1428" priority="17" stopIfTrue="1" operator="greaterThan">
      <formula>$F$70</formula>
    </cfRule>
    <cfRule type="cellIs" dxfId="1427" priority="20" stopIfTrue="1" operator="lessThanOrEqual">
      <formula>0</formula>
    </cfRule>
  </conditionalFormatting>
  <conditionalFormatting sqref="H56:I57">
    <cfRule type="cellIs" dxfId="1426" priority="92" stopIfTrue="1" operator="lessThanOrEqual">
      <formula>0</formula>
    </cfRule>
  </conditionalFormatting>
  <conditionalFormatting sqref="H58:I59">
    <cfRule type="cellIs" dxfId="1425" priority="125" stopIfTrue="1" operator="greaterThan">
      <formula>#REF!</formula>
    </cfRule>
    <cfRule type="cellIs" dxfId="1424" priority="128" stopIfTrue="1" operator="lessThanOrEqual">
      <formula>0</formula>
    </cfRule>
    <cfRule type="cellIs" dxfId="1423" priority="133" stopIfTrue="1" operator="greaterThan">
      <formula>#REF!</formula>
    </cfRule>
    <cfRule type="cellIs" dxfId="1422" priority="134" stopIfTrue="1" operator="lessThanOrEqual">
      <formula>0</formula>
    </cfRule>
  </conditionalFormatting>
  <conditionalFormatting sqref="H60:I60">
    <cfRule type="cellIs" dxfId="1421" priority="137" stopIfTrue="1" operator="greaterThan">
      <formula>$F$36</formula>
    </cfRule>
    <cfRule type="cellIs" dxfId="1420" priority="140" stopIfTrue="1" operator="lessThanOrEqual">
      <formula>0</formula>
    </cfRule>
  </conditionalFormatting>
  <conditionalFormatting sqref="H61:I62">
    <cfRule type="cellIs" dxfId="1419" priority="113" stopIfTrue="1" operator="greaterThan">
      <formula>#REF!</formula>
    </cfRule>
    <cfRule type="cellIs" dxfId="1418" priority="116" stopIfTrue="1" operator="lessThanOrEqual">
      <formula>0</formula>
    </cfRule>
    <cfRule type="cellIs" dxfId="1417" priority="121" stopIfTrue="1" operator="greaterThan">
      <formula>#REF!</formula>
    </cfRule>
    <cfRule type="cellIs" dxfId="1416" priority="122" stopIfTrue="1" operator="lessThanOrEqual">
      <formula>0</formula>
    </cfRule>
  </conditionalFormatting>
  <conditionalFormatting sqref="H66:I73">
    <cfRule type="cellIs" dxfId="1415" priority="35" stopIfTrue="1" operator="greaterThan">
      <formula>$J66</formula>
    </cfRule>
    <cfRule type="cellIs" dxfId="1414" priority="36" stopIfTrue="1" operator="lessThanOrEqual">
      <formula>0</formula>
    </cfRule>
  </conditionalFormatting>
  <conditionalFormatting sqref="H74:I74">
    <cfRule type="cellIs" dxfId="1413" priority="43" operator="greaterThan">
      <formula>5.3</formula>
    </cfRule>
  </conditionalFormatting>
  <conditionalFormatting sqref="H75:I75">
    <cfRule type="cellIs" dxfId="1412" priority="41" stopIfTrue="1" operator="greaterThan">
      <formula>$J75</formula>
    </cfRule>
    <cfRule type="cellIs" dxfId="1411" priority="42" stopIfTrue="1" operator="lessThanOrEqual">
      <formula>0</formula>
    </cfRule>
  </conditionalFormatting>
  <conditionalFormatting sqref="I53">
    <cfRule type="cellIs" dxfId="1410" priority="54" stopIfTrue="1" operator="greaterThan">
      <formula>$F$66</formula>
    </cfRule>
    <cfRule type="cellIs" dxfId="1409" priority="55" stopIfTrue="1" operator="lessThanOrEqual">
      <formula>0</formula>
    </cfRule>
    <cfRule type="cellIs" dxfId="1408" priority="56" stopIfTrue="1" operator="greaterThan">
      <formula>$F$68</formula>
    </cfRule>
    <cfRule type="cellIs" dxfId="1407" priority="57" stopIfTrue="1" operator="lessThanOrEqual">
      <formula>0</formula>
    </cfRule>
    <cfRule type="cellIs" dxfId="1406" priority="58" stopIfTrue="1" operator="greaterThan">
      <formula>$F$66</formula>
    </cfRule>
    <cfRule type="cellIs" dxfId="1405" priority="59" stopIfTrue="1" operator="lessThanOrEqual">
      <formula>0</formula>
    </cfRule>
  </conditionalFormatting>
  <conditionalFormatting sqref="I54">
    <cfRule type="cellIs" dxfId="1404" priority="80" stopIfTrue="1" operator="greaterThan">
      <formula>$F$66</formula>
    </cfRule>
    <cfRule type="cellIs" dxfId="1403" priority="81" stopIfTrue="1" operator="lessThanOrEqual">
      <formula>0</formula>
    </cfRule>
    <cfRule type="cellIs" dxfId="1402" priority="82" stopIfTrue="1" operator="greaterThan">
      <formula>$F$68</formula>
    </cfRule>
    <cfRule type="cellIs" dxfId="1401" priority="83" stopIfTrue="1" operator="lessThanOrEqual">
      <formula>0</formula>
    </cfRule>
    <cfRule type="cellIs" dxfId="1400" priority="84" stopIfTrue="1" operator="greaterThan">
      <formula>$F$66</formula>
    </cfRule>
    <cfRule type="cellIs" dxfId="1399" priority="85" stopIfTrue="1" operator="lessThanOrEqual">
      <formula>0</formula>
    </cfRule>
  </conditionalFormatting>
  <conditionalFormatting sqref="I55">
    <cfRule type="cellIs" dxfId="1398" priority="21" stopIfTrue="1" operator="greaterThan">
      <formula>$F$68</formula>
    </cfRule>
    <cfRule type="cellIs" dxfId="1397" priority="22" stopIfTrue="1" operator="lessThanOrEqual">
      <formula>0</formula>
    </cfRule>
    <cfRule type="cellIs" dxfId="1396" priority="23" stopIfTrue="1" operator="greaterThan">
      <formula>$F$70</formula>
    </cfRule>
    <cfRule type="cellIs" dxfId="1395" priority="24" stopIfTrue="1" operator="lessThanOrEqual">
      <formula>0</formula>
    </cfRule>
    <cfRule type="cellIs" dxfId="1394" priority="25" stopIfTrue="1" operator="greaterThan">
      <formula>$F$68</formula>
    </cfRule>
    <cfRule type="cellIs" dxfId="1393" priority="26" stopIfTrue="1" operator="lessThanOrEqual">
      <formula>0</formula>
    </cfRule>
  </conditionalFormatting>
  <conditionalFormatting sqref="I56:I57">
    <cfRule type="cellIs" dxfId="1392" priority="93" stopIfTrue="1" operator="greaterThan">
      <formula>$F$66</formula>
    </cfRule>
    <cfRule type="cellIs" dxfId="1391" priority="94" stopIfTrue="1" operator="lessThanOrEqual">
      <formula>0</formula>
    </cfRule>
    <cfRule type="cellIs" dxfId="1390" priority="95" stopIfTrue="1" operator="greaterThan">
      <formula>$F$68</formula>
    </cfRule>
    <cfRule type="cellIs" dxfId="1389" priority="96" stopIfTrue="1" operator="lessThanOrEqual">
      <formula>0</formula>
    </cfRule>
    <cfRule type="cellIs" dxfId="1388" priority="97" stopIfTrue="1" operator="greaterThan">
      <formula>$F$66</formula>
    </cfRule>
    <cfRule type="cellIs" dxfId="1387" priority="98" stopIfTrue="1" operator="lessThanOrEqual">
      <formula>0</formula>
    </cfRule>
  </conditionalFormatting>
  <conditionalFormatting sqref="I58:I59">
    <cfRule type="cellIs" dxfId="1386" priority="129" stopIfTrue="1" operator="greaterThan">
      <formula>#REF!</formula>
    </cfRule>
    <cfRule type="cellIs" dxfId="1385" priority="130" stopIfTrue="1" operator="lessThanOrEqual">
      <formula>0</formula>
    </cfRule>
    <cfRule type="cellIs" dxfId="1384" priority="131" stopIfTrue="1" operator="greaterThan">
      <formula>#REF!</formula>
    </cfRule>
    <cfRule type="cellIs" dxfId="1383" priority="132" stopIfTrue="1" operator="lessThanOrEqual">
      <formula>0</formula>
    </cfRule>
  </conditionalFormatting>
  <conditionalFormatting sqref="I60">
    <cfRule type="cellIs" dxfId="1382" priority="141" stopIfTrue="1" operator="greaterThan">
      <formula>$F$34</formula>
    </cfRule>
    <cfRule type="cellIs" dxfId="1381" priority="142" stopIfTrue="1" operator="lessThanOrEqual">
      <formula>0</formula>
    </cfRule>
    <cfRule type="cellIs" dxfId="1380" priority="143" stopIfTrue="1" operator="greaterThan">
      <formula>$F$36</formula>
    </cfRule>
    <cfRule type="cellIs" dxfId="1379" priority="144" stopIfTrue="1" operator="lessThanOrEqual">
      <formula>0</formula>
    </cfRule>
    <cfRule type="cellIs" dxfId="1378" priority="145" stopIfTrue="1" operator="greaterThan">
      <formula>$F$34</formula>
    </cfRule>
    <cfRule type="cellIs" dxfId="1377" priority="146" stopIfTrue="1" operator="lessThanOrEqual">
      <formula>0</formula>
    </cfRule>
  </conditionalFormatting>
  <conditionalFormatting sqref="I61:I62">
    <cfRule type="cellIs" dxfId="1376" priority="117" stopIfTrue="1" operator="greaterThan">
      <formula>#REF!</formula>
    </cfRule>
    <cfRule type="cellIs" dxfId="1375" priority="118" stopIfTrue="1" operator="lessThanOrEqual">
      <formula>0</formula>
    </cfRule>
    <cfRule type="cellIs" dxfId="1374" priority="119" stopIfTrue="1" operator="greaterThan">
      <formula>#REF!</formula>
    </cfRule>
    <cfRule type="cellIs" dxfId="1373" priority="120" stopIfTrue="1" operator="lessThanOrEqual">
      <formula>0</formula>
    </cfRule>
  </conditionalFormatting>
  <conditionalFormatting sqref="I77:I85">
    <cfRule type="cellIs" dxfId="1372" priority="169" stopIfTrue="1" operator="greaterThan">
      <formula>4.5</formula>
    </cfRule>
    <cfRule type="cellIs" dxfId="1371" priority="170" stopIfTrue="1" operator="lessThanOrEqual">
      <formula>0</formula>
    </cfRule>
  </conditionalFormatting>
  <conditionalFormatting sqref="I10:J21">
    <cfRule type="cellIs" dxfId="1370" priority="9" operator="lessThan">
      <formula>97.9</formula>
    </cfRule>
  </conditionalFormatting>
  <conditionalFormatting sqref="J24:J26">
    <cfRule type="cellIs" dxfId="1369" priority="16" operator="lessThan">
      <formula>97.95</formula>
    </cfRule>
  </conditionalFormatting>
  <conditionalFormatting sqref="J25:J28">
    <cfRule type="cellIs" dxfId="1368" priority="151" operator="lessThan">
      <formula>97.4</formula>
    </cfRule>
  </conditionalFormatting>
  <conditionalFormatting sqref="J29:J30">
    <cfRule type="cellIs" dxfId="1367" priority="152" operator="lessThan">
      <formula>98</formula>
    </cfRule>
  </conditionalFormatting>
  <conditionalFormatting sqref="J31:J32">
    <cfRule type="cellIs" dxfId="1366" priority="153" stopIfTrue="1" operator="lessThan">
      <formula>96.8</formula>
    </cfRule>
    <cfRule type="cellIs" dxfId="1365" priority="154" stopIfTrue="1" operator="greaterThan">
      <formula>100</formula>
    </cfRule>
  </conditionalFormatting>
  <conditionalFormatting sqref="J31:J33">
    <cfRule type="cellIs" dxfId="1364" priority="155" operator="lessThan">
      <formula>98</formula>
    </cfRule>
  </conditionalFormatting>
  <conditionalFormatting sqref="J62">
    <cfRule type="cellIs" dxfId="1363" priority="105" stopIfTrue="1" operator="greaterThan">
      <formula>#REF!</formula>
    </cfRule>
    <cfRule type="cellIs" dxfId="1362" priority="106" stopIfTrue="1" operator="lessThanOrEqual">
      <formula>0</formula>
    </cfRule>
    <cfRule type="cellIs" dxfId="1361" priority="107" stopIfTrue="1" operator="greaterThan">
      <formula>#REF!</formula>
    </cfRule>
    <cfRule type="cellIs" dxfId="1360" priority="108" stopIfTrue="1" operator="lessThanOrEqual">
      <formula>0</formula>
    </cfRule>
    <cfRule type="cellIs" dxfId="1359" priority="109" stopIfTrue="1" operator="greaterThan">
      <formula>#REF!</formula>
    </cfRule>
    <cfRule type="cellIs" dxfId="1358" priority="110" stopIfTrue="1" operator="lessThanOrEqual">
      <formula>0</formula>
    </cfRule>
    <cfRule type="cellIs" dxfId="1357" priority="111" stopIfTrue="1" operator="greaterThan">
      <formula>#REF!</formula>
    </cfRule>
    <cfRule type="cellIs" dxfId="1356" priority="112" stopIfTrue="1" operator="lessThanOrEqual">
      <formula>0</formula>
    </cfRule>
  </conditionalFormatting>
  <conditionalFormatting sqref="J75">
    <cfRule type="cellIs" dxfId="1355" priority="44" stopIfTrue="1" operator="greaterThan">
      <formula>$F75</formula>
    </cfRule>
    <cfRule type="cellIs" dxfId="1354" priority="45" stopIfTrue="1" operator="lessThanOrEqual">
      <formula>0</formula>
    </cfRule>
  </conditionalFormatting>
  <conditionalFormatting sqref="K10:K21">
    <cfRule type="cellIs" dxfId="1353" priority="10" operator="greaterThan">
      <formula>6</formula>
    </cfRule>
    <cfRule type="cellIs" dxfId="1352" priority="11" operator="lessThan">
      <formula>4</formula>
    </cfRule>
    <cfRule type="cellIs" dxfId="1351" priority="12" operator="greaterThan">
      <formula>6.4</formula>
    </cfRule>
  </conditionalFormatting>
  <conditionalFormatting sqref="K53:K62">
    <cfRule type="cellIs" dxfId="1350" priority="90" stopIfTrue="1" operator="lessThan">
      <formula>100%</formula>
    </cfRule>
  </conditionalFormatting>
  <conditionalFormatting sqref="K66:K74">
    <cfRule type="cellIs" dxfId="1349" priority="34" stopIfTrue="1" operator="lessThan">
      <formula>100%</formula>
    </cfRule>
  </conditionalFormatting>
  <conditionalFormatting sqref="K77:K82">
    <cfRule type="cellIs" dxfId="1348" priority="175" stopIfTrue="1" operator="lessThan">
      <formula>100%</formula>
    </cfRule>
  </conditionalFormatting>
  <conditionalFormatting sqref="K84:K85">
    <cfRule type="cellIs" dxfId="1347" priority="182" stopIfTrue="1" operator="lessThan">
      <formula>100%</formula>
    </cfRule>
  </conditionalFormatting>
  <conditionalFormatting sqref="L10:L21">
    <cfRule type="cellIs" dxfId="1346" priority="6" operator="between">
      <formula>61</formula>
      <formula>65</formula>
    </cfRule>
    <cfRule type="cellIs" dxfId="1345" priority="7" operator="greaterThan">
      <formula>65</formula>
    </cfRule>
  </conditionalFormatting>
  <conditionalFormatting sqref="L24:M35">
    <cfRule type="cellIs" dxfId="1344" priority="15" operator="lessThan">
      <formula>97.95</formula>
    </cfRule>
  </conditionalFormatting>
  <conditionalFormatting sqref="L39:N39">
    <cfRule type="cellIs" dxfId="1343" priority="5" operator="notEqual">
      <formula>#REF!</formula>
    </cfRule>
  </conditionalFormatting>
  <conditionalFormatting sqref="L66:N75">
    <cfRule type="cellIs" dxfId="1342" priority="31" stopIfTrue="1" operator="lessThan">
      <formula>100%</formula>
    </cfRule>
  </conditionalFormatting>
  <conditionalFormatting sqref="L77:N85">
    <cfRule type="cellIs" dxfId="1341" priority="160" stopIfTrue="1" operator="lessThan">
      <formula>100%</formula>
    </cfRule>
  </conditionalFormatting>
  <conditionalFormatting sqref="M21">
    <cfRule type="expression" dxfId="1340" priority="2">
      <formula>IF(+(IF(M21&lt;U21,0,IF(M21&gt;V21,0,1)))=0,1)</formula>
    </cfRule>
  </conditionalFormatting>
  <conditionalFormatting sqref="N10:N21">
    <cfRule type="expression" dxfId="1339" priority="8">
      <formula>IF(+(IF(N10&lt;W10,0,IF(N10&gt;X10,0,1)))=0,1)</formula>
    </cfRule>
  </conditionalFormatting>
  <conditionalFormatting sqref="P6">
    <cfRule type="cellIs" dxfId="1338" priority="156" operator="greaterThanOrEqual">
      <formula>19</formula>
    </cfRule>
  </conditionalFormatting>
  <dataValidations count="1">
    <dataValidation type="list" allowBlank="1" showInputMessage="1" showErrorMessage="1" sqref="R8" xr:uid="{37267789-B8ED-41BF-82AC-FEC1910EC23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E4874-D820-4875-B9E1-9C8C77C6EE2C}">
  <sheetPr>
    <pageSetUpPr fitToPage="1"/>
  </sheetPr>
  <dimension ref="A1:BE78"/>
  <sheetViews>
    <sheetView zoomScale="85" zoomScaleNormal="85" workbookViewId="0">
      <selection activeCell="B20" sqref="A20:XFD20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46282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[3]Brewhouse!$A753</f>
        <v>CA704</v>
      </c>
      <c r="D10" s="279">
        <f>[3]Brewhouse!$AF753</f>
        <v>49.3</v>
      </c>
      <c r="E10" s="279">
        <f>[3]Brewhouse!$AI753</f>
        <v>48.9</v>
      </c>
      <c r="F10" s="278">
        <f>[3]Brewhouse!$V753</f>
        <v>53</v>
      </c>
      <c r="G10" s="279">
        <f>[3]Brewhouse!AG753</f>
        <v>11.7</v>
      </c>
      <c r="H10" s="396">
        <v>12</v>
      </c>
      <c r="I10" s="368">
        <f>[3]Brewhouse!$AU753</f>
        <v>94.459604984803278</v>
      </c>
      <c r="J10" s="368">
        <f>[3]Brewhouse!$AV753</f>
        <v>95.191975856678908</v>
      </c>
      <c r="K10" s="281">
        <f>[3]Brewhouse!$Q753</f>
        <v>10.03703703703704</v>
      </c>
      <c r="L10" s="276">
        <f>[3]Brewhouse!$P753</f>
        <v>61</v>
      </c>
      <c r="M10" s="374">
        <f>[3]Brewhouse!$U753-[3]Brewhouse!$T753</f>
        <v>0.1027777777777778</v>
      </c>
      <c r="N10" s="370">
        <f>[3]Brewhouse!$Z753</f>
        <v>0.24444444444444446</v>
      </c>
      <c r="O10" s="420" t="str">
        <f>[3]Brewhouse!$AX753</f>
        <v>K. Benjamin</v>
      </c>
      <c r="P10" s="418"/>
      <c r="R10" s="277" t="str">
        <f t="shared" ref="R10:R38" si="0">B10</f>
        <v>CARIB</v>
      </c>
      <c r="S10" s="472">
        <f t="shared" ref="S10:S38" si="1">VLOOKUP($B10,$R$3:$X$9,2,FALSE)</f>
        <v>11.6</v>
      </c>
      <c r="T10" s="472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472">
        <f t="shared" ref="Z10:Z38" si="8">VLOOKUP($B10,$R$3:$Z$9,9,FALSE)</f>
        <v>60</v>
      </c>
    </row>
    <row r="11" spans="2:29" ht="15" customHeight="1">
      <c r="B11" s="29" t="s">
        <v>6</v>
      </c>
      <c r="C11" s="366" t="str">
        <f>[3]Brewhouse!$A754</f>
        <v>CA705</v>
      </c>
      <c r="D11" s="279">
        <f>[3]Brewhouse!$AF754</f>
        <v>49.8</v>
      </c>
      <c r="E11" s="279">
        <f>[3]Brewhouse!$AI754</f>
        <v>50.3</v>
      </c>
      <c r="F11" s="278">
        <f>[3]Brewhouse!$V754</f>
        <v>55</v>
      </c>
      <c r="G11" s="279">
        <f>[3]Brewhouse!AG754</f>
        <v>11.9</v>
      </c>
      <c r="H11" s="396">
        <v>11.8</v>
      </c>
      <c r="I11" s="368">
        <f>[3]Brewhouse!$AU754</f>
        <v>99.279364994320531</v>
      </c>
      <c r="J11" s="368">
        <f>[3]Brewhouse!$AV754</f>
        <v>100.04895382761427</v>
      </c>
      <c r="K11" s="281">
        <f>[3]Brewhouse!$Q754</f>
        <v>11.497227356746762</v>
      </c>
      <c r="L11" s="276">
        <f>[3]Brewhouse!$P754</f>
        <v>60</v>
      </c>
      <c r="M11" s="374">
        <f>[3]Brewhouse!$U754-[3]Brewhouse!$T754</f>
        <v>0.11041666666666666</v>
      </c>
      <c r="N11" s="370">
        <f>[3]Brewhouse!$Z754</f>
        <v>0.25208333333333333</v>
      </c>
      <c r="O11" s="420" t="str">
        <f>[3]Brewhouse!$AX754</f>
        <v>K. Benjamin</v>
      </c>
      <c r="P11" s="418"/>
      <c r="R11" s="277" t="str">
        <f t="shared" ref="R11:R29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[3]Brewhouse!$A755</f>
        <v>CA706</v>
      </c>
      <c r="D12" s="279">
        <f>[3]Brewhouse!$AF755</f>
        <v>49.1</v>
      </c>
      <c r="E12" s="279">
        <f>[3]Brewhouse!$AI755</f>
        <v>49.4</v>
      </c>
      <c r="F12" s="278">
        <f>[3]Brewhouse!$V755</f>
        <v>58</v>
      </c>
      <c r="G12" s="279">
        <f>[3]Brewhouse!AG755</f>
        <v>12</v>
      </c>
      <c r="H12" s="396">
        <v>12</v>
      </c>
      <c r="I12" s="368">
        <f>[3]Brewhouse!$AU755</f>
        <v>98.854256189992114</v>
      </c>
      <c r="J12" s="368">
        <f>[3]Brewhouse!$AV755</f>
        <v>99.620347546540984</v>
      </c>
      <c r="K12" s="281">
        <f>[3]Brewhouse!$Q755</f>
        <v>10.573012939001845</v>
      </c>
      <c r="L12" s="276">
        <f>[3]Brewhouse!$P755</f>
        <v>60</v>
      </c>
      <c r="M12" s="374">
        <f>[3]Brewhouse!$U755-[3]Brewhouse!$T755</f>
        <v>0.11180555555555549</v>
      </c>
      <c r="N12" s="370">
        <f>[3]Brewhouse!$Z755</f>
        <v>0.25624999999999998</v>
      </c>
      <c r="O12" s="420" t="str">
        <f>[3]Brewhouse!$AX755</f>
        <v>K. Benjamin</v>
      </c>
      <c r="P12" s="418"/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[3]Brewhouse!$A756</f>
        <v>CA707</v>
      </c>
      <c r="D13" s="279">
        <f>[3]Brewhouse!$AF756</f>
        <v>50.6</v>
      </c>
      <c r="E13" s="279">
        <f>[3]Brewhouse!$AI756</f>
        <v>51.2</v>
      </c>
      <c r="F13" s="278">
        <f>[3]Brewhouse!$V756</f>
        <v>58</v>
      </c>
      <c r="G13" s="279">
        <f>[3]Brewhouse!AG756</f>
        <v>11.9</v>
      </c>
      <c r="H13" s="396">
        <v>12</v>
      </c>
      <c r="I13" s="368">
        <f>[3]Brewhouse!$AU756</f>
        <v>98.732110806844759</v>
      </c>
      <c r="J13" s="368">
        <f>[3]Brewhouse!$AV756</f>
        <v>99.498389756920488</v>
      </c>
      <c r="K13" s="281">
        <f>[3]Brewhouse!$Q756</f>
        <v>9.2791127541589713</v>
      </c>
      <c r="L13" s="276">
        <f>[3]Brewhouse!$P756</f>
        <v>60</v>
      </c>
      <c r="M13" s="374">
        <f>[3]Brewhouse!$U756-[3]Brewhouse!$T756</f>
        <v>0.11319444444444449</v>
      </c>
      <c r="N13" s="370">
        <f>[3]Brewhouse!$Z756</f>
        <v>0.25555555555555559</v>
      </c>
      <c r="O13" s="420" t="str">
        <f>[3]Brewhouse!$AX756</f>
        <v>R. Regis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[3]Brewhouse!$A757</f>
        <v>CA708</v>
      </c>
      <c r="D14" s="279">
        <f>[3]Brewhouse!$AF757</f>
        <v>50.1</v>
      </c>
      <c r="E14" s="279">
        <f>[3]Brewhouse!$AI757</f>
        <v>50.7</v>
      </c>
      <c r="F14" s="278">
        <f>[3]Brewhouse!$V757</f>
        <v>58</v>
      </c>
      <c r="G14" s="279">
        <f>[3]Brewhouse!AG757</f>
        <v>12</v>
      </c>
      <c r="H14" s="396">
        <v>11.9</v>
      </c>
      <c r="I14" s="368">
        <f>[3]Brewhouse!$AU757</f>
        <v>100.95300549069179</v>
      </c>
      <c r="J14" s="368">
        <f>[3]Brewhouse!$AV757</f>
        <v>101.73556796696792</v>
      </c>
      <c r="K14" s="281">
        <f>[3]Brewhouse!$Q757</f>
        <v>9.4639556377079437</v>
      </c>
      <c r="L14" s="276">
        <f>[3]Brewhouse!$P757</f>
        <v>60</v>
      </c>
      <c r="M14" s="374">
        <f>[3]Brewhouse!$U757-[3]Brewhouse!$T757</f>
        <v>0.10902777777777783</v>
      </c>
      <c r="N14" s="370">
        <f>[3]Brewhouse!$Z757</f>
        <v>0.25972222222222224</v>
      </c>
      <c r="O14" s="420" t="str">
        <f>[3]Brewhouse!$AX757</f>
        <v>R. Regis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[3]Brewhouse!$A758</f>
        <v>CA709</v>
      </c>
      <c r="D15" s="279">
        <f>[3]Brewhouse!$AF758</f>
        <v>49.5</v>
      </c>
      <c r="E15" s="279">
        <f>[3]Brewhouse!$AI758</f>
        <v>49.9</v>
      </c>
      <c r="F15" s="278">
        <f>[3]Brewhouse!$V758</f>
        <v>59</v>
      </c>
      <c r="G15" s="279">
        <f>[3]Brewhouse!AG758</f>
        <v>11.9</v>
      </c>
      <c r="H15" s="396">
        <v>11.9</v>
      </c>
      <c r="I15" s="368">
        <f>[3]Brewhouse!$AU758</f>
        <v>98.368022017893821</v>
      </c>
      <c r="J15" s="368">
        <f>[3]Brewhouse!$AV758</f>
        <v>99.130596323508485</v>
      </c>
      <c r="K15" s="281">
        <f>[3]Brewhouse!$Q758</f>
        <v>9.8336414048059151</v>
      </c>
      <c r="L15" s="276">
        <f>[3]Brewhouse!$P758</f>
        <v>63</v>
      </c>
      <c r="M15" s="374">
        <f>[3]Brewhouse!$U758-[3]Brewhouse!$T758</f>
        <v>0.10972222222222228</v>
      </c>
      <c r="N15" s="370">
        <f>[3]Brewhouse!$Z758</f>
        <v>0.26249999999999996</v>
      </c>
      <c r="O15" s="420" t="str">
        <f>[3]Brewhouse!$AX758</f>
        <v>R. Regis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[3]Brewhouse!$A759</f>
        <v>CA710</v>
      </c>
      <c r="D16" s="279">
        <f>[3]Brewhouse!$AF759</f>
        <v>50.1</v>
      </c>
      <c r="E16" s="279">
        <f>[3]Brewhouse!$AI759</f>
        <v>51.1</v>
      </c>
      <c r="F16" s="278">
        <f>[3]Brewhouse!$V759</f>
        <v>57</v>
      </c>
      <c r="G16" s="279">
        <f>[3]Brewhouse!AG759</f>
        <v>12</v>
      </c>
      <c r="H16" s="396">
        <v>12</v>
      </c>
      <c r="I16" s="368">
        <f>[3]Brewhouse!$AU759</f>
        <v>101.37277811430624</v>
      </c>
      <c r="J16" s="368">
        <f>[3]Brewhouse!$AV759</f>
        <v>102.15874868769549</v>
      </c>
      <c r="K16" s="281">
        <f>[3]Brewhouse!$Q759</f>
        <v>9.4639556377079437</v>
      </c>
      <c r="L16" s="276">
        <f>[3]Brewhouse!$P759</f>
        <v>60</v>
      </c>
      <c r="M16" s="374">
        <f>[3]Brewhouse!$U759-[3]Brewhouse!$T759</f>
        <v>0.12013888888888891</v>
      </c>
      <c r="N16" s="370">
        <f>[3]Brewhouse!$Z759</f>
        <v>0.26249999999999996</v>
      </c>
      <c r="O16" s="420" t="str">
        <f>[3]Brewhouse!$AX759</f>
        <v>D. Gomaz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 customHeight="1">
      <c r="B17" s="29" t="s">
        <v>6</v>
      </c>
      <c r="C17" s="366" t="str">
        <f>[3]Brewhouse!$A760</f>
        <v>CA711</v>
      </c>
      <c r="D17" s="279">
        <f>[3]Brewhouse!$AF760</f>
        <v>49.2</v>
      </c>
      <c r="E17" s="279">
        <f>[3]Brewhouse!$AI760</f>
        <v>49.4</v>
      </c>
      <c r="F17" s="278">
        <f>[3]Brewhouse!$V760</f>
        <v>54</v>
      </c>
      <c r="G17" s="279">
        <f>[3]Brewhouse!AG760</f>
        <v>11.7</v>
      </c>
      <c r="H17" s="493">
        <v>12.1</v>
      </c>
      <c r="I17" s="368">
        <f>[3]Brewhouse!$AU760</f>
        <v>95.073465016717392</v>
      </c>
      <c r="J17" s="368">
        <f>[3]Brewhouse!$AV760</f>
        <v>95.810738792867085</v>
      </c>
      <c r="K17" s="281">
        <f>[3]Brewhouse!$Q760</f>
        <v>13.92592592592592</v>
      </c>
      <c r="L17" s="276">
        <f>[3]Brewhouse!$P760</f>
        <v>60</v>
      </c>
      <c r="M17" s="374">
        <f>[3]Brewhouse!$U760-[3]Brewhouse!$T760</f>
        <v>0.11111111111111105</v>
      </c>
      <c r="N17" s="370">
        <f>[3]Brewhouse!$Z760</f>
        <v>0.25208333333333321</v>
      </c>
      <c r="O17" s="420" t="str">
        <f>[3]Brewhouse!$AX760</f>
        <v>D. Gomaz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 customHeight="1">
      <c r="B18" s="29" t="s">
        <v>6</v>
      </c>
      <c r="C18" s="366" t="str">
        <f>[3]Brewhouse!$A761</f>
        <v>CA712</v>
      </c>
      <c r="D18" s="279">
        <f>[3]Brewhouse!$AF761</f>
        <v>47.9</v>
      </c>
      <c r="E18" s="279">
        <f>[3]Brewhouse!$AI761</f>
        <v>48.5</v>
      </c>
      <c r="F18" s="278">
        <f>[3]Brewhouse!$V761</f>
        <v>51</v>
      </c>
      <c r="G18" s="279">
        <f>[3]Brewhouse!AG761</f>
        <v>11.9</v>
      </c>
      <c r="H18" s="493">
        <v>12.3</v>
      </c>
      <c r="I18" s="368">
        <f>[3]Brewhouse!$AU761</f>
        <v>95.845344590065395</v>
      </c>
      <c r="J18" s="368">
        <f>[3]Brewhouse!$AV761</f>
        <v>96.588264940667742</v>
      </c>
      <c r="K18" s="281">
        <f>[3]Brewhouse!$Q761</f>
        <v>14.111111111111107</v>
      </c>
      <c r="L18" s="276">
        <f>[3]Brewhouse!$P761</f>
        <v>60</v>
      </c>
      <c r="M18" s="374">
        <f>[3]Brewhouse!$U761-[3]Brewhouse!$T761</f>
        <v>0.10625000000000018</v>
      </c>
      <c r="N18" s="370">
        <f>[3]Brewhouse!$Z761</f>
        <v>0.25555555555555565</v>
      </c>
      <c r="O18" s="420" t="str">
        <f>[3]Brewhouse!$AX761</f>
        <v>D. Gomaz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customHeight="1">
      <c r="B24" s="36"/>
      <c r="C24" s="366"/>
      <c r="D24" s="279"/>
      <c r="E24" s="279"/>
      <c r="F24" s="278"/>
      <c r="G24" s="279"/>
      <c r="H24" s="396"/>
      <c r="I24" s="489"/>
      <c r="J24" s="489"/>
      <c r="K24" s="490"/>
      <c r="L24" s="276"/>
      <c r="M24" s="374"/>
      <c r="N24" s="370"/>
      <c r="O24" s="420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 thickBot="1">
      <c r="B25" s="358"/>
      <c r="C25" s="358"/>
      <c r="D25" s="358"/>
      <c r="E25" s="358"/>
      <c r="F25" s="294"/>
      <c r="G25" s="294"/>
      <c r="H25" s="348"/>
      <c r="I25" s="534"/>
      <c r="J25" s="534"/>
      <c r="K25" s="534"/>
      <c r="L25" s="534"/>
      <c r="M25" s="534"/>
      <c r="N25" s="534"/>
      <c r="O25" s="1"/>
      <c r="P25" s="12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 thickBot="1">
      <c r="B26" s="483" t="s">
        <v>162</v>
      </c>
      <c r="C26" s="388"/>
      <c r="D26" s="535" t="s">
        <v>35</v>
      </c>
      <c r="E26" s="536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customHeight="1">
      <c r="A27" s="28"/>
      <c r="B27" s="537"/>
      <c r="C27" s="484"/>
      <c r="D27" s="522"/>
      <c r="E27" s="523"/>
      <c r="F27" s="294"/>
      <c r="G27" s="294"/>
      <c r="H27" s="348"/>
      <c r="I27" s="29" t="s">
        <v>6</v>
      </c>
      <c r="J27" s="323">
        <f>AVERAGE(I10:I18)</f>
        <v>98.104216911737268</v>
      </c>
      <c r="K27" s="284">
        <f>COUNTA([3]Brewhouse!$A$696:$A$761)</f>
        <v>66</v>
      </c>
      <c r="L27" s="305">
        <f>AVERAGE([3]Brewhouse!$AU$696:$AU$761)</f>
        <v>98.674533019691481</v>
      </c>
      <c r="M27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$761)</f>
        <v>98.321520838150818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" customHeight="1">
      <c r="A28" s="28"/>
      <c r="B28" s="538"/>
      <c r="C28" s="362"/>
      <c r="D28" s="524"/>
      <c r="E28" s="525"/>
      <c r="F28" s="294"/>
      <c r="G28" s="294"/>
      <c r="H28" s="348"/>
      <c r="I28" s="33" t="s">
        <v>9</v>
      </c>
      <c r="J28" s="323"/>
      <c r="K28" s="284">
        <f>COUNTA([4]Brewhouse!$A$363:$A$372)</f>
        <v>10</v>
      </c>
      <c r="L28" s="302">
        <f>AVERAGE([4]Brewhouse!$AS$363:$AS$372)</f>
        <v>100.50071873632695</v>
      </c>
      <c r="M28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AVERAGE([4]Brewhouse!$AS$52:$AS$81,[4]Brewhouse!$AS$83:$AS$124,[4]Brewhouse!$AS$134:$AS$177,[4]Brewhouse!$AS$22:$AS$179,[4]Brewhouse!$AS$214:$AS$249,[4]Brewhouse!$AS$252:$AS$293,[4]Brewhouse!$AS$295:$AS$325,[4]Brewhouse!$AS$327:$AS$361,[4]Brewhouse!$AS$363:$AS$372)</f>
        <v>98.29248495310074</v>
      </c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38"/>
      <c r="C29" s="362"/>
      <c r="D29" s="529"/>
      <c r="E29" s="530"/>
      <c r="F29" s="294"/>
      <c r="G29" s="294"/>
      <c r="H29" s="348"/>
      <c r="I29" s="34" t="s">
        <v>12</v>
      </c>
      <c r="J29" s="323"/>
      <c r="K29" s="284"/>
      <c r="L29" s="302"/>
      <c r="M29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38"/>
      <c r="C30" s="362"/>
      <c r="D30" s="531"/>
      <c r="E30" s="525"/>
      <c r="F30" s="294"/>
      <c r="G30" s="294"/>
      <c r="H30" s="348"/>
      <c r="I30" s="22" t="s">
        <v>33</v>
      </c>
      <c r="J30" s="280"/>
      <c r="K30" s="284"/>
      <c r="L30" s="302"/>
      <c r="M30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38"/>
      <c r="C31" s="362"/>
      <c r="D31" s="529"/>
      <c r="E31" s="530"/>
      <c r="F31" s="294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38"/>
      <c r="C32" s="362"/>
      <c r="D32" s="531"/>
      <c r="E32" s="525"/>
      <c r="F32" s="417"/>
      <c r="G32" s="294"/>
      <c r="H32" s="348"/>
      <c r="I32" s="36" t="s">
        <v>15</v>
      </c>
      <c r="J32" s="323"/>
      <c r="K32" s="284">
        <f>COUNTA([7]Brewhouse!$A$23:$A$30)</f>
        <v>8</v>
      </c>
      <c r="L32" s="302">
        <f>AVERAGE([7]Brewhouse!$AT$23:$AT$30)</f>
        <v>96.065914782338609</v>
      </c>
      <c r="M32" s="302">
        <f>AVERAGE([7]Brewhouse!$AT$4:$AT$11,[7]Brewhouse!$AT$13:$AT$16,[7]Brewhouse!$AT$18:$AT$30)</f>
        <v>93.22262799886262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38"/>
      <c r="C33" s="362"/>
      <c r="D33" s="529"/>
      <c r="E33" s="530"/>
      <c r="F33" s="417"/>
      <c r="G33" s="294"/>
      <c r="H33" s="348"/>
      <c r="I33" s="37" t="s">
        <v>16</v>
      </c>
      <c r="J33" s="323"/>
      <c r="K33" s="284"/>
      <c r="L33" s="302"/>
      <c r="M33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3" s="30">
        <v>98</v>
      </c>
      <c r="O33" s="11"/>
      <c r="P33" s="31" t="s">
        <v>41</v>
      </c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38"/>
      <c r="C34" s="362"/>
      <c r="D34" s="531"/>
      <c r="E34" s="525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38"/>
      <c r="C35" s="362"/>
      <c r="D35" s="529"/>
      <c r="E35" s="530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38"/>
      <c r="C36" s="362"/>
      <c r="D36" s="531"/>
      <c r="E36" s="525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38"/>
      <c r="C37" s="349"/>
      <c r="D37" s="522"/>
      <c r="E37" s="523"/>
      <c r="F37" s="294"/>
      <c r="G37" s="294"/>
      <c r="H37" s="348"/>
      <c r="I37" s="1"/>
      <c r="J37" s="39"/>
      <c r="K37" s="404">
        <f>SUM(K27:K36)</f>
        <v>84</v>
      </c>
      <c r="L37" s="405">
        <f>((L27*K27)+(L28*K28)+(L29*K29)+(L30*K30)+(L31*K31)+(K34*L34)+(L32*K32)+(L33*K33)+(L36*K36))/(K37)</f>
        <v>98.643496249066843</v>
      </c>
      <c r="M37" s="405">
        <f>AVERAGE('[9]Jan30th-31st'!$L$42,'[10]Feb 27th-28th'!$L$45,'[11]Mar 31st'!$L$42,'[12]Apr 30th'!$L$41,'[13]May 29th '!$L$35,'[14]June 30th'!$L$32,[15]July31st!$L$36,'[16]Aug 31st'!$L$32,L37)</f>
        <v>98.065914275025804</v>
      </c>
      <c r="N37" s="4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39"/>
      <c r="C38" s="350"/>
      <c r="D38" s="524"/>
      <c r="E38" s="525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519"/>
      <c r="C39" s="362"/>
      <c r="D39" s="522"/>
      <c r="E39" s="523"/>
      <c r="F39" s="294"/>
      <c r="G39" s="42"/>
      <c r="H39" s="41"/>
      <c r="I39" s="42"/>
      <c r="J39" s="526" t="s">
        <v>129</v>
      </c>
      <c r="K39" s="526"/>
      <c r="L39" s="294"/>
      <c r="M39" s="294"/>
      <c r="N39" s="294"/>
      <c r="O39" s="294"/>
      <c r="P39" s="12"/>
    </row>
    <row r="40" spans="1:56" ht="15.75" thickBot="1">
      <c r="B40" s="520"/>
      <c r="C40" s="362"/>
      <c r="D40" s="524"/>
      <c r="E40" s="525"/>
      <c r="F40" s="294"/>
      <c r="G40" s="42"/>
      <c r="H40" s="42"/>
      <c r="I40" s="42"/>
      <c r="J40" s="292" t="s">
        <v>17</v>
      </c>
      <c r="K40" s="293"/>
      <c r="L40" s="527" t="s">
        <v>136</v>
      </c>
      <c r="M40" s="527"/>
      <c r="N40" s="528"/>
      <c r="O40" s="294"/>
      <c r="P40" s="12"/>
    </row>
    <row r="41" spans="1:56" ht="15" customHeight="1" thickBot="1">
      <c r="B41" s="520"/>
      <c r="C41" s="349"/>
      <c r="D41" s="529"/>
      <c r="E41" s="530"/>
      <c r="F41" s="294"/>
      <c r="G41" s="42"/>
      <c r="H41" s="42"/>
      <c r="I41" s="42"/>
      <c r="J41" s="287" t="s">
        <v>6</v>
      </c>
      <c r="K41" s="324">
        <v>9</v>
      </c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520"/>
      <c r="C42" s="349"/>
      <c r="D42" s="531"/>
      <c r="E42" s="525"/>
      <c r="F42" s="294"/>
      <c r="G42" s="42"/>
      <c r="H42" s="42"/>
      <c r="I42" s="42"/>
      <c r="J42" s="345" t="s">
        <v>9</v>
      </c>
      <c r="K42" s="324"/>
      <c r="L42" s="485">
        <f>AVERAGE('Sept 1st'!K45,'Sept 2nd'!K47,'Sept 3rd'!K44,'Sept 4th'!K46,'Sept 7th'!K48,'Sept 8th'!K48,'Sept 9th'!K50,'Sept 10th'!K49,'Sept 11th '!K45,'Sept 14th'!K45,'Sept 15th'!K48,K51)</f>
        <v>7</v>
      </c>
      <c r="M42" s="486">
        <f>AVERAGE('[9]Jan30th-31st'!$L$47,L42,'[10]Feb 26th '!$L$39,'[11]Mar 31st'!$L$47,'[12]Apr 30th'!$L$46,'[13]May 29th '!$L$40,'[14]June 30th'!$L$39,[15]July31st!$L$41,'[16]Aug 31st'!$L$37)</f>
        <v>6.5155670416539984</v>
      </c>
      <c r="N42" s="416">
        <v>9.1999999999999993</v>
      </c>
      <c r="O42" s="294"/>
      <c r="P42" s="12"/>
    </row>
    <row r="43" spans="1:56" ht="15" customHeight="1">
      <c r="B43" s="520"/>
      <c r="C43" s="349"/>
      <c r="D43" s="529"/>
      <c r="E43" s="530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20"/>
      <c r="C44" s="349"/>
      <c r="D44" s="531"/>
      <c r="E44" s="525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20"/>
      <c r="C45" s="349"/>
      <c r="D45" s="529"/>
      <c r="E45" s="530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0"/>
      <c r="C46" s="349"/>
      <c r="D46" s="531"/>
      <c r="E46" s="525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0"/>
      <c r="C47" s="349"/>
      <c r="D47" s="529"/>
      <c r="E47" s="530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21"/>
      <c r="C48" s="350"/>
      <c r="D48" s="532"/>
      <c r="E48" s="533"/>
      <c r="F48" s="294" t="s">
        <v>165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10"/>
      <c r="E49" s="511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9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42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04" t="s">
        <v>17</v>
      </c>
      <c r="C54" s="504" t="s">
        <v>44</v>
      </c>
      <c r="D54" s="513" t="s">
        <v>45</v>
      </c>
      <c r="E54" s="515" t="s">
        <v>46</v>
      </c>
      <c r="F54" s="517" t="s">
        <v>47</v>
      </c>
      <c r="G54" s="502" t="s">
        <v>48</v>
      </c>
      <c r="H54" s="504" t="s">
        <v>49</v>
      </c>
      <c r="I54" s="504" t="s">
        <v>50</v>
      </c>
      <c r="J54" s="496" t="s">
        <v>28</v>
      </c>
      <c r="K54" s="506" t="s">
        <v>51</v>
      </c>
      <c r="L54" s="508" t="s">
        <v>52</v>
      </c>
      <c r="M54" s="496" t="s">
        <v>53</v>
      </c>
      <c r="N54" s="13"/>
      <c r="O54" s="13"/>
      <c r="P54" s="50"/>
    </row>
    <row r="55" spans="2:57" ht="28.5" customHeight="1" thickTop="1" thickBot="1">
      <c r="B55" s="505"/>
      <c r="C55" s="512"/>
      <c r="D55" s="514"/>
      <c r="E55" s="516"/>
      <c r="F55" s="518"/>
      <c r="G55" s="503"/>
      <c r="H55" s="505"/>
      <c r="I55" s="505"/>
      <c r="J55" s="497"/>
      <c r="K55" s="507"/>
      <c r="L55" s="509"/>
      <c r="M55" s="497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2:57" s="54" customFormat="1" ht="36.75" customHeight="1" thickBot="1">
      <c r="B56" s="456"/>
      <c r="C56" s="479"/>
      <c r="D56" s="445"/>
      <c r="E56" s="443"/>
      <c r="F56" s="444"/>
      <c r="G56" s="444"/>
      <c r="H56" s="458"/>
      <c r="I56" s="458"/>
      <c r="J56" s="448"/>
      <c r="K56" s="449"/>
      <c r="L56" s="457" t="e">
        <f>(((D56+E56)-G56)/(D56+E56))*100</f>
        <v>#DIV/0!</v>
      </c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[19]January_2019!L5</f>
        <v>0</v>
      </c>
      <c r="AC56" s="57">
        <f>[19]January_2019!M5</f>
        <v>0</v>
      </c>
      <c r="AD56" s="57">
        <f>[19]January_2019!N5</f>
        <v>0</v>
      </c>
      <c r="AE56" s="57">
        <f>[19]January_2019!O5</f>
        <v>0</v>
      </c>
      <c r="AF56" s="57">
        <f>[19]January_2019!P5</f>
        <v>0</v>
      </c>
      <c r="AG56" s="57">
        <f>[19]January_2019!Q5</f>
        <v>0</v>
      </c>
      <c r="AH56" s="57">
        <f>[19]January_2019!R5</f>
        <v>0</v>
      </c>
      <c r="AI56" s="57">
        <f>[19]January_2019!S5</f>
        <v>0</v>
      </c>
      <c r="AJ56" s="57">
        <f>[19]January_2019!T5</f>
        <v>0</v>
      </c>
      <c r="AK56" s="57">
        <f>[19]January_2019!U5</f>
        <v>0</v>
      </c>
      <c r="AL56" s="57">
        <f>[19]January_2019!V5</f>
        <v>0</v>
      </c>
      <c r="AM56" s="57">
        <f>[19]January_2019!W5</f>
        <v>0</v>
      </c>
      <c r="AN56" s="57">
        <f>[19]January_2019!X5</f>
        <v>0</v>
      </c>
      <c r="AO56" s="57">
        <f>[19]January_2019!Y5</f>
        <v>0</v>
      </c>
      <c r="AP56" s="57">
        <f>[19]January_2019!Z5</f>
        <v>0</v>
      </c>
      <c r="AQ56" s="57">
        <f>[19]January_2019!AA5</f>
        <v>0</v>
      </c>
      <c r="AR56" s="57">
        <f>[19]January_2019!AB5</f>
        <v>0</v>
      </c>
      <c r="AS56" s="57">
        <f>[19]January_2019!AC5</f>
        <v>0</v>
      </c>
      <c r="AT56" s="57">
        <f>[19]January_2019!AD5</f>
        <v>0</v>
      </c>
      <c r="AU56" s="57">
        <f>[19]January_2019!AE5</f>
        <v>0</v>
      </c>
      <c r="AV56" s="57">
        <f>[19]January_2019!AF5</f>
        <v>0</v>
      </c>
      <c r="AW56" s="57">
        <f>[19]January_2019!AG5</f>
        <v>0</v>
      </c>
      <c r="AX56" s="277">
        <f>[19]January_2019!AH5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4.25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[19]January_2019!L6</f>
        <v>0</v>
      </c>
      <c r="AC57" s="57">
        <f>[19]January_2019!M6</f>
        <v>0</v>
      </c>
      <c r="AD57" s="57">
        <f>[19]January_2019!N6</f>
        <v>0</v>
      </c>
      <c r="AE57" s="57">
        <f>[19]January_2019!O6</f>
        <v>0</v>
      </c>
      <c r="AF57" s="57">
        <f>[19]January_2019!P6</f>
        <v>0</v>
      </c>
      <c r="AG57" s="57">
        <f>[19]January_2019!Q6</f>
        <v>0</v>
      </c>
      <c r="AH57" s="57">
        <f>[19]January_2019!R6</f>
        <v>0</v>
      </c>
      <c r="AI57" s="57">
        <f>[19]January_2019!S6</f>
        <v>0</v>
      </c>
      <c r="AJ57" s="57">
        <f>[19]January_2019!T6</f>
        <v>0</v>
      </c>
      <c r="AK57" s="57">
        <f>[19]January_2019!U6</f>
        <v>0</v>
      </c>
      <c r="AL57" s="57">
        <f>[19]January_2019!V6</f>
        <v>0</v>
      </c>
      <c r="AM57" s="57">
        <f>[19]January_2019!W6</f>
        <v>0</v>
      </c>
      <c r="AN57" s="57">
        <f>[19]January_2019!X6</f>
        <v>0</v>
      </c>
      <c r="AO57" s="57">
        <f>[19]January_2019!Y6</f>
        <v>0</v>
      </c>
      <c r="AP57" s="57">
        <f>[19]January_2019!Z6</f>
        <v>0</v>
      </c>
      <c r="AQ57" s="57">
        <f>[19]January_2019!AA6</f>
        <v>0</v>
      </c>
      <c r="AR57" s="57">
        <f>[19]January_2019!AB6</f>
        <v>0</v>
      </c>
      <c r="AS57" s="57">
        <f>[19]January_2019!AC6</f>
        <v>0</v>
      </c>
      <c r="AT57" s="57">
        <f>[19]January_2019!AD6</f>
        <v>0</v>
      </c>
      <c r="AU57" s="57">
        <f>[19]January_2019!AE6</f>
        <v>0</v>
      </c>
      <c r="AV57" s="57">
        <f>[19]January_2019!AF6</f>
        <v>0</v>
      </c>
      <c r="AW57" s="57">
        <f>[19]January_2019!AG6</f>
        <v>0</v>
      </c>
      <c r="AX57" s="277">
        <f>[19]January_2019!AH6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95"/>
      <c r="C58" s="479"/>
      <c r="D58" s="442"/>
      <c r="E58" s="443"/>
      <c r="F58" s="444"/>
      <c r="G58" s="444"/>
      <c r="H58" s="446"/>
      <c r="I58" s="446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[19]January_2019!L7</f>
        <v>285.8</v>
      </c>
      <c r="AC58" s="57">
        <f>[19]January_2019!M7</f>
        <v>508.1</v>
      </c>
      <c r="AD58" s="57">
        <f>[19]January_2019!N7</f>
        <v>0</v>
      </c>
      <c r="AE58" s="57">
        <f>[19]January_2019!O7</f>
        <v>0</v>
      </c>
      <c r="AF58" s="57">
        <f>[19]January_2019!P7</f>
        <v>109.56666666666666</v>
      </c>
      <c r="AG58" s="57">
        <f>[19]January_2019!Q7</f>
        <v>297.64999999999998</v>
      </c>
      <c r="AH58" s="57">
        <f>[19]January_2019!R7</f>
        <v>122.3</v>
      </c>
      <c r="AI58" s="57">
        <f>[19]January_2019!S7</f>
        <v>0</v>
      </c>
      <c r="AJ58" s="57">
        <f>[19]January_2019!T7</f>
        <v>294.7</v>
      </c>
      <c r="AK58" s="57">
        <f>[19]January_2019!U7</f>
        <v>280.5</v>
      </c>
      <c r="AL58" s="57">
        <f>[19]January_2019!V7</f>
        <v>0</v>
      </c>
      <c r="AM58" s="57">
        <f>[19]January_2019!W7</f>
        <v>0</v>
      </c>
      <c r="AN58" s="57">
        <f>[19]January_2019!X7</f>
        <v>188.25</v>
      </c>
      <c r="AO58" s="57">
        <f>[19]January_2019!Y7</f>
        <v>295.7</v>
      </c>
      <c r="AP58" s="57">
        <f>[19]January_2019!Z7</f>
        <v>257.8</v>
      </c>
      <c r="AQ58" s="57">
        <f>[19]January_2019!AA7</f>
        <v>291.2</v>
      </c>
      <c r="AR58" s="57">
        <f>[19]January_2019!AB7</f>
        <v>187</v>
      </c>
      <c r="AS58" s="57">
        <f>[19]January_2019!AC7</f>
        <v>0</v>
      </c>
      <c r="AT58" s="57">
        <f>[19]January_2019!AD7</f>
        <v>0</v>
      </c>
      <c r="AU58" s="57">
        <f>[19]January_2019!AE7</f>
        <v>485.1</v>
      </c>
      <c r="AV58" s="57">
        <f>[19]January_2019!AF7</f>
        <v>171.55</v>
      </c>
      <c r="AW58" s="57">
        <f>[19]January_2019!AG7</f>
        <v>423.8</v>
      </c>
      <c r="AX58" s="277">
        <f>[19]January_2019!AH7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8.600000000000001" hidden="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65" hidden="1" customHeight="1" thickBot="1">
      <c r="B60" s="487"/>
      <c r="C60" s="479"/>
      <c r="D60" s="442"/>
      <c r="E60" s="443"/>
      <c r="F60" s="444"/>
      <c r="G60" s="445"/>
      <c r="H60" s="458"/>
      <c r="I60" s="458"/>
      <c r="J60" s="448"/>
      <c r="K60" s="45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81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498" t="s">
        <v>55</v>
      </c>
      <c r="C67" s="499"/>
      <c r="D67" s="499"/>
      <c r="E67" s="499"/>
      <c r="F67" s="500"/>
      <c r="G67" s="498" t="s">
        <v>56</v>
      </c>
      <c r="H67" s="499"/>
      <c r="I67" s="499"/>
      <c r="J67" s="500"/>
      <c r="K67" s="498" t="s">
        <v>51</v>
      </c>
      <c r="L67" s="499"/>
      <c r="M67" s="499"/>
      <c r="N67" s="501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65"/>
      <c r="D69" s="76">
        <v>7.1031671548020761</v>
      </c>
      <c r="E69" s="76">
        <v>6.5769948005270145</v>
      </c>
      <c r="F69" s="66">
        <v>4.8</v>
      </c>
      <c r="G69" s="65"/>
      <c r="H69" s="477">
        <v>6.4041575385468743</v>
      </c>
      <c r="I69" s="477">
        <v>6.6307190081077829</v>
      </c>
      <c r="J69" s="66">
        <v>4.8</v>
      </c>
      <c r="K69" s="67"/>
      <c r="L69" s="194">
        <v>0.60052339181286551</v>
      </c>
      <c r="M69" s="194">
        <v>0.53173259312468302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8.1797752808988591</v>
      </c>
      <c r="E70" s="76">
        <v>5.939590940751847</v>
      </c>
      <c r="F70" s="66">
        <v>4.8</v>
      </c>
      <c r="G70" s="65"/>
      <c r="H70" s="76">
        <v>7.1493286491954091</v>
      </c>
      <c r="I70" s="76">
        <v>6.0146000548367518</v>
      </c>
      <c r="J70" s="66">
        <v>4.8</v>
      </c>
      <c r="K70" s="67"/>
      <c r="L70" s="194">
        <v>0.31847368421052635</v>
      </c>
      <c r="M70" s="194">
        <v>0.68029295501093157</v>
      </c>
      <c r="N70" s="68">
        <v>1</v>
      </c>
      <c r="P70" s="69"/>
    </row>
    <row r="71" spans="2:57" ht="15">
      <c r="B71" s="34" t="s">
        <v>40</v>
      </c>
      <c r="C71" s="65"/>
      <c r="D71" s="76"/>
      <c r="E71" s="76">
        <v>11.277593164016125</v>
      </c>
      <c r="F71" s="66">
        <v>5.5</v>
      </c>
      <c r="G71" s="65"/>
      <c r="H71" s="76"/>
      <c r="I71" s="76">
        <v>11.857907912244482</v>
      </c>
      <c r="J71" s="66">
        <v>5.5</v>
      </c>
      <c r="K71" s="67"/>
      <c r="L71" s="194"/>
      <c r="M71" s="194">
        <v>0.35370190356844494</v>
      </c>
      <c r="N71" s="68">
        <v>1</v>
      </c>
      <c r="P71" s="69"/>
    </row>
    <row r="72" spans="2:57" ht="15">
      <c r="B72" s="22" t="s">
        <v>33</v>
      </c>
      <c r="C72" s="65"/>
      <c r="D72" s="76"/>
      <c r="E72" s="76">
        <v>4.8685538193023836</v>
      </c>
      <c r="F72" s="66">
        <v>3.3</v>
      </c>
      <c r="G72" s="65"/>
      <c r="H72" s="76"/>
      <c r="I72" s="76">
        <v>4.8702525342252114</v>
      </c>
      <c r="J72" s="66">
        <v>3.3</v>
      </c>
      <c r="K72" s="67"/>
      <c r="L72" s="194"/>
      <c r="M72" s="194">
        <v>0.77919298245614044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>
        <v>6.8855672629257718</v>
      </c>
      <c r="E74" s="76">
        <v>6.3233965672990236</v>
      </c>
      <c r="F74" s="70">
        <v>5.5</v>
      </c>
      <c r="G74" s="65"/>
      <c r="H74" s="76">
        <v>7.4264332958762713</v>
      </c>
      <c r="I74" s="76">
        <v>7.9667553186446929</v>
      </c>
      <c r="J74" s="66">
        <v>5.5</v>
      </c>
      <c r="K74" s="67"/>
      <c r="L74" s="194">
        <v>0.391812865497076</v>
      </c>
      <c r="M74" s="194">
        <v>0.5883625730994152</v>
      </c>
      <c r="N74" s="68">
        <v>1</v>
      </c>
      <c r="P74" s="69"/>
    </row>
    <row r="75" spans="2:57" ht="15">
      <c r="B75" s="37" t="s">
        <v>16</v>
      </c>
      <c r="C75" s="482"/>
      <c r="D75" s="76"/>
      <c r="E75" s="76">
        <v>3.6168923014750334</v>
      </c>
      <c r="F75" s="66">
        <v>3.3</v>
      </c>
      <c r="G75" s="282"/>
      <c r="H75" s="76"/>
      <c r="I75" s="76">
        <v>5.0091179718082053</v>
      </c>
      <c r="J75" s="66">
        <v>3.3</v>
      </c>
      <c r="K75" s="67"/>
      <c r="L75" s="194"/>
      <c r="M75" s="194">
        <v>0.92642300194931759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7.3140907910921831</v>
      </c>
      <c r="E78" s="76">
        <v>6.3999736818578956</v>
      </c>
      <c r="F78" s="341">
        <v>5.5</v>
      </c>
      <c r="H78" s="76">
        <v>6.6840393045153821</v>
      </c>
      <c r="I78" s="76">
        <v>6.6928815041484677</v>
      </c>
      <c r="J78" s="341">
        <v>5.5</v>
      </c>
      <c r="L78" s="194">
        <v>0.50896716149347732</v>
      </c>
      <c r="M78" s="194">
        <v>0.59194404706036807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1337" priority="103" operator="notBetween">
      <formula>#REF!</formula>
      <formula>#REF!</formula>
    </cfRule>
  </conditionalFormatting>
  <conditionalFormatting sqref="C53">
    <cfRule type="cellIs" dxfId="1336" priority="185" stopIfTrue="1" operator="lessThan">
      <formula>96</formula>
    </cfRule>
    <cfRule type="cellIs" dxfId="1335" priority="186" stopIfTrue="1" operator="greaterThan">
      <formula>100</formula>
    </cfRule>
  </conditionalFormatting>
  <conditionalFormatting sqref="C69:C70">
    <cfRule type="cellIs" dxfId="1334" priority="66" stopIfTrue="1" operator="greaterThan">
      <formula>$F69</formula>
    </cfRule>
    <cfRule type="cellIs" dxfId="1333" priority="67" stopIfTrue="1" operator="lessThanOrEqual">
      <formula>0</formula>
    </cfRule>
    <cfRule type="cellIs" dxfId="1332" priority="68" stopIfTrue="1" operator="greaterThan">
      <formula>$F69</formula>
    </cfRule>
    <cfRule type="cellIs" dxfId="1331" priority="69" stopIfTrue="1" operator="lessThanOrEqual">
      <formula>0</formula>
    </cfRule>
  </conditionalFormatting>
  <conditionalFormatting sqref="C71:C73 C75:C77">
    <cfRule type="cellIs" dxfId="1330" priority="75" stopIfTrue="1" operator="greaterThan">
      <formula>$F74</formula>
    </cfRule>
  </conditionalFormatting>
  <conditionalFormatting sqref="C71:C73">
    <cfRule type="cellIs" dxfId="1329" priority="76" stopIfTrue="1" operator="lessThanOrEqual">
      <formula>0</formula>
    </cfRule>
  </conditionalFormatting>
  <conditionalFormatting sqref="C74">
    <cfRule type="cellIs" dxfId="1328" priority="187" stopIfTrue="1" operator="greaterThan">
      <formula>$F69</formula>
    </cfRule>
    <cfRule type="cellIs" dxfId="1327" priority="188" stopIfTrue="1" operator="lessThanOrEqual">
      <formula>0</formula>
    </cfRule>
    <cfRule type="cellIs" dxfId="1326" priority="189" stopIfTrue="1" operator="greaterThan">
      <formula>$F69</formula>
    </cfRule>
    <cfRule type="cellIs" dxfId="1325" priority="190" stopIfTrue="1" operator="lessThanOrEqual">
      <formula>0</formula>
    </cfRule>
  </conditionalFormatting>
  <conditionalFormatting sqref="C75:C77">
    <cfRule type="cellIs" dxfId="1324" priority="77" stopIfTrue="1" operator="lessThanOrEqual">
      <formula>0</formula>
    </cfRule>
  </conditionalFormatting>
  <conditionalFormatting sqref="C80:C84">
    <cfRule type="cellIs" dxfId="1323" priority="177" stopIfTrue="1" operator="lessThanOrEqual">
      <formula>0</formula>
    </cfRule>
  </conditionalFormatting>
  <conditionalFormatting sqref="C81:C84">
    <cfRule type="cellIs" dxfId="1322" priority="176" stopIfTrue="1" operator="greaterThan">
      <formula>$F$80</formula>
    </cfRule>
  </conditionalFormatting>
  <conditionalFormatting sqref="C86">
    <cfRule type="cellIs" dxfId="1321" priority="178" stopIfTrue="1" operator="greaterThan">
      <formula>$F$80</formula>
    </cfRule>
    <cfRule type="cellIs" dxfId="1320" priority="179" stopIfTrue="1" operator="lessThanOrEqual">
      <formula>0</formula>
    </cfRule>
  </conditionalFormatting>
  <conditionalFormatting sqref="C74:D74">
    <cfRule type="cellIs" dxfId="1319" priority="64" stopIfTrue="1" operator="greaterThan">
      <formula>$J74</formula>
    </cfRule>
    <cfRule type="cellIs" dxfId="1318" priority="65" stopIfTrue="1" operator="lessThanOrEqual">
      <formula>0</formula>
    </cfRule>
  </conditionalFormatting>
  <conditionalFormatting sqref="C80:D80 D82:D88">
    <cfRule type="cellIs" dxfId="1317" priority="171" stopIfTrue="1" operator="greaterThan">
      <formula>4.5</formula>
    </cfRule>
  </conditionalFormatting>
  <conditionalFormatting sqref="D49:D50">
    <cfRule type="cellIs" dxfId="1316" priority="104" operator="notBetween">
      <formula>#REF!</formula>
      <formula>#REF!</formula>
    </cfRule>
  </conditionalFormatting>
  <conditionalFormatting sqref="D69:D73 D75:D76">
    <cfRule type="cellIs" dxfId="1315" priority="74" stopIfTrue="1" operator="lessThanOrEqual">
      <formula>0</formula>
    </cfRule>
  </conditionalFormatting>
  <conditionalFormatting sqref="D69:D73 D75:D78">
    <cfRule type="cellIs" dxfId="1314" priority="70" stopIfTrue="1" operator="lessThanOrEqual">
      <formula>0</formula>
    </cfRule>
    <cfRule type="cellIs" dxfId="1313" priority="71" stopIfTrue="1" operator="greaterThan">
      <formula>$F69</formula>
    </cfRule>
  </conditionalFormatting>
  <conditionalFormatting sqref="D77:D78">
    <cfRule type="cellIs" dxfId="1312" priority="72" stopIfTrue="1" operator="lessThanOrEqual">
      <formula>0</formula>
    </cfRule>
  </conditionalFormatting>
  <conditionalFormatting sqref="D78">
    <cfRule type="cellIs" dxfId="1311" priority="73" stopIfTrue="1" operator="lessThanOrEqual">
      <formula>0</formula>
    </cfRule>
  </conditionalFormatting>
  <conditionalFormatting sqref="D80 D82:D88">
    <cfRule type="cellIs" dxfId="1310" priority="172" stopIfTrue="1" operator="lessThanOrEqual">
      <formula>0</formula>
    </cfRule>
  </conditionalFormatting>
  <conditionalFormatting sqref="D81">
    <cfRule type="cellIs" dxfId="1309" priority="163" stopIfTrue="1" operator="greaterThan">
      <formula>$F$80</formula>
    </cfRule>
    <cfRule type="cellIs" dxfId="1308" priority="164" stopIfTrue="1" operator="lessThanOrEqual">
      <formula>0</formula>
    </cfRule>
  </conditionalFormatting>
  <conditionalFormatting sqref="E10:E24">
    <cfRule type="cellIs" dxfId="1307" priority="13" operator="lessThan">
      <formula>48</formula>
    </cfRule>
  </conditionalFormatting>
  <conditionalFormatting sqref="E52 E53:F53">
    <cfRule type="cellIs" dxfId="1306" priority="168" stopIfTrue="1" operator="greaterThan">
      <formula>100</formula>
    </cfRule>
  </conditionalFormatting>
  <conditionalFormatting sqref="E53">
    <cfRule type="cellIs" dxfId="1305" priority="165" stopIfTrue="1" operator="lessThan">
      <formula>96.8</formula>
    </cfRule>
    <cfRule type="cellIs" dxfId="1304" priority="166" stopIfTrue="1" operator="greaterThan">
      <formula>100</formula>
    </cfRule>
  </conditionalFormatting>
  <conditionalFormatting sqref="E69:E77">
    <cfRule type="cellIs" dxfId="1303" priority="37" stopIfTrue="1" operator="lessThanOrEqual">
      <formula>0</formula>
    </cfRule>
  </conditionalFormatting>
  <conditionalFormatting sqref="E69:E78">
    <cfRule type="cellIs" dxfId="1302" priority="38" stopIfTrue="1" operator="greaterThan">
      <formula>$F69</formula>
    </cfRule>
    <cfRule type="cellIs" dxfId="1301" priority="39" stopIfTrue="1" operator="lessThanOrEqual">
      <formula>0</formula>
    </cfRule>
  </conditionalFormatting>
  <conditionalFormatting sqref="E78">
    <cfRule type="cellIs" dxfId="1300" priority="40" stopIfTrue="1" operator="lessThanOrEqual">
      <formula>0</formula>
    </cfRule>
  </conditionalFormatting>
  <conditionalFormatting sqref="E80:E88">
    <cfRule type="cellIs" dxfId="1299" priority="157" stopIfTrue="1" operator="greaterThan">
      <formula>4.5</formula>
    </cfRule>
    <cfRule type="cellIs" dxfId="1298" priority="158" stopIfTrue="1" operator="lessThanOrEqual">
      <formula>0</formula>
    </cfRule>
  </conditionalFormatting>
  <conditionalFormatting sqref="E53:F53 E52">
    <cfRule type="cellIs" dxfId="1297" priority="167" stopIfTrue="1" operator="lessThan">
      <formula>96.5</formula>
    </cfRule>
  </conditionalFormatting>
  <conditionalFormatting sqref="F10:F24">
    <cfRule type="cellIs" dxfId="1296" priority="14" operator="greaterThan">
      <formula>60</formula>
    </cfRule>
  </conditionalFormatting>
  <conditionalFormatting sqref="F53">
    <cfRule type="cellIs" dxfId="1295" priority="183" stopIfTrue="1" operator="lessThan">
      <formula>96.8</formula>
    </cfRule>
    <cfRule type="cellIs" dxfId="1294" priority="184" stopIfTrue="1" operator="greaterThan">
      <formula>100</formula>
    </cfRule>
  </conditionalFormatting>
  <conditionalFormatting sqref="G24">
    <cfRule type="expression" dxfId="1293" priority="3">
      <formula>IF(+(IF(G24&lt;S24,0,IF(G24&gt;T24,0,1)))=0,1)</formula>
    </cfRule>
  </conditionalFormatting>
  <conditionalFormatting sqref="G69:G72 F78">
    <cfRule type="cellIs" dxfId="1292" priority="46" stopIfTrue="1" operator="greaterThan">
      <formula>$F69</formula>
    </cfRule>
    <cfRule type="cellIs" dxfId="1291" priority="47" stopIfTrue="1" operator="lessThanOrEqual">
      <formula>0</formula>
    </cfRule>
  </conditionalFormatting>
  <conditionalFormatting sqref="G71:G72">
    <cfRule type="cellIs" dxfId="1290" priority="32" stopIfTrue="1" operator="greaterThan">
      <formula>$F71</formula>
    </cfRule>
    <cfRule type="cellIs" dxfId="1289" priority="33" stopIfTrue="1" operator="lessThanOrEqual">
      <formula>0</formula>
    </cfRule>
  </conditionalFormatting>
  <conditionalFormatting sqref="G73:G77">
    <cfRule type="cellIs" dxfId="1288" priority="48" stopIfTrue="1" operator="greaterThan">
      <formula>$J73</formula>
    </cfRule>
    <cfRule type="cellIs" dxfId="1287" priority="49" stopIfTrue="1" operator="lessThanOrEqual">
      <formula>0</formula>
    </cfRule>
  </conditionalFormatting>
  <conditionalFormatting sqref="G74">
    <cfRule type="cellIs" dxfId="1286" priority="191" stopIfTrue="1" operator="greaterThan">
      <formula>$F69</formula>
    </cfRule>
    <cfRule type="cellIs" dxfId="1285" priority="192" stopIfTrue="1" operator="lessThanOrEqual">
      <formula>0</formula>
    </cfRule>
  </conditionalFormatting>
  <conditionalFormatting sqref="G82:G87 C85 C87">
    <cfRule type="cellIs" dxfId="1284" priority="180" stopIfTrue="1" operator="greaterThan">
      <formula>4.5</formula>
    </cfRule>
    <cfRule type="cellIs" dxfId="1283" priority="181" stopIfTrue="1" operator="lessThanOrEqual">
      <formula>0</formula>
    </cfRule>
  </conditionalFormatting>
  <conditionalFormatting sqref="G10:H21 M10:N23 G22:G23 H22:H24">
    <cfRule type="expression" dxfId="1282" priority="4">
      <formula>IF(+(IF(G10&lt;#REF!,0,IF(G10&gt;#REF!,0,1)))=0,1)</formula>
    </cfRule>
  </conditionalFormatting>
  <conditionalFormatting sqref="G81:H81">
    <cfRule type="cellIs" dxfId="1281" priority="161" stopIfTrue="1" operator="greaterThan">
      <formula>$F$80</formula>
    </cfRule>
    <cfRule type="cellIs" dxfId="1280" priority="162" stopIfTrue="1" operator="lessThanOrEqual">
      <formula>0</formula>
    </cfRule>
  </conditionalFormatting>
  <conditionalFormatting sqref="H38:H39 H52">
    <cfRule type="cellIs" dxfId="1279" priority="159" stopIfTrue="1" operator="greaterThan">
      <formula>0</formula>
    </cfRule>
  </conditionalFormatting>
  <conditionalFormatting sqref="H56">
    <cfRule type="cellIs" dxfId="1278" priority="51" stopIfTrue="1" operator="lessThanOrEqual">
      <formula>0</formula>
    </cfRule>
    <cfRule type="cellIs" dxfId="1277" priority="52" stopIfTrue="1" operator="greaterThan">
      <formula>$F$69</formula>
    </cfRule>
    <cfRule type="cellIs" dxfId="1276" priority="60" stopIfTrue="1" operator="greaterThan">
      <formula>$F$72</formula>
    </cfRule>
    <cfRule type="cellIs" dxfId="1275" priority="61" stopIfTrue="1" operator="lessThanOrEqual">
      <formula>0</formula>
    </cfRule>
    <cfRule type="cellIs" dxfId="1274" priority="62" stopIfTrue="1" operator="greaterThan">
      <formula>$F$70</formula>
    </cfRule>
  </conditionalFormatting>
  <conditionalFormatting sqref="H56:H57">
    <cfRule type="cellIs" dxfId="1273" priority="63" stopIfTrue="1" operator="lessThanOrEqual">
      <formula>0</formula>
    </cfRule>
  </conditionalFormatting>
  <conditionalFormatting sqref="H57 H59:H60">
    <cfRule type="cellIs" dxfId="1272" priority="89" stopIfTrue="1" operator="lessThanOrEqual">
      <formula>0</formula>
    </cfRule>
  </conditionalFormatting>
  <conditionalFormatting sqref="H57">
    <cfRule type="cellIs" dxfId="1271" priority="78" stopIfTrue="1" operator="greaterThan">
      <formula>$F$69</formula>
    </cfRule>
    <cfRule type="cellIs" dxfId="1270" priority="86" stopIfTrue="1" operator="greaterThan">
      <formula>$F$72</formula>
    </cfRule>
    <cfRule type="cellIs" dxfId="1269" priority="87" stopIfTrue="1" operator="lessThanOrEqual">
      <formula>0</formula>
    </cfRule>
    <cfRule type="cellIs" dxfId="1268" priority="88" stopIfTrue="1" operator="greaterThan">
      <formula>$F$70</formula>
    </cfRule>
  </conditionalFormatting>
  <conditionalFormatting sqref="H58">
    <cfRule type="cellIs" dxfId="1267" priority="18" stopIfTrue="1" operator="lessThanOrEqual">
      <formula>0</formula>
    </cfRule>
    <cfRule type="cellIs" dxfId="1266" priority="19" stopIfTrue="1" operator="greaterThan">
      <formula>$F$71</formula>
    </cfRule>
    <cfRule type="cellIs" dxfId="1265" priority="27" stopIfTrue="1" operator="greaterThan">
      <formula>$F$74</formula>
    </cfRule>
    <cfRule type="cellIs" dxfId="1264" priority="28" stopIfTrue="1" operator="lessThanOrEqual">
      <formula>0</formula>
    </cfRule>
    <cfRule type="cellIs" dxfId="1263" priority="29" stopIfTrue="1" operator="greaterThan">
      <formula>$F$72</formula>
    </cfRule>
    <cfRule type="cellIs" dxfId="1262" priority="30" stopIfTrue="1" operator="lessThanOrEqual">
      <formula>0</formula>
    </cfRule>
  </conditionalFormatting>
  <conditionalFormatting sqref="H59:H60">
    <cfRule type="cellIs" dxfId="1261" priority="91" stopIfTrue="1" operator="greaterThan">
      <formula>$F$69</formula>
    </cfRule>
    <cfRule type="cellIs" dxfId="1260" priority="99" stopIfTrue="1" operator="greaterThan">
      <formula>$F$72</formula>
    </cfRule>
    <cfRule type="cellIs" dxfId="1259" priority="100" stopIfTrue="1" operator="lessThanOrEqual">
      <formula>0</formula>
    </cfRule>
    <cfRule type="cellIs" dxfId="1258" priority="101" stopIfTrue="1" operator="greaterThan">
      <formula>$F$70</formula>
    </cfRule>
    <cfRule type="cellIs" dxfId="1257" priority="102" stopIfTrue="1" operator="lessThanOrEqual">
      <formula>0</formula>
    </cfRule>
  </conditionalFormatting>
  <conditionalFormatting sqref="H61:H62">
    <cfRule type="cellIs" dxfId="1256" priority="126" stopIfTrue="1" operator="lessThanOrEqual">
      <formula>0</formula>
    </cfRule>
    <cfRule type="cellIs" dxfId="1255" priority="127" stopIfTrue="1" operator="greaterThan">
      <formula>#REF!</formula>
    </cfRule>
    <cfRule type="cellIs" dxfId="1254" priority="135" stopIfTrue="1" operator="greaterThan">
      <formula>#REF!</formula>
    </cfRule>
    <cfRule type="cellIs" dxfId="1253" priority="136" stopIfTrue="1" operator="lessThanOrEqual">
      <formula>0</formula>
    </cfRule>
  </conditionalFormatting>
  <conditionalFormatting sqref="H63">
    <cfRule type="cellIs" dxfId="1252" priority="138" stopIfTrue="1" operator="lessThanOrEqual">
      <formula>0</formula>
    </cfRule>
    <cfRule type="cellIs" dxfId="1251" priority="139" stopIfTrue="1" operator="greaterThan">
      <formula>$F$37</formula>
    </cfRule>
    <cfRule type="cellIs" dxfId="1250" priority="147" stopIfTrue="1" operator="greaterThan">
      <formula>$F$40</formula>
    </cfRule>
    <cfRule type="cellIs" dxfId="1249" priority="148" stopIfTrue="1" operator="lessThanOrEqual">
      <formula>0</formula>
    </cfRule>
    <cfRule type="cellIs" dxfId="1248" priority="149" stopIfTrue="1" operator="greaterThan">
      <formula>$F$38</formula>
    </cfRule>
    <cfRule type="cellIs" dxfId="1247" priority="150" stopIfTrue="1" operator="lessThanOrEqual">
      <formula>0</formula>
    </cfRule>
  </conditionalFormatting>
  <conditionalFormatting sqref="H64:H65">
    <cfRule type="cellIs" dxfId="1246" priority="114" stopIfTrue="1" operator="lessThanOrEqual">
      <formula>0</formula>
    </cfRule>
    <cfRule type="cellIs" dxfId="1245" priority="115" stopIfTrue="1" operator="greaterThan">
      <formula>#REF!</formula>
    </cfRule>
    <cfRule type="cellIs" dxfId="1244" priority="123" stopIfTrue="1" operator="greaterThan">
      <formula>#REF!</formula>
    </cfRule>
    <cfRule type="cellIs" dxfId="1243" priority="124" stopIfTrue="1" operator="lessThanOrEqual">
      <formula>0</formula>
    </cfRule>
  </conditionalFormatting>
  <conditionalFormatting sqref="H80 H82:H88">
    <cfRule type="cellIs" dxfId="1242" priority="173" stopIfTrue="1" operator="greaterThan">
      <formula>4.5</formula>
    </cfRule>
    <cfRule type="cellIs" dxfId="1241" priority="174" stopIfTrue="1" operator="lessThanOrEqual">
      <formula>0</formula>
    </cfRule>
  </conditionalFormatting>
  <conditionalFormatting sqref="H56:I56">
    <cfRule type="cellIs" dxfId="1240" priority="53" stopIfTrue="1" operator="lessThanOrEqual">
      <formula>0</formula>
    </cfRule>
  </conditionalFormatting>
  <conditionalFormatting sqref="H56:I57 H59:I60">
    <cfRule type="cellIs" dxfId="1239" priority="50" stopIfTrue="1" operator="greaterThan">
      <formula>$F$71</formula>
    </cfRule>
  </conditionalFormatting>
  <conditionalFormatting sqref="H57:I57">
    <cfRule type="cellIs" dxfId="1238" priority="79" stopIfTrue="1" operator="lessThanOrEqual">
      <formula>0</formula>
    </cfRule>
  </conditionalFormatting>
  <conditionalFormatting sqref="H58:I58">
    <cfRule type="cellIs" dxfId="1237" priority="17" stopIfTrue="1" operator="greaterThan">
      <formula>$F$73</formula>
    </cfRule>
    <cfRule type="cellIs" dxfId="1236" priority="20" stopIfTrue="1" operator="lessThanOrEqual">
      <formula>0</formula>
    </cfRule>
  </conditionalFormatting>
  <conditionalFormatting sqref="H59:I60">
    <cfRule type="cellIs" dxfId="1235" priority="92" stopIfTrue="1" operator="lessThanOrEqual">
      <formula>0</formula>
    </cfRule>
  </conditionalFormatting>
  <conditionalFormatting sqref="H61:I62">
    <cfRule type="cellIs" dxfId="1234" priority="125" stopIfTrue="1" operator="greaterThan">
      <formula>#REF!</formula>
    </cfRule>
    <cfRule type="cellIs" dxfId="1233" priority="128" stopIfTrue="1" operator="lessThanOrEqual">
      <formula>0</formula>
    </cfRule>
    <cfRule type="cellIs" dxfId="1232" priority="133" stopIfTrue="1" operator="greaterThan">
      <formula>#REF!</formula>
    </cfRule>
    <cfRule type="cellIs" dxfId="1231" priority="134" stopIfTrue="1" operator="lessThanOrEqual">
      <formula>0</formula>
    </cfRule>
  </conditionalFormatting>
  <conditionalFormatting sqref="H63:I63">
    <cfRule type="cellIs" dxfId="1230" priority="137" stopIfTrue="1" operator="greaterThan">
      <formula>$F$39</formula>
    </cfRule>
    <cfRule type="cellIs" dxfId="1229" priority="140" stopIfTrue="1" operator="lessThanOrEqual">
      <formula>0</formula>
    </cfRule>
  </conditionalFormatting>
  <conditionalFormatting sqref="H64:I65">
    <cfRule type="cellIs" dxfId="1228" priority="113" stopIfTrue="1" operator="greaterThan">
      <formula>#REF!</formula>
    </cfRule>
    <cfRule type="cellIs" dxfId="1227" priority="116" stopIfTrue="1" operator="lessThanOrEqual">
      <formula>0</formula>
    </cfRule>
    <cfRule type="cellIs" dxfId="1226" priority="121" stopIfTrue="1" operator="greaterThan">
      <formula>#REF!</formula>
    </cfRule>
    <cfRule type="cellIs" dxfId="1225" priority="122" stopIfTrue="1" operator="lessThanOrEqual">
      <formula>0</formula>
    </cfRule>
  </conditionalFormatting>
  <conditionalFormatting sqref="H69:I76">
    <cfRule type="cellIs" dxfId="1224" priority="35" stopIfTrue="1" operator="greaterThan">
      <formula>$J69</formula>
    </cfRule>
    <cfRule type="cellIs" dxfId="1223" priority="36" stopIfTrue="1" operator="lessThanOrEqual">
      <formula>0</formula>
    </cfRule>
  </conditionalFormatting>
  <conditionalFormatting sqref="H77:I77">
    <cfRule type="cellIs" dxfId="1222" priority="43" operator="greaterThan">
      <formula>5.3</formula>
    </cfRule>
  </conditionalFormatting>
  <conditionalFormatting sqref="H78:I78">
    <cfRule type="cellIs" dxfId="1221" priority="41" stopIfTrue="1" operator="greaterThan">
      <formula>$J78</formula>
    </cfRule>
    <cfRule type="cellIs" dxfId="1220" priority="42" stopIfTrue="1" operator="lessThanOrEqual">
      <formula>0</formula>
    </cfRule>
  </conditionalFormatting>
  <conditionalFormatting sqref="I56">
    <cfRule type="cellIs" dxfId="1219" priority="54" stopIfTrue="1" operator="greaterThan">
      <formula>$F$69</formula>
    </cfRule>
    <cfRule type="cellIs" dxfId="1218" priority="55" stopIfTrue="1" operator="lessThanOrEqual">
      <formula>0</formula>
    </cfRule>
    <cfRule type="cellIs" dxfId="1217" priority="56" stopIfTrue="1" operator="greaterThan">
      <formula>$F$71</formula>
    </cfRule>
    <cfRule type="cellIs" dxfId="1216" priority="57" stopIfTrue="1" operator="lessThanOrEqual">
      <formula>0</formula>
    </cfRule>
    <cfRule type="cellIs" dxfId="1215" priority="58" stopIfTrue="1" operator="greaterThan">
      <formula>$F$69</formula>
    </cfRule>
    <cfRule type="cellIs" dxfId="1214" priority="59" stopIfTrue="1" operator="lessThanOrEqual">
      <formula>0</formula>
    </cfRule>
  </conditionalFormatting>
  <conditionalFormatting sqref="I57">
    <cfRule type="cellIs" dxfId="1213" priority="80" stopIfTrue="1" operator="greaterThan">
      <formula>$F$69</formula>
    </cfRule>
    <cfRule type="cellIs" dxfId="1212" priority="81" stopIfTrue="1" operator="lessThanOrEqual">
      <formula>0</formula>
    </cfRule>
    <cfRule type="cellIs" dxfId="1211" priority="82" stopIfTrue="1" operator="greaterThan">
      <formula>$F$71</formula>
    </cfRule>
    <cfRule type="cellIs" dxfId="1210" priority="83" stopIfTrue="1" operator="lessThanOrEqual">
      <formula>0</formula>
    </cfRule>
    <cfRule type="cellIs" dxfId="1209" priority="84" stopIfTrue="1" operator="greaterThan">
      <formula>$F$69</formula>
    </cfRule>
    <cfRule type="cellIs" dxfId="1208" priority="85" stopIfTrue="1" operator="lessThanOrEqual">
      <formula>0</formula>
    </cfRule>
  </conditionalFormatting>
  <conditionalFormatting sqref="I58">
    <cfRule type="cellIs" dxfId="1207" priority="21" stopIfTrue="1" operator="greaterThan">
      <formula>$F$71</formula>
    </cfRule>
    <cfRule type="cellIs" dxfId="1206" priority="22" stopIfTrue="1" operator="lessThanOrEqual">
      <formula>0</formula>
    </cfRule>
    <cfRule type="cellIs" dxfId="1205" priority="23" stopIfTrue="1" operator="greaterThan">
      <formula>$F$73</formula>
    </cfRule>
    <cfRule type="cellIs" dxfId="1204" priority="24" stopIfTrue="1" operator="lessThanOrEqual">
      <formula>0</formula>
    </cfRule>
    <cfRule type="cellIs" dxfId="1203" priority="25" stopIfTrue="1" operator="greaterThan">
      <formula>$F$71</formula>
    </cfRule>
    <cfRule type="cellIs" dxfId="1202" priority="26" stopIfTrue="1" operator="lessThanOrEqual">
      <formula>0</formula>
    </cfRule>
  </conditionalFormatting>
  <conditionalFormatting sqref="I59:I60">
    <cfRule type="cellIs" dxfId="1201" priority="93" stopIfTrue="1" operator="greaterThan">
      <formula>$F$69</formula>
    </cfRule>
    <cfRule type="cellIs" dxfId="1200" priority="94" stopIfTrue="1" operator="lessThanOrEqual">
      <formula>0</formula>
    </cfRule>
    <cfRule type="cellIs" dxfId="1199" priority="95" stopIfTrue="1" operator="greaterThan">
      <formula>$F$71</formula>
    </cfRule>
    <cfRule type="cellIs" dxfId="1198" priority="96" stopIfTrue="1" operator="lessThanOrEqual">
      <formula>0</formula>
    </cfRule>
    <cfRule type="cellIs" dxfId="1197" priority="97" stopIfTrue="1" operator="greaterThan">
      <formula>$F$69</formula>
    </cfRule>
    <cfRule type="cellIs" dxfId="1196" priority="98" stopIfTrue="1" operator="lessThanOrEqual">
      <formula>0</formula>
    </cfRule>
  </conditionalFormatting>
  <conditionalFormatting sqref="I61:I62">
    <cfRule type="cellIs" dxfId="1195" priority="129" stopIfTrue="1" operator="greaterThan">
      <formula>#REF!</formula>
    </cfRule>
    <cfRule type="cellIs" dxfId="1194" priority="130" stopIfTrue="1" operator="lessThanOrEqual">
      <formula>0</formula>
    </cfRule>
    <cfRule type="cellIs" dxfId="1193" priority="131" stopIfTrue="1" operator="greaterThan">
      <formula>#REF!</formula>
    </cfRule>
    <cfRule type="cellIs" dxfId="1192" priority="132" stopIfTrue="1" operator="lessThanOrEqual">
      <formula>0</formula>
    </cfRule>
  </conditionalFormatting>
  <conditionalFormatting sqref="I63">
    <cfRule type="cellIs" dxfId="1191" priority="141" stopIfTrue="1" operator="greaterThan">
      <formula>$F$37</formula>
    </cfRule>
    <cfRule type="cellIs" dxfId="1190" priority="142" stopIfTrue="1" operator="lessThanOrEqual">
      <formula>0</formula>
    </cfRule>
    <cfRule type="cellIs" dxfId="1189" priority="143" stopIfTrue="1" operator="greaterThan">
      <formula>$F$39</formula>
    </cfRule>
    <cfRule type="cellIs" dxfId="1188" priority="144" stopIfTrue="1" operator="lessThanOrEqual">
      <formula>0</formula>
    </cfRule>
    <cfRule type="cellIs" dxfId="1187" priority="145" stopIfTrue="1" operator="greaterThan">
      <formula>$F$37</formula>
    </cfRule>
    <cfRule type="cellIs" dxfId="1186" priority="146" stopIfTrue="1" operator="lessThanOrEqual">
      <formula>0</formula>
    </cfRule>
  </conditionalFormatting>
  <conditionalFormatting sqref="I64:I65">
    <cfRule type="cellIs" dxfId="1185" priority="117" stopIfTrue="1" operator="greaterThan">
      <formula>#REF!</formula>
    </cfRule>
    <cfRule type="cellIs" dxfId="1184" priority="118" stopIfTrue="1" operator="lessThanOrEqual">
      <formula>0</formula>
    </cfRule>
    <cfRule type="cellIs" dxfId="1183" priority="119" stopIfTrue="1" operator="greaterThan">
      <formula>#REF!</formula>
    </cfRule>
    <cfRule type="cellIs" dxfId="1182" priority="120" stopIfTrue="1" operator="lessThanOrEqual">
      <formula>0</formula>
    </cfRule>
  </conditionalFormatting>
  <conditionalFormatting sqref="I80:I88">
    <cfRule type="cellIs" dxfId="1181" priority="169" stopIfTrue="1" operator="greaterThan">
      <formula>4.5</formula>
    </cfRule>
    <cfRule type="cellIs" dxfId="1180" priority="170" stopIfTrue="1" operator="lessThanOrEqual">
      <formula>0</formula>
    </cfRule>
  </conditionalFormatting>
  <conditionalFormatting sqref="I10:J24">
    <cfRule type="cellIs" dxfId="1179" priority="9" operator="lessThan">
      <formula>97.9</formula>
    </cfRule>
  </conditionalFormatting>
  <conditionalFormatting sqref="J27:J29">
    <cfRule type="cellIs" dxfId="1178" priority="16" operator="lessThan">
      <formula>97.95</formula>
    </cfRule>
  </conditionalFormatting>
  <conditionalFormatting sqref="J28:J31">
    <cfRule type="cellIs" dxfId="1177" priority="151" operator="lessThan">
      <formula>97.4</formula>
    </cfRule>
  </conditionalFormatting>
  <conditionalFormatting sqref="J32:J33">
    <cfRule type="cellIs" dxfId="1176" priority="152" operator="lessThan">
      <formula>98</formula>
    </cfRule>
  </conditionalFormatting>
  <conditionalFormatting sqref="J34:J35">
    <cfRule type="cellIs" dxfId="1175" priority="153" stopIfTrue="1" operator="lessThan">
      <formula>96.8</formula>
    </cfRule>
    <cfRule type="cellIs" dxfId="1174" priority="154" stopIfTrue="1" operator="greaterThan">
      <formula>100</formula>
    </cfRule>
  </conditionalFormatting>
  <conditionalFormatting sqref="J34:J36">
    <cfRule type="cellIs" dxfId="1173" priority="155" operator="lessThan">
      <formula>98</formula>
    </cfRule>
  </conditionalFormatting>
  <conditionalFormatting sqref="J65">
    <cfRule type="cellIs" dxfId="1172" priority="105" stopIfTrue="1" operator="greaterThan">
      <formula>#REF!</formula>
    </cfRule>
    <cfRule type="cellIs" dxfId="1171" priority="106" stopIfTrue="1" operator="lessThanOrEqual">
      <formula>0</formula>
    </cfRule>
    <cfRule type="cellIs" dxfId="1170" priority="107" stopIfTrue="1" operator="greaterThan">
      <formula>#REF!</formula>
    </cfRule>
    <cfRule type="cellIs" dxfId="1169" priority="108" stopIfTrue="1" operator="lessThanOrEqual">
      <formula>0</formula>
    </cfRule>
    <cfRule type="cellIs" dxfId="1168" priority="109" stopIfTrue="1" operator="greaterThan">
      <formula>#REF!</formula>
    </cfRule>
    <cfRule type="cellIs" dxfId="1167" priority="110" stopIfTrue="1" operator="lessThanOrEqual">
      <formula>0</formula>
    </cfRule>
    <cfRule type="cellIs" dxfId="1166" priority="111" stopIfTrue="1" operator="greaterThan">
      <formula>#REF!</formula>
    </cfRule>
    <cfRule type="cellIs" dxfId="1165" priority="112" stopIfTrue="1" operator="lessThanOrEqual">
      <formula>0</formula>
    </cfRule>
  </conditionalFormatting>
  <conditionalFormatting sqref="J78">
    <cfRule type="cellIs" dxfId="1164" priority="44" stopIfTrue="1" operator="greaterThan">
      <formula>$F78</formula>
    </cfRule>
    <cfRule type="cellIs" dxfId="1163" priority="45" stopIfTrue="1" operator="lessThanOrEqual">
      <formula>0</formula>
    </cfRule>
  </conditionalFormatting>
  <conditionalFormatting sqref="K10:K24">
    <cfRule type="cellIs" dxfId="1162" priority="10" operator="greaterThan">
      <formula>6</formula>
    </cfRule>
    <cfRule type="cellIs" dxfId="1161" priority="11" operator="lessThan">
      <formula>4</formula>
    </cfRule>
    <cfRule type="cellIs" dxfId="1160" priority="12" operator="greaterThan">
      <formula>6.4</formula>
    </cfRule>
  </conditionalFormatting>
  <conditionalFormatting sqref="K56:K65">
    <cfRule type="cellIs" dxfId="1159" priority="90" stopIfTrue="1" operator="lessThan">
      <formula>100%</formula>
    </cfRule>
  </conditionalFormatting>
  <conditionalFormatting sqref="K69:K77">
    <cfRule type="cellIs" dxfId="1158" priority="34" stopIfTrue="1" operator="lessThan">
      <formula>100%</formula>
    </cfRule>
  </conditionalFormatting>
  <conditionalFormatting sqref="K80:K85">
    <cfRule type="cellIs" dxfId="1157" priority="175" stopIfTrue="1" operator="lessThan">
      <formula>100%</formula>
    </cfRule>
  </conditionalFormatting>
  <conditionalFormatting sqref="K87:K88">
    <cfRule type="cellIs" dxfId="1156" priority="182" stopIfTrue="1" operator="lessThan">
      <formula>100%</formula>
    </cfRule>
  </conditionalFormatting>
  <conditionalFormatting sqref="L10:L24">
    <cfRule type="cellIs" dxfId="1155" priority="6" operator="between">
      <formula>61</formula>
      <formula>65</formula>
    </cfRule>
    <cfRule type="cellIs" dxfId="1154" priority="7" operator="greaterThan">
      <formula>65</formula>
    </cfRule>
  </conditionalFormatting>
  <conditionalFormatting sqref="L27:M38">
    <cfRule type="cellIs" dxfId="1153" priority="15" operator="lessThan">
      <formula>97.95</formula>
    </cfRule>
  </conditionalFormatting>
  <conditionalFormatting sqref="L42:N42">
    <cfRule type="cellIs" dxfId="1152" priority="5" operator="notEqual">
      <formula>#REF!</formula>
    </cfRule>
  </conditionalFormatting>
  <conditionalFormatting sqref="L69:N78">
    <cfRule type="cellIs" dxfId="1151" priority="31" stopIfTrue="1" operator="lessThan">
      <formula>100%</formula>
    </cfRule>
  </conditionalFormatting>
  <conditionalFormatting sqref="L80:N88">
    <cfRule type="cellIs" dxfId="1150" priority="160" stopIfTrue="1" operator="lessThan">
      <formula>100%</formula>
    </cfRule>
  </conditionalFormatting>
  <conditionalFormatting sqref="M24">
    <cfRule type="expression" dxfId="1149" priority="2">
      <formula>IF(+(IF(M24&lt;U24,0,IF(M24&gt;V24,0,1)))=0,1)</formula>
    </cfRule>
  </conditionalFormatting>
  <conditionalFormatting sqref="N10:N24">
    <cfRule type="expression" dxfId="1148" priority="8">
      <formula>IF(+(IF(N10&lt;W10,0,IF(N10&gt;X10,0,1)))=0,1)</formula>
    </cfRule>
  </conditionalFormatting>
  <conditionalFormatting sqref="P6">
    <cfRule type="cellIs" dxfId="1147" priority="156" operator="greaterThanOrEqual">
      <formula>19</formula>
    </cfRule>
  </conditionalFormatting>
  <dataValidations count="1">
    <dataValidation type="list" allowBlank="1" showInputMessage="1" showErrorMessage="1" sqref="R8" xr:uid="{37015F1B-B18A-4270-889D-F1074D40C63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D82D-E74C-4C4C-8A01-691D84E551E4}">
  <sheetPr>
    <pageSetUpPr fitToPage="1"/>
  </sheetPr>
  <dimension ref="A1:BE79"/>
  <sheetViews>
    <sheetView topLeftCell="A8" zoomScale="85" zoomScaleNormal="85" workbookViewId="0">
      <selection activeCell="B11" sqref="B11:O11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46282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[3]Brewhouse!$A762</f>
        <v>CA713</v>
      </c>
      <c r="D10" s="279">
        <f>[3]Brewhouse!$AF762</f>
        <v>49.3</v>
      </c>
      <c r="E10" s="279">
        <f>[3]Brewhouse!$AI762</f>
        <v>49.9</v>
      </c>
      <c r="F10" s="278">
        <f>[3]Brewhouse!$V762</f>
        <v>55</v>
      </c>
      <c r="G10" s="279">
        <f>[3]Brewhouse!AG762</f>
        <v>11.9</v>
      </c>
      <c r="H10" s="493">
        <v>12.2</v>
      </c>
      <c r="I10" s="368">
        <f>[3]Brewhouse!$AU762</f>
        <v>98.85722005187705</v>
      </c>
      <c r="J10" s="368">
        <f>[3]Brewhouse!$AV762</f>
        <v>99.623385102289589</v>
      </c>
      <c r="K10" s="281">
        <f>[3]Brewhouse!$Q762</f>
        <v>11.518518518518517</v>
      </c>
      <c r="L10" s="276">
        <f>[3]Brewhouse!$P762</f>
        <v>61</v>
      </c>
      <c r="M10" s="374">
        <f>[3]Brewhouse!$U762-[3]Brewhouse!$T762</f>
        <v>0.11041666666666666</v>
      </c>
      <c r="N10" s="370">
        <f>[3]Brewhouse!$Z762</f>
        <v>0.25416666666666665</v>
      </c>
      <c r="O10" s="420" t="str">
        <f>[3]Brewhouse!$AX762</f>
        <v>K. Benjamin</v>
      </c>
      <c r="P10" s="418"/>
      <c r="R10" s="277" t="str">
        <f t="shared" ref="R10:R19" si="0">B10</f>
        <v>CARIB</v>
      </c>
      <c r="S10" s="472">
        <f t="shared" ref="S10:S19" si="1">VLOOKUP($B10,$R$3:$X$9,2,FALSE)</f>
        <v>11.6</v>
      </c>
      <c r="T10" s="472">
        <f t="shared" ref="T10:T19" si="2">VLOOKUP($B10,$R$3:$X$9,3,FALSE)</f>
        <v>12</v>
      </c>
      <c r="U10" s="297">
        <f t="shared" ref="U10:U19" si="3">VLOOKUP($B10,$R$3:$X$9,4,FALSE)</f>
        <v>0</v>
      </c>
      <c r="V10" s="297">
        <f t="shared" ref="V10:V19" si="4">VLOOKUP($B10,$R$3:$X$9,5,FALSE)</f>
        <v>0.118055555555556</v>
      </c>
      <c r="W10" s="297">
        <f t="shared" ref="W10:W19" si="5">VLOOKUP($B10,$R$3:$X$9,6,FALSE)</f>
        <v>0.22569444444444445</v>
      </c>
      <c r="X10" s="297">
        <f t="shared" ref="X10:X19" si="6">VLOOKUP($B10,$R$3:$X$9,7,FALSE)</f>
        <v>0.2638888888888889</v>
      </c>
      <c r="Y10" s="297">
        <f t="shared" ref="Y10:Y19" si="7">VLOOKUP($B10,$R$3:$Z$9,8,FALSE)</f>
        <v>0</v>
      </c>
      <c r="Z10" s="472">
        <f t="shared" ref="Z10:Z19" si="8">VLOOKUP($B10,$R$3:$Z$9,9,FALSE)</f>
        <v>60</v>
      </c>
    </row>
    <row r="11" spans="2:29" ht="15" customHeight="1">
      <c r="B11" s="29" t="s">
        <v>6</v>
      </c>
      <c r="C11" s="366" t="str">
        <f>[3]Brewhouse!$A763</f>
        <v>CA714</v>
      </c>
      <c r="D11" s="279">
        <f>[3]Brewhouse!$AF763</f>
        <v>50</v>
      </c>
      <c r="E11" s="279">
        <f>[3]Brewhouse!$AI763</f>
        <v>50.7</v>
      </c>
      <c r="F11" s="278">
        <f>[3]Brewhouse!$V763</f>
        <v>56</v>
      </c>
      <c r="G11" s="279">
        <f>[3]Brewhouse!AG763</f>
        <v>11.8</v>
      </c>
      <c r="H11" s="396">
        <v>11.9</v>
      </c>
      <c r="I11" s="368">
        <f>[3]Brewhouse!$AU763</f>
        <v>97.25721435799521</v>
      </c>
      <c r="J11" s="368">
        <f>[3]Brewhouse!$AV763</f>
        <v>98.01190416376528</v>
      </c>
      <c r="K11" s="281">
        <f>[3]Brewhouse!$Q763</f>
        <v>8.5931558935361281</v>
      </c>
      <c r="L11" s="276">
        <f>[3]Brewhouse!$P763</f>
        <v>62</v>
      </c>
      <c r="M11" s="374">
        <f>[3]Brewhouse!$U763-[3]Brewhouse!$T763</f>
        <v>0.11041666666666666</v>
      </c>
      <c r="N11" s="370">
        <f>[3]Brewhouse!$Z763</f>
        <v>0.24861111111111112</v>
      </c>
      <c r="O11" s="420" t="str">
        <f>[3]Brewhouse!$AX763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420"/>
      <c r="P12" s="418"/>
      <c r="R12" s="277"/>
      <c r="S12" s="472"/>
      <c r="T12" s="472"/>
      <c r="U12" s="297"/>
      <c r="V12" s="297"/>
      <c r="W12" s="297"/>
      <c r="X12" s="297"/>
      <c r="Y12" s="297"/>
      <c r="Z12" s="472"/>
    </row>
    <row r="13" spans="2:29" ht="15" customHeight="1">
      <c r="B13" s="34" t="s">
        <v>12</v>
      </c>
      <c r="C13" s="366" t="str">
        <f>[5]Brewhouse!$A99</f>
        <v>GU077</v>
      </c>
      <c r="D13" s="279">
        <f>[5]Brewhouse!$AF99</f>
        <v>52.4</v>
      </c>
      <c r="E13" s="279">
        <f>[5]Brewhouse!$AI99</f>
        <v>50.6</v>
      </c>
      <c r="F13" s="278">
        <f>[5]Brewhouse!$V99</f>
        <v>59</v>
      </c>
      <c r="G13" s="279">
        <f>[5]Brewhouse!$AG99</f>
        <v>17.3</v>
      </c>
      <c r="H13" s="396">
        <v>17.3</v>
      </c>
      <c r="I13" s="489">
        <f>[5]Brewhouse!$AU99</f>
        <v>95.02973839984999</v>
      </c>
      <c r="J13" s="489">
        <f>[5]Brewhouse!$AV99</f>
        <v>95.666836995401127</v>
      </c>
      <c r="K13" s="490">
        <f>[5]Brewhouse!$R99</f>
        <v>8.5204991087344037</v>
      </c>
      <c r="L13" s="276">
        <f>[5]Brewhouse!$O99</f>
        <v>58</v>
      </c>
      <c r="M13" s="374">
        <f>[5]Brewhouse!$U99-[5]Brewhouse!$T99</f>
        <v>0.1243055555555555</v>
      </c>
      <c r="N13" s="370">
        <f>[5]Brewhouse!$Z99</f>
        <v>0.28611111111111109</v>
      </c>
      <c r="O13" s="420" t="str">
        <f>[5]Brewhouse!$AW99</f>
        <v>K. Benjamin</v>
      </c>
      <c r="P13" s="418"/>
      <c r="R13" s="277" t="str">
        <f t="shared" si="0"/>
        <v>GUINNESS</v>
      </c>
      <c r="S13" s="472">
        <f t="shared" si="1"/>
        <v>17</v>
      </c>
      <c r="T13" s="472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472">
        <f t="shared" si="8"/>
        <v>60</v>
      </c>
    </row>
    <row r="14" spans="2:29" ht="15" customHeight="1">
      <c r="B14" s="34" t="s">
        <v>12</v>
      </c>
      <c r="C14" s="366" t="str">
        <f>[5]Brewhouse!$A100</f>
        <v>GU078</v>
      </c>
      <c r="D14" s="279">
        <f>[5]Brewhouse!$AF100</f>
        <v>51.8</v>
      </c>
      <c r="E14" s="279">
        <f>[5]Brewhouse!$AI100</f>
        <v>50.5</v>
      </c>
      <c r="F14" s="278">
        <f>[5]Brewhouse!$V100</f>
        <v>69</v>
      </c>
      <c r="G14" s="279">
        <f>[5]Brewhouse!$AG100</f>
        <v>17.5</v>
      </c>
      <c r="H14" s="396">
        <v>17.5</v>
      </c>
      <c r="I14" s="489">
        <f>[5]Brewhouse!$AU100</f>
        <v>96.659796680203456</v>
      </c>
      <c r="J14" s="489">
        <f>[5]Brewhouse!$AV100</f>
        <v>97.306811456215726</v>
      </c>
      <c r="K14" s="490">
        <f>[5]Brewhouse!$R100</f>
        <v>9.5900178253119464</v>
      </c>
      <c r="L14" s="276">
        <f>[5]Brewhouse!$O100</f>
        <v>59</v>
      </c>
      <c r="M14" s="374">
        <f>[5]Brewhouse!$U100-[5]Brewhouse!$T100</f>
        <v>0.12222222222222223</v>
      </c>
      <c r="N14" s="370">
        <f>[5]Brewhouse!$Z100</f>
        <v>0.28124999999999994</v>
      </c>
      <c r="O14" s="420" t="str">
        <f>[5]Brewhouse!$AW100</f>
        <v>R. Regis</v>
      </c>
      <c r="P14" s="418"/>
      <c r="R14" s="277" t="str">
        <f t="shared" si="0"/>
        <v>GUINNESS</v>
      </c>
      <c r="S14" s="472">
        <f t="shared" si="1"/>
        <v>17</v>
      </c>
      <c r="T14" s="472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472">
        <f t="shared" si="8"/>
        <v>60</v>
      </c>
    </row>
    <row r="15" spans="2:29" ht="15" customHeight="1">
      <c r="B15" s="34" t="s">
        <v>12</v>
      </c>
      <c r="C15" s="366" t="str">
        <f>[5]Brewhouse!$A101</f>
        <v>GU079</v>
      </c>
      <c r="D15" s="279">
        <f>[5]Brewhouse!$AF101</f>
        <v>53</v>
      </c>
      <c r="E15" s="279">
        <f>[5]Brewhouse!$AI101</f>
        <v>51.8</v>
      </c>
      <c r="F15" s="278">
        <f>[5]Brewhouse!$V101</f>
        <v>67</v>
      </c>
      <c r="G15" s="279">
        <f>[5]Brewhouse!$AG101</f>
        <v>17</v>
      </c>
      <c r="H15" s="396">
        <v>17.2</v>
      </c>
      <c r="I15" s="489">
        <f>[5]Brewhouse!$AU101</f>
        <v>95.899301321002682</v>
      </c>
      <c r="J15" s="489">
        <f>[5]Brewhouse!$AV101</f>
        <v>96.541561842172811</v>
      </c>
      <c r="K15" s="490">
        <f>[5]Brewhouse!$R101</f>
        <v>8.892857142857137</v>
      </c>
      <c r="L15" s="276">
        <f>[5]Brewhouse!$O101</f>
        <v>61</v>
      </c>
      <c r="M15" s="374">
        <f>[5]Brewhouse!$U101-[5]Brewhouse!$T101</f>
        <v>0.12083333333333335</v>
      </c>
      <c r="N15" s="370">
        <f>[5]Brewhouse!$Z101</f>
        <v>0.28402777777777777</v>
      </c>
      <c r="O15" s="420" t="str">
        <f>[5]Brewhouse!$AW101</f>
        <v>R. Regis</v>
      </c>
      <c r="P15" s="418"/>
      <c r="R15" s="277" t="str">
        <f t="shared" si="0"/>
        <v>GUINNESS</v>
      </c>
      <c r="S15" s="472">
        <f t="shared" si="1"/>
        <v>17</v>
      </c>
      <c r="T15" s="472">
        <f t="shared" si="2"/>
        <v>17.5</v>
      </c>
      <c r="U15" s="297">
        <f t="shared" si="3"/>
        <v>0</v>
      </c>
      <c r="V15" s="297">
        <f t="shared" si="4"/>
        <v>0.1076388888888889</v>
      </c>
      <c r="W15" s="297">
        <f t="shared" si="5"/>
        <v>0.24652777777777779</v>
      </c>
      <c r="X15" s="297">
        <f t="shared" si="6"/>
        <v>0.28472222222222221</v>
      </c>
      <c r="Y15" s="297">
        <f t="shared" si="7"/>
        <v>0</v>
      </c>
      <c r="Z15" s="472">
        <f t="shared" si="8"/>
        <v>60</v>
      </c>
    </row>
    <row r="16" spans="2:29" ht="15" customHeight="1">
      <c r="B16" s="34" t="s">
        <v>12</v>
      </c>
      <c r="C16" s="366" t="str">
        <f>[5]Brewhouse!$A102</f>
        <v>GU080</v>
      </c>
      <c r="D16" s="279">
        <f>[5]Brewhouse!$AF102</f>
        <v>53</v>
      </c>
      <c r="E16" s="279">
        <f>[5]Brewhouse!$AI102</f>
        <v>51.6</v>
      </c>
      <c r="F16" s="278">
        <f>[5]Brewhouse!$V102</f>
        <v>65</v>
      </c>
      <c r="G16" s="279">
        <f>[5]Brewhouse!$AG102</f>
        <v>17.2</v>
      </c>
      <c r="H16" s="396">
        <v>17.2</v>
      </c>
      <c r="I16" s="489">
        <f>[5]Brewhouse!$AU102</f>
        <v>96.739594506578101</v>
      </c>
      <c r="J16" s="489">
        <f>[5]Brewhouse!$AV102</f>
        <v>97.387482671869392</v>
      </c>
      <c r="K16" s="490">
        <f>[5]Brewhouse!$R102</f>
        <v>7.4509803921568629</v>
      </c>
      <c r="L16" s="276">
        <f>[5]Brewhouse!$O102</f>
        <v>60</v>
      </c>
      <c r="M16" s="374">
        <f>[5]Brewhouse!$U102-[5]Brewhouse!$T102</f>
        <v>0.11736111111111103</v>
      </c>
      <c r="N16" s="370">
        <f>[5]Brewhouse!$Z102</f>
        <v>0.27499999999999991</v>
      </c>
      <c r="O16" s="420" t="str">
        <f>[5]Brewhouse!$AW102</f>
        <v>D. Gomaz</v>
      </c>
      <c r="P16" s="418"/>
      <c r="R16" s="277" t="str">
        <f t="shared" si="0"/>
        <v>GUINNESS</v>
      </c>
      <c r="S16" s="472">
        <f t="shared" si="1"/>
        <v>17</v>
      </c>
      <c r="T16" s="472">
        <f t="shared" si="2"/>
        <v>17.5</v>
      </c>
      <c r="U16" s="297">
        <f t="shared" si="3"/>
        <v>0</v>
      </c>
      <c r="V16" s="297">
        <f t="shared" si="4"/>
        <v>0.1076388888888889</v>
      </c>
      <c r="W16" s="297">
        <f t="shared" si="5"/>
        <v>0.24652777777777779</v>
      </c>
      <c r="X16" s="297">
        <f t="shared" si="6"/>
        <v>0.28472222222222221</v>
      </c>
      <c r="Y16" s="297">
        <f t="shared" si="7"/>
        <v>0</v>
      </c>
      <c r="Z16" s="472">
        <f t="shared" si="8"/>
        <v>60</v>
      </c>
    </row>
    <row r="17" spans="1:26" ht="15" customHeight="1">
      <c r="B17" s="34" t="s">
        <v>12</v>
      </c>
      <c r="C17" s="366" t="str">
        <f>[5]Brewhouse!$A103</f>
        <v>GU081</v>
      </c>
      <c r="D17" s="279">
        <f>[5]Brewhouse!$AF103</f>
        <v>51.9</v>
      </c>
      <c r="E17" s="279">
        <f>[5]Brewhouse!$AI103</f>
        <v>49.4</v>
      </c>
      <c r="F17" s="278">
        <f>[5]Brewhouse!$V103</f>
        <v>59</v>
      </c>
      <c r="G17" s="279">
        <f>[5]Brewhouse!$AG103</f>
        <v>17.3</v>
      </c>
      <c r="H17" s="396">
        <v>17.399999999999999</v>
      </c>
      <c r="I17" s="489">
        <f>[5]Brewhouse!$AU103</f>
        <v>93.592658671733744</v>
      </c>
      <c r="J17" s="489">
        <f>[5]Brewhouse!$AV103</f>
        <v>94.218923168122899</v>
      </c>
      <c r="K17" s="490">
        <f>[5]Brewhouse!$R103</f>
        <v>9.411764705882355</v>
      </c>
      <c r="L17" s="276">
        <f>[5]Brewhouse!$O103</f>
        <v>59</v>
      </c>
      <c r="M17" s="374">
        <f>[5]Brewhouse!$U103-[5]Brewhouse!$T103</f>
        <v>0.13402777777777775</v>
      </c>
      <c r="N17" s="370">
        <f>[5]Brewhouse!$Z103</f>
        <v>0.29374999999999996</v>
      </c>
      <c r="O17" s="420" t="str">
        <f>[5]Brewhouse!$AW103</f>
        <v>D. Gomaz</v>
      </c>
      <c r="P17" s="418"/>
      <c r="R17" s="277" t="str">
        <f t="shared" si="0"/>
        <v>GUINNESS</v>
      </c>
      <c r="S17" s="472">
        <f t="shared" si="1"/>
        <v>17</v>
      </c>
      <c r="T17" s="472">
        <f t="shared" si="2"/>
        <v>17.5</v>
      </c>
      <c r="U17" s="297">
        <f t="shared" si="3"/>
        <v>0</v>
      </c>
      <c r="V17" s="297">
        <f t="shared" si="4"/>
        <v>0.1076388888888889</v>
      </c>
      <c r="W17" s="297">
        <f t="shared" si="5"/>
        <v>0.24652777777777779</v>
      </c>
      <c r="X17" s="297">
        <f t="shared" si="6"/>
        <v>0.28472222222222221</v>
      </c>
      <c r="Y17" s="297">
        <f t="shared" si="7"/>
        <v>0</v>
      </c>
      <c r="Z17" s="472">
        <f t="shared" si="8"/>
        <v>60</v>
      </c>
    </row>
    <row r="18" spans="1:26" ht="15" customHeight="1">
      <c r="B18" s="34" t="s">
        <v>12</v>
      </c>
      <c r="C18" s="366" t="str">
        <f>[5]Brewhouse!$A104</f>
        <v>GU082</v>
      </c>
      <c r="D18" s="279">
        <f>[5]Brewhouse!$AF104</f>
        <v>54.6</v>
      </c>
      <c r="E18" s="279">
        <f>[5]Brewhouse!$AI104</f>
        <v>52.9</v>
      </c>
      <c r="F18" s="278">
        <f>[5]Brewhouse!$V104</f>
        <v>60</v>
      </c>
      <c r="G18" s="279">
        <f>[5]Brewhouse!$AG104</f>
        <v>17.2</v>
      </c>
      <c r="H18" s="396">
        <v>17.5</v>
      </c>
      <c r="I18" s="489">
        <f>[5]Brewhouse!$AU104</f>
        <v>99.414523178212718</v>
      </c>
      <c r="J18" s="489">
        <f>[5]Brewhouse!$AV104</f>
        <v>100.07997735518899</v>
      </c>
      <c r="K18" s="490">
        <f>[5]Brewhouse!$R104</f>
        <v>4.4285714285714226</v>
      </c>
      <c r="L18" s="276">
        <f>[5]Brewhouse!$O104</f>
        <v>60</v>
      </c>
      <c r="M18" s="374">
        <f>[5]Brewhouse!$U104-[5]Brewhouse!$T104</f>
        <v>0.13333333333333353</v>
      </c>
      <c r="N18" s="370">
        <f>[5]Brewhouse!$Z104</f>
        <v>0.28958333333333341</v>
      </c>
      <c r="O18" s="420" t="str">
        <f>[5]Brewhouse!$AW104</f>
        <v>K. Benjamin</v>
      </c>
      <c r="P18" s="418"/>
      <c r="R18" s="277" t="str">
        <f t="shared" si="0"/>
        <v>GUINNESS</v>
      </c>
      <c r="S18" s="472">
        <f t="shared" si="1"/>
        <v>17</v>
      </c>
      <c r="T18" s="472">
        <f t="shared" si="2"/>
        <v>17.5</v>
      </c>
      <c r="U18" s="297">
        <f t="shared" si="3"/>
        <v>0</v>
      </c>
      <c r="V18" s="297">
        <f t="shared" si="4"/>
        <v>0.1076388888888889</v>
      </c>
      <c r="W18" s="297">
        <f t="shared" si="5"/>
        <v>0.24652777777777779</v>
      </c>
      <c r="X18" s="297">
        <f t="shared" si="6"/>
        <v>0.28472222222222221</v>
      </c>
      <c r="Y18" s="297">
        <f t="shared" si="7"/>
        <v>0</v>
      </c>
      <c r="Z18" s="472">
        <f t="shared" si="8"/>
        <v>60</v>
      </c>
    </row>
    <row r="19" spans="1:26" ht="15" customHeight="1">
      <c r="B19" s="34" t="s">
        <v>12</v>
      </c>
      <c r="C19" s="366" t="str">
        <f>[5]Brewhouse!$A105</f>
        <v>GU083</v>
      </c>
      <c r="D19" s="279">
        <f>[5]Brewhouse!$AF105</f>
        <v>54.4</v>
      </c>
      <c r="E19" s="279">
        <f>[5]Brewhouse!$AI105</f>
        <v>52.1</v>
      </c>
      <c r="F19" s="278">
        <f>[5]Brewhouse!$V105</f>
        <v>64</v>
      </c>
      <c r="G19" s="279">
        <f>[5]Brewhouse!$AG105</f>
        <v>17.2</v>
      </c>
      <c r="H19" s="396">
        <v>17.399999999999999</v>
      </c>
      <c r="I19" s="489">
        <f>[5]Brewhouse!$AU105</f>
        <v>97.989371573302947</v>
      </c>
      <c r="J19" s="489">
        <f>[5]Brewhouse!$AV105</f>
        <v>98.645171259335569</v>
      </c>
      <c r="K19" s="490">
        <f>[5]Brewhouse!$R105</f>
        <v>4.7857142857142856</v>
      </c>
      <c r="L19" s="276">
        <f>[5]Brewhouse!$O105</f>
        <v>60</v>
      </c>
      <c r="M19" s="374">
        <f>[5]Brewhouse!$U105-[5]Brewhouse!$T105</f>
        <v>0.13749999999999996</v>
      </c>
      <c r="N19" s="370">
        <f>[5]Brewhouse!$Z105</f>
        <v>0.28541666666666665</v>
      </c>
      <c r="O19" s="420" t="str">
        <f>[5]Brewhouse!$AW105</f>
        <v>K. Benjamin</v>
      </c>
      <c r="P19" s="418"/>
      <c r="R19" s="277" t="str">
        <f t="shared" si="0"/>
        <v>GUINNESS</v>
      </c>
      <c r="S19" s="472">
        <f t="shared" si="1"/>
        <v>17</v>
      </c>
      <c r="T19" s="472">
        <f t="shared" si="2"/>
        <v>17.5</v>
      </c>
      <c r="U19" s="297">
        <f t="shared" si="3"/>
        <v>0</v>
      </c>
      <c r="V19" s="297">
        <f t="shared" si="4"/>
        <v>0.1076388888888889</v>
      </c>
      <c r="W19" s="297">
        <f t="shared" si="5"/>
        <v>0.24652777777777779</v>
      </c>
      <c r="X19" s="297">
        <f t="shared" si="6"/>
        <v>0.28472222222222221</v>
      </c>
      <c r="Y19" s="297">
        <f t="shared" si="7"/>
        <v>0</v>
      </c>
      <c r="Z19" s="472">
        <f t="shared" si="8"/>
        <v>60</v>
      </c>
    </row>
    <row r="20" spans="1:26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ref="R20:R39" si="9">B20</f>
        <v>0</v>
      </c>
      <c r="S20" s="472" t="e">
        <f t="shared" ref="S20:S39" si="10">VLOOKUP($B20,$R$3:$X$9,2,FALSE)</f>
        <v>#N/A</v>
      </c>
      <c r="T20" s="472" t="e">
        <f t="shared" ref="T20:T39" si="11">VLOOKUP($B20,$R$3:$X$9,3,FALSE)</f>
        <v>#N/A</v>
      </c>
      <c r="U20" s="297" t="e">
        <f t="shared" ref="U20:U39" si="12">VLOOKUP($B20,$R$3:$X$9,4,FALSE)</f>
        <v>#N/A</v>
      </c>
      <c r="V20" s="297" t="e">
        <f t="shared" ref="V20:V39" si="13">VLOOKUP($B20,$R$3:$X$9,5,FALSE)</f>
        <v>#N/A</v>
      </c>
      <c r="W20" s="297" t="e">
        <f t="shared" ref="W20:W39" si="14">VLOOKUP($B20,$R$3:$X$9,6,FALSE)</f>
        <v>#N/A</v>
      </c>
      <c r="X20" s="297" t="e">
        <f t="shared" ref="X20:X39" si="15">VLOOKUP($B20,$R$3:$X$9,7,FALSE)</f>
        <v>#N/A</v>
      </c>
      <c r="Y20" s="297" t="e">
        <f t="shared" ref="Y20:Y39" si="16">VLOOKUP($B20,$R$3:$Z$9,8,FALSE)</f>
        <v>#N/A</v>
      </c>
      <c r="Z20" s="472" t="e">
        <f t="shared" ref="Z20:Z39" si="17">VLOOKUP($B20,$R$3:$Z$9,9,FALSE)</f>
        <v>#N/A</v>
      </c>
    </row>
    <row r="21" spans="1:26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6" ht="1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6" ht="1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420"/>
      <c r="P24" s="418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5" customHeight="1">
      <c r="B25" s="36"/>
      <c r="C25" s="366"/>
      <c r="D25" s="279"/>
      <c r="E25" s="279"/>
      <c r="F25" s="278"/>
      <c r="G25" s="279"/>
      <c r="H25" s="396"/>
      <c r="I25" s="489"/>
      <c r="J25" s="489"/>
      <c r="K25" s="490"/>
      <c r="L25" s="276"/>
      <c r="M25" s="374"/>
      <c r="N25" s="370"/>
      <c r="O25" s="420"/>
      <c r="P25" s="418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7.25" customHeight="1" thickBot="1">
      <c r="B26" s="358"/>
      <c r="C26" s="358"/>
      <c r="D26" s="358"/>
      <c r="E26" s="358"/>
      <c r="F26" s="294"/>
      <c r="G26" s="294"/>
      <c r="H26" s="348"/>
      <c r="I26" s="534"/>
      <c r="J26" s="534"/>
      <c r="K26" s="534"/>
      <c r="L26" s="534"/>
      <c r="M26" s="534"/>
      <c r="N26" s="534"/>
      <c r="O26" s="1"/>
      <c r="P26" s="12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7.25" customHeight="1" thickBot="1">
      <c r="B27" s="483" t="s">
        <v>162</v>
      </c>
      <c r="C27" s="388"/>
      <c r="D27" s="535" t="s">
        <v>35</v>
      </c>
      <c r="E27" s="536"/>
      <c r="F27" s="294"/>
      <c r="G27" s="294"/>
      <c r="H27" s="348"/>
      <c r="I27" s="24" t="s">
        <v>17</v>
      </c>
      <c r="J27" s="25"/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9"/>
        <v xml:space="preserve">BRAND 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7.25" customHeight="1">
      <c r="A28" s="28"/>
      <c r="B28" s="537"/>
      <c r="C28" s="484"/>
      <c r="D28" s="522"/>
      <c r="E28" s="523"/>
      <c r="F28" s="294"/>
      <c r="G28" s="294"/>
      <c r="H28" s="348"/>
      <c r="I28" s="29" t="s">
        <v>6</v>
      </c>
      <c r="J28" s="323">
        <f>AVERAGE(I10:I11)</f>
        <v>98.057217204936137</v>
      </c>
      <c r="K28" s="284">
        <f>COUNTA([3]Brewhouse!$A$696:$A$763)</f>
        <v>68</v>
      </c>
      <c r="L28" s="305">
        <f>AVERAGE([3]Brewhouse!$AU$696:$AU$763)</f>
        <v>98.656376672198689</v>
      </c>
      <c r="M28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$763)</f>
        <v>98.320769975556459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5" customHeight="1">
      <c r="A29" s="28"/>
      <c r="B29" s="538"/>
      <c r="C29" s="362"/>
      <c r="D29" s="524"/>
      <c r="E29" s="525"/>
      <c r="F29" s="294"/>
      <c r="G29" s="294"/>
      <c r="H29" s="348"/>
      <c r="I29" s="33" t="s">
        <v>9</v>
      </c>
      <c r="J29" s="323"/>
      <c r="K29" s="284">
        <f>COUNTA([4]Brewhouse!$A$363:$A$372)</f>
        <v>10</v>
      </c>
      <c r="L29" s="302">
        <f>AVERAGE([4]Brewhouse!$AS$363:$AS$372)</f>
        <v>100.50071873632695</v>
      </c>
      <c r="M29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AVERAGE([4]Brewhouse!$AS$52:$AS$81,[4]Brewhouse!$AS$83:$AS$124,[4]Brewhouse!$AS$134:$AS$177,[4]Brewhouse!$AS$22:$AS$179,[4]Brewhouse!$AS$214:$AS$249,[4]Brewhouse!$AS$252:$AS$293,[4]Brewhouse!$AS$295:$AS$325,[4]Brewhouse!$AS$327:$AS$361,[4]Brewhouse!$AS$363:$AS$372)</f>
        <v>98.29248495310074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65" customHeight="1">
      <c r="A30" s="28"/>
      <c r="B30" s="538"/>
      <c r="C30" s="362"/>
      <c r="D30" s="529"/>
      <c r="E30" s="530"/>
      <c r="F30" s="294"/>
      <c r="G30" s="294"/>
      <c r="H30" s="348"/>
      <c r="I30" s="34" t="s">
        <v>12</v>
      </c>
      <c r="J30" s="323">
        <f>AVERAGE(I13:I19)</f>
        <v>96.474997761554803</v>
      </c>
      <c r="K30" s="284">
        <f>COUNTA([5]Brewhouse!$A$99:$A$105)</f>
        <v>7</v>
      </c>
      <c r="L30" s="302">
        <f>AVERAGE([5]Brewhouse!$AU$99:$AU$105)</f>
        <v>96.474997761554803</v>
      </c>
      <c r="M30" s="302">
        <f>AVERAGE([5]Brewhouse!$AU$16:$AU$23,[5]Brewhouse!$AU$25:$AU$32,[5]Brewhouse!$AU$34:$AU$41,[5]Brewhouse!$AU$43:$AU$60,[5]Brewhouse!$AU$62:$AU$69,[5]Brewhouse!$AU$71:$AU$88,[5]Brewhouse!$AU$90:$AU$97,[5]Brewhouse!$AU$99:$AU$105)</f>
        <v>96.499879683428333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65" customHeight="1">
      <c r="A31" s="28"/>
      <c r="B31" s="538"/>
      <c r="C31" s="362"/>
      <c r="D31" s="531"/>
      <c r="E31" s="525"/>
      <c r="F31" s="294"/>
      <c r="G31" s="294"/>
      <c r="H31" s="348"/>
      <c r="I31" s="22" t="s">
        <v>33</v>
      </c>
      <c r="J31" s="280"/>
      <c r="K31" s="284"/>
      <c r="L31" s="302"/>
      <c r="M31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65" customHeight="1">
      <c r="A32" s="28"/>
      <c r="B32" s="538"/>
      <c r="C32" s="362"/>
      <c r="D32" s="529"/>
      <c r="E32" s="530"/>
      <c r="F32" s="294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65" customHeight="1">
      <c r="A33" s="28"/>
      <c r="B33" s="538"/>
      <c r="C33" s="362"/>
      <c r="D33" s="531"/>
      <c r="E33" s="525"/>
      <c r="F33" s="417"/>
      <c r="G33" s="294"/>
      <c r="H33" s="348"/>
      <c r="I33" s="36" t="s">
        <v>15</v>
      </c>
      <c r="J33" s="323"/>
      <c r="K33" s="284">
        <f>COUNTA([7]Brewhouse!$A$23:$A$30)</f>
        <v>8</v>
      </c>
      <c r="L33" s="302">
        <f>AVERAGE([7]Brewhouse!$AT$23:$AT$30)</f>
        <v>96.065914782338609</v>
      </c>
      <c r="M33" s="302">
        <f>AVERAGE([7]Brewhouse!$AT$4:$AT$11,[7]Brewhouse!$AT$13:$AT$16,[7]Brewhouse!$AT$18:$AT$30)</f>
        <v>93.22262799886262</v>
      </c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56" ht="14.65" customHeight="1">
      <c r="A34" s="28"/>
      <c r="B34" s="538"/>
      <c r="C34" s="362"/>
      <c r="D34" s="529"/>
      <c r="E34" s="530"/>
      <c r="F34" s="417"/>
      <c r="G34" s="294"/>
      <c r="H34" s="348"/>
      <c r="I34" s="37" t="s">
        <v>16</v>
      </c>
      <c r="J34" s="323"/>
      <c r="K34" s="284"/>
      <c r="L34" s="302"/>
      <c r="M34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4" s="30">
        <v>98</v>
      </c>
      <c r="O34" s="11"/>
      <c r="P34" s="31" t="s">
        <v>41</v>
      </c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</row>
    <row r="35" spans="1:56" ht="14.65" customHeight="1">
      <c r="A35" s="28"/>
      <c r="B35" s="538"/>
      <c r="C35" s="362"/>
      <c r="D35" s="531"/>
      <c r="E35" s="525"/>
      <c r="F35" s="294"/>
      <c r="G35" s="294"/>
      <c r="H35" s="348"/>
      <c r="I35" s="411" t="s">
        <v>158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</row>
    <row r="36" spans="1:56" ht="14.65" customHeight="1">
      <c r="A36" s="28"/>
      <c r="B36" s="538"/>
      <c r="C36" s="362"/>
      <c r="D36" s="529"/>
      <c r="E36" s="530"/>
      <c r="F36" s="294"/>
      <c r="G36" s="294"/>
      <c r="H36" s="348"/>
      <c r="I36" s="410" t="s">
        <v>157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" customHeight="1" thickBot="1">
      <c r="A37" s="28"/>
      <c r="B37" s="538"/>
      <c r="C37" s="362"/>
      <c r="D37" s="531"/>
      <c r="E37" s="525"/>
      <c r="F37" s="294"/>
      <c r="G37" s="294"/>
      <c r="H37" s="348"/>
      <c r="I37" s="406" t="s">
        <v>156</v>
      </c>
      <c r="J37" s="327"/>
      <c r="K37" s="407"/>
      <c r="L37" s="408"/>
      <c r="M37" s="408"/>
      <c r="N37" s="409">
        <v>98</v>
      </c>
      <c r="O37" s="11"/>
      <c r="P37" s="31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  <c r="AA37" s="472"/>
    </row>
    <row r="38" spans="1:56" ht="15" customHeight="1" thickBot="1">
      <c r="A38" s="28"/>
      <c r="B38" s="538"/>
      <c r="C38" s="349"/>
      <c r="D38" s="522"/>
      <c r="E38" s="523"/>
      <c r="F38" s="294"/>
      <c r="G38" s="294"/>
      <c r="H38" s="348"/>
      <c r="I38" s="1"/>
      <c r="J38" s="39"/>
      <c r="K38" s="404">
        <f>SUM(K28:K37)</f>
        <v>93</v>
      </c>
      <c r="L38" s="405">
        <f>((L28*K28)+(L29*K29)+(L30*K30)+(L31*K31)+(L32*K32)+(K35*L35)+(L33*K33)+(L34*K34)+(L37*K37))/(K38)</f>
        <v>98.467667781315853</v>
      </c>
      <c r="M38" s="405">
        <f>AVERAGE('[9]Jan30th-31st'!$L$42,'[10]Feb 27th-28th'!$L$45,'[11]Mar 31st'!$L$42,'[12]Apr 30th'!$L$41,'[13]May 29th '!$L$35,'[14]June 30th'!$L$32,[15]July31st!$L$36,'[16]Aug 31st'!$L$32,L38)</f>
        <v>98.043935716556931</v>
      </c>
      <c r="N38" s="40">
        <v>98</v>
      </c>
      <c r="O38" s="11"/>
      <c r="P38" s="31"/>
      <c r="R38" s="277">
        <f t="shared" si="9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  <c r="AA38" s="472"/>
    </row>
    <row r="39" spans="1:56" ht="15.75" thickBot="1">
      <c r="B39" s="539"/>
      <c r="C39" s="350"/>
      <c r="D39" s="524"/>
      <c r="E39" s="525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9"/>
        <v>0</v>
      </c>
      <c r="S39" s="472" t="e">
        <f t="shared" si="10"/>
        <v>#N/A</v>
      </c>
      <c r="T39" s="472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472" t="e">
        <f t="shared" si="17"/>
        <v>#N/A</v>
      </c>
      <c r="AA39" s="472"/>
    </row>
    <row r="40" spans="1:56" ht="15.75" thickBot="1">
      <c r="B40" s="519"/>
      <c r="C40" s="362"/>
      <c r="D40" s="522"/>
      <c r="E40" s="523"/>
      <c r="F40" s="294"/>
      <c r="G40" s="42"/>
      <c r="H40" s="41"/>
      <c r="I40" s="42"/>
      <c r="J40" s="526" t="s">
        <v>129</v>
      </c>
      <c r="K40" s="526"/>
      <c r="L40" s="294"/>
      <c r="M40" s="294"/>
      <c r="N40" s="294"/>
      <c r="O40" s="294"/>
      <c r="P40" s="12"/>
    </row>
    <row r="41" spans="1:56" ht="15.75" thickBot="1">
      <c r="B41" s="520"/>
      <c r="C41" s="362"/>
      <c r="D41" s="524"/>
      <c r="E41" s="525"/>
      <c r="F41" s="294"/>
      <c r="G41" s="42"/>
      <c r="H41" s="42"/>
      <c r="I41" s="42"/>
      <c r="J41" s="292" t="s">
        <v>17</v>
      </c>
      <c r="K41" s="293"/>
      <c r="L41" s="527" t="s">
        <v>136</v>
      </c>
      <c r="M41" s="527"/>
      <c r="N41" s="528"/>
      <c r="O41" s="294"/>
      <c r="P41" s="12"/>
    </row>
    <row r="42" spans="1:56" ht="15" customHeight="1" thickBot="1">
      <c r="B42" s="520"/>
      <c r="C42" s="349"/>
      <c r="D42" s="529"/>
      <c r="E42" s="530"/>
      <c r="F42" s="294"/>
      <c r="G42" s="42"/>
      <c r="H42" s="42"/>
      <c r="I42" s="42"/>
      <c r="J42" s="287" t="s">
        <v>6</v>
      </c>
      <c r="K42" s="324">
        <v>2</v>
      </c>
      <c r="L42" s="473" t="s">
        <v>37</v>
      </c>
      <c r="M42" s="474" t="s">
        <v>38</v>
      </c>
      <c r="N42" s="474" t="s">
        <v>84</v>
      </c>
      <c r="O42" s="294"/>
      <c r="P42" s="12"/>
    </row>
    <row r="43" spans="1:56" ht="15.75" customHeight="1" thickBot="1">
      <c r="B43" s="520"/>
      <c r="C43" s="349"/>
      <c r="D43" s="531"/>
      <c r="E43" s="525"/>
      <c r="F43" s="294"/>
      <c r="G43" s="42"/>
      <c r="H43" s="42"/>
      <c r="I43" s="42"/>
      <c r="J43" s="345" t="s">
        <v>9</v>
      </c>
      <c r="K43" s="324"/>
      <c r="L43" s="485">
        <f>AVERAGE('Sept 1st'!K45,'Sept 2nd'!K47,'Sept 3rd'!K44,'Sept 4th'!K46,'Sept 7th'!K48,'Sept 8th'!K48,'Sept 9th'!K50,'Sept 10th'!K49,'Sept 11th '!K45,'Sept 14th'!K45,'Sept 15th'!K48,'Sept 16th'!K51,K52)</f>
        <v>7.1538461538461542</v>
      </c>
      <c r="M43" s="486">
        <f>AVERAGE('[9]Jan30th-31st'!$L$47,L43,'[10]Feb 26th '!$L$39,'[11]Mar 31st'!$L$47,'[12]Apr 30th'!$L$46,'[13]May 29th '!$L$40,'[14]June 30th'!$L$39,[15]July31st!$L$41,'[16]Aug 31st'!$L$37)</f>
        <v>6.5326610587480154</v>
      </c>
      <c r="N43" s="416">
        <v>9.1999999999999993</v>
      </c>
      <c r="O43" s="294"/>
      <c r="P43" s="12"/>
    </row>
    <row r="44" spans="1:56" ht="15" customHeight="1">
      <c r="B44" s="520"/>
      <c r="C44" s="349"/>
      <c r="D44" s="529"/>
      <c r="E44" s="530"/>
      <c r="F44" s="294"/>
      <c r="G44" s="42"/>
      <c r="H44" s="42"/>
      <c r="I44" s="42"/>
      <c r="J44" s="288" t="s">
        <v>40</v>
      </c>
      <c r="K44" s="324">
        <v>7</v>
      </c>
      <c r="L44" s="294"/>
      <c r="M44" s="294"/>
      <c r="N44" s="294"/>
      <c r="O44" s="294"/>
      <c r="P44" s="12"/>
    </row>
    <row r="45" spans="1:56" ht="15" customHeight="1">
      <c r="B45" s="520"/>
      <c r="C45" s="349"/>
      <c r="D45" s="531"/>
      <c r="E45" s="525"/>
      <c r="F45" s="294"/>
      <c r="G45" s="42"/>
      <c r="H45" s="42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520"/>
      <c r="C46" s="349"/>
      <c r="D46" s="529"/>
      <c r="E46" s="530"/>
      <c r="F46" s="294"/>
      <c r="G46" s="42"/>
      <c r="H46" s="42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0"/>
      <c r="C47" s="349"/>
      <c r="D47" s="531"/>
      <c r="E47" s="525"/>
      <c r="F47" s="294"/>
      <c r="G47" s="42"/>
      <c r="H47" s="42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20"/>
      <c r="C48" s="349"/>
      <c r="D48" s="529"/>
      <c r="E48" s="530"/>
      <c r="F48" s="294"/>
      <c r="G48" s="42"/>
      <c r="H48" s="42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2:57" ht="15.75" thickBot="1">
      <c r="B49" s="521"/>
      <c r="C49" s="350"/>
      <c r="D49" s="532"/>
      <c r="E49" s="533"/>
      <c r="F49" s="294" t="s">
        <v>165</v>
      </c>
      <c r="G49" s="42"/>
      <c r="H49" s="42"/>
      <c r="I49" s="42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2:57" ht="17.649999999999999" customHeight="1" thickBot="1">
      <c r="B50" s="312" t="s">
        <v>139</v>
      </c>
      <c r="C50" s="313"/>
      <c r="D50" s="510"/>
      <c r="E50" s="511"/>
      <c r="F50" s="294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>
      <c r="B51" s="363"/>
      <c r="C51" s="364"/>
      <c r="D51" s="365"/>
      <c r="E51" s="365"/>
      <c r="F51" s="294"/>
      <c r="G51" s="42"/>
      <c r="H51" s="42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2:57" ht="15.6" customHeight="1">
      <c r="B52" s="45"/>
      <c r="C52" s="11"/>
      <c r="D52" s="11"/>
      <c r="E52" s="46"/>
      <c r="F52" s="294"/>
      <c r="G52" s="42"/>
      <c r="H52" s="42"/>
      <c r="I52" s="42"/>
      <c r="J52" s="346" t="s">
        <v>130</v>
      </c>
      <c r="K52" s="324">
        <f>SUM(K42:K51)</f>
        <v>9</v>
      </c>
      <c r="L52" s="294"/>
      <c r="M52" s="294"/>
      <c r="N52" s="294"/>
      <c r="O52" s="294"/>
      <c r="P52" s="12"/>
    </row>
    <row r="53" spans="2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42"/>
      <c r="N53" s="315"/>
      <c r="P53" s="334"/>
    </row>
    <row r="54" spans="2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2:57" ht="15" customHeight="1" thickBot="1">
      <c r="B55" s="504" t="s">
        <v>17</v>
      </c>
      <c r="C55" s="504" t="s">
        <v>44</v>
      </c>
      <c r="D55" s="513" t="s">
        <v>45</v>
      </c>
      <c r="E55" s="515" t="s">
        <v>46</v>
      </c>
      <c r="F55" s="517" t="s">
        <v>47</v>
      </c>
      <c r="G55" s="502" t="s">
        <v>48</v>
      </c>
      <c r="H55" s="504" t="s">
        <v>49</v>
      </c>
      <c r="I55" s="504" t="s">
        <v>50</v>
      </c>
      <c r="J55" s="496" t="s">
        <v>28</v>
      </c>
      <c r="K55" s="506" t="s">
        <v>51</v>
      </c>
      <c r="L55" s="508" t="s">
        <v>52</v>
      </c>
      <c r="M55" s="496" t="s">
        <v>53</v>
      </c>
      <c r="N55" s="13"/>
      <c r="O55" s="13"/>
      <c r="P55" s="50"/>
    </row>
    <row r="56" spans="2:57" ht="28.5" customHeight="1" thickTop="1" thickBot="1">
      <c r="B56" s="505"/>
      <c r="C56" s="512"/>
      <c r="D56" s="514"/>
      <c r="E56" s="516"/>
      <c r="F56" s="518"/>
      <c r="G56" s="503"/>
      <c r="H56" s="505"/>
      <c r="I56" s="505"/>
      <c r="J56" s="497"/>
      <c r="K56" s="507"/>
      <c r="L56" s="509"/>
      <c r="M56" s="497"/>
      <c r="N56" s="13"/>
      <c r="O56" s="13"/>
      <c r="P56" s="50"/>
      <c r="Q56" s="355"/>
      <c r="AB56" s="475">
        <v>43474</v>
      </c>
      <c r="AC56" s="475">
        <v>43475</v>
      </c>
      <c r="AD56" s="475">
        <v>43476</v>
      </c>
      <c r="AE56" s="475">
        <v>43477</v>
      </c>
      <c r="AF56" s="475">
        <v>43478</v>
      </c>
      <c r="AG56" s="475">
        <v>43479</v>
      </c>
      <c r="AH56" s="475">
        <v>43480</v>
      </c>
      <c r="AI56" s="475">
        <v>43481</v>
      </c>
      <c r="AJ56" s="475">
        <v>43482</v>
      </c>
      <c r="AK56" s="475">
        <v>43483</v>
      </c>
      <c r="AL56" s="475">
        <v>43484</v>
      </c>
      <c r="AM56" s="475">
        <v>43485</v>
      </c>
      <c r="AN56" s="475">
        <v>43486</v>
      </c>
      <c r="AO56" s="475">
        <v>43487</v>
      </c>
      <c r="AP56" s="475">
        <v>43488</v>
      </c>
      <c r="AQ56" s="475">
        <v>43489</v>
      </c>
      <c r="AR56" s="475">
        <v>43490</v>
      </c>
      <c r="AS56" s="475">
        <v>43491</v>
      </c>
      <c r="AT56" s="475">
        <v>43492</v>
      </c>
      <c r="AU56" s="475">
        <v>43493</v>
      </c>
      <c r="AV56" s="475">
        <v>43494</v>
      </c>
      <c r="AW56" s="475">
        <v>43495</v>
      </c>
      <c r="AX56" s="475">
        <v>43496</v>
      </c>
    </row>
    <row r="57" spans="2:57" s="54" customFormat="1" ht="36.75" customHeight="1" thickBot="1">
      <c r="B57" s="456" t="str">
        <f>J42</f>
        <v>CARIB</v>
      </c>
      <c r="C57" s="479">
        <v>46282</v>
      </c>
      <c r="D57" s="445">
        <f>[17]September_2026!$T$3</f>
        <v>389.1</v>
      </c>
      <c r="E57" s="443"/>
      <c r="F57" s="444"/>
      <c r="G57" s="444">
        <f>[17]September_2026!$T$7</f>
        <v>364.2</v>
      </c>
      <c r="H57" s="458"/>
      <c r="I57" s="458"/>
      <c r="J57" s="448" t="s">
        <v>169</v>
      </c>
      <c r="K57" s="449"/>
      <c r="L57" s="457">
        <f>(((D57+E57)-G57)/(D57+E57))*100</f>
        <v>6.3993831919815047</v>
      </c>
      <c r="M57" s="455" t="s">
        <v>181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[19]January_2019!L5</f>
        <v>0</v>
      </c>
      <c r="AC57" s="57">
        <f>[19]January_2019!M5</f>
        <v>0</v>
      </c>
      <c r="AD57" s="57">
        <f>[19]January_2019!N5</f>
        <v>0</v>
      </c>
      <c r="AE57" s="57">
        <f>[19]January_2019!O5</f>
        <v>0</v>
      </c>
      <c r="AF57" s="57">
        <f>[19]January_2019!P5</f>
        <v>0</v>
      </c>
      <c r="AG57" s="57">
        <f>[19]January_2019!Q5</f>
        <v>0</v>
      </c>
      <c r="AH57" s="57">
        <f>[19]January_2019!R5</f>
        <v>0</v>
      </c>
      <c r="AI57" s="57">
        <f>[19]January_2019!S5</f>
        <v>0</v>
      </c>
      <c r="AJ57" s="57">
        <f>[19]January_2019!T5</f>
        <v>0</v>
      </c>
      <c r="AK57" s="57">
        <f>[19]January_2019!U5</f>
        <v>0</v>
      </c>
      <c r="AL57" s="57">
        <f>[19]January_2019!V5</f>
        <v>0</v>
      </c>
      <c r="AM57" s="57">
        <f>[19]January_2019!W5</f>
        <v>0</v>
      </c>
      <c r="AN57" s="57">
        <f>[19]January_2019!X5</f>
        <v>0</v>
      </c>
      <c r="AO57" s="57">
        <f>[19]January_2019!Y5</f>
        <v>0</v>
      </c>
      <c r="AP57" s="57">
        <f>[19]January_2019!Z5</f>
        <v>0</v>
      </c>
      <c r="AQ57" s="57">
        <f>[19]January_2019!AA5</f>
        <v>0</v>
      </c>
      <c r="AR57" s="57">
        <f>[19]January_2019!AB5</f>
        <v>0</v>
      </c>
      <c r="AS57" s="57">
        <f>[19]January_2019!AC5</f>
        <v>0</v>
      </c>
      <c r="AT57" s="57">
        <f>[19]January_2019!AD5</f>
        <v>0</v>
      </c>
      <c r="AU57" s="57">
        <f>[19]January_2019!AE5</f>
        <v>0</v>
      </c>
      <c r="AV57" s="57">
        <f>[19]January_2019!AF5</f>
        <v>0</v>
      </c>
      <c r="AW57" s="57">
        <f>[19]January_2019!AG5</f>
        <v>0</v>
      </c>
      <c r="AX57" s="277">
        <f>[19]January_2019!AH5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4.25" customHeight="1" thickBot="1">
      <c r="B58" s="480"/>
      <c r="C58" s="479"/>
      <c r="D58" s="442"/>
      <c r="E58" s="443"/>
      <c r="F58" s="444"/>
      <c r="G58" s="445"/>
      <c r="H58" s="458"/>
      <c r="I58" s="458"/>
      <c r="J58" s="476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[19]January_2019!L6</f>
        <v>0</v>
      </c>
      <c r="AC58" s="57">
        <f>[19]January_2019!M6</f>
        <v>0</v>
      </c>
      <c r="AD58" s="57">
        <f>[19]January_2019!N6</f>
        <v>0</v>
      </c>
      <c r="AE58" s="57">
        <f>[19]January_2019!O6</f>
        <v>0</v>
      </c>
      <c r="AF58" s="57">
        <f>[19]January_2019!P6</f>
        <v>0</v>
      </c>
      <c r="AG58" s="57">
        <f>[19]January_2019!Q6</f>
        <v>0</v>
      </c>
      <c r="AH58" s="57">
        <f>[19]January_2019!R6</f>
        <v>0</v>
      </c>
      <c r="AI58" s="57">
        <f>[19]January_2019!S6</f>
        <v>0</v>
      </c>
      <c r="AJ58" s="57">
        <f>[19]January_2019!T6</f>
        <v>0</v>
      </c>
      <c r="AK58" s="57">
        <f>[19]January_2019!U6</f>
        <v>0</v>
      </c>
      <c r="AL58" s="57">
        <f>[19]January_2019!V6</f>
        <v>0</v>
      </c>
      <c r="AM58" s="57">
        <f>[19]January_2019!W6</f>
        <v>0</v>
      </c>
      <c r="AN58" s="57">
        <f>[19]January_2019!X6</f>
        <v>0</v>
      </c>
      <c r="AO58" s="57">
        <f>[19]January_2019!Y6</f>
        <v>0</v>
      </c>
      <c r="AP58" s="57">
        <f>[19]January_2019!Z6</f>
        <v>0</v>
      </c>
      <c r="AQ58" s="57">
        <f>[19]January_2019!AA6</f>
        <v>0</v>
      </c>
      <c r="AR58" s="57">
        <f>[19]January_2019!AB6</f>
        <v>0</v>
      </c>
      <c r="AS58" s="57">
        <f>[19]January_2019!AC6</f>
        <v>0</v>
      </c>
      <c r="AT58" s="57">
        <f>[19]January_2019!AD6</f>
        <v>0</v>
      </c>
      <c r="AU58" s="57">
        <f>[19]January_2019!AE6</f>
        <v>0</v>
      </c>
      <c r="AV58" s="57">
        <f>[19]January_2019!AF6</f>
        <v>0</v>
      </c>
      <c r="AW58" s="57">
        <f>[19]January_2019!AG6</f>
        <v>0</v>
      </c>
      <c r="AX58" s="277">
        <f>[19]January_2019!AH6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95"/>
      <c r="C59" s="479"/>
      <c r="D59" s="442"/>
      <c r="E59" s="443"/>
      <c r="F59" s="444"/>
      <c r="G59" s="444"/>
      <c r="H59" s="446"/>
      <c r="I59" s="446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[19]January_2019!L7</f>
        <v>285.8</v>
      </c>
      <c r="AC59" s="57">
        <f>[19]January_2019!M7</f>
        <v>508.1</v>
      </c>
      <c r="AD59" s="57">
        <f>[19]January_2019!N7</f>
        <v>0</v>
      </c>
      <c r="AE59" s="57">
        <f>[19]January_2019!O7</f>
        <v>0</v>
      </c>
      <c r="AF59" s="57">
        <f>[19]January_2019!P7</f>
        <v>109.56666666666666</v>
      </c>
      <c r="AG59" s="57">
        <f>[19]January_2019!Q7</f>
        <v>297.64999999999998</v>
      </c>
      <c r="AH59" s="57">
        <f>[19]January_2019!R7</f>
        <v>122.3</v>
      </c>
      <c r="AI59" s="57">
        <f>[19]January_2019!S7</f>
        <v>0</v>
      </c>
      <c r="AJ59" s="57">
        <f>[19]January_2019!T7</f>
        <v>294.7</v>
      </c>
      <c r="AK59" s="57">
        <f>[19]January_2019!U7</f>
        <v>280.5</v>
      </c>
      <c r="AL59" s="57">
        <f>[19]January_2019!V7</f>
        <v>0</v>
      </c>
      <c r="AM59" s="57">
        <f>[19]January_2019!W7</f>
        <v>0</v>
      </c>
      <c r="AN59" s="57">
        <f>[19]January_2019!X7</f>
        <v>188.25</v>
      </c>
      <c r="AO59" s="57">
        <f>[19]January_2019!Y7</f>
        <v>295.7</v>
      </c>
      <c r="AP59" s="57">
        <f>[19]January_2019!Z7</f>
        <v>257.8</v>
      </c>
      <c r="AQ59" s="57">
        <f>[19]January_2019!AA7</f>
        <v>291.2</v>
      </c>
      <c r="AR59" s="57">
        <f>[19]January_2019!AB7</f>
        <v>187</v>
      </c>
      <c r="AS59" s="57">
        <f>[19]January_2019!AC7</f>
        <v>0</v>
      </c>
      <c r="AT59" s="57">
        <f>[19]January_2019!AD7</f>
        <v>0</v>
      </c>
      <c r="AU59" s="57">
        <f>[19]January_2019!AE7</f>
        <v>485.1</v>
      </c>
      <c r="AV59" s="57">
        <f>[19]January_2019!AF7</f>
        <v>171.55</v>
      </c>
      <c r="AW59" s="57">
        <f>[19]January_2019!AG7</f>
        <v>423.8</v>
      </c>
      <c r="AX59" s="277">
        <f>[19]January_2019!AH7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18.600000000000001" hidden="1" customHeight="1" thickBot="1">
      <c r="B60" s="478"/>
      <c r="C60" s="430"/>
      <c r="D60" s="431"/>
      <c r="E60" s="432"/>
      <c r="F60" s="433"/>
      <c r="G60" s="434"/>
      <c r="H60" s="458"/>
      <c r="I60" s="458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8.65" hidden="1" customHeight="1" thickBot="1">
      <c r="B61" s="487"/>
      <c r="C61" s="479"/>
      <c r="D61" s="442"/>
      <c r="E61" s="443"/>
      <c r="F61" s="444"/>
      <c r="G61" s="445"/>
      <c r="H61" s="458"/>
      <c r="I61" s="458"/>
      <c r="J61" s="448"/>
      <c r="K61" s="45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5" hidden="1">
      <c r="B62" s="453"/>
      <c r="C62" s="430"/>
      <c r="D62" s="431"/>
      <c r="E62" s="432"/>
      <c r="F62" s="433"/>
      <c r="G62" s="434"/>
      <c r="H62" s="435"/>
      <c r="I62" s="450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hidden="1" customHeight="1" thickBot="1">
      <c r="B63" s="481"/>
      <c r="C63" s="479"/>
      <c r="D63" s="442"/>
      <c r="E63" s="443"/>
      <c r="F63" s="444"/>
      <c r="G63" s="445"/>
      <c r="H63" s="446"/>
      <c r="I63" s="447"/>
      <c r="J63" s="448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6.5" hidden="1" customHeight="1" thickBot="1">
      <c r="B64" s="437"/>
      <c r="C64" s="423"/>
      <c r="D64" s="424"/>
      <c r="E64" s="425"/>
      <c r="F64" s="426"/>
      <c r="G64" s="427"/>
      <c r="H64" s="428"/>
      <c r="I64" s="438"/>
      <c r="J64" s="439"/>
      <c r="K64" s="429"/>
      <c r="L64" s="440"/>
      <c r="M64" s="422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</row>
    <row r="65" spans="2:57" s="54" customFormat="1" ht="37.15" hidden="1" customHeight="1" thickBot="1">
      <c r="B65" s="456"/>
      <c r="C65" s="441"/>
      <c r="D65" s="442"/>
      <c r="E65" s="443"/>
      <c r="F65" s="444"/>
      <c r="G65" s="445"/>
      <c r="H65" s="446"/>
      <c r="I65" s="447"/>
      <c r="J65" s="448"/>
      <c r="K65" s="449"/>
      <c r="L65" s="457"/>
      <c r="M65" s="454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customHeight="1">
      <c r="B66" s="466"/>
      <c r="C66" s="430"/>
      <c r="D66" s="460"/>
      <c r="E66" s="461"/>
      <c r="F66" s="462"/>
      <c r="G66" s="460"/>
      <c r="H66" s="463"/>
      <c r="I66" s="463"/>
      <c r="J66" s="463"/>
      <c r="K66" s="464"/>
      <c r="L66" s="465"/>
      <c r="M66" s="5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 t="s">
        <v>41</v>
      </c>
      <c r="O67" s="56"/>
      <c r="P67" s="60"/>
    </row>
    <row r="68" spans="2:57" ht="15.75" thickBot="1">
      <c r="B68" s="498" t="s">
        <v>55</v>
      </c>
      <c r="C68" s="499"/>
      <c r="D68" s="499"/>
      <c r="E68" s="499"/>
      <c r="F68" s="500"/>
      <c r="G68" s="498" t="s">
        <v>56</v>
      </c>
      <c r="H68" s="499"/>
      <c r="I68" s="499"/>
      <c r="J68" s="500"/>
      <c r="K68" s="498" t="s">
        <v>51</v>
      </c>
      <c r="L68" s="499"/>
      <c r="M68" s="499"/>
      <c r="N68" s="501"/>
      <c r="O68" s="56"/>
      <c r="P68" s="50"/>
    </row>
    <row r="69" spans="2:57" ht="15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 t="s">
        <v>36</v>
      </c>
      <c r="L69" s="62" t="s">
        <v>37</v>
      </c>
      <c r="M69" s="62" t="s">
        <v>38</v>
      </c>
      <c r="N69" s="63" t="s">
        <v>39</v>
      </c>
      <c r="O69" s="56"/>
      <c r="P69" s="64"/>
    </row>
    <row r="70" spans="2:57" ht="15">
      <c r="B70" s="29" t="s">
        <v>6</v>
      </c>
      <c r="C70" s="65">
        <f>L57</f>
        <v>6.3993831919815047</v>
      </c>
      <c r="D70" s="76">
        <v>7.2669378760384307</v>
      </c>
      <c r="E70" s="76">
        <v>6.6024208041377905</v>
      </c>
      <c r="F70" s="66">
        <v>4.8</v>
      </c>
      <c r="G70" s="65"/>
      <c r="H70" s="477">
        <v>6.4041575385468743</v>
      </c>
      <c r="I70" s="477">
        <v>6.6307190081077829</v>
      </c>
      <c r="J70" s="66">
        <v>4.8</v>
      </c>
      <c r="K70" s="67"/>
      <c r="L70" s="194">
        <v>0.60052339181286551</v>
      </c>
      <c r="M70" s="194">
        <v>0.53173259312468302</v>
      </c>
      <c r="N70" s="68">
        <v>1</v>
      </c>
      <c r="O70" s="56"/>
      <c r="P70" s="69"/>
    </row>
    <row r="71" spans="2:57" ht="15">
      <c r="B71" s="33" t="s">
        <v>9</v>
      </c>
      <c r="C71" s="65"/>
      <c r="D71" s="76">
        <v>8.1797752808988591</v>
      </c>
      <c r="E71" s="76">
        <v>5.939590940751847</v>
      </c>
      <c r="F71" s="66">
        <v>4.8</v>
      </c>
      <c r="G71" s="65"/>
      <c r="H71" s="76">
        <v>7.1493286491954091</v>
      </c>
      <c r="I71" s="76">
        <v>6.0146000548367518</v>
      </c>
      <c r="J71" s="66">
        <v>4.8</v>
      </c>
      <c r="K71" s="67"/>
      <c r="L71" s="194">
        <v>0.31847368421052635</v>
      </c>
      <c r="M71" s="194">
        <v>0.68029295501093157</v>
      </c>
      <c r="N71" s="68">
        <v>1</v>
      </c>
      <c r="P71" s="69"/>
    </row>
    <row r="72" spans="2:57" ht="15">
      <c r="B72" s="34" t="s">
        <v>40</v>
      </c>
      <c r="C72" s="65"/>
      <c r="D72" s="76"/>
      <c r="E72" s="76">
        <v>11.277593164016125</v>
      </c>
      <c r="F72" s="66">
        <v>5.5</v>
      </c>
      <c r="G72" s="65"/>
      <c r="H72" s="76"/>
      <c r="I72" s="76">
        <v>11.857907912244482</v>
      </c>
      <c r="J72" s="66">
        <v>5.5</v>
      </c>
      <c r="K72" s="67"/>
      <c r="L72" s="194"/>
      <c r="M72" s="194">
        <v>0.35370190356844494</v>
      </c>
      <c r="N72" s="68">
        <v>1</v>
      </c>
      <c r="P72" s="69"/>
    </row>
    <row r="73" spans="2:57" ht="15">
      <c r="B73" s="22" t="s">
        <v>33</v>
      </c>
      <c r="C73" s="65"/>
      <c r="D73" s="76"/>
      <c r="E73" s="76">
        <v>4.8685538193023836</v>
      </c>
      <c r="F73" s="66">
        <v>3.3</v>
      </c>
      <c r="G73" s="65"/>
      <c r="H73" s="76"/>
      <c r="I73" s="76">
        <v>4.8702525342252114</v>
      </c>
      <c r="J73" s="66">
        <v>3.3</v>
      </c>
      <c r="K73" s="67"/>
      <c r="L73" s="194"/>
      <c r="M73" s="194">
        <v>0.77919298245614044</v>
      </c>
      <c r="N73" s="68">
        <v>1</v>
      </c>
      <c r="P73" s="69"/>
    </row>
    <row r="74" spans="2:57" ht="15">
      <c r="B74" s="35" t="s">
        <v>164</v>
      </c>
      <c r="C74" s="65"/>
      <c r="D74" s="76"/>
      <c r="E74" s="76"/>
      <c r="F74" s="66">
        <v>3.3</v>
      </c>
      <c r="G74" s="282"/>
      <c r="H74" s="76"/>
      <c r="I74" s="76"/>
      <c r="J74" s="66">
        <v>3</v>
      </c>
      <c r="K74" s="67"/>
      <c r="L74" s="194"/>
      <c r="M74" s="194"/>
      <c r="N74" s="68">
        <v>1</v>
      </c>
      <c r="P74" s="69"/>
    </row>
    <row r="75" spans="2:57" ht="15">
      <c r="B75" s="36" t="s">
        <v>15</v>
      </c>
      <c r="C75" s="65"/>
      <c r="D75" s="76">
        <v>6.8855672629257718</v>
      </c>
      <c r="E75" s="76">
        <v>6.3233965672990236</v>
      </c>
      <c r="F75" s="70">
        <v>5.5</v>
      </c>
      <c r="G75" s="65"/>
      <c r="H75" s="76">
        <v>7.4264332958762713</v>
      </c>
      <c r="I75" s="76">
        <v>7.9667553186446929</v>
      </c>
      <c r="J75" s="66">
        <v>5.5</v>
      </c>
      <c r="K75" s="67"/>
      <c r="L75" s="194">
        <v>0.391812865497076</v>
      </c>
      <c r="M75" s="194">
        <v>0.5883625730994152</v>
      </c>
      <c r="N75" s="68">
        <v>1</v>
      </c>
      <c r="P75" s="69"/>
    </row>
    <row r="76" spans="2:57" ht="15">
      <c r="B76" s="37" t="s">
        <v>16</v>
      </c>
      <c r="C76" s="482"/>
      <c r="D76" s="76"/>
      <c r="E76" s="76">
        <v>3.6168923014750334</v>
      </c>
      <c r="F76" s="66">
        <v>3.3</v>
      </c>
      <c r="G76" s="282"/>
      <c r="H76" s="76"/>
      <c r="I76" s="76">
        <v>5.0091179718082053</v>
      </c>
      <c r="J76" s="66">
        <v>3.3</v>
      </c>
      <c r="K76" s="67"/>
      <c r="L76" s="194"/>
      <c r="M76" s="194">
        <v>0.92642300194931759</v>
      </c>
      <c r="N76" s="71">
        <v>1</v>
      </c>
      <c r="P76" s="69"/>
    </row>
    <row r="77" spans="2:57" ht="15.75" thickBot="1">
      <c r="B77" s="38" t="s">
        <v>163</v>
      </c>
      <c r="C77" s="65"/>
      <c r="D77" s="76"/>
      <c r="E77" s="76"/>
      <c r="F77" s="66">
        <v>7.5</v>
      </c>
      <c r="G77" s="282"/>
      <c r="H77" s="76"/>
      <c r="I77" s="76"/>
      <c r="J77" s="66">
        <v>7.5</v>
      </c>
      <c r="K77" s="67"/>
      <c r="L77" s="194"/>
      <c r="M77" s="194"/>
      <c r="N77" s="71">
        <v>1</v>
      </c>
      <c r="P77" s="69"/>
    </row>
    <row r="78" spans="2:57" ht="15.75" thickBot="1">
      <c r="B78" s="414" t="s">
        <v>161</v>
      </c>
      <c r="C78" s="65"/>
      <c r="D78" s="76"/>
      <c r="E78" s="76"/>
      <c r="F78" s="66">
        <v>4.8</v>
      </c>
      <c r="G78" s="282"/>
      <c r="H78" s="76"/>
      <c r="I78" s="76"/>
      <c r="J78" s="66">
        <v>4.8</v>
      </c>
      <c r="K78" s="67"/>
      <c r="L78" s="194"/>
      <c r="M78" s="194"/>
      <c r="N78" s="71">
        <v>1</v>
      </c>
      <c r="O78" s="74"/>
      <c r="P78" s="75"/>
    </row>
    <row r="79" spans="2:57" ht="15">
      <c r="D79" s="76">
        <v>7.4125390445745492</v>
      </c>
      <c r="E79" s="76">
        <v>6.4147316896923909</v>
      </c>
      <c r="F79" s="341">
        <v>5.5</v>
      </c>
      <c r="H79" s="76">
        <v>6.6840393045153821</v>
      </c>
      <c r="I79" s="76">
        <v>6.6928815041484677</v>
      </c>
      <c r="J79" s="341">
        <v>5.5</v>
      </c>
      <c r="L79" s="194">
        <v>0.50896716149347732</v>
      </c>
      <c r="M79" s="194">
        <v>0.59194404706036807</v>
      </c>
      <c r="N79" s="386">
        <v>1</v>
      </c>
    </row>
  </sheetData>
  <mergeCells count="51">
    <mergeCell ref="M55:M56"/>
    <mergeCell ref="B68:F68"/>
    <mergeCell ref="G68:J68"/>
    <mergeCell ref="K68:N68"/>
    <mergeCell ref="G55:G56"/>
    <mergeCell ref="H55:H56"/>
    <mergeCell ref="I55:I56"/>
    <mergeCell ref="J55:J56"/>
    <mergeCell ref="K55:K56"/>
    <mergeCell ref="L55:L56"/>
    <mergeCell ref="F55:F56"/>
    <mergeCell ref="D50:E50"/>
    <mergeCell ref="B55:B56"/>
    <mergeCell ref="C55:C56"/>
    <mergeCell ref="D55:D56"/>
    <mergeCell ref="E55:E56"/>
    <mergeCell ref="B40:B49"/>
    <mergeCell ref="D40:E41"/>
    <mergeCell ref="J40:K40"/>
    <mergeCell ref="L41:N41"/>
    <mergeCell ref="D42:E43"/>
    <mergeCell ref="D44:E45"/>
    <mergeCell ref="D46:E47"/>
    <mergeCell ref="D48:E4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0:B51">
    <cfRule type="cellIs" dxfId="1146" priority="114" operator="notBetween">
      <formula>#REF!</formula>
      <formula>#REF!</formula>
    </cfRule>
  </conditionalFormatting>
  <conditionalFormatting sqref="C54">
    <cfRule type="cellIs" dxfId="1145" priority="196" stopIfTrue="1" operator="lessThan">
      <formula>96</formula>
    </cfRule>
    <cfRule type="cellIs" dxfId="1144" priority="197" stopIfTrue="1" operator="greaterThan">
      <formula>100</formula>
    </cfRule>
  </conditionalFormatting>
  <conditionalFormatting sqref="C70:C71">
    <cfRule type="cellIs" dxfId="1143" priority="77" stopIfTrue="1" operator="greaterThan">
      <formula>$F70</formula>
    </cfRule>
    <cfRule type="cellIs" dxfId="1142" priority="78" stopIfTrue="1" operator="lessThanOrEqual">
      <formula>0</formula>
    </cfRule>
    <cfRule type="cellIs" dxfId="1141" priority="79" stopIfTrue="1" operator="greaterThan">
      <formula>$F70</formula>
    </cfRule>
    <cfRule type="cellIs" dxfId="1140" priority="80" stopIfTrue="1" operator="lessThanOrEqual">
      <formula>0</formula>
    </cfRule>
  </conditionalFormatting>
  <conditionalFormatting sqref="C72:C74 C76:C78">
    <cfRule type="cellIs" dxfId="1139" priority="86" stopIfTrue="1" operator="greaterThan">
      <formula>$F75</formula>
    </cfRule>
  </conditionalFormatting>
  <conditionalFormatting sqref="C72:C74">
    <cfRule type="cellIs" dxfId="1138" priority="87" stopIfTrue="1" operator="lessThanOrEqual">
      <formula>0</formula>
    </cfRule>
  </conditionalFormatting>
  <conditionalFormatting sqref="C75">
    <cfRule type="cellIs" dxfId="1137" priority="198" stopIfTrue="1" operator="greaterThan">
      <formula>$F70</formula>
    </cfRule>
    <cfRule type="cellIs" dxfId="1136" priority="199" stopIfTrue="1" operator="lessThanOrEqual">
      <formula>0</formula>
    </cfRule>
    <cfRule type="cellIs" dxfId="1135" priority="200" stopIfTrue="1" operator="greaterThan">
      <formula>$F70</formula>
    </cfRule>
    <cfRule type="cellIs" dxfId="1134" priority="201" stopIfTrue="1" operator="lessThanOrEqual">
      <formula>0</formula>
    </cfRule>
  </conditionalFormatting>
  <conditionalFormatting sqref="C76:C78">
    <cfRule type="cellIs" dxfId="1133" priority="88" stopIfTrue="1" operator="lessThanOrEqual">
      <formula>0</formula>
    </cfRule>
  </conditionalFormatting>
  <conditionalFormatting sqref="C81:C85">
    <cfRule type="cellIs" dxfId="1132" priority="188" stopIfTrue="1" operator="lessThanOrEqual">
      <formula>0</formula>
    </cfRule>
  </conditionalFormatting>
  <conditionalFormatting sqref="C82:C85">
    <cfRule type="cellIs" dxfId="1131" priority="187" stopIfTrue="1" operator="greaterThan">
      <formula>$F$81</formula>
    </cfRule>
  </conditionalFormatting>
  <conditionalFormatting sqref="C87">
    <cfRule type="cellIs" dxfId="1130" priority="189" stopIfTrue="1" operator="greaterThan">
      <formula>$F$81</formula>
    </cfRule>
    <cfRule type="cellIs" dxfId="1129" priority="190" stopIfTrue="1" operator="lessThanOrEqual">
      <formula>0</formula>
    </cfRule>
  </conditionalFormatting>
  <conditionalFormatting sqref="C75:D75">
    <cfRule type="cellIs" dxfId="1128" priority="75" stopIfTrue="1" operator="greaterThan">
      <formula>$J75</formula>
    </cfRule>
    <cfRule type="cellIs" dxfId="1127" priority="76" stopIfTrue="1" operator="lessThanOrEqual">
      <formula>0</formula>
    </cfRule>
  </conditionalFormatting>
  <conditionalFormatting sqref="C81:D81 D83:D89">
    <cfRule type="cellIs" dxfId="1126" priority="182" stopIfTrue="1" operator="greaterThan">
      <formula>4.5</formula>
    </cfRule>
  </conditionalFormatting>
  <conditionalFormatting sqref="D50:D51">
    <cfRule type="cellIs" dxfId="1125" priority="115" operator="notBetween">
      <formula>#REF!</formula>
      <formula>#REF!</formula>
    </cfRule>
  </conditionalFormatting>
  <conditionalFormatting sqref="D70:D74 D76:D77">
    <cfRule type="cellIs" dxfId="1124" priority="85" stopIfTrue="1" operator="lessThanOrEqual">
      <formula>0</formula>
    </cfRule>
  </conditionalFormatting>
  <conditionalFormatting sqref="D70:D74 D76:D79">
    <cfRule type="cellIs" dxfId="1123" priority="81" stopIfTrue="1" operator="lessThanOrEqual">
      <formula>0</formula>
    </cfRule>
    <cfRule type="cellIs" dxfId="1122" priority="82" stopIfTrue="1" operator="greaterThan">
      <formula>$F70</formula>
    </cfRule>
  </conditionalFormatting>
  <conditionalFormatting sqref="D78:D79">
    <cfRule type="cellIs" dxfId="1121" priority="83" stopIfTrue="1" operator="lessThanOrEqual">
      <formula>0</formula>
    </cfRule>
  </conditionalFormatting>
  <conditionalFormatting sqref="D79">
    <cfRule type="cellIs" dxfId="1120" priority="84" stopIfTrue="1" operator="lessThanOrEqual">
      <formula>0</formula>
    </cfRule>
  </conditionalFormatting>
  <conditionalFormatting sqref="D81 D83:D89">
    <cfRule type="cellIs" dxfId="1119" priority="183" stopIfTrue="1" operator="lessThanOrEqual">
      <formula>0</formula>
    </cfRule>
  </conditionalFormatting>
  <conditionalFormatting sqref="D82">
    <cfRule type="cellIs" dxfId="1118" priority="174" stopIfTrue="1" operator="greaterThan">
      <formula>$F$81</formula>
    </cfRule>
    <cfRule type="cellIs" dxfId="1117" priority="175" stopIfTrue="1" operator="lessThanOrEqual">
      <formula>0</formula>
    </cfRule>
  </conditionalFormatting>
  <conditionalFormatting sqref="E10:E25">
    <cfRule type="cellIs" dxfId="1116" priority="7" operator="lessThan">
      <formula>48</formula>
    </cfRule>
  </conditionalFormatting>
  <conditionalFormatting sqref="E53 E54:F54">
    <cfRule type="cellIs" dxfId="1115" priority="179" stopIfTrue="1" operator="greaterThan">
      <formula>100</formula>
    </cfRule>
  </conditionalFormatting>
  <conditionalFormatting sqref="E54">
    <cfRule type="cellIs" dxfId="1114" priority="176" stopIfTrue="1" operator="lessThan">
      <formula>96.8</formula>
    </cfRule>
    <cfRule type="cellIs" dxfId="1113" priority="177" stopIfTrue="1" operator="greaterThan">
      <formula>100</formula>
    </cfRule>
  </conditionalFormatting>
  <conditionalFormatting sqref="E70:E78">
    <cfRule type="cellIs" dxfId="1112" priority="48" stopIfTrue="1" operator="lessThanOrEqual">
      <formula>0</formula>
    </cfRule>
  </conditionalFormatting>
  <conditionalFormatting sqref="E70:E79">
    <cfRule type="cellIs" dxfId="1111" priority="49" stopIfTrue="1" operator="greaterThan">
      <formula>$F70</formula>
    </cfRule>
    <cfRule type="cellIs" dxfId="1110" priority="50" stopIfTrue="1" operator="lessThanOrEqual">
      <formula>0</formula>
    </cfRule>
  </conditionalFormatting>
  <conditionalFormatting sqref="E79">
    <cfRule type="cellIs" dxfId="1109" priority="51" stopIfTrue="1" operator="lessThanOrEqual">
      <formula>0</formula>
    </cfRule>
  </conditionalFormatting>
  <conditionalFormatting sqref="E81:E89">
    <cfRule type="cellIs" dxfId="1108" priority="168" stopIfTrue="1" operator="greaterThan">
      <formula>4.5</formula>
    </cfRule>
    <cfRule type="cellIs" dxfId="1107" priority="169" stopIfTrue="1" operator="lessThanOrEqual">
      <formula>0</formula>
    </cfRule>
  </conditionalFormatting>
  <conditionalFormatting sqref="E54:F54 E53">
    <cfRule type="cellIs" dxfId="1106" priority="178" stopIfTrue="1" operator="lessThan">
      <formula>96.5</formula>
    </cfRule>
  </conditionalFormatting>
  <conditionalFormatting sqref="F10:F25">
    <cfRule type="cellIs" dxfId="1105" priority="11" operator="greaterThan">
      <formula>60</formula>
    </cfRule>
  </conditionalFormatting>
  <conditionalFormatting sqref="F54">
    <cfRule type="cellIs" dxfId="1104" priority="194" stopIfTrue="1" operator="lessThan">
      <formula>96.8</formula>
    </cfRule>
    <cfRule type="cellIs" dxfId="1103" priority="195" stopIfTrue="1" operator="greaterThan">
      <formula>100</formula>
    </cfRule>
  </conditionalFormatting>
  <conditionalFormatting sqref="G13:G19 G25">
    <cfRule type="expression" dxfId="1102" priority="14">
      <formula>IF(+(IF(G13&lt;S13,0,IF(G13&gt;T13,0,1)))=0,1)</formula>
    </cfRule>
  </conditionalFormatting>
  <conditionalFormatting sqref="G70:G73 F79">
    <cfRule type="cellIs" dxfId="1101" priority="57" stopIfTrue="1" operator="greaterThan">
      <formula>$F70</formula>
    </cfRule>
    <cfRule type="cellIs" dxfId="1100" priority="58" stopIfTrue="1" operator="lessThanOrEqual">
      <formula>0</formula>
    </cfRule>
  </conditionalFormatting>
  <conditionalFormatting sqref="G72:G73">
    <cfRule type="cellIs" dxfId="1099" priority="43" stopIfTrue="1" operator="greaterThan">
      <formula>$F72</formula>
    </cfRule>
    <cfRule type="cellIs" dxfId="1098" priority="44" stopIfTrue="1" operator="lessThanOrEqual">
      <formula>0</formula>
    </cfRule>
  </conditionalFormatting>
  <conditionalFormatting sqref="G74:G78">
    <cfRule type="cellIs" dxfId="1097" priority="59" stopIfTrue="1" operator="greaterThan">
      <formula>$J74</formula>
    </cfRule>
    <cfRule type="cellIs" dxfId="1096" priority="60" stopIfTrue="1" operator="lessThanOrEqual">
      <formula>0</formula>
    </cfRule>
  </conditionalFormatting>
  <conditionalFormatting sqref="G75">
    <cfRule type="cellIs" dxfId="1095" priority="202" stopIfTrue="1" operator="greaterThan">
      <formula>$F70</formula>
    </cfRule>
    <cfRule type="cellIs" dxfId="1094" priority="203" stopIfTrue="1" operator="lessThanOrEqual">
      <formula>0</formula>
    </cfRule>
  </conditionalFormatting>
  <conditionalFormatting sqref="G83:G88 C86 C88">
    <cfRule type="cellIs" dxfId="1093" priority="191" stopIfTrue="1" operator="greaterThan">
      <formula>4.5</formula>
    </cfRule>
    <cfRule type="cellIs" dxfId="1092" priority="192" stopIfTrue="1" operator="lessThanOrEqual">
      <formula>0</formula>
    </cfRule>
  </conditionalFormatting>
  <conditionalFormatting sqref="G10:H12 M10:N12 G20:H22 M20:N24 G23:G24 H23:H25">
    <cfRule type="expression" dxfId="1091" priority="15">
      <formula>IF(+(IF(G10&lt;#REF!,0,IF(G10&gt;#REF!,0,1)))=0,1)</formula>
    </cfRule>
  </conditionalFormatting>
  <conditionalFormatting sqref="G82:H82">
    <cfRule type="cellIs" dxfId="1090" priority="172" stopIfTrue="1" operator="greaterThan">
      <formula>$F$81</formula>
    </cfRule>
    <cfRule type="cellIs" dxfId="1089" priority="173" stopIfTrue="1" operator="lessThanOrEqual">
      <formula>0</formula>
    </cfRule>
  </conditionalFormatting>
  <conditionalFormatting sqref="H13:H19">
    <cfRule type="expression" dxfId="1088" priority="8">
      <formula>IF(+(IF(H13&lt;#REF!,0,IF(H13&gt;#REF!,0,1)))=0,1)</formula>
    </cfRule>
  </conditionalFormatting>
  <conditionalFormatting sqref="H39:H40 H53">
    <cfRule type="cellIs" dxfId="1087" priority="170" stopIfTrue="1" operator="greaterThan">
      <formula>0</formula>
    </cfRule>
  </conditionalFormatting>
  <conditionalFormatting sqref="H57">
    <cfRule type="cellIs" dxfId="1086" priority="62" stopIfTrue="1" operator="lessThanOrEqual">
      <formula>0</formula>
    </cfRule>
    <cfRule type="cellIs" dxfId="1085" priority="63" stopIfTrue="1" operator="greaterThan">
      <formula>$F$70</formula>
    </cfRule>
    <cfRule type="cellIs" dxfId="1084" priority="71" stopIfTrue="1" operator="greaterThan">
      <formula>$F$73</formula>
    </cfRule>
    <cfRule type="cellIs" dxfId="1083" priority="72" stopIfTrue="1" operator="lessThanOrEqual">
      <formula>0</formula>
    </cfRule>
    <cfRule type="cellIs" dxfId="1082" priority="73" stopIfTrue="1" operator="greaterThan">
      <formula>$F$71</formula>
    </cfRule>
  </conditionalFormatting>
  <conditionalFormatting sqref="H57:H58">
    <cfRule type="cellIs" dxfId="1081" priority="74" stopIfTrue="1" operator="lessThanOrEqual">
      <formula>0</formula>
    </cfRule>
  </conditionalFormatting>
  <conditionalFormatting sqref="H58 H60:H61">
    <cfRule type="cellIs" dxfId="1080" priority="100" stopIfTrue="1" operator="lessThanOrEqual">
      <formula>0</formula>
    </cfRule>
  </conditionalFormatting>
  <conditionalFormatting sqref="H58">
    <cfRule type="cellIs" dxfId="1079" priority="89" stopIfTrue="1" operator="greaterThan">
      <formula>$F$70</formula>
    </cfRule>
    <cfRule type="cellIs" dxfId="1078" priority="97" stopIfTrue="1" operator="greaterThan">
      <formula>$F$73</formula>
    </cfRule>
    <cfRule type="cellIs" dxfId="1077" priority="98" stopIfTrue="1" operator="lessThanOrEqual">
      <formula>0</formula>
    </cfRule>
    <cfRule type="cellIs" dxfId="1076" priority="99" stopIfTrue="1" operator="greaterThan">
      <formula>$F$71</formula>
    </cfRule>
  </conditionalFormatting>
  <conditionalFormatting sqref="H59">
    <cfRule type="cellIs" dxfId="1075" priority="29" stopIfTrue="1" operator="lessThanOrEqual">
      <formula>0</formula>
    </cfRule>
    <cfRule type="cellIs" dxfId="1074" priority="30" stopIfTrue="1" operator="greaterThan">
      <formula>$F$72</formula>
    </cfRule>
    <cfRule type="cellIs" dxfId="1073" priority="38" stopIfTrue="1" operator="greaterThan">
      <formula>$F$75</formula>
    </cfRule>
    <cfRule type="cellIs" dxfId="1072" priority="39" stopIfTrue="1" operator="lessThanOrEqual">
      <formula>0</formula>
    </cfRule>
    <cfRule type="cellIs" dxfId="1071" priority="40" stopIfTrue="1" operator="greaterThan">
      <formula>$F$73</formula>
    </cfRule>
    <cfRule type="cellIs" dxfId="1070" priority="41" stopIfTrue="1" operator="lessThanOrEqual">
      <formula>0</formula>
    </cfRule>
  </conditionalFormatting>
  <conditionalFormatting sqref="H60:H61">
    <cfRule type="cellIs" dxfId="1069" priority="102" stopIfTrue="1" operator="greaterThan">
      <formula>$F$70</formula>
    </cfRule>
    <cfRule type="cellIs" dxfId="1068" priority="110" stopIfTrue="1" operator="greaterThan">
      <formula>$F$73</formula>
    </cfRule>
    <cfRule type="cellIs" dxfId="1067" priority="111" stopIfTrue="1" operator="lessThanOrEqual">
      <formula>0</formula>
    </cfRule>
    <cfRule type="cellIs" dxfId="1066" priority="112" stopIfTrue="1" operator="greaterThan">
      <formula>$F$71</formula>
    </cfRule>
    <cfRule type="cellIs" dxfId="1065" priority="113" stopIfTrue="1" operator="lessThanOrEqual">
      <formula>0</formula>
    </cfRule>
  </conditionalFormatting>
  <conditionalFormatting sqref="H62:H63">
    <cfRule type="cellIs" dxfId="1064" priority="137" stopIfTrue="1" operator="lessThanOrEqual">
      <formula>0</formula>
    </cfRule>
    <cfRule type="cellIs" dxfId="1063" priority="138" stopIfTrue="1" operator="greaterThan">
      <formula>#REF!</formula>
    </cfRule>
    <cfRule type="cellIs" dxfId="1062" priority="146" stopIfTrue="1" operator="greaterThan">
      <formula>#REF!</formula>
    </cfRule>
    <cfRule type="cellIs" dxfId="1061" priority="147" stopIfTrue="1" operator="lessThanOrEqual">
      <formula>0</formula>
    </cfRule>
  </conditionalFormatting>
  <conditionalFormatting sqref="H64">
    <cfRule type="cellIs" dxfId="1060" priority="149" stopIfTrue="1" operator="lessThanOrEqual">
      <formula>0</formula>
    </cfRule>
    <cfRule type="cellIs" dxfId="1059" priority="150" stopIfTrue="1" operator="greaterThan">
      <formula>$F$38</formula>
    </cfRule>
    <cfRule type="cellIs" dxfId="1058" priority="158" stopIfTrue="1" operator="greaterThan">
      <formula>$F$41</formula>
    </cfRule>
    <cfRule type="cellIs" dxfId="1057" priority="159" stopIfTrue="1" operator="lessThanOrEqual">
      <formula>0</formula>
    </cfRule>
    <cfRule type="cellIs" dxfId="1056" priority="160" stopIfTrue="1" operator="greaterThan">
      <formula>$F$39</formula>
    </cfRule>
    <cfRule type="cellIs" dxfId="1055" priority="161" stopIfTrue="1" operator="lessThanOrEqual">
      <formula>0</formula>
    </cfRule>
  </conditionalFormatting>
  <conditionalFormatting sqref="H65:H66">
    <cfRule type="cellIs" dxfId="1054" priority="125" stopIfTrue="1" operator="lessThanOrEqual">
      <formula>0</formula>
    </cfRule>
    <cfRule type="cellIs" dxfId="1053" priority="126" stopIfTrue="1" operator="greaterThan">
      <formula>#REF!</formula>
    </cfRule>
    <cfRule type="cellIs" dxfId="1052" priority="134" stopIfTrue="1" operator="greaterThan">
      <formula>#REF!</formula>
    </cfRule>
    <cfRule type="cellIs" dxfId="1051" priority="135" stopIfTrue="1" operator="lessThanOrEqual">
      <formula>0</formula>
    </cfRule>
  </conditionalFormatting>
  <conditionalFormatting sqref="H81 H83:H89">
    <cfRule type="cellIs" dxfId="1050" priority="184" stopIfTrue="1" operator="greaterThan">
      <formula>4.5</formula>
    </cfRule>
    <cfRule type="cellIs" dxfId="1049" priority="185" stopIfTrue="1" operator="lessThanOrEqual">
      <formula>0</formula>
    </cfRule>
  </conditionalFormatting>
  <conditionalFormatting sqref="H57:I57">
    <cfRule type="cellIs" dxfId="1048" priority="64" stopIfTrue="1" operator="lessThanOrEqual">
      <formula>0</formula>
    </cfRule>
  </conditionalFormatting>
  <conditionalFormatting sqref="H57:I58 H60:I61">
    <cfRule type="cellIs" dxfId="1047" priority="61" stopIfTrue="1" operator="greaterThan">
      <formula>$F$72</formula>
    </cfRule>
  </conditionalFormatting>
  <conditionalFormatting sqref="H58:I58">
    <cfRule type="cellIs" dxfId="1046" priority="90" stopIfTrue="1" operator="lessThanOrEqual">
      <formula>0</formula>
    </cfRule>
  </conditionalFormatting>
  <conditionalFormatting sqref="H59:I59">
    <cfRule type="cellIs" dxfId="1045" priority="28" stopIfTrue="1" operator="greaterThan">
      <formula>$F$74</formula>
    </cfRule>
    <cfRule type="cellIs" dxfId="1044" priority="31" stopIfTrue="1" operator="lessThanOrEqual">
      <formula>0</formula>
    </cfRule>
  </conditionalFormatting>
  <conditionalFormatting sqref="H60:I61">
    <cfRule type="cellIs" dxfId="1043" priority="103" stopIfTrue="1" operator="lessThanOrEqual">
      <formula>0</formula>
    </cfRule>
  </conditionalFormatting>
  <conditionalFormatting sqref="H62:I63">
    <cfRule type="cellIs" dxfId="1042" priority="136" stopIfTrue="1" operator="greaterThan">
      <formula>#REF!</formula>
    </cfRule>
    <cfRule type="cellIs" dxfId="1041" priority="139" stopIfTrue="1" operator="lessThanOrEqual">
      <formula>0</formula>
    </cfRule>
    <cfRule type="cellIs" dxfId="1040" priority="144" stopIfTrue="1" operator="greaterThan">
      <formula>#REF!</formula>
    </cfRule>
    <cfRule type="cellIs" dxfId="1039" priority="145" stopIfTrue="1" operator="lessThanOrEqual">
      <formula>0</formula>
    </cfRule>
  </conditionalFormatting>
  <conditionalFormatting sqref="H64:I64">
    <cfRule type="cellIs" dxfId="1038" priority="148" stopIfTrue="1" operator="greaterThan">
      <formula>$F$40</formula>
    </cfRule>
    <cfRule type="cellIs" dxfId="1037" priority="151" stopIfTrue="1" operator="lessThanOrEqual">
      <formula>0</formula>
    </cfRule>
  </conditionalFormatting>
  <conditionalFormatting sqref="H65:I66">
    <cfRule type="cellIs" dxfId="1036" priority="124" stopIfTrue="1" operator="greaterThan">
      <formula>#REF!</formula>
    </cfRule>
    <cfRule type="cellIs" dxfId="1035" priority="127" stopIfTrue="1" operator="lessThanOrEqual">
      <formula>0</formula>
    </cfRule>
    <cfRule type="cellIs" dxfId="1034" priority="132" stopIfTrue="1" operator="greaterThan">
      <formula>#REF!</formula>
    </cfRule>
    <cfRule type="cellIs" dxfId="1033" priority="133" stopIfTrue="1" operator="lessThanOrEqual">
      <formula>0</formula>
    </cfRule>
  </conditionalFormatting>
  <conditionalFormatting sqref="H70:I77">
    <cfRule type="cellIs" dxfId="1032" priority="46" stopIfTrue="1" operator="greaterThan">
      <formula>$J70</formula>
    </cfRule>
    <cfRule type="cellIs" dxfId="1031" priority="47" stopIfTrue="1" operator="lessThanOrEqual">
      <formula>0</formula>
    </cfRule>
  </conditionalFormatting>
  <conditionalFormatting sqref="H78:I78">
    <cfRule type="cellIs" dxfId="1030" priority="54" operator="greaterThan">
      <formula>5.3</formula>
    </cfRule>
  </conditionalFormatting>
  <conditionalFormatting sqref="H79:I79">
    <cfRule type="cellIs" dxfId="1029" priority="52" stopIfTrue="1" operator="greaterThan">
      <formula>$J79</formula>
    </cfRule>
    <cfRule type="cellIs" dxfId="1028" priority="53" stopIfTrue="1" operator="lessThanOrEqual">
      <formula>0</formula>
    </cfRule>
  </conditionalFormatting>
  <conditionalFormatting sqref="I57">
    <cfRule type="cellIs" dxfId="1027" priority="65" stopIfTrue="1" operator="greaterThan">
      <formula>$F$70</formula>
    </cfRule>
    <cfRule type="cellIs" dxfId="1026" priority="66" stopIfTrue="1" operator="lessThanOrEqual">
      <formula>0</formula>
    </cfRule>
    <cfRule type="cellIs" dxfId="1025" priority="67" stopIfTrue="1" operator="greaterThan">
      <formula>$F$72</formula>
    </cfRule>
    <cfRule type="cellIs" dxfId="1024" priority="68" stopIfTrue="1" operator="lessThanOrEqual">
      <formula>0</formula>
    </cfRule>
    <cfRule type="cellIs" dxfId="1023" priority="69" stopIfTrue="1" operator="greaterThan">
      <formula>$F$70</formula>
    </cfRule>
    <cfRule type="cellIs" dxfId="1022" priority="70" stopIfTrue="1" operator="lessThanOrEqual">
      <formula>0</formula>
    </cfRule>
  </conditionalFormatting>
  <conditionalFormatting sqref="I58">
    <cfRule type="cellIs" dxfId="1021" priority="91" stopIfTrue="1" operator="greaterThan">
      <formula>$F$70</formula>
    </cfRule>
    <cfRule type="cellIs" dxfId="1020" priority="92" stopIfTrue="1" operator="lessThanOrEqual">
      <formula>0</formula>
    </cfRule>
    <cfRule type="cellIs" dxfId="1019" priority="93" stopIfTrue="1" operator="greaterThan">
      <formula>$F$72</formula>
    </cfRule>
    <cfRule type="cellIs" dxfId="1018" priority="94" stopIfTrue="1" operator="lessThanOrEqual">
      <formula>0</formula>
    </cfRule>
    <cfRule type="cellIs" dxfId="1017" priority="95" stopIfTrue="1" operator="greaterThan">
      <formula>$F$70</formula>
    </cfRule>
    <cfRule type="cellIs" dxfId="1016" priority="96" stopIfTrue="1" operator="lessThanOrEqual">
      <formula>0</formula>
    </cfRule>
  </conditionalFormatting>
  <conditionalFormatting sqref="I59">
    <cfRule type="cellIs" dxfId="1015" priority="32" stopIfTrue="1" operator="greaterThan">
      <formula>$F$72</formula>
    </cfRule>
    <cfRule type="cellIs" dxfId="1014" priority="33" stopIfTrue="1" operator="lessThanOrEqual">
      <formula>0</formula>
    </cfRule>
    <cfRule type="cellIs" dxfId="1013" priority="34" stopIfTrue="1" operator="greaterThan">
      <formula>$F$74</formula>
    </cfRule>
    <cfRule type="cellIs" dxfId="1012" priority="35" stopIfTrue="1" operator="lessThanOrEqual">
      <formula>0</formula>
    </cfRule>
    <cfRule type="cellIs" dxfId="1011" priority="36" stopIfTrue="1" operator="greaterThan">
      <formula>$F$72</formula>
    </cfRule>
    <cfRule type="cellIs" dxfId="1010" priority="37" stopIfTrue="1" operator="lessThanOrEqual">
      <formula>0</formula>
    </cfRule>
  </conditionalFormatting>
  <conditionalFormatting sqref="I60:I61">
    <cfRule type="cellIs" dxfId="1009" priority="104" stopIfTrue="1" operator="greaterThan">
      <formula>$F$70</formula>
    </cfRule>
    <cfRule type="cellIs" dxfId="1008" priority="105" stopIfTrue="1" operator="lessThanOrEqual">
      <formula>0</formula>
    </cfRule>
    <cfRule type="cellIs" dxfId="1007" priority="106" stopIfTrue="1" operator="greaterThan">
      <formula>$F$72</formula>
    </cfRule>
    <cfRule type="cellIs" dxfId="1006" priority="107" stopIfTrue="1" operator="lessThanOrEqual">
      <formula>0</formula>
    </cfRule>
    <cfRule type="cellIs" dxfId="1005" priority="108" stopIfTrue="1" operator="greaterThan">
      <formula>$F$70</formula>
    </cfRule>
    <cfRule type="cellIs" dxfId="1004" priority="109" stopIfTrue="1" operator="lessThanOrEqual">
      <formula>0</formula>
    </cfRule>
  </conditionalFormatting>
  <conditionalFormatting sqref="I62:I63">
    <cfRule type="cellIs" dxfId="1003" priority="140" stopIfTrue="1" operator="greaterThan">
      <formula>#REF!</formula>
    </cfRule>
    <cfRule type="cellIs" dxfId="1002" priority="141" stopIfTrue="1" operator="lessThanOrEqual">
      <formula>0</formula>
    </cfRule>
    <cfRule type="cellIs" dxfId="1001" priority="142" stopIfTrue="1" operator="greaterThan">
      <formula>#REF!</formula>
    </cfRule>
    <cfRule type="cellIs" dxfId="1000" priority="143" stopIfTrue="1" operator="lessThanOrEqual">
      <formula>0</formula>
    </cfRule>
  </conditionalFormatting>
  <conditionalFormatting sqref="I64">
    <cfRule type="cellIs" dxfId="999" priority="152" stopIfTrue="1" operator="greaterThan">
      <formula>$F$38</formula>
    </cfRule>
    <cfRule type="cellIs" dxfId="998" priority="153" stopIfTrue="1" operator="lessThanOrEqual">
      <formula>0</formula>
    </cfRule>
    <cfRule type="cellIs" dxfId="997" priority="154" stopIfTrue="1" operator="greaterThan">
      <formula>$F$40</formula>
    </cfRule>
    <cfRule type="cellIs" dxfId="996" priority="155" stopIfTrue="1" operator="lessThanOrEqual">
      <formula>0</formula>
    </cfRule>
    <cfRule type="cellIs" dxfId="995" priority="156" stopIfTrue="1" operator="greaterThan">
      <formula>$F$38</formula>
    </cfRule>
    <cfRule type="cellIs" dxfId="994" priority="157" stopIfTrue="1" operator="lessThanOrEqual">
      <formula>0</formula>
    </cfRule>
  </conditionalFormatting>
  <conditionalFormatting sqref="I65:I66">
    <cfRule type="cellIs" dxfId="993" priority="128" stopIfTrue="1" operator="greaterThan">
      <formula>#REF!</formula>
    </cfRule>
    <cfRule type="cellIs" dxfId="992" priority="129" stopIfTrue="1" operator="lessThanOrEqual">
      <formula>0</formula>
    </cfRule>
    <cfRule type="cellIs" dxfId="991" priority="130" stopIfTrue="1" operator="greaterThan">
      <formula>#REF!</formula>
    </cfRule>
    <cfRule type="cellIs" dxfId="990" priority="131" stopIfTrue="1" operator="lessThanOrEqual">
      <formula>0</formula>
    </cfRule>
  </conditionalFormatting>
  <conditionalFormatting sqref="I81:I89">
    <cfRule type="cellIs" dxfId="989" priority="180" stopIfTrue="1" operator="greaterThan">
      <formula>4.5</formula>
    </cfRule>
    <cfRule type="cellIs" dxfId="988" priority="181" stopIfTrue="1" operator="lessThanOrEqual">
      <formula>0</formula>
    </cfRule>
  </conditionalFormatting>
  <conditionalFormatting sqref="I10:J25">
    <cfRule type="cellIs" dxfId="987" priority="1" operator="lessThan">
      <formula>97.9</formula>
    </cfRule>
  </conditionalFormatting>
  <conditionalFormatting sqref="J28:J30">
    <cfRule type="cellIs" dxfId="986" priority="27" operator="lessThan">
      <formula>97.95</formula>
    </cfRule>
  </conditionalFormatting>
  <conditionalFormatting sqref="J29:J32">
    <cfRule type="cellIs" dxfId="985" priority="162" operator="lessThan">
      <formula>97.4</formula>
    </cfRule>
  </conditionalFormatting>
  <conditionalFormatting sqref="J33:J34">
    <cfRule type="cellIs" dxfId="984" priority="163" operator="lessThan">
      <formula>98</formula>
    </cfRule>
  </conditionalFormatting>
  <conditionalFormatting sqref="J35:J36">
    <cfRule type="cellIs" dxfId="983" priority="164" stopIfTrue="1" operator="lessThan">
      <formula>96.8</formula>
    </cfRule>
    <cfRule type="cellIs" dxfId="982" priority="165" stopIfTrue="1" operator="greaterThan">
      <formula>100</formula>
    </cfRule>
  </conditionalFormatting>
  <conditionalFormatting sqref="J35:J37">
    <cfRule type="cellIs" dxfId="981" priority="166" operator="lessThan">
      <formula>98</formula>
    </cfRule>
  </conditionalFormatting>
  <conditionalFormatting sqref="J66">
    <cfRule type="cellIs" dxfId="980" priority="116" stopIfTrue="1" operator="greaterThan">
      <formula>#REF!</formula>
    </cfRule>
    <cfRule type="cellIs" dxfId="979" priority="117" stopIfTrue="1" operator="lessThanOrEqual">
      <formula>0</formula>
    </cfRule>
    <cfRule type="cellIs" dxfId="978" priority="118" stopIfTrue="1" operator="greaterThan">
      <formula>#REF!</formula>
    </cfRule>
    <cfRule type="cellIs" dxfId="977" priority="119" stopIfTrue="1" operator="lessThanOrEqual">
      <formula>0</formula>
    </cfRule>
    <cfRule type="cellIs" dxfId="976" priority="120" stopIfTrue="1" operator="greaterThan">
      <formula>#REF!</formula>
    </cfRule>
    <cfRule type="cellIs" dxfId="975" priority="121" stopIfTrue="1" operator="lessThanOrEqual">
      <formula>0</formula>
    </cfRule>
    <cfRule type="cellIs" dxfId="974" priority="122" stopIfTrue="1" operator="greaterThan">
      <formula>#REF!</formula>
    </cfRule>
    <cfRule type="cellIs" dxfId="973" priority="123" stopIfTrue="1" operator="lessThanOrEqual">
      <formula>0</formula>
    </cfRule>
  </conditionalFormatting>
  <conditionalFormatting sqref="J79">
    <cfRule type="cellIs" dxfId="972" priority="55" stopIfTrue="1" operator="greaterThan">
      <formula>$F79</formula>
    </cfRule>
    <cfRule type="cellIs" dxfId="971" priority="56" stopIfTrue="1" operator="lessThanOrEqual">
      <formula>0</formula>
    </cfRule>
  </conditionalFormatting>
  <conditionalFormatting sqref="K10:K25">
    <cfRule type="cellIs" dxfId="970" priority="2" operator="greaterThan">
      <formula>6</formula>
    </cfRule>
    <cfRule type="cellIs" dxfId="969" priority="3" operator="lessThan">
      <formula>4</formula>
    </cfRule>
    <cfRule type="cellIs" dxfId="968" priority="4" operator="greaterThan">
      <formula>6.4</formula>
    </cfRule>
  </conditionalFormatting>
  <conditionalFormatting sqref="K57:K66">
    <cfRule type="cellIs" dxfId="967" priority="101" stopIfTrue="1" operator="lessThan">
      <formula>100%</formula>
    </cfRule>
  </conditionalFormatting>
  <conditionalFormatting sqref="K70:K78">
    <cfRule type="cellIs" dxfId="966" priority="45" stopIfTrue="1" operator="lessThan">
      <formula>100%</formula>
    </cfRule>
  </conditionalFormatting>
  <conditionalFormatting sqref="K81:K86">
    <cfRule type="cellIs" dxfId="965" priority="186" stopIfTrue="1" operator="lessThan">
      <formula>100%</formula>
    </cfRule>
  </conditionalFormatting>
  <conditionalFormatting sqref="K88:K89">
    <cfRule type="cellIs" dxfId="964" priority="193" stopIfTrue="1" operator="lessThan">
      <formula>100%</formula>
    </cfRule>
  </conditionalFormatting>
  <conditionalFormatting sqref="L10:L25">
    <cfRule type="cellIs" dxfId="963" priority="5" operator="between">
      <formula>61</formula>
      <formula>65</formula>
    </cfRule>
    <cfRule type="cellIs" dxfId="962" priority="6" operator="greaterThan">
      <formula>65</formula>
    </cfRule>
  </conditionalFormatting>
  <conditionalFormatting sqref="L28:M39">
    <cfRule type="cellIs" dxfId="961" priority="26" operator="lessThan">
      <formula>97.95</formula>
    </cfRule>
  </conditionalFormatting>
  <conditionalFormatting sqref="L43:N43">
    <cfRule type="cellIs" dxfId="960" priority="16" operator="notEqual">
      <formula>#REF!</formula>
    </cfRule>
  </conditionalFormatting>
  <conditionalFormatting sqref="L70:N79">
    <cfRule type="cellIs" dxfId="959" priority="42" stopIfTrue="1" operator="lessThan">
      <formula>100%</formula>
    </cfRule>
  </conditionalFormatting>
  <conditionalFormatting sqref="L81:N89">
    <cfRule type="cellIs" dxfId="958" priority="171" stopIfTrue="1" operator="lessThan">
      <formula>100%</formula>
    </cfRule>
  </conditionalFormatting>
  <conditionalFormatting sqref="M13:M19 M25">
    <cfRule type="expression" dxfId="957" priority="13">
      <formula>IF(+(IF(M13&lt;U13,0,IF(M13&gt;V13,0,1)))=0,1)</formula>
    </cfRule>
  </conditionalFormatting>
  <conditionalFormatting sqref="N10:N25">
    <cfRule type="expression" dxfId="956" priority="19">
      <formula>IF(+(IF(N10&lt;W10,0,IF(N10&gt;X10,0,1)))=0,1)</formula>
    </cfRule>
  </conditionalFormatting>
  <conditionalFormatting sqref="P6">
    <cfRule type="cellIs" dxfId="955" priority="167" operator="greaterThanOrEqual">
      <formula>19</formula>
    </cfRule>
  </conditionalFormatting>
  <dataValidations count="1">
    <dataValidation type="list" allowBlank="1" showInputMessage="1" showErrorMessage="1" sqref="R8" xr:uid="{D65864D6-276B-4850-A83C-E0783916EF6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F5D8-83CC-4896-8009-35688557C8C8}">
  <sheetPr>
    <pageSetUpPr fitToPage="1"/>
  </sheetPr>
  <dimension ref="A1:BE69"/>
  <sheetViews>
    <sheetView zoomScale="85" zoomScaleNormal="85" workbookViewId="0">
      <selection activeCell="J47" sqref="J4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46286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4" t="s">
        <v>12</v>
      </c>
      <c r="C10" s="366" t="str">
        <f>[5]Brewhouse!$A106</f>
        <v>GU084</v>
      </c>
      <c r="D10" s="279">
        <f>[5]Brewhouse!$AF106</f>
        <v>54</v>
      </c>
      <c r="E10" s="279">
        <f>[5]Brewhouse!$AI106</f>
        <v>51.24</v>
      </c>
      <c r="F10" s="278">
        <f>[5]Brewhouse!$V106</f>
        <v>60</v>
      </c>
      <c r="G10" s="279">
        <f>[5]Brewhouse!$AG106</f>
        <v>17</v>
      </c>
      <c r="H10" s="396">
        <v>17.3</v>
      </c>
      <c r="I10" s="489">
        <f>[5]Brewhouse!$AU106</f>
        <v>96.371888664415408</v>
      </c>
      <c r="J10" s="489">
        <f>[5]Brewhouse!$AV106</f>
        <v>97.016863250064389</v>
      </c>
      <c r="K10" s="490">
        <f>[5]Brewhouse!$R106</f>
        <v>5.4999999999999973</v>
      </c>
      <c r="L10" s="276">
        <f>[5]Brewhouse!$O106</f>
        <v>59</v>
      </c>
      <c r="M10" s="374">
        <f>[5]Brewhouse!$U106-[5]Brewhouse!$T106</f>
        <v>0.12569444444444444</v>
      </c>
      <c r="N10" s="370">
        <f>[5]Brewhouse!$Z106</f>
        <v>0.28680555555555554</v>
      </c>
      <c r="O10" s="420" t="str">
        <f>[5]Brewhouse!$AW106</f>
        <v>K. Benjamin</v>
      </c>
      <c r="P10" s="418"/>
      <c r="R10" s="277" t="str">
        <f t="shared" ref="R10:R29" si="0">B10</f>
        <v>GUINNESS</v>
      </c>
      <c r="S10" s="472">
        <f t="shared" ref="S10:S29" si="1">VLOOKUP($B10,$R$3:$X$9,2,FALSE)</f>
        <v>17</v>
      </c>
      <c r="T10" s="472">
        <f t="shared" ref="T10:T29" si="2">VLOOKUP($B10,$R$3:$X$9,3,FALSE)</f>
        <v>17.5</v>
      </c>
      <c r="U10" s="297">
        <f t="shared" ref="U10:U29" si="3">VLOOKUP($B10,$R$3:$X$9,4,FALSE)</f>
        <v>0</v>
      </c>
      <c r="V10" s="297">
        <f t="shared" ref="V10:V29" si="4">VLOOKUP($B10,$R$3:$X$9,5,FALSE)</f>
        <v>0.1076388888888889</v>
      </c>
      <c r="W10" s="297">
        <f t="shared" ref="W10:W29" si="5">VLOOKUP($B10,$R$3:$X$9,6,FALSE)</f>
        <v>0.24652777777777779</v>
      </c>
      <c r="X10" s="297">
        <f t="shared" ref="X10:X29" si="6">VLOOKUP($B10,$R$3:$X$9,7,FALSE)</f>
        <v>0.28472222222222221</v>
      </c>
      <c r="Y10" s="297">
        <f t="shared" ref="Y10:Y29" si="7">VLOOKUP($B10,$R$3:$Z$9,8,FALSE)</f>
        <v>0</v>
      </c>
      <c r="Z10" s="472">
        <f t="shared" ref="Z10:Z29" si="8">VLOOKUP($B10,$R$3:$Z$9,9,FALSE)</f>
        <v>60</v>
      </c>
    </row>
    <row r="11" spans="2:29" ht="15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420"/>
      <c r="P11" s="418"/>
      <c r="R11" s="277">
        <f t="shared" si="0"/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2:29" ht="1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420"/>
      <c r="P12" s="418"/>
      <c r="R12" s="277">
        <f t="shared" si="0"/>
        <v>0</v>
      </c>
      <c r="S12" s="472" t="e">
        <f t="shared" si="1"/>
        <v>#N/A</v>
      </c>
      <c r="T12" s="472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2" t="e">
        <f t="shared" si="8"/>
        <v>#N/A</v>
      </c>
    </row>
    <row r="13" spans="2:29" ht="1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420"/>
      <c r="P13" s="418"/>
      <c r="R13" s="277">
        <f t="shared" si="0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5" customHeight="1">
      <c r="B15" s="36"/>
      <c r="C15" s="366"/>
      <c r="D15" s="279"/>
      <c r="E15" s="279"/>
      <c r="F15" s="278"/>
      <c r="G15" s="279"/>
      <c r="H15" s="396"/>
      <c r="I15" s="489"/>
      <c r="J15" s="489"/>
      <c r="K15" s="490"/>
      <c r="L15" s="276"/>
      <c r="M15" s="374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7.25" customHeight="1" thickBot="1">
      <c r="B16" s="358"/>
      <c r="C16" s="358"/>
      <c r="D16" s="358"/>
      <c r="E16" s="358"/>
      <c r="F16" s="294"/>
      <c r="G16" s="294"/>
      <c r="H16" s="348"/>
      <c r="I16" s="534"/>
      <c r="J16" s="534"/>
      <c r="K16" s="534"/>
      <c r="L16" s="534"/>
      <c r="M16" s="534"/>
      <c r="N16" s="534"/>
      <c r="O16" s="1"/>
      <c r="P16" s="12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7.25" customHeight="1" thickBot="1">
      <c r="B17" s="483" t="s">
        <v>162</v>
      </c>
      <c r="C17" s="388"/>
      <c r="D17" s="535" t="s">
        <v>35</v>
      </c>
      <c r="E17" s="536"/>
      <c r="F17" s="294"/>
      <c r="G17" s="294"/>
      <c r="H17" s="348"/>
      <c r="I17" s="24" t="s">
        <v>17</v>
      </c>
      <c r="J17" s="25"/>
      <c r="K17" s="26" t="s">
        <v>138</v>
      </c>
      <c r="L17" s="25" t="s">
        <v>37</v>
      </c>
      <c r="M17" s="25" t="s">
        <v>38</v>
      </c>
      <c r="N17" s="27" t="s">
        <v>39</v>
      </c>
      <c r="O17" s="294"/>
      <c r="P17" s="12"/>
      <c r="R17" s="277" t="str">
        <f t="shared" si="0"/>
        <v xml:space="preserve">BRAND 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7.25" customHeight="1">
      <c r="A18" s="28"/>
      <c r="B18" s="537"/>
      <c r="C18" s="484"/>
      <c r="D18" s="522"/>
      <c r="E18" s="523"/>
      <c r="F18" s="294"/>
      <c r="G18" s="294"/>
      <c r="H18" s="348"/>
      <c r="I18" s="29" t="s">
        <v>6</v>
      </c>
      <c r="J18" s="323"/>
      <c r="K18" s="284">
        <f>COUNTA([3]Brewhouse!$A$696:$A$763)</f>
        <v>68</v>
      </c>
      <c r="L18" s="305">
        <f>AVERAGE([3]Brewhouse!$AU$696:$AU$763)</f>
        <v>98.656376672198689</v>
      </c>
      <c r="M18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$763)</f>
        <v>98.320769975556459</v>
      </c>
      <c r="N18" s="30">
        <v>98</v>
      </c>
      <c r="O18" s="11"/>
      <c r="P18" s="31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A19" s="28"/>
      <c r="B19" s="538"/>
      <c r="C19" s="362"/>
      <c r="D19" s="524"/>
      <c r="E19" s="525"/>
      <c r="F19" s="294"/>
      <c r="G19" s="294"/>
      <c r="H19" s="348"/>
      <c r="I19" s="33" t="s">
        <v>9</v>
      </c>
      <c r="J19" s="323"/>
      <c r="K19" s="284">
        <f>COUNTA([4]Brewhouse!$A$363:$A$372)</f>
        <v>10</v>
      </c>
      <c r="L19" s="302">
        <f>AVERAGE([4]Brewhouse!$AS$363:$AS$372)</f>
        <v>100.50071873632695</v>
      </c>
      <c r="M19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AVERAGE([4]Brewhouse!$AS$52:$AS$81,[4]Brewhouse!$AS$83:$AS$124,[4]Brewhouse!$AS$134:$AS$177,[4]Brewhouse!$AS$22:$AS$179,[4]Brewhouse!$AS$214:$AS$249,[4]Brewhouse!$AS$252:$AS$293,[4]Brewhouse!$AS$295:$AS$325,[4]Brewhouse!$AS$327:$AS$361,[4]Brewhouse!$AS$363:$AS$372)</f>
        <v>98.29248495310074</v>
      </c>
      <c r="N19" s="30">
        <v>98</v>
      </c>
      <c r="O19" s="11"/>
      <c r="P19" s="31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4.65" customHeight="1">
      <c r="A20" s="28"/>
      <c r="B20" s="538"/>
      <c r="C20" s="362"/>
      <c r="D20" s="529"/>
      <c r="E20" s="530"/>
      <c r="F20" s="294"/>
      <c r="G20" s="294"/>
      <c r="H20" s="348"/>
      <c r="I20" s="34" t="s">
        <v>12</v>
      </c>
      <c r="J20" s="323">
        <f>AVERAGE(I10)</f>
        <v>96.371888664415408</v>
      </c>
      <c r="K20" s="284">
        <f>COUNTA([5]Brewhouse!$A$99:$A$106)</f>
        <v>8</v>
      </c>
      <c r="L20" s="302">
        <f>AVERAGE([5]Brewhouse!$AU$99:$AU$106)</f>
        <v>96.462109124412379</v>
      </c>
      <c r="M20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20" s="30">
        <v>98</v>
      </c>
      <c r="O20" s="11"/>
      <c r="P20" s="31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4.65" customHeight="1">
      <c r="A21" s="28"/>
      <c r="B21" s="538"/>
      <c r="C21" s="362"/>
      <c r="D21" s="531"/>
      <c r="E21" s="525"/>
      <c r="F21" s="294"/>
      <c r="G21" s="294"/>
      <c r="H21" s="348"/>
      <c r="I21" s="22" t="s">
        <v>33</v>
      </c>
      <c r="J21" s="280"/>
      <c r="K21" s="284"/>
      <c r="L21" s="302"/>
      <c r="M21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1" s="30">
        <v>98</v>
      </c>
      <c r="O21" s="11"/>
      <c r="P21" s="31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4.65" customHeight="1">
      <c r="A22" s="28"/>
      <c r="B22" s="538"/>
      <c r="C22" s="362"/>
      <c r="D22" s="529"/>
      <c r="E22" s="530"/>
      <c r="F22" s="294"/>
      <c r="G22" s="294"/>
      <c r="H22" s="348"/>
      <c r="I22" s="35" t="s">
        <v>29</v>
      </c>
      <c r="J22" s="280"/>
      <c r="K22" s="284"/>
      <c r="L22" s="302"/>
      <c r="M22" s="302"/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4.65" customHeight="1">
      <c r="A23" s="28"/>
      <c r="B23" s="538"/>
      <c r="C23" s="362"/>
      <c r="D23" s="531"/>
      <c r="E23" s="525"/>
      <c r="F23" s="417"/>
      <c r="G23" s="294"/>
      <c r="H23" s="348"/>
      <c r="I23" s="36" t="s">
        <v>15</v>
      </c>
      <c r="J23" s="323"/>
      <c r="K23" s="284">
        <f>COUNTA([7]Brewhouse!$A$23:$A$30)</f>
        <v>8</v>
      </c>
      <c r="L23" s="302">
        <f>AVERAGE([7]Brewhouse!$AT$23:$AT$30)</f>
        <v>96.065914782338609</v>
      </c>
      <c r="M23" s="302">
        <f>AVERAGE([7]Brewhouse!$AT$4:$AT$11,[7]Brewhouse!$AT$13:$AT$16,[7]Brewhouse!$AT$18:$AT$30)</f>
        <v>93.22262799886262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38"/>
      <c r="C24" s="362"/>
      <c r="D24" s="529"/>
      <c r="E24" s="530"/>
      <c r="F24" s="417"/>
      <c r="G24" s="294"/>
      <c r="H24" s="348"/>
      <c r="I24" s="37" t="s">
        <v>16</v>
      </c>
      <c r="J24" s="323"/>
      <c r="K24" s="284"/>
      <c r="L24" s="302"/>
      <c r="M24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24" s="30">
        <v>98</v>
      </c>
      <c r="O24" s="11"/>
      <c r="P24" s="31" t="s">
        <v>41</v>
      </c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38"/>
      <c r="C25" s="362"/>
      <c r="D25" s="531"/>
      <c r="E25" s="525"/>
      <c r="F25" s="294"/>
      <c r="G25" s="294"/>
      <c r="H25" s="348"/>
      <c r="I25" s="411" t="s">
        <v>158</v>
      </c>
      <c r="J25" s="326"/>
      <c r="K25" s="284"/>
      <c r="L25" s="305"/>
      <c r="M25" s="305"/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38"/>
      <c r="C26" s="362"/>
      <c r="D26" s="529"/>
      <c r="E26" s="530"/>
      <c r="F26" s="294"/>
      <c r="G26" s="294"/>
      <c r="H26" s="348"/>
      <c r="I26" s="410" t="s">
        <v>157</v>
      </c>
      <c r="J26" s="326"/>
      <c r="K26" s="284"/>
      <c r="L26" s="305"/>
      <c r="M26" s="305"/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  <c r="AA26" s="472"/>
    </row>
    <row r="27" spans="1:27" ht="15" customHeight="1" thickBot="1">
      <c r="A27" s="28"/>
      <c r="B27" s="538"/>
      <c r="C27" s="362"/>
      <c r="D27" s="531"/>
      <c r="E27" s="525"/>
      <c r="F27" s="294"/>
      <c r="G27" s="294"/>
      <c r="H27" s="348"/>
      <c r="I27" s="406" t="s">
        <v>156</v>
      </c>
      <c r="J27" s="327"/>
      <c r="K27" s="407"/>
      <c r="L27" s="408"/>
      <c r="M27" s="408"/>
      <c r="N27" s="409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  <c r="AA27" s="472"/>
    </row>
    <row r="28" spans="1:27" ht="15" customHeight="1" thickBot="1">
      <c r="A28" s="28"/>
      <c r="B28" s="538"/>
      <c r="C28" s="349"/>
      <c r="D28" s="522"/>
      <c r="E28" s="523"/>
      <c r="F28" s="294"/>
      <c r="G28" s="294"/>
      <c r="H28" s="348"/>
      <c r="I28" s="1"/>
      <c r="J28" s="39"/>
      <c r="K28" s="404">
        <f>SUM(K18:K27)</f>
        <v>94</v>
      </c>
      <c r="L28" s="405">
        <f>((L18*K18)+(L19*K19)+(L20*K20)+(L21*K21)+(L22*K22)+(K25*L25)+(L23*K23)+(L24*K24)+(L27*K27))/(K28)</f>
        <v>98.445372258795615</v>
      </c>
      <c r="M28" s="405">
        <f>AVERAGE('[9]Jan30th-31st'!$L$42,'[10]Feb 27th-28th'!$L$45,'[11]Mar 31st'!$L$42,'[12]Apr 30th'!$L$41,'[13]May 29th '!$L$35,'[14]June 30th'!$L$32,[15]July31st!$L$36,'[16]Aug 31st'!$L$32,L28)</f>
        <v>98.041148776241897</v>
      </c>
      <c r="N28" s="4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  <c r="AA28" s="472"/>
    </row>
    <row r="29" spans="1:27" ht="15.75" thickBot="1">
      <c r="B29" s="539"/>
      <c r="C29" s="350"/>
      <c r="D29" s="524"/>
      <c r="E29" s="525"/>
      <c r="F29" s="294"/>
      <c r="G29" s="42"/>
      <c r="H29" s="41"/>
      <c r="I29" s="42"/>
      <c r="J29" s="42"/>
      <c r="K29" s="351"/>
      <c r="L29" s="348"/>
      <c r="M29" s="348"/>
      <c r="N29" s="11"/>
      <c r="O29" s="294"/>
      <c r="P29" s="12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5.75" thickBot="1">
      <c r="B30" s="519"/>
      <c r="C30" s="362"/>
      <c r="D30" s="522"/>
      <c r="E30" s="523"/>
      <c r="F30" s="294"/>
      <c r="G30" s="42"/>
      <c r="H30" s="41"/>
      <c r="I30" s="42"/>
      <c r="J30" s="526" t="s">
        <v>129</v>
      </c>
      <c r="K30" s="526"/>
      <c r="L30" s="294"/>
      <c r="M30" s="294"/>
      <c r="N30" s="294"/>
      <c r="O30" s="294"/>
      <c r="P30" s="12"/>
    </row>
    <row r="31" spans="1:27" ht="15.75" thickBot="1">
      <c r="B31" s="520"/>
      <c r="C31" s="362"/>
      <c r="D31" s="524"/>
      <c r="E31" s="525"/>
      <c r="F31" s="294"/>
      <c r="G31" s="42"/>
      <c r="H31" s="42"/>
      <c r="I31" s="42"/>
      <c r="J31" s="292" t="s">
        <v>17</v>
      </c>
      <c r="K31" s="293"/>
      <c r="L31" s="527" t="s">
        <v>136</v>
      </c>
      <c r="M31" s="527"/>
      <c r="N31" s="528"/>
      <c r="O31" s="294"/>
      <c r="P31" s="12"/>
    </row>
    <row r="32" spans="1:27" ht="15" customHeight="1" thickBot="1">
      <c r="B32" s="520"/>
      <c r="C32" s="349"/>
      <c r="D32" s="529"/>
      <c r="E32" s="530"/>
      <c r="F32" s="294"/>
      <c r="G32" s="42"/>
      <c r="H32" s="42"/>
      <c r="I32" s="42"/>
      <c r="J32" s="287" t="s">
        <v>6</v>
      </c>
      <c r="K32" s="324"/>
      <c r="L32" s="473" t="s">
        <v>37</v>
      </c>
      <c r="M32" s="474" t="s">
        <v>38</v>
      </c>
      <c r="N32" s="474" t="s">
        <v>84</v>
      </c>
      <c r="O32" s="294"/>
      <c r="P32" s="12"/>
    </row>
    <row r="33" spans="2:57" ht="15.75" customHeight="1" thickBot="1">
      <c r="B33" s="520"/>
      <c r="C33" s="349"/>
      <c r="D33" s="531"/>
      <c r="E33" s="525"/>
      <c r="F33" s="294"/>
      <c r="G33" s="42"/>
      <c r="H33" s="42"/>
      <c r="I33" s="42"/>
      <c r="J33" s="345" t="s">
        <v>9</v>
      </c>
      <c r="K33" s="324"/>
      <c r="L33" s="485">
        <f>AVERAGE('Sept 1st'!K45,'Sept 2nd'!K47,'Sept 3rd'!K44,'Sept 4th'!K46,'Sept 7th'!K48,'Sept 8th'!K48,'Sept 9th'!K50,'Sept 10th'!K49,'Sept 11th '!K45,'Sept 14th'!K45,'Sept 15th'!K48,'Sept 16th'!K51,'Sept 17th '!K52,K42)</f>
        <v>6.7142857142857144</v>
      </c>
      <c r="M33" s="486">
        <f>AVERAGE('[9]Jan30th-31st'!$L$47,L33,'[10]Feb 26th '!$L$39,'[11]Mar 31st'!$L$47,'[12]Apr 30th'!$L$46,'[13]May 29th '!$L$40,'[14]June 30th'!$L$39,[15]July31st!$L$41,'[16]Aug 31st'!$L$37)</f>
        <v>6.4838210099079667</v>
      </c>
      <c r="N33" s="416">
        <v>9.1999999999999993</v>
      </c>
      <c r="O33" s="294"/>
      <c r="P33" s="12"/>
    </row>
    <row r="34" spans="2:57" ht="15" customHeight="1">
      <c r="B34" s="520"/>
      <c r="C34" s="349"/>
      <c r="D34" s="529"/>
      <c r="E34" s="530"/>
      <c r="F34" s="294"/>
      <c r="G34" s="42"/>
      <c r="H34" s="42"/>
      <c r="I34" s="42"/>
      <c r="J34" s="288" t="s">
        <v>40</v>
      </c>
      <c r="K34" s="324">
        <v>1</v>
      </c>
      <c r="L34" s="294"/>
      <c r="M34" s="294"/>
      <c r="N34" s="294"/>
      <c r="O34" s="294"/>
      <c r="P34" s="12"/>
    </row>
    <row r="35" spans="2:57" ht="15" customHeight="1">
      <c r="B35" s="520"/>
      <c r="C35" s="349"/>
      <c r="D35" s="531"/>
      <c r="E35" s="525"/>
      <c r="F35" s="294"/>
      <c r="G35" s="42"/>
      <c r="H35" s="42"/>
      <c r="I35" s="42"/>
      <c r="J35" s="289" t="s">
        <v>33</v>
      </c>
      <c r="K35" s="324"/>
      <c r="L35" s="294"/>
      <c r="M35" s="294"/>
      <c r="N35" s="294"/>
      <c r="O35" s="294"/>
      <c r="P35" s="12"/>
    </row>
    <row r="36" spans="2:57" ht="15">
      <c r="B36" s="520"/>
      <c r="C36" s="349"/>
      <c r="D36" s="529"/>
      <c r="E36" s="530"/>
      <c r="F36" s="294"/>
      <c r="G36" s="42"/>
      <c r="H36" s="42"/>
      <c r="I36" s="42"/>
      <c r="J36" s="290" t="s">
        <v>16</v>
      </c>
      <c r="K36" s="324"/>
      <c r="L36" s="294"/>
      <c r="M36" s="294"/>
      <c r="N36" s="294"/>
      <c r="O36" s="294"/>
      <c r="P36" s="12"/>
      <c r="BC36" s="44"/>
      <c r="BD36" s="44"/>
    </row>
    <row r="37" spans="2:57" ht="15">
      <c r="B37" s="520"/>
      <c r="C37" s="349"/>
      <c r="D37" s="531"/>
      <c r="E37" s="525"/>
      <c r="F37" s="294"/>
      <c r="G37" s="42"/>
      <c r="H37" s="42"/>
      <c r="I37" s="42"/>
      <c r="J37" s="291" t="s">
        <v>15</v>
      </c>
      <c r="K37" s="324"/>
      <c r="L37" s="294"/>
      <c r="M37" s="294"/>
      <c r="N37" s="294"/>
      <c r="O37" s="294"/>
      <c r="P37" s="12"/>
      <c r="BC37" s="44"/>
      <c r="BD37" s="44"/>
    </row>
    <row r="38" spans="2:57" ht="15">
      <c r="B38" s="520"/>
      <c r="C38" s="349"/>
      <c r="D38" s="529"/>
      <c r="E38" s="530"/>
      <c r="F38" s="294"/>
      <c r="G38" s="42"/>
      <c r="H38" s="42"/>
      <c r="I38" s="42"/>
      <c r="J38" s="291" t="s">
        <v>149</v>
      </c>
      <c r="K38" s="324"/>
      <c r="L38" s="294"/>
      <c r="M38" s="294"/>
      <c r="N38" s="294"/>
      <c r="O38" s="294"/>
      <c r="P38" s="12"/>
      <c r="BC38" s="44"/>
      <c r="BD38" s="44"/>
    </row>
    <row r="39" spans="2:57" ht="15.75" thickBot="1">
      <c r="B39" s="521"/>
      <c r="C39" s="350"/>
      <c r="D39" s="532"/>
      <c r="E39" s="533"/>
      <c r="F39" s="294" t="s">
        <v>165</v>
      </c>
      <c r="G39" s="42"/>
      <c r="H39" s="42"/>
      <c r="I39" s="42"/>
      <c r="J39" s="291" t="s">
        <v>148</v>
      </c>
      <c r="K39" s="324"/>
      <c r="L39" s="294"/>
      <c r="M39" s="294"/>
      <c r="N39" s="294" t="s">
        <v>41</v>
      </c>
      <c r="O39" s="294"/>
      <c r="P39" s="12"/>
      <c r="BC39" s="44"/>
      <c r="BD39" s="44"/>
    </row>
    <row r="40" spans="2:57" ht="17.649999999999999" customHeight="1" thickBot="1">
      <c r="B40" s="312" t="s">
        <v>139</v>
      </c>
      <c r="C40" s="313"/>
      <c r="D40" s="510"/>
      <c r="E40" s="511"/>
      <c r="F40" s="294"/>
      <c r="J40" s="295" t="s">
        <v>134</v>
      </c>
      <c r="K40" s="324"/>
      <c r="L40" s="294"/>
      <c r="M40" s="294"/>
      <c r="N40" s="294"/>
      <c r="O40" s="294"/>
      <c r="P40" s="12"/>
      <c r="BC40" s="44"/>
      <c r="BD40" s="44"/>
    </row>
    <row r="41" spans="2:57" ht="17.649999999999999" customHeight="1">
      <c r="B41" s="363"/>
      <c r="C41" s="364"/>
      <c r="D41" s="365"/>
      <c r="E41" s="365"/>
      <c r="F41" s="294"/>
      <c r="G41" s="42"/>
      <c r="H41" s="42"/>
      <c r="I41" s="42"/>
      <c r="J41" s="295" t="s">
        <v>131</v>
      </c>
      <c r="K41" s="324"/>
      <c r="L41" s="294"/>
      <c r="M41" s="294"/>
      <c r="N41" s="294"/>
      <c r="O41" s="294"/>
      <c r="P41" s="12"/>
      <c r="BC41" s="44"/>
      <c r="BD41" s="44"/>
    </row>
    <row r="42" spans="2:57" ht="15.6" customHeight="1">
      <c r="B42" s="45"/>
      <c r="C42" s="11"/>
      <c r="D42" s="11"/>
      <c r="E42" s="46"/>
      <c r="F42" s="294"/>
      <c r="G42" s="42"/>
      <c r="H42" s="42"/>
      <c r="I42" s="42"/>
      <c r="J42" s="346" t="s">
        <v>130</v>
      </c>
      <c r="K42" s="324">
        <f>SUM(K32:K41)</f>
        <v>1</v>
      </c>
      <c r="L42" s="294"/>
      <c r="M42" s="294"/>
      <c r="N42" s="294"/>
      <c r="O42" s="294"/>
      <c r="P42" s="12"/>
    </row>
    <row r="43" spans="2:57" ht="20.25" customHeight="1">
      <c r="B43" s="15" t="s">
        <v>42</v>
      </c>
      <c r="C43" s="1" t="s">
        <v>43</v>
      </c>
      <c r="D43" s="1"/>
      <c r="E43" s="1"/>
      <c r="F43" s="294"/>
      <c r="G43" s="42"/>
      <c r="H43" s="41"/>
      <c r="I43" s="42"/>
      <c r="L43" s="42"/>
      <c r="N43" s="315"/>
      <c r="P43" s="334"/>
    </row>
    <row r="44" spans="2:57" ht="15" customHeight="1" thickBot="1"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1"/>
      <c r="O44" s="48"/>
      <c r="P44" s="49"/>
    </row>
    <row r="45" spans="2:57" ht="15" customHeight="1" thickBot="1">
      <c r="B45" s="504" t="s">
        <v>17</v>
      </c>
      <c r="C45" s="504" t="s">
        <v>44</v>
      </c>
      <c r="D45" s="513" t="s">
        <v>45</v>
      </c>
      <c r="E45" s="515" t="s">
        <v>46</v>
      </c>
      <c r="F45" s="517" t="s">
        <v>47</v>
      </c>
      <c r="G45" s="502" t="s">
        <v>48</v>
      </c>
      <c r="H45" s="504" t="s">
        <v>49</v>
      </c>
      <c r="I45" s="504" t="s">
        <v>50</v>
      </c>
      <c r="J45" s="496" t="s">
        <v>28</v>
      </c>
      <c r="K45" s="506" t="s">
        <v>51</v>
      </c>
      <c r="L45" s="508" t="s">
        <v>52</v>
      </c>
      <c r="M45" s="496" t="s">
        <v>53</v>
      </c>
      <c r="N45" s="13"/>
      <c r="O45" s="13"/>
      <c r="P45" s="50"/>
    </row>
    <row r="46" spans="2:57" ht="28.5" customHeight="1" thickTop="1" thickBot="1">
      <c r="B46" s="505"/>
      <c r="C46" s="512"/>
      <c r="D46" s="514"/>
      <c r="E46" s="516"/>
      <c r="F46" s="518"/>
      <c r="G46" s="503"/>
      <c r="H46" s="505"/>
      <c r="I46" s="505"/>
      <c r="J46" s="497"/>
      <c r="K46" s="507"/>
      <c r="L46" s="509"/>
      <c r="M46" s="497"/>
      <c r="N46" s="13"/>
      <c r="O46" s="13"/>
      <c r="P46" s="50"/>
      <c r="Q46" s="355"/>
      <c r="AB46" s="475">
        <v>43474</v>
      </c>
      <c r="AC46" s="475">
        <v>43475</v>
      </c>
      <c r="AD46" s="475">
        <v>43476</v>
      </c>
      <c r="AE46" s="475">
        <v>43477</v>
      </c>
      <c r="AF46" s="475">
        <v>43478</v>
      </c>
      <c r="AG46" s="475">
        <v>43479</v>
      </c>
      <c r="AH46" s="475">
        <v>43480</v>
      </c>
      <c r="AI46" s="475">
        <v>43481</v>
      </c>
      <c r="AJ46" s="475">
        <v>43482</v>
      </c>
      <c r="AK46" s="475">
        <v>43483</v>
      </c>
      <c r="AL46" s="475">
        <v>43484</v>
      </c>
      <c r="AM46" s="475">
        <v>43485</v>
      </c>
      <c r="AN46" s="475">
        <v>43486</v>
      </c>
      <c r="AO46" s="475">
        <v>43487</v>
      </c>
      <c r="AP46" s="475">
        <v>43488</v>
      </c>
      <c r="AQ46" s="475">
        <v>43489</v>
      </c>
      <c r="AR46" s="475">
        <v>43490</v>
      </c>
      <c r="AS46" s="475">
        <v>43491</v>
      </c>
      <c r="AT46" s="475">
        <v>43492</v>
      </c>
      <c r="AU46" s="475">
        <v>43493</v>
      </c>
      <c r="AV46" s="475">
        <v>43494</v>
      </c>
      <c r="AW46" s="475">
        <v>43495</v>
      </c>
      <c r="AX46" s="475">
        <v>43496</v>
      </c>
    </row>
    <row r="47" spans="2:57" s="54" customFormat="1" ht="36.75" customHeight="1" thickBot="1">
      <c r="B47" s="456"/>
      <c r="C47" s="479"/>
      <c r="D47" s="445"/>
      <c r="E47" s="443"/>
      <c r="F47" s="444"/>
      <c r="G47" s="444"/>
      <c r="H47" s="458"/>
      <c r="I47" s="458"/>
      <c r="J47" s="448" t="s">
        <v>174</v>
      </c>
      <c r="K47" s="449"/>
      <c r="L47" s="457" t="e">
        <f>(((D47+E47)-G47)/(D47+E47))*100</f>
        <v>#DIV/0!</v>
      </c>
      <c r="M47" s="455"/>
      <c r="N47" s="13"/>
      <c r="O47" s="13"/>
      <c r="P47" s="50"/>
      <c r="R47" s="275"/>
      <c r="S47" s="275"/>
      <c r="T47" s="275"/>
      <c r="U47" s="275"/>
      <c r="V47" s="275"/>
      <c r="W47" s="275"/>
      <c r="X47" s="275"/>
      <c r="Y47" s="275"/>
      <c r="Z47" s="275"/>
      <c r="AA47" s="275"/>
      <c r="AB47" s="57">
        <f>[19]January_2019!L5</f>
        <v>0</v>
      </c>
      <c r="AC47" s="57">
        <f>[19]January_2019!M5</f>
        <v>0</v>
      </c>
      <c r="AD47" s="57">
        <f>[19]January_2019!N5</f>
        <v>0</v>
      </c>
      <c r="AE47" s="57">
        <f>[19]January_2019!O5</f>
        <v>0</v>
      </c>
      <c r="AF47" s="57">
        <f>[19]January_2019!P5</f>
        <v>0</v>
      </c>
      <c r="AG47" s="57">
        <f>[19]January_2019!Q5</f>
        <v>0</v>
      </c>
      <c r="AH47" s="57">
        <f>[19]January_2019!R5</f>
        <v>0</v>
      </c>
      <c r="AI47" s="57">
        <f>[19]January_2019!S5</f>
        <v>0</v>
      </c>
      <c r="AJ47" s="57">
        <f>[19]January_2019!T5</f>
        <v>0</v>
      </c>
      <c r="AK47" s="57">
        <f>[19]January_2019!U5</f>
        <v>0</v>
      </c>
      <c r="AL47" s="57">
        <f>[19]January_2019!V5</f>
        <v>0</v>
      </c>
      <c r="AM47" s="57">
        <f>[19]January_2019!W5</f>
        <v>0</v>
      </c>
      <c r="AN47" s="57">
        <f>[19]January_2019!X5</f>
        <v>0</v>
      </c>
      <c r="AO47" s="57">
        <f>[19]January_2019!Y5</f>
        <v>0</v>
      </c>
      <c r="AP47" s="57">
        <f>[19]January_2019!Z5</f>
        <v>0</v>
      </c>
      <c r="AQ47" s="57">
        <f>[19]January_2019!AA5</f>
        <v>0</v>
      </c>
      <c r="AR47" s="57">
        <f>[19]January_2019!AB5</f>
        <v>0</v>
      </c>
      <c r="AS47" s="57">
        <f>[19]January_2019!AC5</f>
        <v>0</v>
      </c>
      <c r="AT47" s="57">
        <f>[19]January_2019!AD5</f>
        <v>0</v>
      </c>
      <c r="AU47" s="57">
        <f>[19]January_2019!AE5</f>
        <v>0</v>
      </c>
      <c r="AV47" s="57">
        <f>[19]January_2019!AF5</f>
        <v>0</v>
      </c>
      <c r="AW47" s="57">
        <f>[19]January_2019!AG5</f>
        <v>0</v>
      </c>
      <c r="AX47" s="277">
        <f>[19]January_2019!AH5</f>
        <v>0</v>
      </c>
      <c r="AY47" s="277"/>
      <c r="AZ47" s="277"/>
      <c r="BA47" s="277"/>
      <c r="BB47" s="277"/>
      <c r="BC47" s="277"/>
      <c r="BD47" s="277"/>
      <c r="BE47" s="277"/>
    </row>
    <row r="48" spans="2:57" s="54" customFormat="1" ht="14.25" customHeight="1" thickBot="1">
      <c r="B48" s="480"/>
      <c r="C48" s="479"/>
      <c r="D48" s="442"/>
      <c r="E48" s="443"/>
      <c r="F48" s="444"/>
      <c r="G48" s="445"/>
      <c r="H48" s="458"/>
      <c r="I48" s="458"/>
      <c r="J48" s="476"/>
      <c r="K48" s="449"/>
      <c r="L48" s="457"/>
      <c r="M48" s="455"/>
      <c r="N48" s="13"/>
      <c r="O48" s="13"/>
      <c r="P48" s="50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57">
        <f>[19]January_2019!L6</f>
        <v>0</v>
      </c>
      <c r="AC48" s="57">
        <f>[19]January_2019!M6</f>
        <v>0</v>
      </c>
      <c r="AD48" s="57">
        <f>[19]January_2019!N6</f>
        <v>0</v>
      </c>
      <c r="AE48" s="57">
        <f>[19]January_2019!O6</f>
        <v>0</v>
      </c>
      <c r="AF48" s="57">
        <f>[19]January_2019!P6</f>
        <v>0</v>
      </c>
      <c r="AG48" s="57">
        <f>[19]January_2019!Q6</f>
        <v>0</v>
      </c>
      <c r="AH48" s="57">
        <f>[19]January_2019!R6</f>
        <v>0</v>
      </c>
      <c r="AI48" s="57">
        <f>[19]January_2019!S6</f>
        <v>0</v>
      </c>
      <c r="AJ48" s="57">
        <f>[19]January_2019!T6</f>
        <v>0</v>
      </c>
      <c r="AK48" s="57">
        <f>[19]January_2019!U6</f>
        <v>0</v>
      </c>
      <c r="AL48" s="57">
        <f>[19]January_2019!V6</f>
        <v>0</v>
      </c>
      <c r="AM48" s="57">
        <f>[19]January_2019!W6</f>
        <v>0</v>
      </c>
      <c r="AN48" s="57">
        <f>[19]January_2019!X6</f>
        <v>0</v>
      </c>
      <c r="AO48" s="57">
        <f>[19]January_2019!Y6</f>
        <v>0</v>
      </c>
      <c r="AP48" s="57">
        <f>[19]January_2019!Z6</f>
        <v>0</v>
      </c>
      <c r="AQ48" s="57">
        <f>[19]January_2019!AA6</f>
        <v>0</v>
      </c>
      <c r="AR48" s="57">
        <f>[19]January_2019!AB6</f>
        <v>0</v>
      </c>
      <c r="AS48" s="57">
        <f>[19]January_2019!AC6</f>
        <v>0</v>
      </c>
      <c r="AT48" s="57">
        <f>[19]January_2019!AD6</f>
        <v>0</v>
      </c>
      <c r="AU48" s="57">
        <f>[19]January_2019!AE6</f>
        <v>0</v>
      </c>
      <c r="AV48" s="57">
        <f>[19]January_2019!AF6</f>
        <v>0</v>
      </c>
      <c r="AW48" s="57">
        <f>[19]January_2019!AG6</f>
        <v>0</v>
      </c>
      <c r="AX48" s="277">
        <f>[19]January_2019!AH6</f>
        <v>0</v>
      </c>
      <c r="AY48" s="277"/>
      <c r="AZ48" s="277"/>
      <c r="BA48" s="277"/>
      <c r="BB48" s="277"/>
      <c r="BC48" s="277"/>
      <c r="BD48" s="277"/>
      <c r="BE48" s="277"/>
    </row>
    <row r="49" spans="2:57" s="54" customFormat="1" ht="37.15" hidden="1" customHeight="1" thickBot="1">
      <c r="B49" s="495"/>
      <c r="C49" s="479"/>
      <c r="D49" s="442"/>
      <c r="E49" s="443"/>
      <c r="F49" s="444"/>
      <c r="G49" s="444"/>
      <c r="H49" s="446"/>
      <c r="I49" s="446"/>
      <c r="J49" s="448"/>
      <c r="K49" s="449"/>
      <c r="L49" s="457"/>
      <c r="M49" s="455"/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>
        <f>[19]January_2019!L7</f>
        <v>285.8</v>
      </c>
      <c r="AC49" s="57">
        <f>[19]January_2019!M7</f>
        <v>508.1</v>
      </c>
      <c r="AD49" s="57">
        <f>[19]January_2019!N7</f>
        <v>0</v>
      </c>
      <c r="AE49" s="57">
        <f>[19]January_2019!O7</f>
        <v>0</v>
      </c>
      <c r="AF49" s="57">
        <f>[19]January_2019!P7</f>
        <v>109.56666666666666</v>
      </c>
      <c r="AG49" s="57">
        <f>[19]January_2019!Q7</f>
        <v>297.64999999999998</v>
      </c>
      <c r="AH49" s="57">
        <f>[19]January_2019!R7</f>
        <v>122.3</v>
      </c>
      <c r="AI49" s="57">
        <f>[19]January_2019!S7</f>
        <v>0</v>
      </c>
      <c r="AJ49" s="57">
        <f>[19]January_2019!T7</f>
        <v>294.7</v>
      </c>
      <c r="AK49" s="57">
        <f>[19]January_2019!U7</f>
        <v>280.5</v>
      </c>
      <c r="AL49" s="57">
        <f>[19]January_2019!V7</f>
        <v>0</v>
      </c>
      <c r="AM49" s="57">
        <f>[19]January_2019!W7</f>
        <v>0</v>
      </c>
      <c r="AN49" s="57">
        <f>[19]January_2019!X7</f>
        <v>188.25</v>
      </c>
      <c r="AO49" s="57">
        <f>[19]January_2019!Y7</f>
        <v>295.7</v>
      </c>
      <c r="AP49" s="57">
        <f>[19]January_2019!Z7</f>
        <v>257.8</v>
      </c>
      <c r="AQ49" s="57">
        <f>[19]January_2019!AA7</f>
        <v>291.2</v>
      </c>
      <c r="AR49" s="57">
        <f>[19]January_2019!AB7</f>
        <v>187</v>
      </c>
      <c r="AS49" s="57">
        <f>[19]January_2019!AC7</f>
        <v>0</v>
      </c>
      <c r="AT49" s="57">
        <f>[19]January_2019!AD7</f>
        <v>0</v>
      </c>
      <c r="AU49" s="57">
        <f>[19]January_2019!AE7</f>
        <v>485.1</v>
      </c>
      <c r="AV49" s="57">
        <f>[19]January_2019!AF7</f>
        <v>171.55</v>
      </c>
      <c r="AW49" s="57">
        <f>[19]January_2019!AG7</f>
        <v>423.8</v>
      </c>
      <c r="AX49" s="277">
        <f>[19]January_2019!AH7</f>
        <v>0</v>
      </c>
      <c r="AY49" s="277"/>
      <c r="AZ49" s="277"/>
      <c r="BA49" s="277"/>
      <c r="BB49" s="277"/>
      <c r="BC49" s="277"/>
      <c r="BD49" s="277"/>
      <c r="BE49" s="277"/>
    </row>
    <row r="50" spans="2:57" s="54" customFormat="1" ht="18.600000000000001" hidden="1" customHeight="1" thickBot="1">
      <c r="B50" s="478"/>
      <c r="C50" s="430"/>
      <c r="D50" s="431"/>
      <c r="E50" s="432"/>
      <c r="F50" s="433"/>
      <c r="G50" s="434"/>
      <c r="H50" s="458"/>
      <c r="I50" s="458"/>
      <c r="J50" s="451"/>
      <c r="K50" s="436"/>
      <c r="L50" s="452"/>
      <c r="M50" s="421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277"/>
      <c r="AY50" s="277"/>
      <c r="AZ50" s="277"/>
      <c r="BA50" s="277"/>
      <c r="BB50" s="277"/>
      <c r="BC50" s="277"/>
      <c r="BD50" s="277"/>
      <c r="BE50" s="277"/>
    </row>
    <row r="51" spans="2:57" s="54" customFormat="1" ht="38.65" hidden="1" customHeight="1" thickBot="1">
      <c r="B51" s="487"/>
      <c r="C51" s="479"/>
      <c r="D51" s="442"/>
      <c r="E51" s="443"/>
      <c r="F51" s="444"/>
      <c r="G51" s="445"/>
      <c r="H51" s="458"/>
      <c r="I51" s="458"/>
      <c r="J51" s="448"/>
      <c r="K51" s="45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277"/>
      <c r="AY51" s="277"/>
      <c r="AZ51" s="277"/>
      <c r="BA51" s="277"/>
      <c r="BB51" s="277"/>
      <c r="BC51" s="277"/>
      <c r="BD51" s="277"/>
      <c r="BE51" s="277"/>
    </row>
    <row r="52" spans="2:57" s="54" customFormat="1" ht="15" hidden="1">
      <c r="B52" s="453"/>
      <c r="C52" s="430"/>
      <c r="D52" s="431"/>
      <c r="E52" s="432"/>
      <c r="F52" s="433"/>
      <c r="G52" s="434"/>
      <c r="H52" s="435"/>
      <c r="I52" s="450"/>
      <c r="J52" s="451"/>
      <c r="K52" s="436"/>
      <c r="L52" s="452"/>
      <c r="M52" s="421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37.15" hidden="1" customHeight="1" thickBot="1">
      <c r="B53" s="481"/>
      <c r="C53" s="479"/>
      <c r="D53" s="442"/>
      <c r="E53" s="443"/>
      <c r="F53" s="444"/>
      <c r="G53" s="445"/>
      <c r="H53" s="446"/>
      <c r="I53" s="447"/>
      <c r="J53" s="448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16.5" hidden="1" customHeight="1" thickBot="1">
      <c r="B54" s="437"/>
      <c r="C54" s="423"/>
      <c r="D54" s="424"/>
      <c r="E54" s="425"/>
      <c r="F54" s="426"/>
      <c r="G54" s="427"/>
      <c r="H54" s="428"/>
      <c r="I54" s="438"/>
      <c r="J54" s="439"/>
      <c r="K54" s="429"/>
      <c r="L54" s="440"/>
      <c r="M54" s="422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415"/>
      <c r="AC54" s="415"/>
      <c r="AD54" s="415"/>
      <c r="AE54" s="415"/>
      <c r="AF54" s="415"/>
      <c r="AG54" s="415"/>
      <c r="AH54" s="415"/>
      <c r="AI54" s="415"/>
      <c r="AJ54" s="415"/>
      <c r="AK54" s="415"/>
      <c r="AL54" s="415"/>
      <c r="AM54" s="415"/>
      <c r="AN54" s="415"/>
      <c r="AO54" s="415"/>
      <c r="AP54" s="415"/>
      <c r="AQ54" s="415"/>
      <c r="AR54" s="415"/>
      <c r="AS54" s="415"/>
      <c r="AT54" s="415"/>
      <c r="AU54" s="415"/>
      <c r="AV54" s="415"/>
      <c r="AW54" s="415"/>
    </row>
    <row r="55" spans="2:57" s="54" customFormat="1" ht="37.15" hidden="1" customHeight="1" thickBot="1">
      <c r="B55" s="456"/>
      <c r="C55" s="441"/>
      <c r="D55" s="442"/>
      <c r="E55" s="443"/>
      <c r="F55" s="444"/>
      <c r="G55" s="445"/>
      <c r="H55" s="446"/>
      <c r="I55" s="447"/>
      <c r="J55" s="448"/>
      <c r="K55" s="449"/>
      <c r="L55" s="457"/>
      <c r="M55" s="454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customHeight="1">
      <c r="B56" s="466"/>
      <c r="C56" s="430"/>
      <c r="D56" s="460"/>
      <c r="E56" s="461"/>
      <c r="F56" s="462"/>
      <c r="G56" s="460"/>
      <c r="H56" s="463"/>
      <c r="I56" s="463"/>
      <c r="J56" s="463"/>
      <c r="K56" s="464"/>
      <c r="L56" s="465"/>
      <c r="M56" s="50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ht="18" customHeight="1" thickBot="1">
      <c r="B57" s="59"/>
      <c r="C57" s="30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 t="s">
        <v>41</v>
      </c>
      <c r="O57" s="56"/>
      <c r="P57" s="60"/>
    </row>
    <row r="58" spans="2:57" ht="15.75" thickBot="1">
      <c r="B58" s="498" t="s">
        <v>55</v>
      </c>
      <c r="C58" s="499"/>
      <c r="D58" s="499"/>
      <c r="E58" s="499"/>
      <c r="F58" s="500"/>
      <c r="G58" s="498" t="s">
        <v>56</v>
      </c>
      <c r="H58" s="499"/>
      <c r="I58" s="499"/>
      <c r="J58" s="500"/>
      <c r="K58" s="498" t="s">
        <v>51</v>
      </c>
      <c r="L58" s="499"/>
      <c r="M58" s="499"/>
      <c r="N58" s="501"/>
      <c r="O58" s="56"/>
      <c r="P58" s="50"/>
    </row>
    <row r="59" spans="2:57" ht="15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 t="s">
        <v>36</v>
      </c>
      <c r="L59" s="62" t="s">
        <v>37</v>
      </c>
      <c r="M59" s="62" t="s">
        <v>38</v>
      </c>
      <c r="N59" s="63" t="s">
        <v>39</v>
      </c>
      <c r="O59" s="56"/>
      <c r="P59" s="64"/>
    </row>
    <row r="60" spans="2:57" ht="15">
      <c r="B60" s="29" t="s">
        <v>6</v>
      </c>
      <c r="C60" s="65"/>
      <c r="D60" s="76">
        <v>7.2669378760384307</v>
      </c>
      <c r="E60" s="76">
        <v>6.6024208041377905</v>
      </c>
      <c r="F60" s="66">
        <v>4.8</v>
      </c>
      <c r="G60" s="65"/>
      <c r="H60" s="477">
        <v>6.4041575385468743</v>
      </c>
      <c r="I60" s="477">
        <v>6.6307190081077829</v>
      </c>
      <c r="J60" s="66">
        <v>4.8</v>
      </c>
      <c r="K60" s="67"/>
      <c r="L60" s="194">
        <v>0.60052339181286551</v>
      </c>
      <c r="M60" s="194">
        <v>0.53173259312468302</v>
      </c>
      <c r="N60" s="68">
        <v>1</v>
      </c>
      <c r="O60" s="56"/>
      <c r="P60" s="69"/>
    </row>
    <row r="61" spans="2:57" ht="15">
      <c r="B61" s="33" t="s">
        <v>9</v>
      </c>
      <c r="C61" s="65"/>
      <c r="D61" s="76">
        <v>8.1797752808988591</v>
      </c>
      <c r="E61" s="76">
        <v>5.939590940751847</v>
      </c>
      <c r="F61" s="66">
        <v>4.8</v>
      </c>
      <c r="G61" s="65"/>
      <c r="H61" s="76">
        <v>7.1493286491954091</v>
      </c>
      <c r="I61" s="76">
        <v>6.0146000548367518</v>
      </c>
      <c r="J61" s="66">
        <v>4.8</v>
      </c>
      <c r="K61" s="67"/>
      <c r="L61" s="194">
        <v>0.31847368421052635</v>
      </c>
      <c r="M61" s="194">
        <v>0.68029295501093157</v>
      </c>
      <c r="N61" s="68">
        <v>1</v>
      </c>
      <c r="P61" s="69"/>
    </row>
    <row r="62" spans="2:57" ht="15">
      <c r="B62" s="34" t="s">
        <v>40</v>
      </c>
      <c r="C62" s="65"/>
      <c r="D62" s="76"/>
      <c r="E62" s="76">
        <v>11.277593164016125</v>
      </c>
      <c r="F62" s="66">
        <v>5.5</v>
      </c>
      <c r="G62" s="65"/>
      <c r="H62" s="76"/>
      <c r="I62" s="76">
        <v>11.857907912244482</v>
      </c>
      <c r="J62" s="66">
        <v>5.5</v>
      </c>
      <c r="K62" s="67"/>
      <c r="L62" s="194"/>
      <c r="M62" s="194">
        <v>0.35370190356844494</v>
      </c>
      <c r="N62" s="68">
        <v>1</v>
      </c>
      <c r="P62" s="69"/>
    </row>
    <row r="63" spans="2:57" ht="15">
      <c r="B63" s="22" t="s">
        <v>33</v>
      </c>
      <c r="C63" s="65"/>
      <c r="D63" s="76"/>
      <c r="E63" s="76">
        <v>4.8685538193023836</v>
      </c>
      <c r="F63" s="66">
        <v>3.3</v>
      </c>
      <c r="G63" s="65"/>
      <c r="H63" s="76"/>
      <c r="I63" s="76">
        <v>4.8702525342252114</v>
      </c>
      <c r="J63" s="66">
        <v>3.3</v>
      </c>
      <c r="K63" s="67"/>
      <c r="L63" s="194"/>
      <c r="M63" s="194">
        <v>0.77919298245614044</v>
      </c>
      <c r="N63" s="68">
        <v>1</v>
      </c>
      <c r="P63" s="69"/>
    </row>
    <row r="64" spans="2:57" ht="15">
      <c r="B64" s="35" t="s">
        <v>164</v>
      </c>
      <c r="C64" s="65"/>
      <c r="D64" s="76"/>
      <c r="E64" s="76"/>
      <c r="F64" s="66">
        <v>3.3</v>
      </c>
      <c r="G64" s="282"/>
      <c r="H64" s="76"/>
      <c r="I64" s="76"/>
      <c r="J64" s="66">
        <v>3</v>
      </c>
      <c r="K64" s="67"/>
      <c r="L64" s="194"/>
      <c r="M64" s="194"/>
      <c r="N64" s="68">
        <v>1</v>
      </c>
      <c r="P64" s="69"/>
    </row>
    <row r="65" spans="2:16" ht="15">
      <c r="B65" s="36" t="s">
        <v>15</v>
      </c>
      <c r="C65" s="65"/>
      <c r="D65" s="76">
        <v>6.8855672629257718</v>
      </c>
      <c r="E65" s="76">
        <v>6.3233965672990236</v>
      </c>
      <c r="F65" s="70">
        <v>5.5</v>
      </c>
      <c r="G65" s="65"/>
      <c r="H65" s="76">
        <v>7.4264332958762713</v>
      </c>
      <c r="I65" s="76">
        <v>7.9667553186446929</v>
      </c>
      <c r="J65" s="66">
        <v>5.5</v>
      </c>
      <c r="K65" s="67"/>
      <c r="L65" s="194">
        <v>0.391812865497076</v>
      </c>
      <c r="M65" s="194">
        <v>0.5883625730994152</v>
      </c>
      <c r="N65" s="68">
        <v>1</v>
      </c>
      <c r="P65" s="69"/>
    </row>
    <row r="66" spans="2:16" ht="15">
      <c r="B66" s="37" t="s">
        <v>16</v>
      </c>
      <c r="C66" s="482"/>
      <c r="D66" s="76"/>
      <c r="E66" s="76">
        <v>3.6168923014750334</v>
      </c>
      <c r="F66" s="66">
        <v>3.3</v>
      </c>
      <c r="G66" s="282"/>
      <c r="H66" s="76"/>
      <c r="I66" s="76">
        <v>5.0091179718082053</v>
      </c>
      <c r="J66" s="66">
        <v>3.3</v>
      </c>
      <c r="K66" s="67"/>
      <c r="L66" s="194"/>
      <c r="M66" s="194">
        <v>0.92642300194931759</v>
      </c>
      <c r="N66" s="71">
        <v>1</v>
      </c>
      <c r="P66" s="69"/>
    </row>
    <row r="67" spans="2:16" ht="15.75" thickBot="1">
      <c r="B67" s="38" t="s">
        <v>163</v>
      </c>
      <c r="C67" s="65"/>
      <c r="D67" s="76"/>
      <c r="E67" s="76"/>
      <c r="F67" s="66">
        <v>7.5</v>
      </c>
      <c r="G67" s="282"/>
      <c r="H67" s="76"/>
      <c r="I67" s="76"/>
      <c r="J67" s="66">
        <v>7.5</v>
      </c>
      <c r="K67" s="67"/>
      <c r="L67" s="194"/>
      <c r="M67" s="194"/>
      <c r="N67" s="71">
        <v>1</v>
      </c>
      <c r="P67" s="69"/>
    </row>
    <row r="68" spans="2:16" ht="15.75" thickBot="1">
      <c r="B68" s="414" t="s">
        <v>161</v>
      </c>
      <c r="C68" s="65"/>
      <c r="D68" s="76"/>
      <c r="E68" s="76"/>
      <c r="F68" s="66">
        <v>4.8</v>
      </c>
      <c r="G68" s="282"/>
      <c r="H68" s="76"/>
      <c r="I68" s="76"/>
      <c r="J68" s="66">
        <v>4.8</v>
      </c>
      <c r="K68" s="67"/>
      <c r="L68" s="194"/>
      <c r="M68" s="194"/>
      <c r="N68" s="71">
        <v>1</v>
      </c>
      <c r="O68" s="74"/>
      <c r="P68" s="75"/>
    </row>
    <row r="69" spans="2:16" ht="15">
      <c r="D69" s="76">
        <v>7.4125390445745492</v>
      </c>
      <c r="E69" s="76">
        <v>6.4147316896923909</v>
      </c>
      <c r="F69" s="341">
        <v>5.5</v>
      </c>
      <c r="H69" s="76">
        <v>6.6840393045153821</v>
      </c>
      <c r="I69" s="76">
        <v>6.6928815041484677</v>
      </c>
      <c r="J69" s="341">
        <v>5.5</v>
      </c>
      <c r="L69" s="194">
        <v>0.50896716149347732</v>
      </c>
      <c r="M69" s="194">
        <v>0.59194404706036807</v>
      </c>
      <c r="N69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6:N16"/>
    <mergeCell ref="D17:E17"/>
    <mergeCell ref="B18:B29"/>
    <mergeCell ref="D18:E19"/>
    <mergeCell ref="D20:E21"/>
    <mergeCell ref="D22:E23"/>
    <mergeCell ref="D24:E25"/>
    <mergeCell ref="D26:E27"/>
    <mergeCell ref="D28:E29"/>
    <mergeCell ref="B30:B39"/>
    <mergeCell ref="D30:E31"/>
    <mergeCell ref="J30:K30"/>
    <mergeCell ref="L31:N31"/>
    <mergeCell ref="D32:E33"/>
    <mergeCell ref="D34:E35"/>
    <mergeCell ref="D36:E37"/>
    <mergeCell ref="D38:E39"/>
    <mergeCell ref="D40:E40"/>
    <mergeCell ref="B45:B46"/>
    <mergeCell ref="C45:C46"/>
    <mergeCell ref="D45:D46"/>
    <mergeCell ref="E45:E46"/>
    <mergeCell ref="M45:M46"/>
    <mergeCell ref="B58:F58"/>
    <mergeCell ref="G58:J58"/>
    <mergeCell ref="K58:N58"/>
    <mergeCell ref="G45:G46"/>
    <mergeCell ref="H45:H46"/>
    <mergeCell ref="I45:I46"/>
    <mergeCell ref="J45:J46"/>
    <mergeCell ref="K45:K46"/>
    <mergeCell ref="L45:L46"/>
    <mergeCell ref="F45:F46"/>
  </mergeCells>
  <conditionalFormatting sqref="B40:B41">
    <cfRule type="cellIs" dxfId="954" priority="103" operator="notBetween">
      <formula>#REF!</formula>
      <formula>#REF!</formula>
    </cfRule>
  </conditionalFormatting>
  <conditionalFormatting sqref="C44">
    <cfRule type="cellIs" dxfId="953" priority="185" stopIfTrue="1" operator="lessThan">
      <formula>96</formula>
    </cfRule>
    <cfRule type="cellIs" dxfId="952" priority="186" stopIfTrue="1" operator="greaterThan">
      <formula>100</formula>
    </cfRule>
  </conditionalFormatting>
  <conditionalFormatting sqref="C60:C61">
    <cfRule type="cellIs" dxfId="951" priority="66" stopIfTrue="1" operator="greaterThan">
      <formula>$F60</formula>
    </cfRule>
    <cfRule type="cellIs" dxfId="950" priority="67" stopIfTrue="1" operator="lessThanOrEqual">
      <formula>0</formula>
    </cfRule>
    <cfRule type="cellIs" dxfId="949" priority="68" stopIfTrue="1" operator="greaterThan">
      <formula>$F60</formula>
    </cfRule>
    <cfRule type="cellIs" dxfId="948" priority="69" stopIfTrue="1" operator="lessThanOrEqual">
      <formula>0</formula>
    </cfRule>
  </conditionalFormatting>
  <conditionalFormatting sqref="C62:C64 C66:C68">
    <cfRule type="cellIs" dxfId="947" priority="75" stopIfTrue="1" operator="greaterThan">
      <formula>$F65</formula>
    </cfRule>
  </conditionalFormatting>
  <conditionalFormatting sqref="C62:C64">
    <cfRule type="cellIs" dxfId="946" priority="76" stopIfTrue="1" operator="lessThanOrEqual">
      <formula>0</formula>
    </cfRule>
  </conditionalFormatting>
  <conditionalFormatting sqref="C65">
    <cfRule type="cellIs" dxfId="945" priority="187" stopIfTrue="1" operator="greaterThan">
      <formula>$F60</formula>
    </cfRule>
    <cfRule type="cellIs" dxfId="944" priority="188" stopIfTrue="1" operator="lessThanOrEqual">
      <formula>0</formula>
    </cfRule>
    <cfRule type="cellIs" dxfId="943" priority="189" stopIfTrue="1" operator="greaterThan">
      <formula>$F60</formula>
    </cfRule>
    <cfRule type="cellIs" dxfId="942" priority="190" stopIfTrue="1" operator="lessThanOrEqual">
      <formula>0</formula>
    </cfRule>
  </conditionalFormatting>
  <conditionalFormatting sqref="C66:C68">
    <cfRule type="cellIs" dxfId="941" priority="77" stopIfTrue="1" operator="lessThanOrEqual">
      <formula>0</formula>
    </cfRule>
  </conditionalFormatting>
  <conditionalFormatting sqref="C71:C75">
    <cfRule type="cellIs" dxfId="940" priority="177" stopIfTrue="1" operator="lessThanOrEqual">
      <formula>0</formula>
    </cfRule>
  </conditionalFormatting>
  <conditionalFormatting sqref="C72:C75">
    <cfRule type="cellIs" dxfId="939" priority="176" stopIfTrue="1" operator="greaterThan">
      <formula>$F$71</formula>
    </cfRule>
  </conditionalFormatting>
  <conditionalFormatting sqref="C77">
    <cfRule type="cellIs" dxfId="938" priority="178" stopIfTrue="1" operator="greaterThan">
      <formula>$F$71</formula>
    </cfRule>
    <cfRule type="cellIs" dxfId="937" priority="179" stopIfTrue="1" operator="lessThanOrEqual">
      <formula>0</formula>
    </cfRule>
  </conditionalFormatting>
  <conditionalFormatting sqref="C65:D65">
    <cfRule type="cellIs" dxfId="936" priority="64" stopIfTrue="1" operator="greaterThan">
      <formula>$J65</formula>
    </cfRule>
    <cfRule type="cellIs" dxfId="935" priority="65" stopIfTrue="1" operator="lessThanOrEqual">
      <formula>0</formula>
    </cfRule>
  </conditionalFormatting>
  <conditionalFormatting sqref="C71:D71 D73:D79">
    <cfRule type="cellIs" dxfId="934" priority="171" stopIfTrue="1" operator="greaterThan">
      <formula>4.5</formula>
    </cfRule>
  </conditionalFormatting>
  <conditionalFormatting sqref="D40:D41">
    <cfRule type="cellIs" dxfId="933" priority="104" operator="notBetween">
      <formula>#REF!</formula>
      <formula>#REF!</formula>
    </cfRule>
  </conditionalFormatting>
  <conditionalFormatting sqref="D60:D64 D66:D67">
    <cfRule type="cellIs" dxfId="932" priority="74" stopIfTrue="1" operator="lessThanOrEqual">
      <formula>0</formula>
    </cfRule>
  </conditionalFormatting>
  <conditionalFormatting sqref="D60:D64 D66:D69">
    <cfRule type="cellIs" dxfId="931" priority="70" stopIfTrue="1" operator="lessThanOrEqual">
      <formula>0</formula>
    </cfRule>
    <cfRule type="cellIs" dxfId="930" priority="71" stopIfTrue="1" operator="greaterThan">
      <formula>$F60</formula>
    </cfRule>
  </conditionalFormatting>
  <conditionalFormatting sqref="D68:D69">
    <cfRule type="cellIs" dxfId="929" priority="72" stopIfTrue="1" operator="lessThanOrEqual">
      <formula>0</formula>
    </cfRule>
  </conditionalFormatting>
  <conditionalFormatting sqref="D69">
    <cfRule type="cellIs" dxfId="928" priority="73" stopIfTrue="1" operator="lessThanOrEqual">
      <formula>0</formula>
    </cfRule>
  </conditionalFormatting>
  <conditionalFormatting sqref="D71 D73:D79">
    <cfRule type="cellIs" dxfId="927" priority="172" stopIfTrue="1" operator="lessThanOrEqual">
      <formula>0</formula>
    </cfRule>
  </conditionalFormatting>
  <conditionalFormatting sqref="D72">
    <cfRule type="cellIs" dxfId="926" priority="163" stopIfTrue="1" operator="greaterThan">
      <formula>$F$71</formula>
    </cfRule>
    <cfRule type="cellIs" dxfId="925" priority="164" stopIfTrue="1" operator="lessThanOrEqual">
      <formula>0</formula>
    </cfRule>
  </conditionalFormatting>
  <conditionalFormatting sqref="E10:E15">
    <cfRule type="cellIs" dxfId="924" priority="7" operator="lessThan">
      <formula>48</formula>
    </cfRule>
  </conditionalFormatting>
  <conditionalFormatting sqref="E43 E44:F44">
    <cfRule type="cellIs" dxfId="923" priority="168" stopIfTrue="1" operator="greaterThan">
      <formula>100</formula>
    </cfRule>
  </conditionalFormatting>
  <conditionalFormatting sqref="E44">
    <cfRule type="cellIs" dxfId="922" priority="165" stopIfTrue="1" operator="lessThan">
      <formula>96.8</formula>
    </cfRule>
    <cfRule type="cellIs" dxfId="921" priority="166" stopIfTrue="1" operator="greaterThan">
      <formula>100</formula>
    </cfRule>
  </conditionalFormatting>
  <conditionalFormatting sqref="E60:E68">
    <cfRule type="cellIs" dxfId="920" priority="37" stopIfTrue="1" operator="lessThanOrEqual">
      <formula>0</formula>
    </cfRule>
  </conditionalFormatting>
  <conditionalFormatting sqref="E60:E69">
    <cfRule type="cellIs" dxfId="919" priority="38" stopIfTrue="1" operator="greaterThan">
      <formula>$F60</formula>
    </cfRule>
    <cfRule type="cellIs" dxfId="918" priority="39" stopIfTrue="1" operator="lessThanOrEqual">
      <formula>0</formula>
    </cfRule>
  </conditionalFormatting>
  <conditionalFormatting sqref="E69">
    <cfRule type="cellIs" dxfId="917" priority="40" stopIfTrue="1" operator="lessThanOrEqual">
      <formula>0</formula>
    </cfRule>
  </conditionalFormatting>
  <conditionalFormatting sqref="E71:E79">
    <cfRule type="cellIs" dxfId="916" priority="157" stopIfTrue="1" operator="greaterThan">
      <formula>4.5</formula>
    </cfRule>
    <cfRule type="cellIs" dxfId="915" priority="158" stopIfTrue="1" operator="lessThanOrEqual">
      <formula>0</formula>
    </cfRule>
  </conditionalFormatting>
  <conditionalFormatting sqref="E44:F44 E43">
    <cfRule type="cellIs" dxfId="914" priority="167" stopIfTrue="1" operator="lessThan">
      <formula>96.5</formula>
    </cfRule>
  </conditionalFormatting>
  <conditionalFormatting sqref="F10:F15">
    <cfRule type="cellIs" dxfId="913" priority="9" operator="greaterThan">
      <formula>60</formula>
    </cfRule>
  </conditionalFormatting>
  <conditionalFormatting sqref="F44">
    <cfRule type="cellIs" dxfId="912" priority="183" stopIfTrue="1" operator="lessThan">
      <formula>96.8</formula>
    </cfRule>
    <cfRule type="cellIs" dxfId="911" priority="184" stopIfTrue="1" operator="greaterThan">
      <formula>100</formula>
    </cfRule>
  </conditionalFormatting>
  <conditionalFormatting sqref="G10 G15">
    <cfRule type="expression" dxfId="910" priority="11">
      <formula>IF(+(IF(G10&lt;S10,0,IF(G10&gt;T10,0,1)))=0,1)</formula>
    </cfRule>
  </conditionalFormatting>
  <conditionalFormatting sqref="G60:G63 F69">
    <cfRule type="cellIs" dxfId="909" priority="46" stopIfTrue="1" operator="greaterThan">
      <formula>$F60</formula>
    </cfRule>
    <cfRule type="cellIs" dxfId="908" priority="47" stopIfTrue="1" operator="lessThanOrEqual">
      <formula>0</formula>
    </cfRule>
  </conditionalFormatting>
  <conditionalFormatting sqref="G62:G63">
    <cfRule type="cellIs" dxfId="907" priority="32" stopIfTrue="1" operator="greaterThan">
      <formula>$F62</formula>
    </cfRule>
    <cfRule type="cellIs" dxfId="906" priority="33" stopIfTrue="1" operator="lessThanOrEqual">
      <formula>0</formula>
    </cfRule>
  </conditionalFormatting>
  <conditionalFormatting sqref="G64:G68">
    <cfRule type="cellIs" dxfId="905" priority="48" stopIfTrue="1" operator="greaterThan">
      <formula>$J64</formula>
    </cfRule>
    <cfRule type="cellIs" dxfId="904" priority="49" stopIfTrue="1" operator="lessThanOrEqual">
      <formula>0</formula>
    </cfRule>
  </conditionalFormatting>
  <conditionalFormatting sqref="G65">
    <cfRule type="cellIs" dxfId="903" priority="191" stopIfTrue="1" operator="greaterThan">
      <formula>$F60</formula>
    </cfRule>
    <cfRule type="cellIs" dxfId="902" priority="192" stopIfTrue="1" operator="lessThanOrEqual">
      <formula>0</formula>
    </cfRule>
  </conditionalFormatting>
  <conditionalFormatting sqref="G73:G78 C76 C78">
    <cfRule type="cellIs" dxfId="901" priority="180" stopIfTrue="1" operator="greaterThan">
      <formula>4.5</formula>
    </cfRule>
    <cfRule type="cellIs" dxfId="900" priority="181" stopIfTrue="1" operator="lessThanOrEqual">
      <formula>0</formula>
    </cfRule>
  </conditionalFormatting>
  <conditionalFormatting sqref="G72:H72">
    <cfRule type="cellIs" dxfId="899" priority="161" stopIfTrue="1" operator="greaterThan">
      <formula>$F$71</formula>
    </cfRule>
    <cfRule type="cellIs" dxfId="898" priority="162" stopIfTrue="1" operator="lessThanOrEqual">
      <formula>0</formula>
    </cfRule>
  </conditionalFormatting>
  <conditionalFormatting sqref="H10 G11:H12 M11:N14 G13:G14 H13:H15">
    <cfRule type="expression" dxfId="897" priority="12">
      <formula>IF(+(IF(G10&lt;#REF!,0,IF(G10&gt;#REF!,0,1)))=0,1)</formula>
    </cfRule>
  </conditionalFormatting>
  <conditionalFormatting sqref="H29:H30 H43">
    <cfRule type="cellIs" dxfId="896" priority="159" stopIfTrue="1" operator="greaterThan">
      <formula>0</formula>
    </cfRule>
  </conditionalFormatting>
  <conditionalFormatting sqref="H47">
    <cfRule type="cellIs" dxfId="895" priority="51" stopIfTrue="1" operator="lessThanOrEqual">
      <formula>0</formula>
    </cfRule>
    <cfRule type="cellIs" dxfId="894" priority="52" stopIfTrue="1" operator="greaterThan">
      <formula>$F$60</formula>
    </cfRule>
    <cfRule type="cellIs" dxfId="893" priority="60" stopIfTrue="1" operator="greaterThan">
      <formula>$F$63</formula>
    </cfRule>
    <cfRule type="cellIs" dxfId="892" priority="61" stopIfTrue="1" operator="lessThanOrEqual">
      <formula>0</formula>
    </cfRule>
    <cfRule type="cellIs" dxfId="891" priority="62" stopIfTrue="1" operator="greaterThan">
      <formula>$F$61</formula>
    </cfRule>
  </conditionalFormatting>
  <conditionalFormatting sqref="H47:H48">
    <cfRule type="cellIs" dxfId="890" priority="63" stopIfTrue="1" operator="lessThanOrEqual">
      <formula>0</formula>
    </cfRule>
  </conditionalFormatting>
  <conditionalFormatting sqref="H48 H50:H51">
    <cfRule type="cellIs" dxfId="889" priority="89" stopIfTrue="1" operator="lessThanOrEqual">
      <formula>0</formula>
    </cfRule>
  </conditionalFormatting>
  <conditionalFormatting sqref="H48">
    <cfRule type="cellIs" dxfId="888" priority="78" stopIfTrue="1" operator="greaterThan">
      <formula>$F$60</formula>
    </cfRule>
    <cfRule type="cellIs" dxfId="887" priority="86" stopIfTrue="1" operator="greaterThan">
      <formula>$F$63</formula>
    </cfRule>
    <cfRule type="cellIs" dxfId="886" priority="87" stopIfTrue="1" operator="lessThanOrEqual">
      <formula>0</formula>
    </cfRule>
    <cfRule type="cellIs" dxfId="885" priority="88" stopIfTrue="1" operator="greaterThan">
      <formula>$F$61</formula>
    </cfRule>
  </conditionalFormatting>
  <conditionalFormatting sqref="H49">
    <cfRule type="cellIs" dxfId="884" priority="18" stopIfTrue="1" operator="lessThanOrEqual">
      <formula>0</formula>
    </cfRule>
    <cfRule type="cellIs" dxfId="883" priority="19" stopIfTrue="1" operator="greaterThan">
      <formula>$F$62</formula>
    </cfRule>
    <cfRule type="cellIs" dxfId="882" priority="27" stopIfTrue="1" operator="greaterThan">
      <formula>$F$65</formula>
    </cfRule>
    <cfRule type="cellIs" dxfId="881" priority="28" stopIfTrue="1" operator="lessThanOrEqual">
      <formula>0</formula>
    </cfRule>
    <cfRule type="cellIs" dxfId="880" priority="29" stopIfTrue="1" operator="greaterThan">
      <formula>$F$63</formula>
    </cfRule>
    <cfRule type="cellIs" dxfId="879" priority="30" stopIfTrue="1" operator="lessThanOrEqual">
      <formula>0</formula>
    </cfRule>
  </conditionalFormatting>
  <conditionalFormatting sqref="H50:H51">
    <cfRule type="cellIs" dxfId="878" priority="91" stopIfTrue="1" operator="greaterThan">
      <formula>$F$60</formula>
    </cfRule>
    <cfRule type="cellIs" dxfId="877" priority="99" stopIfTrue="1" operator="greaterThan">
      <formula>$F$63</formula>
    </cfRule>
    <cfRule type="cellIs" dxfId="876" priority="100" stopIfTrue="1" operator="lessThanOrEqual">
      <formula>0</formula>
    </cfRule>
    <cfRule type="cellIs" dxfId="875" priority="101" stopIfTrue="1" operator="greaterThan">
      <formula>$F$61</formula>
    </cfRule>
    <cfRule type="cellIs" dxfId="874" priority="102" stopIfTrue="1" operator="lessThanOrEqual">
      <formula>0</formula>
    </cfRule>
  </conditionalFormatting>
  <conditionalFormatting sqref="H52:H53">
    <cfRule type="cellIs" dxfId="873" priority="126" stopIfTrue="1" operator="lessThanOrEqual">
      <formula>0</formula>
    </cfRule>
    <cfRule type="cellIs" dxfId="872" priority="127" stopIfTrue="1" operator="greaterThan">
      <formula>#REF!</formula>
    </cfRule>
    <cfRule type="cellIs" dxfId="871" priority="135" stopIfTrue="1" operator="greaterThan">
      <formula>#REF!</formula>
    </cfRule>
    <cfRule type="cellIs" dxfId="870" priority="136" stopIfTrue="1" operator="lessThanOrEqual">
      <formula>0</formula>
    </cfRule>
  </conditionalFormatting>
  <conditionalFormatting sqref="H54">
    <cfRule type="cellIs" dxfId="869" priority="138" stopIfTrue="1" operator="lessThanOrEqual">
      <formula>0</formula>
    </cfRule>
    <cfRule type="cellIs" dxfId="868" priority="139" stopIfTrue="1" operator="greaterThan">
      <formula>$F$28</formula>
    </cfRule>
    <cfRule type="cellIs" dxfId="867" priority="147" stopIfTrue="1" operator="greaterThan">
      <formula>$F$31</formula>
    </cfRule>
    <cfRule type="cellIs" dxfId="866" priority="148" stopIfTrue="1" operator="lessThanOrEqual">
      <formula>0</formula>
    </cfRule>
    <cfRule type="cellIs" dxfId="865" priority="149" stopIfTrue="1" operator="greaterThan">
      <formula>$F$29</formula>
    </cfRule>
    <cfRule type="cellIs" dxfId="864" priority="150" stopIfTrue="1" operator="lessThanOrEqual">
      <formula>0</formula>
    </cfRule>
  </conditionalFormatting>
  <conditionalFormatting sqref="H55:H56">
    <cfRule type="cellIs" dxfId="863" priority="114" stopIfTrue="1" operator="lessThanOrEqual">
      <formula>0</formula>
    </cfRule>
    <cfRule type="cellIs" dxfId="862" priority="115" stopIfTrue="1" operator="greaterThan">
      <formula>#REF!</formula>
    </cfRule>
    <cfRule type="cellIs" dxfId="861" priority="123" stopIfTrue="1" operator="greaterThan">
      <formula>#REF!</formula>
    </cfRule>
    <cfRule type="cellIs" dxfId="860" priority="124" stopIfTrue="1" operator="lessThanOrEqual">
      <formula>0</formula>
    </cfRule>
  </conditionalFormatting>
  <conditionalFormatting sqref="H71 H73:H79">
    <cfRule type="cellIs" dxfId="859" priority="173" stopIfTrue="1" operator="greaterThan">
      <formula>4.5</formula>
    </cfRule>
    <cfRule type="cellIs" dxfId="858" priority="174" stopIfTrue="1" operator="lessThanOrEqual">
      <formula>0</formula>
    </cfRule>
  </conditionalFormatting>
  <conditionalFormatting sqref="H47:I47">
    <cfRule type="cellIs" dxfId="857" priority="53" stopIfTrue="1" operator="lessThanOrEqual">
      <formula>0</formula>
    </cfRule>
  </conditionalFormatting>
  <conditionalFormatting sqref="H47:I48 H50:I51">
    <cfRule type="cellIs" dxfId="856" priority="50" stopIfTrue="1" operator="greaterThan">
      <formula>$F$62</formula>
    </cfRule>
  </conditionalFormatting>
  <conditionalFormatting sqref="H48:I48">
    <cfRule type="cellIs" dxfId="855" priority="79" stopIfTrue="1" operator="lessThanOrEqual">
      <formula>0</formula>
    </cfRule>
  </conditionalFormatting>
  <conditionalFormatting sqref="H49:I49">
    <cfRule type="cellIs" dxfId="854" priority="17" stopIfTrue="1" operator="greaterThan">
      <formula>$F$64</formula>
    </cfRule>
    <cfRule type="cellIs" dxfId="853" priority="20" stopIfTrue="1" operator="lessThanOrEqual">
      <formula>0</formula>
    </cfRule>
  </conditionalFormatting>
  <conditionalFormatting sqref="H50:I51">
    <cfRule type="cellIs" dxfId="852" priority="92" stopIfTrue="1" operator="lessThanOrEqual">
      <formula>0</formula>
    </cfRule>
  </conditionalFormatting>
  <conditionalFormatting sqref="H52:I53">
    <cfRule type="cellIs" dxfId="851" priority="125" stopIfTrue="1" operator="greaterThan">
      <formula>#REF!</formula>
    </cfRule>
    <cfRule type="cellIs" dxfId="850" priority="128" stopIfTrue="1" operator="lessThanOrEqual">
      <formula>0</formula>
    </cfRule>
    <cfRule type="cellIs" dxfId="849" priority="133" stopIfTrue="1" operator="greaterThan">
      <formula>#REF!</formula>
    </cfRule>
    <cfRule type="cellIs" dxfId="848" priority="134" stopIfTrue="1" operator="lessThanOrEqual">
      <formula>0</formula>
    </cfRule>
  </conditionalFormatting>
  <conditionalFormatting sqref="H54:I54">
    <cfRule type="cellIs" dxfId="847" priority="137" stopIfTrue="1" operator="greaterThan">
      <formula>$F$30</formula>
    </cfRule>
    <cfRule type="cellIs" dxfId="846" priority="140" stopIfTrue="1" operator="lessThanOrEqual">
      <formula>0</formula>
    </cfRule>
  </conditionalFormatting>
  <conditionalFormatting sqref="H55:I56">
    <cfRule type="cellIs" dxfId="845" priority="113" stopIfTrue="1" operator="greaterThan">
      <formula>#REF!</formula>
    </cfRule>
    <cfRule type="cellIs" dxfId="844" priority="116" stopIfTrue="1" operator="lessThanOrEqual">
      <formula>0</formula>
    </cfRule>
    <cfRule type="cellIs" dxfId="843" priority="121" stopIfTrue="1" operator="greaterThan">
      <formula>#REF!</formula>
    </cfRule>
    <cfRule type="cellIs" dxfId="842" priority="122" stopIfTrue="1" operator="lessThanOrEqual">
      <formula>0</formula>
    </cfRule>
  </conditionalFormatting>
  <conditionalFormatting sqref="H60:I67">
    <cfRule type="cellIs" dxfId="841" priority="35" stopIfTrue="1" operator="greaterThan">
      <formula>$J60</formula>
    </cfRule>
    <cfRule type="cellIs" dxfId="840" priority="36" stopIfTrue="1" operator="lessThanOrEqual">
      <formula>0</formula>
    </cfRule>
  </conditionalFormatting>
  <conditionalFormatting sqref="H68:I68">
    <cfRule type="cellIs" dxfId="839" priority="43" operator="greaterThan">
      <formula>5.3</formula>
    </cfRule>
  </conditionalFormatting>
  <conditionalFormatting sqref="H69:I69">
    <cfRule type="cellIs" dxfId="838" priority="41" stopIfTrue="1" operator="greaterThan">
      <formula>$J69</formula>
    </cfRule>
    <cfRule type="cellIs" dxfId="837" priority="42" stopIfTrue="1" operator="lessThanOrEqual">
      <formula>0</formula>
    </cfRule>
  </conditionalFormatting>
  <conditionalFormatting sqref="I47">
    <cfRule type="cellIs" dxfId="836" priority="54" stopIfTrue="1" operator="greaterThan">
      <formula>$F$60</formula>
    </cfRule>
    <cfRule type="cellIs" dxfId="835" priority="55" stopIfTrue="1" operator="lessThanOrEqual">
      <formula>0</formula>
    </cfRule>
    <cfRule type="cellIs" dxfId="834" priority="56" stopIfTrue="1" operator="greaterThan">
      <formula>$F$62</formula>
    </cfRule>
    <cfRule type="cellIs" dxfId="833" priority="57" stopIfTrue="1" operator="lessThanOrEqual">
      <formula>0</formula>
    </cfRule>
    <cfRule type="cellIs" dxfId="832" priority="58" stopIfTrue="1" operator="greaterThan">
      <formula>$F$60</formula>
    </cfRule>
    <cfRule type="cellIs" dxfId="831" priority="59" stopIfTrue="1" operator="lessThanOrEqual">
      <formula>0</formula>
    </cfRule>
  </conditionalFormatting>
  <conditionalFormatting sqref="I48">
    <cfRule type="cellIs" dxfId="830" priority="80" stopIfTrue="1" operator="greaterThan">
      <formula>$F$60</formula>
    </cfRule>
    <cfRule type="cellIs" dxfId="829" priority="81" stopIfTrue="1" operator="lessThanOrEqual">
      <formula>0</formula>
    </cfRule>
    <cfRule type="cellIs" dxfId="828" priority="82" stopIfTrue="1" operator="greaterThan">
      <formula>$F$62</formula>
    </cfRule>
    <cfRule type="cellIs" dxfId="827" priority="83" stopIfTrue="1" operator="lessThanOrEqual">
      <formula>0</formula>
    </cfRule>
    <cfRule type="cellIs" dxfId="826" priority="84" stopIfTrue="1" operator="greaterThan">
      <formula>$F$60</formula>
    </cfRule>
    <cfRule type="cellIs" dxfId="825" priority="85" stopIfTrue="1" operator="lessThanOrEqual">
      <formula>0</formula>
    </cfRule>
  </conditionalFormatting>
  <conditionalFormatting sqref="I49">
    <cfRule type="cellIs" dxfId="824" priority="21" stopIfTrue="1" operator="greaterThan">
      <formula>$F$62</formula>
    </cfRule>
    <cfRule type="cellIs" dxfId="823" priority="22" stopIfTrue="1" operator="lessThanOrEqual">
      <formula>0</formula>
    </cfRule>
    <cfRule type="cellIs" dxfId="822" priority="23" stopIfTrue="1" operator="greaterThan">
      <formula>$F$64</formula>
    </cfRule>
    <cfRule type="cellIs" dxfId="821" priority="24" stopIfTrue="1" operator="lessThanOrEqual">
      <formula>0</formula>
    </cfRule>
    <cfRule type="cellIs" dxfId="820" priority="25" stopIfTrue="1" operator="greaterThan">
      <formula>$F$62</formula>
    </cfRule>
    <cfRule type="cellIs" dxfId="819" priority="26" stopIfTrue="1" operator="lessThanOrEqual">
      <formula>0</formula>
    </cfRule>
  </conditionalFormatting>
  <conditionalFormatting sqref="I50:I51">
    <cfRule type="cellIs" dxfId="818" priority="93" stopIfTrue="1" operator="greaterThan">
      <formula>$F$60</formula>
    </cfRule>
    <cfRule type="cellIs" dxfId="817" priority="94" stopIfTrue="1" operator="lessThanOrEqual">
      <formula>0</formula>
    </cfRule>
    <cfRule type="cellIs" dxfId="816" priority="95" stopIfTrue="1" operator="greaterThan">
      <formula>$F$62</formula>
    </cfRule>
    <cfRule type="cellIs" dxfId="815" priority="96" stopIfTrue="1" operator="lessThanOrEqual">
      <formula>0</formula>
    </cfRule>
    <cfRule type="cellIs" dxfId="814" priority="97" stopIfTrue="1" operator="greaterThan">
      <formula>$F$60</formula>
    </cfRule>
    <cfRule type="cellIs" dxfId="813" priority="98" stopIfTrue="1" operator="lessThanOrEqual">
      <formula>0</formula>
    </cfRule>
  </conditionalFormatting>
  <conditionalFormatting sqref="I52:I53">
    <cfRule type="cellIs" dxfId="812" priority="129" stopIfTrue="1" operator="greaterThan">
      <formula>#REF!</formula>
    </cfRule>
    <cfRule type="cellIs" dxfId="811" priority="130" stopIfTrue="1" operator="lessThanOrEqual">
      <formula>0</formula>
    </cfRule>
    <cfRule type="cellIs" dxfId="810" priority="131" stopIfTrue="1" operator="greaterThan">
      <formula>#REF!</formula>
    </cfRule>
    <cfRule type="cellIs" dxfId="809" priority="132" stopIfTrue="1" operator="lessThanOrEqual">
      <formula>0</formula>
    </cfRule>
  </conditionalFormatting>
  <conditionalFormatting sqref="I54">
    <cfRule type="cellIs" dxfId="808" priority="141" stopIfTrue="1" operator="greaterThan">
      <formula>$F$28</formula>
    </cfRule>
    <cfRule type="cellIs" dxfId="807" priority="142" stopIfTrue="1" operator="lessThanOrEqual">
      <formula>0</formula>
    </cfRule>
    <cfRule type="cellIs" dxfId="806" priority="143" stopIfTrue="1" operator="greaterThan">
      <formula>$F$30</formula>
    </cfRule>
    <cfRule type="cellIs" dxfId="805" priority="144" stopIfTrue="1" operator="lessThanOrEqual">
      <formula>0</formula>
    </cfRule>
    <cfRule type="cellIs" dxfId="804" priority="145" stopIfTrue="1" operator="greaterThan">
      <formula>$F$28</formula>
    </cfRule>
    <cfRule type="cellIs" dxfId="803" priority="146" stopIfTrue="1" operator="lessThanOrEqual">
      <formula>0</formula>
    </cfRule>
  </conditionalFormatting>
  <conditionalFormatting sqref="I55:I56">
    <cfRule type="cellIs" dxfId="802" priority="117" stopIfTrue="1" operator="greaterThan">
      <formula>#REF!</formula>
    </cfRule>
    <cfRule type="cellIs" dxfId="801" priority="118" stopIfTrue="1" operator="lessThanOrEqual">
      <formula>0</formula>
    </cfRule>
    <cfRule type="cellIs" dxfId="800" priority="119" stopIfTrue="1" operator="greaterThan">
      <formula>#REF!</formula>
    </cfRule>
    <cfRule type="cellIs" dxfId="799" priority="120" stopIfTrue="1" operator="lessThanOrEqual">
      <formula>0</formula>
    </cfRule>
  </conditionalFormatting>
  <conditionalFormatting sqref="I71:I79">
    <cfRule type="cellIs" dxfId="798" priority="169" stopIfTrue="1" operator="greaterThan">
      <formula>4.5</formula>
    </cfRule>
    <cfRule type="cellIs" dxfId="797" priority="170" stopIfTrue="1" operator="lessThanOrEqual">
      <formula>0</formula>
    </cfRule>
  </conditionalFormatting>
  <conditionalFormatting sqref="I10:J15">
    <cfRule type="cellIs" dxfId="796" priority="1" operator="lessThan">
      <formula>97.9</formula>
    </cfRule>
  </conditionalFormatting>
  <conditionalFormatting sqref="J18:J20">
    <cfRule type="cellIs" dxfId="795" priority="16" operator="lessThan">
      <formula>97.95</formula>
    </cfRule>
  </conditionalFormatting>
  <conditionalFormatting sqref="J19:J22">
    <cfRule type="cellIs" dxfId="794" priority="151" operator="lessThan">
      <formula>97.4</formula>
    </cfRule>
  </conditionalFormatting>
  <conditionalFormatting sqref="J23:J24">
    <cfRule type="cellIs" dxfId="793" priority="152" operator="lessThan">
      <formula>98</formula>
    </cfRule>
  </conditionalFormatting>
  <conditionalFormatting sqref="J25:J26">
    <cfRule type="cellIs" dxfId="792" priority="153" stopIfTrue="1" operator="lessThan">
      <formula>96.8</formula>
    </cfRule>
    <cfRule type="cellIs" dxfId="791" priority="154" stopIfTrue="1" operator="greaterThan">
      <formula>100</formula>
    </cfRule>
  </conditionalFormatting>
  <conditionalFormatting sqref="J25:J27">
    <cfRule type="cellIs" dxfId="790" priority="155" operator="lessThan">
      <formula>98</formula>
    </cfRule>
  </conditionalFormatting>
  <conditionalFormatting sqref="J56">
    <cfRule type="cellIs" dxfId="789" priority="105" stopIfTrue="1" operator="greaterThan">
      <formula>#REF!</formula>
    </cfRule>
    <cfRule type="cellIs" dxfId="788" priority="106" stopIfTrue="1" operator="lessThanOrEqual">
      <formula>0</formula>
    </cfRule>
    <cfRule type="cellIs" dxfId="787" priority="107" stopIfTrue="1" operator="greaterThan">
      <formula>#REF!</formula>
    </cfRule>
    <cfRule type="cellIs" dxfId="786" priority="108" stopIfTrue="1" operator="lessThanOrEqual">
      <formula>0</formula>
    </cfRule>
    <cfRule type="cellIs" dxfId="785" priority="109" stopIfTrue="1" operator="greaterThan">
      <formula>#REF!</formula>
    </cfRule>
    <cfRule type="cellIs" dxfId="784" priority="110" stopIfTrue="1" operator="lessThanOrEqual">
      <formula>0</formula>
    </cfRule>
    <cfRule type="cellIs" dxfId="783" priority="111" stopIfTrue="1" operator="greaterThan">
      <formula>#REF!</formula>
    </cfRule>
    <cfRule type="cellIs" dxfId="782" priority="112" stopIfTrue="1" operator="lessThanOrEqual">
      <formula>0</formula>
    </cfRule>
  </conditionalFormatting>
  <conditionalFormatting sqref="J69">
    <cfRule type="cellIs" dxfId="781" priority="44" stopIfTrue="1" operator="greaterThan">
      <formula>$F69</formula>
    </cfRule>
    <cfRule type="cellIs" dxfId="780" priority="45" stopIfTrue="1" operator="lessThanOrEqual">
      <formula>0</formula>
    </cfRule>
  </conditionalFormatting>
  <conditionalFormatting sqref="K10:K15">
    <cfRule type="cellIs" dxfId="779" priority="2" operator="greaterThan">
      <formula>6</formula>
    </cfRule>
    <cfRule type="cellIs" dxfId="778" priority="3" operator="lessThan">
      <formula>4</formula>
    </cfRule>
    <cfRule type="cellIs" dxfId="777" priority="4" operator="greaterThan">
      <formula>6.4</formula>
    </cfRule>
  </conditionalFormatting>
  <conditionalFormatting sqref="K47:K56">
    <cfRule type="cellIs" dxfId="776" priority="90" stopIfTrue="1" operator="lessThan">
      <formula>100%</formula>
    </cfRule>
  </conditionalFormatting>
  <conditionalFormatting sqref="K60:K68">
    <cfRule type="cellIs" dxfId="775" priority="34" stopIfTrue="1" operator="lessThan">
      <formula>100%</formula>
    </cfRule>
  </conditionalFormatting>
  <conditionalFormatting sqref="K71:K76">
    <cfRule type="cellIs" dxfId="774" priority="175" stopIfTrue="1" operator="lessThan">
      <formula>100%</formula>
    </cfRule>
  </conditionalFormatting>
  <conditionalFormatting sqref="K78:K79">
    <cfRule type="cellIs" dxfId="773" priority="182" stopIfTrue="1" operator="lessThan">
      <formula>100%</formula>
    </cfRule>
  </conditionalFormatting>
  <conditionalFormatting sqref="L10:L15">
    <cfRule type="cellIs" dxfId="772" priority="5" operator="between">
      <formula>61</formula>
      <formula>65</formula>
    </cfRule>
    <cfRule type="cellIs" dxfId="771" priority="6" operator="greaterThan">
      <formula>65</formula>
    </cfRule>
  </conditionalFormatting>
  <conditionalFormatting sqref="L18:M29">
    <cfRule type="cellIs" dxfId="770" priority="15" operator="lessThan">
      <formula>97.95</formula>
    </cfRule>
  </conditionalFormatting>
  <conditionalFormatting sqref="L33:N33">
    <cfRule type="cellIs" dxfId="769" priority="13" operator="notEqual">
      <formula>#REF!</formula>
    </cfRule>
  </conditionalFormatting>
  <conditionalFormatting sqref="L60:N69">
    <cfRule type="cellIs" dxfId="768" priority="31" stopIfTrue="1" operator="lessThan">
      <formula>100%</formula>
    </cfRule>
  </conditionalFormatting>
  <conditionalFormatting sqref="L71:N79">
    <cfRule type="cellIs" dxfId="767" priority="160" stopIfTrue="1" operator="lessThan">
      <formula>100%</formula>
    </cfRule>
  </conditionalFormatting>
  <conditionalFormatting sqref="M10 M15">
    <cfRule type="expression" dxfId="766" priority="10">
      <formula>IF(+(IF(M10&lt;U10,0,IF(M10&gt;V10,0,1)))=0,1)</formula>
    </cfRule>
  </conditionalFormatting>
  <conditionalFormatting sqref="N10:N15">
    <cfRule type="expression" dxfId="765" priority="14">
      <formula>IF(+(IF(N10&lt;W10,0,IF(N10&gt;X10,0,1)))=0,1)</formula>
    </cfRule>
  </conditionalFormatting>
  <conditionalFormatting sqref="P6">
    <cfRule type="cellIs" dxfId="764" priority="156" operator="greaterThanOrEqual">
      <formula>19</formula>
    </cfRule>
  </conditionalFormatting>
  <dataValidations count="1">
    <dataValidation type="list" allowBlank="1" showInputMessage="1" showErrorMessage="1" sqref="R8" xr:uid="{48AB8927-34BE-4341-9B7E-6D283583C74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0231-3D62-40D7-A1E5-1B23CEBCFC54}">
  <sheetPr>
    <pageSetUpPr fitToPage="1"/>
  </sheetPr>
  <dimension ref="A1:BE75"/>
  <sheetViews>
    <sheetView topLeftCell="A40" zoomScale="85" zoomScaleNormal="85" workbookViewId="0">
      <selection activeCell="R24" sqref="R10:Z24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46287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3" t="s">
        <v>9</v>
      </c>
      <c r="C10" s="366" t="str">
        <f>[4]Brewhouse!$A373</f>
        <v>ST315</v>
      </c>
      <c r="D10" s="279">
        <f>[4]Brewhouse!$AB373</f>
        <v>53.1</v>
      </c>
      <c r="E10" s="279">
        <f>[4]Brewhouse!$AG373</f>
        <v>46.3</v>
      </c>
      <c r="F10" s="278">
        <f>[4]Brewhouse!$V373</f>
        <v>54</v>
      </c>
      <c r="G10" s="279">
        <f>[4]Brewhouse!$AE373</f>
        <v>11.9</v>
      </c>
      <c r="H10" s="493">
        <v>12.2</v>
      </c>
      <c r="I10" s="368">
        <f>[4]Brewhouse!$AS373</f>
        <v>92.207251912768385</v>
      </c>
      <c r="J10" s="368">
        <f>[4]Brewhouse!$AT373</f>
        <v>93.431660349012503</v>
      </c>
      <c r="K10" s="281">
        <f>[4]Brewhouse!$Q373</f>
        <v>12.947269303201505</v>
      </c>
      <c r="L10" s="276">
        <f>[4]Brewhouse!$P373</f>
        <v>74</v>
      </c>
      <c r="M10" s="374">
        <f>[4]Brewhouse!$U373-[4]Brewhouse!$T373</f>
        <v>0.12083333333333335</v>
      </c>
      <c r="N10" s="370">
        <f>[4]Brewhouse!$AW373</f>
        <v>0.27013888888888887</v>
      </c>
      <c r="O10" s="420" t="str">
        <f>[4]Brewhouse!$AV373</f>
        <v>R.Sookram</v>
      </c>
      <c r="P10" s="418"/>
      <c r="R10" s="277" t="str">
        <f t="shared" ref="R10:R23" si="0">B10</f>
        <v>STAG</v>
      </c>
      <c r="S10" s="472">
        <f t="shared" ref="S10:S23" si="1">VLOOKUP($B10,$R$3:$X$9,2,FALSE)</f>
        <v>11.6</v>
      </c>
      <c r="T10" s="472">
        <f t="shared" ref="T10:T23" si="2">VLOOKUP($B10,$R$3:$X$9,3,FALSE)</f>
        <v>12</v>
      </c>
      <c r="U10" s="297">
        <f t="shared" ref="U10:U23" si="3">VLOOKUP($B10,$R$3:$X$9,4,FALSE)</f>
        <v>0</v>
      </c>
      <c r="V10" s="297">
        <f t="shared" ref="V10:V23" si="4">VLOOKUP($B10,$R$3:$X$9,5,FALSE)</f>
        <v>0.118055555555556</v>
      </c>
      <c r="W10" s="297">
        <f t="shared" ref="W10:W23" si="5">VLOOKUP($B10,$R$3:$X$9,6,FALSE)</f>
        <v>0.22569444444444445</v>
      </c>
      <c r="X10" s="297">
        <f t="shared" ref="X10:X23" si="6">VLOOKUP($B10,$R$3:$X$9,7,FALSE)</f>
        <v>0.2638888888888889</v>
      </c>
      <c r="Y10" s="297">
        <f t="shared" ref="Y10:Y23" si="7">VLOOKUP($B10,$R$3:$Z$9,8,FALSE)</f>
        <v>0</v>
      </c>
      <c r="Z10" s="472">
        <f t="shared" ref="Z10:Z23" si="8">VLOOKUP($B10,$R$3:$Z$9,9,FALSE)</f>
        <v>60</v>
      </c>
    </row>
    <row r="11" spans="2:29" ht="15" customHeight="1">
      <c r="B11" s="33" t="s">
        <v>9</v>
      </c>
      <c r="C11" s="366" t="str">
        <f>[4]Brewhouse!$A374</f>
        <v>ST316</v>
      </c>
      <c r="D11" s="279">
        <f>[4]Brewhouse!$AB374</f>
        <v>53</v>
      </c>
      <c r="E11" s="279">
        <f>[4]Brewhouse!$AG374</f>
        <v>50.1</v>
      </c>
      <c r="F11" s="278">
        <f>[4]Brewhouse!$V374</f>
        <v>53</v>
      </c>
      <c r="G11" s="279">
        <f>[4]Brewhouse!$AE374</f>
        <v>11.8</v>
      </c>
      <c r="H11" s="396">
        <v>12</v>
      </c>
      <c r="I11" s="368">
        <f>[4]Brewhouse!$AS374</f>
        <v>98.768973008259692</v>
      </c>
      <c r="J11" s="368">
        <f>[4]Brewhouse!$AT374</f>
        <v>100.08094746806538</v>
      </c>
      <c r="K11" s="281">
        <f>[4]Brewhouse!$Q374</f>
        <v>9.5754716981131995</v>
      </c>
      <c r="L11" s="276">
        <f>[4]Brewhouse!$P374</f>
        <v>58</v>
      </c>
      <c r="M11" s="374">
        <f>[4]Brewhouse!$U374-[4]Brewhouse!$T374</f>
        <v>0.10694444444444445</v>
      </c>
      <c r="N11" s="370">
        <f>[4]Brewhouse!$AW374</f>
        <v>0.28749999999999998</v>
      </c>
      <c r="O11" s="420" t="str">
        <f>[4]Brewhouse!$AV374</f>
        <v>R.Sookram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33" t="s">
        <v>9</v>
      </c>
      <c r="C12" s="366" t="str">
        <f>[4]Brewhouse!$A375</f>
        <v>ST317</v>
      </c>
      <c r="D12" s="279">
        <f>[4]Brewhouse!$AB375</f>
        <v>53</v>
      </c>
      <c r="E12" s="279">
        <f>[4]Brewhouse!$AG375</f>
        <v>49.5</v>
      </c>
      <c r="F12" s="278">
        <f>[4]Brewhouse!$V375</f>
        <v>58</v>
      </c>
      <c r="G12" s="279">
        <f>[4]Brewhouse!$AE375</f>
        <v>11.9</v>
      </c>
      <c r="H12" s="493">
        <v>12.3</v>
      </c>
      <c r="I12" s="368">
        <f>[4]Brewhouse!$AS375</f>
        <v>99.2105296845954</v>
      </c>
      <c r="J12" s="368">
        <f>[4]Brewhouse!$AT375</f>
        <v>100.14072593288208</v>
      </c>
      <c r="K12" s="281">
        <f>[4]Brewhouse!$Q375</f>
        <v>8.2547169811320753</v>
      </c>
      <c r="L12" s="276">
        <f>[4]Brewhouse!$P375</f>
        <v>62</v>
      </c>
      <c r="M12" s="374">
        <f>[4]Brewhouse!$U375-[4]Brewhouse!$T375</f>
        <v>0.13541666666666663</v>
      </c>
      <c r="N12" s="370">
        <f>[4]Brewhouse!$AW375</f>
        <v>0.29166666666666663</v>
      </c>
      <c r="O12" s="420" t="str">
        <f>[4]Brewhouse!$AV375</f>
        <v>R.Sookram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33" t="s">
        <v>9</v>
      </c>
      <c r="C13" s="366" t="str">
        <f>[4]Brewhouse!$A376</f>
        <v>ST318</v>
      </c>
      <c r="D13" s="279">
        <f>[4]Brewhouse!$AB376</f>
        <v>53</v>
      </c>
      <c r="E13" s="279">
        <f>[4]Brewhouse!$AG376</f>
        <v>49.6</v>
      </c>
      <c r="F13" s="278">
        <f>[4]Brewhouse!$V376</f>
        <v>60</v>
      </c>
      <c r="G13" s="279">
        <f>[4]Brewhouse!$AE376</f>
        <v>11.9</v>
      </c>
      <c r="H13" s="396">
        <v>12</v>
      </c>
      <c r="I13" s="368">
        <f>[4]Brewhouse!$AS376</f>
        <v>99.662586818553194</v>
      </c>
      <c r="J13" s="368">
        <f>[4]Brewhouse!$AT376</f>
        <v>100.59639758292359</v>
      </c>
      <c r="K13" s="281">
        <f>[4]Brewhouse!$Q376</f>
        <v>9.7641509433962206</v>
      </c>
      <c r="L13" s="276">
        <f>[4]Brewhouse!$P376</f>
        <v>60</v>
      </c>
      <c r="M13" s="374">
        <f>[4]Brewhouse!$U376-[4]Brewhouse!$T376</f>
        <v>0.11527777777777781</v>
      </c>
      <c r="N13" s="370">
        <f>[4]Brewhouse!$AW376</f>
        <v>0.26805555555555555</v>
      </c>
      <c r="O13" s="420" t="str">
        <f>[4]Brewhouse!$AV376</f>
        <v>K. Benjamin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33" t="s">
        <v>9</v>
      </c>
      <c r="C14" s="366" t="str">
        <f>[4]Brewhouse!$A377</f>
        <v>ST319</v>
      </c>
      <c r="D14" s="279">
        <f>[4]Brewhouse!$AB377</f>
        <v>53</v>
      </c>
      <c r="E14" s="279">
        <f>[4]Brewhouse!$AG377</f>
        <v>50.3</v>
      </c>
      <c r="F14" s="278">
        <f>[4]Brewhouse!$V377</f>
        <v>62</v>
      </c>
      <c r="G14" s="279">
        <f>[4]Brewhouse!$AE377</f>
        <v>12</v>
      </c>
      <c r="H14" s="396">
        <v>12</v>
      </c>
      <c r="I14" s="368">
        <f>[4]Brewhouse!$AS377</f>
        <v>99.814541571057831</v>
      </c>
      <c r="J14" s="368">
        <f>[4]Brewhouse!$AT377</f>
        <v>100.75498941078087</v>
      </c>
      <c r="K14" s="281">
        <f>[4]Brewhouse!$Q377</f>
        <v>8.2547169811320753</v>
      </c>
      <c r="L14" s="276">
        <f>[4]Brewhouse!$P377</f>
        <v>61</v>
      </c>
      <c r="M14" s="374">
        <f>[4]Brewhouse!$U377-[4]Brewhouse!$T377</f>
        <v>0.11944444444444446</v>
      </c>
      <c r="N14" s="370">
        <f>[4]Brewhouse!$AW377</f>
        <v>0.26944444444444443</v>
      </c>
      <c r="O14" s="420" t="str">
        <f>[4]Brewhouse!$AV377</f>
        <v>K. Benjamin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33" t="s">
        <v>9</v>
      </c>
      <c r="C15" s="366" t="str">
        <f>[4]Brewhouse!$A378</f>
        <v>ST320</v>
      </c>
      <c r="D15" s="279">
        <f>[4]Brewhouse!$AB378</f>
        <v>53.1</v>
      </c>
      <c r="E15" s="279">
        <f>[4]Brewhouse!$AG378</f>
        <v>50.8</v>
      </c>
      <c r="F15" s="278">
        <f>[4]Brewhouse!$V378</f>
        <v>63</v>
      </c>
      <c r="G15" s="279">
        <f>[4]Brewhouse!$AE378</f>
        <v>11.8</v>
      </c>
      <c r="H15" s="396">
        <v>11.8</v>
      </c>
      <c r="I15" s="368">
        <f>[4]Brewhouse!$AS378</f>
        <v>100.1578324034637</v>
      </c>
      <c r="J15" s="368">
        <f>[4]Brewhouse!$AT378</f>
        <v>101.09877292959364</v>
      </c>
      <c r="K15" s="281">
        <f>[4]Brewhouse!$Q378</f>
        <v>6.1676082862523511</v>
      </c>
      <c r="L15" s="276">
        <f>[4]Brewhouse!$P378</f>
        <v>59</v>
      </c>
      <c r="M15" s="374">
        <f>[4]Brewhouse!$U378-[4]Brewhouse!$T378</f>
        <v>0.11458333333333326</v>
      </c>
      <c r="N15" s="370">
        <f>[4]Brewhouse!$AW378</f>
        <v>0.26597222222222217</v>
      </c>
      <c r="O15" s="420" t="str">
        <f>[4]Brewhouse!$AV378</f>
        <v>K. Benjamin</v>
      </c>
      <c r="P15" s="418"/>
      <c r="R15" s="277" t="str">
        <f t="shared" si="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33" t="s">
        <v>9</v>
      </c>
      <c r="C16" s="366" t="str">
        <f>[4]Brewhouse!$A379</f>
        <v>ST321</v>
      </c>
      <c r="D16" s="279">
        <f>[4]Brewhouse!$AB379</f>
        <v>53.1</v>
      </c>
      <c r="E16" s="279">
        <f>[4]Brewhouse!$AG379</f>
        <v>46.6</v>
      </c>
      <c r="F16" s="278">
        <f>[4]Brewhouse!$V379</f>
        <v>57</v>
      </c>
      <c r="G16" s="279">
        <f>[4]Brewhouse!$AE379</f>
        <v>11.9</v>
      </c>
      <c r="H16" s="396">
        <v>11.9</v>
      </c>
      <c r="I16" s="368">
        <f>[4]Brewhouse!$AS379</f>
        <v>92.812355369132575</v>
      </c>
      <c r="J16" s="368">
        <f>[4]Brewhouse!$AT379</f>
        <v>93.68400240820057</v>
      </c>
      <c r="K16" s="281">
        <f>[4]Brewhouse!$Q379</f>
        <v>7.6741996233521705</v>
      </c>
      <c r="L16" s="276">
        <f>[4]Brewhouse!$P379</f>
        <v>62</v>
      </c>
      <c r="M16" s="374">
        <f>[4]Brewhouse!$U379-[4]Brewhouse!$T379</f>
        <v>0.1166666666666667</v>
      </c>
      <c r="N16" s="370">
        <f>[4]Brewhouse!$AW379</f>
        <v>0.25486111111111109</v>
      </c>
      <c r="O16" s="420" t="str">
        <f>[4]Brewhouse!$AV379</f>
        <v>R. Regis</v>
      </c>
      <c r="P16" s="418"/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33" t="s">
        <v>9</v>
      </c>
      <c r="C17" s="366" t="str">
        <f>[4]Brewhouse!$A380</f>
        <v>ST322</v>
      </c>
      <c r="D17" s="279">
        <f>[4]Brewhouse!$AB380</f>
        <v>53.1</v>
      </c>
      <c r="E17" s="279">
        <f>[4]Brewhouse!$AG380</f>
        <v>49.9</v>
      </c>
      <c r="F17" s="278">
        <f>[4]Brewhouse!$V380</f>
        <v>57</v>
      </c>
      <c r="G17" s="279">
        <f>[4]Brewhouse!$AE380</f>
        <v>11.8</v>
      </c>
      <c r="H17" s="396">
        <v>11.9</v>
      </c>
      <c r="I17" s="368">
        <f>[4]Brewhouse!$AS380</f>
        <v>98.630536608448594</v>
      </c>
      <c r="J17" s="368">
        <f>[4]Brewhouse!$AT380</f>
        <v>99.556520571666411</v>
      </c>
      <c r="K17" s="281">
        <f>[4]Brewhouse!$Q380</f>
        <v>8.0508474576271158</v>
      </c>
      <c r="L17" s="276">
        <f>[4]Brewhouse!$P380</f>
        <v>61</v>
      </c>
      <c r="M17" s="374">
        <f>[4]Brewhouse!$U380-[4]Brewhouse!$T380</f>
        <v>0.11388888888888893</v>
      </c>
      <c r="N17" s="370">
        <f>[4]Brewhouse!$AW380</f>
        <v>0.2548611111111112</v>
      </c>
      <c r="O17" s="420" t="str">
        <f>[4]Brewhouse!$AV380</f>
        <v>R. Regis</v>
      </c>
      <c r="P17" s="418"/>
      <c r="R17" s="277" t="str">
        <f t="shared" si="0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5" customHeight="1">
      <c r="B21" s="36"/>
      <c r="C21" s="366"/>
      <c r="D21" s="279"/>
      <c r="E21" s="279"/>
      <c r="F21" s="278"/>
      <c r="G21" s="279"/>
      <c r="H21" s="396"/>
      <c r="I21" s="489"/>
      <c r="J21" s="489"/>
      <c r="K21" s="490"/>
      <c r="L21" s="276"/>
      <c r="M21" s="374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34"/>
      <c r="J22" s="534"/>
      <c r="K22" s="534"/>
      <c r="L22" s="534"/>
      <c r="M22" s="534"/>
      <c r="N22" s="534"/>
      <c r="O22" s="1"/>
      <c r="P22" s="12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7.25" customHeight="1" thickBot="1">
      <c r="B23" s="483" t="s">
        <v>162</v>
      </c>
      <c r="C23" s="388"/>
      <c r="D23" s="535" t="s">
        <v>35</v>
      </c>
      <c r="E23" s="536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0"/>
        <v xml:space="preserve">BRAND 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7.25" customHeight="1">
      <c r="A24" s="28"/>
      <c r="B24" s="537"/>
      <c r="C24" s="484"/>
      <c r="D24" s="522"/>
      <c r="E24" s="523"/>
      <c r="F24" s="294"/>
      <c r="G24" s="294"/>
      <c r="H24" s="348"/>
      <c r="I24" s="29" t="s">
        <v>6</v>
      </c>
      <c r="J24" s="323"/>
      <c r="K24" s="284">
        <f>COUNTA([3]Brewhouse!$A$696:$A$763)</f>
        <v>68</v>
      </c>
      <c r="L24" s="305">
        <f>AVERAGE([3]Brewhouse!$AU$696:$AU$763)</f>
        <v>98.656376672198689</v>
      </c>
      <c r="M24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$763)</f>
        <v>98.320769975556459</v>
      </c>
      <c r="N24" s="30">
        <v>98</v>
      </c>
      <c r="O24" s="11"/>
      <c r="P24" s="31"/>
      <c r="R24" s="277">
        <f t="shared" ref="R24:R35" si="9">B24</f>
        <v>0</v>
      </c>
      <c r="S24" s="472" t="e">
        <f t="shared" ref="S24:S35" si="10">VLOOKUP($B24,$R$3:$X$9,2,FALSE)</f>
        <v>#N/A</v>
      </c>
      <c r="T24" s="472" t="e">
        <f t="shared" ref="T24:T35" si="11">VLOOKUP($B24,$R$3:$X$9,3,FALSE)</f>
        <v>#N/A</v>
      </c>
      <c r="U24" s="297" t="e">
        <f t="shared" ref="U24:U35" si="12">VLOOKUP($B24,$R$3:$X$9,4,FALSE)</f>
        <v>#N/A</v>
      </c>
      <c r="V24" s="297" t="e">
        <f t="shared" ref="V24:V35" si="13">VLOOKUP($B24,$R$3:$X$9,5,FALSE)</f>
        <v>#N/A</v>
      </c>
      <c r="W24" s="297" t="e">
        <f t="shared" ref="W24:W35" si="14">VLOOKUP($B24,$R$3:$X$9,6,FALSE)</f>
        <v>#N/A</v>
      </c>
      <c r="X24" s="297" t="e">
        <f t="shared" ref="X24:X35" si="15">VLOOKUP($B24,$R$3:$X$9,7,FALSE)</f>
        <v>#N/A</v>
      </c>
      <c r="Y24" s="297" t="e">
        <f t="shared" ref="Y24:Y35" si="16">VLOOKUP($B24,$R$3:$Z$9,8,FALSE)</f>
        <v>#N/A</v>
      </c>
      <c r="Z24" s="472" t="e">
        <f t="shared" ref="Z24:Z35" si="17">VLOOKUP($B24,$R$3:$Z$9,9,FALSE)</f>
        <v>#N/A</v>
      </c>
    </row>
    <row r="25" spans="1:27" ht="15" customHeight="1">
      <c r="A25" s="28"/>
      <c r="B25" s="538"/>
      <c r="C25" s="362"/>
      <c r="D25" s="524"/>
      <c r="E25" s="525"/>
      <c r="F25" s="294"/>
      <c r="G25" s="294"/>
      <c r="H25" s="348"/>
      <c r="I25" s="33" t="s">
        <v>9</v>
      </c>
      <c r="J25" s="323">
        <f>AVERAGE(I10:I17)</f>
        <v>97.658075922034911</v>
      </c>
      <c r="K25" s="284">
        <f>COUNTA([4]Brewhouse!$A$363:$A$380)</f>
        <v>18</v>
      </c>
      <c r="L25" s="302">
        <f>AVERAGE([4]Brewhouse!$AS$363:$AS$380)</f>
        <v>99.237321929974939</v>
      </c>
      <c r="M25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AVERAGE([4]Brewhouse!$AS$52:$AS$81,[4]Brewhouse!$AS$83:$AS$124,[4]Brewhouse!$AS$134:$AS$177,[4]Brewhouse!$AS$22:$AS$179,[4]Brewhouse!$AS$214:$AS$249,[4]Brewhouse!$AS$252:$AS$293,[4]Brewhouse!$AS$295:$AS$325,[4]Brewhouse!$AS$327:$AS$361,[4]Brewhouse!$AS$363:$AS$380)</f>
        <v>98.280844420420635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8"/>
      <c r="C26" s="362"/>
      <c r="D26" s="529"/>
      <c r="E26" s="530"/>
      <c r="F26" s="294"/>
      <c r="G26" s="294"/>
      <c r="H26" s="348"/>
      <c r="I26" s="34" t="s">
        <v>12</v>
      </c>
      <c r="J26" s="323"/>
      <c r="K26" s="284">
        <f>COUNTA([5]Brewhouse!$A$99:$A$106)</f>
        <v>8</v>
      </c>
      <c r="L26" s="302">
        <f>AVERAGE([5]Brewhouse!$AU$99:$AU$106)</f>
        <v>96.462109124412379</v>
      </c>
      <c r="M26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8"/>
      <c r="C27" s="362"/>
      <c r="D27" s="531"/>
      <c r="E27" s="525"/>
      <c r="F27" s="294"/>
      <c r="G27" s="294"/>
      <c r="H27" s="348"/>
      <c r="I27" s="22" t="s">
        <v>33</v>
      </c>
      <c r="J27" s="280"/>
      <c r="K27" s="284"/>
      <c r="L27" s="302"/>
      <c r="M27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8"/>
      <c r="C28" s="362"/>
      <c r="D28" s="529"/>
      <c r="E28" s="530"/>
      <c r="F28" s="294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38"/>
      <c r="C29" s="362"/>
      <c r="D29" s="531"/>
      <c r="E29" s="525"/>
      <c r="F29" s="417"/>
      <c r="G29" s="294"/>
      <c r="H29" s="348"/>
      <c r="I29" s="36" t="s">
        <v>15</v>
      </c>
      <c r="J29" s="323"/>
      <c r="K29" s="284">
        <f>COUNTA([7]Brewhouse!$A$23:$A$30)</f>
        <v>8</v>
      </c>
      <c r="L29" s="302">
        <f>AVERAGE([7]Brewhouse!$AT$23:$AT$30)</f>
        <v>96.065914782338609</v>
      </c>
      <c r="M29" s="302">
        <f>AVERAGE([7]Brewhouse!$AT$4:$AT$11,[7]Brewhouse!$AT$13:$AT$16,[7]Brewhouse!$AT$18:$AT$30)</f>
        <v>93.22262799886262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38"/>
      <c r="C30" s="362"/>
      <c r="D30" s="529"/>
      <c r="E30" s="530"/>
      <c r="F30" s="417"/>
      <c r="G30" s="294"/>
      <c r="H30" s="348"/>
      <c r="I30" s="37" t="s">
        <v>16</v>
      </c>
      <c r="J30" s="323"/>
      <c r="K30" s="284"/>
      <c r="L30" s="302"/>
      <c r="M30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38"/>
      <c r="C31" s="362"/>
      <c r="D31" s="531"/>
      <c r="E31" s="525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7" ht="14.65" customHeight="1">
      <c r="A32" s="28"/>
      <c r="B32" s="538"/>
      <c r="C32" s="362"/>
      <c r="D32" s="529"/>
      <c r="E32" s="530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38"/>
      <c r="C33" s="362"/>
      <c r="D33" s="531"/>
      <c r="E33" s="525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38"/>
      <c r="C34" s="349"/>
      <c r="D34" s="522"/>
      <c r="E34" s="523"/>
      <c r="F34" s="294"/>
      <c r="G34" s="294"/>
      <c r="H34" s="348"/>
      <c r="I34" s="1"/>
      <c r="J34" s="39"/>
      <c r="K34" s="404">
        <f>SUM(K24:K33)</f>
        <v>102</v>
      </c>
      <c r="L34" s="405">
        <f>((L24*K24)+(L25*K25)+(L26*K26)+(L27*K27)+(L28*K28)+(K31*L31)+(L29*K29)+(L30*K30)+(L33*K33))/(K34)</f>
        <v>98.383623526500671</v>
      </c>
      <c r="M34" s="405">
        <f>AVERAGE('[9]Jan30th-31st'!$L$42,'[10]Feb 27th-28th'!$L$45,'[11]Mar 31st'!$L$42,'[12]Apr 30th'!$L$41,'[13]May 29th '!$L$35,'[14]June 30th'!$L$32,[15]July31st!$L$36,'[16]Aug 31st'!$L$32,L34)</f>
        <v>98.033430184705026</v>
      </c>
      <c r="N34" s="4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39"/>
      <c r="C35" s="350"/>
      <c r="D35" s="524"/>
      <c r="E35" s="525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19"/>
      <c r="C36" s="362"/>
      <c r="D36" s="522"/>
      <c r="E36" s="523"/>
      <c r="F36" s="294"/>
      <c r="G36" s="42"/>
      <c r="H36" s="41"/>
      <c r="I36" s="42"/>
      <c r="J36" s="526" t="s">
        <v>129</v>
      </c>
      <c r="K36" s="526"/>
      <c r="L36" s="294"/>
      <c r="M36" s="294"/>
      <c r="N36" s="294"/>
      <c r="O36" s="294"/>
      <c r="P36" s="12"/>
    </row>
    <row r="37" spans="1:56" ht="15.75" thickBot="1">
      <c r="B37" s="520"/>
      <c r="C37" s="362"/>
      <c r="D37" s="524"/>
      <c r="E37" s="525"/>
      <c r="F37" s="294"/>
      <c r="G37" s="42"/>
      <c r="H37" s="42"/>
      <c r="I37" s="42"/>
      <c r="J37" s="292" t="s">
        <v>17</v>
      </c>
      <c r="K37" s="293"/>
      <c r="L37" s="527" t="s">
        <v>136</v>
      </c>
      <c r="M37" s="527"/>
      <c r="N37" s="528"/>
      <c r="O37" s="294"/>
      <c r="P37" s="12"/>
    </row>
    <row r="38" spans="1:56" ht="15" customHeight="1" thickBot="1">
      <c r="B38" s="520"/>
      <c r="C38" s="349"/>
      <c r="D38" s="529"/>
      <c r="E38" s="530"/>
      <c r="F38" s="294"/>
      <c r="G38" s="42"/>
      <c r="H38" s="42"/>
      <c r="I38" s="42"/>
      <c r="J38" s="287" t="s">
        <v>6</v>
      </c>
      <c r="K38" s="324"/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0"/>
      <c r="C39" s="349"/>
      <c r="D39" s="531"/>
      <c r="E39" s="525"/>
      <c r="F39" s="294"/>
      <c r="G39" s="42"/>
      <c r="H39" s="42"/>
      <c r="I39" s="42"/>
      <c r="J39" s="345" t="s">
        <v>9</v>
      </c>
      <c r="K39" s="324">
        <v>8</v>
      </c>
      <c r="L39" s="485">
        <f>AVERAGE('Sept 1st'!K45,'Sept 2nd'!K47,'Sept 3rd'!K44,'Sept 4th'!K46,'Sept 7th'!K48,'Sept 8th'!K48,'Sept 9th'!K50,'Sept 10th'!K49,'Sept 11th '!K45,'Sept 14th'!K45,'Sept 15th'!K48,'Sept 16th'!K51,'Sept 17th '!K52,'Sept 18th'!K42,K48)</f>
        <v>6.8</v>
      </c>
      <c r="M39" s="486">
        <f>AVERAGE('[9]Jan30th-31st'!$L$47,L39,'[10]Feb 26th '!$L$39,'[11]Mar 31st'!$L$47,'[12]Apr 30th'!$L$46,'[13]May 29th '!$L$40,'[14]June 30th'!$L$39,[15]July31st!$L$41,'[16]Aug 31st'!$L$37)</f>
        <v>6.4933448194317762</v>
      </c>
      <c r="N39" s="416">
        <v>9.1999999999999993</v>
      </c>
      <c r="O39" s="294"/>
      <c r="P39" s="12"/>
    </row>
    <row r="40" spans="1:56" ht="15" customHeight="1">
      <c r="B40" s="520"/>
      <c r="C40" s="349"/>
      <c r="D40" s="529"/>
      <c r="E40" s="530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0"/>
      <c r="C41" s="349"/>
      <c r="D41" s="531"/>
      <c r="E41" s="525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0"/>
      <c r="C42" s="349"/>
      <c r="D42" s="529"/>
      <c r="E42" s="530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0"/>
      <c r="C43" s="349"/>
      <c r="D43" s="531"/>
      <c r="E43" s="525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0"/>
      <c r="C44" s="349"/>
      <c r="D44" s="529"/>
      <c r="E44" s="530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1"/>
      <c r="C45" s="350"/>
      <c r="D45" s="532"/>
      <c r="E45" s="533"/>
      <c r="F45" s="294" t="s">
        <v>165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10"/>
      <c r="E46" s="511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8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42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04" t="s">
        <v>17</v>
      </c>
      <c r="C51" s="504" t="s">
        <v>44</v>
      </c>
      <c r="D51" s="513" t="s">
        <v>45</v>
      </c>
      <c r="E51" s="515" t="s">
        <v>46</v>
      </c>
      <c r="F51" s="517" t="s">
        <v>47</v>
      </c>
      <c r="G51" s="502" t="s">
        <v>48</v>
      </c>
      <c r="H51" s="504" t="s">
        <v>49</v>
      </c>
      <c r="I51" s="504" t="s">
        <v>50</v>
      </c>
      <c r="J51" s="496" t="s">
        <v>28</v>
      </c>
      <c r="K51" s="506" t="s">
        <v>51</v>
      </c>
      <c r="L51" s="508" t="s">
        <v>52</v>
      </c>
      <c r="M51" s="496" t="s">
        <v>53</v>
      </c>
      <c r="N51" s="13"/>
      <c r="O51" s="13"/>
      <c r="P51" s="50"/>
    </row>
    <row r="52" spans="2:57" ht="28.5" customHeight="1" thickTop="1" thickBot="1">
      <c r="B52" s="505"/>
      <c r="C52" s="512"/>
      <c r="D52" s="514"/>
      <c r="E52" s="516"/>
      <c r="F52" s="518"/>
      <c r="G52" s="503"/>
      <c r="H52" s="505"/>
      <c r="I52" s="505"/>
      <c r="J52" s="497"/>
      <c r="K52" s="507"/>
      <c r="L52" s="509"/>
      <c r="M52" s="497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456" t="str">
        <f>J38</f>
        <v>CARIB</v>
      </c>
      <c r="C53" s="479">
        <v>46286</v>
      </c>
      <c r="D53" s="445">
        <f>[17]September_2026!$X$3</f>
        <v>93.5</v>
      </c>
      <c r="E53" s="443"/>
      <c r="F53" s="444"/>
      <c r="G53" s="444">
        <f>[17]September_2026!$X$7</f>
        <v>91.5</v>
      </c>
      <c r="H53" s="458"/>
      <c r="I53" s="458"/>
      <c r="J53" s="448" t="s">
        <v>174</v>
      </c>
      <c r="K53" s="449">
        <f>[18]September_2026!$X$18</f>
        <v>0.32105263157894737</v>
      </c>
      <c r="L53" s="476">
        <f>(((D53+E53)-G53)/(D53+E53))*100</f>
        <v>2.1390374331550799</v>
      </c>
      <c r="M53" s="455" t="s">
        <v>181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[19]January_2019!L5</f>
        <v>0</v>
      </c>
      <c r="AC53" s="57">
        <f>[19]January_2019!M5</f>
        <v>0</v>
      </c>
      <c r="AD53" s="57">
        <f>[19]January_2019!N5</f>
        <v>0</v>
      </c>
      <c r="AE53" s="57">
        <f>[19]January_2019!O5</f>
        <v>0</v>
      </c>
      <c r="AF53" s="57">
        <f>[19]January_2019!P5</f>
        <v>0</v>
      </c>
      <c r="AG53" s="57">
        <f>[19]January_2019!Q5</f>
        <v>0</v>
      </c>
      <c r="AH53" s="57">
        <f>[19]January_2019!R5</f>
        <v>0</v>
      </c>
      <c r="AI53" s="57">
        <f>[19]January_2019!S5</f>
        <v>0</v>
      </c>
      <c r="AJ53" s="57">
        <f>[19]January_2019!T5</f>
        <v>0</v>
      </c>
      <c r="AK53" s="57">
        <f>[19]January_2019!U5</f>
        <v>0</v>
      </c>
      <c r="AL53" s="57">
        <f>[19]January_2019!V5</f>
        <v>0</v>
      </c>
      <c r="AM53" s="57">
        <f>[19]January_2019!W5</f>
        <v>0</v>
      </c>
      <c r="AN53" s="57">
        <f>[19]January_2019!X5</f>
        <v>0</v>
      </c>
      <c r="AO53" s="57">
        <f>[19]January_2019!Y5</f>
        <v>0</v>
      </c>
      <c r="AP53" s="57">
        <f>[19]January_2019!Z5</f>
        <v>0</v>
      </c>
      <c r="AQ53" s="57">
        <f>[19]January_2019!AA5</f>
        <v>0</v>
      </c>
      <c r="AR53" s="57">
        <f>[19]January_2019!AB5</f>
        <v>0</v>
      </c>
      <c r="AS53" s="57">
        <f>[19]January_2019!AC5</f>
        <v>0</v>
      </c>
      <c r="AT53" s="57">
        <f>[19]January_2019!AD5</f>
        <v>0</v>
      </c>
      <c r="AU53" s="57">
        <f>[19]January_2019!AE5</f>
        <v>0</v>
      </c>
      <c r="AV53" s="57">
        <f>[19]January_2019!AF5</f>
        <v>0</v>
      </c>
      <c r="AW53" s="57">
        <f>[19]January_2019!AG5</f>
        <v>0</v>
      </c>
      <c r="AX53" s="277">
        <f>[19]January_2019!AH5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[19]January_2019!L6</f>
        <v>0</v>
      </c>
      <c r="AC54" s="57">
        <f>[19]January_2019!M6</f>
        <v>0</v>
      </c>
      <c r="AD54" s="57">
        <f>[19]January_2019!N6</f>
        <v>0</v>
      </c>
      <c r="AE54" s="57">
        <f>[19]January_2019!O6</f>
        <v>0</v>
      </c>
      <c r="AF54" s="57">
        <f>[19]January_2019!P6</f>
        <v>0</v>
      </c>
      <c r="AG54" s="57">
        <f>[19]January_2019!Q6</f>
        <v>0</v>
      </c>
      <c r="AH54" s="57">
        <f>[19]January_2019!R6</f>
        <v>0</v>
      </c>
      <c r="AI54" s="57">
        <f>[19]January_2019!S6</f>
        <v>0</v>
      </c>
      <c r="AJ54" s="57">
        <f>[19]January_2019!T6</f>
        <v>0</v>
      </c>
      <c r="AK54" s="57">
        <f>[19]January_2019!U6</f>
        <v>0</v>
      </c>
      <c r="AL54" s="57">
        <f>[19]January_2019!V6</f>
        <v>0</v>
      </c>
      <c r="AM54" s="57">
        <f>[19]January_2019!W6</f>
        <v>0</v>
      </c>
      <c r="AN54" s="57">
        <f>[19]January_2019!X6</f>
        <v>0</v>
      </c>
      <c r="AO54" s="57">
        <f>[19]January_2019!Y6</f>
        <v>0</v>
      </c>
      <c r="AP54" s="57">
        <f>[19]January_2019!Z6</f>
        <v>0</v>
      </c>
      <c r="AQ54" s="57">
        <f>[19]January_2019!AA6</f>
        <v>0</v>
      </c>
      <c r="AR54" s="57">
        <f>[19]January_2019!AB6</f>
        <v>0</v>
      </c>
      <c r="AS54" s="57">
        <f>[19]January_2019!AC6</f>
        <v>0</v>
      </c>
      <c r="AT54" s="57">
        <f>[19]January_2019!AD6</f>
        <v>0</v>
      </c>
      <c r="AU54" s="57">
        <f>[19]January_2019!AE6</f>
        <v>0</v>
      </c>
      <c r="AV54" s="57">
        <f>[19]January_2019!AF6</f>
        <v>0</v>
      </c>
      <c r="AW54" s="57">
        <f>[19]January_2019!AG6</f>
        <v>0</v>
      </c>
      <c r="AX54" s="277">
        <f>[19]January_2019!AH6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customHeight="1" thickBot="1">
      <c r="B55" s="491" t="str">
        <f>J39</f>
        <v>STAG</v>
      </c>
      <c r="C55" s="479">
        <v>46286</v>
      </c>
      <c r="D55" s="442">
        <f>[17]September_2026!$X$13</f>
        <v>312</v>
      </c>
      <c r="E55" s="443"/>
      <c r="F55" s="444"/>
      <c r="G55" s="444">
        <f>[17]September_2026!$X$17</f>
        <v>297.60000000000002</v>
      </c>
      <c r="H55" s="446"/>
      <c r="I55" s="446"/>
      <c r="J55" s="448" t="s">
        <v>174</v>
      </c>
      <c r="K55" s="449">
        <f>[18]September_2026!$X$25</f>
        <v>1.0442105263157895</v>
      </c>
      <c r="L55" s="457">
        <f>(((D55+E55)-G55)/(D55+E55))*100</f>
        <v>4.6153846153846079</v>
      </c>
      <c r="M55" s="455" t="s">
        <v>176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[19]January_2019!L7</f>
        <v>285.8</v>
      </c>
      <c r="AC55" s="57">
        <f>[19]January_2019!M7</f>
        <v>508.1</v>
      </c>
      <c r="AD55" s="57">
        <f>[19]January_2019!N7</f>
        <v>0</v>
      </c>
      <c r="AE55" s="57">
        <f>[19]January_2019!O7</f>
        <v>0</v>
      </c>
      <c r="AF55" s="57">
        <f>[19]January_2019!P7</f>
        <v>109.56666666666666</v>
      </c>
      <c r="AG55" s="57">
        <f>[19]January_2019!Q7</f>
        <v>297.64999999999998</v>
      </c>
      <c r="AH55" s="57">
        <f>[19]January_2019!R7</f>
        <v>122.3</v>
      </c>
      <c r="AI55" s="57">
        <f>[19]January_2019!S7</f>
        <v>0</v>
      </c>
      <c r="AJ55" s="57">
        <f>[19]January_2019!T7</f>
        <v>294.7</v>
      </c>
      <c r="AK55" s="57">
        <f>[19]January_2019!U7</f>
        <v>280.5</v>
      </c>
      <c r="AL55" s="57">
        <f>[19]January_2019!V7</f>
        <v>0</v>
      </c>
      <c r="AM55" s="57">
        <f>[19]January_2019!W7</f>
        <v>0</v>
      </c>
      <c r="AN55" s="57">
        <f>[19]January_2019!X7</f>
        <v>188.25</v>
      </c>
      <c r="AO55" s="57">
        <f>[19]January_2019!Y7</f>
        <v>295.7</v>
      </c>
      <c r="AP55" s="57">
        <f>[19]January_2019!Z7</f>
        <v>257.8</v>
      </c>
      <c r="AQ55" s="57">
        <f>[19]January_2019!AA7</f>
        <v>291.2</v>
      </c>
      <c r="AR55" s="57">
        <f>[19]January_2019!AB7</f>
        <v>187</v>
      </c>
      <c r="AS55" s="57">
        <f>[19]January_2019!AC7</f>
        <v>0</v>
      </c>
      <c r="AT55" s="57">
        <f>[19]January_2019!AD7</f>
        <v>0</v>
      </c>
      <c r="AU55" s="57">
        <f>[19]January_2019!AE7</f>
        <v>485.1</v>
      </c>
      <c r="AV55" s="57">
        <f>[19]January_2019!AF7</f>
        <v>171.55</v>
      </c>
      <c r="AW55" s="57">
        <f>[19]January_2019!AG7</f>
        <v>423.8</v>
      </c>
      <c r="AX55" s="277">
        <f>[19]January_2019!AH7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8.600000000000001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65" hidden="1" customHeight="1" thickBot="1">
      <c r="B57" s="487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.75" hidden="1" thickBot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1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498" t="s">
        <v>55</v>
      </c>
      <c r="C64" s="499"/>
      <c r="D64" s="499"/>
      <c r="E64" s="499"/>
      <c r="F64" s="500"/>
      <c r="G64" s="498" t="s">
        <v>56</v>
      </c>
      <c r="H64" s="499"/>
      <c r="I64" s="499"/>
      <c r="J64" s="500"/>
      <c r="K64" s="498" t="s">
        <v>51</v>
      </c>
      <c r="L64" s="499"/>
      <c r="M64" s="499"/>
      <c r="N64" s="501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2.1390374331550799</v>
      </c>
      <c r="D66" s="76">
        <v>7.2669378760384307</v>
      </c>
      <c r="E66" s="76">
        <v>6.6024208041377905</v>
      </c>
      <c r="F66" s="66">
        <v>4.8</v>
      </c>
      <c r="G66" s="65">
        <f>[17]September_2026!$X$11</f>
        <v>1.6693048128342238</v>
      </c>
      <c r="H66" s="477">
        <v>6.5160801722722619</v>
      </c>
      <c r="I66" s="477">
        <v>6.6384808531425268</v>
      </c>
      <c r="J66" s="66">
        <v>4.8</v>
      </c>
      <c r="K66" s="67">
        <f>K53</f>
        <v>0.32105263157894737</v>
      </c>
      <c r="L66" s="194">
        <v>0.54583684210526329</v>
      </c>
      <c r="M66" s="194">
        <v>0.52770661335828817</v>
      </c>
      <c r="N66" s="68">
        <v>1</v>
      </c>
      <c r="O66" s="56"/>
      <c r="P66" s="69"/>
    </row>
    <row r="67" spans="2:16" ht="15">
      <c r="B67" s="33" t="s">
        <v>9</v>
      </c>
      <c r="C67" s="65">
        <f>L55</f>
        <v>4.6153846153846079</v>
      </c>
      <c r="D67" s="76">
        <v>7.3316708229426295</v>
      </c>
      <c r="E67" s="76">
        <v>5.9176241386194413</v>
      </c>
      <c r="F67" s="66">
        <v>4.8</v>
      </c>
      <c r="G67" s="65">
        <f>[17]September_2026!$X$21</f>
        <v>3.6145775128825988</v>
      </c>
      <c r="H67" s="76">
        <v>6.310098886396319</v>
      </c>
      <c r="I67" s="76">
        <v>5.9747974627164657</v>
      </c>
      <c r="J67" s="66">
        <v>4.8</v>
      </c>
      <c r="K67" s="67">
        <f>K55</f>
        <v>1.0442105263157895</v>
      </c>
      <c r="L67" s="194">
        <v>0.56038596491228077</v>
      </c>
      <c r="M67" s="194">
        <v>0.68932508225459388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11.277593164016125</v>
      </c>
      <c r="F68" s="66">
        <v>5.5</v>
      </c>
      <c r="G68" s="65"/>
      <c r="H68" s="76"/>
      <c r="I68" s="76">
        <v>11.857907912244482</v>
      </c>
      <c r="J68" s="66">
        <v>5.5</v>
      </c>
      <c r="K68" s="67"/>
      <c r="L68" s="194"/>
      <c r="M68" s="194">
        <v>0.35370190356844494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4.8685538193023836</v>
      </c>
      <c r="F69" s="66">
        <v>3.3</v>
      </c>
      <c r="G69" s="65"/>
      <c r="H69" s="76"/>
      <c r="I69" s="76">
        <v>4.8702525342252114</v>
      </c>
      <c r="J69" s="66">
        <v>3.3</v>
      </c>
      <c r="K69" s="67"/>
      <c r="L69" s="194"/>
      <c r="M69" s="194">
        <v>0.77919298245614044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>
        <v>6.8855672629257718</v>
      </c>
      <c r="E71" s="76">
        <v>6.3233965672990236</v>
      </c>
      <c r="F71" s="70">
        <v>5.5</v>
      </c>
      <c r="G71" s="65"/>
      <c r="H71" s="76">
        <v>7.4264332958762713</v>
      </c>
      <c r="I71" s="76">
        <v>7.9667553186446929</v>
      </c>
      <c r="J71" s="66">
        <v>5.5</v>
      </c>
      <c r="K71" s="67"/>
      <c r="L71" s="194">
        <v>0.391812865497076</v>
      </c>
      <c r="M71" s="194">
        <v>0.5883625730994152</v>
      </c>
      <c r="N71" s="68">
        <v>1</v>
      </c>
      <c r="P71" s="69"/>
    </row>
    <row r="72" spans="2:16" ht="15">
      <c r="B72" s="37" t="s">
        <v>16</v>
      </c>
      <c r="C72" s="482"/>
      <c r="D72" s="76"/>
      <c r="E72" s="76">
        <v>3.6168923014750334</v>
      </c>
      <c r="F72" s="66">
        <v>3.3</v>
      </c>
      <c r="G72" s="282"/>
      <c r="H72" s="76"/>
      <c r="I72" s="76">
        <v>5.0091179718082053</v>
      </c>
      <c r="J72" s="66">
        <v>3.3</v>
      </c>
      <c r="K72" s="67"/>
      <c r="L72" s="194"/>
      <c r="M72" s="194">
        <v>0.92642300194931759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7.2508172898523311</v>
      </c>
      <c r="E75" s="76">
        <v>6.4061488343608515</v>
      </c>
      <c r="F75" s="341">
        <v>5.5</v>
      </c>
      <c r="H75" s="76">
        <v>6.5577606760145137</v>
      </c>
      <c r="I75" s="76">
        <v>6.683635413763378</v>
      </c>
      <c r="J75" s="341">
        <v>5.5</v>
      </c>
      <c r="L75" s="194">
        <v>0.5196853070175439</v>
      </c>
      <c r="M75" s="194">
        <v>0.59152306623793738</v>
      </c>
      <c r="N75" s="386">
        <v>1</v>
      </c>
    </row>
  </sheetData>
  <mergeCells count="51"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763" priority="113" operator="notBetween">
      <formula>#REF!</formula>
      <formula>#REF!</formula>
    </cfRule>
  </conditionalFormatting>
  <conditionalFormatting sqref="C50">
    <cfRule type="cellIs" dxfId="762" priority="195" stopIfTrue="1" operator="lessThan">
      <formula>96</formula>
    </cfRule>
    <cfRule type="cellIs" dxfId="761" priority="196" stopIfTrue="1" operator="greaterThan">
      <formula>100</formula>
    </cfRule>
  </conditionalFormatting>
  <conditionalFormatting sqref="C66:C67">
    <cfRule type="cellIs" dxfId="760" priority="76" stopIfTrue="1" operator="greaterThan">
      <formula>$F66</formula>
    </cfRule>
    <cfRule type="cellIs" dxfId="759" priority="77" stopIfTrue="1" operator="lessThanOrEqual">
      <formula>0</formula>
    </cfRule>
    <cfRule type="cellIs" dxfId="758" priority="78" stopIfTrue="1" operator="greaterThan">
      <formula>$F66</formula>
    </cfRule>
    <cfRule type="cellIs" dxfId="757" priority="79" stopIfTrue="1" operator="lessThanOrEqual">
      <formula>0</formula>
    </cfRule>
  </conditionalFormatting>
  <conditionalFormatting sqref="C68:C70 C72:C74">
    <cfRule type="cellIs" dxfId="756" priority="85" stopIfTrue="1" operator="greaterThan">
      <formula>$F71</formula>
    </cfRule>
  </conditionalFormatting>
  <conditionalFormatting sqref="C68:C70">
    <cfRule type="cellIs" dxfId="755" priority="86" stopIfTrue="1" operator="lessThanOrEqual">
      <formula>0</formula>
    </cfRule>
  </conditionalFormatting>
  <conditionalFormatting sqref="C71">
    <cfRule type="cellIs" dxfId="754" priority="197" stopIfTrue="1" operator="greaterThan">
      <formula>$F66</formula>
    </cfRule>
    <cfRule type="cellIs" dxfId="753" priority="198" stopIfTrue="1" operator="lessThanOrEqual">
      <formula>0</formula>
    </cfRule>
    <cfRule type="cellIs" dxfId="752" priority="199" stopIfTrue="1" operator="greaterThan">
      <formula>$F66</formula>
    </cfRule>
    <cfRule type="cellIs" dxfId="751" priority="200" stopIfTrue="1" operator="lessThanOrEqual">
      <formula>0</formula>
    </cfRule>
  </conditionalFormatting>
  <conditionalFormatting sqref="C72:C74">
    <cfRule type="cellIs" dxfId="750" priority="87" stopIfTrue="1" operator="lessThanOrEqual">
      <formula>0</formula>
    </cfRule>
  </conditionalFormatting>
  <conditionalFormatting sqref="C77:C81">
    <cfRule type="cellIs" dxfId="749" priority="187" stopIfTrue="1" operator="lessThanOrEqual">
      <formula>0</formula>
    </cfRule>
  </conditionalFormatting>
  <conditionalFormatting sqref="C78:C81">
    <cfRule type="cellIs" dxfId="748" priority="186" stopIfTrue="1" operator="greaterThan">
      <formula>$F$77</formula>
    </cfRule>
  </conditionalFormatting>
  <conditionalFormatting sqref="C83">
    <cfRule type="cellIs" dxfId="747" priority="188" stopIfTrue="1" operator="greaterThan">
      <formula>$F$77</formula>
    </cfRule>
    <cfRule type="cellIs" dxfId="746" priority="189" stopIfTrue="1" operator="lessThanOrEqual">
      <formula>0</formula>
    </cfRule>
  </conditionalFormatting>
  <conditionalFormatting sqref="C71:D71">
    <cfRule type="cellIs" dxfId="745" priority="74" stopIfTrue="1" operator="greaterThan">
      <formula>$J71</formula>
    </cfRule>
    <cfRule type="cellIs" dxfId="744" priority="75" stopIfTrue="1" operator="lessThanOrEqual">
      <formula>0</formula>
    </cfRule>
  </conditionalFormatting>
  <conditionalFormatting sqref="C77:D77 D79:D85">
    <cfRule type="cellIs" dxfId="743" priority="181" stopIfTrue="1" operator="greaterThan">
      <formula>4.5</formula>
    </cfRule>
  </conditionalFormatting>
  <conditionalFormatting sqref="D46:D47">
    <cfRule type="cellIs" dxfId="742" priority="114" operator="notBetween">
      <formula>#REF!</formula>
      <formula>#REF!</formula>
    </cfRule>
  </conditionalFormatting>
  <conditionalFormatting sqref="D66:D70 D72:D73">
    <cfRule type="cellIs" dxfId="741" priority="84" stopIfTrue="1" operator="lessThanOrEqual">
      <formula>0</formula>
    </cfRule>
  </conditionalFormatting>
  <conditionalFormatting sqref="D66:D70 D72:D75">
    <cfRule type="cellIs" dxfId="740" priority="80" stopIfTrue="1" operator="lessThanOrEqual">
      <formula>0</formula>
    </cfRule>
    <cfRule type="cellIs" dxfId="739" priority="81" stopIfTrue="1" operator="greaterThan">
      <formula>$F66</formula>
    </cfRule>
  </conditionalFormatting>
  <conditionalFormatting sqref="D74:D75">
    <cfRule type="cellIs" dxfId="738" priority="82" stopIfTrue="1" operator="lessThanOrEqual">
      <formula>0</formula>
    </cfRule>
  </conditionalFormatting>
  <conditionalFormatting sqref="D75">
    <cfRule type="cellIs" dxfId="737" priority="83" stopIfTrue="1" operator="lessThanOrEqual">
      <formula>0</formula>
    </cfRule>
  </conditionalFormatting>
  <conditionalFormatting sqref="D77 D79:D85">
    <cfRule type="cellIs" dxfId="736" priority="182" stopIfTrue="1" operator="lessThanOrEqual">
      <formula>0</formula>
    </cfRule>
  </conditionalFormatting>
  <conditionalFormatting sqref="D78">
    <cfRule type="cellIs" dxfId="735" priority="173" stopIfTrue="1" operator="greaterThan">
      <formula>$F$77</formula>
    </cfRule>
    <cfRule type="cellIs" dxfId="734" priority="174" stopIfTrue="1" operator="lessThanOrEqual">
      <formula>0</formula>
    </cfRule>
  </conditionalFormatting>
  <conditionalFormatting sqref="E10:E21">
    <cfRule type="cellIs" dxfId="733" priority="18" operator="lessThan">
      <formula>48</formula>
    </cfRule>
  </conditionalFormatting>
  <conditionalFormatting sqref="E49 E50:F50">
    <cfRule type="cellIs" dxfId="732" priority="178" stopIfTrue="1" operator="greaterThan">
      <formula>100</formula>
    </cfRule>
  </conditionalFormatting>
  <conditionalFormatting sqref="E50">
    <cfRule type="cellIs" dxfId="731" priority="175" stopIfTrue="1" operator="lessThan">
      <formula>96.8</formula>
    </cfRule>
    <cfRule type="cellIs" dxfId="730" priority="176" stopIfTrue="1" operator="greaterThan">
      <formula>100</formula>
    </cfRule>
  </conditionalFormatting>
  <conditionalFormatting sqref="E66:E74">
    <cfRule type="cellIs" dxfId="729" priority="47" stopIfTrue="1" operator="lessThanOrEqual">
      <formula>0</formula>
    </cfRule>
  </conditionalFormatting>
  <conditionalFormatting sqref="E66:E75">
    <cfRule type="cellIs" dxfId="728" priority="48" stopIfTrue="1" operator="greaterThan">
      <formula>$F66</formula>
    </cfRule>
    <cfRule type="cellIs" dxfId="727" priority="49" stopIfTrue="1" operator="lessThanOrEqual">
      <formula>0</formula>
    </cfRule>
  </conditionalFormatting>
  <conditionalFormatting sqref="E75">
    <cfRule type="cellIs" dxfId="726" priority="50" stopIfTrue="1" operator="lessThanOrEqual">
      <formula>0</formula>
    </cfRule>
  </conditionalFormatting>
  <conditionalFormatting sqref="E77:E85">
    <cfRule type="cellIs" dxfId="725" priority="167" stopIfTrue="1" operator="greaterThan">
      <formula>4.5</formula>
    </cfRule>
    <cfRule type="cellIs" dxfId="724" priority="168" stopIfTrue="1" operator="lessThanOrEqual">
      <formula>0</formula>
    </cfRule>
  </conditionalFormatting>
  <conditionalFormatting sqref="E50:F50 E49">
    <cfRule type="cellIs" dxfId="723" priority="177" stopIfTrue="1" operator="lessThan">
      <formula>96.5</formula>
    </cfRule>
  </conditionalFormatting>
  <conditionalFormatting sqref="F10:F21">
    <cfRule type="cellIs" dxfId="722" priority="19" operator="greaterThan">
      <formula>60</formula>
    </cfRule>
  </conditionalFormatting>
  <conditionalFormatting sqref="F50">
    <cfRule type="cellIs" dxfId="721" priority="193" stopIfTrue="1" operator="lessThan">
      <formula>96.8</formula>
    </cfRule>
    <cfRule type="cellIs" dxfId="720" priority="194" stopIfTrue="1" operator="greaterThan">
      <formula>100</formula>
    </cfRule>
  </conditionalFormatting>
  <conditionalFormatting sqref="G18 G21">
    <cfRule type="expression" dxfId="719" priority="21">
      <formula>IF(+(IF(G18&lt;S18,0,IF(G18&gt;T18,0,1)))=0,1)</formula>
    </cfRule>
  </conditionalFormatting>
  <conditionalFormatting sqref="G66:G69 F75">
    <cfRule type="cellIs" dxfId="718" priority="56" stopIfTrue="1" operator="greaterThan">
      <formula>$F66</formula>
    </cfRule>
    <cfRule type="cellIs" dxfId="717" priority="57" stopIfTrue="1" operator="lessThanOrEqual">
      <formula>0</formula>
    </cfRule>
  </conditionalFormatting>
  <conditionalFormatting sqref="G68:G69">
    <cfRule type="cellIs" dxfId="716" priority="42" stopIfTrue="1" operator="greaterThan">
      <formula>$F68</formula>
    </cfRule>
    <cfRule type="cellIs" dxfId="715" priority="43" stopIfTrue="1" operator="lessThanOrEqual">
      <formula>0</formula>
    </cfRule>
  </conditionalFormatting>
  <conditionalFormatting sqref="G70:G74">
    <cfRule type="cellIs" dxfId="714" priority="58" stopIfTrue="1" operator="greaterThan">
      <formula>$J70</formula>
    </cfRule>
    <cfRule type="cellIs" dxfId="713" priority="59" stopIfTrue="1" operator="lessThanOrEqual">
      <formula>0</formula>
    </cfRule>
  </conditionalFormatting>
  <conditionalFormatting sqref="G71">
    <cfRule type="cellIs" dxfId="712" priority="201" stopIfTrue="1" operator="greaterThan">
      <formula>$F66</formula>
    </cfRule>
    <cfRule type="cellIs" dxfId="711" priority="202" stopIfTrue="1" operator="lessThanOrEqual">
      <formula>0</formula>
    </cfRule>
  </conditionalFormatting>
  <conditionalFormatting sqref="G79:G84 C82 C84">
    <cfRule type="cellIs" dxfId="710" priority="190" stopIfTrue="1" operator="greaterThan">
      <formula>4.5</formula>
    </cfRule>
    <cfRule type="cellIs" dxfId="709" priority="191" stopIfTrue="1" operator="lessThanOrEqual">
      <formula>0</formula>
    </cfRule>
  </conditionalFormatting>
  <conditionalFormatting sqref="G78:H78">
    <cfRule type="cellIs" dxfId="708" priority="171" stopIfTrue="1" operator="greaterThan">
      <formula>$F$77</formula>
    </cfRule>
    <cfRule type="cellIs" dxfId="707" priority="172" stopIfTrue="1" operator="lessThanOrEqual">
      <formula>0</formula>
    </cfRule>
  </conditionalFormatting>
  <conditionalFormatting sqref="H35:H36 H49">
    <cfRule type="cellIs" dxfId="706" priority="169" stopIfTrue="1" operator="greaterThan">
      <formula>0</formula>
    </cfRule>
  </conditionalFormatting>
  <conditionalFormatting sqref="H53">
    <cfRule type="cellIs" dxfId="705" priority="61" stopIfTrue="1" operator="lessThanOrEqual">
      <formula>0</formula>
    </cfRule>
    <cfRule type="cellIs" dxfId="704" priority="62" stopIfTrue="1" operator="greaterThan">
      <formula>$F$66</formula>
    </cfRule>
    <cfRule type="cellIs" dxfId="703" priority="70" stopIfTrue="1" operator="greaterThan">
      <formula>$F$69</formula>
    </cfRule>
    <cfRule type="cellIs" dxfId="702" priority="71" stopIfTrue="1" operator="lessThanOrEqual">
      <formula>0</formula>
    </cfRule>
    <cfRule type="cellIs" dxfId="701" priority="72" stopIfTrue="1" operator="greaterThan">
      <formula>$F$67</formula>
    </cfRule>
  </conditionalFormatting>
  <conditionalFormatting sqref="H53:H54">
    <cfRule type="cellIs" dxfId="700" priority="73" stopIfTrue="1" operator="lessThanOrEqual">
      <formula>0</formula>
    </cfRule>
  </conditionalFormatting>
  <conditionalFormatting sqref="H54 H56:H57">
    <cfRule type="cellIs" dxfId="699" priority="99" stopIfTrue="1" operator="lessThanOrEqual">
      <formula>0</formula>
    </cfRule>
  </conditionalFormatting>
  <conditionalFormatting sqref="H54">
    <cfRule type="cellIs" dxfId="698" priority="88" stopIfTrue="1" operator="greaterThan">
      <formula>$F$66</formula>
    </cfRule>
    <cfRule type="cellIs" dxfId="697" priority="96" stopIfTrue="1" operator="greaterThan">
      <formula>$F$69</formula>
    </cfRule>
    <cfRule type="cellIs" dxfId="696" priority="97" stopIfTrue="1" operator="lessThanOrEqual">
      <formula>0</formula>
    </cfRule>
    <cfRule type="cellIs" dxfId="695" priority="98" stopIfTrue="1" operator="greaterThan">
      <formula>$F$67</formula>
    </cfRule>
  </conditionalFormatting>
  <conditionalFormatting sqref="H55">
    <cfRule type="cellIs" dxfId="694" priority="28" stopIfTrue="1" operator="lessThanOrEqual">
      <formula>0</formula>
    </cfRule>
    <cfRule type="cellIs" dxfId="693" priority="29" stopIfTrue="1" operator="greaterThan">
      <formula>$F$68</formula>
    </cfRule>
    <cfRule type="cellIs" dxfId="692" priority="37" stopIfTrue="1" operator="greaterThan">
      <formula>$F$71</formula>
    </cfRule>
    <cfRule type="cellIs" dxfId="691" priority="38" stopIfTrue="1" operator="lessThanOrEqual">
      <formula>0</formula>
    </cfRule>
    <cfRule type="cellIs" dxfId="690" priority="39" stopIfTrue="1" operator="greaterThan">
      <formula>$F$69</formula>
    </cfRule>
    <cfRule type="cellIs" dxfId="689" priority="40" stopIfTrue="1" operator="lessThanOrEqual">
      <formula>0</formula>
    </cfRule>
  </conditionalFormatting>
  <conditionalFormatting sqref="H56:H57">
    <cfRule type="cellIs" dxfId="688" priority="101" stopIfTrue="1" operator="greaterThan">
      <formula>$F$66</formula>
    </cfRule>
    <cfRule type="cellIs" dxfId="687" priority="109" stopIfTrue="1" operator="greaterThan">
      <formula>$F$69</formula>
    </cfRule>
    <cfRule type="cellIs" dxfId="686" priority="110" stopIfTrue="1" operator="lessThanOrEqual">
      <formula>0</formula>
    </cfRule>
    <cfRule type="cellIs" dxfId="685" priority="111" stopIfTrue="1" operator="greaterThan">
      <formula>$F$67</formula>
    </cfRule>
    <cfRule type="cellIs" dxfId="684" priority="112" stopIfTrue="1" operator="lessThanOrEqual">
      <formula>0</formula>
    </cfRule>
  </conditionalFormatting>
  <conditionalFormatting sqref="H58:H59">
    <cfRule type="cellIs" dxfId="683" priority="136" stopIfTrue="1" operator="lessThanOrEqual">
      <formula>0</formula>
    </cfRule>
    <cfRule type="cellIs" dxfId="682" priority="137" stopIfTrue="1" operator="greaterThan">
      <formula>#REF!</formula>
    </cfRule>
    <cfRule type="cellIs" dxfId="681" priority="145" stopIfTrue="1" operator="greaterThan">
      <formula>#REF!</formula>
    </cfRule>
    <cfRule type="cellIs" dxfId="680" priority="146" stopIfTrue="1" operator="lessThanOrEqual">
      <formula>0</formula>
    </cfRule>
  </conditionalFormatting>
  <conditionalFormatting sqref="H60">
    <cfRule type="cellIs" dxfId="679" priority="148" stopIfTrue="1" operator="lessThanOrEqual">
      <formula>0</formula>
    </cfRule>
    <cfRule type="cellIs" dxfId="678" priority="149" stopIfTrue="1" operator="greaterThan">
      <formula>$F$34</formula>
    </cfRule>
    <cfRule type="cellIs" dxfId="677" priority="157" stopIfTrue="1" operator="greaterThan">
      <formula>$F$37</formula>
    </cfRule>
    <cfRule type="cellIs" dxfId="676" priority="158" stopIfTrue="1" operator="lessThanOrEqual">
      <formula>0</formula>
    </cfRule>
    <cfRule type="cellIs" dxfId="675" priority="159" stopIfTrue="1" operator="greaterThan">
      <formula>$F$35</formula>
    </cfRule>
    <cfRule type="cellIs" dxfId="674" priority="160" stopIfTrue="1" operator="lessThanOrEqual">
      <formula>0</formula>
    </cfRule>
  </conditionalFormatting>
  <conditionalFormatting sqref="H61:H62">
    <cfRule type="cellIs" dxfId="673" priority="124" stopIfTrue="1" operator="lessThanOrEqual">
      <formula>0</formula>
    </cfRule>
    <cfRule type="cellIs" dxfId="672" priority="125" stopIfTrue="1" operator="greaterThan">
      <formula>#REF!</formula>
    </cfRule>
    <cfRule type="cellIs" dxfId="671" priority="133" stopIfTrue="1" operator="greaterThan">
      <formula>#REF!</formula>
    </cfRule>
    <cfRule type="cellIs" dxfId="670" priority="134" stopIfTrue="1" operator="lessThanOrEqual">
      <formula>0</formula>
    </cfRule>
  </conditionalFormatting>
  <conditionalFormatting sqref="H77 H79:H85">
    <cfRule type="cellIs" dxfId="669" priority="183" stopIfTrue="1" operator="greaterThan">
      <formula>4.5</formula>
    </cfRule>
    <cfRule type="cellIs" dxfId="668" priority="184" stopIfTrue="1" operator="lessThanOrEqual">
      <formula>0</formula>
    </cfRule>
  </conditionalFormatting>
  <conditionalFormatting sqref="H53:I53">
    <cfRule type="cellIs" dxfId="667" priority="63" stopIfTrue="1" operator="lessThanOrEqual">
      <formula>0</formula>
    </cfRule>
  </conditionalFormatting>
  <conditionalFormatting sqref="H53:I54 H56:I57">
    <cfRule type="cellIs" dxfId="666" priority="60" stopIfTrue="1" operator="greaterThan">
      <formula>$F$68</formula>
    </cfRule>
  </conditionalFormatting>
  <conditionalFormatting sqref="H54:I54">
    <cfRule type="cellIs" dxfId="665" priority="89" stopIfTrue="1" operator="lessThanOrEqual">
      <formula>0</formula>
    </cfRule>
  </conditionalFormatting>
  <conditionalFormatting sqref="H55:I55">
    <cfRule type="cellIs" dxfId="664" priority="27" stopIfTrue="1" operator="greaterThan">
      <formula>$F$70</formula>
    </cfRule>
    <cfRule type="cellIs" dxfId="663" priority="30" stopIfTrue="1" operator="lessThanOrEqual">
      <formula>0</formula>
    </cfRule>
  </conditionalFormatting>
  <conditionalFormatting sqref="H56:I57">
    <cfRule type="cellIs" dxfId="662" priority="102" stopIfTrue="1" operator="lessThanOrEqual">
      <formula>0</formula>
    </cfRule>
  </conditionalFormatting>
  <conditionalFormatting sqref="H58:I59">
    <cfRule type="cellIs" dxfId="661" priority="135" stopIfTrue="1" operator="greaterThan">
      <formula>#REF!</formula>
    </cfRule>
    <cfRule type="cellIs" dxfId="660" priority="138" stopIfTrue="1" operator="lessThanOrEqual">
      <formula>0</formula>
    </cfRule>
    <cfRule type="cellIs" dxfId="659" priority="143" stopIfTrue="1" operator="greaterThan">
      <formula>#REF!</formula>
    </cfRule>
    <cfRule type="cellIs" dxfId="658" priority="144" stopIfTrue="1" operator="lessThanOrEqual">
      <formula>0</formula>
    </cfRule>
  </conditionalFormatting>
  <conditionalFormatting sqref="H60:I60">
    <cfRule type="cellIs" dxfId="657" priority="147" stopIfTrue="1" operator="greaterThan">
      <formula>$F$36</formula>
    </cfRule>
    <cfRule type="cellIs" dxfId="656" priority="150" stopIfTrue="1" operator="lessThanOrEqual">
      <formula>0</formula>
    </cfRule>
  </conditionalFormatting>
  <conditionalFormatting sqref="H61:I62">
    <cfRule type="cellIs" dxfId="655" priority="123" stopIfTrue="1" operator="greaterThan">
      <formula>#REF!</formula>
    </cfRule>
    <cfRule type="cellIs" dxfId="654" priority="126" stopIfTrue="1" operator="lessThanOrEqual">
      <formula>0</formula>
    </cfRule>
    <cfRule type="cellIs" dxfId="653" priority="131" stopIfTrue="1" operator="greaterThan">
      <formula>#REF!</formula>
    </cfRule>
    <cfRule type="cellIs" dxfId="652" priority="132" stopIfTrue="1" operator="lessThanOrEqual">
      <formula>0</formula>
    </cfRule>
  </conditionalFormatting>
  <conditionalFormatting sqref="H66:I73">
    <cfRule type="cellIs" dxfId="651" priority="45" stopIfTrue="1" operator="greaterThan">
      <formula>$J66</formula>
    </cfRule>
    <cfRule type="cellIs" dxfId="650" priority="46" stopIfTrue="1" operator="lessThanOrEqual">
      <formula>0</formula>
    </cfRule>
  </conditionalFormatting>
  <conditionalFormatting sqref="H74:I74">
    <cfRule type="cellIs" dxfId="649" priority="53" operator="greaterThan">
      <formula>5.3</formula>
    </cfRule>
  </conditionalFormatting>
  <conditionalFormatting sqref="H75:I75">
    <cfRule type="cellIs" dxfId="648" priority="51" stopIfTrue="1" operator="greaterThan">
      <formula>$J75</formula>
    </cfRule>
    <cfRule type="cellIs" dxfId="647" priority="52" stopIfTrue="1" operator="lessThanOrEqual">
      <formula>0</formula>
    </cfRule>
  </conditionalFormatting>
  <conditionalFormatting sqref="I53">
    <cfRule type="cellIs" dxfId="646" priority="64" stopIfTrue="1" operator="greaterThan">
      <formula>$F$66</formula>
    </cfRule>
    <cfRule type="cellIs" dxfId="645" priority="65" stopIfTrue="1" operator="lessThanOrEqual">
      <formula>0</formula>
    </cfRule>
    <cfRule type="cellIs" dxfId="644" priority="66" stopIfTrue="1" operator="greaterThan">
      <formula>$F$68</formula>
    </cfRule>
    <cfRule type="cellIs" dxfId="643" priority="67" stopIfTrue="1" operator="lessThanOrEqual">
      <formula>0</formula>
    </cfRule>
    <cfRule type="cellIs" dxfId="642" priority="68" stopIfTrue="1" operator="greaterThan">
      <formula>$F$66</formula>
    </cfRule>
    <cfRule type="cellIs" dxfId="641" priority="69" stopIfTrue="1" operator="lessThanOrEqual">
      <formula>0</formula>
    </cfRule>
  </conditionalFormatting>
  <conditionalFormatting sqref="I54">
    <cfRule type="cellIs" dxfId="640" priority="90" stopIfTrue="1" operator="greaterThan">
      <formula>$F$66</formula>
    </cfRule>
    <cfRule type="cellIs" dxfId="639" priority="91" stopIfTrue="1" operator="lessThanOrEqual">
      <formula>0</formula>
    </cfRule>
    <cfRule type="cellIs" dxfId="638" priority="92" stopIfTrue="1" operator="greaterThan">
      <formula>$F$68</formula>
    </cfRule>
    <cfRule type="cellIs" dxfId="637" priority="93" stopIfTrue="1" operator="lessThanOrEqual">
      <formula>0</formula>
    </cfRule>
    <cfRule type="cellIs" dxfId="636" priority="94" stopIfTrue="1" operator="greaterThan">
      <formula>$F$66</formula>
    </cfRule>
    <cfRule type="cellIs" dxfId="635" priority="95" stopIfTrue="1" operator="lessThanOrEqual">
      <formula>0</formula>
    </cfRule>
  </conditionalFormatting>
  <conditionalFormatting sqref="I55">
    <cfRule type="cellIs" dxfId="634" priority="31" stopIfTrue="1" operator="greaterThan">
      <formula>$F$68</formula>
    </cfRule>
    <cfRule type="cellIs" dxfId="633" priority="32" stopIfTrue="1" operator="lessThanOrEqual">
      <formula>0</formula>
    </cfRule>
    <cfRule type="cellIs" dxfId="632" priority="33" stopIfTrue="1" operator="greaterThan">
      <formula>$F$70</formula>
    </cfRule>
    <cfRule type="cellIs" dxfId="631" priority="34" stopIfTrue="1" operator="lessThanOrEqual">
      <formula>0</formula>
    </cfRule>
    <cfRule type="cellIs" dxfId="630" priority="35" stopIfTrue="1" operator="greaterThan">
      <formula>$F$68</formula>
    </cfRule>
    <cfRule type="cellIs" dxfId="629" priority="36" stopIfTrue="1" operator="lessThanOrEqual">
      <formula>0</formula>
    </cfRule>
  </conditionalFormatting>
  <conditionalFormatting sqref="I56:I57">
    <cfRule type="cellIs" dxfId="628" priority="103" stopIfTrue="1" operator="greaterThan">
      <formula>$F$66</formula>
    </cfRule>
    <cfRule type="cellIs" dxfId="627" priority="104" stopIfTrue="1" operator="lessThanOrEqual">
      <formula>0</formula>
    </cfRule>
    <cfRule type="cellIs" dxfId="626" priority="105" stopIfTrue="1" operator="greaterThan">
      <formula>$F$68</formula>
    </cfRule>
    <cfRule type="cellIs" dxfId="625" priority="106" stopIfTrue="1" operator="lessThanOrEqual">
      <formula>0</formula>
    </cfRule>
    <cfRule type="cellIs" dxfId="624" priority="107" stopIfTrue="1" operator="greaterThan">
      <formula>$F$66</formula>
    </cfRule>
    <cfRule type="cellIs" dxfId="623" priority="108" stopIfTrue="1" operator="lessThanOrEqual">
      <formula>0</formula>
    </cfRule>
  </conditionalFormatting>
  <conditionalFormatting sqref="I58:I59">
    <cfRule type="cellIs" dxfId="622" priority="139" stopIfTrue="1" operator="greaterThan">
      <formula>#REF!</formula>
    </cfRule>
    <cfRule type="cellIs" dxfId="621" priority="140" stopIfTrue="1" operator="lessThanOrEqual">
      <formula>0</formula>
    </cfRule>
    <cfRule type="cellIs" dxfId="620" priority="141" stopIfTrue="1" operator="greaterThan">
      <formula>#REF!</formula>
    </cfRule>
    <cfRule type="cellIs" dxfId="619" priority="142" stopIfTrue="1" operator="lessThanOrEqual">
      <formula>0</formula>
    </cfRule>
  </conditionalFormatting>
  <conditionalFormatting sqref="I60">
    <cfRule type="cellIs" dxfId="618" priority="151" stopIfTrue="1" operator="greaterThan">
      <formula>$F$34</formula>
    </cfRule>
    <cfRule type="cellIs" dxfId="617" priority="152" stopIfTrue="1" operator="lessThanOrEqual">
      <formula>0</formula>
    </cfRule>
    <cfRule type="cellIs" dxfId="616" priority="153" stopIfTrue="1" operator="greaterThan">
      <formula>$F$36</formula>
    </cfRule>
    <cfRule type="cellIs" dxfId="615" priority="154" stopIfTrue="1" operator="lessThanOrEqual">
      <formula>0</formula>
    </cfRule>
    <cfRule type="cellIs" dxfId="614" priority="155" stopIfTrue="1" operator="greaterThan">
      <formula>$F$34</formula>
    </cfRule>
    <cfRule type="cellIs" dxfId="613" priority="156" stopIfTrue="1" operator="lessThanOrEqual">
      <formula>0</formula>
    </cfRule>
  </conditionalFormatting>
  <conditionalFormatting sqref="I61:I62">
    <cfRule type="cellIs" dxfId="612" priority="127" stopIfTrue="1" operator="greaterThan">
      <formula>#REF!</formula>
    </cfRule>
    <cfRule type="cellIs" dxfId="611" priority="128" stopIfTrue="1" operator="lessThanOrEqual">
      <formula>0</formula>
    </cfRule>
    <cfRule type="cellIs" dxfId="610" priority="129" stopIfTrue="1" operator="greaterThan">
      <formula>#REF!</formula>
    </cfRule>
    <cfRule type="cellIs" dxfId="609" priority="130" stopIfTrue="1" operator="lessThanOrEqual">
      <formula>0</formula>
    </cfRule>
  </conditionalFormatting>
  <conditionalFormatting sqref="I77:I85">
    <cfRule type="cellIs" dxfId="608" priority="179" stopIfTrue="1" operator="greaterThan">
      <formula>4.5</formula>
    </cfRule>
    <cfRule type="cellIs" dxfId="607" priority="180" stopIfTrue="1" operator="lessThanOrEqual">
      <formula>0</formula>
    </cfRule>
  </conditionalFormatting>
  <conditionalFormatting sqref="I10:J21">
    <cfRule type="cellIs" dxfId="606" priority="12" operator="lessThan">
      <formula>97.9</formula>
    </cfRule>
  </conditionalFormatting>
  <conditionalFormatting sqref="J24:J26">
    <cfRule type="cellIs" dxfId="605" priority="26" operator="lessThan">
      <formula>97.95</formula>
    </cfRule>
  </conditionalFormatting>
  <conditionalFormatting sqref="J25:J28">
    <cfRule type="cellIs" dxfId="604" priority="161" operator="lessThan">
      <formula>97.4</formula>
    </cfRule>
  </conditionalFormatting>
  <conditionalFormatting sqref="J29:J30">
    <cfRule type="cellIs" dxfId="603" priority="162" operator="lessThan">
      <formula>98</formula>
    </cfRule>
  </conditionalFormatting>
  <conditionalFormatting sqref="J31:J32">
    <cfRule type="cellIs" dxfId="602" priority="163" stopIfTrue="1" operator="lessThan">
      <formula>96.8</formula>
    </cfRule>
    <cfRule type="cellIs" dxfId="601" priority="164" stopIfTrue="1" operator="greaterThan">
      <formula>100</formula>
    </cfRule>
  </conditionalFormatting>
  <conditionalFormatting sqref="J31:J33">
    <cfRule type="cellIs" dxfId="600" priority="165" operator="lessThan">
      <formula>98</formula>
    </cfRule>
  </conditionalFormatting>
  <conditionalFormatting sqref="J62">
    <cfRule type="cellIs" dxfId="599" priority="115" stopIfTrue="1" operator="greaterThan">
      <formula>#REF!</formula>
    </cfRule>
    <cfRule type="cellIs" dxfId="598" priority="116" stopIfTrue="1" operator="lessThanOrEqual">
      <formula>0</formula>
    </cfRule>
    <cfRule type="cellIs" dxfId="597" priority="117" stopIfTrue="1" operator="greaterThan">
      <formula>#REF!</formula>
    </cfRule>
    <cfRule type="cellIs" dxfId="596" priority="118" stopIfTrue="1" operator="lessThanOrEqual">
      <formula>0</formula>
    </cfRule>
    <cfRule type="cellIs" dxfId="595" priority="119" stopIfTrue="1" operator="greaterThan">
      <formula>#REF!</formula>
    </cfRule>
    <cfRule type="cellIs" dxfId="594" priority="120" stopIfTrue="1" operator="lessThanOrEqual">
      <formula>0</formula>
    </cfRule>
    <cfRule type="cellIs" dxfId="593" priority="121" stopIfTrue="1" operator="greaterThan">
      <formula>#REF!</formula>
    </cfRule>
    <cfRule type="cellIs" dxfId="592" priority="122" stopIfTrue="1" operator="lessThanOrEqual">
      <formula>0</formula>
    </cfRule>
  </conditionalFormatting>
  <conditionalFormatting sqref="J75">
    <cfRule type="cellIs" dxfId="591" priority="54" stopIfTrue="1" operator="greaterThan">
      <formula>$F75</formula>
    </cfRule>
    <cfRule type="cellIs" dxfId="590" priority="55" stopIfTrue="1" operator="lessThanOrEqual">
      <formula>0</formula>
    </cfRule>
  </conditionalFormatting>
  <conditionalFormatting sqref="K10:K21">
    <cfRule type="cellIs" dxfId="589" priority="13" operator="greaterThan">
      <formula>6</formula>
    </cfRule>
    <cfRule type="cellIs" dxfId="588" priority="14" operator="lessThan">
      <formula>4</formula>
    </cfRule>
    <cfRule type="cellIs" dxfId="587" priority="15" operator="greaterThan">
      <formula>6.4</formula>
    </cfRule>
  </conditionalFormatting>
  <conditionalFormatting sqref="K53:K62">
    <cfRule type="cellIs" dxfId="586" priority="100" stopIfTrue="1" operator="lessThan">
      <formula>100%</formula>
    </cfRule>
  </conditionalFormatting>
  <conditionalFormatting sqref="K66:K74">
    <cfRule type="cellIs" dxfId="585" priority="44" stopIfTrue="1" operator="lessThan">
      <formula>100%</formula>
    </cfRule>
  </conditionalFormatting>
  <conditionalFormatting sqref="K77:K82">
    <cfRule type="cellIs" dxfId="584" priority="185" stopIfTrue="1" operator="lessThan">
      <formula>100%</formula>
    </cfRule>
  </conditionalFormatting>
  <conditionalFormatting sqref="K84:K85">
    <cfRule type="cellIs" dxfId="583" priority="192" stopIfTrue="1" operator="lessThan">
      <formula>100%</formula>
    </cfRule>
  </conditionalFormatting>
  <conditionalFormatting sqref="L10:L21">
    <cfRule type="cellIs" dxfId="582" priority="16" operator="between">
      <formula>61</formula>
      <formula>65</formula>
    </cfRule>
    <cfRule type="cellIs" dxfId="581" priority="17" operator="greaterThan">
      <formula>65</formula>
    </cfRule>
  </conditionalFormatting>
  <conditionalFormatting sqref="L24:M35">
    <cfRule type="cellIs" dxfId="580" priority="25" operator="lessThan">
      <formula>97.95</formula>
    </cfRule>
  </conditionalFormatting>
  <conditionalFormatting sqref="L39:N39">
    <cfRule type="cellIs" dxfId="579" priority="23" operator="notEqual">
      <formula>#REF!</formula>
    </cfRule>
  </conditionalFormatting>
  <conditionalFormatting sqref="L66:N75">
    <cfRule type="cellIs" dxfId="578" priority="41" stopIfTrue="1" operator="lessThan">
      <formula>100%</formula>
    </cfRule>
  </conditionalFormatting>
  <conditionalFormatting sqref="L77:N85">
    <cfRule type="cellIs" dxfId="577" priority="170" stopIfTrue="1" operator="lessThan">
      <formula>100%</formula>
    </cfRule>
  </conditionalFormatting>
  <conditionalFormatting sqref="M21">
    <cfRule type="expression" dxfId="576" priority="20">
      <formula>IF(+(IF(M21&lt;U21,0,IF(M21&gt;V21,0,1)))=0,1)</formula>
    </cfRule>
  </conditionalFormatting>
  <conditionalFormatting sqref="M10:N20 H10:H21 G18:G20">
    <cfRule type="expression" dxfId="575" priority="22">
      <formula>IF(+(IF(G10&lt;#REF!,0,IF(G10&gt;#REF!,0,1)))=0,1)</formula>
    </cfRule>
  </conditionalFormatting>
  <conditionalFormatting sqref="N10:N21">
    <cfRule type="expression" dxfId="574" priority="24">
      <formula>IF(+(IF(N10&lt;W10,0,IF(N10&gt;X10,0,1)))=0,1)</formula>
    </cfRule>
  </conditionalFormatting>
  <conditionalFormatting sqref="P6">
    <cfRule type="cellIs" dxfId="573" priority="166" operator="greaterThanOrEqual">
      <formula>19</formula>
    </cfRule>
  </conditionalFormatting>
  <dataValidations disablePrompts="1" count="1">
    <dataValidation type="list" allowBlank="1" showInputMessage="1" showErrorMessage="1" sqref="R8" xr:uid="{955879FF-085C-4EB4-849C-1AD8A548D2FB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B050-61F2-4270-BC4E-E0511F2336FF}">
  <sheetPr>
    <pageSetUpPr fitToPage="1"/>
  </sheetPr>
  <dimension ref="A1:BE73"/>
  <sheetViews>
    <sheetView topLeftCell="A7" zoomScale="85" zoomScaleNormal="85" workbookViewId="0">
      <selection activeCell="H17" sqref="A17:XFD19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46288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[3]Brewhouse!$A764</f>
        <v>CA715</v>
      </c>
      <c r="D10" s="279">
        <f>[3]Brewhouse!$AF764</f>
        <v>49.1</v>
      </c>
      <c r="E10" s="279">
        <f>[3]Brewhouse!$AI764</f>
        <v>49.4</v>
      </c>
      <c r="F10" s="278">
        <f>[3]Brewhouse!$V764</f>
        <v>60</v>
      </c>
      <c r="G10" s="279">
        <f>[3]Brewhouse!AG764</f>
        <v>11.8</v>
      </c>
      <c r="H10" s="396">
        <v>11.8</v>
      </c>
      <c r="I10" s="368">
        <f>[3]Brewhouse!$AU764</f>
        <v>96.785999739603284</v>
      </c>
      <c r="J10" s="368">
        <f>[3]Brewhouse!$AV764</f>
        <v>97.875405153209854</v>
      </c>
      <c r="K10" s="281">
        <f>[3]Brewhouse!$Q764</f>
        <v>12.05175600739372</v>
      </c>
      <c r="L10" s="276">
        <f>[3]Brewhouse!$P764</f>
        <v>60</v>
      </c>
      <c r="M10" s="374">
        <f>[3]Brewhouse!$U764-[3]Brewhouse!$T764</f>
        <v>0.12222222222222223</v>
      </c>
      <c r="N10" s="370">
        <f>[3]Brewhouse!$Z764</f>
        <v>0.2583333333333333</v>
      </c>
      <c r="O10" s="420" t="str">
        <f>[3]Brewhouse!$AX764</f>
        <v>K. Benjamin</v>
      </c>
      <c r="P10" s="418"/>
      <c r="R10" s="277" t="str">
        <f t="shared" ref="R10:R33" si="0">B10</f>
        <v>CARIB</v>
      </c>
      <c r="S10" s="472">
        <f t="shared" ref="S10:S33" si="1">VLOOKUP($B10,$R$3:$X$9,2,FALSE)</f>
        <v>11.6</v>
      </c>
      <c r="T10" s="472">
        <f t="shared" ref="T10:T33" si="2">VLOOKUP($B10,$R$3:$X$9,3,FALSE)</f>
        <v>12</v>
      </c>
      <c r="U10" s="297">
        <f t="shared" ref="U10:U33" si="3">VLOOKUP($B10,$R$3:$X$9,4,FALSE)</f>
        <v>0</v>
      </c>
      <c r="V10" s="297">
        <f t="shared" ref="V10:V33" si="4">VLOOKUP($B10,$R$3:$X$9,5,FALSE)</f>
        <v>0.118055555555556</v>
      </c>
      <c r="W10" s="297">
        <f t="shared" ref="W10:W33" si="5">VLOOKUP($B10,$R$3:$X$9,6,FALSE)</f>
        <v>0.22569444444444445</v>
      </c>
      <c r="X10" s="297">
        <f t="shared" ref="X10:X33" si="6">VLOOKUP($B10,$R$3:$X$9,7,FALSE)</f>
        <v>0.2638888888888889</v>
      </c>
      <c r="Y10" s="297">
        <f t="shared" ref="Y10:Y33" si="7">VLOOKUP($B10,$R$3:$Z$9,8,FALSE)</f>
        <v>0</v>
      </c>
      <c r="Z10" s="472">
        <f t="shared" ref="Z10:Z33" si="8">VLOOKUP($B10,$R$3:$Z$9,9,FALSE)</f>
        <v>60</v>
      </c>
    </row>
    <row r="11" spans="2:29" ht="15" customHeight="1">
      <c r="B11" s="29" t="s">
        <v>6</v>
      </c>
      <c r="C11" s="366" t="str">
        <f>[3]Brewhouse!$A765</f>
        <v>CA716</v>
      </c>
      <c r="D11" s="279">
        <f>[3]Brewhouse!$AF765</f>
        <v>49.5</v>
      </c>
      <c r="E11" s="279">
        <f>[3]Brewhouse!$AI765</f>
        <v>50.2</v>
      </c>
      <c r="F11" s="278">
        <f>[3]Brewhouse!$V765</f>
        <v>59</v>
      </c>
      <c r="G11" s="279">
        <f>[3]Brewhouse!AG765</f>
        <v>12</v>
      </c>
      <c r="H11" s="396">
        <v>12</v>
      </c>
      <c r="I11" s="368">
        <f>[3]Brewhouse!$AU765</f>
        <v>99.364558642314563</v>
      </c>
      <c r="J11" s="368">
        <f>[3]Brewhouse!$AV765</f>
        <v>100.48342940736923</v>
      </c>
      <c r="K11" s="281">
        <f>[3]Brewhouse!$Q765</f>
        <v>11.312384473197778</v>
      </c>
      <c r="L11" s="276">
        <f>[3]Brewhouse!$P765</f>
        <v>61</v>
      </c>
      <c r="M11" s="374">
        <f>[3]Brewhouse!$U765-[3]Brewhouse!$T765</f>
        <v>0.1069444444444444</v>
      </c>
      <c r="N11" s="370">
        <f>[3]Brewhouse!$Z765</f>
        <v>0.2451388888888888</v>
      </c>
      <c r="O11" s="420" t="str">
        <f>[3]Brewhouse!$AX765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[3]Brewhouse!$A766</f>
        <v>CA717</v>
      </c>
      <c r="D12" s="279">
        <f>[3]Brewhouse!$AF766</f>
        <v>49.5</v>
      </c>
      <c r="E12" s="279">
        <f>[3]Brewhouse!$AI766</f>
        <v>49.9</v>
      </c>
      <c r="F12" s="278">
        <f>[3]Brewhouse!$V766</f>
        <v>59</v>
      </c>
      <c r="G12" s="279">
        <f>[3]Brewhouse!AG766</f>
        <v>11.9</v>
      </c>
      <c r="H12" s="396">
        <v>11.9</v>
      </c>
      <c r="I12" s="368">
        <f>[3]Brewhouse!$AU766</f>
        <v>98.321101532359165</v>
      </c>
      <c r="J12" s="368">
        <f>[3]Brewhouse!$AV766</f>
        <v>98.886025614777864</v>
      </c>
      <c r="K12" s="281">
        <f>[3]Brewhouse!$Q766</f>
        <v>10.573012939001845</v>
      </c>
      <c r="L12" s="276">
        <f>[3]Brewhouse!$P766</f>
        <v>60</v>
      </c>
      <c r="M12" s="374">
        <f>[3]Brewhouse!$U766-[3]Brewhouse!$T766</f>
        <v>0.11111111111111116</v>
      </c>
      <c r="N12" s="370">
        <f>[3]Brewhouse!$Z766</f>
        <v>0.25347222222222221</v>
      </c>
      <c r="O12" s="420" t="str">
        <f>[3]Brewhouse!$AX766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[3]Brewhouse!$A767</f>
        <v>CA718</v>
      </c>
      <c r="D13" s="279">
        <f>[3]Brewhouse!$AF767</f>
        <v>50.6</v>
      </c>
      <c r="E13" s="279">
        <f>[3]Brewhouse!$AI767</f>
        <v>50.2</v>
      </c>
      <c r="F13" s="278">
        <f>[3]Brewhouse!$V767</f>
        <v>59</v>
      </c>
      <c r="G13" s="279">
        <f>[3]Brewhouse!AG767</f>
        <v>11.9</v>
      </c>
      <c r="H13" s="367"/>
      <c r="I13" s="368">
        <f>[3]Brewhouse!$AU767</f>
        <v>98.372755741557143</v>
      </c>
      <c r="J13" s="368">
        <f>[3]Brewhouse!$AV767</f>
        <v>99.480530778794559</v>
      </c>
      <c r="K13" s="281">
        <f>[3]Brewhouse!$Q767</f>
        <v>10.757855822550832</v>
      </c>
      <c r="L13" s="276">
        <f>[3]Brewhouse!$P767</f>
        <v>60</v>
      </c>
      <c r="M13" s="374">
        <f>[3]Brewhouse!$U767-[3]Brewhouse!$T767</f>
        <v>0.11180555555555549</v>
      </c>
      <c r="N13" s="370">
        <f>[3]Brewhouse!$Z767</f>
        <v>0.24444444444444435</v>
      </c>
      <c r="O13" s="420" t="str">
        <f>[3]Brewhouse!$AX767</f>
        <v>R. Regis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[3]Brewhouse!$A768</f>
        <v>CA719</v>
      </c>
      <c r="D14" s="279">
        <f>[3]Brewhouse!$AF768</f>
        <v>50.8</v>
      </c>
      <c r="E14" s="279">
        <f>[3]Brewhouse!$AI768</f>
        <v>51.2</v>
      </c>
      <c r="F14" s="278">
        <f>[3]Brewhouse!$V768</f>
        <v>55</v>
      </c>
      <c r="G14" s="279">
        <f>[3]Brewhouse!AG768</f>
        <v>11.9</v>
      </c>
      <c r="H14" s="396">
        <v>11.9</v>
      </c>
      <c r="I14" s="368">
        <f>[3]Brewhouse!$AU768</f>
        <v>99.594791192420629</v>
      </c>
      <c r="J14" s="368">
        <f>[3]Brewhouse!$AV768</f>
        <v>100.71676257090054</v>
      </c>
      <c r="K14" s="281">
        <f>[3]Brewhouse!$Q768</f>
        <v>12.606284658040664</v>
      </c>
      <c r="L14" s="276">
        <f>[3]Brewhouse!$P768</f>
        <v>57</v>
      </c>
      <c r="M14" s="374">
        <f>[3]Brewhouse!$U768-[3]Brewhouse!$T768</f>
        <v>0.1055555555555554</v>
      </c>
      <c r="N14" s="370">
        <f>[3]Brewhouse!$Z768</f>
        <v>0.2763888888888888</v>
      </c>
      <c r="O14" s="420" t="str">
        <f>[3]Brewhouse!$AX768</f>
        <v>R. Sookram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hidden="1" customHeight="1">
      <c r="B19" s="36"/>
      <c r="C19" s="366"/>
      <c r="D19" s="279"/>
      <c r="E19" s="279"/>
      <c r="F19" s="278"/>
      <c r="G19" s="279"/>
      <c r="H19" s="396"/>
      <c r="I19" s="489"/>
      <c r="J19" s="489"/>
      <c r="K19" s="490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358"/>
      <c r="C20" s="358"/>
      <c r="D20" s="358"/>
      <c r="E20" s="358"/>
      <c r="F20" s="294"/>
      <c r="G20" s="294"/>
      <c r="H20" s="348"/>
      <c r="I20" s="534"/>
      <c r="J20" s="534"/>
      <c r="K20" s="534"/>
      <c r="L20" s="534"/>
      <c r="M20" s="534"/>
      <c r="N20" s="534"/>
      <c r="O20" s="1"/>
      <c r="P20" s="12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 thickBot="1">
      <c r="B21" s="483" t="s">
        <v>162</v>
      </c>
      <c r="C21" s="388"/>
      <c r="D21" s="535" t="s">
        <v>35</v>
      </c>
      <c r="E21" s="536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0"/>
        <v xml:space="preserve">BRAND 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>
      <c r="A22" s="28"/>
      <c r="B22" s="537"/>
      <c r="C22" s="484"/>
      <c r="D22" s="522"/>
      <c r="E22" s="523"/>
      <c r="F22" s="294"/>
      <c r="G22" s="294"/>
      <c r="H22" s="348"/>
      <c r="I22" s="29" t="s">
        <v>6</v>
      </c>
      <c r="J22" s="323">
        <f>AVERAGE(I10:I14)</f>
        <v>98.487841369650965</v>
      </c>
      <c r="K22" s="284">
        <f>COUNTA([3]Brewhouse!$A$696:$A$768)</f>
        <v>73</v>
      </c>
      <c r="L22" s="305">
        <f>AVERAGE([3]Brewhouse!$AU$696:$AU$768)</f>
        <v>98.644833158325554</v>
      </c>
      <c r="M22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$768)</f>
        <v>98.32194819413256</v>
      </c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38"/>
      <c r="C23" s="362"/>
      <c r="D23" s="524"/>
      <c r="E23" s="525"/>
      <c r="F23" s="294"/>
      <c r="G23" s="294"/>
      <c r="H23" s="348"/>
      <c r="I23" s="33" t="s">
        <v>9</v>
      </c>
      <c r="J23" s="323"/>
      <c r="K23" s="284">
        <f>COUNTA([4]Brewhouse!$A$363:$A$380)</f>
        <v>18</v>
      </c>
      <c r="L23" s="302">
        <f>AVERAGE([4]Brewhouse!$AS$363:$AS$380)</f>
        <v>99.237321929974939</v>
      </c>
      <c r="M23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AVERAGE([4]Brewhouse!$AS$52:$AS$81,[4]Brewhouse!$AS$83:$AS$124,[4]Brewhouse!$AS$134:$AS$177,[4]Brewhouse!$AS$22:$AS$179,[4]Brewhouse!$AS$214:$AS$249,[4]Brewhouse!$AS$252:$AS$293,[4]Brewhouse!$AS$295:$AS$325,[4]Brewhouse!$AS$327:$AS$361,[4]Brewhouse!$AS$363:$AS$380)</f>
        <v>98.280844420420635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38"/>
      <c r="C24" s="362"/>
      <c r="D24" s="529"/>
      <c r="E24" s="530"/>
      <c r="F24" s="294"/>
      <c r="G24" s="294"/>
      <c r="H24" s="348"/>
      <c r="I24" s="34" t="s">
        <v>12</v>
      </c>
      <c r="J24" s="323"/>
      <c r="K24" s="284">
        <f>COUNTA([5]Brewhouse!$A$99:$A$106)</f>
        <v>8</v>
      </c>
      <c r="L24" s="302">
        <f>AVERAGE([5]Brewhouse!$AU$99:$AU$106)</f>
        <v>96.462109124412379</v>
      </c>
      <c r="M24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38"/>
      <c r="C25" s="362"/>
      <c r="D25" s="531"/>
      <c r="E25" s="525"/>
      <c r="F25" s="294"/>
      <c r="G25" s="294"/>
      <c r="H25" s="348"/>
      <c r="I25" s="22" t="s">
        <v>33</v>
      </c>
      <c r="J25" s="280"/>
      <c r="K25" s="284"/>
      <c r="L25" s="302"/>
      <c r="M25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38"/>
      <c r="C26" s="362"/>
      <c r="D26" s="529"/>
      <c r="E26" s="530"/>
      <c r="F26" s="294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38"/>
      <c r="C27" s="362"/>
      <c r="D27" s="531"/>
      <c r="E27" s="525"/>
      <c r="F27" s="417"/>
      <c r="G27" s="294"/>
      <c r="H27" s="348"/>
      <c r="I27" s="36" t="s">
        <v>15</v>
      </c>
      <c r="J27" s="323"/>
      <c r="K27" s="284">
        <f>COUNTA([7]Brewhouse!$A$23:$A$30)</f>
        <v>8</v>
      </c>
      <c r="L27" s="302">
        <f>AVERAGE([7]Brewhouse!$AT$23:$AT$30)</f>
        <v>96.065914782338609</v>
      </c>
      <c r="M27" s="302">
        <f>AVERAGE([7]Brewhouse!$AT$4:$AT$11,[7]Brewhouse!$AT$13:$AT$16,[7]Brewhouse!$AT$18:$AT$30)</f>
        <v>93.22262799886262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38"/>
      <c r="C28" s="362"/>
      <c r="D28" s="529"/>
      <c r="E28" s="530"/>
      <c r="F28" s="417"/>
      <c r="G28" s="294"/>
      <c r="H28" s="348"/>
      <c r="I28" s="37" t="s">
        <v>16</v>
      </c>
      <c r="J28" s="323"/>
      <c r="K28" s="284"/>
      <c r="L28" s="302"/>
      <c r="M28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28" s="30">
        <v>98</v>
      </c>
      <c r="O28" s="11"/>
      <c r="P28" s="31" t="s">
        <v>41</v>
      </c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38"/>
      <c r="C29" s="362"/>
      <c r="D29" s="531"/>
      <c r="E29" s="525"/>
      <c r="F29" s="294"/>
      <c r="G29" s="294"/>
      <c r="H29" s="348"/>
      <c r="I29" s="411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38"/>
      <c r="C30" s="362"/>
      <c r="D30" s="529"/>
      <c r="E30" s="530"/>
      <c r="F30" s="294"/>
      <c r="G30" s="294"/>
      <c r="H30" s="348"/>
      <c r="I30" s="410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38"/>
      <c r="C31" s="362"/>
      <c r="D31" s="531"/>
      <c r="E31" s="525"/>
      <c r="F31" s="294"/>
      <c r="G31" s="294"/>
      <c r="H31" s="348"/>
      <c r="I31" s="406" t="s">
        <v>156</v>
      </c>
      <c r="J31" s="327"/>
      <c r="K31" s="407"/>
      <c r="L31" s="408"/>
      <c r="M31" s="408"/>
      <c r="N31" s="409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38"/>
      <c r="C32" s="349"/>
      <c r="D32" s="522"/>
      <c r="E32" s="523"/>
      <c r="F32" s="294"/>
      <c r="G32" s="294"/>
      <c r="H32" s="348"/>
      <c r="I32" s="1"/>
      <c r="J32" s="39"/>
      <c r="K32" s="404">
        <f>SUM(K22:K31)</f>
        <v>107</v>
      </c>
      <c r="L32" s="405">
        <f>((L22*K22)+(L23*K23)+(L24*K24)+(L25*K25)+(L26*K26)+(K29*L29)+(L27*K27)+(L28*K28)+(L31*K31))/(K32)</f>
        <v>98.38849351917122</v>
      </c>
      <c r="M32" s="405">
        <f>AVERAGE('[9]Jan30th-31st'!$L$42,'[10]Feb 27th-28th'!$L$45,'[11]Mar 31st'!$L$42,'[12]Apr 30th'!$L$41,'[13]May 29th '!$L$35,'[14]June 30th'!$L$32,[15]July31st!$L$36,'[16]Aug 31st'!$L$32,L32)</f>
        <v>98.03403893378885</v>
      </c>
      <c r="N32" s="4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39"/>
      <c r="C33" s="350"/>
      <c r="D33" s="524"/>
      <c r="E33" s="525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2:56" ht="15.75" thickBot="1">
      <c r="B34" s="519"/>
      <c r="C34" s="362"/>
      <c r="D34" s="522"/>
      <c r="E34" s="523"/>
      <c r="F34" s="294"/>
      <c r="G34" s="42"/>
      <c r="H34" s="41"/>
      <c r="I34" s="42"/>
      <c r="J34" s="526" t="s">
        <v>129</v>
      </c>
      <c r="K34" s="526"/>
      <c r="L34" s="294"/>
      <c r="M34" s="294"/>
      <c r="N34" s="294"/>
      <c r="O34" s="294"/>
      <c r="P34" s="12"/>
    </row>
    <row r="35" spans="2:56" ht="15.75" thickBot="1">
      <c r="B35" s="520"/>
      <c r="C35" s="362"/>
      <c r="D35" s="524"/>
      <c r="E35" s="525"/>
      <c r="F35" s="294"/>
      <c r="G35" s="42"/>
      <c r="H35" s="42"/>
      <c r="I35" s="42"/>
      <c r="J35" s="292" t="s">
        <v>17</v>
      </c>
      <c r="K35" s="293"/>
      <c r="L35" s="527" t="s">
        <v>136</v>
      </c>
      <c r="M35" s="527"/>
      <c r="N35" s="528"/>
      <c r="O35" s="294"/>
      <c r="P35" s="12"/>
    </row>
    <row r="36" spans="2:56" ht="15" customHeight="1" thickBot="1">
      <c r="B36" s="520"/>
      <c r="C36" s="349"/>
      <c r="D36" s="529"/>
      <c r="E36" s="530"/>
      <c r="F36" s="294"/>
      <c r="G36" s="42"/>
      <c r="H36" s="42"/>
      <c r="I36" s="42"/>
      <c r="J36" s="287" t="s">
        <v>6</v>
      </c>
      <c r="K36" s="324">
        <v>5</v>
      </c>
      <c r="L36" s="473" t="s">
        <v>37</v>
      </c>
      <c r="M36" s="474" t="s">
        <v>38</v>
      </c>
      <c r="N36" s="474" t="s">
        <v>84</v>
      </c>
      <c r="O36" s="294"/>
      <c r="P36" s="12"/>
    </row>
    <row r="37" spans="2:56" ht="15.75" customHeight="1" thickBot="1">
      <c r="B37" s="520"/>
      <c r="C37" s="349"/>
      <c r="D37" s="531"/>
      <c r="E37" s="525"/>
      <c r="F37" s="294"/>
      <c r="G37" s="42"/>
      <c r="H37" s="42"/>
      <c r="I37" s="42"/>
      <c r="J37" s="345" t="s">
        <v>9</v>
      </c>
      <c r="K37" s="324"/>
      <c r="L37" s="485">
        <f>AVERAGE('Sept 1st'!K45,'Sept 2nd'!K47,'Sept 3rd'!K44,'Sept 4th'!K46,'Sept 7th'!K48,'Sept 8th'!K48,'Sept 9th'!K50,'Sept 10th'!K49,'Sept 11th '!K45,'Sept 14th'!K45,'Sept 15th'!K48,'Sept 16th'!K51,'Sept 17th '!K52,'Sept 18th'!K42,'Sept 21st'!K48,K46)</f>
        <v>6.6875</v>
      </c>
      <c r="M37" s="486">
        <f>AVERAGE('[9]Jan30th-31st'!$L$47,L37,'[10]Feb 26th '!$L$39,'[11]Mar 31st'!$L$47,'[12]Apr 30th'!$L$46,'[13]May 29th '!$L$40,'[14]June 30th'!$L$39,[15]July31st!$L$41,'[16]Aug 31st'!$L$37)</f>
        <v>6.480844819431776</v>
      </c>
      <c r="N37" s="416">
        <v>9.1999999999999993</v>
      </c>
      <c r="O37" s="294"/>
      <c r="P37" s="12"/>
    </row>
    <row r="38" spans="2:56" ht="15" customHeight="1">
      <c r="B38" s="520"/>
      <c r="C38" s="349"/>
      <c r="D38" s="529"/>
      <c r="E38" s="530"/>
      <c r="F38" s="294"/>
      <c r="G38" s="42"/>
      <c r="H38" s="42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20"/>
      <c r="C39" s="349"/>
      <c r="D39" s="531"/>
      <c r="E39" s="525"/>
      <c r="F39" s="294"/>
      <c r="G39" s="42"/>
      <c r="H39" s="42"/>
      <c r="I39" s="42"/>
      <c r="J39" s="289" t="s">
        <v>33</v>
      </c>
      <c r="K39" s="324"/>
      <c r="L39" s="294"/>
      <c r="M39" s="294"/>
      <c r="N39" s="294"/>
      <c r="O39" s="294"/>
      <c r="P39" s="12"/>
    </row>
    <row r="40" spans="2:56" ht="15">
      <c r="B40" s="520"/>
      <c r="C40" s="349"/>
      <c r="D40" s="529"/>
      <c r="E40" s="530"/>
      <c r="F40" s="294"/>
      <c r="G40" s="42"/>
      <c r="H40" s="42"/>
      <c r="I40" s="42"/>
      <c r="J40" s="290" t="s">
        <v>16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0"/>
      <c r="C41" s="349"/>
      <c r="D41" s="531"/>
      <c r="E41" s="525"/>
      <c r="F41" s="294"/>
      <c r="G41" s="42"/>
      <c r="H41" s="42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20"/>
      <c r="C42" s="349"/>
      <c r="D42" s="529"/>
      <c r="E42" s="530"/>
      <c r="F42" s="294"/>
      <c r="G42" s="42"/>
      <c r="H42" s="42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21"/>
      <c r="C43" s="350"/>
      <c r="D43" s="532"/>
      <c r="E43" s="533"/>
      <c r="F43" s="294" t="s">
        <v>165</v>
      </c>
      <c r="G43" s="42"/>
      <c r="H43" s="42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10"/>
      <c r="E44" s="511"/>
      <c r="F44" s="294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2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2"/>
      <c r="I46" s="42"/>
      <c r="J46" s="346" t="s">
        <v>130</v>
      </c>
      <c r="K46" s="324">
        <f>SUM(K36:K45)</f>
        <v>5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42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504" t="s">
        <v>17</v>
      </c>
      <c r="C49" s="504" t="s">
        <v>44</v>
      </c>
      <c r="D49" s="513" t="s">
        <v>45</v>
      </c>
      <c r="E49" s="515" t="s">
        <v>46</v>
      </c>
      <c r="F49" s="517" t="s">
        <v>47</v>
      </c>
      <c r="G49" s="502" t="s">
        <v>48</v>
      </c>
      <c r="H49" s="504" t="s">
        <v>49</v>
      </c>
      <c r="I49" s="504" t="s">
        <v>50</v>
      </c>
      <c r="J49" s="496" t="s">
        <v>28</v>
      </c>
      <c r="K49" s="506" t="s">
        <v>51</v>
      </c>
      <c r="L49" s="508" t="s">
        <v>52</v>
      </c>
      <c r="M49" s="496" t="s">
        <v>53</v>
      </c>
      <c r="N49" s="13"/>
      <c r="O49" s="13"/>
      <c r="P49" s="50"/>
    </row>
    <row r="50" spans="2:57" ht="28.5" customHeight="1" thickTop="1" thickBot="1">
      <c r="B50" s="505"/>
      <c r="C50" s="512"/>
      <c r="D50" s="514"/>
      <c r="E50" s="516"/>
      <c r="F50" s="518"/>
      <c r="G50" s="503"/>
      <c r="H50" s="505"/>
      <c r="I50" s="505"/>
      <c r="J50" s="497"/>
      <c r="K50" s="507"/>
      <c r="L50" s="509"/>
      <c r="M50" s="497"/>
      <c r="N50" s="13"/>
      <c r="O50" s="13"/>
      <c r="P50" s="50"/>
      <c r="Q50" s="355"/>
      <c r="AB50" s="475">
        <v>43474</v>
      </c>
      <c r="AC50" s="475">
        <v>43475</v>
      </c>
      <c r="AD50" s="475">
        <v>43476</v>
      </c>
      <c r="AE50" s="475">
        <v>43477</v>
      </c>
      <c r="AF50" s="475">
        <v>43478</v>
      </c>
      <c r="AG50" s="475">
        <v>43479</v>
      </c>
      <c r="AH50" s="475">
        <v>43480</v>
      </c>
      <c r="AI50" s="475">
        <v>43481</v>
      </c>
      <c r="AJ50" s="475">
        <v>43482</v>
      </c>
      <c r="AK50" s="475">
        <v>43483</v>
      </c>
      <c r="AL50" s="475">
        <v>43484</v>
      </c>
      <c r="AM50" s="475">
        <v>43485</v>
      </c>
      <c r="AN50" s="475">
        <v>43486</v>
      </c>
      <c r="AO50" s="475">
        <v>43487</v>
      </c>
      <c r="AP50" s="475">
        <v>43488</v>
      </c>
      <c r="AQ50" s="475">
        <v>43489</v>
      </c>
      <c r="AR50" s="475">
        <v>43490</v>
      </c>
      <c r="AS50" s="475">
        <v>43491</v>
      </c>
      <c r="AT50" s="475">
        <v>43492</v>
      </c>
      <c r="AU50" s="475">
        <v>43493</v>
      </c>
      <c r="AV50" s="475">
        <v>43494</v>
      </c>
      <c r="AW50" s="475">
        <v>43495</v>
      </c>
      <c r="AX50" s="475">
        <v>43496</v>
      </c>
    </row>
    <row r="51" spans="2:57" s="54" customFormat="1" ht="36.75" hidden="1" customHeight="1" thickBot="1">
      <c r="B51" s="456" t="str">
        <f>J36</f>
        <v>CARIB</v>
      </c>
      <c r="C51" s="479">
        <v>46286</v>
      </c>
      <c r="D51" s="445">
        <f>[17]September_2026!$X$3</f>
        <v>93.5</v>
      </c>
      <c r="E51" s="443"/>
      <c r="F51" s="444"/>
      <c r="G51" s="444">
        <f>[17]September_2026!$X$7</f>
        <v>91.5</v>
      </c>
      <c r="H51" s="458"/>
      <c r="I51" s="458"/>
      <c r="J51" s="448" t="s">
        <v>174</v>
      </c>
      <c r="K51" s="449">
        <f>[18]September_2026!$X$18</f>
        <v>0.32105263157894737</v>
      </c>
      <c r="L51" s="476">
        <f>(((D51+E51)-G51)/(D51+E51))*100</f>
        <v>2.1390374331550799</v>
      </c>
      <c r="M51" s="455" t="s">
        <v>181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[19]January_2019!L5</f>
        <v>0</v>
      </c>
      <c r="AC51" s="57">
        <f>[19]January_2019!M5</f>
        <v>0</v>
      </c>
      <c r="AD51" s="57">
        <f>[19]January_2019!N5</f>
        <v>0</v>
      </c>
      <c r="AE51" s="57">
        <f>[19]January_2019!O5</f>
        <v>0</v>
      </c>
      <c r="AF51" s="57">
        <f>[19]January_2019!P5</f>
        <v>0</v>
      </c>
      <c r="AG51" s="57">
        <f>[19]January_2019!Q5</f>
        <v>0</v>
      </c>
      <c r="AH51" s="57">
        <f>[19]January_2019!R5</f>
        <v>0</v>
      </c>
      <c r="AI51" s="57">
        <f>[19]January_2019!S5</f>
        <v>0</v>
      </c>
      <c r="AJ51" s="57">
        <f>[19]January_2019!T5</f>
        <v>0</v>
      </c>
      <c r="AK51" s="57">
        <f>[19]January_2019!U5</f>
        <v>0</v>
      </c>
      <c r="AL51" s="57">
        <f>[19]January_2019!V5</f>
        <v>0</v>
      </c>
      <c r="AM51" s="57">
        <f>[19]January_2019!W5</f>
        <v>0</v>
      </c>
      <c r="AN51" s="57">
        <f>[19]January_2019!X5</f>
        <v>0</v>
      </c>
      <c r="AO51" s="57">
        <f>[19]January_2019!Y5</f>
        <v>0</v>
      </c>
      <c r="AP51" s="57">
        <f>[19]January_2019!Z5</f>
        <v>0</v>
      </c>
      <c r="AQ51" s="57">
        <f>[19]January_2019!AA5</f>
        <v>0</v>
      </c>
      <c r="AR51" s="57">
        <f>[19]January_2019!AB5</f>
        <v>0</v>
      </c>
      <c r="AS51" s="57">
        <f>[19]January_2019!AC5</f>
        <v>0</v>
      </c>
      <c r="AT51" s="57">
        <f>[19]January_2019!AD5</f>
        <v>0</v>
      </c>
      <c r="AU51" s="57">
        <f>[19]January_2019!AE5</f>
        <v>0</v>
      </c>
      <c r="AV51" s="57">
        <f>[19]January_2019!AF5</f>
        <v>0</v>
      </c>
      <c r="AW51" s="57">
        <f>[19]January_2019!AG5</f>
        <v>0</v>
      </c>
      <c r="AX51" s="277">
        <f>[19]January_2019!AH5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4.25" hidden="1" customHeight="1" thickBot="1">
      <c r="B52" s="480"/>
      <c r="C52" s="479"/>
      <c r="D52" s="442"/>
      <c r="E52" s="443"/>
      <c r="F52" s="444"/>
      <c r="G52" s="445"/>
      <c r="H52" s="458"/>
      <c r="I52" s="458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[19]January_2019!L6</f>
        <v>0</v>
      </c>
      <c r="AC52" s="57">
        <f>[19]January_2019!M6</f>
        <v>0</v>
      </c>
      <c r="AD52" s="57">
        <f>[19]January_2019!N6</f>
        <v>0</v>
      </c>
      <c r="AE52" s="57">
        <f>[19]January_2019!O6</f>
        <v>0</v>
      </c>
      <c r="AF52" s="57">
        <f>[19]January_2019!P6</f>
        <v>0</v>
      </c>
      <c r="AG52" s="57">
        <f>[19]January_2019!Q6</f>
        <v>0</v>
      </c>
      <c r="AH52" s="57">
        <f>[19]January_2019!R6</f>
        <v>0</v>
      </c>
      <c r="AI52" s="57">
        <f>[19]January_2019!S6</f>
        <v>0</v>
      </c>
      <c r="AJ52" s="57">
        <f>[19]January_2019!T6</f>
        <v>0</v>
      </c>
      <c r="AK52" s="57">
        <f>[19]January_2019!U6</f>
        <v>0</v>
      </c>
      <c r="AL52" s="57">
        <f>[19]January_2019!V6</f>
        <v>0</v>
      </c>
      <c r="AM52" s="57">
        <f>[19]January_2019!W6</f>
        <v>0</v>
      </c>
      <c r="AN52" s="57">
        <f>[19]January_2019!X6</f>
        <v>0</v>
      </c>
      <c r="AO52" s="57">
        <f>[19]January_2019!Y6</f>
        <v>0</v>
      </c>
      <c r="AP52" s="57">
        <f>[19]January_2019!Z6</f>
        <v>0</v>
      </c>
      <c r="AQ52" s="57">
        <f>[19]January_2019!AA6</f>
        <v>0</v>
      </c>
      <c r="AR52" s="57">
        <f>[19]January_2019!AB6</f>
        <v>0</v>
      </c>
      <c r="AS52" s="57">
        <f>[19]January_2019!AC6</f>
        <v>0</v>
      </c>
      <c r="AT52" s="57">
        <f>[19]January_2019!AD6</f>
        <v>0</v>
      </c>
      <c r="AU52" s="57">
        <f>[19]January_2019!AE6</f>
        <v>0</v>
      </c>
      <c r="AV52" s="57">
        <f>[19]January_2019!AF6</f>
        <v>0</v>
      </c>
      <c r="AW52" s="57">
        <f>[19]January_2019!AG6</f>
        <v>0</v>
      </c>
      <c r="AX52" s="277">
        <f>[19]January_2019!AH6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37.15" customHeight="1" thickBot="1">
      <c r="B53" s="491" t="str">
        <f>J37</f>
        <v>STAG</v>
      </c>
      <c r="C53" s="479">
        <v>46287</v>
      </c>
      <c r="D53" s="442">
        <f>[17]September_2026!$Y$13</f>
        <v>190.70000000000002</v>
      </c>
      <c r="E53" s="443"/>
      <c r="F53" s="444"/>
      <c r="G53" s="444">
        <f>[17]September_2026!$Y$17</f>
        <v>184.3</v>
      </c>
      <c r="H53" s="446"/>
      <c r="I53" s="446"/>
      <c r="J53" s="448" t="s">
        <v>174</v>
      </c>
      <c r="K53" s="449">
        <f>[18]September_2026!$Y$25</f>
        <v>0.64666666666666672</v>
      </c>
      <c r="L53" s="457">
        <f>(((D53+E53)-G53)/(D53+E53))*100</f>
        <v>3.3560566334556925</v>
      </c>
      <c r="M53" s="455" t="s">
        <v>176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[19]January_2019!L7</f>
        <v>285.8</v>
      </c>
      <c r="AC53" s="57">
        <f>[19]January_2019!M7</f>
        <v>508.1</v>
      </c>
      <c r="AD53" s="57">
        <f>[19]January_2019!N7</f>
        <v>0</v>
      </c>
      <c r="AE53" s="57">
        <f>[19]January_2019!O7</f>
        <v>0</v>
      </c>
      <c r="AF53" s="57">
        <f>[19]January_2019!P7</f>
        <v>109.56666666666666</v>
      </c>
      <c r="AG53" s="57">
        <f>[19]January_2019!Q7</f>
        <v>297.64999999999998</v>
      </c>
      <c r="AH53" s="57">
        <f>[19]January_2019!R7</f>
        <v>122.3</v>
      </c>
      <c r="AI53" s="57">
        <f>[19]January_2019!S7</f>
        <v>0</v>
      </c>
      <c r="AJ53" s="57">
        <f>[19]January_2019!T7</f>
        <v>294.7</v>
      </c>
      <c r="AK53" s="57">
        <f>[19]January_2019!U7</f>
        <v>280.5</v>
      </c>
      <c r="AL53" s="57">
        <f>[19]January_2019!V7</f>
        <v>0</v>
      </c>
      <c r="AM53" s="57">
        <f>[19]January_2019!W7</f>
        <v>0</v>
      </c>
      <c r="AN53" s="57">
        <f>[19]January_2019!X7</f>
        <v>188.25</v>
      </c>
      <c r="AO53" s="57">
        <f>[19]January_2019!Y7</f>
        <v>295.7</v>
      </c>
      <c r="AP53" s="57">
        <f>[19]January_2019!Z7</f>
        <v>257.8</v>
      </c>
      <c r="AQ53" s="57">
        <f>[19]January_2019!AA7</f>
        <v>291.2</v>
      </c>
      <c r="AR53" s="57">
        <f>[19]January_2019!AB7</f>
        <v>187</v>
      </c>
      <c r="AS53" s="57">
        <f>[19]January_2019!AC7</f>
        <v>0</v>
      </c>
      <c r="AT53" s="57">
        <f>[19]January_2019!AD7</f>
        <v>0</v>
      </c>
      <c r="AU53" s="57">
        <f>[19]January_2019!AE7</f>
        <v>485.1</v>
      </c>
      <c r="AV53" s="57">
        <f>[19]January_2019!AF7</f>
        <v>171.55</v>
      </c>
      <c r="AW53" s="57">
        <f>[19]January_2019!AG7</f>
        <v>423.8</v>
      </c>
      <c r="AX53" s="277">
        <f>[19]January_2019!AH7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8.600000000000001" hidden="1" customHeight="1" thickBot="1">
      <c r="B54" s="478"/>
      <c r="C54" s="430"/>
      <c r="D54" s="431"/>
      <c r="E54" s="432"/>
      <c r="F54" s="433"/>
      <c r="G54" s="434"/>
      <c r="H54" s="458"/>
      <c r="I54" s="45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8.65" hidden="1" customHeight="1" thickBot="1">
      <c r="B55" s="487"/>
      <c r="C55" s="479"/>
      <c r="D55" s="442"/>
      <c r="E55" s="443"/>
      <c r="F55" s="444"/>
      <c r="G55" s="445"/>
      <c r="H55" s="458"/>
      <c r="I55" s="458"/>
      <c r="J55" s="448"/>
      <c r="K55" s="45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5" hidden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81"/>
      <c r="C57" s="479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s="54" customFormat="1" ht="37.15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customHeight="1">
      <c r="B60" s="466"/>
      <c r="C60" s="430"/>
      <c r="D60" s="460"/>
      <c r="E60" s="461"/>
      <c r="F60" s="462"/>
      <c r="G60" s="460"/>
      <c r="H60" s="463"/>
      <c r="I60" s="463"/>
      <c r="J60" s="463"/>
      <c r="K60" s="464"/>
      <c r="L60" s="465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498" t="s">
        <v>55</v>
      </c>
      <c r="C62" s="499"/>
      <c r="D62" s="499"/>
      <c r="E62" s="499"/>
      <c r="F62" s="500"/>
      <c r="G62" s="498" t="s">
        <v>56</v>
      </c>
      <c r="H62" s="499"/>
      <c r="I62" s="499"/>
      <c r="J62" s="500"/>
      <c r="K62" s="498" t="s">
        <v>51</v>
      </c>
      <c r="L62" s="499"/>
      <c r="M62" s="499"/>
      <c r="N62" s="501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65"/>
      <c r="D64" s="76">
        <v>7.2669378760384307</v>
      </c>
      <c r="E64" s="76">
        <v>6.6024208041377905</v>
      </c>
      <c r="F64" s="66">
        <v>4.8</v>
      </c>
      <c r="G64" s="65"/>
      <c r="H64" s="477">
        <v>6.5160801722722619</v>
      </c>
      <c r="I64" s="477">
        <v>6.6384808531425268</v>
      </c>
      <c r="J64" s="66">
        <v>4.8</v>
      </c>
      <c r="K64" s="67"/>
      <c r="L64" s="194">
        <v>0.54583684210526329</v>
      </c>
      <c r="M64" s="194">
        <v>0.52770661335828817</v>
      </c>
      <c r="N64" s="68">
        <v>1</v>
      </c>
      <c r="O64" s="56"/>
      <c r="P64" s="69"/>
    </row>
    <row r="65" spans="2:16" ht="15">
      <c r="B65" s="33" t="s">
        <v>9</v>
      </c>
      <c r="C65" s="65">
        <f>L53</f>
        <v>3.3560566334556925</v>
      </c>
      <c r="D65" s="76">
        <v>8.2429812594241234</v>
      </c>
      <c r="E65" s="76">
        <v>6.0220986966389685</v>
      </c>
      <c r="F65" s="66">
        <v>4.8</v>
      </c>
      <c r="G65" s="65">
        <f>[17]September_2026!$Y$21</f>
        <v>2.340396759757176</v>
      </c>
      <c r="H65" s="76">
        <v>7.2366264511789016</v>
      </c>
      <c r="I65" s="76">
        <v>6.0561650445262645</v>
      </c>
      <c r="J65" s="66">
        <v>4.8</v>
      </c>
      <c r="K65" s="67">
        <f>K53</f>
        <v>0.64666666666666672</v>
      </c>
      <c r="L65" s="194">
        <v>0.563359649122807</v>
      </c>
      <c r="M65" s="194">
        <v>0.68649049157936914</v>
      </c>
      <c r="N65" s="68">
        <v>1</v>
      </c>
      <c r="P65" s="69"/>
    </row>
    <row r="66" spans="2:16" ht="15">
      <c r="B66" s="34" t="s">
        <v>40</v>
      </c>
      <c r="C66" s="65"/>
      <c r="D66" s="76"/>
      <c r="E66" s="76">
        <v>11.277593164016125</v>
      </c>
      <c r="F66" s="66">
        <v>5.5</v>
      </c>
      <c r="G66" s="65"/>
      <c r="H66" s="76"/>
      <c r="I66" s="76">
        <v>11.857907912244482</v>
      </c>
      <c r="J66" s="66">
        <v>5.5</v>
      </c>
      <c r="K66" s="67"/>
      <c r="L66" s="194"/>
      <c r="M66" s="194">
        <v>0.35370190356844494</v>
      </c>
      <c r="N66" s="68">
        <v>1</v>
      </c>
      <c r="P66" s="69"/>
    </row>
    <row r="67" spans="2:16" ht="15">
      <c r="B67" s="22" t="s">
        <v>33</v>
      </c>
      <c r="C67" s="65"/>
      <c r="D67" s="76"/>
      <c r="E67" s="76">
        <v>4.8685538193023836</v>
      </c>
      <c r="F67" s="66">
        <v>3.3</v>
      </c>
      <c r="G67" s="65"/>
      <c r="H67" s="76"/>
      <c r="I67" s="76">
        <v>4.8702525342252114</v>
      </c>
      <c r="J67" s="66">
        <v>3.3</v>
      </c>
      <c r="K67" s="67"/>
      <c r="L67" s="194"/>
      <c r="M67" s="194">
        <v>0.77919298245614044</v>
      </c>
      <c r="N67" s="68">
        <v>1</v>
      </c>
      <c r="P67" s="69"/>
    </row>
    <row r="68" spans="2:16" ht="15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 ht="15">
      <c r="B69" s="36" t="s">
        <v>15</v>
      </c>
      <c r="C69" s="65"/>
      <c r="D69" s="76">
        <v>6.8855672629257718</v>
      </c>
      <c r="E69" s="76">
        <v>6.3233965672990236</v>
      </c>
      <c r="F69" s="70">
        <v>5.5</v>
      </c>
      <c r="G69" s="65"/>
      <c r="H69" s="76">
        <v>7.4264332958762713</v>
      </c>
      <c r="I69" s="76">
        <v>7.9667553186446929</v>
      </c>
      <c r="J69" s="66">
        <v>5.5</v>
      </c>
      <c r="K69" s="67"/>
      <c r="L69" s="194">
        <v>0.391812865497076</v>
      </c>
      <c r="M69" s="194">
        <v>0.5883625730994152</v>
      </c>
      <c r="N69" s="68">
        <v>1</v>
      </c>
      <c r="P69" s="69"/>
    </row>
    <row r="70" spans="2:16" ht="15">
      <c r="B70" s="37" t="s">
        <v>16</v>
      </c>
      <c r="C70" s="482"/>
      <c r="D70" s="76"/>
      <c r="E70" s="76">
        <v>3.6168923014750334</v>
      </c>
      <c r="F70" s="66">
        <v>3.3</v>
      </c>
      <c r="G70" s="282"/>
      <c r="H70" s="76"/>
      <c r="I70" s="76">
        <v>5.0091179718082053</v>
      </c>
      <c r="J70" s="66">
        <v>3.3</v>
      </c>
      <c r="K70" s="67"/>
      <c r="L70" s="194"/>
      <c r="M70" s="194">
        <v>0.92642300194931759</v>
      </c>
      <c r="N70" s="71">
        <v>1</v>
      </c>
      <c r="P70" s="69"/>
    </row>
    <row r="71" spans="2:16" ht="15.75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 ht="15">
      <c r="D73" s="76">
        <v>7.5070259316215786</v>
      </c>
      <c r="E73" s="76">
        <v>6.4325635675223651</v>
      </c>
      <c r="F73" s="341">
        <v>5.5</v>
      </c>
      <c r="H73" s="76">
        <v>6.7975185597866208</v>
      </c>
      <c r="I73" s="76">
        <v>6.7012608609515691</v>
      </c>
      <c r="J73" s="341">
        <v>5.5</v>
      </c>
      <c r="L73" s="194">
        <v>0.52277915376676987</v>
      </c>
      <c r="M73" s="194">
        <v>0.59141902654845002</v>
      </c>
      <c r="N73" s="386">
        <v>1</v>
      </c>
    </row>
  </sheetData>
  <mergeCells count="51"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  <mergeCell ref="D44:E44"/>
    <mergeCell ref="B49:B50"/>
    <mergeCell ref="C49:C50"/>
    <mergeCell ref="D49:D50"/>
    <mergeCell ref="E49:E50"/>
    <mergeCell ref="B34:B43"/>
    <mergeCell ref="D34:E35"/>
    <mergeCell ref="J34:K34"/>
    <mergeCell ref="L35:N35"/>
    <mergeCell ref="D36:E37"/>
    <mergeCell ref="D38:E39"/>
    <mergeCell ref="D40:E41"/>
    <mergeCell ref="D42:E43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4:B45">
    <cfRule type="cellIs" dxfId="572" priority="112" operator="notBetween">
      <formula>#REF!</formula>
      <formula>#REF!</formula>
    </cfRule>
  </conditionalFormatting>
  <conditionalFormatting sqref="C48">
    <cfRule type="cellIs" dxfId="571" priority="194" stopIfTrue="1" operator="lessThan">
      <formula>96</formula>
    </cfRule>
    <cfRule type="cellIs" dxfId="570" priority="195" stopIfTrue="1" operator="greaterThan">
      <formula>100</formula>
    </cfRule>
  </conditionalFormatting>
  <conditionalFormatting sqref="C64:C65">
    <cfRule type="cellIs" dxfId="569" priority="75" stopIfTrue="1" operator="greaterThan">
      <formula>$F64</formula>
    </cfRule>
    <cfRule type="cellIs" dxfId="568" priority="76" stopIfTrue="1" operator="lessThanOrEqual">
      <formula>0</formula>
    </cfRule>
    <cfRule type="cellIs" dxfId="567" priority="77" stopIfTrue="1" operator="greaterThan">
      <formula>$F64</formula>
    </cfRule>
    <cfRule type="cellIs" dxfId="566" priority="78" stopIfTrue="1" operator="lessThanOrEqual">
      <formula>0</formula>
    </cfRule>
  </conditionalFormatting>
  <conditionalFormatting sqref="C66:C68 C70:C72">
    <cfRule type="cellIs" dxfId="565" priority="84" stopIfTrue="1" operator="greaterThan">
      <formula>$F69</formula>
    </cfRule>
  </conditionalFormatting>
  <conditionalFormatting sqref="C66:C68">
    <cfRule type="cellIs" dxfId="564" priority="85" stopIfTrue="1" operator="lessThanOrEqual">
      <formula>0</formula>
    </cfRule>
  </conditionalFormatting>
  <conditionalFormatting sqref="C69">
    <cfRule type="cellIs" dxfId="563" priority="196" stopIfTrue="1" operator="greaterThan">
      <formula>$F64</formula>
    </cfRule>
    <cfRule type="cellIs" dxfId="562" priority="197" stopIfTrue="1" operator="lessThanOrEqual">
      <formula>0</formula>
    </cfRule>
    <cfRule type="cellIs" dxfId="561" priority="198" stopIfTrue="1" operator="greaterThan">
      <formula>$F64</formula>
    </cfRule>
    <cfRule type="cellIs" dxfId="560" priority="199" stopIfTrue="1" operator="lessThanOrEqual">
      <formula>0</formula>
    </cfRule>
  </conditionalFormatting>
  <conditionalFormatting sqref="C70:C72">
    <cfRule type="cellIs" dxfId="559" priority="86" stopIfTrue="1" operator="lessThanOrEqual">
      <formula>0</formula>
    </cfRule>
  </conditionalFormatting>
  <conditionalFormatting sqref="C75:C79">
    <cfRule type="cellIs" dxfId="558" priority="186" stopIfTrue="1" operator="lessThanOrEqual">
      <formula>0</formula>
    </cfRule>
  </conditionalFormatting>
  <conditionalFormatting sqref="C76:C79">
    <cfRule type="cellIs" dxfId="557" priority="185" stopIfTrue="1" operator="greaterThan">
      <formula>$F$75</formula>
    </cfRule>
  </conditionalFormatting>
  <conditionalFormatting sqref="C81">
    <cfRule type="cellIs" dxfId="556" priority="187" stopIfTrue="1" operator="greaterThan">
      <formula>$F$75</formula>
    </cfRule>
    <cfRule type="cellIs" dxfId="555" priority="188" stopIfTrue="1" operator="lessThanOrEqual">
      <formula>0</formula>
    </cfRule>
  </conditionalFormatting>
  <conditionalFormatting sqref="C69:D69">
    <cfRule type="cellIs" dxfId="554" priority="73" stopIfTrue="1" operator="greaterThan">
      <formula>$J69</formula>
    </cfRule>
    <cfRule type="cellIs" dxfId="553" priority="74" stopIfTrue="1" operator="lessThanOrEqual">
      <formula>0</formula>
    </cfRule>
  </conditionalFormatting>
  <conditionalFormatting sqref="C75:D75 D77:D83">
    <cfRule type="cellIs" dxfId="552" priority="180" stopIfTrue="1" operator="greaterThan">
      <formula>4.5</formula>
    </cfRule>
  </conditionalFormatting>
  <conditionalFormatting sqref="D44:D45">
    <cfRule type="cellIs" dxfId="551" priority="113" operator="notBetween">
      <formula>#REF!</formula>
      <formula>#REF!</formula>
    </cfRule>
  </conditionalFormatting>
  <conditionalFormatting sqref="D64:D68 D70:D71">
    <cfRule type="cellIs" dxfId="550" priority="83" stopIfTrue="1" operator="lessThanOrEqual">
      <formula>0</formula>
    </cfRule>
  </conditionalFormatting>
  <conditionalFormatting sqref="D64:D68 D70:D73">
    <cfRule type="cellIs" dxfId="549" priority="79" stopIfTrue="1" operator="lessThanOrEqual">
      <formula>0</formula>
    </cfRule>
    <cfRule type="cellIs" dxfId="548" priority="80" stopIfTrue="1" operator="greaterThan">
      <formula>$F64</formula>
    </cfRule>
  </conditionalFormatting>
  <conditionalFormatting sqref="D72:D73">
    <cfRule type="cellIs" dxfId="547" priority="81" stopIfTrue="1" operator="lessThanOrEqual">
      <formula>0</formula>
    </cfRule>
  </conditionalFormatting>
  <conditionalFormatting sqref="D73">
    <cfRule type="cellIs" dxfId="546" priority="82" stopIfTrue="1" operator="lessThanOrEqual">
      <formula>0</formula>
    </cfRule>
  </conditionalFormatting>
  <conditionalFormatting sqref="D75 D77:D83">
    <cfRule type="cellIs" dxfId="545" priority="181" stopIfTrue="1" operator="lessThanOrEqual">
      <formula>0</formula>
    </cfRule>
  </conditionalFormatting>
  <conditionalFormatting sqref="D76">
    <cfRule type="cellIs" dxfId="544" priority="172" stopIfTrue="1" operator="greaterThan">
      <formula>$F$75</formula>
    </cfRule>
    <cfRule type="cellIs" dxfId="543" priority="173" stopIfTrue="1" operator="lessThanOrEqual">
      <formula>0</formula>
    </cfRule>
  </conditionalFormatting>
  <conditionalFormatting sqref="E10:E19">
    <cfRule type="cellIs" dxfId="542" priority="17" operator="lessThan">
      <formula>48</formula>
    </cfRule>
  </conditionalFormatting>
  <conditionalFormatting sqref="E47 E48:F48">
    <cfRule type="cellIs" dxfId="541" priority="177" stopIfTrue="1" operator="greaterThan">
      <formula>100</formula>
    </cfRule>
  </conditionalFormatting>
  <conditionalFormatting sqref="E48">
    <cfRule type="cellIs" dxfId="540" priority="174" stopIfTrue="1" operator="lessThan">
      <formula>96.8</formula>
    </cfRule>
    <cfRule type="cellIs" dxfId="539" priority="175" stopIfTrue="1" operator="greaterThan">
      <formula>100</formula>
    </cfRule>
  </conditionalFormatting>
  <conditionalFormatting sqref="E64:E72">
    <cfRule type="cellIs" dxfId="538" priority="46" stopIfTrue="1" operator="lessThanOrEqual">
      <formula>0</formula>
    </cfRule>
  </conditionalFormatting>
  <conditionalFormatting sqref="E64:E73">
    <cfRule type="cellIs" dxfId="537" priority="47" stopIfTrue="1" operator="greaterThan">
      <formula>$F64</formula>
    </cfRule>
    <cfRule type="cellIs" dxfId="536" priority="48" stopIfTrue="1" operator="lessThanOrEqual">
      <formula>0</formula>
    </cfRule>
  </conditionalFormatting>
  <conditionalFormatting sqref="E73">
    <cfRule type="cellIs" dxfId="535" priority="49" stopIfTrue="1" operator="lessThanOrEqual">
      <formula>0</formula>
    </cfRule>
  </conditionalFormatting>
  <conditionalFormatting sqref="E75:E83">
    <cfRule type="cellIs" dxfId="534" priority="166" stopIfTrue="1" operator="greaterThan">
      <formula>4.5</formula>
    </cfRule>
    <cfRule type="cellIs" dxfId="533" priority="167" stopIfTrue="1" operator="lessThanOrEqual">
      <formula>0</formula>
    </cfRule>
  </conditionalFormatting>
  <conditionalFormatting sqref="E48:F48 E47">
    <cfRule type="cellIs" dxfId="532" priority="176" stopIfTrue="1" operator="lessThan">
      <formula>96.5</formula>
    </cfRule>
  </conditionalFormatting>
  <conditionalFormatting sqref="F10:F19">
    <cfRule type="cellIs" dxfId="531" priority="18" operator="greaterThan">
      <formula>60</formula>
    </cfRule>
  </conditionalFormatting>
  <conditionalFormatting sqref="F48">
    <cfRule type="cellIs" dxfId="530" priority="192" stopIfTrue="1" operator="lessThan">
      <formula>96.8</formula>
    </cfRule>
    <cfRule type="cellIs" dxfId="529" priority="193" stopIfTrue="1" operator="greaterThan">
      <formula>100</formula>
    </cfRule>
  </conditionalFormatting>
  <conditionalFormatting sqref="G10:G18 M10:N18 H10:H19">
    <cfRule type="expression" dxfId="528" priority="21">
      <formula>IF(+(IF(G10&lt;#REF!,0,IF(G10&gt;#REF!,0,1)))=0,1)</formula>
    </cfRule>
  </conditionalFormatting>
  <conditionalFormatting sqref="G19">
    <cfRule type="expression" dxfId="527" priority="20">
      <formula>IF(+(IF(G19&lt;S19,0,IF(G19&gt;T19,0,1)))=0,1)</formula>
    </cfRule>
  </conditionalFormatting>
  <conditionalFormatting sqref="G64:G67 F73">
    <cfRule type="cellIs" dxfId="526" priority="55" stopIfTrue="1" operator="greaterThan">
      <formula>$F64</formula>
    </cfRule>
    <cfRule type="cellIs" dxfId="525" priority="56" stopIfTrue="1" operator="lessThanOrEqual">
      <formula>0</formula>
    </cfRule>
  </conditionalFormatting>
  <conditionalFormatting sqref="G66:G67">
    <cfRule type="cellIs" dxfId="524" priority="41" stopIfTrue="1" operator="greaterThan">
      <formula>$F66</formula>
    </cfRule>
    <cfRule type="cellIs" dxfId="523" priority="42" stopIfTrue="1" operator="lessThanOrEqual">
      <formula>0</formula>
    </cfRule>
  </conditionalFormatting>
  <conditionalFormatting sqref="G68:G72">
    <cfRule type="cellIs" dxfId="522" priority="57" stopIfTrue="1" operator="greaterThan">
      <formula>$J68</formula>
    </cfRule>
    <cfRule type="cellIs" dxfId="521" priority="58" stopIfTrue="1" operator="lessThanOrEqual">
      <formula>0</formula>
    </cfRule>
  </conditionalFormatting>
  <conditionalFormatting sqref="G69">
    <cfRule type="cellIs" dxfId="520" priority="200" stopIfTrue="1" operator="greaterThan">
      <formula>$F64</formula>
    </cfRule>
    <cfRule type="cellIs" dxfId="519" priority="201" stopIfTrue="1" operator="lessThanOrEqual">
      <formula>0</formula>
    </cfRule>
  </conditionalFormatting>
  <conditionalFormatting sqref="G77:G82 C80 C82">
    <cfRule type="cellIs" dxfId="518" priority="189" stopIfTrue="1" operator="greaterThan">
      <formula>4.5</formula>
    </cfRule>
    <cfRule type="cellIs" dxfId="517" priority="190" stopIfTrue="1" operator="lessThanOrEqual">
      <formula>0</formula>
    </cfRule>
  </conditionalFormatting>
  <conditionalFormatting sqref="G76:H76">
    <cfRule type="cellIs" dxfId="516" priority="170" stopIfTrue="1" operator="greaterThan">
      <formula>$F$75</formula>
    </cfRule>
    <cfRule type="cellIs" dxfId="515" priority="171" stopIfTrue="1" operator="lessThanOrEqual">
      <formula>0</formula>
    </cfRule>
  </conditionalFormatting>
  <conditionalFormatting sqref="H33:H34 H47">
    <cfRule type="cellIs" dxfId="514" priority="168" stopIfTrue="1" operator="greaterThan">
      <formula>0</formula>
    </cfRule>
  </conditionalFormatting>
  <conditionalFormatting sqref="H51">
    <cfRule type="cellIs" dxfId="513" priority="60" stopIfTrue="1" operator="lessThanOrEqual">
      <formula>0</formula>
    </cfRule>
    <cfRule type="cellIs" dxfId="512" priority="61" stopIfTrue="1" operator="greaterThan">
      <formula>$F$64</formula>
    </cfRule>
    <cfRule type="cellIs" dxfId="511" priority="69" stopIfTrue="1" operator="greaterThan">
      <formula>$F$67</formula>
    </cfRule>
    <cfRule type="cellIs" dxfId="510" priority="70" stopIfTrue="1" operator="lessThanOrEqual">
      <formula>0</formula>
    </cfRule>
    <cfRule type="cellIs" dxfId="509" priority="71" stopIfTrue="1" operator="greaterThan">
      <formula>$F$65</formula>
    </cfRule>
  </conditionalFormatting>
  <conditionalFormatting sqref="H51:H52">
    <cfRule type="cellIs" dxfId="508" priority="72" stopIfTrue="1" operator="lessThanOrEqual">
      <formula>0</formula>
    </cfRule>
  </conditionalFormatting>
  <conditionalFormatting sqref="H52 H54:H55">
    <cfRule type="cellIs" dxfId="507" priority="98" stopIfTrue="1" operator="lessThanOrEqual">
      <formula>0</formula>
    </cfRule>
  </conditionalFormatting>
  <conditionalFormatting sqref="H52">
    <cfRule type="cellIs" dxfId="506" priority="87" stopIfTrue="1" operator="greaterThan">
      <formula>$F$64</formula>
    </cfRule>
    <cfRule type="cellIs" dxfId="505" priority="95" stopIfTrue="1" operator="greaterThan">
      <formula>$F$67</formula>
    </cfRule>
    <cfRule type="cellIs" dxfId="504" priority="96" stopIfTrue="1" operator="lessThanOrEqual">
      <formula>0</formula>
    </cfRule>
    <cfRule type="cellIs" dxfId="503" priority="97" stopIfTrue="1" operator="greaterThan">
      <formula>$F$65</formula>
    </cfRule>
  </conditionalFormatting>
  <conditionalFormatting sqref="H53">
    <cfRule type="cellIs" dxfId="502" priority="27" stopIfTrue="1" operator="lessThanOrEqual">
      <formula>0</formula>
    </cfRule>
    <cfRule type="cellIs" dxfId="501" priority="28" stopIfTrue="1" operator="greaterThan">
      <formula>$F$66</formula>
    </cfRule>
    <cfRule type="cellIs" dxfId="500" priority="36" stopIfTrue="1" operator="greaterThan">
      <formula>$F$69</formula>
    </cfRule>
    <cfRule type="cellIs" dxfId="499" priority="37" stopIfTrue="1" operator="lessThanOrEqual">
      <formula>0</formula>
    </cfRule>
    <cfRule type="cellIs" dxfId="498" priority="38" stopIfTrue="1" operator="greaterThan">
      <formula>$F$67</formula>
    </cfRule>
    <cfRule type="cellIs" dxfId="497" priority="39" stopIfTrue="1" operator="lessThanOrEqual">
      <formula>0</formula>
    </cfRule>
  </conditionalFormatting>
  <conditionalFormatting sqref="H54:H55">
    <cfRule type="cellIs" dxfId="496" priority="100" stopIfTrue="1" operator="greaterThan">
      <formula>$F$64</formula>
    </cfRule>
    <cfRule type="cellIs" dxfId="495" priority="108" stopIfTrue="1" operator="greaterThan">
      <formula>$F$67</formula>
    </cfRule>
    <cfRule type="cellIs" dxfId="494" priority="109" stopIfTrue="1" operator="lessThanOrEqual">
      <formula>0</formula>
    </cfRule>
    <cfRule type="cellIs" dxfId="493" priority="110" stopIfTrue="1" operator="greaterThan">
      <formula>$F$65</formula>
    </cfRule>
    <cfRule type="cellIs" dxfId="492" priority="111" stopIfTrue="1" operator="lessThanOrEqual">
      <formula>0</formula>
    </cfRule>
  </conditionalFormatting>
  <conditionalFormatting sqref="H56:H57">
    <cfRule type="cellIs" dxfId="491" priority="135" stopIfTrue="1" operator="lessThanOrEqual">
      <formula>0</formula>
    </cfRule>
    <cfRule type="cellIs" dxfId="490" priority="136" stopIfTrue="1" operator="greaterThan">
      <formula>#REF!</formula>
    </cfRule>
    <cfRule type="cellIs" dxfId="489" priority="144" stopIfTrue="1" operator="greaterThan">
      <formula>#REF!</formula>
    </cfRule>
    <cfRule type="cellIs" dxfId="488" priority="145" stopIfTrue="1" operator="lessThanOrEqual">
      <formula>0</formula>
    </cfRule>
  </conditionalFormatting>
  <conditionalFormatting sqref="H58">
    <cfRule type="cellIs" dxfId="487" priority="147" stopIfTrue="1" operator="lessThanOrEqual">
      <formula>0</formula>
    </cfRule>
    <cfRule type="cellIs" dxfId="486" priority="148" stopIfTrue="1" operator="greaterThan">
      <formula>$F$32</formula>
    </cfRule>
    <cfRule type="cellIs" dxfId="485" priority="156" stopIfTrue="1" operator="greaterThan">
      <formula>$F$35</formula>
    </cfRule>
    <cfRule type="cellIs" dxfId="484" priority="157" stopIfTrue="1" operator="lessThanOrEqual">
      <formula>0</formula>
    </cfRule>
    <cfRule type="cellIs" dxfId="483" priority="158" stopIfTrue="1" operator="greaterThan">
      <formula>$F$33</formula>
    </cfRule>
    <cfRule type="cellIs" dxfId="482" priority="159" stopIfTrue="1" operator="lessThanOrEqual">
      <formula>0</formula>
    </cfRule>
  </conditionalFormatting>
  <conditionalFormatting sqref="H59:H60">
    <cfRule type="cellIs" dxfId="481" priority="123" stopIfTrue="1" operator="lessThanOrEqual">
      <formula>0</formula>
    </cfRule>
    <cfRule type="cellIs" dxfId="480" priority="124" stopIfTrue="1" operator="greaterThan">
      <formula>#REF!</formula>
    </cfRule>
    <cfRule type="cellIs" dxfId="479" priority="132" stopIfTrue="1" operator="greaterThan">
      <formula>#REF!</formula>
    </cfRule>
    <cfRule type="cellIs" dxfId="478" priority="133" stopIfTrue="1" operator="lessThanOrEqual">
      <formula>0</formula>
    </cfRule>
  </conditionalFormatting>
  <conditionalFormatting sqref="H75 H77:H83">
    <cfRule type="cellIs" dxfId="477" priority="182" stopIfTrue="1" operator="greaterThan">
      <formula>4.5</formula>
    </cfRule>
    <cfRule type="cellIs" dxfId="476" priority="183" stopIfTrue="1" operator="lessThanOrEqual">
      <formula>0</formula>
    </cfRule>
  </conditionalFormatting>
  <conditionalFormatting sqref="H51:I51">
    <cfRule type="cellIs" dxfId="475" priority="62" stopIfTrue="1" operator="lessThanOrEqual">
      <formula>0</formula>
    </cfRule>
  </conditionalFormatting>
  <conditionalFormatting sqref="H51:I52 H54:I55">
    <cfRule type="cellIs" dxfId="474" priority="59" stopIfTrue="1" operator="greaterThan">
      <formula>$F$66</formula>
    </cfRule>
  </conditionalFormatting>
  <conditionalFormatting sqref="H52:I52">
    <cfRule type="cellIs" dxfId="473" priority="88" stopIfTrue="1" operator="lessThanOrEqual">
      <formula>0</formula>
    </cfRule>
  </conditionalFormatting>
  <conditionalFormatting sqref="H53:I53">
    <cfRule type="cellIs" dxfId="472" priority="26" stopIfTrue="1" operator="greaterThan">
      <formula>$F$68</formula>
    </cfRule>
    <cfRule type="cellIs" dxfId="471" priority="29" stopIfTrue="1" operator="lessThanOrEqual">
      <formula>0</formula>
    </cfRule>
  </conditionalFormatting>
  <conditionalFormatting sqref="H54:I55">
    <cfRule type="cellIs" dxfId="470" priority="101" stopIfTrue="1" operator="lessThanOrEqual">
      <formula>0</formula>
    </cfRule>
  </conditionalFormatting>
  <conditionalFormatting sqref="H56:I57">
    <cfRule type="cellIs" dxfId="469" priority="134" stopIfTrue="1" operator="greaterThan">
      <formula>#REF!</formula>
    </cfRule>
    <cfRule type="cellIs" dxfId="468" priority="137" stopIfTrue="1" operator="lessThanOrEqual">
      <formula>0</formula>
    </cfRule>
    <cfRule type="cellIs" dxfId="467" priority="142" stopIfTrue="1" operator="greaterThan">
      <formula>#REF!</formula>
    </cfRule>
    <cfRule type="cellIs" dxfId="466" priority="143" stopIfTrue="1" operator="lessThanOrEqual">
      <formula>0</formula>
    </cfRule>
  </conditionalFormatting>
  <conditionalFormatting sqref="H58:I58">
    <cfRule type="cellIs" dxfId="465" priority="146" stopIfTrue="1" operator="greaterThan">
      <formula>$F$34</formula>
    </cfRule>
    <cfRule type="cellIs" dxfId="464" priority="149" stopIfTrue="1" operator="lessThanOrEqual">
      <formula>0</formula>
    </cfRule>
  </conditionalFormatting>
  <conditionalFormatting sqref="H59:I60">
    <cfRule type="cellIs" dxfId="463" priority="122" stopIfTrue="1" operator="greaterThan">
      <formula>#REF!</formula>
    </cfRule>
    <cfRule type="cellIs" dxfId="462" priority="125" stopIfTrue="1" operator="lessThanOrEqual">
      <formula>0</formula>
    </cfRule>
    <cfRule type="cellIs" dxfId="461" priority="130" stopIfTrue="1" operator="greaterThan">
      <formula>#REF!</formula>
    </cfRule>
    <cfRule type="cellIs" dxfId="460" priority="131" stopIfTrue="1" operator="lessThanOrEqual">
      <formula>0</formula>
    </cfRule>
  </conditionalFormatting>
  <conditionalFormatting sqref="H64:I71">
    <cfRule type="cellIs" dxfId="459" priority="44" stopIfTrue="1" operator="greaterThan">
      <formula>$J64</formula>
    </cfRule>
    <cfRule type="cellIs" dxfId="458" priority="45" stopIfTrue="1" operator="lessThanOrEqual">
      <formula>0</formula>
    </cfRule>
  </conditionalFormatting>
  <conditionalFormatting sqref="H72:I72">
    <cfRule type="cellIs" dxfId="457" priority="52" operator="greaterThan">
      <formula>5.3</formula>
    </cfRule>
  </conditionalFormatting>
  <conditionalFormatting sqref="H73:I73">
    <cfRule type="cellIs" dxfId="456" priority="50" stopIfTrue="1" operator="greaterThan">
      <formula>$J73</formula>
    </cfRule>
    <cfRule type="cellIs" dxfId="455" priority="51" stopIfTrue="1" operator="lessThanOrEqual">
      <formula>0</formula>
    </cfRule>
  </conditionalFormatting>
  <conditionalFormatting sqref="I51">
    <cfRule type="cellIs" dxfId="454" priority="63" stopIfTrue="1" operator="greaterThan">
      <formula>$F$64</formula>
    </cfRule>
    <cfRule type="cellIs" dxfId="453" priority="64" stopIfTrue="1" operator="lessThanOrEqual">
      <formula>0</formula>
    </cfRule>
    <cfRule type="cellIs" dxfId="452" priority="65" stopIfTrue="1" operator="greaterThan">
      <formula>$F$66</formula>
    </cfRule>
    <cfRule type="cellIs" dxfId="451" priority="66" stopIfTrue="1" operator="lessThanOrEqual">
      <formula>0</formula>
    </cfRule>
    <cfRule type="cellIs" dxfId="450" priority="67" stopIfTrue="1" operator="greaterThan">
      <formula>$F$64</formula>
    </cfRule>
    <cfRule type="cellIs" dxfId="449" priority="68" stopIfTrue="1" operator="lessThanOrEqual">
      <formula>0</formula>
    </cfRule>
  </conditionalFormatting>
  <conditionalFormatting sqref="I52">
    <cfRule type="cellIs" dxfId="448" priority="89" stopIfTrue="1" operator="greaterThan">
      <formula>$F$64</formula>
    </cfRule>
    <cfRule type="cellIs" dxfId="447" priority="90" stopIfTrue="1" operator="lessThanOrEqual">
      <formula>0</formula>
    </cfRule>
    <cfRule type="cellIs" dxfId="446" priority="91" stopIfTrue="1" operator="greaterThan">
      <formula>$F$66</formula>
    </cfRule>
    <cfRule type="cellIs" dxfId="445" priority="92" stopIfTrue="1" operator="lessThanOrEqual">
      <formula>0</formula>
    </cfRule>
    <cfRule type="cellIs" dxfId="444" priority="93" stopIfTrue="1" operator="greaterThan">
      <formula>$F$64</formula>
    </cfRule>
    <cfRule type="cellIs" dxfId="443" priority="94" stopIfTrue="1" operator="lessThanOrEqual">
      <formula>0</formula>
    </cfRule>
  </conditionalFormatting>
  <conditionalFormatting sqref="I53">
    <cfRule type="cellIs" dxfId="442" priority="30" stopIfTrue="1" operator="greaterThan">
      <formula>$F$66</formula>
    </cfRule>
    <cfRule type="cellIs" dxfId="441" priority="31" stopIfTrue="1" operator="lessThanOrEqual">
      <formula>0</formula>
    </cfRule>
    <cfRule type="cellIs" dxfId="440" priority="32" stopIfTrue="1" operator="greaterThan">
      <formula>$F$68</formula>
    </cfRule>
    <cfRule type="cellIs" dxfId="439" priority="33" stopIfTrue="1" operator="lessThanOrEqual">
      <formula>0</formula>
    </cfRule>
    <cfRule type="cellIs" dxfId="438" priority="34" stopIfTrue="1" operator="greaterThan">
      <formula>$F$66</formula>
    </cfRule>
    <cfRule type="cellIs" dxfId="437" priority="35" stopIfTrue="1" operator="lessThanOrEqual">
      <formula>0</formula>
    </cfRule>
  </conditionalFormatting>
  <conditionalFormatting sqref="I54:I55">
    <cfRule type="cellIs" dxfId="436" priority="102" stopIfTrue="1" operator="greaterThan">
      <formula>$F$64</formula>
    </cfRule>
    <cfRule type="cellIs" dxfId="435" priority="103" stopIfTrue="1" operator="lessThanOrEqual">
      <formula>0</formula>
    </cfRule>
    <cfRule type="cellIs" dxfId="434" priority="104" stopIfTrue="1" operator="greaterThan">
      <formula>$F$66</formula>
    </cfRule>
    <cfRule type="cellIs" dxfId="433" priority="105" stopIfTrue="1" operator="lessThanOrEqual">
      <formula>0</formula>
    </cfRule>
    <cfRule type="cellIs" dxfId="432" priority="106" stopIfTrue="1" operator="greaterThan">
      <formula>$F$64</formula>
    </cfRule>
    <cfRule type="cellIs" dxfId="431" priority="107" stopIfTrue="1" operator="lessThanOrEqual">
      <formula>0</formula>
    </cfRule>
  </conditionalFormatting>
  <conditionalFormatting sqref="I56:I57">
    <cfRule type="cellIs" dxfId="430" priority="138" stopIfTrue="1" operator="greaterThan">
      <formula>#REF!</formula>
    </cfRule>
    <cfRule type="cellIs" dxfId="429" priority="139" stopIfTrue="1" operator="lessThanOrEqual">
      <formula>0</formula>
    </cfRule>
    <cfRule type="cellIs" dxfId="428" priority="140" stopIfTrue="1" operator="greaterThan">
      <formula>#REF!</formula>
    </cfRule>
    <cfRule type="cellIs" dxfId="427" priority="141" stopIfTrue="1" operator="lessThanOrEqual">
      <formula>0</formula>
    </cfRule>
  </conditionalFormatting>
  <conditionalFormatting sqref="I58">
    <cfRule type="cellIs" dxfId="426" priority="150" stopIfTrue="1" operator="greaterThan">
      <formula>$F$32</formula>
    </cfRule>
    <cfRule type="cellIs" dxfId="425" priority="151" stopIfTrue="1" operator="lessThanOrEqual">
      <formula>0</formula>
    </cfRule>
    <cfRule type="cellIs" dxfId="424" priority="152" stopIfTrue="1" operator="greaterThan">
      <formula>$F$34</formula>
    </cfRule>
    <cfRule type="cellIs" dxfId="423" priority="153" stopIfTrue="1" operator="lessThanOrEqual">
      <formula>0</formula>
    </cfRule>
    <cfRule type="cellIs" dxfId="422" priority="154" stopIfTrue="1" operator="greaterThan">
      <formula>$F$32</formula>
    </cfRule>
    <cfRule type="cellIs" dxfId="421" priority="155" stopIfTrue="1" operator="lessThanOrEqual">
      <formula>0</formula>
    </cfRule>
  </conditionalFormatting>
  <conditionalFormatting sqref="I59:I60">
    <cfRule type="cellIs" dxfId="420" priority="126" stopIfTrue="1" operator="greaterThan">
      <formula>#REF!</formula>
    </cfRule>
    <cfRule type="cellIs" dxfId="419" priority="127" stopIfTrue="1" operator="lessThanOrEqual">
      <formula>0</formula>
    </cfRule>
    <cfRule type="cellIs" dxfId="418" priority="128" stopIfTrue="1" operator="greaterThan">
      <formula>#REF!</formula>
    </cfRule>
    <cfRule type="cellIs" dxfId="417" priority="129" stopIfTrue="1" operator="lessThanOrEqual">
      <formula>0</formula>
    </cfRule>
  </conditionalFormatting>
  <conditionalFormatting sqref="I75:I83">
    <cfRule type="cellIs" dxfId="416" priority="178" stopIfTrue="1" operator="greaterThan">
      <formula>4.5</formula>
    </cfRule>
    <cfRule type="cellIs" dxfId="415" priority="179" stopIfTrue="1" operator="lessThanOrEqual">
      <formula>0</formula>
    </cfRule>
  </conditionalFormatting>
  <conditionalFormatting sqref="I10:J19">
    <cfRule type="cellIs" dxfId="414" priority="11" operator="lessThan">
      <formula>97.9</formula>
    </cfRule>
  </conditionalFormatting>
  <conditionalFormatting sqref="J22:J24">
    <cfRule type="cellIs" dxfId="413" priority="25" operator="lessThan">
      <formula>97.95</formula>
    </cfRule>
  </conditionalFormatting>
  <conditionalFormatting sqref="J23:J26">
    <cfRule type="cellIs" dxfId="412" priority="160" operator="lessThan">
      <formula>97.4</formula>
    </cfRule>
  </conditionalFormatting>
  <conditionalFormatting sqref="J27:J28">
    <cfRule type="cellIs" dxfId="411" priority="161" operator="lessThan">
      <formula>98</formula>
    </cfRule>
  </conditionalFormatting>
  <conditionalFormatting sqref="J29:J30">
    <cfRule type="cellIs" dxfId="410" priority="162" stopIfTrue="1" operator="lessThan">
      <formula>96.8</formula>
    </cfRule>
    <cfRule type="cellIs" dxfId="409" priority="163" stopIfTrue="1" operator="greaterThan">
      <formula>100</formula>
    </cfRule>
  </conditionalFormatting>
  <conditionalFormatting sqref="J29:J31">
    <cfRule type="cellIs" dxfId="408" priority="164" operator="lessThan">
      <formula>98</formula>
    </cfRule>
  </conditionalFormatting>
  <conditionalFormatting sqref="J60">
    <cfRule type="cellIs" dxfId="407" priority="114" stopIfTrue="1" operator="greaterThan">
      <formula>#REF!</formula>
    </cfRule>
    <cfRule type="cellIs" dxfId="406" priority="115" stopIfTrue="1" operator="lessThanOrEqual">
      <formula>0</formula>
    </cfRule>
    <cfRule type="cellIs" dxfId="405" priority="116" stopIfTrue="1" operator="greaterThan">
      <formula>#REF!</formula>
    </cfRule>
    <cfRule type="cellIs" dxfId="404" priority="117" stopIfTrue="1" operator="lessThanOrEqual">
      <formula>0</formula>
    </cfRule>
    <cfRule type="cellIs" dxfId="403" priority="118" stopIfTrue="1" operator="greaterThan">
      <formula>#REF!</formula>
    </cfRule>
    <cfRule type="cellIs" dxfId="402" priority="119" stopIfTrue="1" operator="lessThanOrEqual">
      <formula>0</formula>
    </cfRule>
    <cfRule type="cellIs" dxfId="401" priority="120" stopIfTrue="1" operator="greaterThan">
      <formula>#REF!</formula>
    </cfRule>
    <cfRule type="cellIs" dxfId="400" priority="121" stopIfTrue="1" operator="lessThanOrEqual">
      <formula>0</formula>
    </cfRule>
  </conditionalFormatting>
  <conditionalFormatting sqref="J73">
    <cfRule type="cellIs" dxfId="399" priority="53" stopIfTrue="1" operator="greaterThan">
      <formula>$F73</formula>
    </cfRule>
    <cfRule type="cellIs" dxfId="398" priority="54" stopIfTrue="1" operator="lessThanOrEqual">
      <formula>0</formula>
    </cfRule>
  </conditionalFormatting>
  <conditionalFormatting sqref="K10:K19">
    <cfRule type="cellIs" dxfId="397" priority="12" operator="greaterThan">
      <formula>6</formula>
    </cfRule>
    <cfRule type="cellIs" dxfId="396" priority="13" operator="lessThan">
      <formula>4</formula>
    </cfRule>
    <cfRule type="cellIs" dxfId="395" priority="14" operator="greaterThan">
      <formula>6.4</formula>
    </cfRule>
  </conditionalFormatting>
  <conditionalFormatting sqref="K51:K60">
    <cfRule type="cellIs" dxfId="394" priority="99" stopIfTrue="1" operator="lessThan">
      <formula>100%</formula>
    </cfRule>
  </conditionalFormatting>
  <conditionalFormatting sqref="K64:K72">
    <cfRule type="cellIs" dxfId="393" priority="43" stopIfTrue="1" operator="lessThan">
      <formula>100%</formula>
    </cfRule>
  </conditionalFormatting>
  <conditionalFormatting sqref="K75:K80">
    <cfRule type="cellIs" dxfId="392" priority="184" stopIfTrue="1" operator="lessThan">
      <formula>100%</formula>
    </cfRule>
  </conditionalFormatting>
  <conditionalFormatting sqref="K82:K83">
    <cfRule type="cellIs" dxfId="391" priority="191" stopIfTrue="1" operator="lessThan">
      <formula>100%</formula>
    </cfRule>
  </conditionalFormatting>
  <conditionalFormatting sqref="L10:L19">
    <cfRule type="cellIs" dxfId="390" priority="15" operator="between">
      <formula>61</formula>
      <formula>65</formula>
    </cfRule>
    <cfRule type="cellIs" dxfId="389" priority="16" operator="greaterThan">
      <formula>65</formula>
    </cfRule>
  </conditionalFormatting>
  <conditionalFormatting sqref="L22:M33">
    <cfRule type="cellIs" dxfId="388" priority="24" operator="lessThan">
      <formula>97.95</formula>
    </cfRule>
  </conditionalFormatting>
  <conditionalFormatting sqref="L37:N37">
    <cfRule type="cellIs" dxfId="387" priority="22" operator="notEqual">
      <formula>#REF!</formula>
    </cfRule>
  </conditionalFormatting>
  <conditionalFormatting sqref="L64:N73">
    <cfRule type="cellIs" dxfId="386" priority="40" stopIfTrue="1" operator="lessThan">
      <formula>100%</formula>
    </cfRule>
  </conditionalFormatting>
  <conditionalFormatting sqref="L75:N83">
    <cfRule type="cellIs" dxfId="385" priority="169" stopIfTrue="1" operator="lessThan">
      <formula>100%</formula>
    </cfRule>
  </conditionalFormatting>
  <conditionalFormatting sqref="M19">
    <cfRule type="expression" dxfId="384" priority="19">
      <formula>IF(+(IF(M19&lt;U19,0,IF(M19&gt;V19,0,1)))=0,1)</formula>
    </cfRule>
  </conditionalFormatting>
  <conditionalFormatting sqref="N10:N19">
    <cfRule type="expression" dxfId="383" priority="23">
      <formula>IF(+(IF(N10&lt;W10,0,IF(N10&gt;X10,0,1)))=0,1)</formula>
    </cfRule>
  </conditionalFormatting>
  <conditionalFormatting sqref="P6">
    <cfRule type="cellIs" dxfId="382" priority="165" operator="greaterThanOrEqual">
      <formula>19</formula>
    </cfRule>
  </conditionalFormatting>
  <dataValidations count="1">
    <dataValidation type="list" allowBlank="1" showInputMessage="1" showErrorMessage="1" sqref="R8" xr:uid="{1F484ADC-9E53-4919-A3D5-733399EB16A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0909-350A-4AD5-817B-F9494AD15391}">
  <sheetPr>
    <pageSetUpPr fitToPage="1"/>
  </sheetPr>
  <dimension ref="A1:BE78"/>
  <sheetViews>
    <sheetView topLeftCell="A9" zoomScale="85" zoomScaleNormal="85" workbookViewId="0">
      <selection activeCell="G30" sqref="G30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46289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[3]Brewhouse!$A769</f>
        <v>CA720</v>
      </c>
      <c r="D10" s="279">
        <f>[3]Brewhouse!$AF769</f>
        <v>49.5</v>
      </c>
      <c r="E10" s="279">
        <f>[3]Brewhouse!$AI769</f>
        <v>50</v>
      </c>
      <c r="F10" s="278">
        <f>[3]Brewhouse!$V769</f>
        <v>56</v>
      </c>
      <c r="G10" s="279">
        <f>[3]Brewhouse!AG769</f>
        <v>11.9</v>
      </c>
      <c r="H10" s="396">
        <v>11.9</v>
      </c>
      <c r="I10" s="368">
        <f>[3]Brewhouse!$AU769</f>
        <v>98.344995127617665</v>
      </c>
      <c r="J10" s="368">
        <f>[3]Brewhouse!$AV769</f>
        <v>99.452240385302474</v>
      </c>
      <c r="K10" s="281">
        <f>[3]Brewhouse!$Q769</f>
        <v>9.8336414048059151</v>
      </c>
      <c r="L10" s="276">
        <f>[3]Brewhouse!$P769</f>
        <v>57</v>
      </c>
      <c r="M10" s="374">
        <f>[3]Brewhouse!$U769-[3]Brewhouse!$T769</f>
        <v>0.10625000000000001</v>
      </c>
      <c r="N10" s="370">
        <f>[3]Brewhouse!$Z769</f>
        <v>0.27152777777777781</v>
      </c>
      <c r="O10" s="420" t="str">
        <f>[3]Brewhouse!$AX769</f>
        <v>R. Sookram</v>
      </c>
      <c r="P10" s="418"/>
      <c r="R10" s="277" t="str">
        <f t="shared" ref="R10:R19" si="0">B10</f>
        <v>CARIB</v>
      </c>
      <c r="S10" s="472">
        <f t="shared" ref="S10:S19" si="1">VLOOKUP($B10,$R$3:$X$9,2,FALSE)</f>
        <v>11.6</v>
      </c>
      <c r="T10" s="472">
        <f t="shared" ref="T10:T19" si="2">VLOOKUP($B10,$R$3:$X$9,3,FALSE)</f>
        <v>12</v>
      </c>
      <c r="U10" s="297">
        <f t="shared" ref="U10:U19" si="3">VLOOKUP($B10,$R$3:$X$9,4,FALSE)</f>
        <v>0</v>
      </c>
      <c r="V10" s="297">
        <f t="shared" ref="V10:V19" si="4">VLOOKUP($B10,$R$3:$X$9,5,FALSE)</f>
        <v>0.118055555555556</v>
      </c>
      <c r="W10" s="297">
        <f t="shared" ref="W10:W19" si="5">VLOOKUP($B10,$R$3:$X$9,6,FALSE)</f>
        <v>0.22569444444444445</v>
      </c>
      <c r="X10" s="297">
        <f t="shared" ref="X10:X19" si="6">VLOOKUP($B10,$R$3:$X$9,7,FALSE)</f>
        <v>0.2638888888888889</v>
      </c>
      <c r="Y10" s="297">
        <f t="shared" ref="Y10:Y19" si="7">VLOOKUP($B10,$R$3:$Z$9,8,FALSE)</f>
        <v>0</v>
      </c>
      <c r="Z10" s="472">
        <f t="shared" ref="Z10:Z19" si="8">VLOOKUP($B10,$R$3:$Z$9,9,FALSE)</f>
        <v>60</v>
      </c>
    </row>
    <row r="11" spans="2:29" ht="15" customHeight="1">
      <c r="B11" s="29" t="s">
        <v>6</v>
      </c>
      <c r="C11" s="366" t="str">
        <f>[3]Brewhouse!$A770</f>
        <v>CA721</v>
      </c>
      <c r="D11" s="279">
        <f>[3]Brewhouse!$AF770</f>
        <v>49.9</v>
      </c>
      <c r="E11" s="279">
        <f>[3]Brewhouse!$AI770</f>
        <v>50.5</v>
      </c>
      <c r="F11" s="278">
        <f>[3]Brewhouse!$V770</f>
        <v>68</v>
      </c>
      <c r="G11" s="279">
        <f>[3]Brewhouse!AG770</f>
        <v>11.9</v>
      </c>
      <c r="H11" s="493">
        <v>12.3</v>
      </c>
      <c r="I11" s="368">
        <f>[3]Brewhouse!$AU770</f>
        <v>99.451654839471487</v>
      </c>
      <c r="J11" s="368">
        <f>[3]Brewhouse!$AV770</f>
        <v>100.57128617533446</v>
      </c>
      <c r="K11" s="281">
        <f>[3]Brewhouse!$Q770</f>
        <v>9.6666666666666643</v>
      </c>
      <c r="L11" s="276">
        <f>[3]Brewhouse!$P770</f>
        <v>61</v>
      </c>
      <c r="M11" s="374">
        <f>[3]Brewhouse!$U770-[3]Brewhouse!$T770</f>
        <v>0.11736111111111108</v>
      </c>
      <c r="N11" s="370">
        <f>[3]Brewhouse!$Z770</f>
        <v>0.25902777777777775</v>
      </c>
      <c r="O11" s="420" t="str">
        <f>[3]Brewhouse!$AX770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[3]Brewhouse!$A771</f>
        <v>CA722</v>
      </c>
      <c r="D12" s="279">
        <f>[3]Brewhouse!$AF771</f>
        <v>50.4</v>
      </c>
      <c r="E12" s="279">
        <f>[3]Brewhouse!$AI771</f>
        <v>51</v>
      </c>
      <c r="F12" s="278">
        <f>[3]Brewhouse!$V771</f>
        <v>59</v>
      </c>
      <c r="G12" s="279">
        <f>[3]Brewhouse!AG771</f>
        <v>11.9</v>
      </c>
      <c r="H12" s="493">
        <v>12.2</v>
      </c>
      <c r="I12" s="368">
        <f>[3]Brewhouse!$AU771</f>
        <v>100.31189503016999</v>
      </c>
      <c r="J12" s="368">
        <f>[3]Brewhouse!$AV771</f>
        <v>101.4412851930085</v>
      </c>
      <c r="K12" s="281">
        <f>[3]Brewhouse!$Q771</f>
        <v>9.4814814814814774</v>
      </c>
      <c r="L12" s="276">
        <f>[3]Brewhouse!$P771</f>
        <v>60</v>
      </c>
      <c r="M12" s="374">
        <f>[3]Brewhouse!$U771-[3]Brewhouse!$T771</f>
        <v>0.11041666666666661</v>
      </c>
      <c r="N12" s="370">
        <f>[3]Brewhouse!$Z771</f>
        <v>0.2493055555555555</v>
      </c>
      <c r="O12" s="420" t="str">
        <f>[3]Brewhouse!$AX771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[3]Brewhouse!$A772</f>
        <v>CA723</v>
      </c>
      <c r="D13" s="279">
        <f>[3]Brewhouse!$AF772</f>
        <v>48.6</v>
      </c>
      <c r="E13" s="279">
        <f>[3]Brewhouse!$AI772</f>
        <v>48.7</v>
      </c>
      <c r="F13" s="278">
        <f>[3]Brewhouse!$V772</f>
        <v>59</v>
      </c>
      <c r="G13" s="279">
        <f>[3]Brewhouse!AG772</f>
        <v>11.9</v>
      </c>
      <c r="H13" s="396">
        <v>11.9</v>
      </c>
      <c r="I13" s="368">
        <f>[3]Brewhouse!$AU772</f>
        <v>96.86810648616374</v>
      </c>
      <c r="J13" s="368">
        <f>[3]Brewhouse!$AV772</f>
        <v>97.958072410159915</v>
      </c>
      <c r="K13" s="281">
        <f>[3]Brewhouse!$Q772</f>
        <v>12.975970425138639</v>
      </c>
      <c r="L13" s="276">
        <f>[3]Brewhouse!$P772</f>
        <v>59</v>
      </c>
      <c r="M13" s="374">
        <f>[3]Brewhouse!$U772-[3]Brewhouse!$T772</f>
        <v>0.11388888888888893</v>
      </c>
      <c r="N13" s="370">
        <f>[3]Brewhouse!$Z772</f>
        <v>0.25138888888888888</v>
      </c>
      <c r="O13" s="420" t="str">
        <f>[3]Brewhouse!$AX772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[3]Brewhouse!$A773</f>
        <v>CA724</v>
      </c>
      <c r="D14" s="279">
        <f>[3]Brewhouse!$AF773</f>
        <v>50.9</v>
      </c>
      <c r="E14" s="279">
        <f>[3]Brewhouse!$AI773</f>
        <v>51.5</v>
      </c>
      <c r="F14" s="278">
        <f>[3]Brewhouse!$V773</f>
        <v>60</v>
      </c>
      <c r="G14" s="279">
        <f>[3]Brewhouse!AG773</f>
        <v>12</v>
      </c>
      <c r="H14" s="396">
        <v>11.9</v>
      </c>
      <c r="I14" s="368">
        <f>[3]Brewhouse!$AU773</f>
        <v>99.961185685422222</v>
      </c>
      <c r="J14" s="368">
        <f>[3]Brewhouse!$AV773</f>
        <v>101.08792764347305</v>
      </c>
      <c r="K14" s="281">
        <f>[3]Brewhouse!$Q773</f>
        <v>11.682070240295749</v>
      </c>
      <c r="L14" s="276">
        <f>[3]Brewhouse!$P773</f>
        <v>61</v>
      </c>
      <c r="M14" s="374">
        <f>[3]Brewhouse!$U773-[3]Brewhouse!$T773</f>
        <v>0.11319444444444438</v>
      </c>
      <c r="N14" s="370">
        <f>[3]Brewhouse!$Z773</f>
        <v>0.25069444444444444</v>
      </c>
      <c r="O14" s="420" t="str">
        <f>[3]Brewhouse!$AX773</f>
        <v>R. Regis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[3]Brewhouse!$A774</f>
        <v>CA725</v>
      </c>
      <c r="D15" s="279">
        <f>[3]Brewhouse!$AF774</f>
        <v>50.6</v>
      </c>
      <c r="E15" s="279">
        <f>[3]Brewhouse!$AI774</f>
        <v>51.2</v>
      </c>
      <c r="F15" s="278">
        <f>[3]Brewhouse!$V774</f>
        <v>56</v>
      </c>
      <c r="G15" s="279">
        <f>[3]Brewhouse!AG774</f>
        <v>11.8</v>
      </c>
      <c r="H15" s="396">
        <v>11.8</v>
      </c>
      <c r="I15" s="368">
        <f>[3]Brewhouse!$AU774</f>
        <v>99.939323457500208</v>
      </c>
      <c r="J15" s="368">
        <f>[3]Brewhouse!$AV774</f>
        <v>101.06444498924922</v>
      </c>
      <c r="K15" s="281">
        <f>[3]Brewhouse!$Q774</f>
        <v>10.757855822550832</v>
      </c>
      <c r="L15" s="276">
        <f>[3]Brewhouse!$P774</f>
        <v>60</v>
      </c>
      <c r="M15" s="374">
        <f>[3]Brewhouse!$U774-[3]Brewhouse!$T774</f>
        <v>0.11041666666666661</v>
      </c>
      <c r="N15" s="370">
        <f>[3]Brewhouse!$Z774</f>
        <v>0.24513888888888891</v>
      </c>
      <c r="O15" s="420" t="str">
        <f>[3]Brewhouse!$AX774</f>
        <v>R. Regis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[3]Brewhouse!$A775</f>
        <v>CA726</v>
      </c>
      <c r="D16" s="279">
        <f>[3]Brewhouse!$AF775</f>
        <v>49.6</v>
      </c>
      <c r="E16" s="279">
        <f>[3]Brewhouse!$AI775</f>
        <v>50.9</v>
      </c>
      <c r="F16" s="278">
        <f>[3]Brewhouse!$V775</f>
        <v>55</v>
      </c>
      <c r="G16" s="279">
        <f>[3]Brewhouse!AG775</f>
        <v>11.9</v>
      </c>
      <c r="H16" s="396">
        <v>11.9</v>
      </c>
      <c r="I16" s="368">
        <f>[3]Brewhouse!$AU775</f>
        <v>99.86775451447069</v>
      </c>
      <c r="J16" s="368">
        <f>[3]Brewhouse!$AV775</f>
        <v>100.99229139587653</v>
      </c>
      <c r="K16" s="281">
        <f>[3]Brewhouse!$Q775</f>
        <v>11.127541589648803</v>
      </c>
      <c r="L16" s="276">
        <f>[3]Brewhouse!$P775</f>
        <v>62</v>
      </c>
      <c r="M16" s="374">
        <f>[3]Brewhouse!$U775-[3]Brewhouse!$T775</f>
        <v>0.1069444444444444</v>
      </c>
      <c r="N16" s="370">
        <f>[3]Brewhouse!$Z775</f>
        <v>0.23958333333333326</v>
      </c>
      <c r="O16" s="420" t="str">
        <f>[3]Brewhouse!$AX775</f>
        <v>R. Regis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 customHeight="1">
      <c r="B17" s="29" t="s">
        <v>6</v>
      </c>
      <c r="C17" s="366" t="str">
        <f>[3]Brewhouse!$A776</f>
        <v>CA727</v>
      </c>
      <c r="D17" s="279">
        <f>[3]Brewhouse!$AF776</f>
        <v>50.2</v>
      </c>
      <c r="E17" s="279">
        <f>[3]Brewhouse!$AI776</f>
        <v>50.8</v>
      </c>
      <c r="F17" s="278">
        <f>[3]Brewhouse!$V776</f>
        <v>58</v>
      </c>
      <c r="G17" s="279">
        <f>[3]Brewhouse!AG776</f>
        <v>11.8</v>
      </c>
      <c r="H17" s="396">
        <v>11.8</v>
      </c>
      <c r="I17" s="368">
        <f>[3]Brewhouse!$AU776</f>
        <v>98.790918499925468</v>
      </c>
      <c r="J17" s="368">
        <f>[3]Brewhouse!$AV776</f>
        <v>99.903329927830626</v>
      </c>
      <c r="K17" s="281">
        <f>[3]Brewhouse!$Q776</f>
        <v>11.497227356746762</v>
      </c>
      <c r="L17" s="276">
        <f>[3]Brewhouse!$P776</f>
        <v>58</v>
      </c>
      <c r="M17" s="374">
        <f>[3]Brewhouse!$U776-[3]Brewhouse!$T776</f>
        <v>0.12291666666666656</v>
      </c>
      <c r="N17" s="370">
        <f>[3]Brewhouse!$Z776</f>
        <v>0.25902777777777775</v>
      </c>
      <c r="O17" s="420" t="str">
        <f>[3]Brewhouse!$AX776</f>
        <v>R. Regis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ref="R20:R38" si="9">B20</f>
        <v>0</v>
      </c>
      <c r="S20" s="472" t="e">
        <f t="shared" ref="S20:S38" si="10">VLOOKUP($B20,$R$3:$X$9,2,FALSE)</f>
        <v>#N/A</v>
      </c>
      <c r="T20" s="472" t="e">
        <f t="shared" ref="T20:T38" si="11">VLOOKUP($B20,$R$3:$X$9,3,FALSE)</f>
        <v>#N/A</v>
      </c>
      <c r="U20" s="297" t="e">
        <f t="shared" ref="U20:U38" si="12">VLOOKUP($B20,$R$3:$X$9,4,FALSE)</f>
        <v>#N/A</v>
      </c>
      <c r="V20" s="297" t="e">
        <f t="shared" ref="V20:V38" si="13">VLOOKUP($B20,$R$3:$X$9,5,FALSE)</f>
        <v>#N/A</v>
      </c>
      <c r="W20" s="297" t="e">
        <f t="shared" ref="W20:W38" si="14">VLOOKUP($B20,$R$3:$X$9,6,FALSE)</f>
        <v>#N/A</v>
      </c>
      <c r="X20" s="297" t="e">
        <f t="shared" ref="X20:X38" si="15">VLOOKUP($B20,$R$3:$X$9,7,FALSE)</f>
        <v>#N/A</v>
      </c>
      <c r="Y20" s="297" t="e">
        <f t="shared" ref="Y20:Y38" si="16">VLOOKUP($B20,$R$3:$Z$9,8,FALSE)</f>
        <v>#N/A</v>
      </c>
      <c r="Z20" s="472" t="e">
        <f t="shared" ref="Z20:Z38" si="17">VLOOKUP($B20,$R$3:$Z$9,9,FALSE)</f>
        <v>#N/A</v>
      </c>
    </row>
    <row r="21" spans="1:26" ht="1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6" ht="1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5" hidden="1" customHeight="1">
      <c r="B24" s="36"/>
      <c r="C24" s="366"/>
      <c r="D24" s="279"/>
      <c r="E24" s="279"/>
      <c r="F24" s="278"/>
      <c r="G24" s="279"/>
      <c r="H24" s="396"/>
      <c r="I24" s="489"/>
      <c r="J24" s="489"/>
      <c r="K24" s="490"/>
      <c r="L24" s="276"/>
      <c r="M24" s="374"/>
      <c r="N24" s="370"/>
      <c r="O24" s="420"/>
      <c r="P24" s="418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7.25" customHeight="1" thickBot="1">
      <c r="B25" s="358"/>
      <c r="C25" s="358"/>
      <c r="D25" s="358"/>
      <c r="E25" s="358"/>
      <c r="F25" s="294"/>
      <c r="G25" s="294"/>
      <c r="H25" s="348"/>
      <c r="I25" s="534"/>
      <c r="J25" s="534"/>
      <c r="K25" s="534"/>
      <c r="L25" s="534"/>
      <c r="M25" s="534"/>
      <c r="N25" s="534"/>
      <c r="O25" s="1"/>
      <c r="P25" s="12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7.25" customHeight="1" thickBot="1">
      <c r="B26" s="483" t="s">
        <v>162</v>
      </c>
      <c r="C26" s="388"/>
      <c r="D26" s="535" t="s">
        <v>35</v>
      </c>
      <c r="E26" s="536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7.25" customHeight="1">
      <c r="A27" s="28"/>
      <c r="B27" s="537"/>
      <c r="C27" s="484"/>
      <c r="D27" s="522"/>
      <c r="E27" s="523"/>
      <c r="F27" s="294"/>
      <c r="G27" s="294"/>
      <c r="H27" s="348"/>
      <c r="I27" s="29" t="s">
        <v>6</v>
      </c>
      <c r="J27" s="323">
        <f>AVERAGE(I10:I18)</f>
        <v>99.191979205092679</v>
      </c>
      <c r="K27" s="284">
        <f>COUNTA([3]Brewhouse!$A$696:$A$777)</f>
        <v>82</v>
      </c>
      <c r="L27" s="305">
        <f>AVERAGE([3]Brewhouse!$AU$696:$AU$777)</f>
        <v>98.708609088551611</v>
      </c>
      <c r="M27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$777)</f>
        <v>98.333279100756897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5" customHeight="1">
      <c r="A28" s="28"/>
      <c r="B28" s="538"/>
      <c r="C28" s="362"/>
      <c r="D28" s="524"/>
      <c r="E28" s="525"/>
      <c r="F28" s="294"/>
      <c r="G28" s="294"/>
      <c r="H28" s="348"/>
      <c r="I28" s="33" t="s">
        <v>9</v>
      </c>
      <c r="J28" s="323"/>
      <c r="K28" s="284">
        <f>COUNTA([4]Brewhouse!$A$363:$A$380)</f>
        <v>18</v>
      </c>
      <c r="L28" s="302">
        <f>AVERAGE([4]Brewhouse!$AS$363:$AS$380)</f>
        <v>99.237321929974939</v>
      </c>
      <c r="M28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AVERAGE([4]Brewhouse!$AS$52:$AS$81,[4]Brewhouse!$AS$83:$AS$124,[4]Brewhouse!$AS$134:$AS$177,[4]Brewhouse!$AS$22:$AS$179,[4]Brewhouse!$AS$214:$AS$249,[4]Brewhouse!$AS$252:$AS$293,[4]Brewhouse!$AS$295:$AS$325,[4]Brewhouse!$AS$327:$AS$361,[4]Brewhouse!$AS$363:$AS$380)</f>
        <v>98.280844420420635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4.65" customHeight="1">
      <c r="A29" s="28"/>
      <c r="B29" s="538"/>
      <c r="C29" s="362"/>
      <c r="D29" s="529"/>
      <c r="E29" s="530"/>
      <c r="F29" s="294"/>
      <c r="G29" s="294"/>
      <c r="H29" s="348"/>
      <c r="I29" s="34" t="s">
        <v>12</v>
      </c>
      <c r="J29" s="323"/>
      <c r="K29" s="284">
        <f>COUNTA([5]Brewhouse!$A$99:$A$106)</f>
        <v>8</v>
      </c>
      <c r="L29" s="302">
        <f>AVERAGE([5]Brewhouse!$AU$99:$AU$106)</f>
        <v>96.462109124412379</v>
      </c>
      <c r="M29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65" customHeight="1">
      <c r="A30" s="28"/>
      <c r="B30" s="538"/>
      <c r="C30" s="362"/>
      <c r="D30" s="531"/>
      <c r="E30" s="525"/>
      <c r="F30" s="294"/>
      <c r="G30" s="294"/>
      <c r="H30" s="348"/>
      <c r="I30" s="22" t="s">
        <v>33</v>
      </c>
      <c r="J30" s="280"/>
      <c r="K30" s="284"/>
      <c r="L30" s="302"/>
      <c r="M30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65" customHeight="1">
      <c r="A31" s="28"/>
      <c r="B31" s="538"/>
      <c r="C31" s="362"/>
      <c r="D31" s="529"/>
      <c r="E31" s="530"/>
      <c r="F31" s="294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65" customHeight="1">
      <c r="A32" s="28"/>
      <c r="B32" s="538"/>
      <c r="C32" s="362"/>
      <c r="D32" s="531"/>
      <c r="E32" s="525"/>
      <c r="F32" s="417"/>
      <c r="G32" s="294"/>
      <c r="H32" s="348"/>
      <c r="I32" s="36" t="s">
        <v>15</v>
      </c>
      <c r="J32" s="323"/>
      <c r="K32" s="284">
        <f>COUNTA([7]Brewhouse!$A$23:$A$30)</f>
        <v>8</v>
      </c>
      <c r="L32" s="302">
        <f>AVERAGE([7]Brewhouse!$AT$23:$AT$30)</f>
        <v>96.065914782338609</v>
      </c>
      <c r="M32" s="302">
        <f>AVERAGE([7]Brewhouse!$AT$4:$AT$11,[7]Brewhouse!$AT$13:$AT$16,[7]Brewhouse!$AT$18:$AT$30)</f>
        <v>93.22262799886262</v>
      </c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65" customHeight="1">
      <c r="A33" s="28"/>
      <c r="B33" s="538"/>
      <c r="C33" s="362"/>
      <c r="D33" s="529"/>
      <c r="E33" s="530"/>
      <c r="F33" s="417"/>
      <c r="G33" s="294"/>
      <c r="H33" s="348"/>
      <c r="I33" s="37" t="s">
        <v>16</v>
      </c>
      <c r="J33" s="323"/>
      <c r="K33" s="284"/>
      <c r="L33" s="302"/>
      <c r="M33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3" s="30">
        <v>98</v>
      </c>
      <c r="O33" s="11"/>
      <c r="P33" s="31" t="s">
        <v>41</v>
      </c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56" ht="14.65" customHeight="1">
      <c r="A34" s="28"/>
      <c r="B34" s="538"/>
      <c r="C34" s="362"/>
      <c r="D34" s="531"/>
      <c r="E34" s="525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</row>
    <row r="35" spans="1:56" ht="14.65" customHeight="1">
      <c r="A35" s="28"/>
      <c r="B35" s="538"/>
      <c r="C35" s="362"/>
      <c r="D35" s="529"/>
      <c r="E35" s="530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" customHeight="1" thickBot="1">
      <c r="A36" s="28"/>
      <c r="B36" s="538"/>
      <c r="C36" s="362"/>
      <c r="D36" s="531"/>
      <c r="E36" s="525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" customHeight="1" thickBot="1">
      <c r="A37" s="28"/>
      <c r="B37" s="538"/>
      <c r="C37" s="349"/>
      <c r="D37" s="522"/>
      <c r="E37" s="523"/>
      <c r="F37" s="294"/>
      <c r="G37" s="294"/>
      <c r="H37" s="348"/>
      <c r="I37" s="1"/>
      <c r="J37" s="39"/>
      <c r="K37" s="404">
        <f>SUM(K27:K36)</f>
        <v>116</v>
      </c>
      <c r="L37" s="405">
        <f>((L27*K27)+(L28*K28)+(L29*K29)+(L30*K30)+(L31*K31)+(K34*L34)+(L32*K32)+(L33*K33)+(L36*K36))/(K37)</f>
        <v>98.45346492461023</v>
      </c>
      <c r="M37" s="405">
        <f>AVERAGE('[9]Jan30th-31st'!$L$42,'[10]Feb 27th-28th'!$L$45,'[11]Mar 31st'!$L$42,'[12]Apr 30th'!$L$41,'[13]May 29th '!$L$35,'[14]June 30th'!$L$32,[15]July31st!$L$36,'[16]Aug 31st'!$L$32,L37)</f>
        <v>98.042160359468724</v>
      </c>
      <c r="N37" s="40">
        <v>98</v>
      </c>
      <c r="O37" s="11"/>
      <c r="P37" s="31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  <c r="AA37" s="472"/>
    </row>
    <row r="38" spans="1:56" ht="15.75" thickBot="1">
      <c r="B38" s="539"/>
      <c r="C38" s="350"/>
      <c r="D38" s="524"/>
      <c r="E38" s="525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9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  <c r="AA38" s="472"/>
    </row>
    <row r="39" spans="1:56" ht="15.75" thickBot="1">
      <c r="B39" s="519"/>
      <c r="C39" s="362"/>
      <c r="D39" s="522"/>
      <c r="E39" s="523"/>
      <c r="F39" s="294"/>
      <c r="G39" s="42"/>
      <c r="H39" s="41"/>
      <c r="I39" s="42"/>
      <c r="J39" s="526" t="s">
        <v>129</v>
      </c>
      <c r="K39" s="526"/>
      <c r="L39" s="294"/>
      <c r="M39" s="294"/>
      <c r="N39" s="294"/>
      <c r="O39" s="294"/>
      <c r="P39" s="12"/>
    </row>
    <row r="40" spans="1:56" ht="15.75" thickBot="1">
      <c r="B40" s="520"/>
      <c r="C40" s="362"/>
      <c r="D40" s="524"/>
      <c r="E40" s="525"/>
      <c r="F40" s="294"/>
      <c r="G40" s="42"/>
      <c r="H40" s="42"/>
      <c r="I40" s="42"/>
      <c r="J40" s="292" t="s">
        <v>17</v>
      </c>
      <c r="K40" s="293"/>
      <c r="L40" s="527" t="s">
        <v>136</v>
      </c>
      <c r="M40" s="527"/>
      <c r="N40" s="528"/>
      <c r="O40" s="294"/>
      <c r="P40" s="12"/>
    </row>
    <row r="41" spans="1:56" ht="15" customHeight="1" thickBot="1">
      <c r="B41" s="520"/>
      <c r="C41" s="349"/>
      <c r="D41" s="529"/>
      <c r="E41" s="530"/>
      <c r="F41" s="294"/>
      <c r="G41" s="42"/>
      <c r="H41" s="42"/>
      <c r="I41" s="42"/>
      <c r="J41" s="287" t="s">
        <v>6</v>
      </c>
      <c r="K41" s="324">
        <v>8</v>
      </c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520"/>
      <c r="C42" s="349"/>
      <c r="D42" s="531"/>
      <c r="E42" s="525"/>
      <c r="F42" s="294"/>
      <c r="G42" s="42"/>
      <c r="H42" s="42"/>
      <c r="I42" s="42"/>
      <c r="J42" s="345" t="s">
        <v>9</v>
      </c>
      <c r="K42" s="324"/>
      <c r="L42" s="485">
        <f>AVERAGE('Sept 1st'!K45,'Sept 2nd'!K47,'Sept 3rd'!K44,'Sept 4th'!K46,'Sept 7th'!K48,'Sept 8th'!K48,'Sept 9th'!K50,'Sept 10th'!K49,'Sept 11th '!K45,'Sept 14th'!K45,'Sept 15th'!K48,'Sept 16th'!K51,'Sept 17th '!K52,'Sept 18th'!K42,'Sept 21st'!K48,'Sept 22nd'!K46,K51)</f>
        <v>6.7647058823529411</v>
      </c>
      <c r="M42" s="486">
        <f>AVERAGE('[9]Jan30th-31st'!$L$47,L42,'[10]Feb 26th '!$L$39,'[11]Mar 31st'!$L$47,'[12]Apr 30th'!$L$46,'[13]May 29th '!$L$40,'[14]June 30th'!$L$39,[15]July31st!$L$41,'[16]Aug 31st'!$L$37)</f>
        <v>6.4894232508043252</v>
      </c>
      <c r="N42" s="416">
        <v>9.1999999999999993</v>
      </c>
      <c r="O42" s="294"/>
      <c r="P42" s="12"/>
    </row>
    <row r="43" spans="1:56" ht="15" customHeight="1">
      <c r="B43" s="520"/>
      <c r="C43" s="349"/>
      <c r="D43" s="529"/>
      <c r="E43" s="530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20"/>
      <c r="C44" s="349"/>
      <c r="D44" s="531"/>
      <c r="E44" s="525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20"/>
      <c r="C45" s="349"/>
      <c r="D45" s="529"/>
      <c r="E45" s="530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0"/>
      <c r="C46" s="349"/>
      <c r="D46" s="531"/>
      <c r="E46" s="525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0"/>
      <c r="C47" s="349"/>
      <c r="D47" s="529"/>
      <c r="E47" s="530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21"/>
      <c r="C48" s="350"/>
      <c r="D48" s="532"/>
      <c r="E48" s="533"/>
      <c r="F48" s="294" t="s">
        <v>165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10"/>
      <c r="E49" s="511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8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42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04" t="s">
        <v>17</v>
      </c>
      <c r="C54" s="504" t="s">
        <v>44</v>
      </c>
      <c r="D54" s="513" t="s">
        <v>45</v>
      </c>
      <c r="E54" s="515" t="s">
        <v>46</v>
      </c>
      <c r="F54" s="517" t="s">
        <v>47</v>
      </c>
      <c r="G54" s="502" t="s">
        <v>48</v>
      </c>
      <c r="H54" s="504" t="s">
        <v>49</v>
      </c>
      <c r="I54" s="504" t="s">
        <v>50</v>
      </c>
      <c r="J54" s="496" t="s">
        <v>28</v>
      </c>
      <c r="K54" s="506" t="s">
        <v>51</v>
      </c>
      <c r="L54" s="508" t="s">
        <v>52</v>
      </c>
      <c r="M54" s="496" t="s">
        <v>53</v>
      </c>
      <c r="N54" s="13"/>
      <c r="O54" s="13"/>
      <c r="P54" s="50"/>
    </row>
    <row r="55" spans="2:57" ht="28.5" customHeight="1" thickTop="1" thickBot="1">
      <c r="B55" s="505"/>
      <c r="C55" s="512"/>
      <c r="D55" s="514"/>
      <c r="E55" s="516"/>
      <c r="F55" s="518"/>
      <c r="G55" s="503"/>
      <c r="H55" s="505"/>
      <c r="I55" s="505"/>
      <c r="J55" s="497"/>
      <c r="K55" s="507"/>
      <c r="L55" s="509"/>
      <c r="M55" s="497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2:57" s="54" customFormat="1" ht="36.75" customHeight="1" thickBot="1">
      <c r="B56" s="456" t="str">
        <f>J41</f>
        <v>CARIB</v>
      </c>
      <c r="C56" s="479">
        <v>46288</v>
      </c>
      <c r="D56" s="445">
        <f>[17]September_2026!$Z$3</f>
        <v>397.45</v>
      </c>
      <c r="E56" s="443"/>
      <c r="F56" s="444"/>
      <c r="G56" s="444">
        <f>[17]September_2026!$Z$7</f>
        <v>378</v>
      </c>
      <c r="H56" s="458"/>
      <c r="I56" s="458"/>
      <c r="J56" s="448" t="s">
        <v>177</v>
      </c>
      <c r="K56" s="449">
        <f>[18]September_2026!$Z$18</f>
        <v>1.3263157894736841</v>
      </c>
      <c r="L56" s="457">
        <f>(((D56+E56)-G56)/(D56+E56))*100</f>
        <v>4.8936973204176599</v>
      </c>
      <c r="M56" s="455" t="s">
        <v>176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[19]January_2019!L5</f>
        <v>0</v>
      </c>
      <c r="AC56" s="57">
        <f>[19]January_2019!M5</f>
        <v>0</v>
      </c>
      <c r="AD56" s="57">
        <f>[19]January_2019!N5</f>
        <v>0</v>
      </c>
      <c r="AE56" s="57">
        <f>[19]January_2019!O5</f>
        <v>0</v>
      </c>
      <c r="AF56" s="57">
        <f>[19]January_2019!P5</f>
        <v>0</v>
      </c>
      <c r="AG56" s="57">
        <f>[19]January_2019!Q5</f>
        <v>0</v>
      </c>
      <c r="AH56" s="57">
        <f>[19]January_2019!R5</f>
        <v>0</v>
      </c>
      <c r="AI56" s="57">
        <f>[19]January_2019!S5</f>
        <v>0</v>
      </c>
      <c r="AJ56" s="57">
        <f>[19]January_2019!T5</f>
        <v>0</v>
      </c>
      <c r="AK56" s="57">
        <f>[19]January_2019!U5</f>
        <v>0</v>
      </c>
      <c r="AL56" s="57">
        <f>[19]January_2019!V5</f>
        <v>0</v>
      </c>
      <c r="AM56" s="57">
        <f>[19]January_2019!W5</f>
        <v>0</v>
      </c>
      <c r="AN56" s="57">
        <f>[19]January_2019!X5</f>
        <v>0</v>
      </c>
      <c r="AO56" s="57">
        <f>[19]January_2019!Y5</f>
        <v>0</v>
      </c>
      <c r="AP56" s="57">
        <f>[19]January_2019!Z5</f>
        <v>0</v>
      </c>
      <c r="AQ56" s="57">
        <f>[19]January_2019!AA5</f>
        <v>0</v>
      </c>
      <c r="AR56" s="57">
        <f>[19]January_2019!AB5</f>
        <v>0</v>
      </c>
      <c r="AS56" s="57">
        <f>[19]January_2019!AC5</f>
        <v>0</v>
      </c>
      <c r="AT56" s="57">
        <f>[19]January_2019!AD5</f>
        <v>0</v>
      </c>
      <c r="AU56" s="57">
        <f>[19]January_2019!AE5</f>
        <v>0</v>
      </c>
      <c r="AV56" s="57">
        <f>[19]January_2019!AF5</f>
        <v>0</v>
      </c>
      <c r="AW56" s="57">
        <f>[19]January_2019!AG5</f>
        <v>0</v>
      </c>
      <c r="AX56" s="277">
        <f>[19]January_2019!AH5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4.25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[19]January_2019!L6</f>
        <v>0</v>
      </c>
      <c r="AC57" s="57">
        <f>[19]January_2019!M6</f>
        <v>0</v>
      </c>
      <c r="AD57" s="57">
        <f>[19]January_2019!N6</f>
        <v>0</v>
      </c>
      <c r="AE57" s="57">
        <f>[19]January_2019!O6</f>
        <v>0</v>
      </c>
      <c r="AF57" s="57">
        <f>[19]January_2019!P6</f>
        <v>0</v>
      </c>
      <c r="AG57" s="57">
        <f>[19]January_2019!Q6</f>
        <v>0</v>
      </c>
      <c r="AH57" s="57">
        <f>[19]January_2019!R6</f>
        <v>0</v>
      </c>
      <c r="AI57" s="57">
        <f>[19]January_2019!S6</f>
        <v>0</v>
      </c>
      <c r="AJ57" s="57">
        <f>[19]January_2019!T6</f>
        <v>0</v>
      </c>
      <c r="AK57" s="57">
        <f>[19]January_2019!U6</f>
        <v>0</v>
      </c>
      <c r="AL57" s="57">
        <f>[19]January_2019!V6</f>
        <v>0</v>
      </c>
      <c r="AM57" s="57">
        <f>[19]January_2019!W6</f>
        <v>0</v>
      </c>
      <c r="AN57" s="57">
        <f>[19]January_2019!X6</f>
        <v>0</v>
      </c>
      <c r="AO57" s="57">
        <f>[19]January_2019!Y6</f>
        <v>0</v>
      </c>
      <c r="AP57" s="57">
        <f>[19]January_2019!Z6</f>
        <v>0</v>
      </c>
      <c r="AQ57" s="57">
        <f>[19]January_2019!AA6</f>
        <v>0</v>
      </c>
      <c r="AR57" s="57">
        <f>[19]January_2019!AB6</f>
        <v>0</v>
      </c>
      <c r="AS57" s="57">
        <f>[19]January_2019!AC6</f>
        <v>0</v>
      </c>
      <c r="AT57" s="57">
        <f>[19]January_2019!AD6</f>
        <v>0</v>
      </c>
      <c r="AU57" s="57">
        <f>[19]January_2019!AE6</f>
        <v>0</v>
      </c>
      <c r="AV57" s="57">
        <f>[19]January_2019!AF6</f>
        <v>0</v>
      </c>
      <c r="AW57" s="57">
        <f>[19]January_2019!AG6</f>
        <v>0</v>
      </c>
      <c r="AX57" s="277">
        <f>[19]January_2019!AH6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91" t="str">
        <f>J42</f>
        <v>STAG</v>
      </c>
      <c r="C58" s="479">
        <v>46287</v>
      </c>
      <c r="D58" s="442">
        <f>[17]September_2026!$Y$13</f>
        <v>190.70000000000002</v>
      </c>
      <c r="E58" s="443"/>
      <c r="F58" s="444"/>
      <c r="G58" s="444">
        <f>[17]September_2026!$Y$17</f>
        <v>184.3</v>
      </c>
      <c r="H58" s="446"/>
      <c r="I58" s="446"/>
      <c r="J58" s="448" t="s">
        <v>174</v>
      </c>
      <c r="K58" s="449">
        <f>[18]September_2026!$Y$25</f>
        <v>0.64666666666666672</v>
      </c>
      <c r="L58" s="457">
        <f>(((D58+E58)-G58)/(D58+E58))*100</f>
        <v>3.3560566334556925</v>
      </c>
      <c r="M58" s="455" t="s">
        <v>176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[19]January_2019!L7</f>
        <v>285.8</v>
      </c>
      <c r="AC58" s="57">
        <f>[19]January_2019!M7</f>
        <v>508.1</v>
      </c>
      <c r="AD58" s="57">
        <f>[19]January_2019!N7</f>
        <v>0</v>
      </c>
      <c r="AE58" s="57">
        <f>[19]January_2019!O7</f>
        <v>0</v>
      </c>
      <c r="AF58" s="57">
        <f>[19]January_2019!P7</f>
        <v>109.56666666666666</v>
      </c>
      <c r="AG58" s="57">
        <f>[19]January_2019!Q7</f>
        <v>297.64999999999998</v>
      </c>
      <c r="AH58" s="57">
        <f>[19]January_2019!R7</f>
        <v>122.3</v>
      </c>
      <c r="AI58" s="57">
        <f>[19]January_2019!S7</f>
        <v>0</v>
      </c>
      <c r="AJ58" s="57">
        <f>[19]January_2019!T7</f>
        <v>294.7</v>
      </c>
      <c r="AK58" s="57">
        <f>[19]January_2019!U7</f>
        <v>280.5</v>
      </c>
      <c r="AL58" s="57">
        <f>[19]January_2019!V7</f>
        <v>0</v>
      </c>
      <c r="AM58" s="57">
        <f>[19]January_2019!W7</f>
        <v>0</v>
      </c>
      <c r="AN58" s="57">
        <f>[19]January_2019!X7</f>
        <v>188.25</v>
      </c>
      <c r="AO58" s="57">
        <f>[19]January_2019!Y7</f>
        <v>295.7</v>
      </c>
      <c r="AP58" s="57">
        <f>[19]January_2019!Z7</f>
        <v>257.8</v>
      </c>
      <c r="AQ58" s="57">
        <f>[19]January_2019!AA7</f>
        <v>291.2</v>
      </c>
      <c r="AR58" s="57">
        <f>[19]January_2019!AB7</f>
        <v>187</v>
      </c>
      <c r="AS58" s="57">
        <f>[19]January_2019!AC7</f>
        <v>0</v>
      </c>
      <c r="AT58" s="57">
        <f>[19]January_2019!AD7</f>
        <v>0</v>
      </c>
      <c r="AU58" s="57">
        <f>[19]January_2019!AE7</f>
        <v>485.1</v>
      </c>
      <c r="AV58" s="57">
        <f>[19]January_2019!AF7</f>
        <v>171.55</v>
      </c>
      <c r="AW58" s="57">
        <f>[19]January_2019!AG7</f>
        <v>423.8</v>
      </c>
      <c r="AX58" s="277">
        <f>[19]January_2019!AH7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8.600000000000001" hidden="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65" hidden="1" customHeight="1" thickBot="1">
      <c r="B60" s="487"/>
      <c r="C60" s="479"/>
      <c r="D60" s="442"/>
      <c r="E60" s="443"/>
      <c r="F60" s="444"/>
      <c r="G60" s="445"/>
      <c r="H60" s="458"/>
      <c r="I60" s="458"/>
      <c r="J60" s="448"/>
      <c r="K60" s="45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81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498" t="s">
        <v>55</v>
      </c>
      <c r="C67" s="499"/>
      <c r="D67" s="499"/>
      <c r="E67" s="499"/>
      <c r="F67" s="500"/>
      <c r="G67" s="498" t="s">
        <v>56</v>
      </c>
      <c r="H67" s="499"/>
      <c r="I67" s="499"/>
      <c r="J67" s="500"/>
      <c r="K67" s="498" t="s">
        <v>51</v>
      </c>
      <c r="L67" s="499"/>
      <c r="M67" s="499"/>
      <c r="N67" s="501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65">
        <f>L56</f>
        <v>4.8936973204176599</v>
      </c>
      <c r="D69" s="76">
        <v>6.9098095968377651</v>
      </c>
      <c r="E69" s="76" t="s">
        <v>41</v>
      </c>
      <c r="F69" s="66">
        <v>4.8</v>
      </c>
      <c r="G69" s="65"/>
      <c r="H69" s="477">
        <v>6.5160801722722619</v>
      </c>
      <c r="I69" s="477">
        <v>6.6384808531425268</v>
      </c>
      <c r="J69" s="66">
        <v>4.8</v>
      </c>
      <c r="K69" s="67">
        <f>K56</f>
        <v>1.3263157894736841</v>
      </c>
      <c r="L69" s="194">
        <v>0.61678947368421055</v>
      </c>
      <c r="M69" s="194">
        <v>0.53548572666777772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6.720758239391091</v>
      </c>
      <c r="E70" s="76">
        <v>5.8780358526209691</v>
      </c>
      <c r="F70" s="66">
        <v>4.8</v>
      </c>
      <c r="G70" s="65"/>
      <c r="H70" s="76">
        <v>7.2366264511789016</v>
      </c>
      <c r="I70" s="76">
        <v>6.0561650445262645</v>
      </c>
      <c r="J70" s="66">
        <v>4.8</v>
      </c>
      <c r="K70" s="67"/>
      <c r="L70" s="194">
        <v>0.58195614035087728</v>
      </c>
      <c r="M70" s="194">
        <v>0.68829197714926005</v>
      </c>
      <c r="N70" s="68">
        <v>1</v>
      </c>
      <c r="P70" s="69"/>
    </row>
    <row r="71" spans="2:57" ht="15">
      <c r="B71" s="34" t="s">
        <v>40</v>
      </c>
      <c r="C71" s="65"/>
      <c r="D71" s="76"/>
      <c r="E71" s="76">
        <v>11.277593164016125</v>
      </c>
      <c r="F71" s="66">
        <v>5.5</v>
      </c>
      <c r="G71" s="65"/>
      <c r="H71" s="76"/>
      <c r="I71" s="76">
        <v>11.857907912244482</v>
      </c>
      <c r="J71" s="66">
        <v>5.5</v>
      </c>
      <c r="K71" s="67"/>
      <c r="L71" s="194"/>
      <c r="M71" s="194">
        <v>0.35370190356844494</v>
      </c>
      <c r="N71" s="68">
        <v>1</v>
      </c>
      <c r="P71" s="69"/>
    </row>
    <row r="72" spans="2:57" ht="15">
      <c r="B72" s="22" t="s">
        <v>33</v>
      </c>
      <c r="C72" s="65"/>
      <c r="D72" s="76"/>
      <c r="E72" s="76">
        <v>4.8685538193023836</v>
      </c>
      <c r="F72" s="66">
        <v>3.3</v>
      </c>
      <c r="G72" s="65"/>
      <c r="H72" s="76"/>
      <c r="I72" s="76">
        <v>4.8702525342252114</v>
      </c>
      <c r="J72" s="66">
        <v>3.3</v>
      </c>
      <c r="K72" s="67"/>
      <c r="L72" s="194"/>
      <c r="M72" s="194">
        <v>0.77919298245614044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>
        <v>6.8855672629257718</v>
      </c>
      <c r="E74" s="76">
        <v>6.3233965672990236</v>
      </c>
      <c r="F74" s="70">
        <v>5.5</v>
      </c>
      <c r="G74" s="65"/>
      <c r="H74" s="76">
        <v>7.4264332958762713</v>
      </c>
      <c r="I74" s="76">
        <v>7.9667553186446929</v>
      </c>
      <c r="J74" s="66">
        <v>5.5</v>
      </c>
      <c r="K74" s="67"/>
      <c r="L74" s="194">
        <v>0.391812865497076</v>
      </c>
      <c r="M74" s="194">
        <v>0.5883625730994152</v>
      </c>
      <c r="N74" s="68">
        <v>1</v>
      </c>
      <c r="P74" s="69"/>
    </row>
    <row r="75" spans="2:57" ht="15">
      <c r="B75" s="37" t="s">
        <v>16</v>
      </c>
      <c r="C75" s="482"/>
      <c r="D75" s="76"/>
      <c r="E75" s="76">
        <v>3.6168923014750334</v>
      </c>
      <c r="F75" s="66">
        <v>3.3</v>
      </c>
      <c r="G75" s="282"/>
      <c r="H75" s="76"/>
      <c r="I75" s="76">
        <v>5.0091179718082053</v>
      </c>
      <c r="J75" s="66">
        <v>3.3</v>
      </c>
      <c r="K75" s="67"/>
      <c r="L75" s="194"/>
      <c r="M75" s="194">
        <v>0.92642300194931759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6.8601803608670515</v>
      </c>
      <c r="E78" s="76">
        <v>6.3776027009778096</v>
      </c>
      <c r="F78" s="341">
        <v>5.5</v>
      </c>
      <c r="H78" s="76">
        <v>6.7975185597866208</v>
      </c>
      <c r="I78" s="76">
        <v>6.7012608609515691</v>
      </c>
      <c r="J78" s="341">
        <v>5.5</v>
      </c>
      <c r="L78" s="194">
        <v>0.57155263157894742</v>
      </c>
      <c r="M78" s="194">
        <v>0.59577112851833436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381" priority="102" operator="notBetween">
      <formula>#REF!</formula>
      <formula>#REF!</formula>
    </cfRule>
  </conditionalFormatting>
  <conditionalFormatting sqref="C53">
    <cfRule type="cellIs" dxfId="380" priority="184" stopIfTrue="1" operator="lessThan">
      <formula>96</formula>
    </cfRule>
    <cfRule type="cellIs" dxfId="379" priority="185" stopIfTrue="1" operator="greaterThan">
      <formula>100</formula>
    </cfRule>
  </conditionalFormatting>
  <conditionalFormatting sqref="C69:C70">
    <cfRule type="cellIs" dxfId="378" priority="65" stopIfTrue="1" operator="greaterThan">
      <formula>$F69</formula>
    </cfRule>
    <cfRule type="cellIs" dxfId="377" priority="66" stopIfTrue="1" operator="lessThanOrEqual">
      <formula>0</formula>
    </cfRule>
    <cfRule type="cellIs" dxfId="376" priority="67" stopIfTrue="1" operator="greaterThan">
      <formula>$F69</formula>
    </cfRule>
    <cfRule type="cellIs" dxfId="375" priority="68" stopIfTrue="1" operator="lessThanOrEqual">
      <formula>0</formula>
    </cfRule>
  </conditionalFormatting>
  <conditionalFormatting sqref="C71:C73 C75:C77">
    <cfRule type="cellIs" dxfId="374" priority="74" stopIfTrue="1" operator="greaterThan">
      <formula>$F74</formula>
    </cfRule>
  </conditionalFormatting>
  <conditionalFormatting sqref="C71:C73">
    <cfRule type="cellIs" dxfId="373" priority="75" stopIfTrue="1" operator="lessThanOrEqual">
      <formula>0</formula>
    </cfRule>
  </conditionalFormatting>
  <conditionalFormatting sqref="C74">
    <cfRule type="cellIs" dxfId="372" priority="186" stopIfTrue="1" operator="greaterThan">
      <formula>$F69</formula>
    </cfRule>
    <cfRule type="cellIs" dxfId="371" priority="187" stopIfTrue="1" operator="lessThanOrEqual">
      <formula>0</formula>
    </cfRule>
    <cfRule type="cellIs" dxfId="370" priority="188" stopIfTrue="1" operator="greaterThan">
      <formula>$F69</formula>
    </cfRule>
    <cfRule type="cellIs" dxfId="369" priority="189" stopIfTrue="1" operator="lessThanOrEqual">
      <formula>0</formula>
    </cfRule>
  </conditionalFormatting>
  <conditionalFormatting sqref="C75:C77">
    <cfRule type="cellIs" dxfId="368" priority="76" stopIfTrue="1" operator="lessThanOrEqual">
      <formula>0</formula>
    </cfRule>
  </conditionalFormatting>
  <conditionalFormatting sqref="C80:C84">
    <cfRule type="cellIs" dxfId="367" priority="176" stopIfTrue="1" operator="lessThanOrEqual">
      <formula>0</formula>
    </cfRule>
  </conditionalFormatting>
  <conditionalFormatting sqref="C81:C84">
    <cfRule type="cellIs" dxfId="366" priority="175" stopIfTrue="1" operator="greaterThan">
      <formula>$F$80</formula>
    </cfRule>
  </conditionalFormatting>
  <conditionalFormatting sqref="C86">
    <cfRule type="cellIs" dxfId="365" priority="177" stopIfTrue="1" operator="greaterThan">
      <formula>$F$80</formula>
    </cfRule>
    <cfRule type="cellIs" dxfId="364" priority="178" stopIfTrue="1" operator="lessThanOrEqual">
      <formula>0</formula>
    </cfRule>
  </conditionalFormatting>
  <conditionalFormatting sqref="C74:D74">
    <cfRule type="cellIs" dxfId="363" priority="63" stopIfTrue="1" operator="greaterThan">
      <formula>$J74</formula>
    </cfRule>
    <cfRule type="cellIs" dxfId="362" priority="64" stopIfTrue="1" operator="lessThanOrEqual">
      <formula>0</formula>
    </cfRule>
  </conditionalFormatting>
  <conditionalFormatting sqref="C80:D80 D82:D88">
    <cfRule type="cellIs" dxfId="361" priority="170" stopIfTrue="1" operator="greaterThan">
      <formula>4.5</formula>
    </cfRule>
  </conditionalFormatting>
  <conditionalFormatting sqref="D49:D50">
    <cfRule type="cellIs" dxfId="360" priority="103" operator="notBetween">
      <formula>#REF!</formula>
      <formula>#REF!</formula>
    </cfRule>
  </conditionalFormatting>
  <conditionalFormatting sqref="D69:D73 D75:D76">
    <cfRule type="cellIs" dxfId="359" priority="73" stopIfTrue="1" operator="lessThanOrEqual">
      <formula>0</formula>
    </cfRule>
  </conditionalFormatting>
  <conditionalFormatting sqref="D69:D73 D75:D78">
    <cfRule type="cellIs" dxfId="358" priority="69" stopIfTrue="1" operator="lessThanOrEqual">
      <formula>0</formula>
    </cfRule>
    <cfRule type="cellIs" dxfId="357" priority="70" stopIfTrue="1" operator="greaterThan">
      <formula>$F69</formula>
    </cfRule>
  </conditionalFormatting>
  <conditionalFormatting sqref="D77:D78">
    <cfRule type="cellIs" dxfId="356" priority="71" stopIfTrue="1" operator="lessThanOrEqual">
      <formula>0</formula>
    </cfRule>
  </conditionalFormatting>
  <conditionalFormatting sqref="D78">
    <cfRule type="cellIs" dxfId="355" priority="72" stopIfTrue="1" operator="lessThanOrEqual">
      <formula>0</formula>
    </cfRule>
  </conditionalFormatting>
  <conditionalFormatting sqref="D80 D82:D88">
    <cfRule type="cellIs" dxfId="354" priority="171" stopIfTrue="1" operator="lessThanOrEqual">
      <formula>0</formula>
    </cfRule>
  </conditionalFormatting>
  <conditionalFormatting sqref="D81">
    <cfRule type="cellIs" dxfId="353" priority="162" stopIfTrue="1" operator="greaterThan">
      <formula>$F$80</formula>
    </cfRule>
    <cfRule type="cellIs" dxfId="352" priority="163" stopIfTrue="1" operator="lessThanOrEqual">
      <formula>0</formula>
    </cfRule>
  </conditionalFormatting>
  <conditionalFormatting sqref="E10:E24">
    <cfRule type="cellIs" dxfId="351" priority="7" operator="lessThan">
      <formula>48</formula>
    </cfRule>
  </conditionalFormatting>
  <conditionalFormatting sqref="E52 E53:F53">
    <cfRule type="cellIs" dxfId="350" priority="167" stopIfTrue="1" operator="greaterThan">
      <formula>100</formula>
    </cfRule>
  </conditionalFormatting>
  <conditionalFormatting sqref="E53">
    <cfRule type="cellIs" dxfId="349" priority="164" stopIfTrue="1" operator="lessThan">
      <formula>96.8</formula>
    </cfRule>
    <cfRule type="cellIs" dxfId="348" priority="165" stopIfTrue="1" operator="greaterThan">
      <formula>100</formula>
    </cfRule>
  </conditionalFormatting>
  <conditionalFormatting sqref="E69:E77">
    <cfRule type="cellIs" dxfId="347" priority="36" stopIfTrue="1" operator="lessThanOrEqual">
      <formula>0</formula>
    </cfRule>
  </conditionalFormatting>
  <conditionalFormatting sqref="E69:E78">
    <cfRule type="cellIs" dxfId="346" priority="37" stopIfTrue="1" operator="greaterThan">
      <formula>$F69</formula>
    </cfRule>
    <cfRule type="cellIs" dxfId="345" priority="38" stopIfTrue="1" operator="lessThanOrEqual">
      <formula>0</formula>
    </cfRule>
  </conditionalFormatting>
  <conditionalFormatting sqref="E78">
    <cfRule type="cellIs" dxfId="344" priority="39" stopIfTrue="1" operator="lessThanOrEqual">
      <formula>0</formula>
    </cfRule>
  </conditionalFormatting>
  <conditionalFormatting sqref="E80:E88">
    <cfRule type="cellIs" dxfId="343" priority="156" stopIfTrue="1" operator="greaterThan">
      <formula>4.5</formula>
    </cfRule>
    <cfRule type="cellIs" dxfId="342" priority="157" stopIfTrue="1" operator="lessThanOrEqual">
      <formula>0</formula>
    </cfRule>
  </conditionalFormatting>
  <conditionalFormatting sqref="E53:F53 E52">
    <cfRule type="cellIs" dxfId="341" priority="166" stopIfTrue="1" operator="lessThan">
      <formula>96.5</formula>
    </cfRule>
  </conditionalFormatting>
  <conditionalFormatting sqref="F10:F24">
    <cfRule type="cellIs" dxfId="340" priority="8" operator="greaterThan">
      <formula>60</formula>
    </cfRule>
  </conditionalFormatting>
  <conditionalFormatting sqref="F53">
    <cfRule type="cellIs" dxfId="339" priority="182" stopIfTrue="1" operator="lessThan">
      <formula>96.8</formula>
    </cfRule>
    <cfRule type="cellIs" dxfId="338" priority="183" stopIfTrue="1" operator="greaterThan">
      <formula>100</formula>
    </cfRule>
  </conditionalFormatting>
  <conditionalFormatting sqref="G10:G23 M10:N23 H10:H24">
    <cfRule type="expression" dxfId="337" priority="11">
      <formula>IF(+(IF(G10&lt;#REF!,0,IF(G10&gt;#REF!,0,1)))=0,1)</formula>
    </cfRule>
  </conditionalFormatting>
  <conditionalFormatting sqref="G24">
    <cfRule type="expression" dxfId="336" priority="10">
      <formula>IF(+(IF(G24&lt;S24,0,IF(G24&gt;T24,0,1)))=0,1)</formula>
    </cfRule>
  </conditionalFormatting>
  <conditionalFormatting sqref="G69:G72 F78">
    <cfRule type="cellIs" dxfId="335" priority="45" stopIfTrue="1" operator="greaterThan">
      <formula>$F69</formula>
    </cfRule>
    <cfRule type="cellIs" dxfId="334" priority="46" stopIfTrue="1" operator="lessThanOrEqual">
      <formula>0</formula>
    </cfRule>
  </conditionalFormatting>
  <conditionalFormatting sqref="G71:G72">
    <cfRule type="cellIs" dxfId="333" priority="31" stopIfTrue="1" operator="greaterThan">
      <formula>$F71</formula>
    </cfRule>
    <cfRule type="cellIs" dxfId="332" priority="32" stopIfTrue="1" operator="lessThanOrEqual">
      <formula>0</formula>
    </cfRule>
  </conditionalFormatting>
  <conditionalFormatting sqref="G73:G77">
    <cfRule type="cellIs" dxfId="331" priority="47" stopIfTrue="1" operator="greaterThan">
      <formula>$J73</formula>
    </cfRule>
    <cfRule type="cellIs" dxfId="330" priority="48" stopIfTrue="1" operator="lessThanOrEqual">
      <formula>0</formula>
    </cfRule>
  </conditionalFormatting>
  <conditionalFormatting sqref="G74">
    <cfRule type="cellIs" dxfId="329" priority="190" stopIfTrue="1" operator="greaterThan">
      <formula>$F69</formula>
    </cfRule>
    <cfRule type="cellIs" dxfId="328" priority="191" stopIfTrue="1" operator="lessThanOrEqual">
      <formula>0</formula>
    </cfRule>
  </conditionalFormatting>
  <conditionalFormatting sqref="G82:G87 C85 C87">
    <cfRule type="cellIs" dxfId="327" priority="179" stopIfTrue="1" operator="greaterThan">
      <formula>4.5</formula>
    </cfRule>
    <cfRule type="cellIs" dxfId="326" priority="180" stopIfTrue="1" operator="lessThanOrEqual">
      <formula>0</formula>
    </cfRule>
  </conditionalFormatting>
  <conditionalFormatting sqref="G81:H81">
    <cfRule type="cellIs" dxfId="325" priority="160" stopIfTrue="1" operator="greaterThan">
      <formula>$F$80</formula>
    </cfRule>
    <cfRule type="cellIs" dxfId="324" priority="161" stopIfTrue="1" operator="lessThanOrEqual">
      <formula>0</formula>
    </cfRule>
  </conditionalFormatting>
  <conditionalFormatting sqref="H38:H39 H52">
    <cfRule type="cellIs" dxfId="323" priority="158" stopIfTrue="1" operator="greaterThan">
      <formula>0</formula>
    </cfRule>
  </conditionalFormatting>
  <conditionalFormatting sqref="H56">
    <cfRule type="cellIs" dxfId="322" priority="50" stopIfTrue="1" operator="lessThanOrEqual">
      <formula>0</formula>
    </cfRule>
    <cfRule type="cellIs" dxfId="321" priority="51" stopIfTrue="1" operator="greaterThan">
      <formula>$F$69</formula>
    </cfRule>
    <cfRule type="cellIs" dxfId="320" priority="59" stopIfTrue="1" operator="greaterThan">
      <formula>$F$72</formula>
    </cfRule>
    <cfRule type="cellIs" dxfId="319" priority="60" stopIfTrue="1" operator="lessThanOrEqual">
      <formula>0</formula>
    </cfRule>
    <cfRule type="cellIs" dxfId="318" priority="61" stopIfTrue="1" operator="greaterThan">
      <formula>$F$70</formula>
    </cfRule>
  </conditionalFormatting>
  <conditionalFormatting sqref="H56:H57">
    <cfRule type="cellIs" dxfId="317" priority="62" stopIfTrue="1" operator="lessThanOrEqual">
      <formula>0</formula>
    </cfRule>
  </conditionalFormatting>
  <conditionalFormatting sqref="H57 H59:H60">
    <cfRule type="cellIs" dxfId="316" priority="88" stopIfTrue="1" operator="lessThanOrEqual">
      <formula>0</formula>
    </cfRule>
  </conditionalFormatting>
  <conditionalFormatting sqref="H57">
    <cfRule type="cellIs" dxfId="315" priority="77" stopIfTrue="1" operator="greaterThan">
      <formula>$F$69</formula>
    </cfRule>
    <cfRule type="cellIs" dxfId="314" priority="85" stopIfTrue="1" operator="greaterThan">
      <formula>$F$72</formula>
    </cfRule>
    <cfRule type="cellIs" dxfId="313" priority="86" stopIfTrue="1" operator="lessThanOrEqual">
      <formula>0</formula>
    </cfRule>
    <cfRule type="cellIs" dxfId="312" priority="87" stopIfTrue="1" operator="greaterThan">
      <formula>$F$70</formula>
    </cfRule>
  </conditionalFormatting>
  <conditionalFormatting sqref="H58">
    <cfRule type="cellIs" dxfId="311" priority="17" stopIfTrue="1" operator="lessThanOrEqual">
      <formula>0</formula>
    </cfRule>
    <cfRule type="cellIs" dxfId="310" priority="18" stopIfTrue="1" operator="greaterThan">
      <formula>$F$71</formula>
    </cfRule>
    <cfRule type="cellIs" dxfId="309" priority="26" stopIfTrue="1" operator="greaterThan">
      <formula>$F$74</formula>
    </cfRule>
    <cfRule type="cellIs" dxfId="308" priority="27" stopIfTrue="1" operator="lessThanOrEqual">
      <formula>0</formula>
    </cfRule>
    <cfRule type="cellIs" dxfId="307" priority="28" stopIfTrue="1" operator="greaterThan">
      <formula>$F$72</formula>
    </cfRule>
    <cfRule type="cellIs" dxfId="306" priority="29" stopIfTrue="1" operator="lessThanOrEqual">
      <formula>0</formula>
    </cfRule>
  </conditionalFormatting>
  <conditionalFormatting sqref="H59:H60">
    <cfRule type="cellIs" dxfId="305" priority="90" stopIfTrue="1" operator="greaterThan">
      <formula>$F$69</formula>
    </cfRule>
    <cfRule type="cellIs" dxfId="304" priority="98" stopIfTrue="1" operator="greaterThan">
      <formula>$F$72</formula>
    </cfRule>
    <cfRule type="cellIs" dxfId="303" priority="99" stopIfTrue="1" operator="lessThanOrEqual">
      <formula>0</formula>
    </cfRule>
    <cfRule type="cellIs" dxfId="302" priority="100" stopIfTrue="1" operator="greaterThan">
      <formula>$F$70</formula>
    </cfRule>
    <cfRule type="cellIs" dxfId="301" priority="101" stopIfTrue="1" operator="lessThanOrEqual">
      <formula>0</formula>
    </cfRule>
  </conditionalFormatting>
  <conditionalFormatting sqref="H61:H62">
    <cfRule type="cellIs" dxfId="300" priority="125" stopIfTrue="1" operator="lessThanOrEqual">
      <formula>0</formula>
    </cfRule>
    <cfRule type="cellIs" dxfId="299" priority="126" stopIfTrue="1" operator="greaterThan">
      <formula>#REF!</formula>
    </cfRule>
    <cfRule type="cellIs" dxfId="298" priority="134" stopIfTrue="1" operator="greaterThan">
      <formula>#REF!</formula>
    </cfRule>
    <cfRule type="cellIs" dxfId="297" priority="135" stopIfTrue="1" operator="lessThanOrEqual">
      <formula>0</formula>
    </cfRule>
  </conditionalFormatting>
  <conditionalFormatting sqref="H63">
    <cfRule type="cellIs" dxfId="296" priority="137" stopIfTrue="1" operator="lessThanOrEqual">
      <formula>0</formula>
    </cfRule>
    <cfRule type="cellIs" dxfId="295" priority="138" stopIfTrue="1" operator="greaterThan">
      <formula>$F$37</formula>
    </cfRule>
    <cfRule type="cellIs" dxfId="294" priority="146" stopIfTrue="1" operator="greaterThan">
      <formula>$F$40</formula>
    </cfRule>
    <cfRule type="cellIs" dxfId="293" priority="147" stopIfTrue="1" operator="lessThanOrEqual">
      <formula>0</formula>
    </cfRule>
    <cfRule type="cellIs" dxfId="292" priority="148" stopIfTrue="1" operator="greaterThan">
      <formula>$F$38</formula>
    </cfRule>
    <cfRule type="cellIs" dxfId="291" priority="149" stopIfTrue="1" operator="lessThanOrEqual">
      <formula>0</formula>
    </cfRule>
  </conditionalFormatting>
  <conditionalFormatting sqref="H64:H65">
    <cfRule type="cellIs" dxfId="290" priority="113" stopIfTrue="1" operator="lessThanOrEqual">
      <formula>0</formula>
    </cfRule>
    <cfRule type="cellIs" dxfId="289" priority="114" stopIfTrue="1" operator="greaterThan">
      <formula>#REF!</formula>
    </cfRule>
    <cfRule type="cellIs" dxfId="288" priority="122" stopIfTrue="1" operator="greaterThan">
      <formula>#REF!</formula>
    </cfRule>
    <cfRule type="cellIs" dxfId="287" priority="123" stopIfTrue="1" operator="lessThanOrEqual">
      <formula>0</formula>
    </cfRule>
  </conditionalFormatting>
  <conditionalFormatting sqref="H80 H82:H88">
    <cfRule type="cellIs" dxfId="286" priority="172" stopIfTrue="1" operator="greaterThan">
      <formula>4.5</formula>
    </cfRule>
    <cfRule type="cellIs" dxfId="285" priority="173" stopIfTrue="1" operator="lessThanOrEqual">
      <formula>0</formula>
    </cfRule>
  </conditionalFormatting>
  <conditionalFormatting sqref="H56:I56">
    <cfRule type="cellIs" dxfId="284" priority="52" stopIfTrue="1" operator="lessThanOrEqual">
      <formula>0</formula>
    </cfRule>
  </conditionalFormatting>
  <conditionalFormatting sqref="H56:I57 H59:I60">
    <cfRule type="cellIs" dxfId="283" priority="49" stopIfTrue="1" operator="greaterThan">
      <formula>$F$71</formula>
    </cfRule>
  </conditionalFormatting>
  <conditionalFormatting sqref="H57:I57">
    <cfRule type="cellIs" dxfId="282" priority="78" stopIfTrue="1" operator="lessThanOrEqual">
      <formula>0</formula>
    </cfRule>
  </conditionalFormatting>
  <conditionalFormatting sqref="H58:I58">
    <cfRule type="cellIs" dxfId="281" priority="16" stopIfTrue="1" operator="greaterThan">
      <formula>$F$73</formula>
    </cfRule>
    <cfRule type="cellIs" dxfId="280" priority="19" stopIfTrue="1" operator="lessThanOrEqual">
      <formula>0</formula>
    </cfRule>
  </conditionalFormatting>
  <conditionalFormatting sqref="H59:I60">
    <cfRule type="cellIs" dxfId="279" priority="91" stopIfTrue="1" operator="lessThanOrEqual">
      <formula>0</formula>
    </cfRule>
  </conditionalFormatting>
  <conditionalFormatting sqref="H61:I62">
    <cfRule type="cellIs" dxfId="278" priority="124" stopIfTrue="1" operator="greaterThan">
      <formula>#REF!</formula>
    </cfRule>
    <cfRule type="cellIs" dxfId="277" priority="127" stopIfTrue="1" operator="lessThanOrEqual">
      <formula>0</formula>
    </cfRule>
    <cfRule type="cellIs" dxfId="276" priority="132" stopIfTrue="1" operator="greaterThan">
      <formula>#REF!</formula>
    </cfRule>
    <cfRule type="cellIs" dxfId="275" priority="133" stopIfTrue="1" operator="lessThanOrEqual">
      <formula>0</formula>
    </cfRule>
  </conditionalFormatting>
  <conditionalFormatting sqref="H63:I63">
    <cfRule type="cellIs" dxfId="274" priority="136" stopIfTrue="1" operator="greaterThan">
      <formula>$F$39</formula>
    </cfRule>
    <cfRule type="cellIs" dxfId="273" priority="139" stopIfTrue="1" operator="lessThanOrEqual">
      <formula>0</formula>
    </cfRule>
  </conditionalFormatting>
  <conditionalFormatting sqref="H64:I65">
    <cfRule type="cellIs" dxfId="272" priority="112" stopIfTrue="1" operator="greaterThan">
      <formula>#REF!</formula>
    </cfRule>
    <cfRule type="cellIs" dxfId="271" priority="115" stopIfTrue="1" operator="lessThanOrEqual">
      <formula>0</formula>
    </cfRule>
    <cfRule type="cellIs" dxfId="270" priority="120" stopIfTrue="1" operator="greaterThan">
      <formula>#REF!</formula>
    </cfRule>
    <cfRule type="cellIs" dxfId="269" priority="121" stopIfTrue="1" operator="lessThanOrEqual">
      <formula>0</formula>
    </cfRule>
  </conditionalFormatting>
  <conditionalFormatting sqref="H69:I76">
    <cfRule type="cellIs" dxfId="268" priority="34" stopIfTrue="1" operator="greaterThan">
      <formula>$J69</formula>
    </cfRule>
    <cfRule type="cellIs" dxfId="267" priority="35" stopIfTrue="1" operator="lessThanOrEqual">
      <formula>0</formula>
    </cfRule>
  </conditionalFormatting>
  <conditionalFormatting sqref="H77:I77">
    <cfRule type="cellIs" dxfId="266" priority="42" operator="greaterThan">
      <formula>5.3</formula>
    </cfRule>
  </conditionalFormatting>
  <conditionalFormatting sqref="H78:I78">
    <cfRule type="cellIs" dxfId="265" priority="40" stopIfTrue="1" operator="greaterThan">
      <formula>$J78</formula>
    </cfRule>
    <cfRule type="cellIs" dxfId="264" priority="41" stopIfTrue="1" operator="lessThanOrEqual">
      <formula>0</formula>
    </cfRule>
  </conditionalFormatting>
  <conditionalFormatting sqref="I56">
    <cfRule type="cellIs" dxfId="263" priority="53" stopIfTrue="1" operator="greaterThan">
      <formula>$F$69</formula>
    </cfRule>
    <cfRule type="cellIs" dxfId="262" priority="54" stopIfTrue="1" operator="lessThanOrEqual">
      <formula>0</formula>
    </cfRule>
    <cfRule type="cellIs" dxfId="261" priority="55" stopIfTrue="1" operator="greaterThan">
      <formula>$F$71</formula>
    </cfRule>
    <cfRule type="cellIs" dxfId="260" priority="56" stopIfTrue="1" operator="lessThanOrEqual">
      <formula>0</formula>
    </cfRule>
    <cfRule type="cellIs" dxfId="259" priority="57" stopIfTrue="1" operator="greaterThan">
      <formula>$F$69</formula>
    </cfRule>
    <cfRule type="cellIs" dxfId="258" priority="58" stopIfTrue="1" operator="lessThanOrEqual">
      <formula>0</formula>
    </cfRule>
  </conditionalFormatting>
  <conditionalFormatting sqref="I57">
    <cfRule type="cellIs" dxfId="257" priority="79" stopIfTrue="1" operator="greaterThan">
      <formula>$F$69</formula>
    </cfRule>
    <cfRule type="cellIs" dxfId="256" priority="80" stopIfTrue="1" operator="lessThanOrEqual">
      <formula>0</formula>
    </cfRule>
    <cfRule type="cellIs" dxfId="255" priority="81" stopIfTrue="1" operator="greaterThan">
      <formula>$F$71</formula>
    </cfRule>
    <cfRule type="cellIs" dxfId="254" priority="82" stopIfTrue="1" operator="lessThanOrEqual">
      <formula>0</formula>
    </cfRule>
    <cfRule type="cellIs" dxfId="253" priority="83" stopIfTrue="1" operator="greaterThan">
      <formula>$F$69</formula>
    </cfRule>
    <cfRule type="cellIs" dxfId="252" priority="84" stopIfTrue="1" operator="lessThanOrEqual">
      <formula>0</formula>
    </cfRule>
  </conditionalFormatting>
  <conditionalFormatting sqref="I58">
    <cfRule type="cellIs" dxfId="251" priority="20" stopIfTrue="1" operator="greaterThan">
      <formula>$F$71</formula>
    </cfRule>
    <cfRule type="cellIs" dxfId="250" priority="21" stopIfTrue="1" operator="lessThanOrEqual">
      <formula>0</formula>
    </cfRule>
    <cfRule type="cellIs" dxfId="249" priority="22" stopIfTrue="1" operator="greaterThan">
      <formula>$F$73</formula>
    </cfRule>
    <cfRule type="cellIs" dxfId="248" priority="23" stopIfTrue="1" operator="lessThanOrEqual">
      <formula>0</formula>
    </cfRule>
    <cfRule type="cellIs" dxfId="247" priority="24" stopIfTrue="1" operator="greaterThan">
      <formula>$F$71</formula>
    </cfRule>
    <cfRule type="cellIs" dxfId="246" priority="25" stopIfTrue="1" operator="lessThanOrEqual">
      <formula>0</formula>
    </cfRule>
  </conditionalFormatting>
  <conditionalFormatting sqref="I59:I60">
    <cfRule type="cellIs" dxfId="245" priority="92" stopIfTrue="1" operator="greaterThan">
      <formula>$F$69</formula>
    </cfRule>
    <cfRule type="cellIs" dxfId="244" priority="93" stopIfTrue="1" operator="lessThanOrEqual">
      <formula>0</formula>
    </cfRule>
    <cfRule type="cellIs" dxfId="243" priority="94" stopIfTrue="1" operator="greaterThan">
      <formula>$F$71</formula>
    </cfRule>
    <cfRule type="cellIs" dxfId="242" priority="95" stopIfTrue="1" operator="lessThanOrEqual">
      <formula>0</formula>
    </cfRule>
    <cfRule type="cellIs" dxfId="241" priority="96" stopIfTrue="1" operator="greaterThan">
      <formula>$F$69</formula>
    </cfRule>
    <cfRule type="cellIs" dxfId="240" priority="97" stopIfTrue="1" operator="lessThanOrEqual">
      <formula>0</formula>
    </cfRule>
  </conditionalFormatting>
  <conditionalFormatting sqref="I61:I62">
    <cfRule type="cellIs" dxfId="239" priority="128" stopIfTrue="1" operator="greaterThan">
      <formula>#REF!</formula>
    </cfRule>
    <cfRule type="cellIs" dxfId="238" priority="129" stopIfTrue="1" operator="lessThanOrEqual">
      <formula>0</formula>
    </cfRule>
    <cfRule type="cellIs" dxfId="237" priority="130" stopIfTrue="1" operator="greaterThan">
      <formula>#REF!</formula>
    </cfRule>
    <cfRule type="cellIs" dxfId="236" priority="131" stopIfTrue="1" operator="lessThanOrEqual">
      <formula>0</formula>
    </cfRule>
  </conditionalFormatting>
  <conditionalFormatting sqref="I63">
    <cfRule type="cellIs" dxfId="235" priority="140" stopIfTrue="1" operator="greaterThan">
      <formula>$F$37</formula>
    </cfRule>
    <cfRule type="cellIs" dxfId="234" priority="141" stopIfTrue="1" operator="lessThanOrEqual">
      <formula>0</formula>
    </cfRule>
    <cfRule type="cellIs" dxfId="233" priority="142" stopIfTrue="1" operator="greaterThan">
      <formula>$F$39</formula>
    </cfRule>
    <cfRule type="cellIs" dxfId="232" priority="143" stopIfTrue="1" operator="lessThanOrEqual">
      <formula>0</formula>
    </cfRule>
    <cfRule type="cellIs" dxfId="231" priority="144" stopIfTrue="1" operator="greaterThan">
      <formula>$F$37</formula>
    </cfRule>
    <cfRule type="cellIs" dxfId="230" priority="145" stopIfTrue="1" operator="lessThanOrEqual">
      <formula>0</formula>
    </cfRule>
  </conditionalFormatting>
  <conditionalFormatting sqref="I64:I65">
    <cfRule type="cellIs" dxfId="229" priority="116" stopIfTrue="1" operator="greaterThan">
      <formula>#REF!</formula>
    </cfRule>
    <cfRule type="cellIs" dxfId="228" priority="117" stopIfTrue="1" operator="lessThanOrEqual">
      <formula>0</formula>
    </cfRule>
    <cfRule type="cellIs" dxfId="227" priority="118" stopIfTrue="1" operator="greaterThan">
      <formula>#REF!</formula>
    </cfRule>
    <cfRule type="cellIs" dxfId="226" priority="119" stopIfTrue="1" operator="lessThanOrEqual">
      <formula>0</formula>
    </cfRule>
  </conditionalFormatting>
  <conditionalFormatting sqref="I80:I88">
    <cfRule type="cellIs" dxfId="225" priority="168" stopIfTrue="1" operator="greaterThan">
      <formula>4.5</formula>
    </cfRule>
    <cfRule type="cellIs" dxfId="224" priority="169" stopIfTrue="1" operator="lessThanOrEqual">
      <formula>0</formula>
    </cfRule>
  </conditionalFormatting>
  <conditionalFormatting sqref="I10:J24">
    <cfRule type="cellIs" dxfId="223" priority="1" operator="lessThan">
      <formula>97.9</formula>
    </cfRule>
  </conditionalFormatting>
  <conditionalFormatting sqref="J27:J29">
    <cfRule type="cellIs" dxfId="222" priority="15" operator="lessThan">
      <formula>97.95</formula>
    </cfRule>
  </conditionalFormatting>
  <conditionalFormatting sqref="J28:J31">
    <cfRule type="cellIs" dxfId="221" priority="150" operator="lessThan">
      <formula>97.4</formula>
    </cfRule>
  </conditionalFormatting>
  <conditionalFormatting sqref="J32:J33">
    <cfRule type="cellIs" dxfId="220" priority="151" operator="lessThan">
      <formula>98</formula>
    </cfRule>
  </conditionalFormatting>
  <conditionalFormatting sqref="J34:J35">
    <cfRule type="cellIs" dxfId="219" priority="152" stopIfTrue="1" operator="lessThan">
      <formula>96.8</formula>
    </cfRule>
    <cfRule type="cellIs" dxfId="218" priority="153" stopIfTrue="1" operator="greaterThan">
      <formula>100</formula>
    </cfRule>
  </conditionalFormatting>
  <conditionalFormatting sqref="J34:J36">
    <cfRule type="cellIs" dxfId="217" priority="154" operator="lessThan">
      <formula>98</formula>
    </cfRule>
  </conditionalFormatting>
  <conditionalFormatting sqref="J65">
    <cfRule type="cellIs" dxfId="216" priority="104" stopIfTrue="1" operator="greaterThan">
      <formula>#REF!</formula>
    </cfRule>
    <cfRule type="cellIs" dxfId="215" priority="105" stopIfTrue="1" operator="lessThanOrEqual">
      <formula>0</formula>
    </cfRule>
    <cfRule type="cellIs" dxfId="214" priority="106" stopIfTrue="1" operator="greaterThan">
      <formula>#REF!</formula>
    </cfRule>
    <cfRule type="cellIs" dxfId="213" priority="107" stopIfTrue="1" operator="lessThanOrEqual">
      <formula>0</formula>
    </cfRule>
    <cfRule type="cellIs" dxfId="212" priority="108" stopIfTrue="1" operator="greaterThan">
      <formula>#REF!</formula>
    </cfRule>
    <cfRule type="cellIs" dxfId="211" priority="109" stopIfTrue="1" operator="lessThanOrEqual">
      <formula>0</formula>
    </cfRule>
    <cfRule type="cellIs" dxfId="210" priority="110" stopIfTrue="1" operator="greaterThan">
      <formula>#REF!</formula>
    </cfRule>
    <cfRule type="cellIs" dxfId="209" priority="111" stopIfTrue="1" operator="lessThanOrEqual">
      <formula>0</formula>
    </cfRule>
  </conditionalFormatting>
  <conditionalFormatting sqref="J78">
    <cfRule type="cellIs" dxfId="208" priority="43" stopIfTrue="1" operator="greaterThan">
      <formula>$F78</formula>
    </cfRule>
    <cfRule type="cellIs" dxfId="207" priority="44" stopIfTrue="1" operator="lessThanOrEqual">
      <formula>0</formula>
    </cfRule>
  </conditionalFormatting>
  <conditionalFormatting sqref="K10:K24">
    <cfRule type="cellIs" dxfId="206" priority="2" operator="greaterThan">
      <formula>6</formula>
    </cfRule>
    <cfRule type="cellIs" dxfId="205" priority="3" operator="lessThan">
      <formula>4</formula>
    </cfRule>
    <cfRule type="cellIs" dxfId="204" priority="4" operator="greaterThan">
      <formula>6.4</formula>
    </cfRule>
  </conditionalFormatting>
  <conditionalFormatting sqref="K56:K65">
    <cfRule type="cellIs" dxfId="203" priority="89" stopIfTrue="1" operator="lessThan">
      <formula>100%</formula>
    </cfRule>
  </conditionalFormatting>
  <conditionalFormatting sqref="K69:K77">
    <cfRule type="cellIs" dxfId="202" priority="33" stopIfTrue="1" operator="lessThan">
      <formula>100%</formula>
    </cfRule>
  </conditionalFormatting>
  <conditionalFormatting sqref="K80:K85">
    <cfRule type="cellIs" dxfId="201" priority="174" stopIfTrue="1" operator="lessThan">
      <formula>100%</formula>
    </cfRule>
  </conditionalFormatting>
  <conditionalFormatting sqref="K87:K88">
    <cfRule type="cellIs" dxfId="200" priority="181" stopIfTrue="1" operator="lessThan">
      <formula>100%</formula>
    </cfRule>
  </conditionalFormatting>
  <conditionalFormatting sqref="L10:L24">
    <cfRule type="cellIs" dxfId="199" priority="5" operator="between">
      <formula>61</formula>
      <formula>65</formula>
    </cfRule>
    <cfRule type="cellIs" dxfId="198" priority="6" operator="greaterThan">
      <formula>65</formula>
    </cfRule>
  </conditionalFormatting>
  <conditionalFormatting sqref="L27:M38">
    <cfRule type="cellIs" dxfId="197" priority="14" operator="lessThan">
      <formula>97.95</formula>
    </cfRule>
  </conditionalFormatting>
  <conditionalFormatting sqref="L42:N42">
    <cfRule type="cellIs" dxfId="196" priority="12" operator="notEqual">
      <formula>#REF!</formula>
    </cfRule>
  </conditionalFormatting>
  <conditionalFormatting sqref="L69:N78">
    <cfRule type="cellIs" dxfId="195" priority="30" stopIfTrue="1" operator="lessThan">
      <formula>100%</formula>
    </cfRule>
  </conditionalFormatting>
  <conditionalFormatting sqref="L80:N88">
    <cfRule type="cellIs" dxfId="194" priority="159" stopIfTrue="1" operator="lessThan">
      <formula>100%</formula>
    </cfRule>
  </conditionalFormatting>
  <conditionalFormatting sqref="M24">
    <cfRule type="expression" dxfId="193" priority="9">
      <formula>IF(+(IF(M24&lt;U24,0,IF(M24&gt;V24,0,1)))=0,1)</formula>
    </cfRule>
  </conditionalFormatting>
  <conditionalFormatting sqref="N10:N24">
    <cfRule type="expression" dxfId="192" priority="13">
      <formula>IF(+(IF(N10&lt;W10,0,IF(N10&gt;X10,0,1)))=0,1)</formula>
    </cfRule>
  </conditionalFormatting>
  <conditionalFormatting sqref="P6">
    <cfRule type="cellIs" dxfId="191" priority="155" operator="greaterThanOrEqual">
      <formula>19</formula>
    </cfRule>
  </conditionalFormatting>
  <dataValidations count="1">
    <dataValidation type="list" allowBlank="1" showInputMessage="1" showErrorMessage="1" sqref="R8" xr:uid="{23C79FEE-C93C-4D05-B7BC-2EC12462AFA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5AB6-4F7F-4F7D-82C8-24834CFFCD53}">
  <sheetPr>
    <pageSetUpPr fitToPage="1"/>
  </sheetPr>
  <dimension ref="A1:BE84"/>
  <sheetViews>
    <sheetView tabSelected="1" topLeftCell="A53" zoomScale="85" zoomScaleNormal="85" workbookViewId="0">
      <selection activeCell="G90" sqref="G90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2" t="s">
        <v>0</v>
      </c>
      <c r="T1" s="552"/>
      <c r="U1" s="552" t="s">
        <v>1</v>
      </c>
      <c r="V1" s="552"/>
      <c r="W1" s="552" t="s">
        <v>2</v>
      </c>
      <c r="X1" s="552"/>
      <c r="Y1" s="552" t="s">
        <v>124</v>
      </c>
      <c r="Z1" s="552"/>
    </row>
    <row r="2" spans="2:29" ht="15">
      <c r="B2" s="553" t="s">
        <v>3</v>
      </c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46290</v>
      </c>
      <c r="J4" s="398" t="s">
        <v>153</v>
      </c>
      <c r="K4" s="398"/>
      <c r="L4" s="11"/>
      <c r="M4" s="554" t="s">
        <v>8</v>
      </c>
      <c r="N4" s="555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8"/>
      <c r="D5" s="54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5" t="s">
        <v>18</v>
      </c>
      <c r="D8" s="515" t="s">
        <v>19</v>
      </c>
      <c r="E8" s="356" t="s">
        <v>20</v>
      </c>
      <c r="F8" s="356" t="s">
        <v>21</v>
      </c>
      <c r="G8" s="515" t="s">
        <v>22</v>
      </c>
      <c r="H8" s="550" t="s">
        <v>144</v>
      </c>
      <c r="I8" s="515" t="s">
        <v>167</v>
      </c>
      <c r="J8" s="541" t="s">
        <v>23</v>
      </c>
      <c r="K8" s="543" t="s">
        <v>142</v>
      </c>
      <c r="L8" s="545" t="s">
        <v>24</v>
      </c>
      <c r="M8" s="359" t="s">
        <v>25</v>
      </c>
      <c r="N8" s="17" t="s">
        <v>166</v>
      </c>
      <c r="O8" s="515" t="s">
        <v>155</v>
      </c>
      <c r="P8" s="547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9"/>
      <c r="C9" s="540"/>
      <c r="D9" s="540"/>
      <c r="E9" s="357" t="s">
        <v>30</v>
      </c>
      <c r="F9" s="357" t="s">
        <v>31</v>
      </c>
      <c r="G9" s="540"/>
      <c r="H9" s="551"/>
      <c r="I9" s="540"/>
      <c r="J9" s="542"/>
      <c r="K9" s="544"/>
      <c r="L9" s="546"/>
      <c r="M9" s="20" t="s">
        <v>32</v>
      </c>
      <c r="N9" s="21" t="s">
        <v>41</v>
      </c>
      <c r="O9" s="540"/>
      <c r="P9" s="540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[3]Brewhouse!$A769</f>
        <v>CA720</v>
      </c>
      <c r="D10" s="279">
        <f>[3]Brewhouse!$AF769</f>
        <v>49.5</v>
      </c>
      <c r="E10" s="279">
        <f>[3]Brewhouse!$AI769</f>
        <v>50</v>
      </c>
      <c r="F10" s="278">
        <f>[3]Brewhouse!$V769</f>
        <v>56</v>
      </c>
      <c r="G10" s="279">
        <f>[3]Brewhouse!AG769</f>
        <v>11.9</v>
      </c>
      <c r="H10" s="396">
        <v>11.9</v>
      </c>
      <c r="I10" s="368">
        <f>[3]Brewhouse!$AU769</f>
        <v>98.344995127617665</v>
      </c>
      <c r="J10" s="368">
        <f>[3]Brewhouse!$AV769</f>
        <v>99.452240385302474</v>
      </c>
      <c r="K10" s="281">
        <f>[3]Brewhouse!$Q769</f>
        <v>9.8336414048059151</v>
      </c>
      <c r="L10" s="276">
        <f>[3]Brewhouse!$P769</f>
        <v>57</v>
      </c>
      <c r="M10" s="374">
        <f>[3]Brewhouse!$U769-[3]Brewhouse!$T769</f>
        <v>0.10625000000000001</v>
      </c>
      <c r="N10" s="370">
        <f>[3]Brewhouse!$Z769</f>
        <v>0.27152777777777781</v>
      </c>
      <c r="O10" s="420" t="str">
        <f>[3]Brewhouse!$AX769</f>
        <v>R. Sookram</v>
      </c>
      <c r="P10" s="418"/>
      <c r="R10" s="277" t="str">
        <f t="shared" ref="R10:R44" si="0">B10</f>
        <v>CARIB</v>
      </c>
      <c r="S10" s="472">
        <f t="shared" ref="S10:S44" si="1">VLOOKUP($B10,$R$3:$X$9,2,FALSE)</f>
        <v>11.6</v>
      </c>
      <c r="T10" s="472">
        <f t="shared" ref="T10:T44" si="2">VLOOKUP($B10,$R$3:$X$9,3,FALSE)</f>
        <v>12</v>
      </c>
      <c r="U10" s="297">
        <f t="shared" ref="U10:U44" si="3">VLOOKUP($B10,$R$3:$X$9,4,FALSE)</f>
        <v>0</v>
      </c>
      <c r="V10" s="297">
        <f t="shared" ref="V10:V44" si="4">VLOOKUP($B10,$R$3:$X$9,5,FALSE)</f>
        <v>0.118055555555556</v>
      </c>
      <c r="W10" s="297">
        <f t="shared" ref="W10:W44" si="5">VLOOKUP($B10,$R$3:$X$9,6,FALSE)</f>
        <v>0.22569444444444445</v>
      </c>
      <c r="X10" s="297">
        <f t="shared" ref="X10:X44" si="6">VLOOKUP($B10,$R$3:$X$9,7,FALSE)</f>
        <v>0.2638888888888889</v>
      </c>
      <c r="Y10" s="297">
        <f t="shared" ref="Y10:Y44" si="7">VLOOKUP($B10,$R$3:$Z$9,8,FALSE)</f>
        <v>0</v>
      </c>
      <c r="Z10" s="472">
        <f t="shared" ref="Z10:Z44" si="8">VLOOKUP($B10,$R$3:$Z$9,9,FALSE)</f>
        <v>60</v>
      </c>
    </row>
    <row r="11" spans="2:29" ht="15" customHeight="1">
      <c r="B11" s="29" t="s">
        <v>6</v>
      </c>
      <c r="C11" s="366" t="str">
        <f>[3]Brewhouse!$A770</f>
        <v>CA721</v>
      </c>
      <c r="D11" s="279">
        <f>[3]Brewhouse!$AF770</f>
        <v>49.9</v>
      </c>
      <c r="E11" s="279">
        <f>[3]Brewhouse!$AI770</f>
        <v>50.5</v>
      </c>
      <c r="F11" s="278">
        <f>[3]Brewhouse!$V770</f>
        <v>68</v>
      </c>
      <c r="G11" s="279">
        <f>[3]Brewhouse!AG770</f>
        <v>11.9</v>
      </c>
      <c r="H11" s="493">
        <v>12.3</v>
      </c>
      <c r="I11" s="368">
        <f>[3]Brewhouse!$AU770</f>
        <v>99.451654839471487</v>
      </c>
      <c r="J11" s="368">
        <f>[3]Brewhouse!$AV770</f>
        <v>100.57128617533446</v>
      </c>
      <c r="K11" s="281">
        <f>[3]Brewhouse!$Q770</f>
        <v>9.6666666666666643</v>
      </c>
      <c r="L11" s="276">
        <f>[3]Brewhouse!$P770</f>
        <v>61</v>
      </c>
      <c r="M11" s="374">
        <f>[3]Brewhouse!$U770-[3]Brewhouse!$T770</f>
        <v>0.11736111111111108</v>
      </c>
      <c r="N11" s="370">
        <f>[3]Brewhouse!$Z770</f>
        <v>0.25902777777777775</v>
      </c>
      <c r="O11" s="420" t="str">
        <f>[3]Brewhouse!$AX770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[3]Brewhouse!$A771</f>
        <v>CA722</v>
      </c>
      <c r="D12" s="279">
        <f>[3]Brewhouse!$AF771</f>
        <v>50.4</v>
      </c>
      <c r="E12" s="279">
        <f>[3]Brewhouse!$AI771</f>
        <v>51</v>
      </c>
      <c r="F12" s="278">
        <f>[3]Brewhouse!$V771</f>
        <v>59</v>
      </c>
      <c r="G12" s="279">
        <f>[3]Brewhouse!AG771</f>
        <v>11.9</v>
      </c>
      <c r="H12" s="493">
        <v>12.2</v>
      </c>
      <c r="I12" s="368">
        <f>[3]Brewhouse!$AU771</f>
        <v>100.31189503016999</v>
      </c>
      <c r="J12" s="368">
        <f>[3]Brewhouse!$AV771</f>
        <v>101.4412851930085</v>
      </c>
      <c r="K12" s="281">
        <f>[3]Brewhouse!$Q771</f>
        <v>9.4814814814814774</v>
      </c>
      <c r="L12" s="276">
        <f>[3]Brewhouse!$P771</f>
        <v>60</v>
      </c>
      <c r="M12" s="374">
        <f>[3]Brewhouse!$U771-[3]Brewhouse!$T771</f>
        <v>0.11041666666666661</v>
      </c>
      <c r="N12" s="370">
        <f>[3]Brewhouse!$Z771</f>
        <v>0.2493055555555555</v>
      </c>
      <c r="O12" s="420" t="str">
        <f>[3]Brewhouse!$AX771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[3]Brewhouse!$A772</f>
        <v>CA723</v>
      </c>
      <c r="D13" s="279">
        <f>[3]Brewhouse!$AF772</f>
        <v>48.6</v>
      </c>
      <c r="E13" s="279">
        <f>[3]Brewhouse!$AI772</f>
        <v>48.7</v>
      </c>
      <c r="F13" s="278">
        <f>[3]Brewhouse!$V772</f>
        <v>59</v>
      </c>
      <c r="G13" s="279">
        <f>[3]Brewhouse!AG772</f>
        <v>11.9</v>
      </c>
      <c r="H13" s="396">
        <v>11.9</v>
      </c>
      <c r="I13" s="368">
        <f>[3]Brewhouse!$AU772</f>
        <v>96.86810648616374</v>
      </c>
      <c r="J13" s="368">
        <f>[3]Brewhouse!$AV772</f>
        <v>97.958072410159915</v>
      </c>
      <c r="K13" s="281">
        <f>[3]Brewhouse!$Q772</f>
        <v>12.975970425138639</v>
      </c>
      <c r="L13" s="276">
        <f>[3]Brewhouse!$P772</f>
        <v>59</v>
      </c>
      <c r="M13" s="374">
        <f>[3]Brewhouse!$U772-[3]Brewhouse!$T772</f>
        <v>0.11388888888888893</v>
      </c>
      <c r="N13" s="370">
        <f>[3]Brewhouse!$Z772</f>
        <v>0.25138888888888888</v>
      </c>
      <c r="O13" s="420" t="str">
        <f>[3]Brewhouse!$AX772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[3]Brewhouse!$A773</f>
        <v>CA724</v>
      </c>
      <c r="D14" s="279">
        <f>[3]Brewhouse!$AF773</f>
        <v>50.9</v>
      </c>
      <c r="E14" s="279">
        <f>[3]Brewhouse!$AI773</f>
        <v>51.5</v>
      </c>
      <c r="F14" s="278">
        <f>[3]Brewhouse!$V773</f>
        <v>60</v>
      </c>
      <c r="G14" s="279">
        <f>[3]Brewhouse!AG773</f>
        <v>12</v>
      </c>
      <c r="H14" s="396">
        <v>11.9</v>
      </c>
      <c r="I14" s="368">
        <f>[3]Brewhouse!$AU773</f>
        <v>99.961185685422222</v>
      </c>
      <c r="J14" s="368">
        <f>[3]Brewhouse!$AV773</f>
        <v>101.08792764347305</v>
      </c>
      <c r="K14" s="281">
        <f>[3]Brewhouse!$Q773</f>
        <v>11.682070240295749</v>
      </c>
      <c r="L14" s="276">
        <f>[3]Brewhouse!$P773</f>
        <v>61</v>
      </c>
      <c r="M14" s="374">
        <f>[3]Brewhouse!$U773-[3]Brewhouse!$T773</f>
        <v>0.11319444444444438</v>
      </c>
      <c r="N14" s="370">
        <f>[3]Brewhouse!$Z773</f>
        <v>0.25069444444444444</v>
      </c>
      <c r="O14" s="420" t="str">
        <f>[3]Brewhouse!$AX773</f>
        <v>R. Regis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[3]Brewhouse!$A774</f>
        <v>CA725</v>
      </c>
      <c r="D15" s="279">
        <f>[3]Brewhouse!$AF774</f>
        <v>50.6</v>
      </c>
      <c r="E15" s="279">
        <f>[3]Brewhouse!$AI774</f>
        <v>51.2</v>
      </c>
      <c r="F15" s="278">
        <f>[3]Brewhouse!$V774</f>
        <v>56</v>
      </c>
      <c r="G15" s="279">
        <f>[3]Brewhouse!AG774</f>
        <v>11.8</v>
      </c>
      <c r="H15" s="396">
        <v>11.8</v>
      </c>
      <c r="I15" s="368">
        <f>[3]Brewhouse!$AU774</f>
        <v>99.939323457500208</v>
      </c>
      <c r="J15" s="368">
        <f>[3]Brewhouse!$AV774</f>
        <v>101.06444498924922</v>
      </c>
      <c r="K15" s="281">
        <f>[3]Brewhouse!$Q774</f>
        <v>10.757855822550832</v>
      </c>
      <c r="L15" s="276">
        <f>[3]Brewhouse!$P774</f>
        <v>60</v>
      </c>
      <c r="M15" s="374">
        <f>[3]Brewhouse!$U774-[3]Brewhouse!$T774</f>
        <v>0.11041666666666661</v>
      </c>
      <c r="N15" s="370">
        <f>[3]Brewhouse!$Z774</f>
        <v>0.24513888888888891</v>
      </c>
      <c r="O15" s="420" t="str">
        <f>[3]Brewhouse!$AX774</f>
        <v>R. Regis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[3]Brewhouse!$A775</f>
        <v>CA726</v>
      </c>
      <c r="D16" s="279">
        <f>[3]Brewhouse!$AF775</f>
        <v>49.6</v>
      </c>
      <c r="E16" s="279">
        <f>[3]Brewhouse!$AI775</f>
        <v>50.9</v>
      </c>
      <c r="F16" s="278">
        <f>[3]Brewhouse!$V775</f>
        <v>55</v>
      </c>
      <c r="G16" s="279">
        <f>[3]Brewhouse!AG775</f>
        <v>11.9</v>
      </c>
      <c r="H16" s="396">
        <v>11.9</v>
      </c>
      <c r="I16" s="368">
        <f>[3]Brewhouse!$AU775</f>
        <v>99.86775451447069</v>
      </c>
      <c r="J16" s="368">
        <f>[3]Brewhouse!$AV775</f>
        <v>100.99229139587653</v>
      </c>
      <c r="K16" s="281">
        <f>[3]Brewhouse!$Q775</f>
        <v>11.127541589648803</v>
      </c>
      <c r="L16" s="276">
        <f>[3]Brewhouse!$P775</f>
        <v>62</v>
      </c>
      <c r="M16" s="374">
        <f>[3]Brewhouse!$U775-[3]Brewhouse!$T775</f>
        <v>0.1069444444444444</v>
      </c>
      <c r="N16" s="370">
        <f>[3]Brewhouse!$Z775</f>
        <v>0.23958333333333326</v>
      </c>
      <c r="O16" s="420" t="str">
        <f>[3]Brewhouse!$AX775</f>
        <v>R. Regis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2:26" ht="15" customHeight="1">
      <c r="B17" s="29" t="s">
        <v>6</v>
      </c>
      <c r="C17" s="366" t="str">
        <f>[3]Brewhouse!$A776</f>
        <v>CA727</v>
      </c>
      <c r="D17" s="279">
        <f>[3]Brewhouse!$AF776</f>
        <v>50.2</v>
      </c>
      <c r="E17" s="279">
        <f>[3]Brewhouse!$AI776</f>
        <v>50.8</v>
      </c>
      <c r="F17" s="278">
        <f>[3]Brewhouse!$V776</f>
        <v>58</v>
      </c>
      <c r="G17" s="279">
        <f>[3]Brewhouse!AG776</f>
        <v>11.8</v>
      </c>
      <c r="H17" s="396">
        <v>11.8</v>
      </c>
      <c r="I17" s="368">
        <f>[3]Brewhouse!$AU776</f>
        <v>98.790918499925468</v>
      </c>
      <c r="J17" s="368">
        <f>[3]Brewhouse!$AV776</f>
        <v>99.903329927830626</v>
      </c>
      <c r="K17" s="281">
        <f>[3]Brewhouse!$Q776</f>
        <v>11.497227356746762</v>
      </c>
      <c r="L17" s="276">
        <f>[3]Brewhouse!$P776</f>
        <v>58</v>
      </c>
      <c r="M17" s="374">
        <f>[3]Brewhouse!$U776-[3]Brewhouse!$T776</f>
        <v>0.12291666666666656</v>
      </c>
      <c r="N17" s="370">
        <f>[3]Brewhouse!$Z776</f>
        <v>0.25902777777777775</v>
      </c>
      <c r="O17" s="420" t="str">
        <f>[3]Brewhouse!$AX776</f>
        <v>R. Regis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2:26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/>
      <c r="S18" s="472"/>
      <c r="T18" s="472"/>
      <c r="U18" s="297"/>
      <c r="V18" s="297"/>
      <c r="W18" s="297"/>
      <c r="X18" s="297"/>
      <c r="Y18" s="297"/>
      <c r="Z18" s="472"/>
    </row>
    <row r="19" spans="2:26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/>
      <c r="S19" s="472"/>
      <c r="T19" s="472"/>
      <c r="U19" s="297"/>
      <c r="V19" s="297"/>
      <c r="W19" s="297"/>
      <c r="X19" s="297"/>
      <c r="Y19" s="297"/>
      <c r="Z19" s="472"/>
    </row>
    <row r="20" spans="2:26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/>
      <c r="S20" s="472"/>
      <c r="T20" s="472"/>
      <c r="U20" s="297"/>
      <c r="V20" s="297"/>
      <c r="W20" s="297"/>
      <c r="X20" s="297"/>
      <c r="Y20" s="297"/>
      <c r="Z20" s="472"/>
    </row>
    <row r="21" spans="2:26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/>
      <c r="S21" s="472"/>
      <c r="T21" s="472"/>
      <c r="U21" s="297"/>
      <c r="V21" s="297"/>
      <c r="W21" s="297"/>
      <c r="X21" s="297"/>
      <c r="Y21" s="297"/>
      <c r="Z21" s="472"/>
    </row>
    <row r="22" spans="2:26" ht="1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/>
      <c r="S22" s="472"/>
      <c r="T22" s="472"/>
      <c r="U22" s="297"/>
      <c r="V22" s="297"/>
      <c r="W22" s="297"/>
      <c r="X22" s="297"/>
      <c r="Y22" s="297"/>
      <c r="Z22" s="472"/>
    </row>
    <row r="23" spans="2:26" ht="1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20"/>
      <c r="P23" s="418"/>
      <c r="R23" s="277"/>
      <c r="S23" s="472"/>
      <c r="T23" s="472"/>
      <c r="U23" s="297"/>
      <c r="V23" s="297"/>
      <c r="W23" s="297"/>
      <c r="X23" s="297"/>
      <c r="Y23" s="297"/>
      <c r="Z23" s="472"/>
    </row>
    <row r="24" spans="2:26" ht="1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2:26" ht="15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420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2:26" ht="1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420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2:26" ht="1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420"/>
      <c r="P27" s="418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2:26" ht="1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74"/>
      <c r="N28" s="370"/>
      <c r="O28" s="420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2:26" ht="1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74"/>
      <c r="N29" s="370"/>
      <c r="O29" s="420"/>
      <c r="P29" s="418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2:26" ht="15" hidden="1" customHeight="1">
      <c r="B30" s="36"/>
      <c r="C30" s="366"/>
      <c r="D30" s="279"/>
      <c r="E30" s="279"/>
      <c r="F30" s="278"/>
      <c r="G30" s="279"/>
      <c r="H30" s="396"/>
      <c r="I30" s="489"/>
      <c r="J30" s="489"/>
      <c r="K30" s="490"/>
      <c r="L30" s="276"/>
      <c r="M30" s="374"/>
      <c r="N30" s="370"/>
      <c r="O30" s="420"/>
      <c r="P30" s="418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2:26" ht="17.25" customHeight="1" thickBot="1">
      <c r="B31" s="358"/>
      <c r="C31" s="358"/>
      <c r="D31" s="358"/>
      <c r="E31" s="358"/>
      <c r="F31" s="294"/>
      <c r="G31" s="294"/>
      <c r="H31" s="348"/>
      <c r="I31" s="534"/>
      <c r="J31" s="534"/>
      <c r="K31" s="534"/>
      <c r="L31" s="534"/>
      <c r="M31" s="534"/>
      <c r="N31" s="534"/>
      <c r="O31" s="1"/>
      <c r="P31" s="12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2:26" ht="17.25" customHeight="1" thickBot="1">
      <c r="B32" s="483" t="s">
        <v>162</v>
      </c>
      <c r="C32" s="388"/>
      <c r="D32" s="535" t="s">
        <v>35</v>
      </c>
      <c r="E32" s="536"/>
      <c r="F32" s="294"/>
      <c r="G32" s="294"/>
      <c r="H32" s="348"/>
      <c r="I32" s="24" t="s">
        <v>17</v>
      </c>
      <c r="J32" s="25"/>
      <c r="K32" s="26" t="s">
        <v>138</v>
      </c>
      <c r="L32" s="25" t="s">
        <v>37</v>
      </c>
      <c r="M32" s="25" t="s">
        <v>38</v>
      </c>
      <c r="N32" s="27" t="s">
        <v>39</v>
      </c>
      <c r="O32" s="294"/>
      <c r="P32" s="12"/>
      <c r="R32" s="277" t="str">
        <f t="shared" si="0"/>
        <v xml:space="preserve">BRAND 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7.25" customHeight="1">
      <c r="A33" s="28"/>
      <c r="B33" s="537"/>
      <c r="C33" s="484"/>
      <c r="D33" s="522"/>
      <c r="E33" s="523"/>
      <c r="F33" s="294"/>
      <c r="G33" s="294"/>
      <c r="H33" s="348"/>
      <c r="I33" s="29" t="s">
        <v>6</v>
      </c>
      <c r="J33" s="323">
        <f>AVERAGE(I10:I24)</f>
        <v>99.191979205092679</v>
      </c>
      <c r="K33" s="284">
        <f>COUNTA([3]Brewhouse!$A$696:$A$777)</f>
        <v>82</v>
      </c>
      <c r="L33" s="305">
        <f>AVERAGE([3]Brewhouse!$AU$696:$AU$777)</f>
        <v>98.708609088551611</v>
      </c>
      <c r="M33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$777)</f>
        <v>98.333279100756897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5" customHeight="1">
      <c r="A34" s="28"/>
      <c r="B34" s="538"/>
      <c r="C34" s="362"/>
      <c r="D34" s="524"/>
      <c r="E34" s="525"/>
      <c r="F34" s="294"/>
      <c r="G34" s="294"/>
      <c r="H34" s="348"/>
      <c r="I34" s="33" t="s">
        <v>9</v>
      </c>
      <c r="J34" s="323"/>
      <c r="K34" s="284">
        <f>COUNTA([4]Brewhouse!$A$363:$A$380)</f>
        <v>18</v>
      </c>
      <c r="L34" s="302">
        <f>AVERAGE([4]Brewhouse!$AS$363:$AS$380)</f>
        <v>99.237321929974939</v>
      </c>
      <c r="M34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AVERAGE([4]Brewhouse!$AS$52:$AS$81,[4]Brewhouse!$AS$83:$AS$124,[4]Brewhouse!$AS$134:$AS$177,[4]Brewhouse!$AS$22:$AS$179,[4]Brewhouse!$AS$214:$AS$249,[4]Brewhouse!$AS$252:$AS$293,[4]Brewhouse!$AS$295:$AS$325,[4]Brewhouse!$AS$327:$AS$361,[4]Brewhouse!$AS$363:$AS$380)</f>
        <v>98.280844420420635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65" customHeight="1">
      <c r="A35" s="28"/>
      <c r="B35" s="538"/>
      <c r="C35" s="362"/>
      <c r="D35" s="529"/>
      <c r="E35" s="530"/>
      <c r="F35" s="294"/>
      <c r="G35" s="294"/>
      <c r="H35" s="348"/>
      <c r="I35" s="34" t="s">
        <v>12</v>
      </c>
      <c r="J35" s="323"/>
      <c r="K35" s="284">
        <f>COUNTA([5]Brewhouse!$A$99:$A$106)</f>
        <v>8</v>
      </c>
      <c r="L35" s="302">
        <f>AVERAGE([5]Brewhouse!$AU$99:$AU$106)</f>
        <v>96.462109124412379</v>
      </c>
      <c r="M35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38"/>
      <c r="C36" s="362"/>
      <c r="D36" s="531"/>
      <c r="E36" s="525"/>
      <c r="F36" s="294"/>
      <c r="G36" s="294"/>
      <c r="H36" s="348"/>
      <c r="I36" s="22" t="s">
        <v>33</v>
      </c>
      <c r="J36" s="280"/>
      <c r="K36" s="284"/>
      <c r="L36" s="302"/>
      <c r="M36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65" customHeight="1">
      <c r="A37" s="28"/>
      <c r="B37" s="538"/>
      <c r="C37" s="362"/>
      <c r="D37" s="529"/>
      <c r="E37" s="530"/>
      <c r="F37" s="294"/>
      <c r="G37" s="294"/>
      <c r="H37" s="348"/>
      <c r="I37" s="35" t="s">
        <v>29</v>
      </c>
      <c r="J37" s="280"/>
      <c r="K37" s="284"/>
      <c r="L37" s="302"/>
      <c r="M37" s="302"/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65" customHeight="1">
      <c r="A38" s="28"/>
      <c r="B38" s="538"/>
      <c r="C38" s="362"/>
      <c r="D38" s="531"/>
      <c r="E38" s="525"/>
      <c r="F38" s="417"/>
      <c r="G38" s="294"/>
      <c r="H38" s="348"/>
      <c r="I38" s="36" t="s">
        <v>15</v>
      </c>
      <c r="J38" s="323"/>
      <c r="K38" s="284">
        <f>COUNTA([7]Brewhouse!$A$23:$A$30)</f>
        <v>8</v>
      </c>
      <c r="L38" s="302">
        <f>AVERAGE([7]Brewhouse!$AT$23:$AT$30)</f>
        <v>96.065914782338609</v>
      </c>
      <c r="M38" s="302">
        <f>AVERAGE([7]Brewhouse!$AT$4:$AT$11,[7]Brewhouse!$AT$13:$AT$16,[7]Brewhouse!$AT$18:$AT$30)</f>
        <v>93.22262799886262</v>
      </c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65" customHeight="1">
      <c r="A39" s="28"/>
      <c r="B39" s="538"/>
      <c r="C39" s="362"/>
      <c r="D39" s="529"/>
      <c r="E39" s="530"/>
      <c r="F39" s="417"/>
      <c r="G39" s="294"/>
      <c r="H39" s="348"/>
      <c r="I39" s="37" t="s">
        <v>16</v>
      </c>
      <c r="J39" s="323"/>
      <c r="K39" s="284"/>
      <c r="L39" s="302"/>
      <c r="M39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9" s="30">
        <v>98</v>
      </c>
      <c r="O39" s="11"/>
      <c r="P39" s="31" t="s">
        <v>41</v>
      </c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</row>
    <row r="40" spans="1:27" ht="14.65" customHeight="1">
      <c r="A40" s="28"/>
      <c r="B40" s="538"/>
      <c r="C40" s="362"/>
      <c r="D40" s="531"/>
      <c r="E40" s="525"/>
      <c r="F40" s="294"/>
      <c r="G40" s="294"/>
      <c r="H40" s="348"/>
      <c r="I40" s="411" t="s">
        <v>158</v>
      </c>
      <c r="J40" s="326"/>
      <c r="K40" s="284"/>
      <c r="L40" s="305"/>
      <c r="M40" s="305"/>
      <c r="N40" s="30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</row>
    <row r="41" spans="1:27" ht="14.65" customHeight="1">
      <c r="A41" s="28"/>
      <c r="B41" s="538"/>
      <c r="C41" s="362"/>
      <c r="D41" s="529"/>
      <c r="E41" s="530"/>
      <c r="F41" s="294"/>
      <c r="G41" s="294"/>
      <c r="H41" s="348"/>
      <c r="I41" s="410" t="s">
        <v>157</v>
      </c>
      <c r="J41" s="326"/>
      <c r="K41" s="284"/>
      <c r="L41" s="305"/>
      <c r="M41" s="305"/>
      <c r="N41" s="30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" customHeight="1" thickBot="1">
      <c r="A42" s="28"/>
      <c r="B42" s="538"/>
      <c r="C42" s="362"/>
      <c r="D42" s="531"/>
      <c r="E42" s="525"/>
      <c r="F42" s="294"/>
      <c r="G42" s="294"/>
      <c r="H42" s="348"/>
      <c r="I42" s="406" t="s">
        <v>156</v>
      </c>
      <c r="J42" s="327"/>
      <c r="K42" s="407"/>
      <c r="L42" s="408"/>
      <c r="M42" s="408"/>
      <c r="N42" s="409">
        <v>98</v>
      </c>
      <c r="O42" s="11"/>
      <c r="P42" s="31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" customHeight="1" thickBot="1">
      <c r="A43" s="28"/>
      <c r="B43" s="538"/>
      <c r="C43" s="349"/>
      <c r="D43" s="522"/>
      <c r="E43" s="523"/>
      <c r="F43" s="294"/>
      <c r="G43" s="294"/>
      <c r="H43" s="348"/>
      <c r="I43" s="1"/>
      <c r="J43" s="39"/>
      <c r="K43" s="404">
        <f>SUM(K33:K42)</f>
        <v>116</v>
      </c>
      <c r="L43" s="405">
        <f>((L33*K33)+(L34*K34)+(L35*K35)+(L36*K36)+(L37*K37)+(K40*L40)+(L38*K38)+(L39*K39)+(L42*K42))/(K43)</f>
        <v>98.45346492461023</v>
      </c>
      <c r="M43" s="405">
        <f>AVERAGE('[9]Jan30th-31st'!$L$42,'[10]Feb 27th-28th'!$L$45,'[11]Mar 31st'!$L$42,'[12]Apr 30th'!$L$41,'[13]May 29th '!$L$35,'[14]June 30th'!$L$32,[15]July31st!$L$36,'[16]Aug 31st'!$L$32,L43)</f>
        <v>98.042160359468724</v>
      </c>
      <c r="N43" s="40">
        <v>98</v>
      </c>
      <c r="O43" s="11"/>
      <c r="P43" s="31"/>
      <c r="R43" s="277">
        <f t="shared" si="0"/>
        <v>0</v>
      </c>
      <c r="S43" s="472" t="e">
        <f t="shared" si="1"/>
        <v>#N/A</v>
      </c>
      <c r="T43" s="472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2" t="e">
        <f t="shared" si="8"/>
        <v>#N/A</v>
      </c>
      <c r="AA43" s="472"/>
    </row>
    <row r="44" spans="1:27" ht="15.75" thickBot="1">
      <c r="B44" s="539"/>
      <c r="C44" s="350"/>
      <c r="D44" s="524"/>
      <c r="E44" s="525"/>
      <c r="F44" s="294"/>
      <c r="G44" s="42"/>
      <c r="H44" s="41"/>
      <c r="I44" s="42"/>
      <c r="J44" s="42"/>
      <c r="K44" s="351"/>
      <c r="L44" s="348"/>
      <c r="M44" s="348"/>
      <c r="N44" s="11"/>
      <c r="O44" s="294"/>
      <c r="P44" s="12"/>
      <c r="R44" s="277">
        <f t="shared" si="0"/>
        <v>0</v>
      </c>
      <c r="S44" s="472" t="e">
        <f t="shared" si="1"/>
        <v>#N/A</v>
      </c>
      <c r="T44" s="472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472" t="e">
        <f t="shared" si="8"/>
        <v>#N/A</v>
      </c>
      <c r="AA44" s="472"/>
    </row>
    <row r="45" spans="1:27" ht="15.75" thickBot="1">
      <c r="B45" s="519"/>
      <c r="C45" s="362"/>
      <c r="D45" s="522"/>
      <c r="E45" s="523"/>
      <c r="F45" s="294"/>
      <c r="G45" s="42"/>
      <c r="H45" s="41"/>
      <c r="I45" s="42"/>
      <c r="J45" s="526" t="s">
        <v>129</v>
      </c>
      <c r="K45" s="526"/>
      <c r="L45" s="294"/>
      <c r="M45" s="294"/>
      <c r="N45" s="294"/>
      <c r="O45" s="294"/>
      <c r="P45" s="12"/>
    </row>
    <row r="46" spans="1:27" ht="15.75" thickBot="1">
      <c r="B46" s="520"/>
      <c r="C46" s="362"/>
      <c r="D46" s="524"/>
      <c r="E46" s="525"/>
      <c r="F46" s="294"/>
      <c r="G46" s="42"/>
      <c r="H46" s="42"/>
      <c r="I46" s="42"/>
      <c r="J46" s="292" t="s">
        <v>17</v>
      </c>
      <c r="K46" s="293"/>
      <c r="L46" s="527" t="s">
        <v>136</v>
      </c>
      <c r="M46" s="527"/>
      <c r="N46" s="528"/>
      <c r="O46" s="294"/>
      <c r="P46" s="12"/>
    </row>
    <row r="47" spans="1:27" ht="15" customHeight="1" thickBot="1">
      <c r="B47" s="520"/>
      <c r="C47" s="349"/>
      <c r="D47" s="529"/>
      <c r="E47" s="530"/>
      <c r="F47" s="294"/>
      <c r="G47" s="42"/>
      <c r="H47" s="42"/>
      <c r="I47" s="42"/>
      <c r="J47" s="287" t="s">
        <v>6</v>
      </c>
      <c r="K47" s="324">
        <v>8</v>
      </c>
      <c r="L47" s="473" t="s">
        <v>37</v>
      </c>
      <c r="M47" s="474" t="s">
        <v>38</v>
      </c>
      <c r="N47" s="474" t="s">
        <v>84</v>
      </c>
      <c r="O47" s="294"/>
      <c r="P47" s="12"/>
    </row>
    <row r="48" spans="1:27" ht="15.75" customHeight="1" thickBot="1">
      <c r="B48" s="520"/>
      <c r="C48" s="349"/>
      <c r="D48" s="531"/>
      <c r="E48" s="525"/>
      <c r="F48" s="294"/>
      <c r="G48" s="42"/>
      <c r="H48" s="42"/>
      <c r="I48" s="42"/>
      <c r="J48" s="345" t="s">
        <v>9</v>
      </c>
      <c r="K48" s="324"/>
      <c r="L48" s="485">
        <f>AVERAGE('Sept 1st'!K45,'Sept 2nd'!K47,'Sept 3rd'!K44,'Sept 4th'!K46,'Sept 7th'!K48,'Sept 8th'!K48,'Sept 9th'!K50,'Sept 10th'!K49,'Sept 11th '!K45,'Sept 14th'!K45,'Sept 15th'!K48,'Sept 16th'!K51,'Sept 17th '!K52,'Sept 18th'!K42,'Sept 21st'!K48,'Sept 22nd'!K46,K57)</f>
        <v>6.7647058823529411</v>
      </c>
      <c r="M48" s="486">
        <f>AVERAGE('[9]Jan30th-31st'!$L$47,L48,'[10]Feb 26th '!$L$39,'[11]Mar 31st'!$L$47,'[12]Apr 30th'!$L$46,'[13]May 29th '!$L$40,'[14]June 30th'!$L$39,[15]July31st!$L$41,'[16]Aug 31st'!$L$37)</f>
        <v>6.4894232508043252</v>
      </c>
      <c r="N48" s="416">
        <v>9.1999999999999993</v>
      </c>
      <c r="O48" s="294"/>
      <c r="P48" s="12"/>
    </row>
    <row r="49" spans="2:57" ht="15" customHeight="1">
      <c r="B49" s="520"/>
      <c r="C49" s="349"/>
      <c r="D49" s="529"/>
      <c r="E49" s="530"/>
      <c r="F49" s="294"/>
      <c r="G49" s="42"/>
      <c r="H49" s="42"/>
      <c r="I49" s="42"/>
      <c r="J49" s="288" t="s">
        <v>40</v>
      </c>
      <c r="K49" s="324"/>
      <c r="L49" s="294"/>
      <c r="M49" s="294"/>
      <c r="N49" s="294"/>
      <c r="O49" s="294"/>
      <c r="P49" s="12"/>
    </row>
    <row r="50" spans="2:57" ht="15" customHeight="1">
      <c r="B50" s="520"/>
      <c r="C50" s="349"/>
      <c r="D50" s="531"/>
      <c r="E50" s="525"/>
      <c r="F50" s="294"/>
      <c r="G50" s="42"/>
      <c r="H50" s="42"/>
      <c r="I50" s="42"/>
      <c r="J50" s="289" t="s">
        <v>33</v>
      </c>
      <c r="K50" s="324"/>
      <c r="L50" s="294"/>
      <c r="M50" s="294"/>
      <c r="N50" s="294"/>
      <c r="O50" s="294"/>
      <c r="P50" s="12"/>
    </row>
    <row r="51" spans="2:57" ht="15">
      <c r="B51" s="520"/>
      <c r="C51" s="349"/>
      <c r="D51" s="529"/>
      <c r="E51" s="530"/>
      <c r="F51" s="294"/>
      <c r="G51" s="42"/>
      <c r="H51" s="42"/>
      <c r="I51" s="42"/>
      <c r="J51" s="290" t="s">
        <v>16</v>
      </c>
      <c r="K51" s="324"/>
      <c r="L51" s="294"/>
      <c r="M51" s="294"/>
      <c r="N51" s="294"/>
      <c r="O51" s="294"/>
      <c r="P51" s="12"/>
      <c r="BC51" s="44"/>
      <c r="BD51" s="44"/>
    </row>
    <row r="52" spans="2:57" ht="15">
      <c r="B52" s="520"/>
      <c r="C52" s="349"/>
      <c r="D52" s="531"/>
      <c r="E52" s="525"/>
      <c r="F52" s="294"/>
      <c r="G52" s="42"/>
      <c r="H52" s="42"/>
      <c r="I52" s="42"/>
      <c r="J52" s="291" t="s">
        <v>15</v>
      </c>
      <c r="K52" s="324"/>
      <c r="L52" s="294"/>
      <c r="M52" s="294"/>
      <c r="N52" s="294"/>
      <c r="O52" s="294"/>
      <c r="P52" s="12"/>
      <c r="BC52" s="44"/>
      <c r="BD52" s="44"/>
    </row>
    <row r="53" spans="2:57" ht="15">
      <c r="B53" s="520"/>
      <c r="C53" s="349"/>
      <c r="D53" s="529"/>
      <c r="E53" s="530"/>
      <c r="F53" s="294"/>
      <c r="G53" s="42"/>
      <c r="H53" s="42"/>
      <c r="I53" s="42"/>
      <c r="J53" s="291" t="s">
        <v>149</v>
      </c>
      <c r="K53" s="324"/>
      <c r="L53" s="294"/>
      <c r="M53" s="294"/>
      <c r="N53" s="294"/>
      <c r="O53" s="294"/>
      <c r="P53" s="12"/>
      <c r="BC53" s="44"/>
      <c r="BD53" s="44"/>
    </row>
    <row r="54" spans="2:57" ht="15.75" thickBot="1">
      <c r="B54" s="521"/>
      <c r="C54" s="350"/>
      <c r="D54" s="532"/>
      <c r="E54" s="533"/>
      <c r="F54" s="294" t="s">
        <v>165</v>
      </c>
      <c r="G54" s="42"/>
      <c r="H54" s="42"/>
      <c r="I54" s="42"/>
      <c r="J54" s="291" t="s">
        <v>148</v>
      </c>
      <c r="K54" s="324"/>
      <c r="L54" s="294"/>
      <c r="M54" s="294"/>
      <c r="N54" s="294" t="s">
        <v>41</v>
      </c>
      <c r="O54" s="294"/>
      <c r="P54" s="12"/>
      <c r="BC54" s="44"/>
      <c r="BD54" s="44"/>
    </row>
    <row r="55" spans="2:57" ht="17.649999999999999" customHeight="1" thickBot="1">
      <c r="B55" s="312" t="s">
        <v>139</v>
      </c>
      <c r="C55" s="313"/>
      <c r="D55" s="510"/>
      <c r="E55" s="511"/>
      <c r="F55" s="294"/>
      <c r="J55" s="295" t="s">
        <v>134</v>
      </c>
      <c r="K55" s="324"/>
      <c r="L55" s="294"/>
      <c r="M55" s="294"/>
      <c r="N55" s="294"/>
      <c r="O55" s="294"/>
      <c r="P55" s="12"/>
      <c r="BC55" s="44"/>
      <c r="BD55" s="44"/>
    </row>
    <row r="56" spans="2:57" ht="17.649999999999999" customHeight="1">
      <c r="B56" s="363"/>
      <c r="C56" s="364"/>
      <c r="D56" s="365"/>
      <c r="E56" s="365"/>
      <c r="F56" s="294"/>
      <c r="G56" s="42"/>
      <c r="H56" s="42"/>
      <c r="I56" s="42"/>
      <c r="J56" s="295" t="s">
        <v>131</v>
      </c>
      <c r="K56" s="324"/>
      <c r="L56" s="294"/>
      <c r="M56" s="294"/>
      <c r="N56" s="294"/>
      <c r="O56" s="294"/>
      <c r="P56" s="12"/>
      <c r="BC56" s="44"/>
      <c r="BD56" s="44"/>
    </row>
    <row r="57" spans="2:57" ht="15.6" customHeight="1">
      <c r="B57" s="45"/>
      <c r="C57" s="11"/>
      <c r="D57" s="11"/>
      <c r="E57" s="46"/>
      <c r="F57" s="294"/>
      <c r="G57" s="42"/>
      <c r="H57" s="42"/>
      <c r="I57" s="42"/>
      <c r="J57" s="346" t="s">
        <v>130</v>
      </c>
      <c r="K57" s="324">
        <f>SUM(K47:K56)</f>
        <v>8</v>
      </c>
      <c r="L57" s="294"/>
      <c r="M57" s="294"/>
      <c r="N57" s="294"/>
      <c r="O57" s="294"/>
      <c r="P57" s="12"/>
    </row>
    <row r="58" spans="2:57" ht="20.25" customHeight="1">
      <c r="B58" s="15" t="s">
        <v>42</v>
      </c>
      <c r="C58" s="1" t="s">
        <v>43</v>
      </c>
      <c r="D58" s="1"/>
      <c r="E58" s="1"/>
      <c r="F58" s="294"/>
      <c r="G58" s="42"/>
      <c r="H58" s="41"/>
      <c r="I58" s="42"/>
      <c r="L58" s="42"/>
      <c r="N58" s="315"/>
      <c r="P58" s="334"/>
    </row>
    <row r="59" spans="2:57" ht="15" customHeight="1" thickBot="1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1"/>
      <c r="O59" s="48"/>
      <c r="P59" s="49"/>
    </row>
    <row r="60" spans="2:57" ht="15" customHeight="1" thickBot="1">
      <c r="B60" s="504" t="s">
        <v>17</v>
      </c>
      <c r="C60" s="504" t="s">
        <v>44</v>
      </c>
      <c r="D60" s="513" t="s">
        <v>45</v>
      </c>
      <c r="E60" s="515" t="s">
        <v>46</v>
      </c>
      <c r="F60" s="517" t="s">
        <v>47</v>
      </c>
      <c r="G60" s="502" t="s">
        <v>48</v>
      </c>
      <c r="H60" s="504" t="s">
        <v>49</v>
      </c>
      <c r="I60" s="504" t="s">
        <v>50</v>
      </c>
      <c r="J60" s="496" t="s">
        <v>28</v>
      </c>
      <c r="K60" s="506" t="s">
        <v>51</v>
      </c>
      <c r="L60" s="508" t="s">
        <v>52</v>
      </c>
      <c r="M60" s="496" t="s">
        <v>53</v>
      </c>
      <c r="N60" s="13"/>
      <c r="O60" s="13"/>
      <c r="P60" s="50"/>
    </row>
    <row r="61" spans="2:57" ht="28.5" customHeight="1" thickTop="1" thickBot="1">
      <c r="B61" s="505"/>
      <c r="C61" s="512"/>
      <c r="D61" s="514"/>
      <c r="E61" s="516"/>
      <c r="F61" s="518"/>
      <c r="G61" s="503"/>
      <c r="H61" s="505"/>
      <c r="I61" s="505"/>
      <c r="J61" s="497"/>
      <c r="K61" s="507"/>
      <c r="L61" s="509"/>
      <c r="M61" s="497"/>
      <c r="N61" s="13"/>
      <c r="O61" s="13"/>
      <c r="P61" s="50"/>
      <c r="Q61" s="355"/>
      <c r="AB61" s="475">
        <v>43474</v>
      </c>
      <c r="AC61" s="475">
        <v>43475</v>
      </c>
      <c r="AD61" s="475">
        <v>43476</v>
      </c>
      <c r="AE61" s="475">
        <v>43477</v>
      </c>
      <c r="AF61" s="475">
        <v>43478</v>
      </c>
      <c r="AG61" s="475">
        <v>43479</v>
      </c>
      <c r="AH61" s="475">
        <v>43480</v>
      </c>
      <c r="AI61" s="475">
        <v>43481</v>
      </c>
      <c r="AJ61" s="475">
        <v>43482</v>
      </c>
      <c r="AK61" s="475">
        <v>43483</v>
      </c>
      <c r="AL61" s="475">
        <v>43484</v>
      </c>
      <c r="AM61" s="475">
        <v>43485</v>
      </c>
      <c r="AN61" s="475">
        <v>43486</v>
      </c>
      <c r="AO61" s="475">
        <v>43487</v>
      </c>
      <c r="AP61" s="475">
        <v>43488</v>
      </c>
      <c r="AQ61" s="475">
        <v>43489</v>
      </c>
      <c r="AR61" s="475">
        <v>43490</v>
      </c>
      <c r="AS61" s="475">
        <v>43491</v>
      </c>
      <c r="AT61" s="475">
        <v>43492</v>
      </c>
      <c r="AU61" s="475">
        <v>43493</v>
      </c>
      <c r="AV61" s="475">
        <v>43494</v>
      </c>
      <c r="AW61" s="475">
        <v>43495</v>
      </c>
      <c r="AX61" s="475">
        <v>43496</v>
      </c>
    </row>
    <row r="62" spans="2:57" s="54" customFormat="1" ht="36.75" customHeight="1" thickBot="1">
      <c r="B62" s="456" t="str">
        <f>J47</f>
        <v>CARIB</v>
      </c>
      <c r="C62" s="479">
        <v>46289</v>
      </c>
      <c r="D62" s="445">
        <f>[17]September_2026!$AA$3</f>
        <v>302.89999999999998</v>
      </c>
      <c r="E62" s="443"/>
      <c r="F62" s="444"/>
      <c r="G62" s="444">
        <f>[17]September_2026!$AA$7</f>
        <v>294.60000000000002</v>
      </c>
      <c r="H62" s="458"/>
      <c r="I62" s="458"/>
      <c r="J62" s="448" t="s">
        <v>174</v>
      </c>
      <c r="K62" s="449">
        <f>[18]September_2026!$AA$18</f>
        <v>1.0336842105263158</v>
      </c>
      <c r="L62" s="457">
        <f>(((D62+E62)-G62)/(D62+E62))*100</f>
        <v>2.7401782766589484</v>
      </c>
      <c r="M62" s="455" t="s">
        <v>176</v>
      </c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[19]January_2019!L5</f>
        <v>0</v>
      </c>
      <c r="AC62" s="57">
        <f>[19]January_2019!M5</f>
        <v>0</v>
      </c>
      <c r="AD62" s="57">
        <f>[19]January_2019!N5</f>
        <v>0</v>
      </c>
      <c r="AE62" s="57">
        <f>[19]January_2019!O5</f>
        <v>0</v>
      </c>
      <c r="AF62" s="57">
        <f>[19]January_2019!P5</f>
        <v>0</v>
      </c>
      <c r="AG62" s="57">
        <f>[19]January_2019!Q5</f>
        <v>0</v>
      </c>
      <c r="AH62" s="57">
        <f>[19]January_2019!R5</f>
        <v>0</v>
      </c>
      <c r="AI62" s="57">
        <f>[19]January_2019!S5</f>
        <v>0</v>
      </c>
      <c r="AJ62" s="57">
        <f>[19]January_2019!T5</f>
        <v>0</v>
      </c>
      <c r="AK62" s="57">
        <f>[19]January_2019!U5</f>
        <v>0</v>
      </c>
      <c r="AL62" s="57">
        <f>[19]January_2019!V5</f>
        <v>0</v>
      </c>
      <c r="AM62" s="57">
        <f>[19]January_2019!W5</f>
        <v>0</v>
      </c>
      <c r="AN62" s="57">
        <f>[19]January_2019!X5</f>
        <v>0</v>
      </c>
      <c r="AO62" s="57">
        <f>[19]January_2019!Y5</f>
        <v>0</v>
      </c>
      <c r="AP62" s="57">
        <f>[19]January_2019!Z5</f>
        <v>0</v>
      </c>
      <c r="AQ62" s="57">
        <f>[19]January_2019!AA5</f>
        <v>0</v>
      </c>
      <c r="AR62" s="57">
        <f>[19]January_2019!AB5</f>
        <v>0</v>
      </c>
      <c r="AS62" s="57">
        <f>[19]January_2019!AC5</f>
        <v>0</v>
      </c>
      <c r="AT62" s="57">
        <f>[19]January_2019!AD5</f>
        <v>0</v>
      </c>
      <c r="AU62" s="57">
        <f>[19]January_2019!AE5</f>
        <v>0</v>
      </c>
      <c r="AV62" s="57">
        <f>[19]January_2019!AF5</f>
        <v>0</v>
      </c>
      <c r="AW62" s="57">
        <f>[19]January_2019!AG5</f>
        <v>0</v>
      </c>
      <c r="AX62" s="277">
        <f>[19]January_2019!AH5</f>
        <v>0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14.25" hidden="1" customHeight="1" thickBot="1">
      <c r="B63" s="480"/>
      <c r="C63" s="479"/>
      <c r="D63" s="442"/>
      <c r="E63" s="443"/>
      <c r="F63" s="444"/>
      <c r="G63" s="445"/>
      <c r="H63" s="458"/>
      <c r="I63" s="458"/>
      <c r="J63" s="476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[19]January_2019!L6</f>
        <v>0</v>
      </c>
      <c r="AC63" s="57">
        <f>[19]January_2019!M6</f>
        <v>0</v>
      </c>
      <c r="AD63" s="57">
        <f>[19]January_2019!N6</f>
        <v>0</v>
      </c>
      <c r="AE63" s="57">
        <f>[19]January_2019!O6</f>
        <v>0</v>
      </c>
      <c r="AF63" s="57">
        <f>[19]January_2019!P6</f>
        <v>0</v>
      </c>
      <c r="AG63" s="57">
        <f>[19]January_2019!Q6</f>
        <v>0</v>
      </c>
      <c r="AH63" s="57">
        <f>[19]January_2019!R6</f>
        <v>0</v>
      </c>
      <c r="AI63" s="57">
        <f>[19]January_2019!S6</f>
        <v>0</v>
      </c>
      <c r="AJ63" s="57">
        <f>[19]January_2019!T6</f>
        <v>0</v>
      </c>
      <c r="AK63" s="57">
        <f>[19]January_2019!U6</f>
        <v>0</v>
      </c>
      <c r="AL63" s="57">
        <f>[19]January_2019!V6</f>
        <v>0</v>
      </c>
      <c r="AM63" s="57">
        <f>[19]January_2019!W6</f>
        <v>0</v>
      </c>
      <c r="AN63" s="57">
        <f>[19]January_2019!X6</f>
        <v>0</v>
      </c>
      <c r="AO63" s="57">
        <f>[19]January_2019!Y6</f>
        <v>0</v>
      </c>
      <c r="AP63" s="57">
        <f>[19]January_2019!Z6</f>
        <v>0</v>
      </c>
      <c r="AQ63" s="57">
        <f>[19]January_2019!AA6</f>
        <v>0</v>
      </c>
      <c r="AR63" s="57">
        <f>[19]January_2019!AB6</f>
        <v>0</v>
      </c>
      <c r="AS63" s="57">
        <f>[19]January_2019!AC6</f>
        <v>0</v>
      </c>
      <c r="AT63" s="57">
        <f>[19]January_2019!AD6</f>
        <v>0</v>
      </c>
      <c r="AU63" s="57">
        <f>[19]January_2019!AE6</f>
        <v>0</v>
      </c>
      <c r="AV63" s="57">
        <f>[19]January_2019!AF6</f>
        <v>0</v>
      </c>
      <c r="AW63" s="57">
        <f>[19]January_2019!AG6</f>
        <v>0</v>
      </c>
      <c r="AX63" s="277">
        <f>[19]January_2019!AH6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37.15" hidden="1" customHeight="1" thickBot="1">
      <c r="B64" s="491" t="str">
        <f>J48</f>
        <v>STAG</v>
      </c>
      <c r="C64" s="479">
        <v>46287</v>
      </c>
      <c r="D64" s="442">
        <f>[17]September_2026!$Y$13</f>
        <v>190.70000000000002</v>
      </c>
      <c r="E64" s="443"/>
      <c r="F64" s="444"/>
      <c r="G64" s="444">
        <f>[17]September_2026!$Y$17</f>
        <v>184.3</v>
      </c>
      <c r="H64" s="446"/>
      <c r="I64" s="446"/>
      <c r="J64" s="448" t="s">
        <v>174</v>
      </c>
      <c r="K64" s="449">
        <f>[18]September_2026!$Y$25</f>
        <v>0.64666666666666672</v>
      </c>
      <c r="L64" s="457">
        <f>(((D64+E64)-G64)/(D64+E64))*100</f>
        <v>3.3560566334556925</v>
      </c>
      <c r="M64" s="455" t="s">
        <v>176</v>
      </c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[19]January_2019!L7</f>
        <v>285.8</v>
      </c>
      <c r="AC64" s="57">
        <f>[19]January_2019!M7</f>
        <v>508.1</v>
      </c>
      <c r="AD64" s="57">
        <f>[19]January_2019!N7</f>
        <v>0</v>
      </c>
      <c r="AE64" s="57">
        <f>[19]January_2019!O7</f>
        <v>0</v>
      </c>
      <c r="AF64" s="57">
        <f>[19]January_2019!P7</f>
        <v>109.56666666666666</v>
      </c>
      <c r="AG64" s="57">
        <f>[19]January_2019!Q7</f>
        <v>297.64999999999998</v>
      </c>
      <c r="AH64" s="57">
        <f>[19]January_2019!R7</f>
        <v>122.3</v>
      </c>
      <c r="AI64" s="57">
        <f>[19]January_2019!S7</f>
        <v>0</v>
      </c>
      <c r="AJ64" s="57">
        <f>[19]January_2019!T7</f>
        <v>294.7</v>
      </c>
      <c r="AK64" s="57">
        <f>[19]January_2019!U7</f>
        <v>280.5</v>
      </c>
      <c r="AL64" s="57">
        <f>[19]January_2019!V7</f>
        <v>0</v>
      </c>
      <c r="AM64" s="57">
        <f>[19]January_2019!W7</f>
        <v>0</v>
      </c>
      <c r="AN64" s="57">
        <f>[19]January_2019!X7</f>
        <v>188.25</v>
      </c>
      <c r="AO64" s="57">
        <f>[19]January_2019!Y7</f>
        <v>295.7</v>
      </c>
      <c r="AP64" s="57">
        <f>[19]January_2019!Z7</f>
        <v>257.8</v>
      </c>
      <c r="AQ64" s="57">
        <f>[19]January_2019!AA7</f>
        <v>291.2</v>
      </c>
      <c r="AR64" s="57">
        <f>[19]January_2019!AB7</f>
        <v>187</v>
      </c>
      <c r="AS64" s="57">
        <f>[19]January_2019!AC7</f>
        <v>0</v>
      </c>
      <c r="AT64" s="57">
        <f>[19]January_2019!AD7</f>
        <v>0</v>
      </c>
      <c r="AU64" s="57">
        <f>[19]January_2019!AE7</f>
        <v>485.1</v>
      </c>
      <c r="AV64" s="57">
        <f>[19]January_2019!AF7</f>
        <v>171.55</v>
      </c>
      <c r="AW64" s="57">
        <f>[19]January_2019!AG7</f>
        <v>423.8</v>
      </c>
      <c r="AX64" s="277">
        <f>[19]January_2019!AH7</f>
        <v>0</v>
      </c>
      <c r="AY64" s="277"/>
      <c r="AZ64" s="277"/>
      <c r="BA64" s="277"/>
      <c r="BB64" s="277"/>
      <c r="BC64" s="277"/>
      <c r="BD64" s="277"/>
      <c r="BE64" s="277"/>
    </row>
    <row r="65" spans="2:57" s="54" customFormat="1" ht="18.600000000000001" hidden="1" customHeight="1" thickBot="1">
      <c r="B65" s="478"/>
      <c r="C65" s="430"/>
      <c r="D65" s="431"/>
      <c r="E65" s="432"/>
      <c r="F65" s="433"/>
      <c r="G65" s="434"/>
      <c r="H65" s="458"/>
      <c r="I65" s="458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8.65" hidden="1" customHeight="1" thickBot="1">
      <c r="B66" s="487"/>
      <c r="C66" s="479"/>
      <c r="D66" s="442"/>
      <c r="E66" s="443"/>
      <c r="F66" s="444"/>
      <c r="G66" s="445"/>
      <c r="H66" s="458"/>
      <c r="I66" s="458"/>
      <c r="J66" s="448"/>
      <c r="K66" s="45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5" hidden="1">
      <c r="B67" s="453"/>
      <c r="C67" s="430"/>
      <c r="D67" s="431"/>
      <c r="E67" s="432"/>
      <c r="F67" s="433"/>
      <c r="G67" s="434"/>
      <c r="H67" s="435"/>
      <c r="I67" s="450"/>
      <c r="J67" s="451"/>
      <c r="K67" s="436"/>
      <c r="L67" s="452"/>
      <c r="M67" s="421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7.15" hidden="1" customHeight="1" thickBot="1">
      <c r="B68" s="481"/>
      <c r="C68" s="479"/>
      <c r="D68" s="442"/>
      <c r="E68" s="443"/>
      <c r="F68" s="444"/>
      <c r="G68" s="445"/>
      <c r="H68" s="446"/>
      <c r="I68" s="447"/>
      <c r="J68" s="448"/>
      <c r="K68" s="449"/>
      <c r="L68" s="457"/>
      <c r="M68" s="455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16.5" hidden="1" customHeight="1" thickBot="1">
      <c r="B69" s="437"/>
      <c r="C69" s="423"/>
      <c r="D69" s="424"/>
      <c r="E69" s="425"/>
      <c r="F69" s="426"/>
      <c r="G69" s="427"/>
      <c r="H69" s="428"/>
      <c r="I69" s="438"/>
      <c r="J69" s="439"/>
      <c r="K69" s="429"/>
      <c r="L69" s="440"/>
      <c r="M69" s="422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415"/>
      <c r="AC69" s="415"/>
      <c r="AD69" s="415"/>
      <c r="AE69" s="415"/>
      <c r="AF69" s="415"/>
      <c r="AG69" s="415"/>
      <c r="AH69" s="415"/>
      <c r="AI69" s="415"/>
      <c r="AJ69" s="415"/>
      <c r="AK69" s="415"/>
      <c r="AL69" s="415"/>
      <c r="AM69" s="415"/>
      <c r="AN69" s="415"/>
      <c r="AO69" s="415"/>
      <c r="AP69" s="415"/>
      <c r="AQ69" s="415"/>
      <c r="AR69" s="415"/>
      <c r="AS69" s="415"/>
      <c r="AT69" s="415"/>
      <c r="AU69" s="415"/>
      <c r="AV69" s="415"/>
      <c r="AW69" s="415"/>
    </row>
    <row r="70" spans="2:57" s="54" customFormat="1" ht="37.15" hidden="1" customHeight="1" thickBot="1">
      <c r="B70" s="456"/>
      <c r="C70" s="441"/>
      <c r="D70" s="442"/>
      <c r="E70" s="443"/>
      <c r="F70" s="444"/>
      <c r="G70" s="445"/>
      <c r="H70" s="446"/>
      <c r="I70" s="447"/>
      <c r="J70" s="448"/>
      <c r="K70" s="449"/>
      <c r="L70" s="457"/>
      <c r="M70" s="454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s="54" customFormat="1" ht="37.15" customHeight="1">
      <c r="B71" s="466"/>
      <c r="C71" s="430"/>
      <c r="D71" s="460"/>
      <c r="E71" s="461"/>
      <c r="F71" s="462"/>
      <c r="G71" s="460"/>
      <c r="H71" s="463"/>
      <c r="I71" s="463"/>
      <c r="J71" s="463"/>
      <c r="K71" s="464"/>
      <c r="L71" s="465"/>
      <c r="M71" s="50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277"/>
      <c r="AY71" s="277"/>
      <c r="AZ71" s="277"/>
      <c r="BA71" s="277"/>
      <c r="BB71" s="277"/>
      <c r="BC71" s="277"/>
      <c r="BD71" s="277"/>
      <c r="BE71" s="277"/>
    </row>
    <row r="72" spans="2:57" ht="18" customHeight="1" thickBot="1">
      <c r="B72" s="59"/>
      <c r="C72" s="30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 t="s">
        <v>41</v>
      </c>
      <c r="O72" s="56"/>
      <c r="P72" s="60"/>
    </row>
    <row r="73" spans="2:57" ht="15.75" thickBot="1">
      <c r="B73" s="498" t="s">
        <v>55</v>
      </c>
      <c r="C73" s="499"/>
      <c r="D73" s="499"/>
      <c r="E73" s="499"/>
      <c r="F73" s="500"/>
      <c r="G73" s="498" t="s">
        <v>56</v>
      </c>
      <c r="H73" s="499"/>
      <c r="I73" s="499"/>
      <c r="J73" s="500"/>
      <c r="K73" s="498" t="s">
        <v>51</v>
      </c>
      <c r="L73" s="499"/>
      <c r="M73" s="499"/>
      <c r="N73" s="501"/>
      <c r="O73" s="56"/>
      <c r="P73" s="50"/>
    </row>
    <row r="74" spans="2:57" ht="15">
      <c r="B74" s="61" t="s">
        <v>17</v>
      </c>
      <c r="C74" s="62" t="s">
        <v>36</v>
      </c>
      <c r="D74" s="62" t="s">
        <v>37</v>
      </c>
      <c r="E74" s="62" t="s">
        <v>38</v>
      </c>
      <c r="F74" s="63" t="s">
        <v>39</v>
      </c>
      <c r="G74" s="62" t="s">
        <v>36</v>
      </c>
      <c r="H74" s="62" t="s">
        <v>37</v>
      </c>
      <c r="I74" s="62" t="s">
        <v>38</v>
      </c>
      <c r="J74" s="63" t="s">
        <v>39</v>
      </c>
      <c r="K74" s="62" t="s">
        <v>36</v>
      </c>
      <c r="L74" s="62" t="s">
        <v>37</v>
      </c>
      <c r="M74" s="62" t="s">
        <v>38</v>
      </c>
      <c r="N74" s="63" t="s">
        <v>39</v>
      </c>
      <c r="O74" s="56"/>
      <c r="P74" s="64"/>
    </row>
    <row r="75" spans="2:57" ht="15">
      <c r="B75" s="29" t="s">
        <v>6</v>
      </c>
      <c r="C75" s="65">
        <f>L62</f>
        <v>2.7401782766589484</v>
      </c>
      <c r="D75" s="76">
        <v>6.5229659742996704</v>
      </c>
      <c r="E75" s="76">
        <v>6.5193700112432769</v>
      </c>
      <c r="F75" s="66">
        <v>4.8</v>
      </c>
      <c r="G75" s="65">
        <f>[17]September_2026!$AA$11</f>
        <v>0.6842796060842663</v>
      </c>
      <c r="H75" s="477">
        <v>5.7910975261786639</v>
      </c>
      <c r="I75" s="477">
        <v>6.5511187503051573</v>
      </c>
      <c r="J75" s="66">
        <v>4.8</v>
      </c>
      <c r="K75" s="67">
        <f>K62</f>
        <v>1.0336842105263158</v>
      </c>
      <c r="L75" s="194">
        <v>0.65182309941520467</v>
      </c>
      <c r="M75" s="194">
        <v>0.54032562531481076</v>
      </c>
      <c r="N75" s="68">
        <v>1</v>
      </c>
      <c r="O75" s="56"/>
      <c r="P75" s="69"/>
    </row>
    <row r="76" spans="2:57" ht="15">
      <c r="B76" s="33" t="s">
        <v>9</v>
      </c>
      <c r="C76" s="65"/>
      <c r="D76" s="76">
        <v>6.720758239391091</v>
      </c>
      <c r="E76" s="76">
        <v>5.8780358526209691</v>
      </c>
      <c r="F76" s="66">
        <v>4.8</v>
      </c>
      <c r="G76" s="65"/>
      <c r="H76" s="76">
        <v>5.7002127582026105</v>
      </c>
      <c r="I76" s="76">
        <v>5.9275658832823668</v>
      </c>
      <c r="J76" s="66">
        <v>4.8</v>
      </c>
      <c r="K76" s="67"/>
      <c r="L76" s="194">
        <v>0.58195614035087728</v>
      </c>
      <c r="M76" s="194">
        <v>0.68829197714926005</v>
      </c>
      <c r="N76" s="68">
        <v>1</v>
      </c>
      <c r="P76" s="69"/>
    </row>
    <row r="77" spans="2:57" ht="15">
      <c r="B77" s="34" t="s">
        <v>40</v>
      </c>
      <c r="C77" s="65"/>
      <c r="D77" s="76"/>
      <c r="E77" s="76">
        <v>11.277593164016125</v>
      </c>
      <c r="F77" s="66">
        <v>5.5</v>
      </c>
      <c r="G77" s="65"/>
      <c r="H77" s="76"/>
      <c r="I77" s="76">
        <v>11.857907912244482</v>
      </c>
      <c r="J77" s="66">
        <v>5.5</v>
      </c>
      <c r="K77" s="67"/>
      <c r="L77" s="194"/>
      <c r="M77" s="194">
        <v>0.35370190356844494</v>
      </c>
      <c r="N77" s="68">
        <v>1</v>
      </c>
      <c r="P77" s="69"/>
    </row>
    <row r="78" spans="2:57" ht="15">
      <c r="B78" s="22" t="s">
        <v>33</v>
      </c>
      <c r="C78" s="65"/>
      <c r="D78" s="76"/>
      <c r="E78" s="76">
        <v>4.8685538193023836</v>
      </c>
      <c r="F78" s="66">
        <v>3.3</v>
      </c>
      <c r="G78" s="65"/>
      <c r="H78" s="76"/>
      <c r="I78" s="76">
        <v>4.8702525342252114</v>
      </c>
      <c r="J78" s="66">
        <v>3.3</v>
      </c>
      <c r="K78" s="67"/>
      <c r="L78" s="194"/>
      <c r="M78" s="194">
        <v>0.77919298245614044</v>
      </c>
      <c r="N78" s="68">
        <v>1</v>
      </c>
      <c r="P78" s="69"/>
    </row>
    <row r="79" spans="2:57" ht="15">
      <c r="B79" s="35" t="s">
        <v>164</v>
      </c>
      <c r="C79" s="65"/>
      <c r="D79" s="76"/>
      <c r="E79" s="76"/>
      <c r="F79" s="66">
        <v>3.3</v>
      </c>
      <c r="G79" s="282"/>
      <c r="H79" s="76"/>
      <c r="I79" s="76"/>
      <c r="J79" s="66">
        <v>3</v>
      </c>
      <c r="K79" s="67"/>
      <c r="L79" s="194"/>
      <c r="M79" s="194"/>
      <c r="N79" s="68">
        <v>1</v>
      </c>
      <c r="P79" s="69"/>
    </row>
    <row r="80" spans="2:57" ht="15">
      <c r="B80" s="36" t="s">
        <v>15</v>
      </c>
      <c r="C80" s="65"/>
      <c r="D80" s="76">
        <v>6.8855672629257718</v>
      </c>
      <c r="E80" s="76">
        <v>6.3233965672990236</v>
      </c>
      <c r="F80" s="70">
        <v>5.5</v>
      </c>
      <c r="G80" s="65"/>
      <c r="H80" s="76">
        <v>7.4264332958762713</v>
      </c>
      <c r="I80" s="76">
        <v>7.9667553186446929</v>
      </c>
      <c r="J80" s="66">
        <v>5.5</v>
      </c>
      <c r="K80" s="67"/>
      <c r="L80" s="194">
        <v>0.391812865497076</v>
      </c>
      <c r="M80" s="194">
        <v>0.5883625730994152</v>
      </c>
      <c r="N80" s="68">
        <v>1</v>
      </c>
      <c r="P80" s="69"/>
    </row>
    <row r="81" spans="2:16" ht="15">
      <c r="B81" s="37" t="s">
        <v>16</v>
      </c>
      <c r="C81" s="482"/>
      <c r="D81" s="76"/>
      <c r="E81" s="76">
        <v>3.6168923014750334</v>
      </c>
      <c r="F81" s="66">
        <v>3.3</v>
      </c>
      <c r="G81" s="282"/>
      <c r="H81" s="76"/>
      <c r="I81" s="76">
        <v>5.0091179718082053</v>
      </c>
      <c r="J81" s="66">
        <v>3.3</v>
      </c>
      <c r="K81" s="67"/>
      <c r="L81" s="194"/>
      <c r="M81" s="194">
        <v>0.92642300194931759</v>
      </c>
      <c r="N81" s="71">
        <v>1</v>
      </c>
      <c r="P81" s="69"/>
    </row>
    <row r="82" spans="2:16" ht="15.75" thickBot="1">
      <c r="B82" s="38" t="s">
        <v>163</v>
      </c>
      <c r="C82" s="65"/>
      <c r="D82" s="76"/>
      <c r="E82" s="76"/>
      <c r="F82" s="66">
        <v>7.5</v>
      </c>
      <c r="G82" s="282"/>
      <c r="H82" s="76"/>
      <c r="I82" s="76"/>
      <c r="J82" s="66">
        <v>7.5</v>
      </c>
      <c r="K82" s="67"/>
      <c r="L82" s="194"/>
      <c r="M82" s="194"/>
      <c r="N82" s="71">
        <v>1</v>
      </c>
      <c r="P82" s="69"/>
    </row>
    <row r="83" spans="2:16" ht="15.75" thickBot="1">
      <c r="B83" s="414" t="s">
        <v>161</v>
      </c>
      <c r="C83" s="65"/>
      <c r="D83" s="76"/>
      <c r="E83" s="76"/>
      <c r="F83" s="66">
        <v>4.8</v>
      </c>
      <c r="G83" s="282"/>
      <c r="H83" s="76"/>
      <c r="I83" s="76"/>
      <c r="J83" s="66">
        <v>4.8</v>
      </c>
      <c r="K83" s="67"/>
      <c r="L83" s="194"/>
      <c r="M83" s="194"/>
      <c r="N83" s="71">
        <v>1</v>
      </c>
      <c r="O83" s="74"/>
      <c r="P83" s="75"/>
    </row>
    <row r="84" spans="2:16" ht="15">
      <c r="D84" s="76">
        <v>6.5959052058248897</v>
      </c>
      <c r="E84" s="76">
        <v>6.3525693659974207</v>
      </c>
      <c r="F84" s="341">
        <v>5.5</v>
      </c>
      <c r="H84" s="76">
        <v>5.9089000952681392</v>
      </c>
      <c r="I84" s="76">
        <v>6.6274433812991713</v>
      </c>
      <c r="J84" s="341">
        <v>5.5</v>
      </c>
      <c r="L84" s="194">
        <v>0.59606001846722068</v>
      </c>
      <c r="M84" s="194">
        <v>0.59813227734050001</v>
      </c>
      <c r="N84" s="386">
        <v>1</v>
      </c>
    </row>
  </sheetData>
  <mergeCells count="51">
    <mergeCell ref="M60:M61"/>
    <mergeCell ref="B73:F73"/>
    <mergeCell ref="G73:J73"/>
    <mergeCell ref="K73:N73"/>
    <mergeCell ref="G60:G61"/>
    <mergeCell ref="H60:H61"/>
    <mergeCell ref="I60:I61"/>
    <mergeCell ref="J60:J61"/>
    <mergeCell ref="K60:K61"/>
    <mergeCell ref="L60:L61"/>
    <mergeCell ref="D55:E55"/>
    <mergeCell ref="B60:B61"/>
    <mergeCell ref="C60:C61"/>
    <mergeCell ref="D60:D61"/>
    <mergeCell ref="E60:E61"/>
    <mergeCell ref="F60:F61"/>
    <mergeCell ref="B45:B54"/>
    <mergeCell ref="D45:E46"/>
    <mergeCell ref="J45:K45"/>
    <mergeCell ref="L46:N46"/>
    <mergeCell ref="D47:E48"/>
    <mergeCell ref="D49:E50"/>
    <mergeCell ref="D51:E52"/>
    <mergeCell ref="D53:E54"/>
    <mergeCell ref="I31:N31"/>
    <mergeCell ref="D32:E32"/>
    <mergeCell ref="B33:B44"/>
    <mergeCell ref="D33:E34"/>
    <mergeCell ref="D35:E36"/>
    <mergeCell ref="D37:E38"/>
    <mergeCell ref="D39:E40"/>
    <mergeCell ref="D41:E42"/>
    <mergeCell ref="D43:E44"/>
    <mergeCell ref="I8:I9"/>
    <mergeCell ref="J8:J9"/>
    <mergeCell ref="K8:K9"/>
    <mergeCell ref="L8:L9"/>
    <mergeCell ref="O8:O9"/>
    <mergeCell ref="P8:P9"/>
    <mergeCell ref="C5:D5"/>
    <mergeCell ref="B8:B9"/>
    <mergeCell ref="C8:C9"/>
    <mergeCell ref="D8:D9"/>
    <mergeCell ref="G8:G9"/>
    <mergeCell ref="H8:H9"/>
    <mergeCell ref="S1:T1"/>
    <mergeCell ref="U1:V1"/>
    <mergeCell ref="W1:X1"/>
    <mergeCell ref="Y1:Z1"/>
    <mergeCell ref="B2:O2"/>
    <mergeCell ref="M4:N4"/>
  </mergeCells>
  <conditionalFormatting sqref="B55:B56">
    <cfRule type="cellIs" dxfId="190" priority="102" operator="notBetween">
      <formula>#REF!</formula>
      <formula>#REF!</formula>
    </cfRule>
  </conditionalFormatting>
  <conditionalFormatting sqref="C59">
    <cfRule type="cellIs" dxfId="189" priority="184" stopIfTrue="1" operator="lessThan">
      <formula>96</formula>
    </cfRule>
    <cfRule type="cellIs" dxfId="188" priority="185" stopIfTrue="1" operator="greaterThan">
      <formula>100</formula>
    </cfRule>
  </conditionalFormatting>
  <conditionalFormatting sqref="C75:C76">
    <cfRule type="cellIs" dxfId="187" priority="65" stopIfTrue="1" operator="greaterThan">
      <formula>$F75</formula>
    </cfRule>
    <cfRule type="cellIs" dxfId="186" priority="66" stopIfTrue="1" operator="lessThanOrEqual">
      <formula>0</formula>
    </cfRule>
    <cfRule type="cellIs" dxfId="185" priority="67" stopIfTrue="1" operator="greaterThan">
      <formula>$F75</formula>
    </cfRule>
    <cfRule type="cellIs" dxfId="184" priority="68" stopIfTrue="1" operator="lessThanOrEqual">
      <formula>0</formula>
    </cfRule>
  </conditionalFormatting>
  <conditionalFormatting sqref="C77:C79 C81:C83">
    <cfRule type="cellIs" dxfId="183" priority="74" stopIfTrue="1" operator="greaterThan">
      <formula>$F80</formula>
    </cfRule>
  </conditionalFormatting>
  <conditionalFormatting sqref="C77:C79">
    <cfRule type="cellIs" dxfId="182" priority="75" stopIfTrue="1" operator="lessThanOrEqual">
      <formula>0</formula>
    </cfRule>
  </conditionalFormatting>
  <conditionalFormatting sqref="C80">
    <cfRule type="cellIs" dxfId="181" priority="186" stopIfTrue="1" operator="greaterThan">
      <formula>$F75</formula>
    </cfRule>
    <cfRule type="cellIs" dxfId="180" priority="187" stopIfTrue="1" operator="lessThanOrEqual">
      <formula>0</formula>
    </cfRule>
    <cfRule type="cellIs" dxfId="179" priority="188" stopIfTrue="1" operator="greaterThan">
      <formula>$F75</formula>
    </cfRule>
    <cfRule type="cellIs" dxfId="178" priority="189" stopIfTrue="1" operator="lessThanOrEqual">
      <formula>0</formula>
    </cfRule>
  </conditionalFormatting>
  <conditionalFormatting sqref="C81:C83">
    <cfRule type="cellIs" dxfId="177" priority="76" stopIfTrue="1" operator="lessThanOrEqual">
      <formula>0</formula>
    </cfRule>
  </conditionalFormatting>
  <conditionalFormatting sqref="C86:C90">
    <cfRule type="cellIs" dxfId="176" priority="176" stopIfTrue="1" operator="lessThanOrEqual">
      <formula>0</formula>
    </cfRule>
  </conditionalFormatting>
  <conditionalFormatting sqref="C87:C90">
    <cfRule type="cellIs" dxfId="175" priority="175" stopIfTrue="1" operator="greaterThan">
      <formula>$F$86</formula>
    </cfRule>
  </conditionalFormatting>
  <conditionalFormatting sqref="C92">
    <cfRule type="cellIs" dxfId="174" priority="177" stopIfTrue="1" operator="greaterThan">
      <formula>$F$86</formula>
    </cfRule>
    <cfRule type="cellIs" dxfId="173" priority="178" stopIfTrue="1" operator="lessThanOrEqual">
      <formula>0</formula>
    </cfRule>
  </conditionalFormatting>
  <conditionalFormatting sqref="C80:D80">
    <cfRule type="cellIs" dxfId="172" priority="63" stopIfTrue="1" operator="greaterThan">
      <formula>$J80</formula>
    </cfRule>
    <cfRule type="cellIs" dxfId="171" priority="64" stopIfTrue="1" operator="lessThanOrEqual">
      <formula>0</formula>
    </cfRule>
  </conditionalFormatting>
  <conditionalFormatting sqref="C86:D86 D88:D94">
    <cfRule type="cellIs" dxfId="170" priority="170" stopIfTrue="1" operator="greaterThan">
      <formula>4.5</formula>
    </cfRule>
  </conditionalFormatting>
  <conditionalFormatting sqref="D55:D56">
    <cfRule type="cellIs" dxfId="169" priority="103" operator="notBetween">
      <formula>#REF!</formula>
      <formula>#REF!</formula>
    </cfRule>
  </conditionalFormatting>
  <conditionalFormatting sqref="D75:D79 D81:D82">
    <cfRule type="cellIs" dxfId="168" priority="73" stopIfTrue="1" operator="lessThanOrEqual">
      <formula>0</formula>
    </cfRule>
  </conditionalFormatting>
  <conditionalFormatting sqref="D75:D79 D81:D84">
    <cfRule type="cellIs" dxfId="167" priority="69" stopIfTrue="1" operator="lessThanOrEqual">
      <formula>0</formula>
    </cfRule>
    <cfRule type="cellIs" dxfId="166" priority="70" stopIfTrue="1" operator="greaterThan">
      <formula>$F75</formula>
    </cfRule>
  </conditionalFormatting>
  <conditionalFormatting sqref="D83:D84">
    <cfRule type="cellIs" dxfId="165" priority="71" stopIfTrue="1" operator="lessThanOrEqual">
      <formula>0</formula>
    </cfRule>
  </conditionalFormatting>
  <conditionalFormatting sqref="D84">
    <cfRule type="cellIs" dxfId="164" priority="72" stopIfTrue="1" operator="lessThanOrEqual">
      <formula>0</formula>
    </cfRule>
  </conditionalFormatting>
  <conditionalFormatting sqref="D86 D88:D94">
    <cfRule type="cellIs" dxfId="163" priority="171" stopIfTrue="1" operator="lessThanOrEqual">
      <formula>0</formula>
    </cfRule>
  </conditionalFormatting>
  <conditionalFormatting sqref="D87">
    <cfRule type="cellIs" dxfId="162" priority="162" stopIfTrue="1" operator="greaterThan">
      <formula>$F$86</formula>
    </cfRule>
    <cfRule type="cellIs" dxfId="161" priority="163" stopIfTrue="1" operator="lessThanOrEqual">
      <formula>0</formula>
    </cfRule>
  </conditionalFormatting>
  <conditionalFormatting sqref="E10:E30">
    <cfRule type="cellIs" dxfId="160" priority="7" operator="lessThan">
      <formula>48</formula>
    </cfRule>
  </conditionalFormatting>
  <conditionalFormatting sqref="E58 E59:F59">
    <cfRule type="cellIs" dxfId="159" priority="167" stopIfTrue="1" operator="greaterThan">
      <formula>100</formula>
    </cfRule>
  </conditionalFormatting>
  <conditionalFormatting sqref="E59">
    <cfRule type="cellIs" dxfId="158" priority="164" stopIfTrue="1" operator="lessThan">
      <formula>96.8</formula>
    </cfRule>
    <cfRule type="cellIs" dxfId="157" priority="165" stopIfTrue="1" operator="greaterThan">
      <formula>100</formula>
    </cfRule>
  </conditionalFormatting>
  <conditionalFormatting sqref="E75:E83">
    <cfRule type="cellIs" dxfId="156" priority="36" stopIfTrue="1" operator="lessThanOrEqual">
      <formula>0</formula>
    </cfRule>
  </conditionalFormatting>
  <conditionalFormatting sqref="E75:E84">
    <cfRule type="cellIs" dxfId="155" priority="37" stopIfTrue="1" operator="greaterThan">
      <formula>$F75</formula>
    </cfRule>
    <cfRule type="cellIs" dxfId="154" priority="38" stopIfTrue="1" operator="lessThanOrEqual">
      <formula>0</formula>
    </cfRule>
  </conditionalFormatting>
  <conditionalFormatting sqref="E84">
    <cfRule type="cellIs" dxfId="153" priority="39" stopIfTrue="1" operator="lessThanOrEqual">
      <formula>0</formula>
    </cfRule>
  </conditionalFormatting>
  <conditionalFormatting sqref="E86:E94">
    <cfRule type="cellIs" dxfId="152" priority="156" stopIfTrue="1" operator="greaterThan">
      <formula>4.5</formula>
    </cfRule>
    <cfRule type="cellIs" dxfId="151" priority="157" stopIfTrue="1" operator="lessThanOrEqual">
      <formula>0</formula>
    </cfRule>
  </conditionalFormatting>
  <conditionalFormatting sqref="E59:F59 E58">
    <cfRule type="cellIs" dxfId="150" priority="166" stopIfTrue="1" operator="lessThan">
      <formula>96.5</formula>
    </cfRule>
  </conditionalFormatting>
  <conditionalFormatting sqref="F10:F30">
    <cfRule type="cellIs" dxfId="149" priority="8" operator="greaterThan">
      <formula>60</formula>
    </cfRule>
  </conditionalFormatting>
  <conditionalFormatting sqref="F59">
    <cfRule type="cellIs" dxfId="148" priority="182" stopIfTrue="1" operator="lessThan">
      <formula>96.8</formula>
    </cfRule>
    <cfRule type="cellIs" dxfId="147" priority="183" stopIfTrue="1" operator="greaterThan">
      <formula>100</formula>
    </cfRule>
  </conditionalFormatting>
  <conditionalFormatting sqref="G10:G29 M10:N29 H10:H30">
    <cfRule type="expression" dxfId="146" priority="11">
      <formula>IF(+(IF(G10&lt;#REF!,0,IF(G10&gt;#REF!,0,1)))=0,1)</formula>
    </cfRule>
  </conditionalFormatting>
  <conditionalFormatting sqref="G30">
    <cfRule type="expression" dxfId="145" priority="10">
      <formula>IF(+(IF(G30&lt;S30,0,IF(G30&gt;T30,0,1)))=0,1)</formula>
    </cfRule>
  </conditionalFormatting>
  <conditionalFormatting sqref="G75:G78 F84">
    <cfRule type="cellIs" dxfId="144" priority="45" stopIfTrue="1" operator="greaterThan">
      <formula>$F75</formula>
    </cfRule>
    <cfRule type="cellIs" dxfId="143" priority="46" stopIfTrue="1" operator="lessThanOrEqual">
      <formula>0</formula>
    </cfRule>
  </conditionalFormatting>
  <conditionalFormatting sqref="G77:G78">
    <cfRule type="cellIs" dxfId="142" priority="31" stopIfTrue="1" operator="greaterThan">
      <formula>$F77</formula>
    </cfRule>
    <cfRule type="cellIs" dxfId="141" priority="32" stopIfTrue="1" operator="lessThanOrEqual">
      <formula>0</formula>
    </cfRule>
  </conditionalFormatting>
  <conditionalFormatting sqref="G79:G83">
    <cfRule type="cellIs" dxfId="140" priority="47" stopIfTrue="1" operator="greaterThan">
      <formula>$J79</formula>
    </cfRule>
    <cfRule type="cellIs" dxfId="139" priority="48" stopIfTrue="1" operator="lessThanOrEqual">
      <formula>0</formula>
    </cfRule>
  </conditionalFormatting>
  <conditionalFormatting sqref="G80">
    <cfRule type="cellIs" dxfId="138" priority="190" stopIfTrue="1" operator="greaterThan">
      <formula>$F75</formula>
    </cfRule>
    <cfRule type="cellIs" dxfId="137" priority="191" stopIfTrue="1" operator="lessThanOrEqual">
      <formula>0</formula>
    </cfRule>
  </conditionalFormatting>
  <conditionalFormatting sqref="G88:G93 C91 C93">
    <cfRule type="cellIs" dxfId="136" priority="179" stopIfTrue="1" operator="greaterThan">
      <formula>4.5</formula>
    </cfRule>
    <cfRule type="cellIs" dxfId="135" priority="180" stopIfTrue="1" operator="lessThanOrEqual">
      <formula>0</formula>
    </cfRule>
  </conditionalFormatting>
  <conditionalFormatting sqref="G87:H87">
    <cfRule type="cellIs" dxfId="134" priority="160" stopIfTrue="1" operator="greaterThan">
      <formula>$F$86</formula>
    </cfRule>
    <cfRule type="cellIs" dxfId="133" priority="161" stopIfTrue="1" operator="lessThanOrEqual">
      <formula>0</formula>
    </cfRule>
  </conditionalFormatting>
  <conditionalFormatting sqref="H44:H45 H58">
    <cfRule type="cellIs" dxfId="132" priority="158" stopIfTrue="1" operator="greaterThan">
      <formula>0</formula>
    </cfRule>
  </conditionalFormatting>
  <conditionalFormatting sqref="H62">
    <cfRule type="cellIs" dxfId="131" priority="50" stopIfTrue="1" operator="lessThanOrEqual">
      <formula>0</formula>
    </cfRule>
    <cfRule type="cellIs" dxfId="130" priority="51" stopIfTrue="1" operator="greaterThan">
      <formula>$F$75</formula>
    </cfRule>
    <cfRule type="cellIs" dxfId="129" priority="59" stopIfTrue="1" operator="greaterThan">
      <formula>$F$78</formula>
    </cfRule>
    <cfRule type="cellIs" dxfId="128" priority="60" stopIfTrue="1" operator="lessThanOrEqual">
      <formula>0</formula>
    </cfRule>
    <cfRule type="cellIs" dxfId="127" priority="61" stopIfTrue="1" operator="greaterThan">
      <formula>$F$76</formula>
    </cfRule>
  </conditionalFormatting>
  <conditionalFormatting sqref="H62:H63">
    <cfRule type="cellIs" dxfId="126" priority="62" stopIfTrue="1" operator="lessThanOrEqual">
      <formula>0</formula>
    </cfRule>
  </conditionalFormatting>
  <conditionalFormatting sqref="H63 H65:H66">
    <cfRule type="cellIs" dxfId="125" priority="88" stopIfTrue="1" operator="lessThanOrEqual">
      <formula>0</formula>
    </cfRule>
  </conditionalFormatting>
  <conditionalFormatting sqref="H63">
    <cfRule type="cellIs" dxfId="124" priority="77" stopIfTrue="1" operator="greaterThan">
      <formula>$F$75</formula>
    </cfRule>
    <cfRule type="cellIs" dxfId="123" priority="85" stopIfTrue="1" operator="greaterThan">
      <formula>$F$78</formula>
    </cfRule>
    <cfRule type="cellIs" dxfId="122" priority="86" stopIfTrue="1" operator="lessThanOrEqual">
      <formula>0</formula>
    </cfRule>
    <cfRule type="cellIs" dxfId="121" priority="87" stopIfTrue="1" operator="greaterThan">
      <formula>$F$76</formula>
    </cfRule>
  </conditionalFormatting>
  <conditionalFormatting sqref="H64">
    <cfRule type="cellIs" dxfId="120" priority="17" stopIfTrue="1" operator="lessThanOrEqual">
      <formula>0</formula>
    </cfRule>
    <cfRule type="cellIs" dxfId="119" priority="18" stopIfTrue="1" operator="greaterThan">
      <formula>$F$77</formula>
    </cfRule>
    <cfRule type="cellIs" dxfId="118" priority="26" stopIfTrue="1" operator="greaterThan">
      <formula>$F$80</formula>
    </cfRule>
    <cfRule type="cellIs" dxfId="117" priority="27" stopIfTrue="1" operator="lessThanOrEqual">
      <formula>0</formula>
    </cfRule>
    <cfRule type="cellIs" dxfId="116" priority="28" stopIfTrue="1" operator="greaterThan">
      <formula>$F$78</formula>
    </cfRule>
    <cfRule type="cellIs" dxfId="115" priority="29" stopIfTrue="1" operator="lessThanOrEqual">
      <formula>0</formula>
    </cfRule>
  </conditionalFormatting>
  <conditionalFormatting sqref="H65:H66">
    <cfRule type="cellIs" dxfId="114" priority="90" stopIfTrue="1" operator="greaterThan">
      <formula>$F$75</formula>
    </cfRule>
    <cfRule type="cellIs" dxfId="113" priority="98" stopIfTrue="1" operator="greaterThan">
      <formula>$F$78</formula>
    </cfRule>
    <cfRule type="cellIs" dxfId="112" priority="99" stopIfTrue="1" operator="lessThanOrEqual">
      <formula>0</formula>
    </cfRule>
    <cfRule type="cellIs" dxfId="111" priority="100" stopIfTrue="1" operator="greaterThan">
      <formula>$F$76</formula>
    </cfRule>
    <cfRule type="cellIs" dxfId="110" priority="101" stopIfTrue="1" operator="lessThanOrEqual">
      <formula>0</formula>
    </cfRule>
  </conditionalFormatting>
  <conditionalFormatting sqref="H67:H68">
    <cfRule type="cellIs" dxfId="109" priority="125" stopIfTrue="1" operator="lessThanOrEqual">
      <formula>0</formula>
    </cfRule>
    <cfRule type="cellIs" dxfId="108" priority="126" stopIfTrue="1" operator="greaterThan">
      <formula>#REF!</formula>
    </cfRule>
    <cfRule type="cellIs" dxfId="107" priority="134" stopIfTrue="1" operator="greaterThan">
      <formula>#REF!</formula>
    </cfRule>
    <cfRule type="cellIs" dxfId="106" priority="135" stopIfTrue="1" operator="lessThanOrEqual">
      <formula>0</formula>
    </cfRule>
  </conditionalFormatting>
  <conditionalFormatting sqref="H69">
    <cfRule type="cellIs" dxfId="105" priority="137" stopIfTrue="1" operator="lessThanOrEqual">
      <formula>0</formula>
    </cfRule>
    <cfRule type="cellIs" dxfId="104" priority="138" stopIfTrue="1" operator="greaterThan">
      <formula>$F$43</formula>
    </cfRule>
    <cfRule type="cellIs" dxfId="103" priority="146" stopIfTrue="1" operator="greaterThan">
      <formula>$F$46</formula>
    </cfRule>
    <cfRule type="cellIs" dxfId="102" priority="147" stopIfTrue="1" operator="lessThanOrEqual">
      <formula>0</formula>
    </cfRule>
    <cfRule type="cellIs" dxfId="101" priority="148" stopIfTrue="1" operator="greaterThan">
      <formula>$F$44</formula>
    </cfRule>
    <cfRule type="cellIs" dxfId="100" priority="149" stopIfTrue="1" operator="lessThanOrEqual">
      <formula>0</formula>
    </cfRule>
  </conditionalFormatting>
  <conditionalFormatting sqref="H70:H71">
    <cfRule type="cellIs" dxfId="99" priority="113" stopIfTrue="1" operator="lessThanOrEqual">
      <formula>0</formula>
    </cfRule>
    <cfRule type="cellIs" dxfId="98" priority="114" stopIfTrue="1" operator="greaterThan">
      <formula>#REF!</formula>
    </cfRule>
    <cfRule type="cellIs" dxfId="97" priority="122" stopIfTrue="1" operator="greaterThan">
      <formula>#REF!</formula>
    </cfRule>
    <cfRule type="cellIs" dxfId="96" priority="123" stopIfTrue="1" operator="lessThanOrEqual">
      <formula>0</formula>
    </cfRule>
  </conditionalFormatting>
  <conditionalFormatting sqref="H86 H88:H94">
    <cfRule type="cellIs" dxfId="95" priority="172" stopIfTrue="1" operator="greaterThan">
      <formula>4.5</formula>
    </cfRule>
    <cfRule type="cellIs" dxfId="94" priority="173" stopIfTrue="1" operator="lessThanOrEqual">
      <formula>0</formula>
    </cfRule>
  </conditionalFormatting>
  <conditionalFormatting sqref="H62:I62">
    <cfRule type="cellIs" dxfId="93" priority="52" stopIfTrue="1" operator="lessThanOrEqual">
      <formula>0</formula>
    </cfRule>
  </conditionalFormatting>
  <conditionalFormatting sqref="H62:I63 H65:I66">
    <cfRule type="cellIs" dxfId="92" priority="49" stopIfTrue="1" operator="greaterThan">
      <formula>$F$77</formula>
    </cfRule>
  </conditionalFormatting>
  <conditionalFormatting sqref="H63:I63">
    <cfRule type="cellIs" dxfId="91" priority="78" stopIfTrue="1" operator="lessThanOrEqual">
      <formula>0</formula>
    </cfRule>
  </conditionalFormatting>
  <conditionalFormatting sqref="H64:I64">
    <cfRule type="cellIs" dxfId="90" priority="16" stopIfTrue="1" operator="greaterThan">
      <formula>$F$79</formula>
    </cfRule>
    <cfRule type="cellIs" dxfId="89" priority="19" stopIfTrue="1" operator="lessThanOrEqual">
      <formula>0</formula>
    </cfRule>
  </conditionalFormatting>
  <conditionalFormatting sqref="H65:I66">
    <cfRule type="cellIs" dxfId="88" priority="91" stopIfTrue="1" operator="lessThanOrEqual">
      <formula>0</formula>
    </cfRule>
  </conditionalFormatting>
  <conditionalFormatting sqref="H67:I68">
    <cfRule type="cellIs" dxfId="87" priority="124" stopIfTrue="1" operator="greaterThan">
      <formula>#REF!</formula>
    </cfRule>
    <cfRule type="cellIs" dxfId="86" priority="127" stopIfTrue="1" operator="lessThanOrEqual">
      <formula>0</formula>
    </cfRule>
    <cfRule type="cellIs" dxfId="85" priority="132" stopIfTrue="1" operator="greaterThan">
      <formula>#REF!</formula>
    </cfRule>
    <cfRule type="cellIs" dxfId="84" priority="133" stopIfTrue="1" operator="lessThanOrEqual">
      <formula>0</formula>
    </cfRule>
  </conditionalFormatting>
  <conditionalFormatting sqref="H69:I69">
    <cfRule type="cellIs" dxfId="83" priority="136" stopIfTrue="1" operator="greaterThan">
      <formula>$F$45</formula>
    </cfRule>
    <cfRule type="cellIs" dxfId="82" priority="139" stopIfTrue="1" operator="lessThanOrEqual">
      <formula>0</formula>
    </cfRule>
  </conditionalFormatting>
  <conditionalFormatting sqref="H70:I71">
    <cfRule type="cellIs" dxfId="81" priority="112" stopIfTrue="1" operator="greaterThan">
      <formula>#REF!</formula>
    </cfRule>
    <cfRule type="cellIs" dxfId="80" priority="115" stopIfTrue="1" operator="lessThanOrEqual">
      <formula>0</formula>
    </cfRule>
    <cfRule type="cellIs" dxfId="79" priority="120" stopIfTrue="1" operator="greaterThan">
      <formula>#REF!</formula>
    </cfRule>
    <cfRule type="cellIs" dxfId="78" priority="121" stopIfTrue="1" operator="lessThanOrEqual">
      <formula>0</formula>
    </cfRule>
  </conditionalFormatting>
  <conditionalFormatting sqref="H75:I82">
    <cfRule type="cellIs" dxfId="77" priority="34" stopIfTrue="1" operator="greaterThan">
      <formula>$J75</formula>
    </cfRule>
    <cfRule type="cellIs" dxfId="76" priority="35" stopIfTrue="1" operator="lessThanOrEqual">
      <formula>0</formula>
    </cfRule>
  </conditionalFormatting>
  <conditionalFormatting sqref="H83:I83">
    <cfRule type="cellIs" dxfId="75" priority="42" operator="greaterThan">
      <formula>5.3</formula>
    </cfRule>
  </conditionalFormatting>
  <conditionalFormatting sqref="H84:I84">
    <cfRule type="cellIs" dxfId="74" priority="40" stopIfTrue="1" operator="greaterThan">
      <formula>$J84</formula>
    </cfRule>
    <cfRule type="cellIs" dxfId="73" priority="41" stopIfTrue="1" operator="lessThanOrEqual">
      <formula>0</formula>
    </cfRule>
  </conditionalFormatting>
  <conditionalFormatting sqref="I62">
    <cfRule type="cellIs" dxfId="72" priority="53" stopIfTrue="1" operator="greaterThan">
      <formula>$F$75</formula>
    </cfRule>
    <cfRule type="cellIs" dxfId="71" priority="54" stopIfTrue="1" operator="lessThanOrEqual">
      <formula>0</formula>
    </cfRule>
    <cfRule type="cellIs" dxfId="70" priority="55" stopIfTrue="1" operator="greaterThan">
      <formula>$F$77</formula>
    </cfRule>
    <cfRule type="cellIs" dxfId="69" priority="56" stopIfTrue="1" operator="lessThanOrEqual">
      <formula>0</formula>
    </cfRule>
    <cfRule type="cellIs" dxfId="68" priority="57" stopIfTrue="1" operator="greaterThan">
      <formula>$F$75</formula>
    </cfRule>
    <cfRule type="cellIs" dxfId="67" priority="58" stopIfTrue="1" operator="lessThanOrEqual">
      <formula>0</formula>
    </cfRule>
  </conditionalFormatting>
  <conditionalFormatting sqref="I63">
    <cfRule type="cellIs" dxfId="66" priority="79" stopIfTrue="1" operator="greaterThan">
      <formula>$F$75</formula>
    </cfRule>
    <cfRule type="cellIs" dxfId="65" priority="80" stopIfTrue="1" operator="lessThanOrEqual">
      <formula>0</formula>
    </cfRule>
    <cfRule type="cellIs" dxfId="64" priority="81" stopIfTrue="1" operator="greaterThan">
      <formula>$F$77</formula>
    </cfRule>
    <cfRule type="cellIs" dxfId="63" priority="82" stopIfTrue="1" operator="lessThanOrEqual">
      <formula>0</formula>
    </cfRule>
    <cfRule type="cellIs" dxfId="62" priority="83" stopIfTrue="1" operator="greaterThan">
      <formula>$F$75</formula>
    </cfRule>
    <cfRule type="cellIs" dxfId="61" priority="84" stopIfTrue="1" operator="lessThanOrEqual">
      <formula>0</formula>
    </cfRule>
  </conditionalFormatting>
  <conditionalFormatting sqref="I64">
    <cfRule type="cellIs" dxfId="60" priority="20" stopIfTrue="1" operator="greaterThan">
      <formula>$F$77</formula>
    </cfRule>
    <cfRule type="cellIs" dxfId="59" priority="21" stopIfTrue="1" operator="lessThanOrEqual">
      <formula>0</formula>
    </cfRule>
    <cfRule type="cellIs" dxfId="58" priority="22" stopIfTrue="1" operator="greaterThan">
      <formula>$F$79</formula>
    </cfRule>
    <cfRule type="cellIs" dxfId="57" priority="23" stopIfTrue="1" operator="lessThanOrEqual">
      <formula>0</formula>
    </cfRule>
    <cfRule type="cellIs" dxfId="56" priority="24" stopIfTrue="1" operator="greaterThan">
      <formula>$F$77</formula>
    </cfRule>
    <cfRule type="cellIs" dxfId="55" priority="25" stopIfTrue="1" operator="lessThanOrEqual">
      <formula>0</formula>
    </cfRule>
  </conditionalFormatting>
  <conditionalFormatting sqref="I65:I66">
    <cfRule type="cellIs" dxfId="54" priority="92" stopIfTrue="1" operator="greaterThan">
      <formula>$F$75</formula>
    </cfRule>
    <cfRule type="cellIs" dxfId="53" priority="93" stopIfTrue="1" operator="lessThanOrEqual">
      <formula>0</formula>
    </cfRule>
    <cfRule type="cellIs" dxfId="52" priority="94" stopIfTrue="1" operator="greaterThan">
      <formula>$F$77</formula>
    </cfRule>
    <cfRule type="cellIs" dxfId="51" priority="95" stopIfTrue="1" operator="lessThanOrEqual">
      <formula>0</formula>
    </cfRule>
    <cfRule type="cellIs" dxfId="50" priority="96" stopIfTrue="1" operator="greaterThan">
      <formula>$F$75</formula>
    </cfRule>
    <cfRule type="cellIs" dxfId="49" priority="97" stopIfTrue="1" operator="lessThanOrEqual">
      <formula>0</formula>
    </cfRule>
  </conditionalFormatting>
  <conditionalFormatting sqref="I67:I68">
    <cfRule type="cellIs" dxfId="48" priority="128" stopIfTrue="1" operator="greaterThan">
      <formula>#REF!</formula>
    </cfRule>
    <cfRule type="cellIs" dxfId="47" priority="129" stopIfTrue="1" operator="lessThanOrEqual">
      <formula>0</formula>
    </cfRule>
    <cfRule type="cellIs" dxfId="46" priority="130" stopIfTrue="1" operator="greaterThan">
      <formula>#REF!</formula>
    </cfRule>
    <cfRule type="cellIs" dxfId="45" priority="131" stopIfTrue="1" operator="lessThanOrEqual">
      <formula>0</formula>
    </cfRule>
  </conditionalFormatting>
  <conditionalFormatting sqref="I69">
    <cfRule type="cellIs" dxfId="44" priority="140" stopIfTrue="1" operator="greaterThan">
      <formula>$F$43</formula>
    </cfRule>
    <cfRule type="cellIs" dxfId="43" priority="141" stopIfTrue="1" operator="lessThanOrEqual">
      <formula>0</formula>
    </cfRule>
    <cfRule type="cellIs" dxfId="42" priority="142" stopIfTrue="1" operator="greaterThan">
      <formula>$F$45</formula>
    </cfRule>
    <cfRule type="cellIs" dxfId="41" priority="143" stopIfTrue="1" operator="lessThanOrEqual">
      <formula>0</formula>
    </cfRule>
    <cfRule type="cellIs" dxfId="40" priority="144" stopIfTrue="1" operator="greaterThan">
      <formula>$F$43</formula>
    </cfRule>
    <cfRule type="cellIs" dxfId="39" priority="145" stopIfTrue="1" operator="lessThanOrEqual">
      <formula>0</formula>
    </cfRule>
  </conditionalFormatting>
  <conditionalFormatting sqref="I70:I71">
    <cfRule type="cellIs" dxfId="38" priority="116" stopIfTrue="1" operator="greaterThan">
      <formula>#REF!</formula>
    </cfRule>
    <cfRule type="cellIs" dxfId="37" priority="117" stopIfTrue="1" operator="lessThanOrEqual">
      <formula>0</formula>
    </cfRule>
    <cfRule type="cellIs" dxfId="36" priority="118" stopIfTrue="1" operator="greaterThan">
      <formula>#REF!</formula>
    </cfRule>
    <cfRule type="cellIs" dxfId="35" priority="119" stopIfTrue="1" operator="lessThanOrEqual">
      <formula>0</formula>
    </cfRule>
  </conditionalFormatting>
  <conditionalFormatting sqref="I86:I94">
    <cfRule type="cellIs" dxfId="34" priority="168" stopIfTrue="1" operator="greaterThan">
      <formula>4.5</formula>
    </cfRule>
    <cfRule type="cellIs" dxfId="33" priority="169" stopIfTrue="1" operator="lessThanOrEqual">
      <formula>0</formula>
    </cfRule>
  </conditionalFormatting>
  <conditionalFormatting sqref="I10:J30">
    <cfRule type="cellIs" dxfId="32" priority="1" operator="lessThan">
      <formula>97.9</formula>
    </cfRule>
  </conditionalFormatting>
  <conditionalFormatting sqref="J33:J35">
    <cfRule type="cellIs" dxfId="31" priority="15" operator="lessThan">
      <formula>97.95</formula>
    </cfRule>
  </conditionalFormatting>
  <conditionalFormatting sqref="J34:J37">
    <cfRule type="cellIs" dxfId="30" priority="150" operator="lessThan">
      <formula>97.4</formula>
    </cfRule>
  </conditionalFormatting>
  <conditionalFormatting sqref="J38:J39">
    <cfRule type="cellIs" dxfId="29" priority="151" operator="lessThan">
      <formula>98</formula>
    </cfRule>
  </conditionalFormatting>
  <conditionalFormatting sqref="J40:J41">
    <cfRule type="cellIs" dxfId="28" priority="152" stopIfTrue="1" operator="lessThan">
      <formula>96.8</formula>
    </cfRule>
    <cfRule type="cellIs" dxfId="27" priority="153" stopIfTrue="1" operator="greaterThan">
      <formula>100</formula>
    </cfRule>
  </conditionalFormatting>
  <conditionalFormatting sqref="J40:J42">
    <cfRule type="cellIs" dxfId="26" priority="154" operator="lessThan">
      <formula>98</formula>
    </cfRule>
  </conditionalFormatting>
  <conditionalFormatting sqref="J71">
    <cfRule type="cellIs" dxfId="25" priority="104" stopIfTrue="1" operator="greaterThan">
      <formula>#REF!</formula>
    </cfRule>
    <cfRule type="cellIs" dxfId="24" priority="105" stopIfTrue="1" operator="lessThanOrEqual">
      <formula>0</formula>
    </cfRule>
    <cfRule type="cellIs" dxfId="23" priority="106" stopIfTrue="1" operator="greaterThan">
      <formula>#REF!</formula>
    </cfRule>
    <cfRule type="cellIs" dxfId="22" priority="107" stopIfTrue="1" operator="lessThanOrEqual">
      <formula>0</formula>
    </cfRule>
    <cfRule type="cellIs" dxfId="21" priority="108" stopIfTrue="1" operator="greaterThan">
      <formula>#REF!</formula>
    </cfRule>
    <cfRule type="cellIs" dxfId="20" priority="109" stopIfTrue="1" operator="lessThanOrEqual">
      <formula>0</formula>
    </cfRule>
    <cfRule type="cellIs" dxfId="19" priority="110" stopIfTrue="1" operator="greaterThan">
      <formula>#REF!</formula>
    </cfRule>
    <cfRule type="cellIs" dxfId="18" priority="111" stopIfTrue="1" operator="lessThanOrEqual">
      <formula>0</formula>
    </cfRule>
  </conditionalFormatting>
  <conditionalFormatting sqref="J84">
    <cfRule type="cellIs" dxfId="17" priority="43" stopIfTrue="1" operator="greaterThan">
      <formula>$F84</formula>
    </cfRule>
    <cfRule type="cellIs" dxfId="16" priority="44" stopIfTrue="1" operator="lessThanOrEqual">
      <formula>0</formula>
    </cfRule>
  </conditionalFormatting>
  <conditionalFormatting sqref="K10:K30">
    <cfRule type="cellIs" dxfId="15" priority="2" operator="greaterThan">
      <formula>6</formula>
    </cfRule>
    <cfRule type="cellIs" dxfId="14" priority="3" operator="lessThan">
      <formula>4</formula>
    </cfRule>
    <cfRule type="cellIs" dxfId="13" priority="4" operator="greaterThan">
      <formula>6.4</formula>
    </cfRule>
  </conditionalFormatting>
  <conditionalFormatting sqref="K62:K71">
    <cfRule type="cellIs" dxfId="12" priority="89" stopIfTrue="1" operator="lessThan">
      <formula>100%</formula>
    </cfRule>
  </conditionalFormatting>
  <conditionalFormatting sqref="K75:K83">
    <cfRule type="cellIs" dxfId="11" priority="33" stopIfTrue="1" operator="lessThan">
      <formula>100%</formula>
    </cfRule>
  </conditionalFormatting>
  <conditionalFormatting sqref="K86:K91">
    <cfRule type="cellIs" dxfId="10" priority="174" stopIfTrue="1" operator="lessThan">
      <formula>100%</formula>
    </cfRule>
  </conditionalFormatting>
  <conditionalFormatting sqref="K93:K94">
    <cfRule type="cellIs" dxfId="9" priority="181" stopIfTrue="1" operator="lessThan">
      <formula>100%</formula>
    </cfRule>
  </conditionalFormatting>
  <conditionalFormatting sqref="L10:L30">
    <cfRule type="cellIs" dxfId="8" priority="5" operator="between">
      <formula>61</formula>
      <formula>65</formula>
    </cfRule>
    <cfRule type="cellIs" dxfId="7" priority="6" operator="greaterThan">
      <formula>65</formula>
    </cfRule>
  </conditionalFormatting>
  <conditionalFormatting sqref="L33:M44">
    <cfRule type="cellIs" dxfId="6" priority="14" operator="lessThan">
      <formula>97.95</formula>
    </cfRule>
  </conditionalFormatting>
  <conditionalFormatting sqref="L48:N48">
    <cfRule type="cellIs" dxfId="5" priority="12" operator="notEqual">
      <formula>#REF!</formula>
    </cfRule>
  </conditionalFormatting>
  <conditionalFormatting sqref="L75:N84">
    <cfRule type="cellIs" dxfId="4" priority="30" stopIfTrue="1" operator="lessThan">
      <formula>100%</formula>
    </cfRule>
  </conditionalFormatting>
  <conditionalFormatting sqref="L86:N94">
    <cfRule type="cellIs" dxfId="3" priority="159" stopIfTrue="1" operator="lessThan">
      <formula>100%</formula>
    </cfRule>
  </conditionalFormatting>
  <conditionalFormatting sqref="M30">
    <cfRule type="expression" dxfId="2" priority="9">
      <formula>IF(+(IF(M30&lt;U30,0,IF(M30&gt;V30,0,1)))=0,1)</formula>
    </cfRule>
  </conditionalFormatting>
  <conditionalFormatting sqref="N10:N30">
    <cfRule type="expression" dxfId="1" priority="13">
      <formula>IF(+(IF(N10&lt;W10,0,IF(N10&gt;X10,0,1)))=0,1)</formula>
    </cfRule>
  </conditionalFormatting>
  <conditionalFormatting sqref="P6">
    <cfRule type="cellIs" dxfId="0" priority="155" operator="greaterThanOrEqual">
      <formula>19</formula>
    </cfRule>
  </conditionalFormatting>
  <dataValidations count="1">
    <dataValidation type="list" allowBlank="1" showInputMessage="1" showErrorMessage="1" sqref="R8" xr:uid="{B81A99A7-542F-4ED4-BDBC-65FF14D6DA6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8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4" workbookViewId="0">
      <selection activeCell="D56" sqref="D56:D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hidden="1" customWidth="1"/>
    <col min="4" max="4" width="9.5703125" style="78" customWidth="1"/>
    <col min="5" max="5" width="8.5703125" style="78" customWidth="1"/>
    <col min="6" max="6" width="14.42578125" style="78" hidden="1" customWidth="1"/>
    <col min="7" max="8" width="9.42578125" style="78" bestFit="1" customWidth="1"/>
    <col min="9" max="9" width="11.5703125" style="78" hidden="1" customWidth="1"/>
    <col min="10" max="10" width="11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15" t="s">
        <v>58</v>
      </c>
      <c r="C2" s="615"/>
      <c r="D2" s="615"/>
      <c r="E2" s="615"/>
      <c r="F2" s="615"/>
      <c r="G2" s="615"/>
      <c r="H2" s="615"/>
      <c r="I2" s="615"/>
      <c r="J2" s="615"/>
      <c r="K2" s="615"/>
    </row>
    <row r="3" spans="2:14" ht="15.75" hidden="1" thickBot="1">
      <c r="B3" s="79"/>
    </row>
    <row r="4" spans="2:14" ht="13.5" hidden="1" thickBot="1">
      <c r="B4" s="78" t="s">
        <v>7</v>
      </c>
      <c r="C4" s="616">
        <v>41431</v>
      </c>
      <c r="D4" s="616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13" t="s">
        <v>17</v>
      </c>
      <c r="C8" s="599" t="s">
        <v>18</v>
      </c>
      <c r="D8" s="599" t="s">
        <v>59</v>
      </c>
      <c r="E8" s="80" t="s">
        <v>20</v>
      </c>
      <c r="F8" s="81" t="s">
        <v>21</v>
      </c>
      <c r="G8" s="599" t="s">
        <v>60</v>
      </c>
      <c r="H8" s="599" t="s">
        <v>61</v>
      </c>
      <c r="I8" s="619" t="s">
        <v>62</v>
      </c>
      <c r="J8" s="82" t="s">
        <v>25</v>
      </c>
      <c r="K8" s="609" t="s">
        <v>28</v>
      </c>
    </row>
    <row r="9" spans="2:14" ht="26.25" hidden="1" thickBot="1">
      <c r="B9" s="617"/>
      <c r="C9" s="618"/>
      <c r="D9" s="618"/>
      <c r="E9" s="83" t="s">
        <v>30</v>
      </c>
      <c r="F9" s="84" t="s">
        <v>63</v>
      </c>
      <c r="G9" s="618"/>
      <c r="H9" s="618"/>
      <c r="I9" s="620"/>
      <c r="J9" s="85" t="s">
        <v>32</v>
      </c>
      <c r="K9" s="621"/>
      <c r="L9" s="86"/>
      <c r="M9" s="86"/>
      <c r="N9" s="86"/>
    </row>
    <row r="10" spans="2:14" ht="13.5" hidden="1" thickBot="1">
      <c r="B10" s="87" t="s">
        <v>64</v>
      </c>
      <c r="C10" s="88" t="str">
        <f>[39]Brewhouse!A5359</f>
        <v>CA236</v>
      </c>
      <c r="D10" s="88">
        <f>[39]Brewhouse!B5359</f>
        <v>41437</v>
      </c>
      <c r="E10" s="89">
        <f>[39]Brewhouse!AG5359</f>
        <v>49.011000000000003</v>
      </c>
      <c r="F10" s="90">
        <f>[39]Brewhouse!T5359</f>
        <v>60</v>
      </c>
      <c r="G10" s="91">
        <f>[39]Brewhouse!I5359</f>
        <v>19.79</v>
      </c>
      <c r="H10" s="92">
        <f>[39]Brewhouse!AS5359</f>
        <v>94.981545664755075</v>
      </c>
      <c r="I10" s="92">
        <f>[39]Brewhouse!AT5359</f>
        <v>97.074072469002047</v>
      </c>
      <c r="J10" s="93">
        <f>[39]Brewhouse!S5359-[39]Brewhouse!R5359</f>
        <v>0.10694444444444451</v>
      </c>
      <c r="K10" s="94"/>
      <c r="N10" s="95"/>
    </row>
    <row r="11" spans="2:14" ht="13.5" hidden="1" thickBot="1">
      <c r="B11" s="96"/>
      <c r="C11" s="88" t="str">
        <f>[39]Brewhouse!A5360</f>
        <v>CA237</v>
      </c>
      <c r="D11" s="88">
        <f>[39]Brewhouse!B5360</f>
        <v>41437</v>
      </c>
      <c r="E11" s="89">
        <f>[39]Brewhouse!AG5360</f>
        <v>48.531999999999996</v>
      </c>
      <c r="F11" s="90">
        <f>[39]Brewhouse!T5360</f>
        <v>68</v>
      </c>
      <c r="G11" s="91">
        <f>[39]Brewhouse!I5360</f>
        <v>17.7</v>
      </c>
      <c r="H11" s="92">
        <f>[39]Brewhouse!AS5360</f>
        <v>94.053260986347809</v>
      </c>
      <c r="I11" s="92">
        <f>[39]Brewhouse!AT5360</f>
        <v>96.1253368644918</v>
      </c>
      <c r="J11" s="93">
        <f>[39]Brewhouse!S5360-[39]Brewhouse!R5360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[39]Brewhouse!A5361</f>
        <v>CA238</v>
      </c>
      <c r="D12" s="88">
        <f>[39]Brewhouse!B5361</f>
        <v>41437</v>
      </c>
      <c r="E12" s="89">
        <f>[39]Brewhouse!AG5361</f>
        <v>50.466999999999999</v>
      </c>
      <c r="F12" s="90">
        <f>[39]Brewhouse!T5361</f>
        <v>61</v>
      </c>
      <c r="G12" s="91">
        <f>[39]Brewhouse!I5361</f>
        <v>19.7</v>
      </c>
      <c r="H12" s="92">
        <f>[39]Brewhouse!AS5361</f>
        <v>96.931393272913695</v>
      </c>
      <c r="I12" s="92">
        <f>[39]Brewhouse!AT5361</f>
        <v>99.066876931102286</v>
      </c>
      <c r="J12" s="93">
        <f>[39]Brewhouse!S5361-[39]Brewhouse!R5361</f>
        <v>0.10208333333333341</v>
      </c>
      <c r="K12" s="98"/>
    </row>
    <row r="13" spans="2:14" ht="13.5" hidden="1" thickBot="1">
      <c r="B13" s="99"/>
      <c r="C13" s="88" t="str">
        <f>[39]Brewhouse!A5362</f>
        <v>CA239</v>
      </c>
      <c r="D13" s="88">
        <f>[39]Brewhouse!B5362</f>
        <v>41437</v>
      </c>
      <c r="E13" s="89">
        <f>[39]Brewhouse!AG5362</f>
        <v>49.374000000000002</v>
      </c>
      <c r="F13" s="90">
        <f>[39]Brewhouse!T5362</f>
        <v>62</v>
      </c>
      <c r="G13" s="91">
        <f>[39]Brewhouse!I5362</f>
        <v>19</v>
      </c>
      <c r="H13" s="92">
        <f>[39]Brewhouse!AS5362</f>
        <v>95.68502653795305</v>
      </c>
      <c r="I13" s="92">
        <f>[39]Brewhouse!AT5362</f>
        <v>97.793051643192499</v>
      </c>
      <c r="J13" s="93">
        <f>[39]Brewhouse!S5362-[39]Brewhouse!R5362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07" t="s">
        <v>69</v>
      </c>
      <c r="G21" s="608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[39]Brewhouse!N5359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[39]Brewhouse!N5360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[39]Brewhouse!N5361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[39]Brewhouse!N5362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AVERAGE([39]Brewhouse!$AS$5347:$AS$5362)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AVERAGE([40]Brewhouse!$AQ$641:$AQ$644)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AVERAGE([41]Brewhouse!$AU$708:$AU$711)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AVERAGE([42]Brewhouse!$AY$943:$AY$946)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13" t="s">
        <v>17</v>
      </c>
      <c r="C43" s="599" t="s">
        <v>18</v>
      </c>
      <c r="D43" s="599" t="s">
        <v>44</v>
      </c>
      <c r="E43" s="599" t="s">
        <v>79</v>
      </c>
      <c r="F43" s="599" t="s">
        <v>51</v>
      </c>
      <c r="G43" s="599" t="s">
        <v>48</v>
      </c>
      <c r="H43" s="601" t="s">
        <v>28</v>
      </c>
      <c r="I43" s="602"/>
      <c r="J43" s="602"/>
      <c r="K43" s="609" t="s">
        <v>27</v>
      </c>
    </row>
    <row r="44" spans="2:15" ht="15.75" hidden="1" customHeight="1" thickBot="1">
      <c r="B44" s="614"/>
      <c r="C44" s="600"/>
      <c r="D44" s="600"/>
      <c r="E44" s="600"/>
      <c r="F44" s="600"/>
      <c r="G44" s="600"/>
      <c r="H44" s="603"/>
      <c r="I44" s="604"/>
      <c r="J44" s="604"/>
      <c r="K44" s="610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11"/>
      <c r="I45" s="612"/>
      <c r="J45" s="612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05"/>
      <c r="I46" s="606"/>
      <c r="J46" s="606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05"/>
      <c r="I47" s="606"/>
      <c r="J47" s="606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05"/>
      <c r="I48" s="606"/>
      <c r="J48" s="606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597"/>
      <c r="I49" s="598"/>
      <c r="J49" s="598"/>
      <c r="K49" s="172"/>
    </row>
    <row r="50" spans="2:11" ht="13.5" hidden="1" thickBot="1">
      <c r="B50" s="173"/>
      <c r="C50" s="160"/>
      <c r="E50" s="168"/>
      <c r="F50" s="168"/>
      <c r="G50" s="145"/>
      <c r="H50" s="597"/>
      <c r="I50" s="598"/>
      <c r="J50" s="598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597"/>
      <c r="I51" s="598"/>
      <c r="J51" s="598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588"/>
      <c r="I52" s="589"/>
      <c r="J52" s="589"/>
      <c r="K52" s="183"/>
    </row>
    <row r="53" spans="2:11" ht="13.5" thickBot="1">
      <c r="B53" s="184"/>
      <c r="C53" s="117"/>
      <c r="D53" s="590" t="s">
        <v>80</v>
      </c>
      <c r="E53" s="590"/>
      <c r="F53" s="590"/>
      <c r="G53" s="590"/>
      <c r="H53" s="590"/>
      <c r="I53" s="590"/>
      <c r="J53" s="590"/>
      <c r="K53" s="185"/>
    </row>
    <row r="54" spans="2:11" ht="13.5" thickBot="1">
      <c r="B54" s="591" t="s">
        <v>55</v>
      </c>
      <c r="C54" s="592"/>
      <c r="D54" s="592"/>
      <c r="E54" s="593"/>
      <c r="F54" s="591" t="s">
        <v>56</v>
      </c>
      <c r="G54" s="592"/>
      <c r="H54" s="593"/>
      <c r="I54" s="594" t="s">
        <v>81</v>
      </c>
      <c r="J54" s="595"/>
      <c r="K54" s="596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5">
      <c r="B56" s="29" t="s">
        <v>64</v>
      </c>
      <c r="C56" s="191"/>
      <c r="D56" s="76">
        <f>[38]MTD!$E5</f>
        <v>6.5229659742996704</v>
      </c>
      <c r="E56" s="192">
        <v>5</v>
      </c>
      <c r="F56" s="191"/>
      <c r="G56" s="76">
        <f>[17]September_2026!$AM3</f>
        <v>5.7910975261786639</v>
      </c>
      <c r="H56" s="192">
        <v>5</v>
      </c>
      <c r="I56" s="193"/>
      <c r="J56" s="194">
        <f>[18]September_2026!$AM13</f>
        <v>0.65182309941520467</v>
      </c>
      <c r="K56" s="195">
        <v>1</v>
      </c>
    </row>
    <row r="57" spans="2:11" ht="15">
      <c r="B57" s="33" t="s">
        <v>72</v>
      </c>
      <c r="C57" s="191"/>
      <c r="D57" s="76">
        <f>[38]MTD!$E6</f>
        <v>6.720758239391091</v>
      </c>
      <c r="E57" s="192">
        <v>5</v>
      </c>
      <c r="F57" s="191"/>
      <c r="G57" s="76">
        <f>[17]September_2026!$AM4</f>
        <v>5.7002127582026105</v>
      </c>
      <c r="H57" s="192">
        <v>5</v>
      </c>
      <c r="I57" s="196"/>
      <c r="J57" s="194">
        <f>[18]September_2026!$AM14</f>
        <v>0.58195614035087728</v>
      </c>
      <c r="K57" s="195">
        <v>1</v>
      </c>
    </row>
    <row r="58" spans="2:11" ht="15">
      <c r="B58" s="34" t="s">
        <v>73</v>
      </c>
      <c r="C58" s="191"/>
      <c r="D58" s="76" t="e">
        <f>[38]MTD!$E7</f>
        <v>#DIV/0!</v>
      </c>
      <c r="E58" s="192">
        <v>5</v>
      </c>
      <c r="F58" s="191"/>
      <c r="G58" s="76" t="e">
        <f>[17]September_2026!$AM5</f>
        <v>#DIV/0!</v>
      </c>
      <c r="H58" s="192">
        <v>5</v>
      </c>
      <c r="I58" s="196"/>
      <c r="J58" s="194" t="e">
        <f>[18]September_2026!$AM15</f>
        <v>#DIV/0!</v>
      </c>
      <c r="K58" s="195">
        <v>1</v>
      </c>
    </row>
    <row r="59" spans="2:11" ht="15">
      <c r="B59" s="197" t="s">
        <v>74</v>
      </c>
      <c r="C59" s="191"/>
      <c r="D59" s="76" t="e">
        <f>[38]MTD!$E8</f>
        <v>#DIV/0!</v>
      </c>
      <c r="E59" s="192">
        <v>3.5</v>
      </c>
      <c r="F59" s="191"/>
      <c r="G59" s="76" t="e">
        <f>[17]September_2026!$AM6</f>
        <v>#DIV/0!</v>
      </c>
      <c r="H59" s="192">
        <v>3.5</v>
      </c>
      <c r="I59" s="196"/>
      <c r="J59" s="194" t="e">
        <f>[18]September_2026!$AM16</f>
        <v>#DIV/0!</v>
      </c>
      <c r="K59" s="195">
        <v>1</v>
      </c>
    </row>
    <row r="60" spans="2:11" ht="15.75" thickBot="1">
      <c r="B60" s="38" t="s">
        <v>160</v>
      </c>
      <c r="C60" s="191"/>
      <c r="D60" s="76" t="e">
        <f>[38]MTD!$E9</f>
        <v>#DIV/0!</v>
      </c>
      <c r="E60" s="192">
        <v>3.5</v>
      </c>
      <c r="F60" s="198"/>
      <c r="G60" s="76" t="e">
        <f>[17]September_2026!$AM7</f>
        <v>#DIV/0!</v>
      </c>
      <c r="H60" s="192">
        <v>3.5</v>
      </c>
      <c r="I60" s="196"/>
      <c r="J60" s="194" t="e">
        <f>[18]September_2026!$AM17</f>
        <v>#DIV/0!</v>
      </c>
      <c r="K60" s="195">
        <v>1</v>
      </c>
    </row>
    <row r="61" spans="2:11" ht="15">
      <c r="B61" s="199" t="s">
        <v>76</v>
      </c>
      <c r="C61" s="191"/>
      <c r="D61" s="76">
        <f>[38]MTD!$E10</f>
        <v>6.8855672629257718</v>
      </c>
      <c r="E61" s="200">
        <v>5</v>
      </c>
      <c r="F61" s="191"/>
      <c r="G61" s="76">
        <f>[17]September_2026!$AM8</f>
        <v>7.4264332958762713</v>
      </c>
      <c r="H61" s="200">
        <v>5</v>
      </c>
      <c r="I61" s="196"/>
      <c r="J61" s="194">
        <f>[18]September_2026!$AM18</f>
        <v>0.391812865497076</v>
      </c>
      <c r="K61" s="195">
        <v>1</v>
      </c>
    </row>
    <row r="62" spans="2:11" ht="15">
      <c r="B62" s="201" t="s">
        <v>82</v>
      </c>
      <c r="C62" s="202"/>
      <c r="D62" s="76" t="e">
        <f>[38]MTD!$E11</f>
        <v>#DIV/0!</v>
      </c>
      <c r="E62" s="200">
        <v>3.3</v>
      </c>
      <c r="F62" s="202"/>
      <c r="G62" s="76" t="e">
        <f>[17]September_2026!$AM9</f>
        <v>#DIV/0!</v>
      </c>
      <c r="H62" s="200">
        <v>3.3</v>
      </c>
      <c r="I62" s="203"/>
      <c r="J62" s="194" t="e">
        <f>[18]September_2026!$AM19</f>
        <v>#DIV/0!</v>
      </c>
      <c r="K62" s="204">
        <v>1</v>
      </c>
    </row>
    <row r="63" spans="2:11" ht="15.75" thickBot="1">
      <c r="B63" s="38" t="s">
        <v>128</v>
      </c>
      <c r="C63" s="205"/>
      <c r="D63" s="76" t="e">
        <f>[38]MTD!$E12</f>
        <v>#DIV/0!</v>
      </c>
      <c r="E63" s="206">
        <v>3.5</v>
      </c>
      <c r="F63" s="205"/>
      <c r="G63" s="76" t="e">
        <f>[17]September_2026!$AM10</f>
        <v>#DIV/0!</v>
      </c>
      <c r="H63" s="206">
        <v>3.5</v>
      </c>
      <c r="I63" s="207"/>
      <c r="J63" s="194" t="e">
        <f>[18]September_2026!$AM20</f>
        <v>#DIV/0!</v>
      </c>
      <c r="K63" s="208">
        <v>1</v>
      </c>
    </row>
    <row r="64" spans="2:11" ht="15.75" thickBot="1">
      <c r="B64" s="413" t="s">
        <v>159</v>
      </c>
      <c r="C64" s="198"/>
      <c r="D64" s="76" t="e">
        <f>[38]MTD!$E13</f>
        <v>#DIV/0!</v>
      </c>
      <c r="E64" s="192">
        <v>5</v>
      </c>
      <c r="F64" s="198"/>
      <c r="G64" s="76" t="e">
        <f>[17]September_2026!$AM11</f>
        <v>#DIV/0!</v>
      </c>
      <c r="H64" s="192">
        <v>5</v>
      </c>
      <c r="I64" s="412"/>
      <c r="J64" s="194">
        <f>[18]September_2026!$AM21</f>
        <v>0</v>
      </c>
      <c r="K64" s="208">
        <v>1</v>
      </c>
    </row>
    <row r="65" spans="2:11">
      <c r="B65" s="209"/>
      <c r="C65" s="210"/>
      <c r="D65" s="76">
        <f>[38]MTD!$E14</f>
        <v>6.5959052058248897</v>
      </c>
      <c r="E65" s="210"/>
      <c r="F65" s="210"/>
      <c r="G65" s="76">
        <f>[17]September_2026!$AM12</f>
        <v>5.9089000952681392</v>
      </c>
      <c r="H65" s="211"/>
      <c r="I65" s="212"/>
      <c r="J65" s="194">
        <f>[18]September_2026!$AM22</f>
        <v>0.59606001846722068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3" zoomScale="115" zoomScaleNormal="115" workbookViewId="0">
      <selection activeCell="D56" sqref="D56:D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customWidth="1"/>
    <col min="4" max="4" width="9.5703125" style="78" customWidth="1"/>
    <col min="5" max="5" width="8.5703125" style="78" customWidth="1"/>
    <col min="6" max="6" width="14.42578125" style="78" customWidth="1"/>
    <col min="7" max="7" width="11.42578125" style="78" customWidth="1"/>
    <col min="8" max="8" width="9.42578125" style="78" bestFit="1" customWidth="1"/>
    <col min="9" max="9" width="11.5703125" style="78" customWidth="1"/>
    <col min="10" max="10" width="11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15" t="s">
        <v>58</v>
      </c>
      <c r="C2" s="615"/>
      <c r="D2" s="615"/>
      <c r="E2" s="615"/>
      <c r="F2" s="615"/>
      <c r="G2" s="615"/>
      <c r="H2" s="615"/>
      <c r="I2" s="615"/>
      <c r="J2" s="615"/>
      <c r="K2" s="615"/>
    </row>
    <row r="3" spans="2:14" ht="15.75" hidden="1" thickBot="1">
      <c r="B3" s="79"/>
    </row>
    <row r="4" spans="2:14" ht="13.5" hidden="1" thickBot="1">
      <c r="B4" s="78" t="s">
        <v>7</v>
      </c>
      <c r="C4" s="616">
        <v>41431</v>
      </c>
      <c r="D4" s="616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13" t="s">
        <v>17</v>
      </c>
      <c r="C8" s="599" t="s">
        <v>18</v>
      </c>
      <c r="D8" s="599" t="s">
        <v>59</v>
      </c>
      <c r="E8" s="80" t="s">
        <v>20</v>
      </c>
      <c r="F8" s="81" t="s">
        <v>21</v>
      </c>
      <c r="G8" s="599" t="s">
        <v>60</v>
      </c>
      <c r="H8" s="599" t="s">
        <v>61</v>
      </c>
      <c r="I8" s="619" t="s">
        <v>62</v>
      </c>
      <c r="J8" s="82" t="s">
        <v>25</v>
      </c>
      <c r="K8" s="609" t="s">
        <v>28</v>
      </c>
    </row>
    <row r="9" spans="2:14" ht="26.25" hidden="1" thickBot="1">
      <c r="B9" s="617"/>
      <c r="C9" s="618"/>
      <c r="D9" s="618"/>
      <c r="E9" s="83" t="s">
        <v>30</v>
      </c>
      <c r="F9" s="84" t="s">
        <v>63</v>
      </c>
      <c r="G9" s="618"/>
      <c r="H9" s="618"/>
      <c r="I9" s="620"/>
      <c r="J9" s="85" t="s">
        <v>32</v>
      </c>
      <c r="K9" s="621"/>
      <c r="L9" s="86"/>
      <c r="M9" s="86"/>
      <c r="N9" s="86"/>
    </row>
    <row r="10" spans="2:14" ht="13.5" hidden="1" thickBot="1">
      <c r="B10" s="87" t="s">
        <v>64</v>
      </c>
      <c r="C10" s="88" t="str">
        <f>[39]Brewhouse!A5359</f>
        <v>CA236</v>
      </c>
      <c r="D10" s="88">
        <f>[39]Brewhouse!B5359</f>
        <v>41437</v>
      </c>
      <c r="E10" s="89">
        <f>[39]Brewhouse!AG5359</f>
        <v>49.011000000000003</v>
      </c>
      <c r="F10" s="90">
        <f>[39]Brewhouse!T5359</f>
        <v>60</v>
      </c>
      <c r="G10" s="91">
        <f>[39]Brewhouse!I5359</f>
        <v>19.79</v>
      </c>
      <c r="H10" s="92">
        <f>[39]Brewhouse!AS5359</f>
        <v>94.981545664755075</v>
      </c>
      <c r="I10" s="92">
        <f>[39]Brewhouse!AT5359</f>
        <v>97.074072469002047</v>
      </c>
      <c r="J10" s="93">
        <f>[39]Brewhouse!S5359-[39]Brewhouse!R5359</f>
        <v>0.10694444444444451</v>
      </c>
      <c r="K10" s="94"/>
      <c r="N10" s="95"/>
    </row>
    <row r="11" spans="2:14" ht="13.5" hidden="1" thickBot="1">
      <c r="B11" s="96"/>
      <c r="C11" s="88" t="str">
        <f>[39]Brewhouse!A5360</f>
        <v>CA237</v>
      </c>
      <c r="D11" s="88">
        <f>[39]Brewhouse!B5360</f>
        <v>41437</v>
      </c>
      <c r="E11" s="89">
        <f>[39]Brewhouse!AG5360</f>
        <v>48.531999999999996</v>
      </c>
      <c r="F11" s="90">
        <f>[39]Brewhouse!T5360</f>
        <v>68</v>
      </c>
      <c r="G11" s="91">
        <f>[39]Brewhouse!I5360</f>
        <v>17.7</v>
      </c>
      <c r="H11" s="92">
        <f>[39]Brewhouse!AS5360</f>
        <v>94.053260986347809</v>
      </c>
      <c r="I11" s="92">
        <f>[39]Brewhouse!AT5360</f>
        <v>96.1253368644918</v>
      </c>
      <c r="J11" s="93">
        <f>[39]Brewhouse!S5360-[39]Brewhouse!R5360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[39]Brewhouse!A5361</f>
        <v>CA238</v>
      </c>
      <c r="D12" s="88">
        <f>[39]Brewhouse!B5361</f>
        <v>41437</v>
      </c>
      <c r="E12" s="89">
        <f>[39]Brewhouse!AG5361</f>
        <v>50.466999999999999</v>
      </c>
      <c r="F12" s="90">
        <f>[39]Brewhouse!T5361</f>
        <v>61</v>
      </c>
      <c r="G12" s="91">
        <f>[39]Brewhouse!I5361</f>
        <v>19.7</v>
      </c>
      <c r="H12" s="92">
        <f>[39]Brewhouse!AS5361</f>
        <v>96.931393272913695</v>
      </c>
      <c r="I12" s="92">
        <f>[39]Brewhouse!AT5361</f>
        <v>99.066876931102286</v>
      </c>
      <c r="J12" s="93">
        <f>[39]Brewhouse!S5361-[39]Brewhouse!R5361</f>
        <v>0.10208333333333341</v>
      </c>
      <c r="K12" s="98"/>
    </row>
    <row r="13" spans="2:14" ht="13.5" hidden="1" thickBot="1">
      <c r="B13" s="99"/>
      <c r="C13" s="88" t="str">
        <f>[39]Brewhouse!A5362</f>
        <v>CA239</v>
      </c>
      <c r="D13" s="88">
        <f>[39]Brewhouse!B5362</f>
        <v>41437</v>
      </c>
      <c r="E13" s="89">
        <f>[39]Brewhouse!AG5362</f>
        <v>49.374000000000002</v>
      </c>
      <c r="F13" s="90">
        <f>[39]Brewhouse!T5362</f>
        <v>62</v>
      </c>
      <c r="G13" s="91">
        <f>[39]Brewhouse!I5362</f>
        <v>19</v>
      </c>
      <c r="H13" s="92">
        <f>[39]Brewhouse!AS5362</f>
        <v>95.68502653795305</v>
      </c>
      <c r="I13" s="92">
        <f>[39]Brewhouse!AT5362</f>
        <v>97.793051643192499</v>
      </c>
      <c r="J13" s="93">
        <f>[39]Brewhouse!S5362-[39]Brewhouse!R5362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07" t="s">
        <v>69</v>
      </c>
      <c r="G21" s="608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[39]Brewhouse!N5359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[39]Brewhouse!N5360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[39]Brewhouse!N5361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[39]Brewhouse!N5362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AVERAGE([39]Brewhouse!$AS$5347:$AS$5362)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AVERAGE([40]Brewhouse!$AQ$641:$AQ$644)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AVERAGE([41]Brewhouse!$AU$708:$AU$711)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AVERAGE([42]Brewhouse!$AY$943:$AY$946)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13" t="s">
        <v>17</v>
      </c>
      <c r="C43" s="599" t="s">
        <v>18</v>
      </c>
      <c r="D43" s="599" t="s">
        <v>44</v>
      </c>
      <c r="E43" s="599" t="s">
        <v>79</v>
      </c>
      <c r="F43" s="599" t="s">
        <v>51</v>
      </c>
      <c r="G43" s="599" t="s">
        <v>48</v>
      </c>
      <c r="H43" s="601" t="s">
        <v>28</v>
      </c>
      <c r="I43" s="602"/>
      <c r="J43" s="602"/>
      <c r="K43" s="609" t="s">
        <v>27</v>
      </c>
    </row>
    <row r="44" spans="2:15" ht="15.75" hidden="1" customHeight="1" thickBot="1">
      <c r="B44" s="614"/>
      <c r="C44" s="600"/>
      <c r="D44" s="600"/>
      <c r="E44" s="600"/>
      <c r="F44" s="600"/>
      <c r="G44" s="600"/>
      <c r="H44" s="603"/>
      <c r="I44" s="604"/>
      <c r="J44" s="604"/>
      <c r="K44" s="610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11"/>
      <c r="I45" s="612"/>
      <c r="J45" s="612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05"/>
      <c r="I46" s="606"/>
      <c r="J46" s="606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05"/>
      <c r="I47" s="606"/>
      <c r="J47" s="606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05"/>
      <c r="I48" s="606"/>
      <c r="J48" s="606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597"/>
      <c r="I49" s="598"/>
      <c r="J49" s="598"/>
      <c r="K49" s="172"/>
    </row>
    <row r="50" spans="2:11" ht="13.5" hidden="1" thickBot="1">
      <c r="B50" s="173"/>
      <c r="C50" s="160"/>
      <c r="E50" s="168"/>
      <c r="F50" s="168"/>
      <c r="G50" s="145"/>
      <c r="H50" s="597"/>
      <c r="I50" s="598"/>
      <c r="J50" s="598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597"/>
      <c r="I51" s="598"/>
      <c r="J51" s="598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588"/>
      <c r="I52" s="589"/>
      <c r="J52" s="589"/>
      <c r="K52" s="183"/>
    </row>
    <row r="53" spans="2:11" ht="13.5" thickBot="1">
      <c r="B53" s="184"/>
      <c r="C53" s="117"/>
      <c r="D53" s="590" t="s">
        <v>80</v>
      </c>
      <c r="E53" s="590"/>
      <c r="F53" s="590"/>
      <c r="G53" s="590"/>
      <c r="H53" s="590"/>
      <c r="I53" s="590"/>
      <c r="J53" s="590"/>
      <c r="K53" s="185"/>
    </row>
    <row r="54" spans="2:11" ht="13.5" thickBot="1">
      <c r="B54" s="591" t="s">
        <v>55</v>
      </c>
      <c r="C54" s="592"/>
      <c r="D54" s="592"/>
      <c r="E54" s="593"/>
      <c r="F54" s="591" t="s">
        <v>56</v>
      </c>
      <c r="G54" s="592"/>
      <c r="H54" s="593"/>
      <c r="I54" s="594" t="s">
        <v>81</v>
      </c>
      <c r="J54" s="595"/>
      <c r="K54" s="596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5">
      <c r="B56" s="29" t="s">
        <v>64</v>
      </c>
      <c r="C56" s="191"/>
      <c r="D56" s="76">
        <f>'[38]YTD 2026'!$E5</f>
        <v>6.5193700112432769</v>
      </c>
      <c r="E56" s="192">
        <v>5</v>
      </c>
      <c r="F56" s="191"/>
      <c r="G56" s="76">
        <f>[17]September_2026!$AP3</f>
        <v>6.5511187503051573</v>
      </c>
      <c r="H56" s="192">
        <v>5</v>
      </c>
      <c r="I56" s="193"/>
      <c r="J56" s="194">
        <f>[18]September_2026!$AP13</f>
        <v>0.54032562531481076</v>
      </c>
      <c r="K56" s="195">
        <v>1</v>
      </c>
    </row>
    <row r="57" spans="2:11" ht="15">
      <c r="B57" s="33" t="s">
        <v>72</v>
      </c>
      <c r="C57" s="191"/>
      <c r="D57" s="76">
        <f>'[38]YTD 2026'!$E6</f>
        <v>5.8780358526209691</v>
      </c>
      <c r="E57" s="192">
        <v>5</v>
      </c>
      <c r="F57" s="191"/>
      <c r="G57" s="76">
        <f>[17]September_2026!$AP4</f>
        <v>5.9275658832823668</v>
      </c>
      <c r="H57" s="192">
        <v>5</v>
      </c>
      <c r="I57" s="196"/>
      <c r="J57" s="194">
        <f>[18]September_2026!$AP14</f>
        <v>0.68829197714926005</v>
      </c>
      <c r="K57" s="195">
        <v>1</v>
      </c>
    </row>
    <row r="58" spans="2:11" ht="15">
      <c r="B58" s="34" t="s">
        <v>73</v>
      </c>
      <c r="C58" s="191"/>
      <c r="D58" s="76">
        <f>'[38]YTD 2026'!$E7</f>
        <v>11.277593164016125</v>
      </c>
      <c r="E58" s="192">
        <v>5</v>
      </c>
      <c r="F58" s="191"/>
      <c r="G58" s="76">
        <f>[17]September_2026!$AP5</f>
        <v>11.857907912244482</v>
      </c>
      <c r="H58" s="192">
        <v>5</v>
      </c>
      <c r="I58" s="196"/>
      <c r="J58" s="194">
        <f>[18]September_2026!$AP15</f>
        <v>0.35370190356844494</v>
      </c>
      <c r="K58" s="195">
        <v>1</v>
      </c>
    </row>
    <row r="59" spans="2:11" ht="15">
      <c r="B59" s="197" t="s">
        <v>74</v>
      </c>
      <c r="C59" s="191"/>
      <c r="D59" s="76">
        <f>'[38]YTD 2026'!$E8</f>
        <v>4.8685538193023836</v>
      </c>
      <c r="E59" s="192">
        <v>3.5</v>
      </c>
      <c r="F59" s="191"/>
      <c r="G59" s="76">
        <f>[17]September_2026!$AP6</f>
        <v>4.8702525342252114</v>
      </c>
      <c r="H59" s="192">
        <v>3.5</v>
      </c>
      <c r="I59" s="196"/>
      <c r="J59" s="194">
        <f>[18]September_2026!$AP16</f>
        <v>0.77919298245614044</v>
      </c>
      <c r="K59" s="195">
        <v>1</v>
      </c>
    </row>
    <row r="60" spans="2:11" ht="15.75" thickBot="1">
      <c r="B60" s="38" t="s">
        <v>160</v>
      </c>
      <c r="C60" s="191"/>
      <c r="D60" s="76" t="e">
        <f>'[38]YTD 2026'!$E9</f>
        <v>#DIV/0!</v>
      </c>
      <c r="E60" s="192">
        <v>3.5</v>
      </c>
      <c r="F60" s="198"/>
      <c r="G60" s="76" t="e">
        <f>[17]September_2026!$AP7</f>
        <v>#DIV/0!</v>
      </c>
      <c r="H60" s="192">
        <v>3.5</v>
      </c>
      <c r="I60" s="196"/>
      <c r="J60" s="194" t="e">
        <f>[18]September_2026!$AP17</f>
        <v>#DIV/0!</v>
      </c>
      <c r="K60" s="195">
        <v>1</v>
      </c>
    </row>
    <row r="61" spans="2:11" ht="15">
      <c r="B61" s="199" t="s">
        <v>76</v>
      </c>
      <c r="C61" s="191"/>
      <c r="D61" s="76">
        <f>'[38]YTD 2026'!$E10</f>
        <v>6.3233965672990236</v>
      </c>
      <c r="E61" s="200">
        <v>5</v>
      </c>
      <c r="F61" s="191"/>
      <c r="G61" s="76">
        <f>[17]September_2026!$AP8</f>
        <v>7.9667553186446929</v>
      </c>
      <c r="H61" s="200">
        <v>5</v>
      </c>
      <c r="I61" s="196"/>
      <c r="J61" s="194">
        <f>[18]September_2026!$AP18</f>
        <v>0.5883625730994152</v>
      </c>
      <c r="K61" s="195">
        <v>1</v>
      </c>
    </row>
    <row r="62" spans="2:11" ht="15">
      <c r="B62" s="201" t="s">
        <v>82</v>
      </c>
      <c r="C62" s="202"/>
      <c r="D62" s="76">
        <f>'[38]YTD 2026'!$E11</f>
        <v>3.6168923014750334</v>
      </c>
      <c r="E62" s="200">
        <v>3.3</v>
      </c>
      <c r="F62" s="202"/>
      <c r="G62" s="76">
        <f>[17]September_2026!$AP9</f>
        <v>5.0091179718082053</v>
      </c>
      <c r="H62" s="200">
        <v>3.3</v>
      </c>
      <c r="I62" s="203"/>
      <c r="J62" s="194">
        <f>[18]September_2026!$AP19</f>
        <v>0.92642300194931759</v>
      </c>
      <c r="K62" s="204">
        <v>1</v>
      </c>
    </row>
    <row r="63" spans="2:11" ht="15.75" thickBot="1">
      <c r="B63" s="38" t="s">
        <v>128</v>
      </c>
      <c r="C63" s="205"/>
      <c r="D63" s="76" t="e">
        <f>'[38]YTD 2026'!$E12</f>
        <v>#DIV/0!</v>
      </c>
      <c r="E63" s="206">
        <v>3.5</v>
      </c>
      <c r="F63" s="205"/>
      <c r="G63" s="76" t="e">
        <f>[17]September_2026!$AP10</f>
        <v>#DIV/0!</v>
      </c>
      <c r="H63" s="206">
        <v>3.5</v>
      </c>
      <c r="I63" s="207"/>
      <c r="J63" s="194" t="e">
        <f>[18]September_2026!$AP20</f>
        <v>#DIV/0!</v>
      </c>
      <c r="K63" s="208">
        <v>1</v>
      </c>
    </row>
    <row r="64" spans="2:11" ht="15.75" thickBot="1">
      <c r="B64" s="413" t="s">
        <v>159</v>
      </c>
      <c r="C64" s="205"/>
      <c r="D64" s="76" t="e">
        <f>'[38]YTD 2026'!$E13</f>
        <v>#DIV/0!</v>
      </c>
      <c r="E64" s="206">
        <v>5</v>
      </c>
      <c r="F64" s="205"/>
      <c r="G64" s="76" t="e">
        <f>[17]September_2026!$AP11</f>
        <v>#DIV/0!</v>
      </c>
      <c r="H64" s="206">
        <v>5</v>
      </c>
      <c r="I64" s="207"/>
      <c r="J64" s="194" t="e">
        <f>[18]September_2026!$AP21</f>
        <v>#DIV/0!</v>
      </c>
      <c r="K64" s="208">
        <v>1</v>
      </c>
    </row>
    <row r="65" spans="2:11">
      <c r="B65" s="209"/>
      <c r="C65" s="210"/>
      <c r="D65" s="76">
        <f>'[38]YTD 2026'!$E14</f>
        <v>6.3525693659974207</v>
      </c>
      <c r="E65" s="210"/>
      <c r="F65" s="210"/>
      <c r="G65" s="76">
        <f>[17]September_2026!$AP12</f>
        <v>6.6274433812991713</v>
      </c>
      <c r="H65" s="211"/>
      <c r="I65" s="212"/>
      <c r="J65" s="194">
        <f>[18]September_2026!$AP22</f>
        <v>0.59813227734050001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2.75"/>
  <cols>
    <col min="2" max="2" width="9.5703125" customWidth="1"/>
    <col min="3" max="3" width="11" customWidth="1"/>
    <col min="4" max="4" width="13.5703125" customWidth="1"/>
    <col min="5" max="5" width="15.5703125" customWidth="1"/>
    <col min="11" max="11" width="10.42578125" bestFit="1" customWidth="1"/>
    <col min="12" max="12" width="15.42578125" bestFit="1" customWidth="1"/>
    <col min="13" max="13" width="12.285156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75">
      <c r="A2" s="215"/>
      <c r="B2" s="622" t="s">
        <v>34</v>
      </c>
      <c r="C2" s="622"/>
      <c r="D2" s="622"/>
      <c r="E2" s="215"/>
      <c r="F2" s="215"/>
      <c r="G2" s="215"/>
      <c r="H2" s="215"/>
      <c r="I2" s="215"/>
      <c r="J2" s="215"/>
      <c r="K2" s="215"/>
    </row>
    <row r="3" spans="1:13" s="219" customFormat="1" ht="15.75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75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75">
      <c r="A14" s="215"/>
      <c r="B14" s="622" t="s">
        <v>100</v>
      </c>
      <c r="C14" s="622"/>
      <c r="D14" s="622"/>
      <c r="E14" s="215"/>
      <c r="F14" s="215"/>
      <c r="G14" s="215"/>
      <c r="H14" s="215"/>
      <c r="I14" s="215"/>
      <c r="J14" s="215"/>
      <c r="K14" s="215"/>
    </row>
    <row r="15" spans="1:13" ht="15.75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75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75">
      <c r="A27" s="215"/>
      <c r="B27" s="622" t="s">
        <v>101</v>
      </c>
      <c r="C27" s="622"/>
      <c r="D27" s="622"/>
      <c r="E27" s="215"/>
      <c r="F27" s="215"/>
      <c r="G27" s="215"/>
      <c r="H27" s="215"/>
      <c r="I27" s="215"/>
      <c r="J27" s="215"/>
      <c r="K27" s="215"/>
    </row>
    <row r="28" spans="1:13" ht="15.75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75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2.75"/>
  <cols>
    <col min="1" max="1" width="2.42578125" customWidth="1"/>
    <col min="2" max="2" width="6.42578125" customWidth="1"/>
    <col min="3" max="3" width="25.42578125" customWidth="1"/>
    <col min="4" max="4" width="19.42578125" customWidth="1"/>
    <col min="5" max="5" width="15" customWidth="1"/>
    <col min="6" max="6" width="17.5703125" customWidth="1"/>
    <col min="7" max="7" width="13.42578125" customWidth="1"/>
    <col min="8" max="11" width="13.5703125" customWidth="1"/>
    <col min="12" max="12" width="17.42578125" bestFit="1" customWidth="1"/>
    <col min="13" max="15" width="17.42578125" customWidth="1"/>
    <col min="16" max="16" width="13.42578125" customWidth="1"/>
    <col min="17" max="17" width="8.5703125" customWidth="1"/>
    <col min="18" max="20" width="11.5703125" customWidth="1"/>
  </cols>
  <sheetData>
    <row r="2" spans="3:23" ht="15.7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24" t="s">
        <v>102</v>
      </c>
      <c r="D3" s="625"/>
      <c r="E3" s="626">
        <f ca="1">TODAY()</f>
        <v>46290</v>
      </c>
      <c r="F3" s="626"/>
      <c r="G3" s="626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9.5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27" t="s">
        <v>143</v>
      </c>
      <c r="D14" s="627"/>
      <c r="E14" s="627"/>
      <c r="F14" s="627"/>
      <c r="G14" s="627"/>
      <c r="H14" s="627"/>
    </row>
    <row r="15" spans="3:23" ht="15" customHeight="1">
      <c r="C15" s="627"/>
      <c r="D15" s="627"/>
      <c r="E15" s="627"/>
      <c r="F15" s="627"/>
      <c r="G15" s="627"/>
      <c r="H15" s="627"/>
    </row>
    <row r="16" spans="3:23" ht="15" customHeight="1">
      <c r="C16" s="627"/>
      <c r="D16" s="627"/>
      <c r="E16" s="627"/>
      <c r="F16" s="627"/>
      <c r="G16" s="627"/>
      <c r="H16" s="627"/>
    </row>
    <row r="17" spans="3:8" ht="15" customHeight="1">
      <c r="C17" s="627"/>
      <c r="D17" s="627"/>
      <c r="E17" s="627"/>
      <c r="F17" s="627"/>
      <c r="G17" s="627"/>
      <c r="H17" s="627"/>
    </row>
    <row r="18" spans="3:8" ht="15" customHeight="1">
      <c r="C18" s="627"/>
      <c r="D18" s="627"/>
      <c r="E18" s="627"/>
      <c r="F18" s="627"/>
      <c r="G18" s="627"/>
      <c r="H18" s="627"/>
    </row>
    <row r="19" spans="3:8" ht="15" customHeight="1">
      <c r="C19" s="627"/>
      <c r="D19" s="627"/>
      <c r="E19" s="627"/>
      <c r="F19" s="627"/>
      <c r="G19" s="627"/>
      <c r="H19" s="627"/>
    </row>
    <row r="20" spans="3:8" ht="15" customHeight="1">
      <c r="C20" s="627"/>
      <c r="D20" s="627"/>
      <c r="E20" s="627"/>
      <c r="F20" s="627"/>
      <c r="G20" s="627"/>
      <c r="H20" s="627"/>
    </row>
    <row r="21" spans="3:8" ht="15" customHeight="1">
      <c r="C21" s="627"/>
      <c r="D21" s="627"/>
      <c r="E21" s="627"/>
      <c r="F21" s="627"/>
      <c r="G21" s="627"/>
      <c r="H21" s="627"/>
    </row>
    <row r="22" spans="3:8" ht="15" customHeight="1">
      <c r="C22" s="627"/>
      <c r="D22" s="627"/>
      <c r="E22" s="627"/>
      <c r="F22" s="627"/>
      <c r="G22" s="627"/>
      <c r="H22" s="627"/>
    </row>
    <row r="23" spans="3:8" ht="15" customHeight="1">
      <c r="C23" s="627"/>
      <c r="D23" s="627"/>
      <c r="E23" s="627"/>
      <c r="F23" s="627"/>
      <c r="G23" s="627"/>
      <c r="H23" s="627"/>
    </row>
    <row r="24" spans="3:8" ht="15" customHeight="1">
      <c r="C24" s="627"/>
      <c r="D24" s="627"/>
      <c r="E24" s="627"/>
      <c r="F24" s="627"/>
      <c r="G24" s="627"/>
      <c r="H24" s="627"/>
    </row>
    <row r="25" spans="3:8" ht="15" customHeight="1">
      <c r="C25" s="627"/>
      <c r="D25" s="627"/>
      <c r="E25" s="627"/>
      <c r="F25" s="627"/>
      <c r="G25" s="627"/>
      <c r="H25" s="627"/>
    </row>
    <row r="26" spans="3:8" ht="15" customHeight="1">
      <c r="C26" s="627"/>
      <c r="D26" s="627"/>
      <c r="E26" s="627"/>
      <c r="F26" s="627"/>
      <c r="G26" s="627"/>
      <c r="H26" s="627"/>
    </row>
    <row r="27" spans="3:8" ht="15" customHeight="1">
      <c r="C27" s="627"/>
      <c r="D27" s="627"/>
      <c r="E27" s="627"/>
      <c r="F27" s="627"/>
      <c r="G27" s="627"/>
      <c r="H27" s="627"/>
    </row>
    <row r="28" spans="3:8" ht="15" customHeight="1">
      <c r="C28" s="627"/>
      <c r="D28" s="627"/>
      <c r="E28" s="627"/>
      <c r="F28" s="627"/>
      <c r="G28" s="627"/>
      <c r="H28" s="627"/>
    </row>
    <row r="29" spans="3:8" ht="15" customHeight="1">
      <c r="C29" s="627"/>
      <c r="D29" s="627"/>
      <c r="E29" s="627"/>
      <c r="F29" s="627"/>
      <c r="G29" s="627"/>
      <c r="H29" s="627"/>
    </row>
    <row r="30" spans="3:8" ht="15" customHeight="1">
      <c r="C30" s="627"/>
      <c r="D30" s="627"/>
      <c r="E30" s="627"/>
      <c r="F30" s="627"/>
      <c r="G30" s="627"/>
      <c r="H30" s="627"/>
    </row>
    <row r="31" spans="3:8" ht="15" customHeight="1">
      <c r="C31" s="627"/>
      <c r="D31" s="627"/>
      <c r="E31" s="627"/>
      <c r="F31" s="627"/>
      <c r="G31" s="627"/>
      <c r="H31" s="627"/>
    </row>
    <row r="36" spans="2:17" ht="15" customHeight="1"/>
    <row r="37" spans="2:17" ht="15" customHeight="1"/>
    <row r="38" spans="2:17" ht="30.75" customHeight="1" thickBot="1">
      <c r="C38" s="628" t="s">
        <v>109</v>
      </c>
      <c r="D38" s="628"/>
      <c r="E38" s="628"/>
      <c r="F38" s="629">
        <f ca="1">TODAY()</f>
        <v>46290</v>
      </c>
      <c r="G38" s="629"/>
      <c r="H38" s="629"/>
      <c r="I38" s="629"/>
      <c r="J38" s="630" t="s">
        <v>110</v>
      </c>
      <c r="K38" s="630"/>
      <c r="L38" s="630"/>
      <c r="M38" s="630"/>
      <c r="N38" s="630"/>
      <c r="O38" s="630"/>
      <c r="P38" s="630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'[43]Brewer Performance'!D40</f>
        <v>96.507822129582451</v>
      </c>
      <c r="E40" s="259">
        <f>AVERAGE('[44]Feb. 1'!I12:I13,'[44]Feb. 2'!I11:I14,[44]Feb.4!I13,[44]Feb.8!I14:I16,[44]Feb.9!I14,[44]Feb.9!I17:I18,[44]Feb10!I13:I16,[44]Feb14!I17,[44]Feb14!I15:I17,[44]Feb17!I10,[44]Feb17!I19:I21,'[44]Feb 21'!I10:I12,'[44]Feb 22'!I11:I13,'[44]Feb 23'!I14:I16,'[44]Feb 24'!I10:I12,'[44]Feb 25'!I13:I15,'[44]Feb 28'!I15:I18)</f>
        <v>98.284801217583563</v>
      </c>
      <c r="F40" s="259">
        <v>98.226686244092193</v>
      </c>
      <c r="G40" s="259">
        <v>98.210530202427222</v>
      </c>
      <c r="H40" s="259">
        <f>'[45]Brewer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'[43]Brewer Performance'!D41</f>
        <v>97.99738587335284</v>
      </c>
      <c r="E41" s="259">
        <f>AVERAGE('[44]Feb. 1'!I10:I11,'[44]Feb. 2'!I10,[44]Feb.3!I11:I13,[44]Feb.4!I10:I12,[44]Feb.8!I10,[44]Feb.8!I13,[44]Feb.9!I10:I13,[44]Feb10!I10:I12,[44]Feb11!I11:I13,[44]Feb14!I13:I14,[44]Feb17!I16:I18,[44]Feb18!I13:I15,'[44]Feb 21'!I17:I19,'[44]Feb 22'!I10,'[44]Feb 22'!I20:I22,'[44]Feb 23'!I10:I11,'[44]Feb 23'!I21,'[44]Feb 25'!I10:I12,'[44]Feb 28'!I11:I14)</f>
        <v>97.918121549662388</v>
      </c>
      <c r="F41" s="259">
        <v>98.070081368185257</v>
      </c>
      <c r="G41" s="259">
        <v>97.79453968977019</v>
      </c>
      <c r="H41" s="259">
        <f>'[45]Brewer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'[43]Brewer Performance'!D43</f>
        <v>98.304611060419475</v>
      </c>
      <c r="E44" s="259">
        <f>AVERAGE('[44]Feb. 2'!I15,[44]Feb.3!I10,[44]Feb.4!I16:I17,[44]Feb.8!I19:I21,[44]Feb.9!I19:I20,[44]Feb10!I17:I18,[44]Feb11!I10,[44]Feb14!I10:I12,[44]Feb17!I11:I13,[44]Feb18!I10:I12,'[44]Feb 21'!I13,'[44]Feb 21'!I16,'[44]Feb 22'!I16:I19,'[44]Feb 23'!I17:I20,'[44]Feb 24'!I15:I18,'[44]Feb 25'!I16:I17,'[44]Feb 28'!I10,'[44]Feb 28'!I19:I20)</f>
        <v>97.289162940824014</v>
      </c>
      <c r="F44" s="259">
        <v>98.163642226187022</v>
      </c>
      <c r="G44" s="259">
        <v>97.964054285784258</v>
      </c>
      <c r="H44" s="259">
        <f>'[45]Brewer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'[43]Brewer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'[43]Brewer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23" t="s">
        <v>123</v>
      </c>
      <c r="C48" s="623"/>
      <c r="D48" s="623"/>
      <c r="E48" s="623"/>
      <c r="F48" s="623"/>
      <c r="G48" s="623"/>
      <c r="H48" s="623"/>
      <c r="I48" s="623"/>
      <c r="J48" s="623"/>
      <c r="K48" s="623"/>
      <c r="L48" s="623"/>
      <c r="M48" s="623"/>
      <c r="N48" s="623"/>
      <c r="O48" s="623"/>
      <c r="P48" s="623"/>
      <c r="Q48" s="623"/>
    </row>
    <row r="49" spans="2:17" ht="15" customHeight="1">
      <c r="B49" s="623"/>
      <c r="C49" s="623"/>
      <c r="D49" s="623"/>
      <c r="E49" s="623"/>
      <c r="F49" s="623"/>
      <c r="G49" s="623"/>
      <c r="H49" s="623"/>
      <c r="I49" s="623"/>
      <c r="J49" s="623"/>
      <c r="K49" s="623"/>
      <c r="L49" s="623"/>
      <c r="M49" s="623"/>
      <c r="N49" s="623"/>
      <c r="O49" s="623"/>
      <c r="P49" s="623"/>
      <c r="Q49" s="623"/>
    </row>
    <row r="50" spans="2:17" ht="15" customHeight="1">
      <c r="B50" s="623"/>
      <c r="C50" s="623"/>
      <c r="D50" s="623"/>
      <c r="E50" s="623"/>
      <c r="F50" s="623"/>
      <c r="G50" s="623"/>
      <c r="H50" s="623"/>
      <c r="I50" s="623"/>
      <c r="J50" s="623"/>
      <c r="K50" s="623"/>
      <c r="L50" s="623"/>
      <c r="M50" s="623"/>
      <c r="N50" s="623"/>
      <c r="O50" s="623"/>
      <c r="P50" s="623"/>
      <c r="Q50" s="623"/>
    </row>
    <row r="51" spans="2:17" ht="15" customHeight="1">
      <c r="B51" s="623"/>
      <c r="C51" s="623"/>
      <c r="D51" s="623"/>
      <c r="E51" s="623"/>
      <c r="F51" s="623"/>
      <c r="G51" s="623"/>
      <c r="H51" s="623"/>
      <c r="I51" s="623"/>
      <c r="J51" s="623"/>
      <c r="K51" s="623"/>
      <c r="L51" s="623"/>
      <c r="M51" s="623"/>
      <c r="N51" s="623"/>
      <c r="O51" s="623"/>
      <c r="P51" s="623"/>
      <c r="Q51" s="623"/>
    </row>
    <row r="52" spans="2:17" ht="15" customHeight="1">
      <c r="B52" s="623"/>
      <c r="C52" s="623"/>
      <c r="D52" s="623"/>
      <c r="E52" s="623"/>
      <c r="F52" s="623"/>
      <c r="G52" s="623"/>
      <c r="H52" s="623"/>
      <c r="I52" s="623"/>
      <c r="J52" s="623"/>
      <c r="K52" s="623"/>
      <c r="L52" s="623"/>
      <c r="M52" s="623"/>
      <c r="N52" s="623"/>
      <c r="O52" s="623"/>
      <c r="P52" s="623"/>
      <c r="Q52" s="623"/>
    </row>
    <row r="53" spans="2:17" ht="15" customHeight="1">
      <c r="B53" s="623"/>
      <c r="C53" s="623"/>
      <c r="D53" s="623"/>
      <c r="E53" s="623"/>
      <c r="F53" s="623"/>
      <c r="G53" s="623"/>
      <c r="H53" s="623"/>
      <c r="I53" s="623"/>
      <c r="J53" s="623"/>
      <c r="K53" s="623"/>
      <c r="L53" s="623"/>
      <c r="M53" s="623"/>
      <c r="N53" s="623"/>
      <c r="O53" s="623"/>
      <c r="P53" s="623"/>
      <c r="Q53" s="623"/>
    </row>
    <row r="54" spans="2:17" ht="15" customHeight="1">
      <c r="B54" s="623"/>
      <c r="C54" s="623"/>
      <c r="D54" s="623"/>
      <c r="E54" s="623"/>
      <c r="F54" s="623"/>
      <c r="G54" s="623"/>
      <c r="H54" s="623"/>
      <c r="I54" s="623"/>
      <c r="J54" s="623"/>
      <c r="K54" s="623"/>
      <c r="L54" s="623"/>
      <c r="M54" s="623"/>
      <c r="N54" s="623"/>
      <c r="O54" s="623"/>
      <c r="P54" s="623"/>
      <c r="Q54" s="623"/>
    </row>
    <row r="55" spans="2:17" ht="15" customHeight="1">
      <c r="B55" s="623"/>
      <c r="C55" s="623"/>
      <c r="D55" s="623"/>
      <c r="E55" s="623"/>
      <c r="F55" s="623"/>
      <c r="G55" s="623"/>
      <c r="H55" s="623"/>
      <c r="I55" s="623"/>
      <c r="J55" s="623"/>
      <c r="K55" s="623"/>
      <c r="L55" s="623"/>
      <c r="M55" s="623"/>
      <c r="N55" s="623"/>
      <c r="O55" s="623"/>
      <c r="P55" s="623"/>
      <c r="Q55" s="623"/>
    </row>
    <row r="56" spans="2:17" ht="15" customHeight="1">
      <c r="B56" s="623"/>
      <c r="C56" s="623"/>
      <c r="D56" s="623"/>
      <c r="E56" s="623"/>
      <c r="F56" s="623"/>
      <c r="G56" s="623"/>
      <c r="H56" s="623"/>
      <c r="I56" s="623"/>
      <c r="J56" s="623"/>
      <c r="K56" s="623"/>
      <c r="L56" s="623"/>
      <c r="M56" s="623"/>
      <c r="N56" s="623"/>
      <c r="O56" s="623"/>
      <c r="P56" s="623"/>
      <c r="Q56" s="623"/>
    </row>
    <row r="57" spans="2:17" ht="15" customHeight="1">
      <c r="B57" s="623"/>
      <c r="C57" s="623"/>
      <c r="D57" s="623"/>
      <c r="E57" s="623"/>
      <c r="F57" s="623"/>
      <c r="G57" s="623"/>
      <c r="H57" s="623"/>
      <c r="I57" s="623"/>
      <c r="J57" s="623"/>
      <c r="K57" s="623"/>
      <c r="L57" s="623"/>
      <c r="M57" s="623"/>
      <c r="N57" s="623"/>
      <c r="O57" s="623"/>
      <c r="P57" s="623"/>
      <c r="Q57" s="623"/>
    </row>
    <row r="58" spans="2:17" ht="15" customHeight="1">
      <c r="B58" s="623"/>
      <c r="C58" s="623"/>
      <c r="D58" s="623"/>
      <c r="E58" s="623"/>
      <c r="F58" s="623"/>
      <c r="G58" s="623"/>
      <c r="H58" s="623"/>
      <c r="I58" s="623"/>
      <c r="J58" s="623"/>
      <c r="K58" s="623"/>
      <c r="L58" s="623"/>
      <c r="M58" s="623"/>
      <c r="N58" s="623"/>
      <c r="O58" s="623"/>
      <c r="P58" s="623"/>
      <c r="Q58" s="623"/>
    </row>
    <row r="59" spans="2:17" ht="15" customHeight="1">
      <c r="B59" s="623"/>
      <c r="C59" s="623"/>
      <c r="D59" s="623"/>
      <c r="E59" s="623"/>
      <c r="F59" s="623"/>
      <c r="G59" s="623"/>
      <c r="H59" s="623"/>
      <c r="I59" s="623"/>
      <c r="J59" s="623"/>
      <c r="K59" s="623"/>
      <c r="L59" s="623"/>
      <c r="M59" s="623"/>
      <c r="N59" s="623"/>
      <c r="O59" s="623"/>
      <c r="P59" s="623"/>
      <c r="Q59" s="623"/>
    </row>
    <row r="60" spans="2:17" ht="15" customHeight="1">
      <c r="B60" s="623"/>
      <c r="C60" s="623"/>
      <c r="D60" s="623"/>
      <c r="E60" s="623"/>
      <c r="F60" s="623"/>
      <c r="G60" s="623"/>
      <c r="H60" s="623"/>
      <c r="I60" s="623"/>
      <c r="J60" s="623"/>
      <c r="K60" s="623"/>
      <c r="L60" s="623"/>
      <c r="M60" s="623"/>
      <c r="N60" s="623"/>
      <c r="O60" s="623"/>
      <c r="P60" s="623"/>
      <c r="Q60" s="623"/>
    </row>
    <row r="61" spans="2:17" ht="15" customHeight="1">
      <c r="B61" s="623"/>
      <c r="C61" s="623"/>
      <c r="D61" s="623"/>
      <c r="E61" s="623"/>
      <c r="F61" s="623"/>
      <c r="G61" s="623"/>
      <c r="H61" s="623"/>
      <c r="I61" s="623"/>
      <c r="J61" s="623"/>
      <c r="K61" s="623"/>
      <c r="L61" s="623"/>
      <c r="M61" s="623"/>
      <c r="N61" s="623"/>
      <c r="O61" s="623"/>
      <c r="P61" s="623"/>
      <c r="Q61" s="623"/>
    </row>
    <row r="62" spans="2:17" ht="15" customHeight="1">
      <c r="B62" s="623"/>
      <c r="C62" s="623"/>
      <c r="D62" s="623"/>
      <c r="E62" s="623"/>
      <c r="F62" s="623"/>
      <c r="G62" s="623"/>
      <c r="H62" s="623"/>
      <c r="I62" s="623"/>
      <c r="J62" s="623"/>
      <c r="K62" s="623"/>
      <c r="L62" s="623"/>
      <c r="M62" s="623"/>
      <c r="N62" s="623"/>
      <c r="O62" s="623"/>
      <c r="P62" s="623"/>
      <c r="Q62" s="623"/>
    </row>
    <row r="63" spans="2:17" ht="15" customHeight="1">
      <c r="B63" s="623"/>
      <c r="C63" s="623"/>
      <c r="D63" s="623"/>
      <c r="E63" s="623"/>
      <c r="F63" s="623"/>
      <c r="G63" s="623"/>
      <c r="H63" s="623"/>
      <c r="I63" s="623"/>
      <c r="J63" s="623"/>
      <c r="K63" s="623"/>
      <c r="L63" s="623"/>
      <c r="M63" s="623"/>
      <c r="N63" s="623"/>
      <c r="O63" s="623"/>
      <c r="P63" s="623"/>
      <c r="Q63" s="623"/>
    </row>
    <row r="64" spans="2:17" ht="15" customHeight="1">
      <c r="B64" s="623"/>
      <c r="C64" s="623"/>
      <c r="D64" s="623"/>
      <c r="E64" s="623"/>
      <c r="F64" s="623"/>
      <c r="G64" s="623"/>
      <c r="H64" s="623"/>
      <c r="I64" s="623"/>
      <c r="J64" s="623"/>
      <c r="K64" s="623"/>
      <c r="L64" s="623"/>
      <c r="M64" s="623"/>
      <c r="N64" s="623"/>
      <c r="O64" s="623"/>
      <c r="P64" s="623"/>
      <c r="Q64" s="623"/>
    </row>
    <row r="65" spans="2:17" ht="15" customHeight="1">
      <c r="B65" s="623"/>
      <c r="C65" s="623"/>
      <c r="D65" s="623"/>
      <c r="E65" s="623"/>
      <c r="F65" s="623"/>
      <c r="G65" s="623"/>
      <c r="H65" s="623"/>
      <c r="I65" s="623"/>
      <c r="J65" s="623"/>
      <c r="K65" s="623"/>
      <c r="L65" s="623"/>
      <c r="M65" s="623"/>
      <c r="N65" s="623"/>
      <c r="O65" s="623"/>
      <c r="P65" s="623"/>
      <c r="Q65" s="623"/>
    </row>
    <row r="66" spans="2:17" ht="15" customHeight="1">
      <c r="B66" s="623"/>
      <c r="C66" s="623"/>
      <c r="D66" s="623"/>
      <c r="E66" s="623"/>
      <c r="F66" s="623"/>
      <c r="G66" s="623"/>
      <c r="H66" s="623"/>
      <c r="I66" s="623"/>
      <c r="J66" s="623"/>
      <c r="K66" s="623"/>
      <c r="L66" s="623"/>
      <c r="M66" s="623"/>
      <c r="N66" s="623"/>
      <c r="O66" s="623"/>
      <c r="P66" s="623"/>
      <c r="Q66" s="623"/>
    </row>
    <row r="67" spans="2:17" ht="15" customHeight="1">
      <c r="B67" s="623"/>
      <c r="C67" s="623"/>
      <c r="D67" s="623"/>
      <c r="E67" s="623"/>
      <c r="F67" s="623"/>
      <c r="G67" s="623"/>
      <c r="H67" s="623"/>
      <c r="I67" s="623"/>
      <c r="J67" s="623"/>
      <c r="K67" s="623"/>
      <c r="L67" s="623"/>
      <c r="M67" s="623"/>
      <c r="N67" s="623"/>
      <c r="O67" s="623"/>
      <c r="P67" s="623"/>
      <c r="Q67" s="623"/>
    </row>
    <row r="68" spans="2:17" ht="15" customHeight="1">
      <c r="B68" s="623"/>
      <c r="C68" s="623"/>
      <c r="D68" s="623"/>
      <c r="E68" s="623"/>
      <c r="F68" s="623"/>
      <c r="G68" s="623"/>
      <c r="H68" s="623"/>
      <c r="I68" s="623"/>
      <c r="J68" s="623"/>
      <c r="K68" s="623"/>
      <c r="L68" s="623"/>
      <c r="M68" s="623"/>
      <c r="N68" s="623"/>
      <c r="O68" s="623"/>
      <c r="P68" s="623"/>
      <c r="Q68" s="623"/>
    </row>
    <row r="69" spans="2:17" ht="15" customHeight="1">
      <c r="B69" s="623"/>
      <c r="C69" s="623"/>
      <c r="D69" s="623"/>
      <c r="E69" s="623"/>
      <c r="F69" s="623"/>
      <c r="G69" s="623"/>
      <c r="H69" s="623"/>
      <c r="I69" s="623"/>
      <c r="J69" s="623"/>
      <c r="K69" s="623"/>
      <c r="L69" s="623"/>
      <c r="M69" s="623"/>
      <c r="N69" s="623"/>
      <c r="O69" s="623"/>
      <c r="P69" s="623"/>
      <c r="Q69" s="623"/>
    </row>
    <row r="70" spans="2:17" ht="15" customHeight="1">
      <c r="B70" s="623"/>
      <c r="C70" s="623"/>
      <c r="D70" s="623"/>
      <c r="E70" s="623"/>
      <c r="F70" s="623"/>
      <c r="G70" s="623"/>
      <c r="H70" s="623"/>
      <c r="I70" s="623"/>
      <c r="J70" s="623"/>
      <c r="K70" s="623"/>
      <c r="L70" s="623"/>
      <c r="M70" s="623"/>
      <c r="N70" s="623"/>
      <c r="O70" s="623"/>
      <c r="P70" s="623"/>
      <c r="Q70" s="623"/>
    </row>
    <row r="71" spans="2:17" ht="15" customHeight="1">
      <c r="B71" s="623"/>
      <c r="C71" s="623"/>
      <c r="D71" s="623"/>
      <c r="E71" s="623"/>
      <c r="F71" s="623"/>
      <c r="G71" s="623"/>
      <c r="H71" s="623"/>
      <c r="I71" s="623"/>
      <c r="J71" s="623"/>
      <c r="K71" s="623"/>
      <c r="L71" s="623"/>
      <c r="M71" s="623"/>
      <c r="N71" s="623"/>
      <c r="O71" s="623"/>
      <c r="P71" s="623"/>
      <c r="Q71" s="623"/>
    </row>
    <row r="72" spans="2:17" ht="15" customHeight="1">
      <c r="B72" s="623"/>
      <c r="C72" s="623"/>
      <c r="D72" s="623"/>
      <c r="E72" s="623"/>
      <c r="F72" s="623"/>
      <c r="G72" s="623"/>
      <c r="H72" s="623"/>
      <c r="I72" s="623"/>
      <c r="J72" s="623"/>
      <c r="K72" s="623"/>
      <c r="L72" s="623"/>
      <c r="M72" s="623"/>
      <c r="N72" s="623"/>
      <c r="O72" s="623"/>
      <c r="P72" s="623"/>
      <c r="Q72" s="623"/>
    </row>
    <row r="73" spans="2:17" ht="15" customHeight="1">
      <c r="B73" s="623"/>
      <c r="C73" s="623"/>
      <c r="D73" s="623"/>
      <c r="E73" s="623"/>
      <c r="F73" s="623"/>
      <c r="G73" s="623"/>
      <c r="H73" s="623"/>
      <c r="I73" s="623"/>
      <c r="J73" s="623"/>
      <c r="K73" s="623"/>
      <c r="L73" s="623"/>
      <c r="M73" s="623"/>
      <c r="N73" s="623"/>
      <c r="O73" s="623"/>
      <c r="P73" s="623"/>
      <c r="Q73" s="623"/>
    </row>
    <row r="74" spans="2:17" ht="15" customHeight="1">
      <c r="B74" s="623"/>
      <c r="C74" s="623"/>
      <c r="D74" s="623"/>
      <c r="E74" s="623"/>
      <c r="F74" s="623"/>
      <c r="G74" s="623"/>
      <c r="H74" s="623"/>
      <c r="I74" s="623"/>
      <c r="J74" s="623"/>
      <c r="K74" s="623"/>
      <c r="L74" s="623"/>
      <c r="M74" s="623"/>
      <c r="N74" s="623"/>
      <c r="O74" s="623"/>
      <c r="P74" s="623"/>
      <c r="Q74" s="623"/>
    </row>
    <row r="75" spans="2:17" ht="15" customHeight="1">
      <c r="B75" s="623"/>
      <c r="C75" s="623"/>
      <c r="D75" s="623"/>
      <c r="E75" s="623"/>
      <c r="F75" s="623"/>
      <c r="G75" s="623"/>
      <c r="H75" s="623"/>
      <c r="I75" s="623"/>
      <c r="J75" s="623"/>
      <c r="K75" s="623"/>
      <c r="L75" s="623"/>
      <c r="M75" s="623"/>
      <c r="N75" s="623"/>
      <c r="O75" s="623"/>
      <c r="P75" s="623"/>
      <c r="Q75" s="623"/>
    </row>
    <row r="76" spans="2:17">
      <c r="B76" s="623"/>
      <c r="C76" s="623"/>
      <c r="D76" s="623"/>
      <c r="E76" s="623"/>
      <c r="F76" s="623"/>
      <c r="G76" s="623"/>
      <c r="H76" s="623"/>
      <c r="I76" s="623"/>
      <c r="J76" s="623"/>
      <c r="K76" s="623"/>
      <c r="L76" s="623"/>
      <c r="M76" s="623"/>
      <c r="N76" s="623"/>
      <c r="O76" s="623"/>
      <c r="P76" s="623"/>
      <c r="Q76" s="623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3</vt:i4>
      </vt:variant>
    </vt:vector>
  </HeadingPairs>
  <TitlesOfParts>
    <vt:vector size="26" baseType="lpstr">
      <vt:lpstr>Dec 18th</vt:lpstr>
      <vt:lpstr>Sept 1st</vt:lpstr>
      <vt:lpstr>Sept 2nd</vt:lpstr>
      <vt:lpstr>Sept 3rd</vt:lpstr>
      <vt:lpstr>Sept 4th</vt:lpstr>
      <vt:lpstr>Sept 7th</vt:lpstr>
      <vt:lpstr>Sept 8th</vt:lpstr>
      <vt:lpstr>Sept 9th</vt:lpstr>
      <vt:lpstr>Sept 10th</vt:lpstr>
      <vt:lpstr>Sept 11th </vt:lpstr>
      <vt:lpstr>Sept 14th</vt:lpstr>
      <vt:lpstr>Sept 15th</vt:lpstr>
      <vt:lpstr>Sept 16th</vt:lpstr>
      <vt:lpstr>Sept 17th </vt:lpstr>
      <vt:lpstr>Sept 18th</vt:lpstr>
      <vt:lpstr>Sept 21st</vt:lpstr>
      <vt:lpstr>Sept 22nd</vt:lpstr>
      <vt:lpstr>Sept 23rd </vt:lpstr>
      <vt:lpstr>Sept 24th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Kaylil Baptiste</cp:lastModifiedBy>
  <cp:lastPrinted>2024-01-26T11:36:30Z</cp:lastPrinted>
  <dcterms:created xsi:type="dcterms:W3CDTF">2020-01-28T18:21:11Z</dcterms:created>
  <dcterms:modified xsi:type="dcterms:W3CDTF">2026-09-25T15:00:42Z</dcterms:modified>
</cp:coreProperties>
</file>