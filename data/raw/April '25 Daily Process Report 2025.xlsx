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drawings/drawing1.xml" ContentType="application/vnd.openxmlformats-officedocument.drawing+xml"/>
  <Override PartName="/xl/comments2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3A2274F8-F8BB-4434-947D-D97A87D6CBC1}" xr6:coauthVersionLast="47" xr6:coauthVersionMax="47" xr10:uidLastSave="{00000000-0000-0000-0000-000000000000}"/>
  <bookViews>
    <workbookView xWindow="-108" yWindow="-108" windowWidth="23256" windowHeight="12456" tabRatio="599" firstSheet="14" activeTab="19" xr2:uid="{1120807F-7390-4E10-A66F-84111922E872}"/>
  </bookViews>
  <sheets>
    <sheet name="Dec 18th" sheetId="658" state="hidden" r:id="rId1"/>
    <sheet name="Apr. 1st" sheetId="726" r:id="rId2"/>
    <sheet name="Apr. 3rd" sheetId="727" r:id="rId3"/>
    <sheet name="Apr. 4th" sheetId="728" r:id="rId4"/>
    <sheet name="Apr. 7th " sheetId="729" r:id="rId5"/>
    <sheet name="Apr. 8th  " sheetId="730" r:id="rId6"/>
    <sheet name="Apr. 9th   " sheetId="731" r:id="rId7"/>
    <sheet name="Apr. 10th " sheetId="732" r:id="rId8"/>
    <sheet name="Apr. 11-12-13th" sheetId="733" r:id="rId9"/>
    <sheet name="Apr. 14th" sheetId="734" r:id="rId10"/>
    <sheet name="Apr. 15th" sheetId="735" r:id="rId11"/>
    <sheet name="Apr. 16th" sheetId="736" r:id="rId12"/>
    <sheet name="Apr. 17th-20th" sheetId="737" r:id="rId13"/>
    <sheet name="Apr. 22nd" sheetId="738" r:id="rId14"/>
    <sheet name="Apr. 23rd" sheetId="739" r:id="rId15"/>
    <sheet name="Apr. 24th" sheetId="740" r:id="rId16"/>
    <sheet name="Apr. 25th " sheetId="741" r:id="rId17"/>
    <sheet name="Apr. 28th" sheetId="742" r:id="rId18"/>
    <sheet name="Apr. 29th" sheetId="743" r:id="rId19"/>
    <sheet name="Apr. 30th" sheetId="744" r:id="rId20"/>
    <sheet name="MTD_Links" sheetId="18" r:id="rId21"/>
    <sheet name="YTD_Links" sheetId="19" r:id="rId22"/>
    <sheet name="KPIs" sheetId="20" state="hidden" r:id="rId23"/>
    <sheet name="Brewer Performance" sheetId="21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_xlnm.Print_Area" localSheetId="23">'Brewer Performance'!$B$2:$K$35</definedName>
    <definedName name="_xlnm.Print_Area" localSheetId="20">MTD_Links!$B$2:$K$65</definedName>
    <definedName name="_xlnm.Print_Area" localSheetId="21">YTD_Links!$B$2:$K$65</definedName>
    <definedName name="ProductList" localSheetId="23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7" i="744" l="1"/>
  <c r="K72" i="744"/>
  <c r="E66" i="744"/>
  <c r="K66" i="744"/>
  <c r="K64" i="744"/>
  <c r="K70" i="744" s="1"/>
  <c r="B66" i="744"/>
  <c r="B47" i="744"/>
  <c r="C49" i="744" a="1"/>
  <c r="C49" i="744" s="1"/>
  <c r="C47" i="744" a="1"/>
  <c r="C47" i="744" s="1"/>
  <c r="C35" i="744" a="1"/>
  <c r="C35" i="744" s="1"/>
  <c r="F75" i="744"/>
  <c r="AX64" i="744"/>
  <c r="AW64" i="744"/>
  <c r="AV64" i="744"/>
  <c r="AU64" i="744"/>
  <c r="AT64" i="744"/>
  <c r="AS64" i="744"/>
  <c r="AR64" i="744"/>
  <c r="AQ64" i="744"/>
  <c r="AP64" i="744"/>
  <c r="AO64" i="744"/>
  <c r="AN64" i="744"/>
  <c r="AM64" i="744"/>
  <c r="AL64" i="744"/>
  <c r="AK64" i="744"/>
  <c r="AJ64" i="744"/>
  <c r="AI64" i="744"/>
  <c r="AH64" i="744"/>
  <c r="AG64" i="744"/>
  <c r="AF64" i="744"/>
  <c r="AE64" i="744"/>
  <c r="AD64" i="744"/>
  <c r="AC64" i="744"/>
  <c r="AB64" i="744"/>
  <c r="B64" i="744"/>
  <c r="K59" i="744"/>
  <c r="D57" i="744"/>
  <c r="M42" i="744"/>
  <c r="M41" i="744"/>
  <c r="L41" i="744"/>
  <c r="K41" i="744"/>
  <c r="M40" i="744"/>
  <c r="L40" i="744"/>
  <c r="K40" i="744"/>
  <c r="M38" i="744"/>
  <c r="L38" i="744"/>
  <c r="K38" i="744"/>
  <c r="M37" i="744"/>
  <c r="L37" i="744"/>
  <c r="M36" i="744"/>
  <c r="L36" i="744"/>
  <c r="K36" i="744"/>
  <c r="M35" i="744"/>
  <c r="L35" i="744"/>
  <c r="K35" i="744"/>
  <c r="B35" i="744"/>
  <c r="Z33" i="744"/>
  <c r="Y33" i="744"/>
  <c r="X33" i="744"/>
  <c r="W33" i="744"/>
  <c r="V33" i="744"/>
  <c r="U33" i="744"/>
  <c r="T33" i="744"/>
  <c r="S33" i="744"/>
  <c r="R33" i="744"/>
  <c r="Z32" i="744"/>
  <c r="Y32" i="744"/>
  <c r="X32" i="744"/>
  <c r="W32" i="744"/>
  <c r="V32" i="744"/>
  <c r="U32" i="744"/>
  <c r="T32" i="744"/>
  <c r="S32" i="744"/>
  <c r="R32" i="744"/>
  <c r="Z31" i="744"/>
  <c r="Y31" i="744"/>
  <c r="X31" i="744"/>
  <c r="W31" i="744"/>
  <c r="V31" i="744"/>
  <c r="U31" i="744"/>
  <c r="T31" i="744"/>
  <c r="S31" i="744"/>
  <c r="R31" i="744"/>
  <c r="Z30" i="744"/>
  <c r="Y30" i="744"/>
  <c r="X30" i="744"/>
  <c r="W30" i="744"/>
  <c r="V30" i="744"/>
  <c r="U30" i="744"/>
  <c r="T30" i="744"/>
  <c r="S30" i="744"/>
  <c r="R30" i="744"/>
  <c r="Z29" i="744"/>
  <c r="Y29" i="744"/>
  <c r="X29" i="744"/>
  <c r="W29" i="744"/>
  <c r="V29" i="744"/>
  <c r="U29" i="744"/>
  <c r="T29" i="744"/>
  <c r="S29" i="744"/>
  <c r="R29" i="744"/>
  <c r="Z28" i="744"/>
  <c r="Y28" i="744"/>
  <c r="X28" i="744"/>
  <c r="W28" i="744"/>
  <c r="V28" i="744"/>
  <c r="U28" i="744"/>
  <c r="T28" i="744"/>
  <c r="S28" i="744"/>
  <c r="R28" i="744"/>
  <c r="Z27" i="744"/>
  <c r="Y27" i="744"/>
  <c r="X27" i="744"/>
  <c r="W27" i="744"/>
  <c r="V27" i="744"/>
  <c r="U27" i="744"/>
  <c r="T27" i="744"/>
  <c r="S27" i="744"/>
  <c r="R27" i="744"/>
  <c r="Z25" i="744"/>
  <c r="Y25" i="744"/>
  <c r="X25" i="744"/>
  <c r="W25" i="744"/>
  <c r="V25" i="744"/>
  <c r="U25" i="744"/>
  <c r="T25" i="744"/>
  <c r="S25" i="744"/>
  <c r="R25" i="744"/>
  <c r="Z24" i="744"/>
  <c r="Y24" i="744"/>
  <c r="X24" i="744"/>
  <c r="W24" i="744"/>
  <c r="V24" i="744"/>
  <c r="U24" i="744"/>
  <c r="T24" i="744"/>
  <c r="S24" i="744"/>
  <c r="R24" i="744"/>
  <c r="Z23" i="744"/>
  <c r="Y23" i="744"/>
  <c r="X23" i="744"/>
  <c r="W23" i="744"/>
  <c r="V23" i="744"/>
  <c r="U23" i="744"/>
  <c r="T23" i="744"/>
  <c r="S23" i="744"/>
  <c r="R23" i="744"/>
  <c r="Z22" i="744"/>
  <c r="Y22" i="744"/>
  <c r="X22" i="744"/>
  <c r="W22" i="744"/>
  <c r="V22" i="744"/>
  <c r="U22" i="744"/>
  <c r="T22" i="744"/>
  <c r="S22" i="744"/>
  <c r="R22" i="744"/>
  <c r="Z21" i="744"/>
  <c r="Y21" i="744"/>
  <c r="X21" i="744"/>
  <c r="W21" i="744"/>
  <c r="V21" i="744"/>
  <c r="U21" i="744"/>
  <c r="T21" i="744"/>
  <c r="S21" i="744"/>
  <c r="R21" i="744"/>
  <c r="Z20" i="744"/>
  <c r="Y20" i="744"/>
  <c r="X20" i="744"/>
  <c r="W20" i="744"/>
  <c r="V20" i="744"/>
  <c r="U20" i="744"/>
  <c r="T20" i="744"/>
  <c r="S20" i="744"/>
  <c r="R20" i="744"/>
  <c r="Z19" i="744"/>
  <c r="Y19" i="744"/>
  <c r="X19" i="744"/>
  <c r="W19" i="744"/>
  <c r="V19" i="744"/>
  <c r="U19" i="744"/>
  <c r="T19" i="744"/>
  <c r="S19" i="744"/>
  <c r="R19" i="744"/>
  <c r="Z18" i="744"/>
  <c r="Y18" i="744"/>
  <c r="X18" i="744"/>
  <c r="W18" i="744"/>
  <c r="V18" i="744"/>
  <c r="U18" i="744"/>
  <c r="T18" i="744"/>
  <c r="S18" i="744"/>
  <c r="R18" i="744"/>
  <c r="Z17" i="744"/>
  <c r="Y17" i="744"/>
  <c r="X17" i="744"/>
  <c r="W17" i="744"/>
  <c r="V17" i="744"/>
  <c r="U17" i="744"/>
  <c r="T17" i="744"/>
  <c r="S17" i="744"/>
  <c r="R17" i="744"/>
  <c r="Z16" i="744"/>
  <c r="Y16" i="744"/>
  <c r="X16" i="744"/>
  <c r="W16" i="744"/>
  <c r="V16" i="744"/>
  <c r="U16" i="744"/>
  <c r="T16" i="744"/>
  <c r="S16" i="744"/>
  <c r="R16" i="744"/>
  <c r="Z15" i="744"/>
  <c r="Y15" i="744"/>
  <c r="X15" i="744"/>
  <c r="W15" i="744"/>
  <c r="V15" i="744"/>
  <c r="U15" i="744"/>
  <c r="T15" i="744"/>
  <c r="S15" i="744"/>
  <c r="R15" i="744"/>
  <c r="Z14" i="744"/>
  <c r="Y14" i="744"/>
  <c r="X14" i="744"/>
  <c r="W14" i="744"/>
  <c r="V14" i="744"/>
  <c r="U14" i="744"/>
  <c r="T14" i="744"/>
  <c r="S14" i="744"/>
  <c r="R14" i="744"/>
  <c r="Z13" i="744"/>
  <c r="Y13" i="744"/>
  <c r="X13" i="744"/>
  <c r="W13" i="744"/>
  <c r="V13" i="744"/>
  <c r="U13" i="744"/>
  <c r="T13" i="744"/>
  <c r="S13" i="744"/>
  <c r="R13" i="744"/>
  <c r="Z12" i="744"/>
  <c r="Y12" i="744"/>
  <c r="X12" i="744"/>
  <c r="W12" i="744"/>
  <c r="V12" i="744"/>
  <c r="U12" i="744"/>
  <c r="T12" i="744"/>
  <c r="S12" i="744"/>
  <c r="R12" i="744"/>
  <c r="Z11" i="744"/>
  <c r="Y11" i="744"/>
  <c r="X11" i="744"/>
  <c r="W11" i="744"/>
  <c r="V11" i="744"/>
  <c r="U11" i="744"/>
  <c r="T11" i="744"/>
  <c r="S11" i="744"/>
  <c r="R11" i="744"/>
  <c r="Z10" i="744"/>
  <c r="Y10" i="744"/>
  <c r="X10" i="744"/>
  <c r="W10" i="744"/>
  <c r="V10" i="744"/>
  <c r="U10" i="744"/>
  <c r="T10" i="744"/>
  <c r="S10" i="744"/>
  <c r="R10" i="744"/>
  <c r="K59" i="743"/>
  <c r="C37" i="743" a="1"/>
  <c r="C37" i="743" s="1"/>
  <c r="C35" i="743" a="1"/>
  <c r="C35" i="743" s="1"/>
  <c r="G66" i="744" l="1"/>
  <c r="K45" i="744"/>
  <c r="L45" i="744" s="1"/>
  <c r="M45" i="744" s="1"/>
  <c r="G68" i="742"/>
  <c r="F75" i="743"/>
  <c r="AX64" i="743"/>
  <c r="AW64" i="743"/>
  <c r="AV64" i="743"/>
  <c r="AU64" i="743"/>
  <c r="AT64" i="743"/>
  <c r="AS64" i="743"/>
  <c r="AR64" i="743"/>
  <c r="AQ64" i="743"/>
  <c r="AP64" i="743"/>
  <c r="AO64" i="743"/>
  <c r="AN64" i="743"/>
  <c r="AM64" i="743"/>
  <c r="AL64" i="743"/>
  <c r="AK64" i="743"/>
  <c r="AJ64" i="743"/>
  <c r="AI64" i="743"/>
  <c r="AH64" i="743"/>
  <c r="AG64" i="743"/>
  <c r="AF64" i="743"/>
  <c r="AE64" i="743"/>
  <c r="AD64" i="743"/>
  <c r="AC64" i="743"/>
  <c r="AB64" i="743"/>
  <c r="B64" i="743"/>
  <c r="D57" i="743"/>
  <c r="M42" i="743"/>
  <c r="M41" i="743"/>
  <c r="L41" i="743"/>
  <c r="K41" i="743"/>
  <c r="M40" i="743"/>
  <c r="L40" i="743"/>
  <c r="K40" i="743"/>
  <c r="M38" i="743"/>
  <c r="L38" i="743"/>
  <c r="K38" i="743"/>
  <c r="M37" i="743"/>
  <c r="L37" i="743"/>
  <c r="K37" i="743"/>
  <c r="M36" i="743"/>
  <c r="L36" i="743"/>
  <c r="K36" i="743"/>
  <c r="M35" i="743"/>
  <c r="L35" i="743"/>
  <c r="K35" i="743"/>
  <c r="B35" i="743"/>
  <c r="Z33" i="743"/>
  <c r="Y33" i="743"/>
  <c r="X33" i="743"/>
  <c r="W33" i="743"/>
  <c r="V33" i="743"/>
  <c r="U33" i="743"/>
  <c r="T33" i="743"/>
  <c r="S33" i="743"/>
  <c r="R33" i="743"/>
  <c r="Z32" i="743"/>
  <c r="Y32" i="743"/>
  <c r="X32" i="743"/>
  <c r="W32" i="743"/>
  <c r="V32" i="743"/>
  <c r="U32" i="743"/>
  <c r="T32" i="743"/>
  <c r="S32" i="743"/>
  <c r="R32" i="743"/>
  <c r="Z31" i="743"/>
  <c r="Y31" i="743"/>
  <c r="X31" i="743"/>
  <c r="W31" i="743"/>
  <c r="V31" i="743"/>
  <c r="U31" i="743"/>
  <c r="T31" i="743"/>
  <c r="S31" i="743"/>
  <c r="R31" i="743"/>
  <c r="Z30" i="743"/>
  <c r="Y30" i="743"/>
  <c r="X30" i="743"/>
  <c r="W30" i="743"/>
  <c r="V30" i="743"/>
  <c r="U30" i="743"/>
  <c r="T30" i="743"/>
  <c r="S30" i="743"/>
  <c r="R30" i="743"/>
  <c r="Z29" i="743"/>
  <c r="Y29" i="743"/>
  <c r="X29" i="743"/>
  <c r="W29" i="743"/>
  <c r="V29" i="743"/>
  <c r="U29" i="743"/>
  <c r="T29" i="743"/>
  <c r="S29" i="743"/>
  <c r="R29" i="743"/>
  <c r="Z28" i="743"/>
  <c r="Y28" i="743"/>
  <c r="X28" i="743"/>
  <c r="W28" i="743"/>
  <c r="V28" i="743"/>
  <c r="U28" i="743"/>
  <c r="T28" i="743"/>
  <c r="S28" i="743"/>
  <c r="R28" i="743"/>
  <c r="Z27" i="743"/>
  <c r="Y27" i="743"/>
  <c r="X27" i="743"/>
  <c r="W27" i="743"/>
  <c r="V27" i="743"/>
  <c r="U27" i="743"/>
  <c r="T27" i="743"/>
  <c r="S27" i="743"/>
  <c r="R27" i="743"/>
  <c r="Z25" i="743"/>
  <c r="Y25" i="743"/>
  <c r="X25" i="743"/>
  <c r="W25" i="743"/>
  <c r="V25" i="743"/>
  <c r="U25" i="743"/>
  <c r="T25" i="743"/>
  <c r="S25" i="743"/>
  <c r="R25" i="743"/>
  <c r="Z24" i="743"/>
  <c r="Y24" i="743"/>
  <c r="X24" i="743"/>
  <c r="W24" i="743"/>
  <c r="V24" i="743"/>
  <c r="U24" i="743"/>
  <c r="T24" i="743"/>
  <c r="S24" i="743"/>
  <c r="R24" i="743"/>
  <c r="Z23" i="743"/>
  <c r="Y23" i="743"/>
  <c r="X23" i="743"/>
  <c r="W23" i="743"/>
  <c r="V23" i="743"/>
  <c r="U23" i="743"/>
  <c r="T23" i="743"/>
  <c r="S23" i="743"/>
  <c r="R23" i="743"/>
  <c r="Z22" i="743"/>
  <c r="Y22" i="743"/>
  <c r="X22" i="743"/>
  <c r="W22" i="743"/>
  <c r="V22" i="743"/>
  <c r="U22" i="743"/>
  <c r="T22" i="743"/>
  <c r="S22" i="743"/>
  <c r="R22" i="743"/>
  <c r="Z21" i="743"/>
  <c r="Y21" i="743"/>
  <c r="X21" i="743"/>
  <c r="W21" i="743"/>
  <c r="V21" i="743"/>
  <c r="U21" i="743"/>
  <c r="T21" i="743"/>
  <c r="S21" i="743"/>
  <c r="R21" i="743"/>
  <c r="Z20" i="743"/>
  <c r="Y20" i="743"/>
  <c r="X20" i="743"/>
  <c r="W20" i="743"/>
  <c r="V20" i="743"/>
  <c r="U20" i="743"/>
  <c r="T20" i="743"/>
  <c r="S20" i="743"/>
  <c r="R20" i="743"/>
  <c r="Z19" i="743"/>
  <c r="Y19" i="743"/>
  <c r="X19" i="743"/>
  <c r="W19" i="743"/>
  <c r="V19" i="743"/>
  <c r="U19" i="743"/>
  <c r="T19" i="743"/>
  <c r="S19" i="743"/>
  <c r="R19" i="743"/>
  <c r="Z18" i="743"/>
  <c r="Y18" i="743"/>
  <c r="X18" i="743"/>
  <c r="W18" i="743"/>
  <c r="V18" i="743"/>
  <c r="U18" i="743"/>
  <c r="T18" i="743"/>
  <c r="S18" i="743"/>
  <c r="R18" i="743"/>
  <c r="Z17" i="743"/>
  <c r="Y17" i="743"/>
  <c r="X17" i="743"/>
  <c r="W17" i="743"/>
  <c r="V17" i="743"/>
  <c r="U17" i="743"/>
  <c r="T17" i="743"/>
  <c r="S17" i="743"/>
  <c r="R17" i="743"/>
  <c r="Z16" i="743"/>
  <c r="Y16" i="743"/>
  <c r="X16" i="743"/>
  <c r="W16" i="743"/>
  <c r="V16" i="743"/>
  <c r="U16" i="743"/>
  <c r="T16" i="743"/>
  <c r="S16" i="743"/>
  <c r="R16" i="743"/>
  <c r="Z15" i="743"/>
  <c r="Y15" i="743"/>
  <c r="X15" i="743"/>
  <c r="W15" i="743"/>
  <c r="V15" i="743"/>
  <c r="U15" i="743"/>
  <c r="T15" i="743"/>
  <c r="S15" i="743"/>
  <c r="R15" i="743"/>
  <c r="Z14" i="743"/>
  <c r="Y14" i="743"/>
  <c r="X14" i="743"/>
  <c r="W14" i="743"/>
  <c r="V14" i="743"/>
  <c r="U14" i="743"/>
  <c r="T14" i="743"/>
  <c r="S14" i="743"/>
  <c r="R14" i="743"/>
  <c r="Z13" i="743"/>
  <c r="Y13" i="743"/>
  <c r="X13" i="743"/>
  <c r="W13" i="743"/>
  <c r="V13" i="743"/>
  <c r="U13" i="743"/>
  <c r="T13" i="743"/>
  <c r="S13" i="743"/>
  <c r="R13" i="743"/>
  <c r="Z12" i="743"/>
  <c r="Y12" i="743"/>
  <c r="X12" i="743"/>
  <c r="W12" i="743"/>
  <c r="V12" i="743"/>
  <c r="U12" i="743"/>
  <c r="T12" i="743"/>
  <c r="S12" i="743"/>
  <c r="R12" i="743"/>
  <c r="Z11" i="743"/>
  <c r="Y11" i="743"/>
  <c r="X11" i="743"/>
  <c r="W11" i="743"/>
  <c r="V11" i="743"/>
  <c r="U11" i="743"/>
  <c r="T11" i="743"/>
  <c r="S11" i="743"/>
  <c r="R11" i="743"/>
  <c r="Z10" i="743"/>
  <c r="Y10" i="743"/>
  <c r="X10" i="743"/>
  <c r="W10" i="743"/>
  <c r="V10" i="743"/>
  <c r="U10" i="743"/>
  <c r="T10" i="743"/>
  <c r="S10" i="743"/>
  <c r="R10" i="743"/>
  <c r="C39" i="742" a="1"/>
  <c r="C39" i="742" s="1"/>
  <c r="C35" i="742" a="1"/>
  <c r="C35" i="742" s="1"/>
  <c r="C53" i="742" a="1"/>
  <c r="C53" i="742" s="1"/>
  <c r="C47" i="742" a="1"/>
  <c r="C47" i="742" s="1"/>
  <c r="K72" i="742"/>
  <c r="G64" i="742"/>
  <c r="B68" i="742"/>
  <c r="AX66" i="742"/>
  <c r="AW66" i="742"/>
  <c r="AV66" i="742"/>
  <c r="AU66" i="742"/>
  <c r="AT66" i="742"/>
  <c r="AS66" i="742"/>
  <c r="AR66" i="742"/>
  <c r="AQ66" i="742"/>
  <c r="AP66" i="742"/>
  <c r="AO66" i="742"/>
  <c r="AN66" i="742"/>
  <c r="AM66" i="742"/>
  <c r="AL66" i="742"/>
  <c r="AK66" i="742"/>
  <c r="AJ66" i="742"/>
  <c r="AI66" i="742"/>
  <c r="AH66" i="742"/>
  <c r="AG66" i="742"/>
  <c r="AF66" i="742"/>
  <c r="AE66" i="742"/>
  <c r="AD66" i="742"/>
  <c r="AC66" i="742"/>
  <c r="AB66" i="742"/>
  <c r="K66" i="742"/>
  <c r="B66" i="742"/>
  <c r="K68" i="742"/>
  <c r="AB68" i="742"/>
  <c r="AC68" i="742"/>
  <c r="AD68" i="742"/>
  <c r="AE68" i="742"/>
  <c r="AF68" i="742"/>
  <c r="AG68" i="742"/>
  <c r="AH68" i="742"/>
  <c r="AI68" i="742"/>
  <c r="AJ68" i="742"/>
  <c r="AK68" i="742"/>
  <c r="AL68" i="742"/>
  <c r="AM68" i="742"/>
  <c r="AN68" i="742"/>
  <c r="AO68" i="742"/>
  <c r="AP68" i="742"/>
  <c r="AQ68" i="742"/>
  <c r="AR68" i="742"/>
  <c r="AS68" i="742"/>
  <c r="AT68" i="742"/>
  <c r="AU68" i="742"/>
  <c r="AV68" i="742"/>
  <c r="AW68" i="742"/>
  <c r="AX68" i="742"/>
  <c r="K64" i="742"/>
  <c r="K73" i="742" l="1"/>
  <c r="K45" i="743"/>
  <c r="L45" i="743" s="1"/>
  <c r="M45" i="743" s="1"/>
  <c r="B64" i="742"/>
  <c r="K127" i="734"/>
  <c r="K47" i="736"/>
  <c r="K50" i="742"/>
  <c r="K49" i="742"/>
  <c r="M24" i="741"/>
  <c r="M35" i="742"/>
  <c r="L35" i="742"/>
  <c r="K35" i="742"/>
  <c r="M36" i="742"/>
  <c r="L36" i="742"/>
  <c r="K36" i="742"/>
  <c r="R17" i="742"/>
  <c r="S17" i="742"/>
  <c r="T17" i="742"/>
  <c r="U17" i="742"/>
  <c r="V17" i="742"/>
  <c r="W17" i="742"/>
  <c r="X17" i="742"/>
  <c r="Y17" i="742"/>
  <c r="Z17" i="742"/>
  <c r="R18" i="742"/>
  <c r="S18" i="742"/>
  <c r="T18" i="742"/>
  <c r="U18" i="742"/>
  <c r="V18" i="742"/>
  <c r="W18" i="742"/>
  <c r="X18" i="742"/>
  <c r="Y18" i="742"/>
  <c r="Z18" i="742"/>
  <c r="R19" i="742"/>
  <c r="S19" i="742"/>
  <c r="T19" i="742"/>
  <c r="U19" i="742"/>
  <c r="V19" i="742"/>
  <c r="W19" i="742"/>
  <c r="X19" i="742"/>
  <c r="Y19" i="742"/>
  <c r="Z19" i="742"/>
  <c r="R20" i="742"/>
  <c r="S20" i="742"/>
  <c r="T20" i="742"/>
  <c r="U20" i="742"/>
  <c r="V20" i="742"/>
  <c r="W20" i="742"/>
  <c r="X20" i="742"/>
  <c r="Y20" i="742"/>
  <c r="Z20" i="742"/>
  <c r="R21" i="742"/>
  <c r="S21" i="742"/>
  <c r="T21" i="742"/>
  <c r="U21" i="742"/>
  <c r="V21" i="742"/>
  <c r="W21" i="742"/>
  <c r="X21" i="742"/>
  <c r="Y21" i="742"/>
  <c r="Z21" i="742"/>
  <c r="R22" i="742"/>
  <c r="S22" i="742"/>
  <c r="T22" i="742"/>
  <c r="U22" i="742"/>
  <c r="V22" i="742"/>
  <c r="W22" i="742"/>
  <c r="X22" i="742"/>
  <c r="Y22" i="742"/>
  <c r="Z22" i="742"/>
  <c r="R23" i="742"/>
  <c r="S23" i="742"/>
  <c r="T23" i="742"/>
  <c r="U23" i="742"/>
  <c r="V23" i="742"/>
  <c r="W23" i="742"/>
  <c r="X23" i="742"/>
  <c r="Y23" i="742"/>
  <c r="Z23" i="742"/>
  <c r="R24" i="742"/>
  <c r="S24" i="742"/>
  <c r="T24" i="742"/>
  <c r="U24" i="742"/>
  <c r="V24" i="742"/>
  <c r="W24" i="742"/>
  <c r="X24" i="742"/>
  <c r="Y24" i="742"/>
  <c r="Z24" i="742"/>
  <c r="R25" i="742"/>
  <c r="S25" i="742"/>
  <c r="T25" i="742"/>
  <c r="U25" i="742"/>
  <c r="V25" i="742"/>
  <c r="W25" i="742"/>
  <c r="X25" i="742"/>
  <c r="Y25" i="742"/>
  <c r="Z25" i="742"/>
  <c r="R10" i="742"/>
  <c r="S10" i="742"/>
  <c r="T10" i="742"/>
  <c r="U10" i="742"/>
  <c r="V10" i="742"/>
  <c r="W10" i="742"/>
  <c r="X10" i="742"/>
  <c r="Y10" i="742"/>
  <c r="Z10" i="742"/>
  <c r="R11" i="742"/>
  <c r="S11" i="742"/>
  <c r="T11" i="742"/>
  <c r="U11" i="742"/>
  <c r="V11" i="742"/>
  <c r="W11" i="742"/>
  <c r="X11" i="742"/>
  <c r="Y11" i="742"/>
  <c r="Z11" i="742"/>
  <c r="R12" i="742"/>
  <c r="S12" i="742"/>
  <c r="T12" i="742"/>
  <c r="U12" i="742"/>
  <c r="V12" i="742"/>
  <c r="W12" i="742"/>
  <c r="X12" i="742"/>
  <c r="Y12" i="742"/>
  <c r="Z12" i="742"/>
  <c r="R13" i="742"/>
  <c r="S13" i="742"/>
  <c r="T13" i="742"/>
  <c r="U13" i="742"/>
  <c r="V13" i="742"/>
  <c r="W13" i="742"/>
  <c r="X13" i="742"/>
  <c r="Y13" i="742"/>
  <c r="Z13" i="742"/>
  <c r="C12" i="742"/>
  <c r="D12" i="742"/>
  <c r="E12" i="742"/>
  <c r="F12" i="742"/>
  <c r="G12" i="742"/>
  <c r="I12" i="742"/>
  <c r="J12" i="742"/>
  <c r="K12" i="742"/>
  <c r="L12" i="742"/>
  <c r="M12" i="742"/>
  <c r="N12" i="742"/>
  <c r="O12" i="742"/>
  <c r="C13" i="742"/>
  <c r="D13" i="742"/>
  <c r="E13" i="742"/>
  <c r="F13" i="742"/>
  <c r="G13" i="742"/>
  <c r="I13" i="742"/>
  <c r="J13" i="742"/>
  <c r="K13" i="742"/>
  <c r="L13" i="742"/>
  <c r="M13" i="742"/>
  <c r="N13" i="742"/>
  <c r="O13" i="742"/>
  <c r="C14" i="742"/>
  <c r="D14" i="742"/>
  <c r="E14" i="742"/>
  <c r="F14" i="742"/>
  <c r="G14" i="742"/>
  <c r="I14" i="742"/>
  <c r="J14" i="742"/>
  <c r="K14" i="742"/>
  <c r="L14" i="742"/>
  <c r="M14" i="742"/>
  <c r="N14" i="742"/>
  <c r="O14" i="742"/>
  <c r="C15" i="742"/>
  <c r="D15" i="742"/>
  <c r="E15" i="742"/>
  <c r="F15" i="742"/>
  <c r="G15" i="742"/>
  <c r="I15" i="742"/>
  <c r="J15" i="742"/>
  <c r="K15" i="742"/>
  <c r="L15" i="742"/>
  <c r="M15" i="742"/>
  <c r="N15" i="742"/>
  <c r="O15" i="742"/>
  <c r="C16" i="742"/>
  <c r="D16" i="742"/>
  <c r="E16" i="742"/>
  <c r="F16" i="742"/>
  <c r="G16" i="742"/>
  <c r="I16" i="742"/>
  <c r="J16" i="742"/>
  <c r="K16" i="742"/>
  <c r="L16" i="742"/>
  <c r="M16" i="742"/>
  <c r="N16" i="742"/>
  <c r="O16" i="742"/>
  <c r="C17" i="742"/>
  <c r="D17" i="742"/>
  <c r="E17" i="742"/>
  <c r="F17" i="742"/>
  <c r="G17" i="742"/>
  <c r="I17" i="742"/>
  <c r="J17" i="742"/>
  <c r="K17" i="742"/>
  <c r="L17" i="742"/>
  <c r="M17" i="742"/>
  <c r="N17" i="742"/>
  <c r="O17" i="742"/>
  <c r="C10" i="742"/>
  <c r="D10" i="742"/>
  <c r="E10" i="742"/>
  <c r="F10" i="742"/>
  <c r="G10" i="742"/>
  <c r="I10" i="742"/>
  <c r="J10" i="742"/>
  <c r="K10" i="742"/>
  <c r="L10" i="742"/>
  <c r="M10" i="742"/>
  <c r="N10" i="742"/>
  <c r="O10" i="742"/>
  <c r="C11" i="742"/>
  <c r="D11" i="742"/>
  <c r="E11" i="742"/>
  <c r="F11" i="742"/>
  <c r="G11" i="742"/>
  <c r="I11" i="742"/>
  <c r="J11" i="742"/>
  <c r="K11" i="742"/>
  <c r="L11" i="742"/>
  <c r="M11" i="742"/>
  <c r="N11" i="742"/>
  <c r="O11" i="742"/>
  <c r="I20" i="742"/>
  <c r="J20" i="742"/>
  <c r="K20" i="742"/>
  <c r="L20" i="742"/>
  <c r="M20" i="742"/>
  <c r="N20" i="742"/>
  <c r="O20" i="742"/>
  <c r="I21" i="742"/>
  <c r="J21" i="742"/>
  <c r="K21" i="742"/>
  <c r="L21" i="742"/>
  <c r="M21" i="742"/>
  <c r="N21" i="742"/>
  <c r="O21" i="742"/>
  <c r="C20" i="742"/>
  <c r="D20" i="742"/>
  <c r="E20" i="742"/>
  <c r="F20" i="742"/>
  <c r="G20" i="742"/>
  <c r="C21" i="742"/>
  <c r="D21" i="742"/>
  <c r="E21" i="742"/>
  <c r="F21" i="742"/>
  <c r="G21" i="742"/>
  <c r="F77" i="742"/>
  <c r="D57" i="742"/>
  <c r="B47" i="742"/>
  <c r="M42" i="742"/>
  <c r="M41" i="742"/>
  <c r="L41" i="742"/>
  <c r="K41" i="742"/>
  <c r="M40" i="742"/>
  <c r="L40" i="742"/>
  <c r="K40" i="742"/>
  <c r="M38" i="742"/>
  <c r="L38" i="742"/>
  <c r="K38" i="742"/>
  <c r="M37" i="742"/>
  <c r="L37" i="742"/>
  <c r="K37" i="742"/>
  <c r="B35" i="742"/>
  <c r="Z33" i="742"/>
  <c r="Y33" i="742"/>
  <c r="X33" i="742"/>
  <c r="W33" i="742"/>
  <c r="V33" i="742"/>
  <c r="U33" i="742"/>
  <c r="T33" i="742"/>
  <c r="S33" i="742"/>
  <c r="R33" i="742"/>
  <c r="Z32" i="742"/>
  <c r="Y32" i="742"/>
  <c r="X32" i="742"/>
  <c r="W32" i="742"/>
  <c r="V32" i="742"/>
  <c r="U32" i="742"/>
  <c r="T32" i="742"/>
  <c r="S32" i="742"/>
  <c r="R32" i="742"/>
  <c r="Z31" i="742"/>
  <c r="Y31" i="742"/>
  <c r="X31" i="742"/>
  <c r="W31" i="742"/>
  <c r="V31" i="742"/>
  <c r="U31" i="742"/>
  <c r="T31" i="742"/>
  <c r="S31" i="742"/>
  <c r="R31" i="742"/>
  <c r="Z30" i="742"/>
  <c r="Y30" i="742"/>
  <c r="X30" i="742"/>
  <c r="W30" i="742"/>
  <c r="V30" i="742"/>
  <c r="U30" i="742"/>
  <c r="T30" i="742"/>
  <c r="S30" i="742"/>
  <c r="R30" i="742"/>
  <c r="Z29" i="742"/>
  <c r="Y29" i="742"/>
  <c r="X29" i="742"/>
  <c r="W29" i="742"/>
  <c r="V29" i="742"/>
  <c r="U29" i="742"/>
  <c r="T29" i="742"/>
  <c r="S29" i="742"/>
  <c r="R29" i="742"/>
  <c r="Z28" i="742"/>
  <c r="Y28" i="742"/>
  <c r="X28" i="742"/>
  <c r="W28" i="742"/>
  <c r="V28" i="742"/>
  <c r="U28" i="742"/>
  <c r="T28" i="742"/>
  <c r="S28" i="742"/>
  <c r="R28" i="742"/>
  <c r="Z27" i="742"/>
  <c r="Y27" i="742"/>
  <c r="X27" i="742"/>
  <c r="W27" i="742"/>
  <c r="V27" i="742"/>
  <c r="U27" i="742"/>
  <c r="T27" i="742"/>
  <c r="S27" i="742"/>
  <c r="R27" i="742"/>
  <c r="Z16" i="742"/>
  <c r="Y16" i="742"/>
  <c r="X16" i="742"/>
  <c r="W16" i="742"/>
  <c r="V16" i="742"/>
  <c r="U16" i="742"/>
  <c r="T16" i="742"/>
  <c r="S16" i="742"/>
  <c r="R16" i="742"/>
  <c r="Z15" i="742"/>
  <c r="Y15" i="742"/>
  <c r="X15" i="742"/>
  <c r="W15" i="742"/>
  <c r="V15" i="742"/>
  <c r="U15" i="742"/>
  <c r="T15" i="742"/>
  <c r="S15" i="742"/>
  <c r="R15" i="742"/>
  <c r="Z14" i="742"/>
  <c r="Y14" i="742"/>
  <c r="X14" i="742"/>
  <c r="W14" i="742"/>
  <c r="V14" i="742"/>
  <c r="U14" i="742"/>
  <c r="T14" i="742"/>
  <c r="S14" i="742"/>
  <c r="R14" i="742"/>
  <c r="K56" i="741"/>
  <c r="K62" i="741" s="1"/>
  <c r="K53" i="741"/>
  <c r="K61" i="741" s="1"/>
  <c r="G56" i="741"/>
  <c r="J35" i="742" l="1"/>
  <c r="J36" i="742"/>
  <c r="K59" i="742"/>
  <c r="K45" i="742"/>
  <c r="L45" i="742" s="1"/>
  <c r="M45" i="742" s="1"/>
  <c r="L24" i="741"/>
  <c r="K24" i="741"/>
  <c r="B56" i="741"/>
  <c r="B36" i="741"/>
  <c r="C36" i="741" a="1"/>
  <c r="C36" i="741" s="1"/>
  <c r="C28" i="741"/>
  <c r="C24" i="741" a="1"/>
  <c r="C24" i="741" s="1"/>
  <c r="C10" i="741"/>
  <c r="D10" i="741"/>
  <c r="E10" i="741"/>
  <c r="F10" i="741"/>
  <c r="G10" i="741"/>
  <c r="I10" i="741"/>
  <c r="J10" i="741"/>
  <c r="K10" i="741"/>
  <c r="L10" i="741"/>
  <c r="M10" i="741"/>
  <c r="N10" i="741"/>
  <c r="O10" i="741"/>
  <c r="C11" i="741"/>
  <c r="D11" i="741"/>
  <c r="E11" i="741"/>
  <c r="F11" i="741"/>
  <c r="G11" i="741"/>
  <c r="I11" i="741"/>
  <c r="J11" i="741"/>
  <c r="K11" i="741"/>
  <c r="L11" i="741"/>
  <c r="M11" i="741"/>
  <c r="N11" i="741"/>
  <c r="O11" i="741"/>
  <c r="C12" i="741"/>
  <c r="D12" i="741"/>
  <c r="E12" i="741"/>
  <c r="F12" i="741"/>
  <c r="G12" i="741"/>
  <c r="K12" i="741"/>
  <c r="L12" i="741"/>
  <c r="M12" i="741"/>
  <c r="O12" i="741"/>
  <c r="C13" i="741"/>
  <c r="D13" i="741"/>
  <c r="E13" i="741"/>
  <c r="F13" i="741"/>
  <c r="G13" i="741"/>
  <c r="I13" i="741"/>
  <c r="J13" i="741"/>
  <c r="K13" i="741"/>
  <c r="L13" i="741"/>
  <c r="M13" i="741"/>
  <c r="N13" i="741"/>
  <c r="O13" i="741"/>
  <c r="C14" i="741"/>
  <c r="D14" i="741"/>
  <c r="E14" i="741"/>
  <c r="F14" i="741"/>
  <c r="G14" i="741"/>
  <c r="I14" i="741"/>
  <c r="J14" i="741"/>
  <c r="K14" i="741"/>
  <c r="L14" i="741"/>
  <c r="M14" i="741"/>
  <c r="N14" i="741"/>
  <c r="O14" i="741"/>
  <c r="B24" i="741"/>
  <c r="B53" i="741"/>
  <c r="F66" i="741"/>
  <c r="AX56" i="741"/>
  <c r="AW56" i="741"/>
  <c r="AV56" i="741"/>
  <c r="AU56" i="741"/>
  <c r="AT56" i="741"/>
  <c r="AS56" i="741"/>
  <c r="AR56" i="741"/>
  <c r="AQ56" i="741"/>
  <c r="AP56" i="741"/>
  <c r="AO56" i="741"/>
  <c r="AN56" i="741"/>
  <c r="AM56" i="741"/>
  <c r="AL56" i="741"/>
  <c r="AK56" i="741"/>
  <c r="AJ56" i="741"/>
  <c r="AI56" i="741"/>
  <c r="AH56" i="741"/>
  <c r="AG56" i="741"/>
  <c r="AF56" i="741"/>
  <c r="AE56" i="741"/>
  <c r="AD56" i="741"/>
  <c r="AC56" i="741"/>
  <c r="AB56" i="741"/>
  <c r="D46" i="741"/>
  <c r="M31" i="741"/>
  <c r="M30" i="741"/>
  <c r="L30" i="741"/>
  <c r="K30" i="741"/>
  <c r="M29" i="741"/>
  <c r="L29" i="741"/>
  <c r="K29" i="741"/>
  <c r="M27" i="741"/>
  <c r="L27" i="741"/>
  <c r="K27" i="741"/>
  <c r="M26" i="741"/>
  <c r="L26" i="741"/>
  <c r="K26" i="741"/>
  <c r="M25" i="741"/>
  <c r="L25" i="741"/>
  <c r="K25" i="741"/>
  <c r="Z22" i="741"/>
  <c r="Y22" i="741"/>
  <c r="X22" i="741"/>
  <c r="W22" i="741"/>
  <c r="V22" i="741"/>
  <c r="U22" i="741"/>
  <c r="T22" i="741"/>
  <c r="S22" i="741"/>
  <c r="R22" i="741"/>
  <c r="Z21" i="741"/>
  <c r="Y21" i="741"/>
  <c r="X21" i="741"/>
  <c r="W21" i="741"/>
  <c r="V21" i="741"/>
  <c r="U21" i="741"/>
  <c r="T21" i="741"/>
  <c r="S21" i="741"/>
  <c r="R21" i="741"/>
  <c r="Z20" i="741"/>
  <c r="Y20" i="741"/>
  <c r="X20" i="741"/>
  <c r="W20" i="741"/>
  <c r="V20" i="741"/>
  <c r="U20" i="741"/>
  <c r="T20" i="741"/>
  <c r="S20" i="741"/>
  <c r="R20" i="741"/>
  <c r="Z19" i="741"/>
  <c r="Y19" i="741"/>
  <c r="X19" i="741"/>
  <c r="W19" i="741"/>
  <c r="V19" i="741"/>
  <c r="U19" i="741"/>
  <c r="T19" i="741"/>
  <c r="S19" i="741"/>
  <c r="R19" i="741"/>
  <c r="Z18" i="741"/>
  <c r="Y18" i="741"/>
  <c r="X18" i="741"/>
  <c r="W18" i="741"/>
  <c r="V18" i="741"/>
  <c r="U18" i="741"/>
  <c r="T18" i="741"/>
  <c r="S18" i="741"/>
  <c r="R18" i="741"/>
  <c r="Z17" i="741"/>
  <c r="Y17" i="741"/>
  <c r="X17" i="741"/>
  <c r="W17" i="741"/>
  <c r="V17" i="741"/>
  <c r="U17" i="741"/>
  <c r="T17" i="741"/>
  <c r="S17" i="741"/>
  <c r="R17" i="741"/>
  <c r="Z16" i="741"/>
  <c r="Y16" i="741"/>
  <c r="X16" i="741"/>
  <c r="W16" i="741"/>
  <c r="V16" i="741"/>
  <c r="U16" i="741"/>
  <c r="T16" i="741"/>
  <c r="S16" i="741"/>
  <c r="R16" i="741"/>
  <c r="Z15" i="741"/>
  <c r="Y15" i="741"/>
  <c r="X15" i="741"/>
  <c r="W15" i="741"/>
  <c r="V15" i="741"/>
  <c r="U15" i="741"/>
  <c r="T15" i="741"/>
  <c r="S15" i="741"/>
  <c r="R15" i="741"/>
  <c r="Z14" i="741"/>
  <c r="Y14" i="741"/>
  <c r="X14" i="741"/>
  <c r="W14" i="741"/>
  <c r="V14" i="741"/>
  <c r="U14" i="741"/>
  <c r="T14" i="741"/>
  <c r="S14" i="741"/>
  <c r="R14" i="741"/>
  <c r="Z13" i="741"/>
  <c r="Y13" i="741"/>
  <c r="X13" i="741"/>
  <c r="W13" i="741"/>
  <c r="V13" i="741"/>
  <c r="U13" i="741"/>
  <c r="T13" i="741"/>
  <c r="S13" i="741"/>
  <c r="R13" i="741"/>
  <c r="Z12" i="741"/>
  <c r="Y12" i="741"/>
  <c r="X12" i="741"/>
  <c r="W12" i="741"/>
  <c r="V12" i="741"/>
  <c r="U12" i="741"/>
  <c r="T12" i="741"/>
  <c r="S12" i="741"/>
  <c r="R12" i="741"/>
  <c r="Z11" i="741"/>
  <c r="Y11" i="741"/>
  <c r="X11" i="741"/>
  <c r="W11" i="741"/>
  <c r="V11" i="741"/>
  <c r="U11" i="741"/>
  <c r="T11" i="741"/>
  <c r="S11" i="741"/>
  <c r="R11" i="741"/>
  <c r="Z10" i="741"/>
  <c r="Y10" i="741"/>
  <c r="X10" i="741"/>
  <c r="W10" i="741"/>
  <c r="V10" i="741"/>
  <c r="U10" i="741"/>
  <c r="T10" i="741"/>
  <c r="S10" i="741"/>
  <c r="R10" i="741"/>
  <c r="K63" i="740"/>
  <c r="K60" i="739"/>
  <c r="K38" i="741" l="1"/>
  <c r="K48" i="741" s="1"/>
  <c r="L50" i="744" s="1"/>
  <c r="M50" i="744" s="1"/>
  <c r="K34" i="741"/>
  <c r="L34" i="741" s="1"/>
  <c r="M34" i="741" s="1"/>
  <c r="G60" i="739"/>
  <c r="K76" i="740"/>
  <c r="K70" i="739"/>
  <c r="C33" i="739" a="1"/>
  <c r="C33" i="739" s="1"/>
  <c r="C31" i="739" a="1"/>
  <c r="C31" i="739" s="1"/>
  <c r="E60" i="739"/>
  <c r="E63" i="740"/>
  <c r="G63" i="740"/>
  <c r="K11" i="740"/>
  <c r="K12" i="740"/>
  <c r="K13" i="740"/>
  <c r="K10" i="740"/>
  <c r="K11" i="739"/>
  <c r="K12" i="739"/>
  <c r="K13" i="739"/>
  <c r="K14" i="739"/>
  <c r="K15" i="739"/>
  <c r="K16" i="739"/>
  <c r="K17" i="739"/>
  <c r="K10" i="739"/>
  <c r="C34" i="740" a="1"/>
  <c r="C34" i="740" s="1"/>
  <c r="B34" i="740"/>
  <c r="B63" i="740"/>
  <c r="B60" i="739"/>
  <c r="B31" i="739"/>
  <c r="K48" i="740"/>
  <c r="K58" i="740" s="1"/>
  <c r="K49" i="740"/>
  <c r="K46" i="739"/>
  <c r="M32" i="739"/>
  <c r="L32" i="739"/>
  <c r="K32" i="739"/>
  <c r="R10" i="739"/>
  <c r="S10" i="739"/>
  <c r="T10" i="739"/>
  <c r="U10" i="739"/>
  <c r="V10" i="739"/>
  <c r="W10" i="739"/>
  <c r="X10" i="739"/>
  <c r="Y10" i="739"/>
  <c r="Z10" i="739"/>
  <c r="R11" i="739"/>
  <c r="S11" i="739"/>
  <c r="T11" i="739"/>
  <c r="U11" i="739"/>
  <c r="V11" i="739"/>
  <c r="W11" i="739"/>
  <c r="X11" i="739"/>
  <c r="Y11" i="739"/>
  <c r="Z11" i="739"/>
  <c r="R12" i="739"/>
  <c r="S12" i="739"/>
  <c r="T12" i="739"/>
  <c r="U12" i="739"/>
  <c r="V12" i="739"/>
  <c r="W12" i="739"/>
  <c r="X12" i="739"/>
  <c r="Y12" i="739"/>
  <c r="Z12" i="739"/>
  <c r="R13" i="739"/>
  <c r="S13" i="739"/>
  <c r="T13" i="739"/>
  <c r="U13" i="739"/>
  <c r="V13" i="739"/>
  <c r="W13" i="739"/>
  <c r="X13" i="739"/>
  <c r="Y13" i="739"/>
  <c r="Z13" i="739"/>
  <c r="R14" i="739"/>
  <c r="S14" i="739"/>
  <c r="T14" i="739"/>
  <c r="U14" i="739"/>
  <c r="V14" i="739"/>
  <c r="W14" i="739"/>
  <c r="X14" i="739"/>
  <c r="Y14" i="739"/>
  <c r="Z14" i="739"/>
  <c r="R15" i="739"/>
  <c r="S15" i="739"/>
  <c r="T15" i="739"/>
  <c r="U15" i="739"/>
  <c r="V15" i="739"/>
  <c r="W15" i="739"/>
  <c r="X15" i="739"/>
  <c r="Y15" i="739"/>
  <c r="Z15" i="739"/>
  <c r="R16" i="739"/>
  <c r="S16" i="739"/>
  <c r="T16" i="739"/>
  <c r="U16" i="739"/>
  <c r="V16" i="739"/>
  <c r="W16" i="739"/>
  <c r="X16" i="739"/>
  <c r="Y16" i="739"/>
  <c r="Z16" i="739"/>
  <c r="R17" i="739"/>
  <c r="S17" i="739"/>
  <c r="T17" i="739"/>
  <c r="U17" i="739"/>
  <c r="V17" i="739"/>
  <c r="W17" i="739"/>
  <c r="X17" i="739"/>
  <c r="Y17" i="739"/>
  <c r="Z17" i="739"/>
  <c r="C10" i="739"/>
  <c r="D10" i="739"/>
  <c r="E10" i="739"/>
  <c r="F10" i="739"/>
  <c r="G10" i="739"/>
  <c r="I10" i="739"/>
  <c r="J10" i="739"/>
  <c r="L10" i="739"/>
  <c r="M10" i="739"/>
  <c r="N10" i="739"/>
  <c r="O10" i="739"/>
  <c r="C11" i="739"/>
  <c r="D11" i="739"/>
  <c r="E11" i="739"/>
  <c r="F11" i="739"/>
  <c r="G11" i="739"/>
  <c r="I11" i="739"/>
  <c r="J11" i="739"/>
  <c r="L11" i="739"/>
  <c r="M11" i="739"/>
  <c r="N11" i="739"/>
  <c r="O11" i="739"/>
  <c r="C12" i="739"/>
  <c r="D12" i="739"/>
  <c r="E12" i="739"/>
  <c r="F12" i="739"/>
  <c r="G12" i="739"/>
  <c r="I12" i="739"/>
  <c r="J12" i="739"/>
  <c r="L12" i="739"/>
  <c r="M12" i="739"/>
  <c r="N12" i="739"/>
  <c r="O12" i="739"/>
  <c r="C13" i="739"/>
  <c r="D13" i="739"/>
  <c r="E13" i="739"/>
  <c r="F13" i="739"/>
  <c r="G13" i="739"/>
  <c r="I13" i="739"/>
  <c r="J13" i="739"/>
  <c r="L13" i="739"/>
  <c r="M13" i="739"/>
  <c r="N13" i="739"/>
  <c r="O13" i="739"/>
  <c r="C14" i="739"/>
  <c r="D14" i="739"/>
  <c r="E14" i="739"/>
  <c r="F14" i="739"/>
  <c r="G14" i="739"/>
  <c r="I14" i="739"/>
  <c r="J14" i="739"/>
  <c r="L14" i="739"/>
  <c r="M14" i="739"/>
  <c r="N14" i="739"/>
  <c r="O14" i="739"/>
  <c r="C15" i="739"/>
  <c r="D15" i="739"/>
  <c r="E15" i="739"/>
  <c r="F15" i="739"/>
  <c r="G15" i="739"/>
  <c r="I15" i="739"/>
  <c r="J15" i="739"/>
  <c r="L15" i="739"/>
  <c r="M15" i="739"/>
  <c r="N15" i="739"/>
  <c r="O15" i="739"/>
  <c r="C16" i="739"/>
  <c r="D16" i="739"/>
  <c r="E16" i="739"/>
  <c r="F16" i="739"/>
  <c r="G16" i="739"/>
  <c r="I16" i="739"/>
  <c r="J16" i="739"/>
  <c r="L16" i="739"/>
  <c r="M16" i="739"/>
  <c r="N16" i="739"/>
  <c r="O16" i="739"/>
  <c r="C17" i="739"/>
  <c r="D17" i="739"/>
  <c r="E17" i="739"/>
  <c r="F17" i="739"/>
  <c r="G17" i="739"/>
  <c r="I17" i="739"/>
  <c r="J17" i="739"/>
  <c r="L17" i="739"/>
  <c r="M17" i="739"/>
  <c r="N17" i="739"/>
  <c r="O17" i="739"/>
  <c r="F76" i="740"/>
  <c r="AX66" i="740"/>
  <c r="AW66" i="740"/>
  <c r="AV66" i="740"/>
  <c r="AU66" i="740"/>
  <c r="AT66" i="740"/>
  <c r="AS66" i="740"/>
  <c r="AR66" i="740"/>
  <c r="AQ66" i="740"/>
  <c r="AP66" i="740"/>
  <c r="AO66" i="740"/>
  <c r="AN66" i="740"/>
  <c r="AM66" i="740"/>
  <c r="AL66" i="740"/>
  <c r="AK66" i="740"/>
  <c r="AJ66" i="740"/>
  <c r="AI66" i="740"/>
  <c r="AH66" i="740"/>
  <c r="AG66" i="740"/>
  <c r="AF66" i="740"/>
  <c r="AE66" i="740"/>
  <c r="AD66" i="740"/>
  <c r="AC66" i="740"/>
  <c r="AB66" i="740"/>
  <c r="D56" i="740"/>
  <c r="M41" i="740"/>
  <c r="M40" i="740"/>
  <c r="L40" i="740"/>
  <c r="K40" i="740"/>
  <c r="M39" i="740"/>
  <c r="L39" i="740"/>
  <c r="K39" i="740"/>
  <c r="M37" i="740"/>
  <c r="L37" i="740"/>
  <c r="K37" i="740"/>
  <c r="K36" i="740"/>
  <c r="M35" i="740"/>
  <c r="L35" i="740"/>
  <c r="K35" i="740"/>
  <c r="M34" i="740"/>
  <c r="L34" i="740"/>
  <c r="K34" i="740"/>
  <c r="Z32" i="740"/>
  <c r="Y32" i="740"/>
  <c r="X32" i="740"/>
  <c r="W32" i="740"/>
  <c r="V32" i="740"/>
  <c r="U32" i="740"/>
  <c r="T32" i="740"/>
  <c r="S32" i="740"/>
  <c r="R32" i="740"/>
  <c r="Z31" i="740"/>
  <c r="Y31" i="740"/>
  <c r="X31" i="740"/>
  <c r="W31" i="740"/>
  <c r="V31" i="740"/>
  <c r="U31" i="740"/>
  <c r="T31" i="740"/>
  <c r="S31" i="740"/>
  <c r="R31" i="740"/>
  <c r="Z30" i="740"/>
  <c r="Y30" i="740"/>
  <c r="X30" i="740"/>
  <c r="W30" i="740"/>
  <c r="V30" i="740"/>
  <c r="U30" i="740"/>
  <c r="T30" i="740"/>
  <c r="S30" i="740"/>
  <c r="R30" i="740"/>
  <c r="Z29" i="740"/>
  <c r="Y29" i="740"/>
  <c r="X29" i="740"/>
  <c r="W29" i="740"/>
  <c r="V29" i="740"/>
  <c r="U29" i="740"/>
  <c r="T29" i="740"/>
  <c r="S29" i="740"/>
  <c r="R29" i="740"/>
  <c r="Z28" i="740"/>
  <c r="Y28" i="740"/>
  <c r="X28" i="740"/>
  <c r="W28" i="740"/>
  <c r="V28" i="740"/>
  <c r="U28" i="740"/>
  <c r="T28" i="740"/>
  <c r="S28" i="740"/>
  <c r="R28" i="740"/>
  <c r="Z27" i="740"/>
  <c r="Y27" i="740"/>
  <c r="X27" i="740"/>
  <c r="W27" i="740"/>
  <c r="V27" i="740"/>
  <c r="U27" i="740"/>
  <c r="T27" i="740"/>
  <c r="S27" i="740"/>
  <c r="R27" i="740"/>
  <c r="Z26" i="740"/>
  <c r="Y26" i="740"/>
  <c r="X26" i="740"/>
  <c r="W26" i="740"/>
  <c r="V26" i="740"/>
  <c r="U26" i="740"/>
  <c r="T26" i="740"/>
  <c r="S26" i="740"/>
  <c r="R26" i="740"/>
  <c r="Z25" i="740"/>
  <c r="Y25" i="740"/>
  <c r="X25" i="740"/>
  <c r="W25" i="740"/>
  <c r="V25" i="740"/>
  <c r="U25" i="740"/>
  <c r="T25" i="740"/>
  <c r="S25" i="740"/>
  <c r="R25" i="740"/>
  <c r="Z24" i="740"/>
  <c r="Y24" i="740"/>
  <c r="X24" i="740"/>
  <c r="W24" i="740"/>
  <c r="V24" i="740"/>
  <c r="U24" i="740"/>
  <c r="T24" i="740"/>
  <c r="S24" i="740"/>
  <c r="R24" i="740"/>
  <c r="Z23" i="740"/>
  <c r="Y23" i="740"/>
  <c r="X23" i="740"/>
  <c r="W23" i="740"/>
  <c r="V23" i="740"/>
  <c r="U23" i="740"/>
  <c r="T23" i="740"/>
  <c r="S23" i="740"/>
  <c r="R23" i="740"/>
  <c r="Z22" i="740"/>
  <c r="Y22" i="740"/>
  <c r="X22" i="740"/>
  <c r="W22" i="740"/>
  <c r="V22" i="740"/>
  <c r="U22" i="740"/>
  <c r="T22" i="740"/>
  <c r="S22" i="740"/>
  <c r="R22" i="740"/>
  <c r="Z21" i="740"/>
  <c r="Y21" i="740"/>
  <c r="X21" i="740"/>
  <c r="W21" i="740"/>
  <c r="V21" i="740"/>
  <c r="U21" i="740"/>
  <c r="T21" i="740"/>
  <c r="S21" i="740"/>
  <c r="R21" i="740"/>
  <c r="Z20" i="740"/>
  <c r="Y20" i="740"/>
  <c r="X20" i="740"/>
  <c r="W20" i="740"/>
  <c r="V20" i="740"/>
  <c r="U20" i="740"/>
  <c r="T20" i="740"/>
  <c r="S20" i="740"/>
  <c r="R20" i="740"/>
  <c r="Z19" i="740"/>
  <c r="Y19" i="740"/>
  <c r="X19" i="740"/>
  <c r="W19" i="740"/>
  <c r="V19" i="740"/>
  <c r="U19" i="740"/>
  <c r="T19" i="740"/>
  <c r="S19" i="740"/>
  <c r="R19" i="740"/>
  <c r="O19" i="740"/>
  <c r="N19" i="740"/>
  <c r="M19" i="740"/>
  <c r="L19" i="740"/>
  <c r="K19" i="740"/>
  <c r="J19" i="740"/>
  <c r="I19" i="740"/>
  <c r="G19" i="740"/>
  <c r="F19" i="740"/>
  <c r="E19" i="740"/>
  <c r="D19" i="740"/>
  <c r="C19" i="740"/>
  <c r="Z18" i="740"/>
  <c r="Y18" i="740"/>
  <c r="X18" i="740"/>
  <c r="W18" i="740"/>
  <c r="V18" i="740"/>
  <c r="U18" i="740"/>
  <c r="T18" i="740"/>
  <c r="S18" i="740"/>
  <c r="R18" i="740"/>
  <c r="O18" i="740"/>
  <c r="N18" i="740"/>
  <c r="M18" i="740"/>
  <c r="L18" i="740"/>
  <c r="K18" i="740"/>
  <c r="J18" i="740"/>
  <c r="I18" i="740"/>
  <c r="G18" i="740"/>
  <c r="F18" i="740"/>
  <c r="E18" i="740"/>
  <c r="D18" i="740"/>
  <c r="C18" i="740"/>
  <c r="Z17" i="740"/>
  <c r="Y17" i="740"/>
  <c r="X17" i="740"/>
  <c r="W17" i="740"/>
  <c r="V17" i="740"/>
  <c r="U17" i="740"/>
  <c r="T17" i="740"/>
  <c r="S17" i="740"/>
  <c r="R17" i="740"/>
  <c r="O17" i="740"/>
  <c r="N17" i="740"/>
  <c r="M17" i="740"/>
  <c r="L17" i="740"/>
  <c r="K17" i="740"/>
  <c r="J17" i="740"/>
  <c r="I17" i="740"/>
  <c r="G17" i="740"/>
  <c r="F17" i="740"/>
  <c r="E17" i="740"/>
  <c r="D17" i="740"/>
  <c r="C17" i="740"/>
  <c r="Z16" i="740"/>
  <c r="Y16" i="740"/>
  <c r="X16" i="740"/>
  <c r="W16" i="740"/>
  <c r="V16" i="740"/>
  <c r="U16" i="740"/>
  <c r="T16" i="740"/>
  <c r="S16" i="740"/>
  <c r="R16" i="740"/>
  <c r="O16" i="740"/>
  <c r="N16" i="740"/>
  <c r="M16" i="740"/>
  <c r="L16" i="740"/>
  <c r="K16" i="740"/>
  <c r="J16" i="740"/>
  <c r="I16" i="740"/>
  <c r="G16" i="740"/>
  <c r="F16" i="740"/>
  <c r="E16" i="740"/>
  <c r="D16" i="740"/>
  <c r="C16" i="740"/>
  <c r="Z15" i="740"/>
  <c r="Y15" i="740"/>
  <c r="X15" i="740"/>
  <c r="W15" i="740"/>
  <c r="V15" i="740"/>
  <c r="U15" i="740"/>
  <c r="T15" i="740"/>
  <c r="S15" i="740"/>
  <c r="R15" i="740"/>
  <c r="Z14" i="740"/>
  <c r="Y14" i="740"/>
  <c r="X14" i="740"/>
  <c r="W14" i="740"/>
  <c r="V14" i="740"/>
  <c r="U14" i="740"/>
  <c r="T14" i="740"/>
  <c r="S14" i="740"/>
  <c r="R14" i="740"/>
  <c r="Z13" i="740"/>
  <c r="Y13" i="740"/>
  <c r="X13" i="740"/>
  <c r="W13" i="740"/>
  <c r="V13" i="740"/>
  <c r="U13" i="740"/>
  <c r="T13" i="740"/>
  <c r="S13" i="740"/>
  <c r="R13" i="740"/>
  <c r="O13" i="740"/>
  <c r="N13" i="740"/>
  <c r="M13" i="740"/>
  <c r="L13" i="740"/>
  <c r="J13" i="740"/>
  <c r="I13" i="740"/>
  <c r="G13" i="740"/>
  <c r="F13" i="740"/>
  <c r="E13" i="740"/>
  <c r="D13" i="740"/>
  <c r="C13" i="740"/>
  <c r="Z12" i="740"/>
  <c r="Y12" i="740"/>
  <c r="X12" i="740"/>
  <c r="W12" i="740"/>
  <c r="V12" i="740"/>
  <c r="U12" i="740"/>
  <c r="T12" i="740"/>
  <c r="S12" i="740"/>
  <c r="R12" i="740"/>
  <c r="O12" i="740"/>
  <c r="N12" i="740"/>
  <c r="M12" i="740"/>
  <c r="L12" i="740"/>
  <c r="J12" i="740"/>
  <c r="I12" i="740"/>
  <c r="G12" i="740"/>
  <c r="F12" i="740"/>
  <c r="E12" i="740"/>
  <c r="D12" i="740"/>
  <c r="C12" i="740"/>
  <c r="Z11" i="740"/>
  <c r="Y11" i="740"/>
  <c r="X11" i="740"/>
  <c r="W11" i="740"/>
  <c r="V11" i="740"/>
  <c r="U11" i="740"/>
  <c r="T11" i="740"/>
  <c r="S11" i="740"/>
  <c r="R11" i="740"/>
  <c r="O11" i="740"/>
  <c r="N11" i="740"/>
  <c r="M11" i="740"/>
  <c r="L11" i="740"/>
  <c r="J11" i="740"/>
  <c r="I11" i="740"/>
  <c r="G11" i="740"/>
  <c r="F11" i="740"/>
  <c r="E11" i="740"/>
  <c r="D11" i="740"/>
  <c r="C11" i="740"/>
  <c r="Z10" i="740"/>
  <c r="Y10" i="740"/>
  <c r="X10" i="740"/>
  <c r="W10" i="740"/>
  <c r="V10" i="740"/>
  <c r="U10" i="740"/>
  <c r="T10" i="740"/>
  <c r="S10" i="740"/>
  <c r="R10" i="740"/>
  <c r="O10" i="740"/>
  <c r="N10" i="740"/>
  <c r="M10" i="740"/>
  <c r="L10" i="740"/>
  <c r="J10" i="740"/>
  <c r="I10" i="740"/>
  <c r="G10" i="740"/>
  <c r="F10" i="740"/>
  <c r="E10" i="740"/>
  <c r="D10" i="740"/>
  <c r="C10" i="740"/>
  <c r="M31" i="739"/>
  <c r="L31" i="739"/>
  <c r="K31" i="739"/>
  <c r="R18" i="739"/>
  <c r="S18" i="739"/>
  <c r="T18" i="739"/>
  <c r="U18" i="739"/>
  <c r="V18" i="739"/>
  <c r="W18" i="739"/>
  <c r="X18" i="739"/>
  <c r="Y18" i="739"/>
  <c r="Z18" i="739"/>
  <c r="R19" i="739"/>
  <c r="S19" i="739"/>
  <c r="T19" i="739"/>
  <c r="U19" i="739"/>
  <c r="V19" i="739"/>
  <c r="W19" i="739"/>
  <c r="X19" i="739"/>
  <c r="Y19" i="739"/>
  <c r="Z19" i="739"/>
  <c r="R20" i="739"/>
  <c r="S20" i="739"/>
  <c r="T20" i="739"/>
  <c r="U20" i="739"/>
  <c r="V20" i="739"/>
  <c r="W20" i="739"/>
  <c r="X20" i="739"/>
  <c r="Y20" i="739"/>
  <c r="Z20" i="739"/>
  <c r="R21" i="739"/>
  <c r="S21" i="739"/>
  <c r="T21" i="739"/>
  <c r="U21" i="739"/>
  <c r="V21" i="739"/>
  <c r="W21" i="739"/>
  <c r="X21" i="739"/>
  <c r="Y21" i="739"/>
  <c r="Z21" i="739"/>
  <c r="R22" i="739"/>
  <c r="S22" i="739"/>
  <c r="T22" i="739"/>
  <c r="U22" i="739"/>
  <c r="V22" i="739"/>
  <c r="W22" i="739"/>
  <c r="X22" i="739"/>
  <c r="Y22" i="739"/>
  <c r="Z22" i="739"/>
  <c r="J35" i="740" l="1"/>
  <c r="L50" i="742"/>
  <c r="L50" i="743"/>
  <c r="M50" i="743" s="1"/>
  <c r="J34" i="740"/>
  <c r="J32" i="739"/>
  <c r="K44" i="740"/>
  <c r="F73" i="739"/>
  <c r="AX63" i="739"/>
  <c r="AW63" i="739"/>
  <c r="AV63" i="739"/>
  <c r="AU63" i="739"/>
  <c r="AT63" i="739"/>
  <c r="AS63" i="739"/>
  <c r="AR63" i="739"/>
  <c r="AQ63" i="739"/>
  <c r="AP63" i="739"/>
  <c r="AO63" i="739"/>
  <c r="AN63" i="739"/>
  <c r="AM63" i="739"/>
  <c r="AL63" i="739"/>
  <c r="AK63" i="739"/>
  <c r="AJ63" i="739"/>
  <c r="AI63" i="739"/>
  <c r="AH63" i="739"/>
  <c r="AG63" i="739"/>
  <c r="AF63" i="739"/>
  <c r="AE63" i="739"/>
  <c r="AD63" i="739"/>
  <c r="AC63" i="739"/>
  <c r="AB63" i="739"/>
  <c r="D53" i="739"/>
  <c r="K55" i="739"/>
  <c r="M38" i="739"/>
  <c r="M37" i="739"/>
  <c r="L37" i="739"/>
  <c r="K37" i="739"/>
  <c r="M36" i="739"/>
  <c r="L36" i="739"/>
  <c r="K36" i="739"/>
  <c r="M34" i="739"/>
  <c r="L34" i="739"/>
  <c r="K34" i="739"/>
  <c r="M33" i="739"/>
  <c r="L33" i="739"/>
  <c r="K33" i="739"/>
  <c r="Z29" i="739"/>
  <c r="Y29" i="739"/>
  <c r="X29" i="739"/>
  <c r="W29" i="739"/>
  <c r="V29" i="739"/>
  <c r="U29" i="739"/>
  <c r="T29" i="739"/>
  <c r="S29" i="739"/>
  <c r="R29" i="739"/>
  <c r="Z28" i="739"/>
  <c r="Y28" i="739"/>
  <c r="X28" i="739"/>
  <c r="W28" i="739"/>
  <c r="V28" i="739"/>
  <c r="U28" i="739"/>
  <c r="T28" i="739"/>
  <c r="S28" i="739"/>
  <c r="R28" i="739"/>
  <c r="Z27" i="739"/>
  <c r="Y27" i="739"/>
  <c r="X27" i="739"/>
  <c r="W27" i="739"/>
  <c r="V27" i="739"/>
  <c r="U27" i="739"/>
  <c r="T27" i="739"/>
  <c r="S27" i="739"/>
  <c r="R27" i="739"/>
  <c r="Z26" i="739"/>
  <c r="Y26" i="739"/>
  <c r="X26" i="739"/>
  <c r="W26" i="739"/>
  <c r="V26" i="739"/>
  <c r="U26" i="739"/>
  <c r="T26" i="739"/>
  <c r="S26" i="739"/>
  <c r="R26" i="739"/>
  <c r="Z25" i="739"/>
  <c r="Y25" i="739"/>
  <c r="X25" i="739"/>
  <c r="W25" i="739"/>
  <c r="V25" i="739"/>
  <c r="U25" i="739"/>
  <c r="T25" i="739"/>
  <c r="S25" i="739"/>
  <c r="R25" i="739"/>
  <c r="Z24" i="739"/>
  <c r="Y24" i="739"/>
  <c r="X24" i="739"/>
  <c r="W24" i="739"/>
  <c r="V24" i="739"/>
  <c r="U24" i="739"/>
  <c r="T24" i="739"/>
  <c r="S24" i="739"/>
  <c r="R24" i="739"/>
  <c r="Z23" i="739"/>
  <c r="Y23" i="739"/>
  <c r="X23" i="739"/>
  <c r="W23" i="739"/>
  <c r="V23" i="739"/>
  <c r="U23" i="739"/>
  <c r="T23" i="739"/>
  <c r="S23" i="739"/>
  <c r="R23" i="739"/>
  <c r="K45" i="738"/>
  <c r="L36" i="740" l="1"/>
  <c r="L44" i="740" s="1"/>
  <c r="M44" i="740" s="1"/>
  <c r="M36" i="740"/>
  <c r="K41" i="739"/>
  <c r="L41" i="739" s="1"/>
  <c r="M41" i="739" s="1"/>
  <c r="K60" i="738"/>
  <c r="K68" i="738" s="1"/>
  <c r="B60" i="738"/>
  <c r="C34" i="738"/>
  <c r="C33" i="738"/>
  <c r="C31" i="738" a="1"/>
  <c r="C31" i="738" s="1"/>
  <c r="M31" i="738"/>
  <c r="L31" i="738"/>
  <c r="K31" i="738"/>
  <c r="R10" i="738"/>
  <c r="S10" i="738"/>
  <c r="T10" i="738"/>
  <c r="U10" i="738"/>
  <c r="V10" i="738"/>
  <c r="W10" i="738"/>
  <c r="X10" i="738"/>
  <c r="Y10" i="738"/>
  <c r="Z10" i="738"/>
  <c r="R11" i="738"/>
  <c r="S11" i="738"/>
  <c r="T11" i="738"/>
  <c r="U11" i="738"/>
  <c r="V11" i="738"/>
  <c r="W11" i="738"/>
  <c r="X11" i="738"/>
  <c r="Y11" i="738"/>
  <c r="Z11" i="738"/>
  <c r="R12" i="738"/>
  <c r="S12" i="738"/>
  <c r="T12" i="738"/>
  <c r="U12" i="738"/>
  <c r="V12" i="738"/>
  <c r="W12" i="738"/>
  <c r="X12" i="738"/>
  <c r="Y12" i="738"/>
  <c r="Z12" i="738"/>
  <c r="R13" i="738"/>
  <c r="S13" i="738"/>
  <c r="T13" i="738"/>
  <c r="U13" i="738"/>
  <c r="V13" i="738"/>
  <c r="W13" i="738"/>
  <c r="X13" i="738"/>
  <c r="Y13" i="738"/>
  <c r="Z13" i="738"/>
  <c r="R14" i="738"/>
  <c r="S14" i="738"/>
  <c r="T14" i="738"/>
  <c r="U14" i="738"/>
  <c r="V14" i="738"/>
  <c r="W14" i="738"/>
  <c r="X14" i="738"/>
  <c r="Y14" i="738"/>
  <c r="Z14" i="738"/>
  <c r="R15" i="738"/>
  <c r="S15" i="738"/>
  <c r="T15" i="738"/>
  <c r="U15" i="738"/>
  <c r="V15" i="738"/>
  <c r="W15" i="738"/>
  <c r="X15" i="738"/>
  <c r="Y15" i="738"/>
  <c r="Z15" i="738"/>
  <c r="R16" i="738"/>
  <c r="S16" i="738"/>
  <c r="T16" i="738"/>
  <c r="U16" i="738"/>
  <c r="V16" i="738"/>
  <c r="W16" i="738"/>
  <c r="X16" i="738"/>
  <c r="Y16" i="738"/>
  <c r="Z16" i="738"/>
  <c r="R17" i="738"/>
  <c r="S17" i="738"/>
  <c r="T17" i="738"/>
  <c r="U17" i="738"/>
  <c r="V17" i="738"/>
  <c r="W17" i="738"/>
  <c r="X17" i="738"/>
  <c r="Y17" i="738"/>
  <c r="Z17" i="738"/>
  <c r="R18" i="738"/>
  <c r="S18" i="738"/>
  <c r="T18" i="738"/>
  <c r="U18" i="738"/>
  <c r="V18" i="738"/>
  <c r="W18" i="738"/>
  <c r="X18" i="738"/>
  <c r="Y18" i="738"/>
  <c r="Z18" i="738"/>
  <c r="R19" i="738"/>
  <c r="S19" i="738"/>
  <c r="T19" i="738"/>
  <c r="U19" i="738"/>
  <c r="V19" i="738"/>
  <c r="W19" i="738"/>
  <c r="X19" i="738"/>
  <c r="Y19" i="738"/>
  <c r="Z19" i="738"/>
  <c r="R20" i="738"/>
  <c r="S20" i="738"/>
  <c r="T20" i="738"/>
  <c r="U20" i="738"/>
  <c r="V20" i="738"/>
  <c r="W20" i="738"/>
  <c r="X20" i="738"/>
  <c r="Y20" i="738"/>
  <c r="Z20" i="738"/>
  <c r="C10" i="738"/>
  <c r="D10" i="738"/>
  <c r="E10" i="738"/>
  <c r="F10" i="738"/>
  <c r="G10" i="738"/>
  <c r="I10" i="738"/>
  <c r="J10" i="738"/>
  <c r="K10" i="738"/>
  <c r="L10" i="738"/>
  <c r="M10" i="738"/>
  <c r="N10" i="738"/>
  <c r="O10" i="738"/>
  <c r="C11" i="738"/>
  <c r="D11" i="738"/>
  <c r="E11" i="738"/>
  <c r="F11" i="738"/>
  <c r="G11" i="738"/>
  <c r="I11" i="738"/>
  <c r="J11" i="738"/>
  <c r="K11" i="738"/>
  <c r="L11" i="738"/>
  <c r="M11" i="738"/>
  <c r="N11" i="738"/>
  <c r="O11" i="738"/>
  <c r="C12" i="738"/>
  <c r="D12" i="738"/>
  <c r="E12" i="738"/>
  <c r="F12" i="738"/>
  <c r="G12" i="738"/>
  <c r="I12" i="738"/>
  <c r="J12" i="738"/>
  <c r="K12" i="738"/>
  <c r="L12" i="738"/>
  <c r="M12" i="738"/>
  <c r="N12" i="738"/>
  <c r="O12" i="738"/>
  <c r="C13" i="738"/>
  <c r="D13" i="738"/>
  <c r="E13" i="738"/>
  <c r="F13" i="738"/>
  <c r="G13" i="738"/>
  <c r="I13" i="738"/>
  <c r="J13" i="738"/>
  <c r="K13" i="738"/>
  <c r="L13" i="738"/>
  <c r="M13" i="738"/>
  <c r="N13" i="738"/>
  <c r="O13" i="738"/>
  <c r="C14" i="738"/>
  <c r="D14" i="738"/>
  <c r="E14" i="738"/>
  <c r="F14" i="738"/>
  <c r="G14" i="738"/>
  <c r="I14" i="738"/>
  <c r="J14" i="738"/>
  <c r="K14" i="738"/>
  <c r="L14" i="738"/>
  <c r="M14" i="738"/>
  <c r="N14" i="738"/>
  <c r="O14" i="738"/>
  <c r="C15" i="738"/>
  <c r="D15" i="738"/>
  <c r="E15" i="738"/>
  <c r="F15" i="738"/>
  <c r="G15" i="738"/>
  <c r="I15" i="738"/>
  <c r="J15" i="738"/>
  <c r="K15" i="738"/>
  <c r="L15" i="738"/>
  <c r="M15" i="738"/>
  <c r="N15" i="738"/>
  <c r="O15" i="738"/>
  <c r="C16" i="738"/>
  <c r="D16" i="738"/>
  <c r="E16" i="738"/>
  <c r="F16" i="738"/>
  <c r="G16" i="738"/>
  <c r="I16" i="738"/>
  <c r="J16" i="738"/>
  <c r="K16" i="738"/>
  <c r="L16" i="738"/>
  <c r="M16" i="738"/>
  <c r="N16" i="738"/>
  <c r="O16" i="738"/>
  <c r="C17" i="738"/>
  <c r="D17" i="738"/>
  <c r="E17" i="738"/>
  <c r="F17" i="738"/>
  <c r="G17" i="738"/>
  <c r="I17" i="738"/>
  <c r="J17" i="738"/>
  <c r="K17" i="738"/>
  <c r="L17" i="738"/>
  <c r="M17" i="738"/>
  <c r="N17" i="738"/>
  <c r="O17" i="738"/>
  <c r="C18" i="738"/>
  <c r="D18" i="738"/>
  <c r="E18" i="738"/>
  <c r="F18" i="738"/>
  <c r="G18" i="738"/>
  <c r="I18" i="738"/>
  <c r="J18" i="738"/>
  <c r="K18" i="738"/>
  <c r="L18" i="738"/>
  <c r="M18" i="738"/>
  <c r="N18" i="738"/>
  <c r="O18" i="738"/>
  <c r="F73" i="738"/>
  <c r="AX63" i="738"/>
  <c r="AW63" i="738"/>
  <c r="AV63" i="738"/>
  <c r="AU63" i="738"/>
  <c r="AT63" i="738"/>
  <c r="AS63" i="738"/>
  <c r="AR63" i="738"/>
  <c r="AQ63" i="738"/>
  <c r="AP63" i="738"/>
  <c r="AO63" i="738"/>
  <c r="AN63" i="738"/>
  <c r="AM63" i="738"/>
  <c r="AL63" i="738"/>
  <c r="AK63" i="738"/>
  <c r="AJ63" i="738"/>
  <c r="AI63" i="738"/>
  <c r="AH63" i="738"/>
  <c r="AG63" i="738"/>
  <c r="AF63" i="738"/>
  <c r="AE63" i="738"/>
  <c r="AD63" i="738"/>
  <c r="AC63" i="738"/>
  <c r="AB63" i="738"/>
  <c r="K55" i="738"/>
  <c r="D53" i="738"/>
  <c r="M38" i="738"/>
  <c r="M37" i="738"/>
  <c r="L37" i="738"/>
  <c r="K37" i="738"/>
  <c r="M36" i="738"/>
  <c r="L36" i="738"/>
  <c r="K36" i="738"/>
  <c r="M34" i="738"/>
  <c r="L34" i="738"/>
  <c r="K34" i="738"/>
  <c r="M33" i="738"/>
  <c r="L33" i="738"/>
  <c r="K33" i="738"/>
  <c r="M32" i="738"/>
  <c r="L32" i="738"/>
  <c r="K32" i="738"/>
  <c r="Z29" i="738"/>
  <c r="Y29" i="738"/>
  <c r="X29" i="738"/>
  <c r="W29" i="738"/>
  <c r="V29" i="738"/>
  <c r="U29" i="738"/>
  <c r="T29" i="738"/>
  <c r="S29" i="738"/>
  <c r="R29" i="738"/>
  <c r="Z28" i="738"/>
  <c r="Y28" i="738"/>
  <c r="X28" i="738"/>
  <c r="W28" i="738"/>
  <c r="V28" i="738"/>
  <c r="U28" i="738"/>
  <c r="T28" i="738"/>
  <c r="S28" i="738"/>
  <c r="R28" i="738"/>
  <c r="Z27" i="738"/>
  <c r="Y27" i="738"/>
  <c r="X27" i="738"/>
  <c r="W27" i="738"/>
  <c r="V27" i="738"/>
  <c r="U27" i="738"/>
  <c r="T27" i="738"/>
  <c r="S27" i="738"/>
  <c r="R27" i="738"/>
  <c r="Z26" i="738"/>
  <c r="Y26" i="738"/>
  <c r="X26" i="738"/>
  <c r="W26" i="738"/>
  <c r="V26" i="738"/>
  <c r="U26" i="738"/>
  <c r="T26" i="738"/>
  <c r="S26" i="738"/>
  <c r="R26" i="738"/>
  <c r="Z25" i="738"/>
  <c r="Y25" i="738"/>
  <c r="X25" i="738"/>
  <c r="W25" i="738"/>
  <c r="V25" i="738"/>
  <c r="U25" i="738"/>
  <c r="T25" i="738"/>
  <c r="S25" i="738"/>
  <c r="R25" i="738"/>
  <c r="Z24" i="738"/>
  <c r="Y24" i="738"/>
  <c r="X24" i="738"/>
  <c r="W24" i="738"/>
  <c r="V24" i="738"/>
  <c r="U24" i="738"/>
  <c r="T24" i="738"/>
  <c r="S24" i="738"/>
  <c r="R24" i="738"/>
  <c r="Z23" i="738"/>
  <c r="Y23" i="738"/>
  <c r="X23" i="738"/>
  <c r="W23" i="738"/>
  <c r="V23" i="738"/>
  <c r="U23" i="738"/>
  <c r="T23" i="738"/>
  <c r="S23" i="738"/>
  <c r="R23" i="738"/>
  <c r="Z22" i="738"/>
  <c r="Y22" i="738"/>
  <c r="X22" i="738"/>
  <c r="W22" i="738"/>
  <c r="V22" i="738"/>
  <c r="U22" i="738"/>
  <c r="T22" i="738"/>
  <c r="S22" i="738"/>
  <c r="R22" i="738"/>
  <c r="Z21" i="738"/>
  <c r="Y21" i="738"/>
  <c r="X21" i="738"/>
  <c r="W21" i="738"/>
  <c r="V21" i="738"/>
  <c r="U21" i="738"/>
  <c r="T21" i="738"/>
  <c r="S21" i="738"/>
  <c r="R21" i="738"/>
  <c r="K104" i="737"/>
  <c r="K113" i="737" s="1"/>
  <c r="G104" i="737"/>
  <c r="J31" i="738" l="1"/>
  <c r="K41" i="738"/>
  <c r="L41" i="738" s="1"/>
  <c r="M41" i="738" s="1"/>
  <c r="C75" i="737" a="1"/>
  <c r="C75" i="737" s="1"/>
  <c r="B104" i="737"/>
  <c r="H91" i="737"/>
  <c r="H94" i="737"/>
  <c r="I90" i="737"/>
  <c r="J90" i="737"/>
  <c r="J99" i="737" s="1"/>
  <c r="K89" i="737"/>
  <c r="I99" i="737"/>
  <c r="M80" i="737"/>
  <c r="L80" i="737"/>
  <c r="K80" i="737"/>
  <c r="K77" i="737"/>
  <c r="M77" i="737"/>
  <c r="L77" i="737"/>
  <c r="M75" i="737"/>
  <c r="L75" i="737"/>
  <c r="M76" i="737"/>
  <c r="L76" i="737"/>
  <c r="K76" i="737"/>
  <c r="K75" i="737"/>
  <c r="M82" i="737"/>
  <c r="M81" i="737"/>
  <c r="L81" i="737"/>
  <c r="M78" i="737"/>
  <c r="L78" i="737"/>
  <c r="K78" i="737"/>
  <c r="K81" i="737"/>
  <c r="C34" i="737"/>
  <c r="D34" i="737"/>
  <c r="E34" i="737"/>
  <c r="F34" i="737"/>
  <c r="G34" i="737"/>
  <c r="I34" i="737"/>
  <c r="J34" i="737"/>
  <c r="K34" i="737"/>
  <c r="L34" i="737"/>
  <c r="M34" i="737"/>
  <c r="N34" i="737"/>
  <c r="O34" i="737"/>
  <c r="C35" i="737"/>
  <c r="D35" i="737"/>
  <c r="E35" i="737"/>
  <c r="F35" i="737"/>
  <c r="G35" i="737"/>
  <c r="I35" i="737"/>
  <c r="J35" i="737"/>
  <c r="K35" i="737"/>
  <c r="L35" i="737"/>
  <c r="M35" i="737"/>
  <c r="N35" i="737"/>
  <c r="O35" i="737"/>
  <c r="C36" i="737"/>
  <c r="D36" i="737"/>
  <c r="E36" i="737"/>
  <c r="F36" i="737"/>
  <c r="G36" i="737"/>
  <c r="I36" i="737"/>
  <c r="J36" i="737"/>
  <c r="K36" i="737"/>
  <c r="L36" i="737"/>
  <c r="M36" i="737"/>
  <c r="N36" i="737"/>
  <c r="O36" i="737"/>
  <c r="C37" i="737"/>
  <c r="D37" i="737"/>
  <c r="E37" i="737"/>
  <c r="F37" i="737"/>
  <c r="G37" i="737"/>
  <c r="I37" i="737"/>
  <c r="J37" i="737"/>
  <c r="K37" i="737"/>
  <c r="L37" i="737"/>
  <c r="M37" i="737"/>
  <c r="N37" i="737"/>
  <c r="O37" i="737"/>
  <c r="C38" i="737"/>
  <c r="D38" i="737"/>
  <c r="E38" i="737"/>
  <c r="F38" i="737"/>
  <c r="G38" i="737"/>
  <c r="I38" i="737"/>
  <c r="J38" i="737"/>
  <c r="K38" i="737"/>
  <c r="L38" i="737"/>
  <c r="M38" i="737"/>
  <c r="N38" i="737"/>
  <c r="O38" i="737"/>
  <c r="C39" i="737"/>
  <c r="D39" i="737"/>
  <c r="E39" i="737"/>
  <c r="F39" i="737"/>
  <c r="G39" i="737"/>
  <c r="I39" i="737"/>
  <c r="J39" i="737"/>
  <c r="K39" i="737"/>
  <c r="L39" i="737"/>
  <c r="M39" i="737"/>
  <c r="N39" i="737"/>
  <c r="O39" i="737"/>
  <c r="C42" i="737"/>
  <c r="D42" i="737"/>
  <c r="E42" i="737"/>
  <c r="F42" i="737"/>
  <c r="G42" i="737"/>
  <c r="I42" i="737"/>
  <c r="J42" i="737"/>
  <c r="K42" i="737"/>
  <c r="L42" i="737"/>
  <c r="M42" i="737"/>
  <c r="N42" i="737"/>
  <c r="O42" i="737"/>
  <c r="O33" i="737"/>
  <c r="N33" i="737"/>
  <c r="M33" i="737"/>
  <c r="L33" i="737"/>
  <c r="K33" i="737"/>
  <c r="I33" i="737"/>
  <c r="J33" i="737"/>
  <c r="G33" i="737"/>
  <c r="F33" i="737"/>
  <c r="E33" i="737"/>
  <c r="D33" i="737"/>
  <c r="C33" i="737"/>
  <c r="G14" i="737"/>
  <c r="G15" i="737"/>
  <c r="G16" i="737"/>
  <c r="G13" i="737"/>
  <c r="F14" i="737"/>
  <c r="F15" i="737"/>
  <c r="F16" i="737"/>
  <c r="F13" i="737"/>
  <c r="E14" i="737"/>
  <c r="E15" i="737"/>
  <c r="E16" i="737"/>
  <c r="E13" i="737"/>
  <c r="D14" i="737"/>
  <c r="D15" i="737"/>
  <c r="D16" i="737"/>
  <c r="D13" i="737"/>
  <c r="I14" i="737"/>
  <c r="J14" i="737"/>
  <c r="K14" i="737"/>
  <c r="L14" i="737"/>
  <c r="M14" i="737"/>
  <c r="N14" i="737"/>
  <c r="O14" i="737"/>
  <c r="I15" i="737"/>
  <c r="J15" i="737"/>
  <c r="K15" i="737"/>
  <c r="L15" i="737"/>
  <c r="M15" i="737"/>
  <c r="N15" i="737"/>
  <c r="O15" i="737"/>
  <c r="I16" i="737"/>
  <c r="J16" i="737"/>
  <c r="K16" i="737"/>
  <c r="L16" i="737"/>
  <c r="M16" i="737"/>
  <c r="N16" i="737"/>
  <c r="O16" i="737"/>
  <c r="N13" i="737"/>
  <c r="R13" i="737"/>
  <c r="S13" i="737"/>
  <c r="T13" i="737"/>
  <c r="U13" i="737"/>
  <c r="V13" i="737"/>
  <c r="W13" i="737"/>
  <c r="X13" i="737"/>
  <c r="Y13" i="737"/>
  <c r="Z13" i="737"/>
  <c r="R14" i="737"/>
  <c r="S14" i="737"/>
  <c r="T14" i="737"/>
  <c r="U14" i="737"/>
  <c r="V14" i="737"/>
  <c r="W14" i="737"/>
  <c r="X14" i="737"/>
  <c r="Y14" i="737"/>
  <c r="Z14" i="737"/>
  <c r="R15" i="737"/>
  <c r="S15" i="737"/>
  <c r="T15" i="737"/>
  <c r="U15" i="737"/>
  <c r="V15" i="737"/>
  <c r="W15" i="737"/>
  <c r="X15" i="737"/>
  <c r="Y15" i="737"/>
  <c r="Z15" i="737"/>
  <c r="R16" i="737"/>
  <c r="S16" i="737"/>
  <c r="T16" i="737"/>
  <c r="U16" i="737"/>
  <c r="V16" i="737"/>
  <c r="W16" i="737"/>
  <c r="X16" i="737"/>
  <c r="Y16" i="737"/>
  <c r="Z16" i="737"/>
  <c r="M13" i="737"/>
  <c r="O13" i="737"/>
  <c r="L13" i="737"/>
  <c r="K13" i="737"/>
  <c r="J13" i="737"/>
  <c r="I13" i="737"/>
  <c r="C14" i="737"/>
  <c r="C15" i="737"/>
  <c r="C16" i="737"/>
  <c r="C13" i="737"/>
  <c r="R18" i="737"/>
  <c r="S18" i="737"/>
  <c r="T18" i="737"/>
  <c r="U18" i="737"/>
  <c r="V18" i="737"/>
  <c r="W18" i="737"/>
  <c r="X18" i="737"/>
  <c r="Y18" i="737"/>
  <c r="Z18" i="737"/>
  <c r="R19" i="737"/>
  <c r="S19" i="737"/>
  <c r="T19" i="737"/>
  <c r="U19" i="737"/>
  <c r="V19" i="737"/>
  <c r="W19" i="737"/>
  <c r="X19" i="737"/>
  <c r="Y19" i="737"/>
  <c r="Z19" i="737"/>
  <c r="R20" i="737"/>
  <c r="S20" i="737"/>
  <c r="T20" i="737"/>
  <c r="U20" i="737"/>
  <c r="V20" i="737"/>
  <c r="W20" i="737"/>
  <c r="X20" i="737"/>
  <c r="Y20" i="737"/>
  <c r="Z20" i="737"/>
  <c r="R21" i="737"/>
  <c r="S21" i="737"/>
  <c r="T21" i="737"/>
  <c r="U21" i="737"/>
  <c r="V21" i="737"/>
  <c r="W21" i="737"/>
  <c r="X21" i="737"/>
  <c r="Y21" i="737"/>
  <c r="Z21" i="737"/>
  <c r="R22" i="737"/>
  <c r="S22" i="737"/>
  <c r="T22" i="737"/>
  <c r="U22" i="737"/>
  <c r="V22" i="737"/>
  <c r="W22" i="737"/>
  <c r="X22" i="737"/>
  <c r="Y22" i="737"/>
  <c r="Z22" i="737"/>
  <c r="R23" i="737"/>
  <c r="S23" i="737"/>
  <c r="T23" i="737"/>
  <c r="U23" i="737"/>
  <c r="V23" i="737"/>
  <c r="W23" i="737"/>
  <c r="X23" i="737"/>
  <c r="Y23" i="737"/>
  <c r="Z23" i="737"/>
  <c r="R24" i="737"/>
  <c r="S24" i="737"/>
  <c r="T24" i="737"/>
  <c r="U24" i="737"/>
  <c r="V24" i="737"/>
  <c r="W24" i="737"/>
  <c r="X24" i="737"/>
  <c r="Y24" i="737"/>
  <c r="Z24" i="737"/>
  <c r="R25" i="737"/>
  <c r="S25" i="737"/>
  <c r="T25" i="737"/>
  <c r="U25" i="737"/>
  <c r="V25" i="737"/>
  <c r="W25" i="737"/>
  <c r="X25" i="737"/>
  <c r="Y25" i="737"/>
  <c r="Z25" i="737"/>
  <c r="R26" i="737"/>
  <c r="S26" i="737"/>
  <c r="T26" i="737"/>
  <c r="U26" i="737"/>
  <c r="V26" i="737"/>
  <c r="W26" i="737"/>
  <c r="X26" i="737"/>
  <c r="Y26" i="737"/>
  <c r="Z26" i="737"/>
  <c r="R27" i="737"/>
  <c r="S27" i="737"/>
  <c r="T27" i="737"/>
  <c r="U27" i="737"/>
  <c r="V27" i="737"/>
  <c r="W27" i="737"/>
  <c r="X27" i="737"/>
  <c r="Y27" i="737"/>
  <c r="Z27" i="737"/>
  <c r="R28" i="737"/>
  <c r="S28" i="737"/>
  <c r="T28" i="737"/>
  <c r="U28" i="737"/>
  <c r="V28" i="737"/>
  <c r="W28" i="737"/>
  <c r="X28" i="737"/>
  <c r="Y28" i="737"/>
  <c r="Z28" i="737"/>
  <c r="R29" i="737"/>
  <c r="S29" i="737"/>
  <c r="T29" i="737"/>
  <c r="U29" i="737"/>
  <c r="V29" i="737"/>
  <c r="W29" i="737"/>
  <c r="X29" i="737"/>
  <c r="Y29" i="737"/>
  <c r="Z29" i="737"/>
  <c r="R30" i="737"/>
  <c r="S30" i="737"/>
  <c r="T30" i="737"/>
  <c r="U30" i="737"/>
  <c r="V30" i="737"/>
  <c r="W30" i="737"/>
  <c r="X30" i="737"/>
  <c r="Y30" i="737"/>
  <c r="Z30" i="737"/>
  <c r="R31" i="737"/>
  <c r="S31" i="737"/>
  <c r="T31" i="737"/>
  <c r="U31" i="737"/>
  <c r="V31" i="737"/>
  <c r="W31" i="737"/>
  <c r="X31" i="737"/>
  <c r="Y31" i="737"/>
  <c r="Z31" i="737"/>
  <c r="R32" i="737"/>
  <c r="S32" i="737"/>
  <c r="T32" i="737"/>
  <c r="U32" i="737"/>
  <c r="V32" i="737"/>
  <c r="W32" i="737"/>
  <c r="X32" i="737"/>
  <c r="Y32" i="737"/>
  <c r="Z32" i="737"/>
  <c r="R33" i="737"/>
  <c r="S33" i="737"/>
  <c r="T33" i="737"/>
  <c r="U33" i="737"/>
  <c r="V33" i="737"/>
  <c r="W33" i="737"/>
  <c r="X33" i="737"/>
  <c r="Y33" i="737"/>
  <c r="Z33" i="737"/>
  <c r="R34" i="737"/>
  <c r="S34" i="737"/>
  <c r="T34" i="737"/>
  <c r="U34" i="737"/>
  <c r="V34" i="737"/>
  <c r="W34" i="737"/>
  <c r="X34" i="737"/>
  <c r="Y34" i="737"/>
  <c r="Z34" i="737"/>
  <c r="R35" i="737"/>
  <c r="S35" i="737"/>
  <c r="T35" i="737"/>
  <c r="U35" i="737"/>
  <c r="V35" i="737"/>
  <c r="W35" i="737"/>
  <c r="X35" i="737"/>
  <c r="Y35" i="737"/>
  <c r="Z35" i="737"/>
  <c r="R36" i="737"/>
  <c r="S36" i="737"/>
  <c r="T36" i="737"/>
  <c r="U36" i="737"/>
  <c r="V36" i="737"/>
  <c r="W36" i="737"/>
  <c r="X36" i="737"/>
  <c r="Y36" i="737"/>
  <c r="Z36" i="737"/>
  <c r="R37" i="737"/>
  <c r="S37" i="737"/>
  <c r="T37" i="737"/>
  <c r="U37" i="737"/>
  <c r="V37" i="737"/>
  <c r="W37" i="737"/>
  <c r="X37" i="737"/>
  <c r="Y37" i="737"/>
  <c r="Z37" i="737"/>
  <c r="R38" i="737"/>
  <c r="S38" i="737"/>
  <c r="T38" i="737"/>
  <c r="U38" i="737"/>
  <c r="V38" i="737"/>
  <c r="W38" i="737"/>
  <c r="X38" i="737"/>
  <c r="Y38" i="737"/>
  <c r="Z38" i="737"/>
  <c r="R39" i="737"/>
  <c r="S39" i="737"/>
  <c r="T39" i="737"/>
  <c r="U39" i="737"/>
  <c r="V39" i="737"/>
  <c r="W39" i="737"/>
  <c r="X39" i="737"/>
  <c r="Y39" i="737"/>
  <c r="Z39" i="737"/>
  <c r="R42" i="737"/>
  <c r="S42" i="737"/>
  <c r="T42" i="737"/>
  <c r="U42" i="737"/>
  <c r="V42" i="737"/>
  <c r="W42" i="737"/>
  <c r="X42" i="737"/>
  <c r="Y42" i="737"/>
  <c r="Z42" i="737"/>
  <c r="C29" i="737"/>
  <c r="D29" i="737"/>
  <c r="E29" i="737"/>
  <c r="F29" i="737"/>
  <c r="G29" i="737"/>
  <c r="I29" i="737"/>
  <c r="J29" i="737"/>
  <c r="L29" i="737"/>
  <c r="M29" i="737"/>
  <c r="N29" i="737"/>
  <c r="O29" i="737"/>
  <c r="C23" i="737"/>
  <c r="D23" i="737"/>
  <c r="E23" i="737"/>
  <c r="F23" i="737"/>
  <c r="G23" i="737"/>
  <c r="I23" i="737"/>
  <c r="J23" i="737"/>
  <c r="L23" i="737"/>
  <c r="M23" i="737"/>
  <c r="N23" i="737"/>
  <c r="O23" i="737"/>
  <c r="C24" i="737"/>
  <c r="D24" i="737"/>
  <c r="E24" i="737"/>
  <c r="F24" i="737"/>
  <c r="G24" i="737"/>
  <c r="I24" i="737"/>
  <c r="J24" i="737"/>
  <c r="L24" i="737"/>
  <c r="M24" i="737"/>
  <c r="N24" i="737"/>
  <c r="O24" i="737"/>
  <c r="C25" i="737"/>
  <c r="D25" i="737"/>
  <c r="E25" i="737"/>
  <c r="F25" i="737"/>
  <c r="G25" i="737"/>
  <c r="I25" i="737"/>
  <c r="J25" i="737"/>
  <c r="L25" i="737"/>
  <c r="M25" i="737"/>
  <c r="N25" i="737"/>
  <c r="O25" i="737"/>
  <c r="C28" i="737"/>
  <c r="D28" i="737"/>
  <c r="E28" i="737"/>
  <c r="F28" i="737"/>
  <c r="G28" i="737"/>
  <c r="I28" i="737"/>
  <c r="J28" i="737"/>
  <c r="L28" i="737"/>
  <c r="M28" i="737"/>
  <c r="N28" i="737"/>
  <c r="O28" i="737"/>
  <c r="C20" i="737"/>
  <c r="D20" i="737"/>
  <c r="E20" i="737"/>
  <c r="F20" i="737"/>
  <c r="G20" i="737"/>
  <c r="I20" i="737"/>
  <c r="J20" i="737"/>
  <c r="L20" i="737"/>
  <c r="M20" i="737"/>
  <c r="N20" i="737"/>
  <c r="O20" i="737"/>
  <c r="C21" i="737"/>
  <c r="D21" i="737"/>
  <c r="E21" i="737"/>
  <c r="F21" i="737"/>
  <c r="G21" i="737"/>
  <c r="I21" i="737"/>
  <c r="J21" i="737"/>
  <c r="L21" i="737"/>
  <c r="M21" i="737"/>
  <c r="N21" i="737"/>
  <c r="O21" i="737"/>
  <c r="C22" i="737"/>
  <c r="D22" i="737"/>
  <c r="E22" i="737"/>
  <c r="F22" i="737"/>
  <c r="G22" i="737"/>
  <c r="I22" i="737"/>
  <c r="J22" i="737"/>
  <c r="L22" i="737"/>
  <c r="M22" i="737"/>
  <c r="N22" i="737"/>
  <c r="O22" i="737"/>
  <c r="C11" i="737"/>
  <c r="D11" i="737"/>
  <c r="E11" i="737"/>
  <c r="F11" i="737"/>
  <c r="G11" i="737"/>
  <c r="I11" i="737"/>
  <c r="J11" i="737"/>
  <c r="K11" i="737"/>
  <c r="L11" i="737"/>
  <c r="M11" i="737"/>
  <c r="N11" i="737"/>
  <c r="O11" i="737"/>
  <c r="C12" i="737"/>
  <c r="D12" i="737"/>
  <c r="E12" i="737"/>
  <c r="F12" i="737"/>
  <c r="G12" i="737"/>
  <c r="I12" i="737"/>
  <c r="J12" i="737"/>
  <c r="K12" i="737"/>
  <c r="L12" i="737"/>
  <c r="M12" i="737"/>
  <c r="N12" i="737"/>
  <c r="O12" i="737"/>
  <c r="F117" i="737"/>
  <c r="AX107" i="737"/>
  <c r="AW107" i="737"/>
  <c r="AV107" i="737"/>
  <c r="AU107" i="737"/>
  <c r="AT107" i="737"/>
  <c r="AS107" i="737"/>
  <c r="AR107" i="737"/>
  <c r="AQ107" i="737"/>
  <c r="AP107" i="737"/>
  <c r="AO107" i="737"/>
  <c r="AN107" i="737"/>
  <c r="AM107" i="737"/>
  <c r="AL107" i="737"/>
  <c r="AK107" i="737"/>
  <c r="AJ107" i="737"/>
  <c r="AI107" i="737"/>
  <c r="AH107" i="737"/>
  <c r="AG107" i="737"/>
  <c r="AF107" i="737"/>
  <c r="AE107" i="737"/>
  <c r="AD107" i="737"/>
  <c r="AC107" i="737"/>
  <c r="AB107" i="737"/>
  <c r="K99" i="737"/>
  <c r="D97" i="737"/>
  <c r="Z73" i="737"/>
  <c r="Y73" i="737"/>
  <c r="X73" i="737"/>
  <c r="W73" i="737"/>
  <c r="V73" i="737"/>
  <c r="U73" i="737"/>
  <c r="T73" i="737"/>
  <c r="S73" i="737"/>
  <c r="R73" i="737"/>
  <c r="Z72" i="737"/>
  <c r="Y72" i="737"/>
  <c r="X72" i="737"/>
  <c r="W72" i="737"/>
  <c r="V72" i="737"/>
  <c r="U72" i="737"/>
  <c r="T72" i="737"/>
  <c r="S72" i="737"/>
  <c r="R72" i="737"/>
  <c r="Z71" i="737"/>
  <c r="Y71" i="737"/>
  <c r="X71" i="737"/>
  <c r="W71" i="737"/>
  <c r="V71" i="737"/>
  <c r="U71" i="737"/>
  <c r="T71" i="737"/>
  <c r="S71" i="737"/>
  <c r="R71" i="737"/>
  <c r="Z70" i="737"/>
  <c r="Y70" i="737"/>
  <c r="X70" i="737"/>
  <c r="W70" i="737"/>
  <c r="V70" i="737"/>
  <c r="U70" i="737"/>
  <c r="T70" i="737"/>
  <c r="S70" i="737"/>
  <c r="R70" i="737"/>
  <c r="Z69" i="737"/>
  <c r="Y69" i="737"/>
  <c r="X69" i="737"/>
  <c r="W69" i="737"/>
  <c r="V69" i="737"/>
  <c r="U69" i="737"/>
  <c r="T69" i="737"/>
  <c r="S69" i="737"/>
  <c r="R69" i="737"/>
  <c r="Z68" i="737"/>
  <c r="Y68" i="737"/>
  <c r="X68" i="737"/>
  <c r="W68" i="737"/>
  <c r="V68" i="737"/>
  <c r="U68" i="737"/>
  <c r="T68" i="737"/>
  <c r="S68" i="737"/>
  <c r="R68" i="737"/>
  <c r="Z67" i="737"/>
  <c r="Y67" i="737"/>
  <c r="X67" i="737"/>
  <c r="W67" i="737"/>
  <c r="V67" i="737"/>
  <c r="U67" i="737"/>
  <c r="T67" i="737"/>
  <c r="S67" i="737"/>
  <c r="R67" i="737"/>
  <c r="Z66" i="737"/>
  <c r="Y66" i="737"/>
  <c r="X66" i="737"/>
  <c r="W66" i="737"/>
  <c r="V66" i="737"/>
  <c r="U66" i="737"/>
  <c r="T66" i="737"/>
  <c r="S66" i="737"/>
  <c r="R66" i="737"/>
  <c r="Z65" i="737"/>
  <c r="Y65" i="737"/>
  <c r="X65" i="737"/>
  <c r="W65" i="737"/>
  <c r="V65" i="737"/>
  <c r="U65" i="737"/>
  <c r="T65" i="737"/>
  <c r="S65" i="737"/>
  <c r="R65" i="737"/>
  <c r="Z12" i="737"/>
  <c r="Y12" i="737"/>
  <c r="X12" i="737"/>
  <c r="W12" i="737"/>
  <c r="V12" i="737"/>
  <c r="U12" i="737"/>
  <c r="T12" i="737"/>
  <c r="S12" i="737"/>
  <c r="R12" i="737"/>
  <c r="Z11" i="737"/>
  <c r="Y11" i="737"/>
  <c r="X11" i="737"/>
  <c r="W11" i="737"/>
  <c r="V11" i="737"/>
  <c r="U11" i="737"/>
  <c r="T11" i="737"/>
  <c r="S11" i="737"/>
  <c r="R11" i="737"/>
  <c r="K12" i="736"/>
  <c r="K14" i="736"/>
  <c r="K33" i="736"/>
  <c r="C11" i="736"/>
  <c r="D11" i="736"/>
  <c r="E11" i="736"/>
  <c r="F11" i="736"/>
  <c r="G11" i="736"/>
  <c r="I11" i="736"/>
  <c r="J11" i="736"/>
  <c r="K11" i="736"/>
  <c r="L11" i="736"/>
  <c r="M11" i="736"/>
  <c r="N11" i="736"/>
  <c r="O11" i="736"/>
  <c r="C12" i="736"/>
  <c r="D12" i="736"/>
  <c r="E12" i="736"/>
  <c r="F12" i="736"/>
  <c r="G12" i="736"/>
  <c r="I12" i="736"/>
  <c r="J12" i="736"/>
  <c r="L12" i="736"/>
  <c r="M12" i="736"/>
  <c r="N12" i="736"/>
  <c r="O12" i="736"/>
  <c r="C13" i="736"/>
  <c r="D13" i="736"/>
  <c r="E13" i="736"/>
  <c r="F13" i="736"/>
  <c r="G13" i="736"/>
  <c r="I13" i="736"/>
  <c r="J13" i="736"/>
  <c r="K13" i="736"/>
  <c r="L13" i="736"/>
  <c r="M13" i="736"/>
  <c r="N13" i="736"/>
  <c r="O13" i="736"/>
  <c r="C14" i="736"/>
  <c r="D14" i="736"/>
  <c r="E14" i="736"/>
  <c r="F14" i="736"/>
  <c r="G14" i="736"/>
  <c r="J14" i="736"/>
  <c r="L14" i="736"/>
  <c r="M14" i="736"/>
  <c r="N14" i="736"/>
  <c r="O14" i="736"/>
  <c r="C15" i="736"/>
  <c r="D15" i="736"/>
  <c r="E15" i="736"/>
  <c r="F15" i="736"/>
  <c r="G15" i="736"/>
  <c r="I15" i="736"/>
  <c r="J15" i="736"/>
  <c r="K15" i="736"/>
  <c r="L15" i="736"/>
  <c r="M15" i="736"/>
  <c r="N15" i="736"/>
  <c r="O15" i="736"/>
  <c r="O10" i="736"/>
  <c r="N10" i="736"/>
  <c r="M10" i="736"/>
  <c r="L10" i="736"/>
  <c r="K10" i="736"/>
  <c r="J10" i="736"/>
  <c r="I10" i="736"/>
  <c r="G10" i="736"/>
  <c r="F10" i="736"/>
  <c r="E10" i="736"/>
  <c r="D10" i="736"/>
  <c r="C10" i="736"/>
  <c r="R11" i="736"/>
  <c r="S11" i="736"/>
  <c r="T11" i="736"/>
  <c r="U11" i="736"/>
  <c r="V11" i="736"/>
  <c r="W11" i="736"/>
  <c r="X11" i="736"/>
  <c r="Y11" i="736"/>
  <c r="Z11" i="736"/>
  <c r="R12" i="736"/>
  <c r="S12" i="736"/>
  <c r="T12" i="736"/>
  <c r="U12" i="736"/>
  <c r="V12" i="736"/>
  <c r="W12" i="736"/>
  <c r="X12" i="736"/>
  <c r="Y12" i="736"/>
  <c r="Z12" i="736"/>
  <c r="R13" i="736"/>
  <c r="S13" i="736"/>
  <c r="T13" i="736"/>
  <c r="U13" i="736"/>
  <c r="V13" i="736"/>
  <c r="W13" i="736"/>
  <c r="X13" i="736"/>
  <c r="Y13" i="736"/>
  <c r="Z13" i="736"/>
  <c r="R14" i="736"/>
  <c r="S14" i="736"/>
  <c r="T14" i="736"/>
  <c r="U14" i="736"/>
  <c r="V14" i="736"/>
  <c r="W14" i="736"/>
  <c r="X14" i="736"/>
  <c r="Y14" i="736"/>
  <c r="Z14" i="736"/>
  <c r="R15" i="736"/>
  <c r="S15" i="736"/>
  <c r="T15" i="736"/>
  <c r="U15" i="736"/>
  <c r="V15" i="736"/>
  <c r="W15" i="736"/>
  <c r="X15" i="736"/>
  <c r="Y15" i="736"/>
  <c r="Z15" i="736"/>
  <c r="R16" i="736"/>
  <c r="S16" i="736"/>
  <c r="T16" i="736"/>
  <c r="U16" i="736"/>
  <c r="V16" i="736"/>
  <c r="W16" i="736"/>
  <c r="X16" i="736"/>
  <c r="Y16" i="736"/>
  <c r="Z16" i="736"/>
  <c r="R17" i="736"/>
  <c r="S17" i="736"/>
  <c r="T17" i="736"/>
  <c r="U17" i="736"/>
  <c r="V17" i="736"/>
  <c r="W17" i="736"/>
  <c r="X17" i="736"/>
  <c r="Y17" i="736"/>
  <c r="Z17" i="736"/>
  <c r="R18" i="736"/>
  <c r="S18" i="736"/>
  <c r="T18" i="736"/>
  <c r="U18" i="736"/>
  <c r="V18" i="736"/>
  <c r="W18" i="736"/>
  <c r="X18" i="736"/>
  <c r="Y18" i="736"/>
  <c r="Z18" i="736"/>
  <c r="R19" i="736"/>
  <c r="S19" i="736"/>
  <c r="T19" i="736"/>
  <c r="U19" i="736"/>
  <c r="V19" i="736"/>
  <c r="W19" i="736"/>
  <c r="X19" i="736"/>
  <c r="Y19" i="736"/>
  <c r="Z19" i="736"/>
  <c r="R20" i="736"/>
  <c r="S20" i="736"/>
  <c r="T20" i="736"/>
  <c r="U20" i="736"/>
  <c r="V20" i="736"/>
  <c r="W20" i="736"/>
  <c r="X20" i="736"/>
  <c r="Y20" i="736"/>
  <c r="Z20" i="736"/>
  <c r="R21" i="736"/>
  <c r="S21" i="736"/>
  <c r="T21" i="736"/>
  <c r="U21" i="736"/>
  <c r="V21" i="736"/>
  <c r="W21" i="736"/>
  <c r="X21" i="736"/>
  <c r="Y21" i="736"/>
  <c r="Z21" i="736"/>
  <c r="R22" i="736"/>
  <c r="S22" i="736"/>
  <c r="T22" i="736"/>
  <c r="U22" i="736"/>
  <c r="V22" i="736"/>
  <c r="W22" i="736"/>
  <c r="X22" i="736"/>
  <c r="Y22" i="736"/>
  <c r="Z22" i="736"/>
  <c r="R23" i="736"/>
  <c r="S23" i="736"/>
  <c r="T23" i="736"/>
  <c r="U23" i="736"/>
  <c r="V23" i="736"/>
  <c r="W23" i="736"/>
  <c r="X23" i="736"/>
  <c r="Y23" i="736"/>
  <c r="Z23" i="736"/>
  <c r="R24" i="736"/>
  <c r="S24" i="736"/>
  <c r="T24" i="736"/>
  <c r="U24" i="736"/>
  <c r="V24" i="736"/>
  <c r="W24" i="736"/>
  <c r="X24" i="736"/>
  <c r="Y24" i="736"/>
  <c r="Z24" i="736"/>
  <c r="R25" i="736"/>
  <c r="S25" i="736"/>
  <c r="T25" i="736"/>
  <c r="U25" i="736"/>
  <c r="V25" i="736"/>
  <c r="W25" i="736"/>
  <c r="X25" i="736"/>
  <c r="Y25" i="736"/>
  <c r="Z25" i="736"/>
  <c r="R26" i="736"/>
  <c r="S26" i="736"/>
  <c r="T26" i="736"/>
  <c r="U26" i="736"/>
  <c r="V26" i="736"/>
  <c r="W26" i="736"/>
  <c r="X26" i="736"/>
  <c r="Y26" i="736"/>
  <c r="Z26" i="736"/>
  <c r="R27" i="736"/>
  <c r="S27" i="736"/>
  <c r="T27" i="736"/>
  <c r="U27" i="736"/>
  <c r="V27" i="736"/>
  <c r="W27" i="736"/>
  <c r="X27" i="736"/>
  <c r="Y27" i="736"/>
  <c r="Z27" i="736"/>
  <c r="R28" i="736"/>
  <c r="S28" i="736"/>
  <c r="T28" i="736"/>
  <c r="U28" i="736"/>
  <c r="V28" i="736"/>
  <c r="W28" i="736"/>
  <c r="X28" i="736"/>
  <c r="Y28" i="736"/>
  <c r="Z28" i="736"/>
  <c r="R29" i="736"/>
  <c r="S29" i="736"/>
  <c r="T29" i="736"/>
  <c r="U29" i="736"/>
  <c r="V29" i="736"/>
  <c r="W29" i="736"/>
  <c r="X29" i="736"/>
  <c r="Y29" i="736"/>
  <c r="Z29" i="736"/>
  <c r="J75" i="737" l="1"/>
  <c r="J80" i="737"/>
  <c r="H99" i="737"/>
  <c r="J77" i="737"/>
  <c r="J76" i="737"/>
  <c r="K85" i="737"/>
  <c r="L85" i="737" s="1"/>
  <c r="M85" i="737" s="1"/>
  <c r="C35" i="736"/>
  <c r="C36" i="736"/>
  <c r="C31" i="736"/>
  <c r="C32" i="736"/>
  <c r="C33" i="736"/>
  <c r="C34" i="736"/>
  <c r="B31" i="736"/>
  <c r="B60" i="736"/>
  <c r="F73" i="736"/>
  <c r="AX63" i="736"/>
  <c r="AW63" i="736"/>
  <c r="AV63" i="736"/>
  <c r="AU63" i="736"/>
  <c r="AT63" i="736"/>
  <c r="AS63" i="736"/>
  <c r="AR63" i="736"/>
  <c r="AQ63" i="736"/>
  <c r="AP63" i="736"/>
  <c r="AO63" i="736"/>
  <c r="AN63" i="736"/>
  <c r="AM63" i="736"/>
  <c r="AL63" i="736"/>
  <c r="AK63" i="736"/>
  <c r="AJ63" i="736"/>
  <c r="AI63" i="736"/>
  <c r="AH63" i="736"/>
  <c r="AG63" i="736"/>
  <c r="AF63" i="736"/>
  <c r="AE63" i="736"/>
  <c r="AD63" i="736"/>
  <c r="AC63" i="736"/>
  <c r="AB63" i="736"/>
  <c r="K55" i="736"/>
  <c r="D53" i="736"/>
  <c r="M38" i="736"/>
  <c r="M37" i="736"/>
  <c r="L37" i="736"/>
  <c r="K37" i="736"/>
  <c r="M36" i="736"/>
  <c r="M34" i="736"/>
  <c r="L34" i="736"/>
  <c r="K34" i="736"/>
  <c r="M32" i="736"/>
  <c r="L32" i="736"/>
  <c r="K32" i="736"/>
  <c r="M31" i="736"/>
  <c r="L31" i="736"/>
  <c r="K31" i="736"/>
  <c r="Z10" i="736"/>
  <c r="Y10" i="736"/>
  <c r="X10" i="736"/>
  <c r="W10" i="736"/>
  <c r="V10" i="736"/>
  <c r="U10" i="736"/>
  <c r="T10" i="736"/>
  <c r="S10" i="736"/>
  <c r="R10" i="736"/>
  <c r="E60" i="735"/>
  <c r="G60" i="735"/>
  <c r="K60" i="736" l="1"/>
  <c r="K68" i="736" s="1"/>
  <c r="K60" i="735"/>
  <c r="K71" i="735" s="1"/>
  <c r="K41" i="736"/>
  <c r="B60" i="735"/>
  <c r="AA60" i="735" s="1"/>
  <c r="K55" i="735"/>
  <c r="K45" i="735"/>
  <c r="M31" i="735"/>
  <c r="L31" i="735"/>
  <c r="K31" i="735"/>
  <c r="AA102" i="735"/>
  <c r="Z102" i="735"/>
  <c r="Y102" i="735"/>
  <c r="X102" i="735"/>
  <c r="W102" i="735"/>
  <c r="V102" i="735"/>
  <c r="U102" i="735"/>
  <c r="T102" i="735"/>
  <c r="S102" i="735"/>
  <c r="AA101" i="735"/>
  <c r="Z101" i="735"/>
  <c r="Y101" i="735"/>
  <c r="X101" i="735"/>
  <c r="W101" i="735"/>
  <c r="V101" i="735"/>
  <c r="U101" i="735"/>
  <c r="T101" i="735"/>
  <c r="S101" i="735"/>
  <c r="AA100" i="735"/>
  <c r="Z100" i="735"/>
  <c r="Y100" i="735"/>
  <c r="X100" i="735"/>
  <c r="W100" i="735"/>
  <c r="V100" i="735"/>
  <c r="U100" i="735"/>
  <c r="T100" i="735"/>
  <c r="S100" i="735"/>
  <c r="AA99" i="735"/>
  <c r="Z99" i="735"/>
  <c r="Y99" i="735"/>
  <c r="X99" i="735"/>
  <c r="W99" i="735"/>
  <c r="V99" i="735"/>
  <c r="U99" i="735"/>
  <c r="T99" i="735"/>
  <c r="S99" i="735"/>
  <c r="AA98" i="735"/>
  <c r="Z98" i="735"/>
  <c r="Y98" i="735"/>
  <c r="X98" i="735"/>
  <c r="W98" i="735"/>
  <c r="V98" i="735"/>
  <c r="U98" i="735"/>
  <c r="T98" i="735"/>
  <c r="S98" i="735"/>
  <c r="AA97" i="735"/>
  <c r="Z97" i="735"/>
  <c r="Y97" i="735"/>
  <c r="X97" i="735"/>
  <c r="W97" i="735"/>
  <c r="V97" i="735"/>
  <c r="U97" i="735"/>
  <c r="T97" i="735"/>
  <c r="S97" i="735"/>
  <c r="AA96" i="735"/>
  <c r="Z96" i="735"/>
  <c r="Y96" i="735"/>
  <c r="X96" i="735"/>
  <c r="W96" i="735"/>
  <c r="V96" i="735"/>
  <c r="U96" i="735"/>
  <c r="T96" i="735"/>
  <c r="S96" i="735"/>
  <c r="AA95" i="735"/>
  <c r="Z95" i="735"/>
  <c r="Y95" i="735"/>
  <c r="X95" i="735"/>
  <c r="W95" i="735"/>
  <c r="V95" i="735"/>
  <c r="U95" i="735"/>
  <c r="T95" i="735"/>
  <c r="S95" i="735"/>
  <c r="AA94" i="735"/>
  <c r="Z94" i="735"/>
  <c r="Y94" i="735"/>
  <c r="X94" i="735"/>
  <c r="W94" i="735"/>
  <c r="V94" i="735"/>
  <c r="U94" i="735"/>
  <c r="T94" i="735"/>
  <c r="S94" i="735"/>
  <c r="AA93" i="735"/>
  <c r="Z93" i="735"/>
  <c r="Y93" i="735"/>
  <c r="X93" i="735"/>
  <c r="W93" i="735"/>
  <c r="V93" i="735"/>
  <c r="U93" i="735"/>
  <c r="T93" i="735"/>
  <c r="S93" i="735"/>
  <c r="AA92" i="735"/>
  <c r="Z92" i="735"/>
  <c r="Y92" i="735"/>
  <c r="X92" i="735"/>
  <c r="W92" i="735"/>
  <c r="V92" i="735"/>
  <c r="U92" i="735"/>
  <c r="T92" i="735"/>
  <c r="S92" i="735"/>
  <c r="AA91" i="735"/>
  <c r="Z91" i="735"/>
  <c r="Y91" i="735"/>
  <c r="X91" i="735"/>
  <c r="W91" i="735"/>
  <c r="V91" i="735"/>
  <c r="U91" i="735"/>
  <c r="T91" i="735"/>
  <c r="S91" i="735"/>
  <c r="AA90" i="735"/>
  <c r="Z90" i="735"/>
  <c r="Y90" i="735"/>
  <c r="X90" i="735"/>
  <c r="W90" i="735"/>
  <c r="V90" i="735"/>
  <c r="U90" i="735"/>
  <c r="T90" i="735"/>
  <c r="S90" i="735"/>
  <c r="AA89" i="735"/>
  <c r="Z89" i="735"/>
  <c r="Y89" i="735"/>
  <c r="X89" i="735"/>
  <c r="W89" i="735"/>
  <c r="V89" i="735"/>
  <c r="U89" i="735"/>
  <c r="T89" i="735"/>
  <c r="S89" i="735"/>
  <c r="AA88" i="735"/>
  <c r="Z88" i="735"/>
  <c r="Y88" i="735"/>
  <c r="X88" i="735"/>
  <c r="W88" i="735"/>
  <c r="V88" i="735"/>
  <c r="U88" i="735"/>
  <c r="T88" i="735"/>
  <c r="S88" i="735"/>
  <c r="AA87" i="735"/>
  <c r="Z87" i="735"/>
  <c r="Y87" i="735"/>
  <c r="X87" i="735"/>
  <c r="W87" i="735"/>
  <c r="V87" i="735"/>
  <c r="U87" i="735"/>
  <c r="T87" i="735"/>
  <c r="S87" i="735"/>
  <c r="AA86" i="735"/>
  <c r="Z86" i="735"/>
  <c r="Y86" i="735"/>
  <c r="X86" i="735"/>
  <c r="W86" i="735"/>
  <c r="V86" i="735"/>
  <c r="U86" i="735"/>
  <c r="T86" i="735"/>
  <c r="S86" i="735"/>
  <c r="AA85" i="735"/>
  <c r="Z85" i="735"/>
  <c r="Y85" i="735"/>
  <c r="X85" i="735"/>
  <c r="W85" i="735"/>
  <c r="V85" i="735"/>
  <c r="U85" i="735"/>
  <c r="T85" i="735"/>
  <c r="S85" i="735"/>
  <c r="AA84" i="735"/>
  <c r="Z84" i="735"/>
  <c r="Y84" i="735"/>
  <c r="X84" i="735"/>
  <c r="W84" i="735"/>
  <c r="V84" i="735"/>
  <c r="U84" i="735"/>
  <c r="T84" i="735"/>
  <c r="S84" i="735"/>
  <c r="AA83" i="735"/>
  <c r="Z83" i="735"/>
  <c r="Y83" i="735"/>
  <c r="X83" i="735"/>
  <c r="W83" i="735"/>
  <c r="V83" i="735"/>
  <c r="U83" i="735"/>
  <c r="T83" i="735"/>
  <c r="S83" i="735"/>
  <c r="AA82" i="735"/>
  <c r="Z82" i="735"/>
  <c r="Y82" i="735"/>
  <c r="X82" i="735"/>
  <c r="W82" i="735"/>
  <c r="V82" i="735"/>
  <c r="U82" i="735"/>
  <c r="T82" i="735"/>
  <c r="S82" i="735"/>
  <c r="AA81" i="735"/>
  <c r="Z81" i="735"/>
  <c r="Y81" i="735"/>
  <c r="X81" i="735"/>
  <c r="W81" i="735"/>
  <c r="V81" i="735"/>
  <c r="U81" i="735"/>
  <c r="T81" i="735"/>
  <c r="S81" i="735"/>
  <c r="AA80" i="735"/>
  <c r="Z80" i="735"/>
  <c r="Y80" i="735"/>
  <c r="X80" i="735"/>
  <c r="W80" i="735"/>
  <c r="V80" i="735"/>
  <c r="U80" i="735"/>
  <c r="T80" i="735"/>
  <c r="S80" i="735"/>
  <c r="AA79" i="735"/>
  <c r="Z79" i="735"/>
  <c r="Y79" i="735"/>
  <c r="X79" i="735"/>
  <c r="W79" i="735"/>
  <c r="V79" i="735"/>
  <c r="U79" i="735"/>
  <c r="T79" i="735"/>
  <c r="S79" i="735"/>
  <c r="AA78" i="735"/>
  <c r="Z78" i="735"/>
  <c r="Y78" i="735"/>
  <c r="X78" i="735"/>
  <c r="W78" i="735"/>
  <c r="V78" i="735"/>
  <c r="U78" i="735"/>
  <c r="T78" i="735"/>
  <c r="S78" i="735"/>
  <c r="AA77" i="735"/>
  <c r="Z77" i="735"/>
  <c r="Y77" i="735"/>
  <c r="X77" i="735"/>
  <c r="W77" i="735"/>
  <c r="V77" i="735"/>
  <c r="U77" i="735"/>
  <c r="T77" i="735"/>
  <c r="S77" i="735"/>
  <c r="AA76" i="735"/>
  <c r="Z76" i="735"/>
  <c r="Y76" i="735"/>
  <c r="X76" i="735"/>
  <c r="W76" i="735"/>
  <c r="V76" i="735"/>
  <c r="U76" i="735"/>
  <c r="T76" i="735"/>
  <c r="S76" i="735"/>
  <c r="AA75" i="735"/>
  <c r="Z75" i="735"/>
  <c r="Y75" i="735"/>
  <c r="X75" i="735"/>
  <c r="W75" i="735"/>
  <c r="V75" i="735"/>
  <c r="U75" i="735"/>
  <c r="T75" i="735"/>
  <c r="S75" i="735"/>
  <c r="AA74" i="735"/>
  <c r="Z74" i="735"/>
  <c r="Y74" i="735"/>
  <c r="X74" i="735"/>
  <c r="W74" i="735"/>
  <c r="V74" i="735"/>
  <c r="U74" i="735"/>
  <c r="T74" i="735"/>
  <c r="S74" i="735"/>
  <c r="AA73" i="735"/>
  <c r="Z73" i="735"/>
  <c r="Y73" i="735"/>
  <c r="X73" i="735"/>
  <c r="W73" i="735"/>
  <c r="V73" i="735"/>
  <c r="U73" i="735"/>
  <c r="T73" i="735"/>
  <c r="S73" i="735"/>
  <c r="AA72" i="735"/>
  <c r="Z72" i="735"/>
  <c r="Y72" i="735"/>
  <c r="X72" i="735"/>
  <c r="W72" i="735"/>
  <c r="V72" i="735"/>
  <c r="U72" i="735"/>
  <c r="T72" i="735"/>
  <c r="S72" i="735"/>
  <c r="AA71" i="735"/>
  <c r="Z71" i="735"/>
  <c r="Y71" i="735"/>
  <c r="X71" i="735"/>
  <c r="W71" i="735"/>
  <c r="V71" i="735"/>
  <c r="U71" i="735"/>
  <c r="T71" i="735"/>
  <c r="S71" i="735"/>
  <c r="AA70" i="735"/>
  <c r="Z70" i="735"/>
  <c r="Y70" i="735"/>
  <c r="X70" i="735"/>
  <c r="W70" i="735"/>
  <c r="V70" i="735"/>
  <c r="U70" i="735"/>
  <c r="T70" i="735"/>
  <c r="S70" i="735"/>
  <c r="AA69" i="735"/>
  <c r="Z69" i="735"/>
  <c r="Y69" i="735"/>
  <c r="X69" i="735"/>
  <c r="W69" i="735"/>
  <c r="V69" i="735"/>
  <c r="U69" i="735"/>
  <c r="T69" i="735"/>
  <c r="S69" i="735"/>
  <c r="AA68" i="735"/>
  <c r="Z68" i="735"/>
  <c r="Y68" i="735"/>
  <c r="X68" i="735"/>
  <c r="W68" i="735"/>
  <c r="V68" i="735"/>
  <c r="U68" i="735"/>
  <c r="T68" i="735"/>
  <c r="S68" i="735"/>
  <c r="AA67" i="735"/>
  <c r="Z67" i="735"/>
  <c r="Y67" i="735"/>
  <c r="X67" i="735"/>
  <c r="W67" i="735"/>
  <c r="V67" i="735"/>
  <c r="U67" i="735"/>
  <c r="T67" i="735"/>
  <c r="S67" i="735"/>
  <c r="AA66" i="735"/>
  <c r="Z66" i="735"/>
  <c r="Y66" i="735"/>
  <c r="X66" i="735"/>
  <c r="W66" i="735"/>
  <c r="V66" i="735"/>
  <c r="U66" i="735"/>
  <c r="T66" i="735"/>
  <c r="S66" i="735"/>
  <c r="AA65" i="735"/>
  <c r="Z65" i="735"/>
  <c r="Y65" i="735"/>
  <c r="X65" i="735"/>
  <c r="W65" i="735"/>
  <c r="V65" i="735"/>
  <c r="U65" i="735"/>
  <c r="T65" i="735"/>
  <c r="S65" i="735"/>
  <c r="AA64" i="735"/>
  <c r="Z64" i="735"/>
  <c r="Y64" i="735"/>
  <c r="X64" i="735"/>
  <c r="W64" i="735"/>
  <c r="V64" i="735"/>
  <c r="U64" i="735"/>
  <c r="T64" i="735"/>
  <c r="S64" i="735"/>
  <c r="AA63" i="735"/>
  <c r="Z63" i="735"/>
  <c r="Y63" i="735"/>
  <c r="X63" i="735"/>
  <c r="W63" i="735"/>
  <c r="V63" i="735"/>
  <c r="U63" i="735"/>
  <c r="T63" i="735"/>
  <c r="S63" i="735"/>
  <c r="AA62" i="735"/>
  <c r="Z62" i="735"/>
  <c r="Y62" i="735"/>
  <c r="X62" i="735"/>
  <c r="W62" i="735"/>
  <c r="V62" i="735"/>
  <c r="U62" i="735"/>
  <c r="T62" i="735"/>
  <c r="S62" i="735"/>
  <c r="AA61" i="735"/>
  <c r="Z61" i="735"/>
  <c r="Y61" i="735"/>
  <c r="X61" i="735"/>
  <c r="W61" i="735"/>
  <c r="V61" i="735"/>
  <c r="U61" i="735"/>
  <c r="T61" i="735"/>
  <c r="S61" i="735"/>
  <c r="Y60" i="735"/>
  <c r="X60" i="735"/>
  <c r="W60" i="735"/>
  <c r="V60" i="735"/>
  <c r="U60" i="735"/>
  <c r="T60" i="735"/>
  <c r="S60" i="735"/>
  <c r="AA59" i="735"/>
  <c r="Z59" i="735"/>
  <c r="Y59" i="735"/>
  <c r="X59" i="735"/>
  <c r="W59" i="735"/>
  <c r="V59" i="735"/>
  <c r="U59" i="735"/>
  <c r="T59" i="735"/>
  <c r="S59" i="735"/>
  <c r="AA58" i="735"/>
  <c r="Z58" i="735"/>
  <c r="Y58" i="735"/>
  <c r="X58" i="735"/>
  <c r="W58" i="735"/>
  <c r="V58" i="735"/>
  <c r="U58" i="735"/>
  <c r="T58" i="735"/>
  <c r="S58" i="735"/>
  <c r="AA57" i="735"/>
  <c r="Z57" i="735"/>
  <c r="Y57" i="735"/>
  <c r="X57" i="735"/>
  <c r="W57" i="735"/>
  <c r="V57" i="735"/>
  <c r="U57" i="735"/>
  <c r="T57" i="735"/>
  <c r="S57" i="735"/>
  <c r="AA56" i="735"/>
  <c r="Z56" i="735"/>
  <c r="Y56" i="735"/>
  <c r="X56" i="735"/>
  <c r="W56" i="735"/>
  <c r="V56" i="735"/>
  <c r="U56" i="735"/>
  <c r="T56" i="735"/>
  <c r="S56" i="735"/>
  <c r="AA55" i="735"/>
  <c r="Z55" i="735"/>
  <c r="Y55" i="735"/>
  <c r="X55" i="735"/>
  <c r="W55" i="735"/>
  <c r="V55" i="735"/>
  <c r="U55" i="735"/>
  <c r="T55" i="735"/>
  <c r="S55" i="735"/>
  <c r="AA54" i="735"/>
  <c r="Z54" i="735"/>
  <c r="Y54" i="735"/>
  <c r="X54" i="735"/>
  <c r="W54" i="735"/>
  <c r="V54" i="735"/>
  <c r="U54" i="735"/>
  <c r="T54" i="735"/>
  <c r="S54" i="735"/>
  <c r="AA53" i="735"/>
  <c r="Z53" i="735"/>
  <c r="Y53" i="735"/>
  <c r="X53" i="735"/>
  <c r="W53" i="735"/>
  <c r="V53" i="735"/>
  <c r="U53" i="735"/>
  <c r="T53" i="735"/>
  <c r="S53" i="735"/>
  <c r="AA52" i="735"/>
  <c r="Z52" i="735"/>
  <c r="Y52" i="735"/>
  <c r="X52" i="735"/>
  <c r="W52" i="735"/>
  <c r="V52" i="735"/>
  <c r="U52" i="735"/>
  <c r="T52" i="735"/>
  <c r="S52" i="735"/>
  <c r="AA51" i="735"/>
  <c r="Z51" i="735"/>
  <c r="Y51" i="735"/>
  <c r="X51" i="735"/>
  <c r="W51" i="735"/>
  <c r="V51" i="735"/>
  <c r="U51" i="735"/>
  <c r="T51" i="735"/>
  <c r="S51" i="735"/>
  <c r="AA50" i="735"/>
  <c r="Z50" i="735"/>
  <c r="Y50" i="735"/>
  <c r="X50" i="735"/>
  <c r="W50" i="735"/>
  <c r="V50" i="735"/>
  <c r="U50" i="735"/>
  <c r="T50" i="735"/>
  <c r="S50" i="735"/>
  <c r="AA49" i="735"/>
  <c r="Z49" i="735"/>
  <c r="Y49" i="735"/>
  <c r="X49" i="735"/>
  <c r="W49" i="735"/>
  <c r="V49" i="735"/>
  <c r="U49" i="735"/>
  <c r="T49" i="735"/>
  <c r="S49" i="735"/>
  <c r="AA48" i="735"/>
  <c r="Z48" i="735"/>
  <c r="Y48" i="735"/>
  <c r="X48" i="735"/>
  <c r="W48" i="735"/>
  <c r="V48" i="735"/>
  <c r="U48" i="735"/>
  <c r="T48" i="735"/>
  <c r="S48" i="735"/>
  <c r="AA47" i="735"/>
  <c r="Z47" i="735"/>
  <c r="Y47" i="735"/>
  <c r="X47" i="735"/>
  <c r="W47" i="735"/>
  <c r="V47" i="735"/>
  <c r="U47" i="735"/>
  <c r="T47" i="735"/>
  <c r="S47" i="735"/>
  <c r="AA46" i="735"/>
  <c r="Z46" i="735"/>
  <c r="Y46" i="735"/>
  <c r="X46" i="735"/>
  <c r="W46" i="735"/>
  <c r="V46" i="735"/>
  <c r="U46" i="735"/>
  <c r="T46" i="735"/>
  <c r="S46" i="735"/>
  <c r="AA45" i="735"/>
  <c r="Z45" i="735"/>
  <c r="Y45" i="735"/>
  <c r="X45" i="735"/>
  <c r="W45" i="735"/>
  <c r="V45" i="735"/>
  <c r="U45" i="735"/>
  <c r="T45" i="735"/>
  <c r="S45" i="735"/>
  <c r="AA44" i="735"/>
  <c r="Z44" i="735"/>
  <c r="Y44" i="735"/>
  <c r="X44" i="735"/>
  <c r="W44" i="735"/>
  <c r="V44" i="735"/>
  <c r="U44" i="735"/>
  <c r="T44" i="735"/>
  <c r="S44" i="735"/>
  <c r="AA43" i="735"/>
  <c r="Z43" i="735"/>
  <c r="Y43" i="735"/>
  <c r="X43" i="735"/>
  <c r="W43" i="735"/>
  <c r="V43" i="735"/>
  <c r="U43" i="735"/>
  <c r="T43" i="735"/>
  <c r="S43" i="735"/>
  <c r="AA42" i="735"/>
  <c r="Z42" i="735"/>
  <c r="Y42" i="735"/>
  <c r="X42" i="735"/>
  <c r="W42" i="735"/>
  <c r="V42" i="735"/>
  <c r="U42" i="735"/>
  <c r="T42" i="735"/>
  <c r="S42" i="735"/>
  <c r="AA41" i="735"/>
  <c r="Z41" i="735"/>
  <c r="Y41" i="735"/>
  <c r="X41" i="735"/>
  <c r="W41" i="735"/>
  <c r="V41" i="735"/>
  <c r="U41" i="735"/>
  <c r="T41" i="735"/>
  <c r="S41" i="735"/>
  <c r="AA40" i="735"/>
  <c r="Z40" i="735"/>
  <c r="Y40" i="735"/>
  <c r="X40" i="735"/>
  <c r="W40" i="735"/>
  <c r="V40" i="735"/>
  <c r="U40" i="735"/>
  <c r="T40" i="735"/>
  <c r="S40" i="735"/>
  <c r="AA39" i="735"/>
  <c r="Z39" i="735"/>
  <c r="Y39" i="735"/>
  <c r="X39" i="735"/>
  <c r="W39" i="735"/>
  <c r="V39" i="735"/>
  <c r="U39" i="735"/>
  <c r="T39" i="735"/>
  <c r="S39" i="735"/>
  <c r="AA38" i="735"/>
  <c r="Z38" i="735"/>
  <c r="Y38" i="735"/>
  <c r="X38" i="735"/>
  <c r="W38" i="735"/>
  <c r="V38" i="735"/>
  <c r="U38" i="735"/>
  <c r="T38" i="735"/>
  <c r="S38" i="735"/>
  <c r="AA37" i="735"/>
  <c r="Z37" i="735"/>
  <c r="Y37" i="735"/>
  <c r="X37" i="735"/>
  <c r="W37" i="735"/>
  <c r="V37" i="735"/>
  <c r="U37" i="735"/>
  <c r="T37" i="735"/>
  <c r="S37" i="735"/>
  <c r="AA36" i="735"/>
  <c r="Z36" i="735"/>
  <c r="Y36" i="735"/>
  <c r="X36" i="735"/>
  <c r="W36" i="735"/>
  <c r="V36" i="735"/>
  <c r="U36" i="735"/>
  <c r="T36" i="735"/>
  <c r="S36" i="735"/>
  <c r="AA35" i="735"/>
  <c r="Z35" i="735"/>
  <c r="Y35" i="735"/>
  <c r="X35" i="735"/>
  <c r="W35" i="735"/>
  <c r="V35" i="735"/>
  <c r="U35" i="735"/>
  <c r="T35" i="735"/>
  <c r="S35" i="735"/>
  <c r="AA34" i="735"/>
  <c r="Z34" i="735"/>
  <c r="Y34" i="735"/>
  <c r="X34" i="735"/>
  <c r="W34" i="735"/>
  <c r="V34" i="735"/>
  <c r="U34" i="735"/>
  <c r="T34" i="735"/>
  <c r="S34" i="735"/>
  <c r="AA33" i="735"/>
  <c r="Z33" i="735"/>
  <c r="Y33" i="735"/>
  <c r="X33" i="735"/>
  <c r="W33" i="735"/>
  <c r="V33" i="735"/>
  <c r="U33" i="735"/>
  <c r="T33" i="735"/>
  <c r="S33" i="735"/>
  <c r="AA32" i="735"/>
  <c r="Z32" i="735"/>
  <c r="Y32" i="735"/>
  <c r="X32" i="735"/>
  <c r="W32" i="735"/>
  <c r="V32" i="735"/>
  <c r="U32" i="735"/>
  <c r="T32" i="735"/>
  <c r="S32" i="735"/>
  <c r="AA31" i="735"/>
  <c r="Z31" i="735"/>
  <c r="Y31" i="735"/>
  <c r="X31" i="735"/>
  <c r="W31" i="735"/>
  <c r="V31" i="735"/>
  <c r="U31" i="735"/>
  <c r="T31" i="735"/>
  <c r="S31" i="735"/>
  <c r="AA30" i="735"/>
  <c r="Z30" i="735"/>
  <c r="Y30" i="735"/>
  <c r="X30" i="735"/>
  <c r="W30" i="735"/>
  <c r="V30" i="735"/>
  <c r="U30" i="735"/>
  <c r="T30" i="735"/>
  <c r="S30" i="735"/>
  <c r="AA29" i="735"/>
  <c r="Z29" i="735"/>
  <c r="Y29" i="735"/>
  <c r="X29" i="735"/>
  <c r="W29" i="735"/>
  <c r="V29" i="735"/>
  <c r="U29" i="735"/>
  <c r="T29" i="735"/>
  <c r="S29" i="735"/>
  <c r="AA28" i="735"/>
  <c r="Z28" i="735"/>
  <c r="Y28" i="735"/>
  <c r="X28" i="735"/>
  <c r="W28" i="735"/>
  <c r="V28" i="735"/>
  <c r="U28" i="735"/>
  <c r="T28" i="735"/>
  <c r="S28" i="735"/>
  <c r="AA27" i="735"/>
  <c r="Z27" i="735"/>
  <c r="Y27" i="735"/>
  <c r="X27" i="735"/>
  <c r="W27" i="735"/>
  <c r="V27" i="735"/>
  <c r="U27" i="735"/>
  <c r="T27" i="735"/>
  <c r="S27" i="735"/>
  <c r="AA26" i="735"/>
  <c r="Z26" i="735"/>
  <c r="Y26" i="735"/>
  <c r="X26" i="735"/>
  <c r="W26" i="735"/>
  <c r="V26" i="735"/>
  <c r="U26" i="735"/>
  <c r="T26" i="735"/>
  <c r="S26" i="735"/>
  <c r="AA25" i="735"/>
  <c r="Z25" i="735"/>
  <c r="Y25" i="735"/>
  <c r="X25" i="735"/>
  <c r="W25" i="735"/>
  <c r="V25" i="735"/>
  <c r="U25" i="735"/>
  <c r="T25" i="735"/>
  <c r="S25" i="735"/>
  <c r="AA24" i="735"/>
  <c r="Z24" i="735"/>
  <c r="Y24" i="735"/>
  <c r="X24" i="735"/>
  <c r="W24" i="735"/>
  <c r="V24" i="735"/>
  <c r="U24" i="735"/>
  <c r="T24" i="735"/>
  <c r="S24" i="735"/>
  <c r="AA23" i="735"/>
  <c r="Z23" i="735"/>
  <c r="Y23" i="735"/>
  <c r="X23" i="735"/>
  <c r="W23" i="735"/>
  <c r="V23" i="735"/>
  <c r="U23" i="735"/>
  <c r="T23" i="735"/>
  <c r="S23" i="735"/>
  <c r="AA22" i="735"/>
  <c r="Z22" i="735"/>
  <c r="Y22" i="735"/>
  <c r="X22" i="735"/>
  <c r="W22" i="735"/>
  <c r="V22" i="735"/>
  <c r="U22" i="735"/>
  <c r="T22" i="735"/>
  <c r="S22" i="735"/>
  <c r="AA21" i="735"/>
  <c r="Z21" i="735"/>
  <c r="Y21" i="735"/>
  <c r="X21" i="735"/>
  <c r="W21" i="735"/>
  <c r="V21" i="735"/>
  <c r="U21" i="735"/>
  <c r="T21" i="735"/>
  <c r="S21" i="735"/>
  <c r="AA20" i="735"/>
  <c r="Z20" i="735"/>
  <c r="Y20" i="735"/>
  <c r="X20" i="735"/>
  <c r="W20" i="735"/>
  <c r="V20" i="735"/>
  <c r="U20" i="735"/>
  <c r="T20" i="735"/>
  <c r="S20" i="735"/>
  <c r="AA19" i="735"/>
  <c r="Z19" i="735"/>
  <c r="Y19" i="735"/>
  <c r="X19" i="735"/>
  <c r="W19" i="735"/>
  <c r="V19" i="735"/>
  <c r="U19" i="735"/>
  <c r="T19" i="735"/>
  <c r="S19" i="735"/>
  <c r="AA18" i="735"/>
  <c r="Z18" i="735"/>
  <c r="Y18" i="735"/>
  <c r="X18" i="735"/>
  <c r="W18" i="735"/>
  <c r="V18" i="735"/>
  <c r="U18" i="735"/>
  <c r="T18" i="735"/>
  <c r="S18" i="735"/>
  <c r="AA17" i="735"/>
  <c r="Z17" i="735"/>
  <c r="Y17" i="735"/>
  <c r="X17" i="735"/>
  <c r="W17" i="735"/>
  <c r="V17" i="735"/>
  <c r="U17" i="735"/>
  <c r="T17" i="735"/>
  <c r="S17" i="735"/>
  <c r="AA16" i="735"/>
  <c r="Z16" i="735"/>
  <c r="Y16" i="735"/>
  <c r="X16" i="735"/>
  <c r="W16" i="735"/>
  <c r="V16" i="735"/>
  <c r="U16" i="735"/>
  <c r="T16" i="735"/>
  <c r="S16" i="735"/>
  <c r="AA15" i="735"/>
  <c r="Z15" i="735"/>
  <c r="Y15" i="735"/>
  <c r="X15" i="735"/>
  <c r="W15" i="735"/>
  <c r="V15" i="735"/>
  <c r="U15" i="735"/>
  <c r="T15" i="735"/>
  <c r="S15" i="735"/>
  <c r="AA14" i="735"/>
  <c r="Z14" i="735"/>
  <c r="Y14" i="735"/>
  <c r="X14" i="735"/>
  <c r="W14" i="735"/>
  <c r="V14" i="735"/>
  <c r="U14" i="735"/>
  <c r="T14" i="735"/>
  <c r="S14" i="735"/>
  <c r="AA13" i="735"/>
  <c r="Z13" i="735"/>
  <c r="Y13" i="735"/>
  <c r="X13" i="735"/>
  <c r="W13" i="735"/>
  <c r="V13" i="735"/>
  <c r="U13" i="735"/>
  <c r="T13" i="735"/>
  <c r="S13" i="735"/>
  <c r="AA12" i="735"/>
  <c r="Z12" i="735"/>
  <c r="Y12" i="735"/>
  <c r="X12" i="735"/>
  <c r="W12" i="735"/>
  <c r="V12" i="735"/>
  <c r="U12" i="735"/>
  <c r="T12" i="735"/>
  <c r="S12" i="735"/>
  <c r="AA11" i="735"/>
  <c r="Z11" i="735"/>
  <c r="Y11" i="735"/>
  <c r="X11" i="735"/>
  <c r="W11" i="735"/>
  <c r="V11" i="735"/>
  <c r="U11" i="735"/>
  <c r="T11" i="735"/>
  <c r="S11" i="735"/>
  <c r="AA10" i="735"/>
  <c r="Z10" i="735"/>
  <c r="Y10" i="735"/>
  <c r="X10" i="735"/>
  <c r="W10" i="735"/>
  <c r="V10" i="735"/>
  <c r="U10" i="735"/>
  <c r="T10" i="735"/>
  <c r="S10" i="735"/>
  <c r="C10" i="735"/>
  <c r="D10" i="735"/>
  <c r="E10" i="735"/>
  <c r="F10" i="735"/>
  <c r="G10" i="735"/>
  <c r="I10" i="735"/>
  <c r="J10" i="735"/>
  <c r="K10" i="735"/>
  <c r="L10" i="735"/>
  <c r="M10" i="735"/>
  <c r="N10" i="735"/>
  <c r="O10" i="735"/>
  <c r="P10" i="735"/>
  <c r="C11" i="735"/>
  <c r="D11" i="735"/>
  <c r="E11" i="735"/>
  <c r="F11" i="735"/>
  <c r="G11" i="735"/>
  <c r="I11" i="735"/>
  <c r="J11" i="735"/>
  <c r="K11" i="735"/>
  <c r="L11" i="735"/>
  <c r="M11" i="735"/>
  <c r="N11" i="735"/>
  <c r="O11" i="735"/>
  <c r="P11" i="735"/>
  <c r="C12" i="735"/>
  <c r="D12" i="735"/>
  <c r="E12" i="735"/>
  <c r="F12" i="735"/>
  <c r="G12" i="735"/>
  <c r="I12" i="735"/>
  <c r="J12" i="735"/>
  <c r="K12" i="735"/>
  <c r="L12" i="735"/>
  <c r="M12" i="735"/>
  <c r="N12" i="735"/>
  <c r="O12" i="735"/>
  <c r="P12" i="735"/>
  <c r="C13" i="735"/>
  <c r="D13" i="735"/>
  <c r="E13" i="735"/>
  <c r="F13" i="735"/>
  <c r="G13" i="735"/>
  <c r="I13" i="735"/>
  <c r="J13" i="735"/>
  <c r="K13" i="735"/>
  <c r="L13" i="735"/>
  <c r="M13" i="735"/>
  <c r="N13" i="735"/>
  <c r="O13" i="735"/>
  <c r="P13" i="735"/>
  <c r="C14" i="735"/>
  <c r="D14" i="735"/>
  <c r="E14" i="735"/>
  <c r="F14" i="735"/>
  <c r="G14" i="735"/>
  <c r="I14" i="735"/>
  <c r="J14" i="735"/>
  <c r="K14" i="735"/>
  <c r="L14" i="735"/>
  <c r="M14" i="735"/>
  <c r="N14" i="735"/>
  <c r="O14" i="735"/>
  <c r="P14" i="735"/>
  <c r="C15" i="735"/>
  <c r="D15" i="735"/>
  <c r="E15" i="735"/>
  <c r="F15" i="735"/>
  <c r="G15" i="735"/>
  <c r="I15" i="735"/>
  <c r="J15" i="735"/>
  <c r="K15" i="735"/>
  <c r="L15" i="735"/>
  <c r="M15" i="735"/>
  <c r="N15" i="735"/>
  <c r="O15" i="735"/>
  <c r="P15" i="735"/>
  <c r="C16" i="735"/>
  <c r="D16" i="735"/>
  <c r="E16" i="735"/>
  <c r="F16" i="735"/>
  <c r="G16" i="735"/>
  <c r="I16" i="735"/>
  <c r="J16" i="735"/>
  <c r="K16" i="735"/>
  <c r="L16" i="735"/>
  <c r="M16" i="735"/>
  <c r="N16" i="735"/>
  <c r="O16" i="735"/>
  <c r="P16" i="735"/>
  <c r="C17" i="735"/>
  <c r="D17" i="735"/>
  <c r="E17" i="735"/>
  <c r="F17" i="735"/>
  <c r="G17" i="735"/>
  <c r="I17" i="735"/>
  <c r="J17" i="735"/>
  <c r="K17" i="735"/>
  <c r="L17" i="735"/>
  <c r="M17" i="735"/>
  <c r="N17" i="735"/>
  <c r="O17" i="735"/>
  <c r="P17" i="735"/>
  <c r="C31" i="735" a="1"/>
  <c r="C31" i="735" s="1"/>
  <c r="F73" i="735"/>
  <c r="AX63" i="735"/>
  <c r="AW63" i="735"/>
  <c r="AV63" i="735"/>
  <c r="AU63" i="735"/>
  <c r="AT63" i="735"/>
  <c r="AS63" i="735"/>
  <c r="AR63" i="735"/>
  <c r="AQ63" i="735"/>
  <c r="AP63" i="735"/>
  <c r="AO63" i="735"/>
  <c r="AN63" i="735"/>
  <c r="AM63" i="735"/>
  <c r="AL63" i="735"/>
  <c r="AK63" i="735"/>
  <c r="AJ63" i="735"/>
  <c r="AI63" i="735"/>
  <c r="AH63" i="735"/>
  <c r="AG63" i="735"/>
  <c r="AF63" i="735"/>
  <c r="AE63" i="735"/>
  <c r="AD63" i="735"/>
  <c r="AC63" i="735"/>
  <c r="AB63" i="735"/>
  <c r="D53" i="735"/>
  <c r="M38" i="735"/>
  <c r="M37" i="735"/>
  <c r="L37" i="735"/>
  <c r="K37" i="735"/>
  <c r="M36" i="735"/>
  <c r="M34" i="735"/>
  <c r="L34" i="735"/>
  <c r="K34" i="735"/>
  <c r="M33" i="735"/>
  <c r="L33" i="735"/>
  <c r="K33" i="735"/>
  <c r="M32" i="735"/>
  <c r="L32" i="735"/>
  <c r="K32" i="735"/>
  <c r="K132" i="734"/>
  <c r="K141" i="734" s="1"/>
  <c r="G132" i="734"/>
  <c r="J31" i="735" l="1"/>
  <c r="Z60" i="735"/>
  <c r="K41" i="735"/>
  <c r="L41" i="735" s="1"/>
  <c r="M41" i="735" s="1"/>
  <c r="B132" i="734"/>
  <c r="B134" i="734"/>
  <c r="C103" i="734"/>
  <c r="C104" i="734"/>
  <c r="C105" i="734"/>
  <c r="C106" i="734"/>
  <c r="C115" i="734"/>
  <c r="C116" i="734"/>
  <c r="C117" i="734"/>
  <c r="C118" i="734"/>
  <c r="C119" i="734"/>
  <c r="C120" i="734"/>
  <c r="C121" i="734"/>
  <c r="C122" i="734"/>
  <c r="B103" i="734"/>
  <c r="B115" i="734"/>
  <c r="K132" i="733" l="1"/>
  <c r="K134" i="734"/>
  <c r="K140" i="734" s="1"/>
  <c r="M106" i="734"/>
  <c r="L106" i="734"/>
  <c r="K106" i="734"/>
  <c r="C11" i="734"/>
  <c r="D11" i="734"/>
  <c r="E11" i="734"/>
  <c r="F11" i="734"/>
  <c r="G11" i="734"/>
  <c r="I11" i="734"/>
  <c r="J11" i="734"/>
  <c r="K11" i="734"/>
  <c r="L11" i="734"/>
  <c r="M11" i="734"/>
  <c r="N11" i="734"/>
  <c r="O11" i="734"/>
  <c r="C12" i="734"/>
  <c r="D12" i="734"/>
  <c r="E12" i="734"/>
  <c r="F12" i="734"/>
  <c r="G12" i="734"/>
  <c r="I12" i="734"/>
  <c r="J12" i="734"/>
  <c r="K12" i="734"/>
  <c r="L12" i="734"/>
  <c r="M12" i="734"/>
  <c r="N12" i="734"/>
  <c r="O12" i="734"/>
  <c r="C13" i="734"/>
  <c r="D13" i="734"/>
  <c r="E13" i="734"/>
  <c r="F13" i="734"/>
  <c r="G13" i="734"/>
  <c r="I13" i="734"/>
  <c r="J13" i="734"/>
  <c r="K13" i="734"/>
  <c r="L13" i="734"/>
  <c r="M13" i="734"/>
  <c r="N13" i="734"/>
  <c r="O13" i="734"/>
  <c r="C14" i="734"/>
  <c r="D14" i="734"/>
  <c r="E14" i="734"/>
  <c r="F14" i="734"/>
  <c r="G14" i="734"/>
  <c r="I14" i="734"/>
  <c r="J14" i="734"/>
  <c r="K14" i="734"/>
  <c r="L14" i="734"/>
  <c r="M14" i="734"/>
  <c r="N14" i="734"/>
  <c r="O14" i="734"/>
  <c r="C15" i="734"/>
  <c r="D15" i="734"/>
  <c r="E15" i="734"/>
  <c r="F15" i="734"/>
  <c r="G15" i="734"/>
  <c r="I15" i="734"/>
  <c r="J15" i="734"/>
  <c r="K15" i="734"/>
  <c r="L15" i="734"/>
  <c r="M15" i="734"/>
  <c r="N15" i="734"/>
  <c r="O15" i="734"/>
  <c r="C16" i="734"/>
  <c r="D16" i="734"/>
  <c r="E16" i="734"/>
  <c r="F16" i="734"/>
  <c r="G16" i="734"/>
  <c r="I16" i="734"/>
  <c r="J16" i="734"/>
  <c r="K16" i="734"/>
  <c r="L16" i="734"/>
  <c r="M16" i="734"/>
  <c r="N16" i="734"/>
  <c r="O16" i="734"/>
  <c r="C17" i="734"/>
  <c r="D17" i="734"/>
  <c r="E17" i="734"/>
  <c r="F17" i="734"/>
  <c r="G17" i="734"/>
  <c r="I17" i="734"/>
  <c r="J17" i="734"/>
  <c r="K17" i="734"/>
  <c r="L17" i="734"/>
  <c r="M17" i="734"/>
  <c r="N17" i="734"/>
  <c r="O17" i="734"/>
  <c r="O10" i="734"/>
  <c r="N10" i="734"/>
  <c r="M10" i="734"/>
  <c r="L10" i="734"/>
  <c r="K10" i="734"/>
  <c r="J10" i="734"/>
  <c r="I10" i="734"/>
  <c r="G10" i="734"/>
  <c r="F10" i="734"/>
  <c r="E10" i="734"/>
  <c r="D10" i="734"/>
  <c r="C10" i="734"/>
  <c r="J106" i="734" l="1"/>
  <c r="L118" i="734"/>
  <c r="F145" i="734"/>
  <c r="AX135" i="734"/>
  <c r="AW135" i="734"/>
  <c r="AV135" i="734"/>
  <c r="AU135" i="734"/>
  <c r="AT135" i="734"/>
  <c r="AS135" i="734"/>
  <c r="AR135" i="734"/>
  <c r="AQ135" i="734"/>
  <c r="AP135" i="734"/>
  <c r="AO135" i="734"/>
  <c r="AN135" i="734"/>
  <c r="AM135" i="734"/>
  <c r="AL135" i="734"/>
  <c r="AK135" i="734"/>
  <c r="AJ135" i="734"/>
  <c r="AI135" i="734"/>
  <c r="AH135" i="734"/>
  <c r="AG135" i="734"/>
  <c r="AF135" i="734"/>
  <c r="AE135" i="734"/>
  <c r="AD135" i="734"/>
  <c r="AC135" i="734"/>
  <c r="AB135" i="734"/>
  <c r="AA135" i="734"/>
  <c r="Z135" i="734"/>
  <c r="Y135" i="734"/>
  <c r="X135" i="734"/>
  <c r="W135" i="734"/>
  <c r="V135" i="734"/>
  <c r="U135" i="734"/>
  <c r="T135" i="734"/>
  <c r="D125" i="734"/>
  <c r="M118" i="734"/>
  <c r="M110" i="734"/>
  <c r="M109" i="734"/>
  <c r="L109" i="734"/>
  <c r="K109" i="734"/>
  <c r="M108" i="734"/>
  <c r="M105" i="734"/>
  <c r="L105" i="734"/>
  <c r="K105" i="734"/>
  <c r="M104" i="734"/>
  <c r="L104" i="734"/>
  <c r="K104" i="734"/>
  <c r="M103" i="734"/>
  <c r="L103" i="734"/>
  <c r="K103" i="734"/>
  <c r="AA102" i="734"/>
  <c r="Z102" i="734"/>
  <c r="Y102" i="734"/>
  <c r="X102" i="734"/>
  <c r="W102" i="734"/>
  <c r="V102" i="734"/>
  <c r="U102" i="734"/>
  <c r="T102" i="734"/>
  <c r="S102" i="734"/>
  <c r="AA101" i="734"/>
  <c r="Z101" i="734"/>
  <c r="Y101" i="734"/>
  <c r="X101" i="734"/>
  <c r="W101" i="734"/>
  <c r="V101" i="734"/>
  <c r="U101" i="734"/>
  <c r="T101" i="734"/>
  <c r="S101" i="734"/>
  <c r="Z100" i="734"/>
  <c r="Y100" i="734"/>
  <c r="X100" i="734"/>
  <c r="W100" i="734"/>
  <c r="V100" i="734"/>
  <c r="U100" i="734"/>
  <c r="T100" i="734"/>
  <c r="S100" i="734"/>
  <c r="R100" i="734"/>
  <c r="Z99" i="734"/>
  <c r="Y99" i="734"/>
  <c r="X99" i="734"/>
  <c r="W99" i="734"/>
  <c r="V99" i="734"/>
  <c r="U99" i="734"/>
  <c r="T99" i="734"/>
  <c r="S99" i="734"/>
  <c r="R99" i="734"/>
  <c r="Z98" i="734"/>
  <c r="Y98" i="734"/>
  <c r="X98" i="734"/>
  <c r="W98" i="734"/>
  <c r="V98" i="734"/>
  <c r="U98" i="734"/>
  <c r="T98" i="734"/>
  <c r="S98" i="734"/>
  <c r="R98" i="734"/>
  <c r="Z97" i="734"/>
  <c r="Y97" i="734"/>
  <c r="X97" i="734"/>
  <c r="W97" i="734"/>
  <c r="V97" i="734"/>
  <c r="U97" i="734"/>
  <c r="T97" i="734"/>
  <c r="S97" i="734"/>
  <c r="R97" i="734"/>
  <c r="Z96" i="734"/>
  <c r="Y96" i="734"/>
  <c r="X96" i="734"/>
  <c r="W96" i="734"/>
  <c r="V96" i="734"/>
  <c r="U96" i="734"/>
  <c r="T96" i="734"/>
  <c r="S96" i="734"/>
  <c r="R96" i="734"/>
  <c r="Z95" i="734"/>
  <c r="Y95" i="734"/>
  <c r="X95" i="734"/>
  <c r="W95" i="734"/>
  <c r="V95" i="734"/>
  <c r="U95" i="734"/>
  <c r="T95" i="734"/>
  <c r="S95" i="734"/>
  <c r="R95" i="734"/>
  <c r="Z94" i="734"/>
  <c r="Y94" i="734"/>
  <c r="X94" i="734"/>
  <c r="W94" i="734"/>
  <c r="V94" i="734"/>
  <c r="U94" i="734"/>
  <c r="T94" i="734"/>
  <c r="S94" i="734"/>
  <c r="R94" i="734"/>
  <c r="Z93" i="734"/>
  <c r="Y93" i="734"/>
  <c r="X93" i="734"/>
  <c r="W93" i="734"/>
  <c r="V93" i="734"/>
  <c r="U93" i="734"/>
  <c r="T93" i="734"/>
  <c r="S93" i="734"/>
  <c r="R93" i="734"/>
  <c r="Z92" i="734"/>
  <c r="Y92" i="734"/>
  <c r="X92" i="734"/>
  <c r="W92" i="734"/>
  <c r="V92" i="734"/>
  <c r="U92" i="734"/>
  <c r="T92" i="734"/>
  <c r="S92" i="734"/>
  <c r="R92" i="734"/>
  <c r="Z91" i="734"/>
  <c r="Y91" i="734"/>
  <c r="X91" i="734"/>
  <c r="W91" i="734"/>
  <c r="V91" i="734"/>
  <c r="U91" i="734"/>
  <c r="T91" i="734"/>
  <c r="S91" i="734"/>
  <c r="R91" i="734"/>
  <c r="Z90" i="734"/>
  <c r="Y90" i="734"/>
  <c r="X90" i="734"/>
  <c r="W90" i="734"/>
  <c r="V90" i="734"/>
  <c r="U90" i="734"/>
  <c r="T90" i="734"/>
  <c r="S90" i="734"/>
  <c r="R90" i="734"/>
  <c r="Z89" i="734"/>
  <c r="Y89" i="734"/>
  <c r="X89" i="734"/>
  <c r="W89" i="734"/>
  <c r="V89" i="734"/>
  <c r="U89" i="734"/>
  <c r="T89" i="734"/>
  <c r="S89" i="734"/>
  <c r="R89" i="734"/>
  <c r="Z88" i="734"/>
  <c r="Y88" i="734"/>
  <c r="X88" i="734"/>
  <c r="W88" i="734"/>
  <c r="V88" i="734"/>
  <c r="U88" i="734"/>
  <c r="T88" i="734"/>
  <c r="S88" i="734"/>
  <c r="R88" i="734"/>
  <c r="Z87" i="734"/>
  <c r="Y87" i="734"/>
  <c r="X87" i="734"/>
  <c r="W87" i="734"/>
  <c r="V87" i="734"/>
  <c r="U87" i="734"/>
  <c r="T87" i="734"/>
  <c r="S87" i="734"/>
  <c r="R87" i="734"/>
  <c r="Z86" i="734"/>
  <c r="Y86" i="734"/>
  <c r="X86" i="734"/>
  <c r="W86" i="734"/>
  <c r="V86" i="734"/>
  <c r="U86" i="734"/>
  <c r="T86" i="734"/>
  <c r="S86" i="734"/>
  <c r="R86" i="734"/>
  <c r="Z85" i="734"/>
  <c r="Y85" i="734"/>
  <c r="X85" i="734"/>
  <c r="W85" i="734"/>
  <c r="V85" i="734"/>
  <c r="U85" i="734"/>
  <c r="T85" i="734"/>
  <c r="S85" i="734"/>
  <c r="R85" i="734"/>
  <c r="Z84" i="734"/>
  <c r="Y84" i="734"/>
  <c r="X84" i="734"/>
  <c r="W84" i="734"/>
  <c r="V84" i="734"/>
  <c r="U84" i="734"/>
  <c r="T84" i="734"/>
  <c r="S84" i="734"/>
  <c r="R84" i="734"/>
  <c r="Z83" i="734"/>
  <c r="Y83" i="734"/>
  <c r="X83" i="734"/>
  <c r="W83" i="734"/>
  <c r="V83" i="734"/>
  <c r="U83" i="734"/>
  <c r="T83" i="734"/>
  <c r="S83" i="734"/>
  <c r="R83" i="734"/>
  <c r="Z82" i="734"/>
  <c r="Y82" i="734"/>
  <c r="X82" i="734"/>
  <c r="W82" i="734"/>
  <c r="V82" i="734"/>
  <c r="U82" i="734"/>
  <c r="T82" i="734"/>
  <c r="S82" i="734"/>
  <c r="R82" i="734"/>
  <c r="Z81" i="734"/>
  <c r="Y81" i="734"/>
  <c r="X81" i="734"/>
  <c r="W81" i="734"/>
  <c r="V81" i="734"/>
  <c r="U81" i="734"/>
  <c r="T81" i="734"/>
  <c r="S81" i="734"/>
  <c r="R81" i="734"/>
  <c r="Z80" i="734"/>
  <c r="Y80" i="734"/>
  <c r="X80" i="734"/>
  <c r="W80" i="734"/>
  <c r="V80" i="734"/>
  <c r="U80" i="734"/>
  <c r="T80" i="734"/>
  <c r="S80" i="734"/>
  <c r="R80" i="734"/>
  <c r="Z79" i="734"/>
  <c r="Y79" i="734"/>
  <c r="X79" i="734"/>
  <c r="W79" i="734"/>
  <c r="V79" i="734"/>
  <c r="U79" i="734"/>
  <c r="T79" i="734"/>
  <c r="S79" i="734"/>
  <c r="R79" i="734"/>
  <c r="Z78" i="734"/>
  <c r="Y78" i="734"/>
  <c r="X78" i="734"/>
  <c r="W78" i="734"/>
  <c r="V78" i="734"/>
  <c r="U78" i="734"/>
  <c r="T78" i="734"/>
  <c r="S78" i="734"/>
  <c r="R78" i="734"/>
  <c r="Z77" i="734"/>
  <c r="Y77" i="734"/>
  <c r="X77" i="734"/>
  <c r="W77" i="734"/>
  <c r="V77" i="734"/>
  <c r="U77" i="734"/>
  <c r="T77" i="734"/>
  <c r="S77" i="734"/>
  <c r="R77" i="734"/>
  <c r="Z76" i="734"/>
  <c r="Y76" i="734"/>
  <c r="X76" i="734"/>
  <c r="W76" i="734"/>
  <c r="V76" i="734"/>
  <c r="U76" i="734"/>
  <c r="T76" i="734"/>
  <c r="S76" i="734"/>
  <c r="R76" i="734"/>
  <c r="Z75" i="734"/>
  <c r="Y75" i="734"/>
  <c r="X75" i="734"/>
  <c r="W75" i="734"/>
  <c r="V75" i="734"/>
  <c r="U75" i="734"/>
  <c r="T75" i="734"/>
  <c r="S75" i="734"/>
  <c r="R75" i="734"/>
  <c r="Z74" i="734"/>
  <c r="Y74" i="734"/>
  <c r="X74" i="734"/>
  <c r="W74" i="734"/>
  <c r="V74" i="734"/>
  <c r="U74" i="734"/>
  <c r="T74" i="734"/>
  <c r="S74" i="734"/>
  <c r="R74" i="734"/>
  <c r="Z73" i="734"/>
  <c r="Y73" i="734"/>
  <c r="X73" i="734"/>
  <c r="W73" i="734"/>
  <c r="V73" i="734"/>
  <c r="U73" i="734"/>
  <c r="T73" i="734"/>
  <c r="S73" i="734"/>
  <c r="R73" i="734"/>
  <c r="Z72" i="734"/>
  <c r="Y72" i="734"/>
  <c r="X72" i="734"/>
  <c r="W72" i="734"/>
  <c r="V72" i="734"/>
  <c r="U72" i="734"/>
  <c r="T72" i="734"/>
  <c r="S72" i="734"/>
  <c r="R72" i="734"/>
  <c r="Z71" i="734"/>
  <c r="Y71" i="734"/>
  <c r="X71" i="734"/>
  <c r="W71" i="734"/>
  <c r="V71" i="734"/>
  <c r="U71" i="734"/>
  <c r="T71" i="734"/>
  <c r="S71" i="734"/>
  <c r="R71" i="734"/>
  <c r="Z70" i="734"/>
  <c r="Y70" i="734"/>
  <c r="X70" i="734"/>
  <c r="W70" i="734"/>
  <c r="V70" i="734"/>
  <c r="U70" i="734"/>
  <c r="T70" i="734"/>
  <c r="S70" i="734"/>
  <c r="R70" i="734"/>
  <c r="Z69" i="734"/>
  <c r="Y69" i="734"/>
  <c r="X69" i="734"/>
  <c r="W69" i="734"/>
  <c r="V69" i="734"/>
  <c r="U69" i="734"/>
  <c r="T69" i="734"/>
  <c r="S69" i="734"/>
  <c r="R69" i="734"/>
  <c r="Z68" i="734"/>
  <c r="Y68" i="734"/>
  <c r="X68" i="734"/>
  <c r="W68" i="734"/>
  <c r="V68" i="734"/>
  <c r="U68" i="734"/>
  <c r="T68" i="734"/>
  <c r="S68" i="734"/>
  <c r="R68" i="734"/>
  <c r="Z67" i="734"/>
  <c r="Y67" i="734"/>
  <c r="X67" i="734"/>
  <c r="W67" i="734"/>
  <c r="V67" i="734"/>
  <c r="U67" i="734"/>
  <c r="T67" i="734"/>
  <c r="S67" i="734"/>
  <c r="R67" i="734"/>
  <c r="Z66" i="734"/>
  <c r="Y66" i="734"/>
  <c r="X66" i="734"/>
  <c r="W66" i="734"/>
  <c r="V66" i="734"/>
  <c r="U66" i="734"/>
  <c r="T66" i="734"/>
  <c r="S66" i="734"/>
  <c r="R66" i="734"/>
  <c r="Z65" i="734"/>
  <c r="Y65" i="734"/>
  <c r="X65" i="734"/>
  <c r="W65" i="734"/>
  <c r="V65" i="734"/>
  <c r="U65" i="734"/>
  <c r="T65" i="734"/>
  <c r="S65" i="734"/>
  <c r="R65" i="734"/>
  <c r="Z64" i="734"/>
  <c r="Y64" i="734"/>
  <c r="X64" i="734"/>
  <c r="W64" i="734"/>
  <c r="V64" i="734"/>
  <c r="U64" i="734"/>
  <c r="T64" i="734"/>
  <c r="S64" i="734"/>
  <c r="R64" i="734"/>
  <c r="Z63" i="734"/>
  <c r="Y63" i="734"/>
  <c r="X63" i="734"/>
  <c r="W63" i="734"/>
  <c r="V63" i="734"/>
  <c r="U63" i="734"/>
  <c r="T63" i="734"/>
  <c r="S63" i="734"/>
  <c r="R63" i="734"/>
  <c r="Z62" i="734"/>
  <c r="Y62" i="734"/>
  <c r="X62" i="734"/>
  <c r="W62" i="734"/>
  <c r="V62" i="734"/>
  <c r="U62" i="734"/>
  <c r="T62" i="734"/>
  <c r="S62" i="734"/>
  <c r="R62" i="734"/>
  <c r="Z61" i="734"/>
  <c r="Y61" i="734"/>
  <c r="X61" i="734"/>
  <c r="W61" i="734"/>
  <c r="V61" i="734"/>
  <c r="U61" i="734"/>
  <c r="T61" i="734"/>
  <c r="S61" i="734"/>
  <c r="R61" i="734"/>
  <c r="Z60" i="734"/>
  <c r="Y60" i="734"/>
  <c r="X60" i="734"/>
  <c r="W60" i="734"/>
  <c r="V60" i="734"/>
  <c r="U60" i="734"/>
  <c r="T60" i="734"/>
  <c r="S60" i="734"/>
  <c r="R60" i="734"/>
  <c r="Z59" i="734"/>
  <c r="Y59" i="734"/>
  <c r="X59" i="734"/>
  <c r="W59" i="734"/>
  <c r="V59" i="734"/>
  <c r="U59" i="734"/>
  <c r="T59" i="734"/>
  <c r="S59" i="734"/>
  <c r="R59" i="734"/>
  <c r="Z58" i="734"/>
  <c r="Y58" i="734"/>
  <c r="X58" i="734"/>
  <c r="W58" i="734"/>
  <c r="V58" i="734"/>
  <c r="U58" i="734"/>
  <c r="T58" i="734"/>
  <c r="S58" i="734"/>
  <c r="R58" i="734"/>
  <c r="Z57" i="734"/>
  <c r="Y57" i="734"/>
  <c r="X57" i="734"/>
  <c r="W57" i="734"/>
  <c r="V57" i="734"/>
  <c r="U57" i="734"/>
  <c r="T57" i="734"/>
  <c r="S57" i="734"/>
  <c r="R57" i="734"/>
  <c r="Z56" i="734"/>
  <c r="Y56" i="734"/>
  <c r="X56" i="734"/>
  <c r="W56" i="734"/>
  <c r="V56" i="734"/>
  <c r="U56" i="734"/>
  <c r="T56" i="734"/>
  <c r="S56" i="734"/>
  <c r="R56" i="734"/>
  <c r="Z55" i="734"/>
  <c r="Y55" i="734"/>
  <c r="X55" i="734"/>
  <c r="W55" i="734"/>
  <c r="V55" i="734"/>
  <c r="U55" i="734"/>
  <c r="T55" i="734"/>
  <c r="S55" i="734"/>
  <c r="R55" i="734"/>
  <c r="Z54" i="734"/>
  <c r="Y54" i="734"/>
  <c r="X54" i="734"/>
  <c r="W54" i="734"/>
  <c r="V54" i="734"/>
  <c r="U54" i="734"/>
  <c r="T54" i="734"/>
  <c r="S54" i="734"/>
  <c r="R54" i="734"/>
  <c r="Z53" i="734"/>
  <c r="Y53" i="734"/>
  <c r="X53" i="734"/>
  <c r="W53" i="734"/>
  <c r="V53" i="734"/>
  <c r="U53" i="734"/>
  <c r="T53" i="734"/>
  <c r="S53" i="734"/>
  <c r="R53" i="734"/>
  <c r="Z52" i="734"/>
  <c r="Y52" i="734"/>
  <c r="X52" i="734"/>
  <c r="W52" i="734"/>
  <c r="V52" i="734"/>
  <c r="U52" i="734"/>
  <c r="T52" i="734"/>
  <c r="S52" i="734"/>
  <c r="R52" i="734"/>
  <c r="Z51" i="734"/>
  <c r="Y51" i="734"/>
  <c r="X51" i="734"/>
  <c r="W51" i="734"/>
  <c r="V51" i="734"/>
  <c r="U51" i="734"/>
  <c r="T51" i="734"/>
  <c r="S51" i="734"/>
  <c r="R51" i="734"/>
  <c r="Z50" i="734"/>
  <c r="Y50" i="734"/>
  <c r="X50" i="734"/>
  <c r="W50" i="734"/>
  <c r="V50" i="734"/>
  <c r="U50" i="734"/>
  <c r="T50" i="734"/>
  <c r="S50" i="734"/>
  <c r="R50" i="734"/>
  <c r="Z49" i="734"/>
  <c r="Y49" i="734"/>
  <c r="X49" i="734"/>
  <c r="W49" i="734"/>
  <c r="V49" i="734"/>
  <c r="U49" i="734"/>
  <c r="T49" i="734"/>
  <c r="S49" i="734"/>
  <c r="R49" i="734"/>
  <c r="Z48" i="734"/>
  <c r="Y48" i="734"/>
  <c r="X48" i="734"/>
  <c r="W48" i="734"/>
  <c r="V48" i="734"/>
  <c r="U48" i="734"/>
  <c r="T48" i="734"/>
  <c r="S48" i="734"/>
  <c r="R48" i="734"/>
  <c r="Z47" i="734"/>
  <c r="Y47" i="734"/>
  <c r="X47" i="734"/>
  <c r="W47" i="734"/>
  <c r="V47" i="734"/>
  <c r="U47" i="734"/>
  <c r="T47" i="734"/>
  <c r="S47" i="734"/>
  <c r="R47" i="734"/>
  <c r="Z46" i="734"/>
  <c r="Y46" i="734"/>
  <c r="X46" i="734"/>
  <c r="W46" i="734"/>
  <c r="V46" i="734"/>
  <c r="U46" i="734"/>
  <c r="T46" i="734"/>
  <c r="S46" i="734"/>
  <c r="R46" i="734"/>
  <c r="Z45" i="734"/>
  <c r="Y45" i="734"/>
  <c r="X45" i="734"/>
  <c r="W45" i="734"/>
  <c r="V45" i="734"/>
  <c r="U45" i="734"/>
  <c r="T45" i="734"/>
  <c r="S45" i="734"/>
  <c r="R45" i="734"/>
  <c r="Z44" i="734"/>
  <c r="Y44" i="734"/>
  <c r="X44" i="734"/>
  <c r="W44" i="734"/>
  <c r="V44" i="734"/>
  <c r="U44" i="734"/>
  <c r="T44" i="734"/>
  <c r="S44" i="734"/>
  <c r="R44" i="734"/>
  <c r="Z43" i="734"/>
  <c r="Y43" i="734"/>
  <c r="X43" i="734"/>
  <c r="W43" i="734"/>
  <c r="V43" i="734"/>
  <c r="U43" i="734"/>
  <c r="T43" i="734"/>
  <c r="S43" i="734"/>
  <c r="R43" i="734"/>
  <c r="Z42" i="734"/>
  <c r="Y42" i="734"/>
  <c r="X42" i="734"/>
  <c r="W42" i="734"/>
  <c r="V42" i="734"/>
  <c r="U42" i="734"/>
  <c r="T42" i="734"/>
  <c r="S42" i="734"/>
  <c r="R42" i="734"/>
  <c r="Z41" i="734"/>
  <c r="Y41" i="734"/>
  <c r="X41" i="734"/>
  <c r="W41" i="734"/>
  <c r="V41" i="734"/>
  <c r="U41" i="734"/>
  <c r="T41" i="734"/>
  <c r="S41" i="734"/>
  <c r="R41" i="734"/>
  <c r="Z40" i="734"/>
  <c r="Y40" i="734"/>
  <c r="X40" i="734"/>
  <c r="W40" i="734"/>
  <c r="V40" i="734"/>
  <c r="U40" i="734"/>
  <c r="T40" i="734"/>
  <c r="S40" i="734"/>
  <c r="R40" i="734"/>
  <c r="Z39" i="734"/>
  <c r="Y39" i="734"/>
  <c r="X39" i="734"/>
  <c r="W39" i="734"/>
  <c r="V39" i="734"/>
  <c r="U39" i="734"/>
  <c r="T39" i="734"/>
  <c r="S39" i="734"/>
  <c r="R39" i="734"/>
  <c r="Z38" i="734"/>
  <c r="Y38" i="734"/>
  <c r="X38" i="734"/>
  <c r="W38" i="734"/>
  <c r="V38" i="734"/>
  <c r="U38" i="734"/>
  <c r="T38" i="734"/>
  <c r="S38" i="734"/>
  <c r="R38" i="734"/>
  <c r="Z37" i="734"/>
  <c r="Y37" i="734"/>
  <c r="X37" i="734"/>
  <c r="W37" i="734"/>
  <c r="V37" i="734"/>
  <c r="U37" i="734"/>
  <c r="T37" i="734"/>
  <c r="S37" i="734"/>
  <c r="R37" i="734"/>
  <c r="Z36" i="734"/>
  <c r="Y36" i="734"/>
  <c r="X36" i="734"/>
  <c r="W36" i="734"/>
  <c r="V36" i="734"/>
  <c r="U36" i="734"/>
  <c r="T36" i="734"/>
  <c r="S36" i="734"/>
  <c r="R36" i="734"/>
  <c r="Z35" i="734"/>
  <c r="Y35" i="734"/>
  <c r="X35" i="734"/>
  <c r="W35" i="734"/>
  <c r="V35" i="734"/>
  <c r="U35" i="734"/>
  <c r="T35" i="734"/>
  <c r="S35" i="734"/>
  <c r="R35" i="734"/>
  <c r="Z34" i="734"/>
  <c r="Y34" i="734"/>
  <c r="X34" i="734"/>
  <c r="W34" i="734"/>
  <c r="V34" i="734"/>
  <c r="U34" i="734"/>
  <c r="T34" i="734"/>
  <c r="S34" i="734"/>
  <c r="R34" i="734"/>
  <c r="Z33" i="734"/>
  <c r="Y33" i="734"/>
  <c r="X33" i="734"/>
  <c r="W33" i="734"/>
  <c r="V33" i="734"/>
  <c r="U33" i="734"/>
  <c r="T33" i="734"/>
  <c r="S33" i="734"/>
  <c r="R33" i="734"/>
  <c r="Z32" i="734"/>
  <c r="Y32" i="734"/>
  <c r="X32" i="734"/>
  <c r="W32" i="734"/>
  <c r="V32" i="734"/>
  <c r="U32" i="734"/>
  <c r="T32" i="734"/>
  <c r="S32" i="734"/>
  <c r="R32" i="734"/>
  <c r="Z31" i="734"/>
  <c r="Y31" i="734"/>
  <c r="X31" i="734"/>
  <c r="W31" i="734"/>
  <c r="V31" i="734"/>
  <c r="U31" i="734"/>
  <c r="T31" i="734"/>
  <c r="S31" i="734"/>
  <c r="R31" i="734"/>
  <c r="Z30" i="734"/>
  <c r="Y30" i="734"/>
  <c r="X30" i="734"/>
  <c r="W30" i="734"/>
  <c r="V30" i="734"/>
  <c r="U30" i="734"/>
  <c r="T30" i="734"/>
  <c r="S30" i="734"/>
  <c r="R30" i="734"/>
  <c r="Z29" i="734"/>
  <c r="Y29" i="734"/>
  <c r="X29" i="734"/>
  <c r="W29" i="734"/>
  <c r="V29" i="734"/>
  <c r="U29" i="734"/>
  <c r="T29" i="734"/>
  <c r="S29" i="734"/>
  <c r="R29" i="734"/>
  <c r="Z28" i="734"/>
  <c r="Y28" i="734"/>
  <c r="X28" i="734"/>
  <c r="W28" i="734"/>
  <c r="V28" i="734"/>
  <c r="U28" i="734"/>
  <c r="T28" i="734"/>
  <c r="S28" i="734"/>
  <c r="R28" i="734"/>
  <c r="Z27" i="734"/>
  <c r="Y27" i="734"/>
  <c r="X27" i="734"/>
  <c r="W27" i="734"/>
  <c r="V27" i="734"/>
  <c r="U27" i="734"/>
  <c r="T27" i="734"/>
  <c r="S27" i="734"/>
  <c r="R27" i="734"/>
  <c r="Z26" i="734"/>
  <c r="Y26" i="734"/>
  <c r="X26" i="734"/>
  <c r="W26" i="734"/>
  <c r="V26" i="734"/>
  <c r="U26" i="734"/>
  <c r="T26" i="734"/>
  <c r="S26" i="734"/>
  <c r="R26" i="734"/>
  <c r="Z25" i="734"/>
  <c r="Y25" i="734"/>
  <c r="X25" i="734"/>
  <c r="W25" i="734"/>
  <c r="V25" i="734"/>
  <c r="U25" i="734"/>
  <c r="T25" i="734"/>
  <c r="S25" i="734"/>
  <c r="R25" i="734"/>
  <c r="Z24" i="734"/>
  <c r="Y24" i="734"/>
  <c r="X24" i="734"/>
  <c r="W24" i="734"/>
  <c r="V24" i="734"/>
  <c r="U24" i="734"/>
  <c r="T24" i="734"/>
  <c r="S24" i="734"/>
  <c r="R24" i="734"/>
  <c r="Z23" i="734"/>
  <c r="Y23" i="734"/>
  <c r="X23" i="734"/>
  <c r="W23" i="734"/>
  <c r="V23" i="734"/>
  <c r="U23" i="734"/>
  <c r="T23" i="734"/>
  <c r="S23" i="734"/>
  <c r="R23" i="734"/>
  <c r="Z22" i="734"/>
  <c r="Y22" i="734"/>
  <c r="X22" i="734"/>
  <c r="W22" i="734"/>
  <c r="V22" i="734"/>
  <c r="U22" i="734"/>
  <c r="T22" i="734"/>
  <c r="S22" i="734"/>
  <c r="R22" i="734"/>
  <c r="Z21" i="734"/>
  <c r="Y21" i="734"/>
  <c r="X21" i="734"/>
  <c r="W21" i="734"/>
  <c r="V21" i="734"/>
  <c r="U21" i="734"/>
  <c r="T21" i="734"/>
  <c r="S21" i="734"/>
  <c r="R21" i="734"/>
  <c r="Z20" i="734"/>
  <c r="Y20" i="734"/>
  <c r="X20" i="734"/>
  <c r="W20" i="734"/>
  <c r="V20" i="734"/>
  <c r="U20" i="734"/>
  <c r="T20" i="734"/>
  <c r="S20" i="734"/>
  <c r="R20" i="734"/>
  <c r="Z19" i="734"/>
  <c r="Y19" i="734"/>
  <c r="X19" i="734"/>
  <c r="W19" i="734"/>
  <c r="V19" i="734"/>
  <c r="U19" i="734"/>
  <c r="T19" i="734"/>
  <c r="S19" i="734"/>
  <c r="R19" i="734"/>
  <c r="Z18" i="734"/>
  <c r="Y18" i="734"/>
  <c r="X18" i="734"/>
  <c r="W18" i="734"/>
  <c r="V18" i="734"/>
  <c r="U18" i="734"/>
  <c r="T18" i="734"/>
  <c r="S18" i="734"/>
  <c r="R18" i="734"/>
  <c r="Z17" i="734"/>
  <c r="Y17" i="734"/>
  <c r="X17" i="734"/>
  <c r="W17" i="734"/>
  <c r="V17" i="734"/>
  <c r="U17" i="734"/>
  <c r="T17" i="734"/>
  <c r="S17" i="734"/>
  <c r="R17" i="734"/>
  <c r="Z16" i="734"/>
  <c r="Y16" i="734"/>
  <c r="X16" i="734"/>
  <c r="W16" i="734"/>
  <c r="V16" i="734"/>
  <c r="U16" i="734"/>
  <c r="T16" i="734"/>
  <c r="S16" i="734"/>
  <c r="R16" i="734"/>
  <c r="Z15" i="734"/>
  <c r="Y15" i="734"/>
  <c r="X15" i="734"/>
  <c r="W15" i="734"/>
  <c r="V15" i="734"/>
  <c r="U15" i="734"/>
  <c r="T15" i="734"/>
  <c r="S15" i="734"/>
  <c r="R15" i="734"/>
  <c r="Z14" i="734"/>
  <c r="Y14" i="734"/>
  <c r="X14" i="734"/>
  <c r="W14" i="734"/>
  <c r="V14" i="734"/>
  <c r="U14" i="734"/>
  <c r="T14" i="734"/>
  <c r="S14" i="734"/>
  <c r="R14" i="734"/>
  <c r="Z13" i="734"/>
  <c r="Y13" i="734"/>
  <c r="X13" i="734"/>
  <c r="W13" i="734"/>
  <c r="V13" i="734"/>
  <c r="U13" i="734"/>
  <c r="T13" i="734"/>
  <c r="S13" i="734"/>
  <c r="R13" i="734"/>
  <c r="Z12" i="734"/>
  <c r="Y12" i="734"/>
  <c r="X12" i="734"/>
  <c r="W12" i="734"/>
  <c r="V12" i="734"/>
  <c r="U12" i="734"/>
  <c r="T12" i="734"/>
  <c r="S12" i="734"/>
  <c r="R12" i="734"/>
  <c r="Z11" i="734"/>
  <c r="Y11" i="734"/>
  <c r="X11" i="734"/>
  <c r="W11" i="734"/>
  <c r="V11" i="734"/>
  <c r="U11" i="734"/>
  <c r="T11" i="734"/>
  <c r="S11" i="734"/>
  <c r="R11" i="734"/>
  <c r="Z10" i="734"/>
  <c r="Y10" i="734"/>
  <c r="X10" i="734"/>
  <c r="W10" i="734"/>
  <c r="V10" i="734"/>
  <c r="U10" i="734"/>
  <c r="T10" i="734"/>
  <c r="S10" i="734"/>
  <c r="R10" i="734"/>
  <c r="C107" i="733"/>
  <c r="C108" i="733"/>
  <c r="C103" i="733"/>
  <c r="C104" i="733"/>
  <c r="C105" i="733"/>
  <c r="C106" i="733"/>
  <c r="B103" i="733"/>
  <c r="K140" i="733"/>
  <c r="K103" i="733"/>
  <c r="S24" i="733"/>
  <c r="T24" i="733"/>
  <c r="U24" i="733"/>
  <c r="V24" i="733"/>
  <c r="W24" i="733"/>
  <c r="X24" i="733"/>
  <c r="Y24" i="733"/>
  <c r="Z24" i="733"/>
  <c r="AA24" i="733"/>
  <c r="L118" i="733"/>
  <c r="I117" i="733"/>
  <c r="K117" i="733"/>
  <c r="J118" i="733"/>
  <c r="C24" i="733"/>
  <c r="D24" i="733"/>
  <c r="E24" i="733"/>
  <c r="F24" i="733"/>
  <c r="G24" i="733"/>
  <c r="I24" i="733"/>
  <c r="J24" i="733"/>
  <c r="K24" i="733"/>
  <c r="M24" i="733"/>
  <c r="N24" i="733"/>
  <c r="O24" i="733"/>
  <c r="P24" i="733"/>
  <c r="I127" i="733"/>
  <c r="J127" i="733"/>
  <c r="M104" i="733"/>
  <c r="L104" i="733"/>
  <c r="K104" i="733"/>
  <c r="M40" i="733"/>
  <c r="M39" i="733"/>
  <c r="M38" i="733"/>
  <c r="S19" i="733"/>
  <c r="T19" i="733"/>
  <c r="U19" i="733"/>
  <c r="V19" i="733"/>
  <c r="W19" i="733"/>
  <c r="X19" i="733"/>
  <c r="Y19" i="733"/>
  <c r="Z19" i="733"/>
  <c r="AA19" i="733"/>
  <c r="S20" i="733"/>
  <c r="T20" i="733"/>
  <c r="U20" i="733"/>
  <c r="V20" i="733"/>
  <c r="W20" i="733"/>
  <c r="X20" i="733"/>
  <c r="Y20" i="733"/>
  <c r="Z20" i="733"/>
  <c r="AA20" i="733"/>
  <c r="S21" i="733"/>
  <c r="T21" i="733"/>
  <c r="U21" i="733"/>
  <c r="V21" i="733"/>
  <c r="W21" i="733"/>
  <c r="X21" i="733"/>
  <c r="Y21" i="733"/>
  <c r="Z21" i="733"/>
  <c r="AA21" i="733"/>
  <c r="S22" i="733"/>
  <c r="T22" i="733"/>
  <c r="U22" i="733"/>
  <c r="V22" i="733"/>
  <c r="W22" i="733"/>
  <c r="X22" i="733"/>
  <c r="Y22" i="733"/>
  <c r="Z22" i="733"/>
  <c r="AA22" i="733"/>
  <c r="S23" i="733"/>
  <c r="T23" i="733"/>
  <c r="U23" i="733"/>
  <c r="V23" i="733"/>
  <c r="W23" i="733"/>
  <c r="X23" i="733"/>
  <c r="Y23" i="733"/>
  <c r="Z23" i="733"/>
  <c r="AA23" i="733"/>
  <c r="S25" i="733"/>
  <c r="T25" i="733"/>
  <c r="U25" i="733"/>
  <c r="V25" i="733"/>
  <c r="W25" i="733"/>
  <c r="X25" i="733"/>
  <c r="Y25" i="733"/>
  <c r="Z25" i="733"/>
  <c r="AA25" i="733"/>
  <c r="S26" i="733"/>
  <c r="T26" i="733"/>
  <c r="U26" i="733"/>
  <c r="V26" i="733"/>
  <c r="W26" i="733"/>
  <c r="X26" i="733"/>
  <c r="Y26" i="733"/>
  <c r="Z26" i="733"/>
  <c r="AA26" i="733"/>
  <c r="S27" i="733"/>
  <c r="T27" i="733"/>
  <c r="U27" i="733"/>
  <c r="V27" i="733"/>
  <c r="W27" i="733"/>
  <c r="X27" i="733"/>
  <c r="Y27" i="733"/>
  <c r="Z27" i="733"/>
  <c r="AA27" i="733"/>
  <c r="S28" i="733"/>
  <c r="T28" i="733"/>
  <c r="U28" i="733"/>
  <c r="V28" i="733"/>
  <c r="W28" i="733"/>
  <c r="X28" i="733"/>
  <c r="Y28" i="733"/>
  <c r="Z28" i="733"/>
  <c r="AA28" i="733"/>
  <c r="S29" i="733"/>
  <c r="T29" i="733"/>
  <c r="U29" i="733"/>
  <c r="V29" i="733"/>
  <c r="W29" i="733"/>
  <c r="X29" i="733"/>
  <c r="Y29" i="733"/>
  <c r="Z29" i="733"/>
  <c r="AA29" i="733"/>
  <c r="S30" i="733"/>
  <c r="T30" i="733"/>
  <c r="U30" i="733"/>
  <c r="V30" i="733"/>
  <c r="W30" i="733"/>
  <c r="X30" i="733"/>
  <c r="Y30" i="733"/>
  <c r="Z30" i="733"/>
  <c r="AA30" i="733"/>
  <c r="S31" i="733"/>
  <c r="T31" i="733"/>
  <c r="U31" i="733"/>
  <c r="V31" i="733"/>
  <c r="W31" i="733"/>
  <c r="X31" i="733"/>
  <c r="Y31" i="733"/>
  <c r="Z31" i="733"/>
  <c r="AA31" i="733"/>
  <c r="S32" i="733"/>
  <c r="T32" i="733"/>
  <c r="U32" i="733"/>
  <c r="V32" i="733"/>
  <c r="W32" i="733"/>
  <c r="X32" i="733"/>
  <c r="Y32" i="733"/>
  <c r="Z32" i="733"/>
  <c r="AA32" i="733"/>
  <c r="S33" i="733"/>
  <c r="T33" i="733"/>
  <c r="U33" i="733"/>
  <c r="V33" i="733"/>
  <c r="W33" i="733"/>
  <c r="X33" i="733"/>
  <c r="Y33" i="733"/>
  <c r="Z33" i="733"/>
  <c r="AA33" i="733"/>
  <c r="S34" i="733"/>
  <c r="T34" i="733"/>
  <c r="U34" i="733"/>
  <c r="V34" i="733"/>
  <c r="W34" i="733"/>
  <c r="X34" i="733"/>
  <c r="Y34" i="733"/>
  <c r="Z34" i="733"/>
  <c r="AA34" i="733"/>
  <c r="S35" i="733"/>
  <c r="T35" i="733"/>
  <c r="U35" i="733"/>
  <c r="V35" i="733"/>
  <c r="W35" i="733"/>
  <c r="X35" i="733"/>
  <c r="Y35" i="733"/>
  <c r="Z35" i="733"/>
  <c r="AA35" i="733"/>
  <c r="S36" i="733"/>
  <c r="T36" i="733"/>
  <c r="U36" i="733"/>
  <c r="V36" i="733"/>
  <c r="W36" i="733"/>
  <c r="X36" i="733"/>
  <c r="Y36" i="733"/>
  <c r="Z36" i="733"/>
  <c r="AA36" i="733"/>
  <c r="S37" i="733"/>
  <c r="T37" i="733"/>
  <c r="U37" i="733"/>
  <c r="V37" i="733"/>
  <c r="W37" i="733"/>
  <c r="X37" i="733"/>
  <c r="Y37" i="733"/>
  <c r="Z37" i="733"/>
  <c r="AA37" i="733"/>
  <c r="S38" i="733"/>
  <c r="T38" i="733"/>
  <c r="U38" i="733"/>
  <c r="V38" i="733"/>
  <c r="W38" i="733"/>
  <c r="X38" i="733"/>
  <c r="Y38" i="733"/>
  <c r="Z38" i="733"/>
  <c r="AA38" i="733"/>
  <c r="S39" i="733"/>
  <c r="T39" i="733"/>
  <c r="U39" i="733"/>
  <c r="V39" i="733"/>
  <c r="W39" i="733"/>
  <c r="X39" i="733"/>
  <c r="Y39" i="733"/>
  <c r="Z39" i="733"/>
  <c r="AA39" i="733"/>
  <c r="S40" i="733"/>
  <c r="T40" i="733"/>
  <c r="U40" i="733"/>
  <c r="V40" i="733"/>
  <c r="W40" i="733"/>
  <c r="X40" i="733"/>
  <c r="Y40" i="733"/>
  <c r="Z40" i="733"/>
  <c r="AA40" i="733"/>
  <c r="S41" i="733"/>
  <c r="T41" i="733"/>
  <c r="U41" i="733"/>
  <c r="V41" i="733"/>
  <c r="W41" i="733"/>
  <c r="X41" i="733"/>
  <c r="Y41" i="733"/>
  <c r="Z41" i="733"/>
  <c r="AA41" i="733"/>
  <c r="S42" i="733"/>
  <c r="T42" i="733"/>
  <c r="U42" i="733"/>
  <c r="V42" i="733"/>
  <c r="W42" i="733"/>
  <c r="X42" i="733"/>
  <c r="Y42" i="733"/>
  <c r="Z42" i="733"/>
  <c r="AA42" i="733"/>
  <c r="S43" i="733"/>
  <c r="T43" i="733"/>
  <c r="U43" i="733"/>
  <c r="V43" i="733"/>
  <c r="W43" i="733"/>
  <c r="X43" i="733"/>
  <c r="Y43" i="733"/>
  <c r="Z43" i="733"/>
  <c r="AA43" i="733"/>
  <c r="S44" i="733"/>
  <c r="T44" i="733"/>
  <c r="U44" i="733"/>
  <c r="V44" i="733"/>
  <c r="W44" i="733"/>
  <c r="X44" i="733"/>
  <c r="Y44" i="733"/>
  <c r="Z44" i="733"/>
  <c r="AA44" i="733"/>
  <c r="S45" i="733"/>
  <c r="T45" i="733"/>
  <c r="U45" i="733"/>
  <c r="V45" i="733"/>
  <c r="W45" i="733"/>
  <c r="X45" i="733"/>
  <c r="Y45" i="733"/>
  <c r="Z45" i="733"/>
  <c r="AA45" i="733"/>
  <c r="S46" i="733"/>
  <c r="T46" i="733"/>
  <c r="U46" i="733"/>
  <c r="V46" i="733"/>
  <c r="W46" i="733"/>
  <c r="X46" i="733"/>
  <c r="Y46" i="733"/>
  <c r="Z46" i="733"/>
  <c r="AA46" i="733"/>
  <c r="S47" i="733"/>
  <c r="T47" i="733"/>
  <c r="U47" i="733"/>
  <c r="V47" i="733"/>
  <c r="W47" i="733"/>
  <c r="X47" i="733"/>
  <c r="Y47" i="733"/>
  <c r="Z47" i="733"/>
  <c r="AA47" i="733"/>
  <c r="S48" i="733"/>
  <c r="T48" i="733"/>
  <c r="U48" i="733"/>
  <c r="V48" i="733"/>
  <c r="W48" i="733"/>
  <c r="X48" i="733"/>
  <c r="Y48" i="733"/>
  <c r="Z48" i="733"/>
  <c r="AA48" i="733"/>
  <c r="S49" i="733"/>
  <c r="T49" i="733"/>
  <c r="U49" i="733"/>
  <c r="V49" i="733"/>
  <c r="W49" i="733"/>
  <c r="X49" i="733"/>
  <c r="Y49" i="733"/>
  <c r="Z49" i="733"/>
  <c r="AA49" i="733"/>
  <c r="S50" i="733"/>
  <c r="T50" i="733"/>
  <c r="U50" i="733"/>
  <c r="V50" i="733"/>
  <c r="W50" i="733"/>
  <c r="X50" i="733"/>
  <c r="Y50" i="733"/>
  <c r="Z50" i="733"/>
  <c r="AA50" i="733"/>
  <c r="S51" i="733"/>
  <c r="T51" i="733"/>
  <c r="U51" i="733"/>
  <c r="V51" i="733"/>
  <c r="W51" i="733"/>
  <c r="X51" i="733"/>
  <c r="Y51" i="733"/>
  <c r="Z51" i="733"/>
  <c r="AA51" i="733"/>
  <c r="S52" i="733"/>
  <c r="T52" i="733"/>
  <c r="U52" i="733"/>
  <c r="V52" i="733"/>
  <c r="W52" i="733"/>
  <c r="X52" i="733"/>
  <c r="Y52" i="733"/>
  <c r="Z52" i="733"/>
  <c r="AA52" i="733"/>
  <c r="S53" i="733"/>
  <c r="T53" i="733"/>
  <c r="U53" i="733"/>
  <c r="V53" i="733"/>
  <c r="W53" i="733"/>
  <c r="X53" i="733"/>
  <c r="Y53" i="733"/>
  <c r="Z53" i="733"/>
  <c r="AA53" i="733"/>
  <c r="S54" i="733"/>
  <c r="T54" i="733"/>
  <c r="U54" i="733"/>
  <c r="V54" i="733"/>
  <c r="W54" i="733"/>
  <c r="X54" i="733"/>
  <c r="Y54" i="733"/>
  <c r="Z54" i="733"/>
  <c r="AA54" i="733"/>
  <c r="S55" i="733"/>
  <c r="T55" i="733"/>
  <c r="U55" i="733"/>
  <c r="V55" i="733"/>
  <c r="W55" i="733"/>
  <c r="X55" i="733"/>
  <c r="Y55" i="733"/>
  <c r="Z55" i="733"/>
  <c r="AA55" i="733"/>
  <c r="S56" i="733"/>
  <c r="T56" i="733"/>
  <c r="U56" i="733"/>
  <c r="V56" i="733"/>
  <c r="W56" i="733"/>
  <c r="X56" i="733"/>
  <c r="Y56" i="733"/>
  <c r="Z56" i="733"/>
  <c r="AA56" i="733"/>
  <c r="S57" i="733"/>
  <c r="T57" i="733"/>
  <c r="U57" i="733"/>
  <c r="V57" i="733"/>
  <c r="W57" i="733"/>
  <c r="X57" i="733"/>
  <c r="Y57" i="733"/>
  <c r="Z57" i="733"/>
  <c r="AA57" i="733"/>
  <c r="S58" i="733"/>
  <c r="T58" i="733"/>
  <c r="U58" i="733"/>
  <c r="V58" i="733"/>
  <c r="W58" i="733"/>
  <c r="X58" i="733"/>
  <c r="Y58" i="733"/>
  <c r="Z58" i="733"/>
  <c r="AA58" i="733"/>
  <c r="S59" i="733"/>
  <c r="T59" i="733"/>
  <c r="U59" i="733"/>
  <c r="V59" i="733"/>
  <c r="W59" i="733"/>
  <c r="X59" i="733"/>
  <c r="Y59" i="733"/>
  <c r="Z59" i="733"/>
  <c r="AA59" i="733"/>
  <c r="S60" i="733"/>
  <c r="T60" i="733"/>
  <c r="U60" i="733"/>
  <c r="V60" i="733"/>
  <c r="W60" i="733"/>
  <c r="X60" i="733"/>
  <c r="Y60" i="733"/>
  <c r="Z60" i="733"/>
  <c r="AA60" i="733"/>
  <c r="S61" i="733"/>
  <c r="T61" i="733"/>
  <c r="U61" i="733"/>
  <c r="V61" i="733"/>
  <c r="W61" i="733"/>
  <c r="X61" i="733"/>
  <c r="Y61" i="733"/>
  <c r="Z61" i="733"/>
  <c r="AA61" i="733"/>
  <c r="S62" i="733"/>
  <c r="T62" i="733"/>
  <c r="U62" i="733"/>
  <c r="V62" i="733"/>
  <c r="W62" i="733"/>
  <c r="X62" i="733"/>
  <c r="Y62" i="733"/>
  <c r="Z62" i="733"/>
  <c r="AA62" i="733"/>
  <c r="S63" i="733"/>
  <c r="T63" i="733"/>
  <c r="U63" i="733"/>
  <c r="V63" i="733"/>
  <c r="W63" i="733"/>
  <c r="X63" i="733"/>
  <c r="Y63" i="733"/>
  <c r="Z63" i="733"/>
  <c r="AA63" i="733"/>
  <c r="S64" i="733"/>
  <c r="T64" i="733"/>
  <c r="U64" i="733"/>
  <c r="V64" i="733"/>
  <c r="W64" i="733"/>
  <c r="X64" i="733"/>
  <c r="Y64" i="733"/>
  <c r="Z64" i="733"/>
  <c r="AA64" i="733"/>
  <c r="S65" i="733"/>
  <c r="T65" i="733"/>
  <c r="U65" i="733"/>
  <c r="V65" i="733"/>
  <c r="W65" i="733"/>
  <c r="X65" i="733"/>
  <c r="Y65" i="733"/>
  <c r="Z65" i="733"/>
  <c r="AA65" i="733"/>
  <c r="S66" i="733"/>
  <c r="T66" i="733"/>
  <c r="U66" i="733"/>
  <c r="V66" i="733"/>
  <c r="W66" i="733"/>
  <c r="X66" i="733"/>
  <c r="Y66" i="733"/>
  <c r="Z66" i="733"/>
  <c r="AA66" i="733"/>
  <c r="S67" i="733"/>
  <c r="T67" i="733"/>
  <c r="U67" i="733"/>
  <c r="V67" i="733"/>
  <c r="W67" i="733"/>
  <c r="X67" i="733"/>
  <c r="Y67" i="733"/>
  <c r="Z67" i="733"/>
  <c r="AA67" i="733"/>
  <c r="C34" i="733"/>
  <c r="D34" i="733"/>
  <c r="E34" i="733"/>
  <c r="F34" i="733"/>
  <c r="G34" i="733"/>
  <c r="M34" i="733"/>
  <c r="N34" i="733"/>
  <c r="P34" i="733"/>
  <c r="C35" i="733"/>
  <c r="D35" i="733"/>
  <c r="E35" i="733"/>
  <c r="F35" i="733"/>
  <c r="G35" i="733"/>
  <c r="M35" i="733"/>
  <c r="N35" i="733"/>
  <c r="P35" i="733"/>
  <c r="C36" i="733"/>
  <c r="D36" i="733"/>
  <c r="E36" i="733"/>
  <c r="F36" i="733"/>
  <c r="G36" i="733"/>
  <c r="M36" i="733"/>
  <c r="N36" i="733"/>
  <c r="P36" i="733"/>
  <c r="C37" i="733"/>
  <c r="D37" i="733"/>
  <c r="E37" i="733"/>
  <c r="F37" i="733"/>
  <c r="G37" i="733"/>
  <c r="M37" i="733"/>
  <c r="N37" i="733"/>
  <c r="P37" i="733"/>
  <c r="C38" i="733"/>
  <c r="D38" i="733"/>
  <c r="E38" i="733"/>
  <c r="F38" i="733"/>
  <c r="G38" i="733"/>
  <c r="N38" i="733"/>
  <c r="P38" i="733"/>
  <c r="C39" i="733"/>
  <c r="D39" i="733"/>
  <c r="E39" i="733"/>
  <c r="F39" i="733"/>
  <c r="G39" i="733"/>
  <c r="N39" i="733"/>
  <c r="P39" i="733"/>
  <c r="C40" i="733"/>
  <c r="D40" i="733"/>
  <c r="E40" i="733"/>
  <c r="F40" i="733"/>
  <c r="G40" i="733"/>
  <c r="N40" i="733"/>
  <c r="P40" i="733"/>
  <c r="C41" i="733"/>
  <c r="D41" i="733"/>
  <c r="E41" i="733"/>
  <c r="F41" i="733"/>
  <c r="G41" i="733"/>
  <c r="M41" i="733"/>
  <c r="N41" i="733"/>
  <c r="P41" i="733"/>
  <c r="C25" i="733"/>
  <c r="D25" i="733"/>
  <c r="E25" i="733"/>
  <c r="F25" i="733"/>
  <c r="G25" i="733"/>
  <c r="I25" i="733"/>
  <c r="J25" i="733"/>
  <c r="K25" i="733"/>
  <c r="M25" i="733"/>
  <c r="N25" i="733"/>
  <c r="O25" i="733"/>
  <c r="P25" i="733"/>
  <c r="C26" i="733"/>
  <c r="D26" i="733"/>
  <c r="E26" i="733"/>
  <c r="F26" i="733"/>
  <c r="G26" i="733"/>
  <c r="I26" i="733"/>
  <c r="J26" i="733"/>
  <c r="K26" i="733"/>
  <c r="M26" i="733"/>
  <c r="N26" i="733"/>
  <c r="O26" i="733"/>
  <c r="P26" i="733"/>
  <c r="C27" i="733"/>
  <c r="D27" i="733"/>
  <c r="E27" i="733"/>
  <c r="F27" i="733"/>
  <c r="G27" i="733"/>
  <c r="I27" i="733"/>
  <c r="J27" i="733"/>
  <c r="K27" i="733"/>
  <c r="M27" i="733"/>
  <c r="N27" i="733"/>
  <c r="O27" i="733"/>
  <c r="P27" i="733"/>
  <c r="C28" i="733"/>
  <c r="D28" i="733"/>
  <c r="E28" i="733"/>
  <c r="F28" i="733"/>
  <c r="G28" i="733"/>
  <c r="I28" i="733"/>
  <c r="J28" i="733"/>
  <c r="K28" i="733"/>
  <c r="M28" i="733"/>
  <c r="N28" i="733"/>
  <c r="O28" i="733"/>
  <c r="P28" i="733"/>
  <c r="C29" i="733"/>
  <c r="D29" i="733"/>
  <c r="E29" i="733"/>
  <c r="F29" i="733"/>
  <c r="G29" i="733"/>
  <c r="I29" i="733"/>
  <c r="J29" i="733"/>
  <c r="K29" i="733"/>
  <c r="M29" i="733"/>
  <c r="N29" i="733"/>
  <c r="O29" i="733"/>
  <c r="P29" i="733"/>
  <c r="C30" i="733"/>
  <c r="D30" i="733"/>
  <c r="E30" i="733"/>
  <c r="F30" i="733"/>
  <c r="G30" i="733"/>
  <c r="I30" i="733"/>
  <c r="J30" i="733"/>
  <c r="K30" i="733"/>
  <c r="M30" i="733"/>
  <c r="N30" i="733"/>
  <c r="O30" i="733"/>
  <c r="P30" i="733"/>
  <c r="C31" i="733"/>
  <c r="D31" i="733"/>
  <c r="E31" i="733"/>
  <c r="F31" i="733"/>
  <c r="G31" i="733"/>
  <c r="J31" i="733"/>
  <c r="K31" i="733"/>
  <c r="M31" i="733"/>
  <c r="N31" i="733"/>
  <c r="O31" i="733"/>
  <c r="P31" i="733"/>
  <c r="L46" i="736" l="1"/>
  <c r="M46" i="736" s="1"/>
  <c r="L46" i="735"/>
  <c r="M46" i="735" s="1"/>
  <c r="L46" i="738"/>
  <c r="M46" i="738" s="1"/>
  <c r="K113" i="734"/>
  <c r="L113" i="734" s="1"/>
  <c r="M113" i="734" s="1"/>
  <c r="J104" i="733"/>
  <c r="L41" i="733"/>
  <c r="L40" i="733"/>
  <c r="L39" i="733"/>
  <c r="L38" i="733"/>
  <c r="L37" i="733"/>
  <c r="L36" i="733"/>
  <c r="L35" i="733"/>
  <c r="L34" i="733"/>
  <c r="O34" i="733"/>
  <c r="O35" i="733"/>
  <c r="O36" i="733"/>
  <c r="O37" i="733"/>
  <c r="O38" i="733"/>
  <c r="O39" i="733"/>
  <c r="O40" i="733"/>
  <c r="O41" i="733"/>
  <c r="K40" i="733"/>
  <c r="L46" i="739" l="1"/>
  <c r="M46" i="739" s="1"/>
  <c r="L49" i="740"/>
  <c r="M49" i="740" s="1"/>
  <c r="L90" i="737"/>
  <c r="M90" i="737" s="1"/>
  <c r="K41" i="733"/>
  <c r="K37" i="733"/>
  <c r="K35" i="733"/>
  <c r="K34" i="733"/>
  <c r="K39" i="733"/>
  <c r="K36" i="733"/>
  <c r="K38" i="733"/>
  <c r="L39" i="741" l="1"/>
  <c r="S88" i="733"/>
  <c r="T88" i="733"/>
  <c r="U88" i="733"/>
  <c r="V88" i="733"/>
  <c r="W88" i="733"/>
  <c r="X88" i="733"/>
  <c r="Y88" i="733"/>
  <c r="Z88" i="733"/>
  <c r="AA88" i="733"/>
  <c r="S89" i="733"/>
  <c r="T89" i="733"/>
  <c r="U89" i="733"/>
  <c r="V89" i="733"/>
  <c r="W89" i="733"/>
  <c r="X89" i="733"/>
  <c r="Y89" i="733"/>
  <c r="Z89" i="733"/>
  <c r="AA89" i="733"/>
  <c r="S90" i="733"/>
  <c r="T90" i="733"/>
  <c r="U90" i="733"/>
  <c r="V90" i="733"/>
  <c r="W90" i="733"/>
  <c r="X90" i="733"/>
  <c r="Y90" i="733"/>
  <c r="Z90" i="733"/>
  <c r="AA90" i="733"/>
  <c r="S91" i="733"/>
  <c r="T91" i="733"/>
  <c r="U91" i="733"/>
  <c r="V91" i="733"/>
  <c r="W91" i="733"/>
  <c r="X91" i="733"/>
  <c r="Y91" i="733"/>
  <c r="Z91" i="733"/>
  <c r="AA91" i="733"/>
  <c r="S92" i="733"/>
  <c r="T92" i="733"/>
  <c r="U92" i="733"/>
  <c r="V92" i="733"/>
  <c r="W92" i="733"/>
  <c r="X92" i="733"/>
  <c r="Y92" i="733"/>
  <c r="Z92" i="733"/>
  <c r="AA92" i="733"/>
  <c r="S93" i="733"/>
  <c r="T93" i="733"/>
  <c r="U93" i="733"/>
  <c r="V93" i="733"/>
  <c r="W93" i="733"/>
  <c r="X93" i="733"/>
  <c r="Y93" i="733"/>
  <c r="Z93" i="733"/>
  <c r="AA93" i="733"/>
  <c r="S94" i="733"/>
  <c r="T94" i="733"/>
  <c r="U94" i="733"/>
  <c r="V94" i="733"/>
  <c r="W94" i="733"/>
  <c r="X94" i="733"/>
  <c r="Y94" i="733"/>
  <c r="Z94" i="733"/>
  <c r="AA94" i="733"/>
  <c r="S95" i="733"/>
  <c r="T95" i="733"/>
  <c r="U95" i="733"/>
  <c r="V95" i="733"/>
  <c r="W95" i="733"/>
  <c r="X95" i="733"/>
  <c r="Y95" i="733"/>
  <c r="Z95" i="733"/>
  <c r="AA95" i="733"/>
  <c r="S96" i="733"/>
  <c r="T96" i="733"/>
  <c r="U96" i="733"/>
  <c r="V96" i="733"/>
  <c r="W96" i="733"/>
  <c r="X96" i="733"/>
  <c r="Y96" i="733"/>
  <c r="Z96" i="733"/>
  <c r="AA96" i="733"/>
  <c r="S97" i="733"/>
  <c r="T97" i="733"/>
  <c r="U97" i="733"/>
  <c r="V97" i="733"/>
  <c r="W97" i="733"/>
  <c r="X97" i="733"/>
  <c r="Y97" i="733"/>
  <c r="Z97" i="733"/>
  <c r="AA97" i="733"/>
  <c r="S98" i="733"/>
  <c r="T98" i="733"/>
  <c r="U98" i="733"/>
  <c r="V98" i="733"/>
  <c r="W98" i="733"/>
  <c r="X98" i="733"/>
  <c r="Y98" i="733"/>
  <c r="Z98" i="733"/>
  <c r="AA98" i="733"/>
  <c r="S99" i="733"/>
  <c r="T99" i="733"/>
  <c r="U99" i="733"/>
  <c r="V99" i="733"/>
  <c r="W99" i="733"/>
  <c r="X99" i="733"/>
  <c r="Y99" i="733"/>
  <c r="Z99" i="733"/>
  <c r="AA99" i="733"/>
  <c r="S68" i="733"/>
  <c r="T68" i="733"/>
  <c r="U68" i="733"/>
  <c r="V68" i="733"/>
  <c r="W68" i="733"/>
  <c r="X68" i="733"/>
  <c r="Y68" i="733"/>
  <c r="Z68" i="733"/>
  <c r="AA68" i="733"/>
  <c r="S69" i="733"/>
  <c r="T69" i="733"/>
  <c r="U69" i="733"/>
  <c r="V69" i="733"/>
  <c r="W69" i="733"/>
  <c r="X69" i="733"/>
  <c r="Y69" i="733"/>
  <c r="Z69" i="733"/>
  <c r="AA69" i="733"/>
  <c r="S70" i="733"/>
  <c r="T70" i="733"/>
  <c r="U70" i="733"/>
  <c r="V70" i="733"/>
  <c r="W70" i="733"/>
  <c r="X70" i="733"/>
  <c r="Y70" i="733"/>
  <c r="Z70" i="733"/>
  <c r="AA70" i="733"/>
  <c r="S71" i="733"/>
  <c r="T71" i="733"/>
  <c r="U71" i="733"/>
  <c r="V71" i="733"/>
  <c r="W71" i="733"/>
  <c r="X71" i="733"/>
  <c r="Y71" i="733"/>
  <c r="Z71" i="733"/>
  <c r="AA71" i="733"/>
  <c r="S72" i="733"/>
  <c r="T72" i="733"/>
  <c r="U72" i="733"/>
  <c r="V72" i="733"/>
  <c r="W72" i="733"/>
  <c r="X72" i="733"/>
  <c r="Y72" i="733"/>
  <c r="Z72" i="733"/>
  <c r="AA72" i="733"/>
  <c r="S73" i="733"/>
  <c r="T73" i="733"/>
  <c r="U73" i="733"/>
  <c r="V73" i="733"/>
  <c r="W73" i="733"/>
  <c r="X73" i="733"/>
  <c r="Y73" i="733"/>
  <c r="Z73" i="733"/>
  <c r="AA73" i="733"/>
  <c r="S74" i="733"/>
  <c r="T74" i="733"/>
  <c r="U74" i="733"/>
  <c r="V74" i="733"/>
  <c r="W74" i="733"/>
  <c r="X74" i="733"/>
  <c r="Y74" i="733"/>
  <c r="Z74" i="733"/>
  <c r="AA74" i="733"/>
  <c r="S75" i="733"/>
  <c r="T75" i="733"/>
  <c r="U75" i="733"/>
  <c r="V75" i="733"/>
  <c r="W75" i="733"/>
  <c r="X75" i="733"/>
  <c r="Y75" i="733"/>
  <c r="Z75" i="733"/>
  <c r="AA75" i="733"/>
  <c r="S76" i="733"/>
  <c r="T76" i="733"/>
  <c r="U76" i="733"/>
  <c r="V76" i="733"/>
  <c r="W76" i="733"/>
  <c r="X76" i="733"/>
  <c r="Y76" i="733"/>
  <c r="Z76" i="733"/>
  <c r="AA76" i="733"/>
  <c r="S77" i="733"/>
  <c r="T77" i="733"/>
  <c r="U77" i="733"/>
  <c r="V77" i="733"/>
  <c r="W77" i="733"/>
  <c r="X77" i="733"/>
  <c r="Y77" i="733"/>
  <c r="Z77" i="733"/>
  <c r="AA77" i="733"/>
  <c r="S78" i="733"/>
  <c r="T78" i="733"/>
  <c r="U78" i="733"/>
  <c r="V78" i="733"/>
  <c r="W78" i="733"/>
  <c r="X78" i="733"/>
  <c r="Y78" i="733"/>
  <c r="Z78" i="733"/>
  <c r="AA78" i="733"/>
  <c r="S79" i="733"/>
  <c r="T79" i="733"/>
  <c r="U79" i="733"/>
  <c r="V79" i="733"/>
  <c r="W79" i="733"/>
  <c r="X79" i="733"/>
  <c r="Y79" i="733"/>
  <c r="Z79" i="733"/>
  <c r="AA79" i="733"/>
  <c r="S80" i="733"/>
  <c r="T80" i="733"/>
  <c r="U80" i="733"/>
  <c r="V80" i="733"/>
  <c r="W80" i="733"/>
  <c r="X80" i="733"/>
  <c r="Y80" i="733"/>
  <c r="Z80" i="733"/>
  <c r="AA80" i="733"/>
  <c r="S81" i="733"/>
  <c r="T81" i="733"/>
  <c r="U81" i="733"/>
  <c r="V81" i="733"/>
  <c r="W81" i="733"/>
  <c r="X81" i="733"/>
  <c r="Y81" i="733"/>
  <c r="Z81" i="733"/>
  <c r="AA81" i="733"/>
  <c r="S82" i="733"/>
  <c r="T82" i="733"/>
  <c r="U82" i="733"/>
  <c r="V82" i="733"/>
  <c r="W82" i="733"/>
  <c r="X82" i="733"/>
  <c r="Y82" i="733"/>
  <c r="Z82" i="733"/>
  <c r="AA82" i="733"/>
  <c r="S83" i="733"/>
  <c r="T83" i="733"/>
  <c r="U83" i="733"/>
  <c r="V83" i="733"/>
  <c r="W83" i="733"/>
  <c r="X83" i="733"/>
  <c r="Y83" i="733"/>
  <c r="Z83" i="733"/>
  <c r="AA83" i="733"/>
  <c r="S84" i="733"/>
  <c r="T84" i="733"/>
  <c r="U84" i="733"/>
  <c r="V84" i="733"/>
  <c r="W84" i="733"/>
  <c r="X84" i="733"/>
  <c r="Y84" i="733"/>
  <c r="Z84" i="733"/>
  <c r="AA84" i="733"/>
  <c r="S85" i="733"/>
  <c r="T85" i="733"/>
  <c r="U85" i="733"/>
  <c r="V85" i="733"/>
  <c r="W85" i="733"/>
  <c r="X85" i="733"/>
  <c r="Y85" i="733"/>
  <c r="Z85" i="733"/>
  <c r="AA85" i="733"/>
  <c r="S86" i="733"/>
  <c r="T86" i="733"/>
  <c r="U86" i="733"/>
  <c r="V86" i="733"/>
  <c r="W86" i="733"/>
  <c r="X86" i="733"/>
  <c r="Y86" i="733"/>
  <c r="Z86" i="733"/>
  <c r="AA86" i="733"/>
  <c r="S87" i="733"/>
  <c r="T87" i="733"/>
  <c r="U87" i="733"/>
  <c r="V87" i="733"/>
  <c r="W87" i="733"/>
  <c r="X87" i="733"/>
  <c r="Y87" i="733"/>
  <c r="Z87" i="733"/>
  <c r="AA87" i="733"/>
  <c r="C18" i="733"/>
  <c r="D18" i="733"/>
  <c r="E18" i="733"/>
  <c r="F18" i="733"/>
  <c r="G18" i="733"/>
  <c r="I18" i="733"/>
  <c r="J18" i="733"/>
  <c r="K18" i="733"/>
  <c r="L18" i="733"/>
  <c r="M18" i="733"/>
  <c r="N18" i="733"/>
  <c r="O18" i="733"/>
  <c r="P18" i="733"/>
  <c r="C19" i="733"/>
  <c r="D19" i="733"/>
  <c r="E19" i="733"/>
  <c r="F19" i="733"/>
  <c r="G19" i="733"/>
  <c r="I19" i="733"/>
  <c r="J19" i="733"/>
  <c r="K19" i="733"/>
  <c r="L19" i="733"/>
  <c r="M19" i="733"/>
  <c r="N19" i="733"/>
  <c r="O19" i="733"/>
  <c r="P19" i="733"/>
  <c r="C20" i="733"/>
  <c r="D20" i="733"/>
  <c r="E20" i="733"/>
  <c r="F20" i="733"/>
  <c r="G20" i="733"/>
  <c r="I20" i="733"/>
  <c r="J20" i="733"/>
  <c r="K20" i="733"/>
  <c r="L20" i="733"/>
  <c r="M20" i="733"/>
  <c r="N20" i="733"/>
  <c r="O20" i="733"/>
  <c r="P20" i="733"/>
  <c r="C21" i="733"/>
  <c r="D21" i="733"/>
  <c r="E21" i="733"/>
  <c r="F21" i="733"/>
  <c r="G21" i="733"/>
  <c r="I21" i="733"/>
  <c r="J21" i="733"/>
  <c r="K21" i="733"/>
  <c r="L21" i="733"/>
  <c r="M21" i="733"/>
  <c r="N21" i="733"/>
  <c r="O21" i="733"/>
  <c r="P21" i="733"/>
  <c r="S17" i="733"/>
  <c r="T17" i="733"/>
  <c r="U17" i="733"/>
  <c r="V17" i="733"/>
  <c r="W17" i="733"/>
  <c r="X17" i="733"/>
  <c r="Y17" i="733"/>
  <c r="Z17" i="733"/>
  <c r="AA17" i="733"/>
  <c r="S18" i="733"/>
  <c r="T18" i="733"/>
  <c r="U18" i="733"/>
  <c r="V18" i="733"/>
  <c r="W18" i="733"/>
  <c r="X18" i="733"/>
  <c r="Y18" i="733"/>
  <c r="Z18" i="733"/>
  <c r="AA18" i="733"/>
  <c r="S100" i="733"/>
  <c r="T100" i="733"/>
  <c r="U100" i="733"/>
  <c r="V100" i="733"/>
  <c r="W100" i="733"/>
  <c r="X100" i="733"/>
  <c r="Y100" i="733"/>
  <c r="Z100" i="733"/>
  <c r="AA100" i="733"/>
  <c r="S101" i="733"/>
  <c r="T101" i="733"/>
  <c r="U101" i="733"/>
  <c r="V101" i="733"/>
  <c r="W101" i="733"/>
  <c r="X101" i="733"/>
  <c r="Y101" i="733"/>
  <c r="Z101" i="733"/>
  <c r="AA101" i="733"/>
  <c r="S102" i="733"/>
  <c r="T102" i="733"/>
  <c r="U102" i="733"/>
  <c r="V102" i="733"/>
  <c r="W102" i="733"/>
  <c r="X102" i="733"/>
  <c r="Y102" i="733"/>
  <c r="Z102" i="733"/>
  <c r="AA102" i="733"/>
  <c r="AA14" i="733"/>
  <c r="AA15" i="733"/>
  <c r="AA16" i="733"/>
  <c r="AA10" i="733"/>
  <c r="AA11" i="733"/>
  <c r="AA12" i="733"/>
  <c r="AA13" i="733"/>
  <c r="S13" i="733"/>
  <c r="T13" i="733"/>
  <c r="U13" i="733"/>
  <c r="V13" i="733"/>
  <c r="W13" i="733"/>
  <c r="X13" i="733"/>
  <c r="Y13" i="733"/>
  <c r="Z13" i="733"/>
  <c r="S14" i="733"/>
  <c r="T14" i="733"/>
  <c r="U14" i="733"/>
  <c r="V14" i="733"/>
  <c r="W14" i="733"/>
  <c r="X14" i="733"/>
  <c r="Y14" i="733"/>
  <c r="Z14" i="733"/>
  <c r="S15" i="733"/>
  <c r="T15" i="733"/>
  <c r="U15" i="733"/>
  <c r="V15" i="733"/>
  <c r="W15" i="733"/>
  <c r="X15" i="733"/>
  <c r="Y15" i="733"/>
  <c r="Z15" i="733"/>
  <c r="S16" i="733"/>
  <c r="T16" i="733"/>
  <c r="U16" i="733"/>
  <c r="V16" i="733"/>
  <c r="W16" i="733"/>
  <c r="X16" i="733"/>
  <c r="Y16" i="733"/>
  <c r="Z16" i="733"/>
  <c r="S10" i="733"/>
  <c r="T10" i="733"/>
  <c r="U10" i="733"/>
  <c r="V10" i="733"/>
  <c r="W10" i="733"/>
  <c r="X10" i="733"/>
  <c r="Y10" i="733"/>
  <c r="Z10" i="733"/>
  <c r="S11" i="733"/>
  <c r="T11" i="733"/>
  <c r="U11" i="733"/>
  <c r="V11" i="733"/>
  <c r="W11" i="733"/>
  <c r="X11" i="733"/>
  <c r="Y11" i="733"/>
  <c r="Z11" i="733"/>
  <c r="S12" i="733"/>
  <c r="T12" i="733"/>
  <c r="U12" i="733"/>
  <c r="V12" i="733"/>
  <c r="W12" i="733"/>
  <c r="X12" i="733"/>
  <c r="Y12" i="733"/>
  <c r="Z12" i="733"/>
  <c r="F145" i="733"/>
  <c r="AX135" i="733"/>
  <c r="AW135" i="733"/>
  <c r="AV135" i="733"/>
  <c r="AU135" i="733"/>
  <c r="AT135" i="733"/>
  <c r="AS135" i="733"/>
  <c r="AR135" i="733"/>
  <c r="AQ135" i="733"/>
  <c r="AP135" i="733"/>
  <c r="AO135" i="733"/>
  <c r="AN135" i="733"/>
  <c r="AM135" i="733"/>
  <c r="AL135" i="733"/>
  <c r="AK135" i="733"/>
  <c r="AJ135" i="733"/>
  <c r="AI135" i="733"/>
  <c r="AH135" i="733"/>
  <c r="AG135" i="733"/>
  <c r="AF135" i="733"/>
  <c r="AE135" i="733"/>
  <c r="AD135" i="733"/>
  <c r="AC135" i="733"/>
  <c r="AB135" i="733"/>
  <c r="AA135" i="733"/>
  <c r="Z135" i="733"/>
  <c r="Y135" i="733"/>
  <c r="X135" i="733"/>
  <c r="W135" i="733"/>
  <c r="V135" i="733"/>
  <c r="U135" i="733"/>
  <c r="T135" i="733"/>
  <c r="L134" i="733"/>
  <c r="B134" i="733"/>
  <c r="B132" i="733"/>
  <c r="K127" i="733"/>
  <c r="D125" i="733"/>
  <c r="M110" i="733"/>
  <c r="K109" i="733"/>
  <c r="M108" i="733"/>
  <c r="M106" i="733"/>
  <c r="M105" i="733"/>
  <c r="L105" i="733"/>
  <c r="K105" i="733"/>
  <c r="L49" i="732"/>
  <c r="M34" i="732"/>
  <c r="L34" i="732"/>
  <c r="K34" i="732"/>
  <c r="I16" i="732"/>
  <c r="I17" i="732"/>
  <c r="I10" i="732"/>
  <c r="I11" i="732"/>
  <c r="I12" i="732"/>
  <c r="I13" i="732"/>
  <c r="M39" i="741" l="1"/>
  <c r="M50" i="742"/>
  <c r="M118" i="733"/>
  <c r="K113" i="733"/>
  <c r="S14" i="732"/>
  <c r="T14" i="732"/>
  <c r="U14" i="732"/>
  <c r="V14" i="732"/>
  <c r="W14" i="732"/>
  <c r="X14" i="732"/>
  <c r="Y14" i="732"/>
  <c r="Z14" i="732"/>
  <c r="AA14" i="732"/>
  <c r="S15" i="732"/>
  <c r="T15" i="732"/>
  <c r="U15" i="732"/>
  <c r="V15" i="732"/>
  <c r="W15" i="732"/>
  <c r="X15" i="732"/>
  <c r="Y15" i="732"/>
  <c r="Z15" i="732"/>
  <c r="AA15" i="732"/>
  <c r="S16" i="732"/>
  <c r="T16" i="732"/>
  <c r="U16" i="732"/>
  <c r="V16" i="732"/>
  <c r="W16" i="732"/>
  <c r="X16" i="732"/>
  <c r="Y16" i="732"/>
  <c r="Z16" i="732"/>
  <c r="AA16" i="732"/>
  <c r="S17" i="732"/>
  <c r="T17" i="732"/>
  <c r="U17" i="732"/>
  <c r="V17" i="732"/>
  <c r="W17" i="732"/>
  <c r="X17" i="732"/>
  <c r="Y17" i="732"/>
  <c r="Z17" i="732"/>
  <c r="AA17" i="732"/>
  <c r="S18" i="732"/>
  <c r="T18" i="732"/>
  <c r="U18" i="732"/>
  <c r="V18" i="732"/>
  <c r="W18" i="732"/>
  <c r="X18" i="732"/>
  <c r="Y18" i="732"/>
  <c r="Z18" i="732"/>
  <c r="AA18" i="732"/>
  <c r="C16" i="732"/>
  <c r="D16" i="732"/>
  <c r="E16" i="732"/>
  <c r="F16" i="732"/>
  <c r="G16" i="732"/>
  <c r="M16" i="732"/>
  <c r="N16" i="732"/>
  <c r="P16" i="732"/>
  <c r="C17" i="732"/>
  <c r="D17" i="732"/>
  <c r="E17" i="732"/>
  <c r="F17" i="732"/>
  <c r="G17" i="732"/>
  <c r="M17" i="732"/>
  <c r="N17" i="732"/>
  <c r="P17" i="732"/>
  <c r="K35" i="732"/>
  <c r="C11" i="732"/>
  <c r="D11" i="732"/>
  <c r="E11" i="732"/>
  <c r="F11" i="732"/>
  <c r="G11" i="732"/>
  <c r="M11" i="732"/>
  <c r="N11" i="732"/>
  <c r="P11" i="732"/>
  <c r="C12" i="732"/>
  <c r="D12" i="732"/>
  <c r="E12" i="732"/>
  <c r="F12" i="732"/>
  <c r="G12" i="732"/>
  <c r="M12" i="732"/>
  <c r="N12" i="732"/>
  <c r="P12" i="732"/>
  <c r="C13" i="732"/>
  <c r="D13" i="732"/>
  <c r="E13" i="732"/>
  <c r="F13" i="732"/>
  <c r="G13" i="732"/>
  <c r="M13" i="732"/>
  <c r="N13" i="732"/>
  <c r="P13" i="732"/>
  <c r="P10" i="732"/>
  <c r="N10" i="732"/>
  <c r="M10" i="732"/>
  <c r="G10" i="732"/>
  <c r="F10" i="732"/>
  <c r="E10" i="732"/>
  <c r="D10" i="732"/>
  <c r="K16" i="732" l="1"/>
  <c r="L17" i="732"/>
  <c r="L16" i="732"/>
  <c r="O16" i="732"/>
  <c r="O17" i="732"/>
  <c r="K17" i="732" l="1"/>
  <c r="J16" i="732" l="1"/>
  <c r="J17" i="732"/>
  <c r="J34" i="732" l="1"/>
  <c r="C10" i="732"/>
  <c r="K10" i="732"/>
  <c r="K11" i="732"/>
  <c r="O10" i="732"/>
  <c r="O11" i="732"/>
  <c r="O12" i="732"/>
  <c r="O13" i="732"/>
  <c r="S19" i="732"/>
  <c r="T19" i="732"/>
  <c r="U19" i="732"/>
  <c r="V19" i="732"/>
  <c r="W19" i="732"/>
  <c r="X19" i="732"/>
  <c r="Y19" i="732"/>
  <c r="Z19" i="732"/>
  <c r="AA19" i="732"/>
  <c r="S20" i="732"/>
  <c r="T20" i="732"/>
  <c r="U20" i="732"/>
  <c r="V20" i="732"/>
  <c r="W20" i="732"/>
  <c r="X20" i="732"/>
  <c r="Y20" i="732"/>
  <c r="Z20" i="732"/>
  <c r="AA20" i="732"/>
  <c r="S21" i="732"/>
  <c r="T21" i="732"/>
  <c r="U21" i="732"/>
  <c r="V21" i="732"/>
  <c r="W21" i="732"/>
  <c r="X21" i="732"/>
  <c r="Y21" i="732"/>
  <c r="Z21" i="732"/>
  <c r="AA21" i="732"/>
  <c r="S22" i="732"/>
  <c r="T22" i="732"/>
  <c r="U22" i="732"/>
  <c r="V22" i="732"/>
  <c r="W22" i="732"/>
  <c r="X22" i="732"/>
  <c r="Y22" i="732"/>
  <c r="Z22" i="732"/>
  <c r="AA22" i="732"/>
  <c r="S23" i="732"/>
  <c r="T23" i="732"/>
  <c r="U23" i="732"/>
  <c r="V23" i="732"/>
  <c r="W23" i="732"/>
  <c r="X23" i="732"/>
  <c r="Y23" i="732"/>
  <c r="Z23" i="732"/>
  <c r="AA23" i="732"/>
  <c r="R24" i="732"/>
  <c r="S24" i="732"/>
  <c r="T24" i="732"/>
  <c r="U24" i="732"/>
  <c r="V24" i="732"/>
  <c r="W24" i="732"/>
  <c r="X24" i="732"/>
  <c r="Y24" i="732"/>
  <c r="Z24" i="732"/>
  <c r="R25" i="732"/>
  <c r="S25" i="732"/>
  <c r="T25" i="732"/>
  <c r="U25" i="732"/>
  <c r="V25" i="732"/>
  <c r="W25" i="732"/>
  <c r="X25" i="732"/>
  <c r="Y25" i="732"/>
  <c r="Z25" i="732"/>
  <c r="R26" i="732"/>
  <c r="S26" i="732"/>
  <c r="T26" i="732"/>
  <c r="U26" i="732"/>
  <c r="V26" i="732"/>
  <c r="W26" i="732"/>
  <c r="X26" i="732"/>
  <c r="Y26" i="732"/>
  <c r="Z26" i="732"/>
  <c r="R27" i="732"/>
  <c r="S27" i="732"/>
  <c r="T27" i="732"/>
  <c r="U27" i="732"/>
  <c r="V27" i="732"/>
  <c r="W27" i="732"/>
  <c r="X27" i="732"/>
  <c r="Y27" i="732"/>
  <c r="Z27" i="732"/>
  <c r="F76" i="732"/>
  <c r="AX66" i="732"/>
  <c r="AW66" i="732"/>
  <c r="AV66" i="732"/>
  <c r="AU66" i="732"/>
  <c r="AT66" i="732"/>
  <c r="AS66" i="732"/>
  <c r="AR66" i="732"/>
  <c r="AQ66" i="732"/>
  <c r="AP66" i="732"/>
  <c r="AO66" i="732"/>
  <c r="AN66" i="732"/>
  <c r="AM66" i="732"/>
  <c r="AL66" i="732"/>
  <c r="AK66" i="732"/>
  <c r="AJ66" i="732"/>
  <c r="AI66" i="732"/>
  <c r="AH66" i="732"/>
  <c r="AG66" i="732"/>
  <c r="AF66" i="732"/>
  <c r="AE66" i="732"/>
  <c r="AD66" i="732"/>
  <c r="AC66" i="732"/>
  <c r="AB66" i="732"/>
  <c r="AA66" i="732"/>
  <c r="Z66" i="732"/>
  <c r="Y66" i="732"/>
  <c r="X66" i="732"/>
  <c r="W66" i="732"/>
  <c r="V66" i="732"/>
  <c r="U66" i="732"/>
  <c r="T66" i="732"/>
  <c r="B65" i="732"/>
  <c r="L63" i="732"/>
  <c r="B63" i="732"/>
  <c r="K58" i="732"/>
  <c r="M49" i="732" s="1"/>
  <c r="D56" i="732"/>
  <c r="M41" i="732"/>
  <c r="K40" i="732"/>
  <c r="M39" i="732"/>
  <c r="M37" i="732"/>
  <c r="M36" i="732"/>
  <c r="L36" i="732"/>
  <c r="K36" i="732"/>
  <c r="M35" i="732"/>
  <c r="Z33" i="732"/>
  <c r="Y33" i="732"/>
  <c r="X33" i="732"/>
  <c r="W33" i="732"/>
  <c r="V33" i="732"/>
  <c r="U33" i="732"/>
  <c r="T33" i="732"/>
  <c r="S33" i="732"/>
  <c r="R33" i="732"/>
  <c r="Z32" i="732"/>
  <c r="Y32" i="732"/>
  <c r="X32" i="732"/>
  <c r="W32" i="732"/>
  <c r="V32" i="732"/>
  <c r="U32" i="732"/>
  <c r="T32" i="732"/>
  <c r="S32" i="732"/>
  <c r="R32" i="732"/>
  <c r="Z31" i="732"/>
  <c r="Y31" i="732"/>
  <c r="X31" i="732"/>
  <c r="W31" i="732"/>
  <c r="V31" i="732"/>
  <c r="U31" i="732"/>
  <c r="T31" i="732"/>
  <c r="S31" i="732"/>
  <c r="R31" i="732"/>
  <c r="Z30" i="732"/>
  <c r="Y30" i="732"/>
  <c r="X30" i="732"/>
  <c r="W30" i="732"/>
  <c r="V30" i="732"/>
  <c r="U30" i="732"/>
  <c r="T30" i="732"/>
  <c r="S30" i="732"/>
  <c r="R30" i="732"/>
  <c r="Z29" i="732"/>
  <c r="Y29" i="732"/>
  <c r="X29" i="732"/>
  <c r="W29" i="732"/>
  <c r="V29" i="732"/>
  <c r="U29" i="732"/>
  <c r="T29" i="732"/>
  <c r="S29" i="732"/>
  <c r="R29" i="732"/>
  <c r="Z28" i="732"/>
  <c r="Y28" i="732"/>
  <c r="X28" i="732"/>
  <c r="W28" i="732"/>
  <c r="V28" i="732"/>
  <c r="U28" i="732"/>
  <c r="T28" i="732"/>
  <c r="S28" i="732"/>
  <c r="R28" i="732"/>
  <c r="AA13" i="732"/>
  <c r="Z13" i="732"/>
  <c r="Y13" i="732"/>
  <c r="X13" i="732"/>
  <c r="W13" i="732"/>
  <c r="V13" i="732"/>
  <c r="U13" i="732"/>
  <c r="T13" i="732"/>
  <c r="S13" i="732"/>
  <c r="AA12" i="732"/>
  <c r="Z12" i="732"/>
  <c r="Y12" i="732"/>
  <c r="X12" i="732"/>
  <c r="W12" i="732"/>
  <c r="V12" i="732"/>
  <c r="U12" i="732"/>
  <c r="T12" i="732"/>
  <c r="S12" i="732"/>
  <c r="AA11" i="732"/>
  <c r="Z11" i="732"/>
  <c r="Y11" i="732"/>
  <c r="X11" i="732"/>
  <c r="W11" i="732"/>
  <c r="V11" i="732"/>
  <c r="U11" i="732"/>
  <c r="T11" i="732"/>
  <c r="S11" i="732"/>
  <c r="AA10" i="732"/>
  <c r="Z10" i="732"/>
  <c r="Y10" i="732"/>
  <c r="X10" i="732"/>
  <c r="W10" i="732"/>
  <c r="V10" i="732"/>
  <c r="U10" i="732"/>
  <c r="T10" i="732"/>
  <c r="S10" i="732"/>
  <c r="C38" i="731"/>
  <c r="C39" i="731"/>
  <c r="C40" i="731"/>
  <c r="C41" i="731"/>
  <c r="C26" i="731"/>
  <c r="C27" i="731"/>
  <c r="C28" i="731"/>
  <c r="C29" i="731"/>
  <c r="L65" i="732" l="1"/>
  <c r="K12" i="732"/>
  <c r="J12" i="732"/>
  <c r="J13" i="732"/>
  <c r="J11" i="732"/>
  <c r="K13" i="732"/>
  <c r="K44" i="732"/>
  <c r="G57" i="731"/>
  <c r="K57" i="731"/>
  <c r="K69" i="731" s="1"/>
  <c r="B38" i="731"/>
  <c r="B57" i="731"/>
  <c r="B55" i="731"/>
  <c r="K55" i="731"/>
  <c r="K63" i="731" s="1"/>
  <c r="L35" i="732" l="1"/>
  <c r="J10" i="732"/>
  <c r="J35" i="732" s="1"/>
  <c r="B26" i="731"/>
  <c r="K27" i="731"/>
  <c r="C18" i="731"/>
  <c r="D18" i="731"/>
  <c r="E18" i="731"/>
  <c r="F18" i="731"/>
  <c r="G18" i="731"/>
  <c r="I18" i="731"/>
  <c r="J18" i="731"/>
  <c r="L18" i="731"/>
  <c r="M18" i="731"/>
  <c r="N18" i="731"/>
  <c r="O18" i="731"/>
  <c r="C19" i="731"/>
  <c r="D19" i="731"/>
  <c r="E19" i="731"/>
  <c r="F19" i="731"/>
  <c r="G19" i="731"/>
  <c r="I19" i="731"/>
  <c r="J19" i="731"/>
  <c r="L19" i="731"/>
  <c r="M19" i="731"/>
  <c r="N19" i="731"/>
  <c r="O19" i="731"/>
  <c r="C20" i="731"/>
  <c r="D20" i="731"/>
  <c r="E20" i="731"/>
  <c r="F20" i="731"/>
  <c r="G20" i="731"/>
  <c r="I20" i="731"/>
  <c r="J20" i="731"/>
  <c r="L20" i="731"/>
  <c r="M20" i="731"/>
  <c r="N20" i="731"/>
  <c r="O20" i="731"/>
  <c r="C21" i="731"/>
  <c r="D21" i="731"/>
  <c r="E21" i="731"/>
  <c r="F21" i="731"/>
  <c r="G21" i="731"/>
  <c r="I21" i="731"/>
  <c r="J21" i="731"/>
  <c r="L21" i="731"/>
  <c r="M21" i="731"/>
  <c r="N21" i="731"/>
  <c r="O21" i="731"/>
  <c r="C12" i="730"/>
  <c r="D12" i="730"/>
  <c r="E12" i="730"/>
  <c r="F12" i="730"/>
  <c r="G12" i="730"/>
  <c r="J12" i="730"/>
  <c r="K12" i="730"/>
  <c r="L12" i="730"/>
  <c r="M12" i="730"/>
  <c r="N12" i="730"/>
  <c r="O12" i="730"/>
  <c r="C10" i="730"/>
  <c r="D10" i="730"/>
  <c r="E10" i="730"/>
  <c r="F10" i="730"/>
  <c r="G10" i="730"/>
  <c r="I10" i="730"/>
  <c r="J10" i="730"/>
  <c r="K10" i="730"/>
  <c r="L10" i="730"/>
  <c r="M10" i="730"/>
  <c r="N10" i="730"/>
  <c r="O10" i="730"/>
  <c r="C11" i="730"/>
  <c r="D11" i="730"/>
  <c r="E11" i="730"/>
  <c r="F11" i="730"/>
  <c r="G11" i="730"/>
  <c r="I11" i="730"/>
  <c r="J11" i="730"/>
  <c r="K11" i="730"/>
  <c r="L11" i="730"/>
  <c r="M11" i="730"/>
  <c r="N11" i="730"/>
  <c r="O11" i="730"/>
  <c r="S11" i="730"/>
  <c r="T11" i="730"/>
  <c r="U11" i="730"/>
  <c r="V11" i="730"/>
  <c r="W11" i="730"/>
  <c r="X11" i="730"/>
  <c r="Y11" i="730"/>
  <c r="Z11" i="730"/>
  <c r="AA11" i="730"/>
  <c r="S12" i="730"/>
  <c r="T12" i="730"/>
  <c r="U12" i="730"/>
  <c r="V12" i="730"/>
  <c r="W12" i="730"/>
  <c r="X12" i="730"/>
  <c r="Y12" i="730"/>
  <c r="Z12" i="730"/>
  <c r="AA12" i="730"/>
  <c r="S13" i="730"/>
  <c r="T13" i="730"/>
  <c r="U13" i="730"/>
  <c r="V13" i="730"/>
  <c r="W13" i="730"/>
  <c r="X13" i="730"/>
  <c r="Y13" i="730"/>
  <c r="Z13" i="730"/>
  <c r="AA13" i="730"/>
  <c r="S14" i="730"/>
  <c r="T14" i="730"/>
  <c r="U14" i="730"/>
  <c r="V14" i="730"/>
  <c r="W14" i="730"/>
  <c r="X14" i="730"/>
  <c r="Y14" i="730"/>
  <c r="Z14" i="730"/>
  <c r="AA14" i="730"/>
  <c r="S15" i="730"/>
  <c r="T15" i="730"/>
  <c r="U15" i="730"/>
  <c r="V15" i="730"/>
  <c r="W15" i="730"/>
  <c r="X15" i="730"/>
  <c r="Y15" i="730"/>
  <c r="Z15" i="730"/>
  <c r="AA15" i="730"/>
  <c r="S16" i="730"/>
  <c r="T16" i="730"/>
  <c r="U16" i="730"/>
  <c r="V16" i="730"/>
  <c r="W16" i="730"/>
  <c r="X16" i="730"/>
  <c r="Y16" i="730"/>
  <c r="Z16" i="730"/>
  <c r="AA16" i="730"/>
  <c r="S17" i="730"/>
  <c r="T17" i="730"/>
  <c r="U17" i="730"/>
  <c r="V17" i="730"/>
  <c r="W17" i="730"/>
  <c r="X17" i="730"/>
  <c r="Y17" i="730"/>
  <c r="Z17" i="730"/>
  <c r="AA17" i="730"/>
  <c r="S18" i="730"/>
  <c r="T18" i="730"/>
  <c r="U18" i="730"/>
  <c r="V18" i="730"/>
  <c r="W18" i="730"/>
  <c r="X18" i="730"/>
  <c r="Y18" i="730"/>
  <c r="Z18" i="730"/>
  <c r="AA18" i="730"/>
  <c r="S19" i="730"/>
  <c r="T19" i="730"/>
  <c r="U19" i="730"/>
  <c r="V19" i="730"/>
  <c r="W19" i="730"/>
  <c r="X19" i="730"/>
  <c r="Y19" i="730"/>
  <c r="Z19" i="730"/>
  <c r="AA19" i="730"/>
  <c r="C16" i="730"/>
  <c r="D16" i="730"/>
  <c r="E16" i="730"/>
  <c r="F16" i="730"/>
  <c r="G16" i="730"/>
  <c r="I16" i="730"/>
  <c r="J16" i="730"/>
  <c r="K16" i="730"/>
  <c r="L16" i="730"/>
  <c r="M16" i="730"/>
  <c r="N16" i="730"/>
  <c r="O16" i="730"/>
  <c r="C17" i="730"/>
  <c r="D17" i="730"/>
  <c r="E17" i="730"/>
  <c r="F17" i="730"/>
  <c r="G17" i="730"/>
  <c r="I17" i="730"/>
  <c r="J17" i="730"/>
  <c r="K17" i="730"/>
  <c r="L17" i="730"/>
  <c r="M17" i="730"/>
  <c r="N17" i="730"/>
  <c r="O17" i="730"/>
  <c r="C18" i="730"/>
  <c r="D18" i="730"/>
  <c r="E18" i="730"/>
  <c r="F18" i="730"/>
  <c r="G18" i="730"/>
  <c r="I18" i="730"/>
  <c r="J18" i="730"/>
  <c r="K18" i="730"/>
  <c r="L18" i="730"/>
  <c r="M18" i="730"/>
  <c r="N18" i="730"/>
  <c r="O18" i="730"/>
  <c r="C19" i="730"/>
  <c r="D19" i="730"/>
  <c r="E19" i="730"/>
  <c r="F19" i="730"/>
  <c r="G19" i="730"/>
  <c r="I19" i="730"/>
  <c r="J19" i="730"/>
  <c r="K19" i="730"/>
  <c r="L19" i="730"/>
  <c r="M19" i="730"/>
  <c r="N19" i="730"/>
  <c r="O19" i="730"/>
  <c r="F68" i="731"/>
  <c r="AY58" i="731"/>
  <c r="AX58" i="731"/>
  <c r="AW58" i="731"/>
  <c r="AV58" i="731"/>
  <c r="AU58" i="731"/>
  <c r="AT58" i="731"/>
  <c r="AS58" i="731"/>
  <c r="AR58" i="731"/>
  <c r="AQ58" i="731"/>
  <c r="AP58" i="731"/>
  <c r="AO58" i="731"/>
  <c r="AN58" i="731"/>
  <c r="AM58" i="731"/>
  <c r="AL58" i="731"/>
  <c r="AK58" i="731"/>
  <c r="AJ58" i="731"/>
  <c r="AI58" i="731"/>
  <c r="AH58" i="731"/>
  <c r="AG58" i="731"/>
  <c r="AF58" i="731"/>
  <c r="AE58" i="731"/>
  <c r="AD58" i="731"/>
  <c r="AC58" i="731"/>
  <c r="AB58" i="731"/>
  <c r="AA58" i="731"/>
  <c r="Z58" i="731"/>
  <c r="Y58" i="731"/>
  <c r="X58" i="731"/>
  <c r="W58" i="731"/>
  <c r="V58" i="731"/>
  <c r="U58" i="731"/>
  <c r="K50" i="731"/>
  <c r="D48" i="731"/>
  <c r="M33" i="731"/>
  <c r="K32" i="731"/>
  <c r="M31" i="731"/>
  <c r="M29" i="731"/>
  <c r="M28" i="731"/>
  <c r="L28" i="731"/>
  <c r="K28" i="731"/>
  <c r="M27" i="731"/>
  <c r="L27" i="731"/>
  <c r="M26" i="731"/>
  <c r="L26" i="731"/>
  <c r="K26" i="731"/>
  <c r="AA25" i="731"/>
  <c r="Z25" i="731"/>
  <c r="Y25" i="731"/>
  <c r="X25" i="731"/>
  <c r="W25" i="731"/>
  <c r="V25" i="731"/>
  <c r="U25" i="731"/>
  <c r="T25" i="731"/>
  <c r="S25" i="731"/>
  <c r="AA24" i="731"/>
  <c r="Z24" i="731"/>
  <c r="Y24" i="731"/>
  <c r="X24" i="731"/>
  <c r="W24" i="731"/>
  <c r="V24" i="731"/>
  <c r="U24" i="731"/>
  <c r="T24" i="731"/>
  <c r="S24" i="731"/>
  <c r="AA23" i="731"/>
  <c r="Z23" i="731"/>
  <c r="Y23" i="731"/>
  <c r="X23" i="731"/>
  <c r="W23" i="731"/>
  <c r="V23" i="731"/>
  <c r="U23" i="731"/>
  <c r="T23" i="731"/>
  <c r="S23" i="731"/>
  <c r="AA22" i="731"/>
  <c r="Z22" i="731"/>
  <c r="Y22" i="731"/>
  <c r="X22" i="731"/>
  <c r="W22" i="731"/>
  <c r="V22" i="731"/>
  <c r="U22" i="731"/>
  <c r="T22" i="731"/>
  <c r="S22" i="731"/>
  <c r="AA21" i="731"/>
  <c r="Z21" i="731"/>
  <c r="Y21" i="731"/>
  <c r="X21" i="731"/>
  <c r="W21" i="731"/>
  <c r="V21" i="731"/>
  <c r="U21" i="731"/>
  <c r="T21" i="731"/>
  <c r="S21" i="731"/>
  <c r="AA20" i="731"/>
  <c r="Z20" i="731"/>
  <c r="Y20" i="731"/>
  <c r="X20" i="731"/>
  <c r="W20" i="731"/>
  <c r="V20" i="731"/>
  <c r="U20" i="731"/>
  <c r="T20" i="731"/>
  <c r="S20" i="731"/>
  <c r="AA19" i="731"/>
  <c r="Z19" i="731"/>
  <c r="Y19" i="731"/>
  <c r="X19" i="731"/>
  <c r="W19" i="731"/>
  <c r="V19" i="731"/>
  <c r="U19" i="731"/>
  <c r="T19" i="731"/>
  <c r="S19" i="731"/>
  <c r="AA18" i="731"/>
  <c r="Z18" i="731"/>
  <c r="Y18" i="731"/>
  <c r="X18" i="731"/>
  <c r="W18" i="731"/>
  <c r="V18" i="731"/>
  <c r="U18" i="731"/>
  <c r="T18" i="731"/>
  <c r="S18" i="731"/>
  <c r="AA17" i="731"/>
  <c r="Z17" i="731"/>
  <c r="Y17" i="731"/>
  <c r="X17" i="731"/>
  <c r="W17" i="731"/>
  <c r="V17" i="731"/>
  <c r="U17" i="731"/>
  <c r="T17" i="731"/>
  <c r="S17" i="731"/>
  <c r="AA16" i="731"/>
  <c r="Z16" i="731"/>
  <c r="Y16" i="731"/>
  <c r="X16" i="731"/>
  <c r="W16" i="731"/>
  <c r="V16" i="731"/>
  <c r="U16" i="731"/>
  <c r="T16" i="731"/>
  <c r="S16" i="731"/>
  <c r="AA15" i="731"/>
  <c r="Z15" i="731"/>
  <c r="Y15" i="731"/>
  <c r="X15" i="731"/>
  <c r="W15" i="731"/>
  <c r="V15" i="731"/>
  <c r="U15" i="731"/>
  <c r="T15" i="731"/>
  <c r="S15" i="731"/>
  <c r="AA14" i="731"/>
  <c r="Z14" i="731"/>
  <c r="Y14" i="731"/>
  <c r="X14" i="731"/>
  <c r="W14" i="731"/>
  <c r="V14" i="731"/>
  <c r="U14" i="731"/>
  <c r="T14" i="731"/>
  <c r="S14" i="731"/>
  <c r="AA13" i="731"/>
  <c r="Z13" i="731"/>
  <c r="Y13" i="731"/>
  <c r="X13" i="731"/>
  <c r="W13" i="731"/>
  <c r="V13" i="731"/>
  <c r="U13" i="731"/>
  <c r="T13" i="731"/>
  <c r="S13" i="731"/>
  <c r="O13" i="731"/>
  <c r="N13" i="731"/>
  <c r="M13" i="731"/>
  <c r="L13" i="731"/>
  <c r="K13" i="731"/>
  <c r="J13" i="731"/>
  <c r="I13" i="731"/>
  <c r="G13" i="731"/>
  <c r="F13" i="731"/>
  <c r="E13" i="731"/>
  <c r="D13" i="731"/>
  <c r="C13" i="731"/>
  <c r="AA12" i="731"/>
  <c r="Z12" i="731"/>
  <c r="Y12" i="731"/>
  <c r="X12" i="731"/>
  <c r="W12" i="731"/>
  <c r="V12" i="731"/>
  <c r="U12" i="731"/>
  <c r="T12" i="731"/>
  <c r="S12" i="731"/>
  <c r="O12" i="731"/>
  <c r="N12" i="731"/>
  <c r="M12" i="731"/>
  <c r="L12" i="731"/>
  <c r="K12" i="731"/>
  <c r="J12" i="731"/>
  <c r="I12" i="731"/>
  <c r="G12" i="731"/>
  <c r="F12" i="731"/>
  <c r="E12" i="731"/>
  <c r="D12" i="731"/>
  <c r="C12" i="731"/>
  <c r="AA11" i="731"/>
  <c r="Z11" i="731"/>
  <c r="Y11" i="731"/>
  <c r="X11" i="731"/>
  <c r="W11" i="731"/>
  <c r="V11" i="731"/>
  <c r="U11" i="731"/>
  <c r="T11" i="731"/>
  <c r="S11" i="731"/>
  <c r="O11" i="731"/>
  <c r="N11" i="731"/>
  <c r="M11" i="731"/>
  <c r="L11" i="731"/>
  <c r="K11" i="731"/>
  <c r="J11" i="731"/>
  <c r="I11" i="731"/>
  <c r="G11" i="731"/>
  <c r="F11" i="731"/>
  <c r="E11" i="731"/>
  <c r="D11" i="731"/>
  <c r="C11" i="731"/>
  <c r="AA10" i="731"/>
  <c r="Z10" i="731"/>
  <c r="Y10" i="731"/>
  <c r="X10" i="731"/>
  <c r="W10" i="731"/>
  <c r="V10" i="731"/>
  <c r="U10" i="731"/>
  <c r="T10" i="731"/>
  <c r="S10" i="731"/>
  <c r="O10" i="731"/>
  <c r="N10" i="731"/>
  <c r="M10" i="731"/>
  <c r="L10" i="731"/>
  <c r="K10" i="731"/>
  <c r="J10" i="731"/>
  <c r="I10" i="731"/>
  <c r="G10" i="731"/>
  <c r="F10" i="731"/>
  <c r="E10" i="731"/>
  <c r="D10" i="731"/>
  <c r="C10" i="731"/>
  <c r="B48" i="730"/>
  <c r="B65" i="730"/>
  <c r="G65" i="730"/>
  <c r="K65" i="730"/>
  <c r="K74" i="730" s="1"/>
  <c r="B67" i="730"/>
  <c r="G67" i="730"/>
  <c r="K67" i="730"/>
  <c r="K75" i="730" s="1"/>
  <c r="K37" i="730"/>
  <c r="L37" i="730"/>
  <c r="M37" i="730"/>
  <c r="K36" i="730"/>
  <c r="L36" i="730"/>
  <c r="M36" i="730"/>
  <c r="K42" i="730"/>
  <c r="J26" i="731" l="1"/>
  <c r="J42" i="730"/>
  <c r="J27" i="731"/>
  <c r="K36" i="731"/>
  <c r="J36" i="730"/>
  <c r="B36" i="730"/>
  <c r="F78" i="730" l="1"/>
  <c r="AY68" i="730"/>
  <c r="AX68" i="730"/>
  <c r="AW68" i="730"/>
  <c r="AV68" i="730"/>
  <c r="AU68" i="730"/>
  <c r="AT68" i="730"/>
  <c r="AS68" i="730"/>
  <c r="AR68" i="730"/>
  <c r="AQ68" i="730"/>
  <c r="AP68" i="730"/>
  <c r="AO68" i="730"/>
  <c r="AN68" i="730"/>
  <c r="AM68" i="730"/>
  <c r="AL68" i="730"/>
  <c r="AK68" i="730"/>
  <c r="AJ68" i="730"/>
  <c r="AI68" i="730"/>
  <c r="AH68" i="730"/>
  <c r="AG68" i="730"/>
  <c r="AF68" i="730"/>
  <c r="AE68" i="730"/>
  <c r="AD68" i="730"/>
  <c r="AC68" i="730"/>
  <c r="AB68" i="730"/>
  <c r="AA68" i="730"/>
  <c r="Z68" i="730"/>
  <c r="Y68" i="730"/>
  <c r="X68" i="730"/>
  <c r="W68" i="730"/>
  <c r="V68" i="730"/>
  <c r="U68" i="730"/>
  <c r="K60" i="730"/>
  <c r="D58" i="730"/>
  <c r="M43" i="730"/>
  <c r="M41" i="730"/>
  <c r="M39" i="730"/>
  <c r="M38" i="730"/>
  <c r="L38" i="730"/>
  <c r="K38" i="730"/>
  <c r="AA35" i="730"/>
  <c r="Z35" i="730"/>
  <c r="Y35" i="730"/>
  <c r="X35" i="730"/>
  <c r="W35" i="730"/>
  <c r="V35" i="730"/>
  <c r="U35" i="730"/>
  <c r="T35" i="730"/>
  <c r="S35" i="730"/>
  <c r="AA34" i="730"/>
  <c r="Z34" i="730"/>
  <c r="Y34" i="730"/>
  <c r="X34" i="730"/>
  <c r="W34" i="730"/>
  <c r="V34" i="730"/>
  <c r="U34" i="730"/>
  <c r="T34" i="730"/>
  <c r="S34" i="730"/>
  <c r="AA33" i="730"/>
  <c r="Z33" i="730"/>
  <c r="Y33" i="730"/>
  <c r="X33" i="730"/>
  <c r="W33" i="730"/>
  <c r="V33" i="730"/>
  <c r="U33" i="730"/>
  <c r="T33" i="730"/>
  <c r="S33" i="730"/>
  <c r="AA32" i="730"/>
  <c r="Z32" i="730"/>
  <c r="Y32" i="730"/>
  <c r="X32" i="730"/>
  <c r="W32" i="730"/>
  <c r="V32" i="730"/>
  <c r="U32" i="730"/>
  <c r="T32" i="730"/>
  <c r="S32" i="730"/>
  <c r="AA31" i="730"/>
  <c r="Z31" i="730"/>
  <c r="Y31" i="730"/>
  <c r="X31" i="730"/>
  <c r="W31" i="730"/>
  <c r="V31" i="730"/>
  <c r="U31" i="730"/>
  <c r="T31" i="730"/>
  <c r="S31" i="730"/>
  <c r="AA30" i="730"/>
  <c r="Z30" i="730"/>
  <c r="Y30" i="730"/>
  <c r="X30" i="730"/>
  <c r="W30" i="730"/>
  <c r="V30" i="730"/>
  <c r="U30" i="730"/>
  <c r="T30" i="730"/>
  <c r="S30" i="730"/>
  <c r="AA29" i="730"/>
  <c r="Z29" i="730"/>
  <c r="Y29" i="730"/>
  <c r="X29" i="730"/>
  <c r="W29" i="730"/>
  <c r="V29" i="730"/>
  <c r="U29" i="730"/>
  <c r="T29" i="730"/>
  <c r="S29" i="730"/>
  <c r="AA28" i="730"/>
  <c r="Z28" i="730"/>
  <c r="Y28" i="730"/>
  <c r="X28" i="730"/>
  <c r="W28" i="730"/>
  <c r="V28" i="730"/>
  <c r="U28" i="730"/>
  <c r="T28" i="730"/>
  <c r="S28" i="730"/>
  <c r="AA27" i="730"/>
  <c r="Z27" i="730"/>
  <c r="Y27" i="730"/>
  <c r="X27" i="730"/>
  <c r="W27" i="730"/>
  <c r="V27" i="730"/>
  <c r="U27" i="730"/>
  <c r="T27" i="730"/>
  <c r="S27" i="730"/>
  <c r="AA26" i="730"/>
  <c r="Z26" i="730"/>
  <c r="Y26" i="730"/>
  <c r="X26" i="730"/>
  <c r="W26" i="730"/>
  <c r="V26" i="730"/>
  <c r="U26" i="730"/>
  <c r="T26" i="730"/>
  <c r="S26" i="730"/>
  <c r="AA25" i="730"/>
  <c r="Z25" i="730"/>
  <c r="Y25" i="730"/>
  <c r="X25" i="730"/>
  <c r="W25" i="730"/>
  <c r="V25" i="730"/>
  <c r="U25" i="730"/>
  <c r="T25" i="730"/>
  <c r="S25" i="730"/>
  <c r="AA24" i="730"/>
  <c r="Z24" i="730"/>
  <c r="Y24" i="730"/>
  <c r="X24" i="730"/>
  <c r="W24" i="730"/>
  <c r="V24" i="730"/>
  <c r="U24" i="730"/>
  <c r="T24" i="730"/>
  <c r="S24" i="730"/>
  <c r="AA23" i="730"/>
  <c r="Z23" i="730"/>
  <c r="Y23" i="730"/>
  <c r="X23" i="730"/>
  <c r="W23" i="730"/>
  <c r="V23" i="730"/>
  <c r="U23" i="730"/>
  <c r="T23" i="730"/>
  <c r="S23" i="730"/>
  <c r="AA22" i="730"/>
  <c r="Z22" i="730"/>
  <c r="Y22" i="730"/>
  <c r="X22" i="730"/>
  <c r="W22" i="730"/>
  <c r="V22" i="730"/>
  <c r="U22" i="730"/>
  <c r="T22" i="730"/>
  <c r="S22" i="730"/>
  <c r="AA21" i="730"/>
  <c r="Z21" i="730"/>
  <c r="Y21" i="730"/>
  <c r="X21" i="730"/>
  <c r="W21" i="730"/>
  <c r="V21" i="730"/>
  <c r="U21" i="730"/>
  <c r="T21" i="730"/>
  <c r="S21" i="730"/>
  <c r="AA20" i="730"/>
  <c r="Z20" i="730"/>
  <c r="Y20" i="730"/>
  <c r="X20" i="730"/>
  <c r="W20" i="730"/>
  <c r="V20" i="730"/>
  <c r="U20" i="730"/>
  <c r="T20" i="730"/>
  <c r="S20" i="730"/>
  <c r="L51" i="730" l="1"/>
  <c r="L41" i="731"/>
  <c r="M41" i="731" s="1"/>
  <c r="M51" i="730"/>
  <c r="K46" i="730"/>
  <c r="C33" i="729"/>
  <c r="C32" i="729"/>
  <c r="C26" i="729" a="1"/>
  <c r="C26" i="729" s="1"/>
  <c r="C38" i="729" l="1" a="1"/>
  <c r="C38" i="729" s="1"/>
  <c r="L41" i="729" l="1"/>
  <c r="M26" i="729"/>
  <c r="L26" i="729"/>
  <c r="K26" i="729"/>
  <c r="M32" i="729"/>
  <c r="L32" i="729"/>
  <c r="K32" i="729"/>
  <c r="B26" i="729"/>
  <c r="S16" i="729"/>
  <c r="T16" i="729"/>
  <c r="U16" i="729"/>
  <c r="V16" i="729"/>
  <c r="W16" i="729"/>
  <c r="X16" i="729"/>
  <c r="Y16" i="729"/>
  <c r="Z16" i="729"/>
  <c r="AA16" i="729"/>
  <c r="S17" i="729"/>
  <c r="T17" i="729"/>
  <c r="U17" i="729"/>
  <c r="V17" i="729"/>
  <c r="W17" i="729"/>
  <c r="X17" i="729"/>
  <c r="Y17" i="729"/>
  <c r="Z17" i="729"/>
  <c r="AA17" i="729"/>
  <c r="S18" i="729"/>
  <c r="T18" i="729"/>
  <c r="U18" i="729"/>
  <c r="V18" i="729"/>
  <c r="W18" i="729"/>
  <c r="X18" i="729"/>
  <c r="Y18" i="729"/>
  <c r="Z18" i="729"/>
  <c r="AA18" i="729"/>
  <c r="S19" i="729"/>
  <c r="T19" i="729"/>
  <c r="U19" i="729"/>
  <c r="V19" i="729"/>
  <c r="W19" i="729"/>
  <c r="X19" i="729"/>
  <c r="Y19" i="729"/>
  <c r="Z19" i="729"/>
  <c r="AA19" i="729"/>
  <c r="S20" i="729"/>
  <c r="T20" i="729"/>
  <c r="U20" i="729"/>
  <c r="V20" i="729"/>
  <c r="W20" i="729"/>
  <c r="X20" i="729"/>
  <c r="Y20" i="729"/>
  <c r="Z20" i="729"/>
  <c r="AA20" i="729"/>
  <c r="S21" i="729"/>
  <c r="T21" i="729"/>
  <c r="U21" i="729"/>
  <c r="V21" i="729"/>
  <c r="W21" i="729"/>
  <c r="X21" i="729"/>
  <c r="Y21" i="729"/>
  <c r="Z21" i="729"/>
  <c r="AA21" i="729"/>
  <c r="S22" i="729"/>
  <c r="T22" i="729"/>
  <c r="U22" i="729"/>
  <c r="V22" i="729"/>
  <c r="W22" i="729"/>
  <c r="X22" i="729"/>
  <c r="Y22" i="729"/>
  <c r="Z22" i="729"/>
  <c r="AA22" i="729"/>
  <c r="S23" i="729"/>
  <c r="T23" i="729"/>
  <c r="U23" i="729"/>
  <c r="V23" i="729"/>
  <c r="W23" i="729"/>
  <c r="X23" i="729"/>
  <c r="Y23" i="729"/>
  <c r="Z23" i="729"/>
  <c r="AA23" i="729"/>
  <c r="S24" i="729"/>
  <c r="T24" i="729"/>
  <c r="U24" i="729"/>
  <c r="V24" i="729"/>
  <c r="W24" i="729"/>
  <c r="X24" i="729"/>
  <c r="Y24" i="729"/>
  <c r="Z24" i="729"/>
  <c r="AA24" i="729"/>
  <c r="C19" i="729"/>
  <c r="D19" i="729"/>
  <c r="E19" i="729"/>
  <c r="F19" i="729"/>
  <c r="G19" i="729"/>
  <c r="K19" i="729"/>
  <c r="L19" i="729"/>
  <c r="M19" i="729"/>
  <c r="N19" i="729"/>
  <c r="O19" i="729"/>
  <c r="C17" i="729"/>
  <c r="D17" i="729"/>
  <c r="E17" i="729"/>
  <c r="F17" i="729"/>
  <c r="G17" i="729"/>
  <c r="I17" i="729"/>
  <c r="J17" i="729"/>
  <c r="K17" i="729"/>
  <c r="L17" i="729"/>
  <c r="M17" i="729"/>
  <c r="N17" i="729"/>
  <c r="O17" i="729"/>
  <c r="C11" i="729"/>
  <c r="D11" i="729"/>
  <c r="E11" i="729"/>
  <c r="F11" i="729"/>
  <c r="G11" i="729"/>
  <c r="I11" i="729"/>
  <c r="J11" i="729"/>
  <c r="K11" i="729"/>
  <c r="L11" i="729"/>
  <c r="M11" i="729"/>
  <c r="N11" i="729"/>
  <c r="O11" i="729"/>
  <c r="C12" i="729"/>
  <c r="D12" i="729"/>
  <c r="E12" i="729"/>
  <c r="F12" i="729"/>
  <c r="G12" i="729"/>
  <c r="I12" i="729"/>
  <c r="J12" i="729"/>
  <c r="K12" i="729"/>
  <c r="L12" i="729"/>
  <c r="M12" i="729"/>
  <c r="N12" i="729"/>
  <c r="O12" i="729"/>
  <c r="C13" i="729"/>
  <c r="D13" i="729"/>
  <c r="E13" i="729"/>
  <c r="F13" i="729"/>
  <c r="G13" i="729"/>
  <c r="I13" i="729"/>
  <c r="J13" i="729"/>
  <c r="K13" i="729"/>
  <c r="L13" i="729"/>
  <c r="M13" i="729"/>
  <c r="N13" i="729"/>
  <c r="O13" i="729"/>
  <c r="C14" i="729"/>
  <c r="D14" i="729"/>
  <c r="E14" i="729"/>
  <c r="F14" i="729"/>
  <c r="G14" i="729"/>
  <c r="I14" i="729"/>
  <c r="J14" i="729"/>
  <c r="K14" i="729"/>
  <c r="L14" i="729"/>
  <c r="M14" i="729"/>
  <c r="N14" i="729"/>
  <c r="O14" i="729"/>
  <c r="C15" i="729"/>
  <c r="D15" i="729"/>
  <c r="E15" i="729"/>
  <c r="F15" i="729"/>
  <c r="G15" i="729"/>
  <c r="I15" i="729"/>
  <c r="J15" i="729"/>
  <c r="K15" i="729"/>
  <c r="L15" i="729"/>
  <c r="M15" i="729"/>
  <c r="N15" i="729"/>
  <c r="O15" i="729"/>
  <c r="C16" i="729"/>
  <c r="D16" i="729"/>
  <c r="E16" i="729"/>
  <c r="F16" i="729"/>
  <c r="K16" i="729"/>
  <c r="L16" i="729"/>
  <c r="M16" i="729"/>
  <c r="N16" i="729"/>
  <c r="O16" i="729"/>
  <c r="O10" i="729"/>
  <c r="N10" i="729"/>
  <c r="M10" i="729"/>
  <c r="L10" i="729"/>
  <c r="K10" i="729"/>
  <c r="J10" i="729"/>
  <c r="I10" i="729"/>
  <c r="G10" i="729"/>
  <c r="F10" i="729"/>
  <c r="E10" i="729"/>
  <c r="D10" i="729"/>
  <c r="C10" i="729"/>
  <c r="J26" i="729" l="1"/>
  <c r="F68" i="729"/>
  <c r="AY58" i="729"/>
  <c r="AX58" i="729"/>
  <c r="AW58" i="729"/>
  <c r="AV58" i="729"/>
  <c r="AU58" i="729"/>
  <c r="AT58" i="729"/>
  <c r="AS58" i="729"/>
  <c r="AR58" i="729"/>
  <c r="AQ58" i="729"/>
  <c r="AP58" i="729"/>
  <c r="AO58" i="729"/>
  <c r="AN58" i="729"/>
  <c r="AM58" i="729"/>
  <c r="AL58" i="729"/>
  <c r="AK58" i="729"/>
  <c r="AJ58" i="729"/>
  <c r="AI58" i="729"/>
  <c r="AH58" i="729"/>
  <c r="AG58" i="729"/>
  <c r="AF58" i="729"/>
  <c r="AE58" i="729"/>
  <c r="AD58" i="729"/>
  <c r="AC58" i="729"/>
  <c r="AB58" i="729"/>
  <c r="AA58" i="729"/>
  <c r="Z58" i="729"/>
  <c r="Y58" i="729"/>
  <c r="X58" i="729"/>
  <c r="W58" i="729"/>
  <c r="V58" i="729"/>
  <c r="U58" i="729"/>
  <c r="K57" i="729"/>
  <c r="B57" i="729"/>
  <c r="K55" i="729"/>
  <c r="K50" i="729"/>
  <c r="M41" i="729" s="1"/>
  <c r="D48" i="729"/>
  <c r="B38" i="729"/>
  <c r="M33" i="729"/>
  <c r="M31" i="729"/>
  <c r="M29" i="729"/>
  <c r="M28" i="729"/>
  <c r="L28" i="729"/>
  <c r="K28" i="729"/>
  <c r="K27" i="729"/>
  <c r="AA25" i="729"/>
  <c r="Z25" i="729"/>
  <c r="Y25" i="729"/>
  <c r="X25" i="729"/>
  <c r="W25" i="729"/>
  <c r="V25" i="729"/>
  <c r="U25" i="729"/>
  <c r="T25" i="729"/>
  <c r="S25" i="729"/>
  <c r="AA15" i="729"/>
  <c r="Z15" i="729"/>
  <c r="Y15" i="729"/>
  <c r="X15" i="729"/>
  <c r="W15" i="729"/>
  <c r="V15" i="729"/>
  <c r="U15" i="729"/>
  <c r="T15" i="729"/>
  <c r="S15" i="729"/>
  <c r="AA14" i="729"/>
  <c r="Z14" i="729"/>
  <c r="Y14" i="729"/>
  <c r="X14" i="729"/>
  <c r="W14" i="729"/>
  <c r="V14" i="729"/>
  <c r="U14" i="729"/>
  <c r="T14" i="729"/>
  <c r="S14" i="729"/>
  <c r="AA13" i="729"/>
  <c r="Z13" i="729"/>
  <c r="Y13" i="729"/>
  <c r="X13" i="729"/>
  <c r="W13" i="729"/>
  <c r="V13" i="729"/>
  <c r="U13" i="729"/>
  <c r="T13" i="729"/>
  <c r="S13" i="729"/>
  <c r="AA12" i="729"/>
  <c r="Z12" i="729"/>
  <c r="Y12" i="729"/>
  <c r="X12" i="729"/>
  <c r="W12" i="729"/>
  <c r="V12" i="729"/>
  <c r="U12" i="729"/>
  <c r="T12" i="729"/>
  <c r="S12" i="729"/>
  <c r="AA11" i="729"/>
  <c r="Z11" i="729"/>
  <c r="Y11" i="729"/>
  <c r="X11" i="729"/>
  <c r="W11" i="729"/>
  <c r="V11" i="729"/>
  <c r="U11" i="729"/>
  <c r="T11" i="729"/>
  <c r="S11" i="729"/>
  <c r="AA10" i="729"/>
  <c r="Z10" i="729"/>
  <c r="Y10" i="729"/>
  <c r="X10" i="729"/>
  <c r="W10" i="729"/>
  <c r="V10" i="729"/>
  <c r="U10" i="729"/>
  <c r="T10" i="729"/>
  <c r="S10" i="729"/>
  <c r="K54" i="728"/>
  <c r="K56" i="728"/>
  <c r="K62" i="728" l="1"/>
  <c r="K36" i="729"/>
  <c r="J19" i="729"/>
  <c r="K63" i="729"/>
  <c r="I12" i="728"/>
  <c r="J16" i="728"/>
  <c r="I14" i="728"/>
  <c r="J14" i="728"/>
  <c r="J12" i="728"/>
  <c r="B56" i="728"/>
  <c r="L40" i="728"/>
  <c r="K26" i="728"/>
  <c r="C37" i="728"/>
  <c r="C38" i="728"/>
  <c r="C39" i="728"/>
  <c r="C40" i="728"/>
  <c r="C27" i="728"/>
  <c r="C28" i="728"/>
  <c r="C29" i="728"/>
  <c r="C30" i="728"/>
  <c r="C25" i="728"/>
  <c r="C26" i="728"/>
  <c r="B37" i="728"/>
  <c r="B25" i="728"/>
  <c r="L12" i="728"/>
  <c r="M12" i="728"/>
  <c r="N12" i="728"/>
  <c r="O12" i="728"/>
  <c r="J13" i="728"/>
  <c r="L13" i="728"/>
  <c r="M13" i="728"/>
  <c r="N13" i="728"/>
  <c r="O13" i="728"/>
  <c r="L14" i="728"/>
  <c r="M14" i="728"/>
  <c r="N14" i="728"/>
  <c r="O14" i="728"/>
  <c r="I15" i="728"/>
  <c r="J15" i="728"/>
  <c r="L15" i="728"/>
  <c r="M15" i="728"/>
  <c r="N15" i="728"/>
  <c r="O15" i="728"/>
  <c r="I16" i="728"/>
  <c r="L16" i="728"/>
  <c r="M16" i="728"/>
  <c r="N16" i="728"/>
  <c r="O16" i="728"/>
  <c r="L17" i="728"/>
  <c r="M17" i="728"/>
  <c r="N17" i="728"/>
  <c r="O17" i="728"/>
  <c r="C12" i="728"/>
  <c r="D12" i="728"/>
  <c r="E12" i="728"/>
  <c r="F12" i="728"/>
  <c r="G12" i="728"/>
  <c r="C13" i="728"/>
  <c r="D13" i="728"/>
  <c r="E13" i="728"/>
  <c r="F13" i="728"/>
  <c r="G13" i="728"/>
  <c r="C14" i="728"/>
  <c r="D14" i="728"/>
  <c r="E14" i="728"/>
  <c r="F14" i="728"/>
  <c r="G14" i="728"/>
  <c r="C15" i="728"/>
  <c r="D15" i="728"/>
  <c r="E15" i="728"/>
  <c r="F15" i="728"/>
  <c r="G15" i="728"/>
  <c r="C16" i="728"/>
  <c r="D16" i="728"/>
  <c r="E16" i="728"/>
  <c r="F16" i="728"/>
  <c r="G16" i="728"/>
  <c r="C17" i="728"/>
  <c r="D17" i="728"/>
  <c r="E17" i="728"/>
  <c r="F17" i="728"/>
  <c r="G17" i="728"/>
  <c r="F67" i="728"/>
  <c r="AY57" i="728"/>
  <c r="AX57" i="728"/>
  <c r="AW57" i="728"/>
  <c r="AV57" i="728"/>
  <c r="AU57" i="728"/>
  <c r="AT57" i="728"/>
  <c r="AS57" i="728"/>
  <c r="AR57" i="728"/>
  <c r="AQ57" i="728"/>
  <c r="AP57" i="728"/>
  <c r="AO57" i="728"/>
  <c r="AN57" i="728"/>
  <c r="AM57" i="728"/>
  <c r="AL57" i="728"/>
  <c r="AK57" i="728"/>
  <c r="AJ57" i="728"/>
  <c r="AI57" i="728"/>
  <c r="AH57" i="728"/>
  <c r="AG57" i="728"/>
  <c r="AF57" i="728"/>
  <c r="AE57" i="728"/>
  <c r="AD57" i="728"/>
  <c r="AC57" i="728"/>
  <c r="AB57" i="728"/>
  <c r="AA57" i="728"/>
  <c r="Z57" i="728"/>
  <c r="Y57" i="728"/>
  <c r="X57" i="728"/>
  <c r="W57" i="728"/>
  <c r="V57" i="728"/>
  <c r="U57" i="728"/>
  <c r="K49" i="728"/>
  <c r="M40" i="728" s="1"/>
  <c r="D47" i="728"/>
  <c r="M32" i="728"/>
  <c r="M31" i="728"/>
  <c r="M30" i="728"/>
  <c r="M28" i="728"/>
  <c r="M27" i="728"/>
  <c r="L27" i="728"/>
  <c r="K27" i="728"/>
  <c r="M25" i="728"/>
  <c r="AA24" i="728"/>
  <c r="Z24" i="728"/>
  <c r="Y24" i="728"/>
  <c r="X24" i="728"/>
  <c r="W24" i="728"/>
  <c r="V24" i="728"/>
  <c r="U24" i="728"/>
  <c r="T24" i="728"/>
  <c r="S24" i="728"/>
  <c r="AA23" i="728"/>
  <c r="Z23" i="728"/>
  <c r="Y23" i="728"/>
  <c r="X23" i="728"/>
  <c r="W23" i="728"/>
  <c r="V23" i="728"/>
  <c r="U23" i="728"/>
  <c r="T23" i="728"/>
  <c r="S23" i="728"/>
  <c r="AA22" i="728"/>
  <c r="Z22" i="728"/>
  <c r="Y22" i="728"/>
  <c r="X22" i="728"/>
  <c r="W22" i="728"/>
  <c r="V22" i="728"/>
  <c r="U22" i="728"/>
  <c r="T22" i="728"/>
  <c r="S22" i="728"/>
  <c r="AA21" i="728"/>
  <c r="Z21" i="728"/>
  <c r="Y21" i="728"/>
  <c r="X21" i="728"/>
  <c r="W21" i="728"/>
  <c r="V21" i="728"/>
  <c r="U21" i="728"/>
  <c r="T21" i="728"/>
  <c r="S21" i="728"/>
  <c r="AA20" i="728"/>
  <c r="Z20" i="728"/>
  <c r="Y20" i="728"/>
  <c r="X20" i="728"/>
  <c r="W20" i="728"/>
  <c r="V20" i="728"/>
  <c r="U20" i="728"/>
  <c r="T20" i="728"/>
  <c r="S20" i="728"/>
  <c r="AA19" i="728"/>
  <c r="Z19" i="728"/>
  <c r="Y19" i="728"/>
  <c r="X19" i="728"/>
  <c r="W19" i="728"/>
  <c r="V19" i="728"/>
  <c r="U19" i="728"/>
  <c r="T19" i="728"/>
  <c r="S19" i="728"/>
  <c r="AA18" i="728"/>
  <c r="Z18" i="728"/>
  <c r="Y18" i="728"/>
  <c r="X18" i="728"/>
  <c r="W18" i="728"/>
  <c r="V18" i="728"/>
  <c r="U18" i="728"/>
  <c r="T18" i="728"/>
  <c r="S18" i="728"/>
  <c r="AA17" i="728"/>
  <c r="Z17" i="728"/>
  <c r="Y17" i="728"/>
  <c r="X17" i="728"/>
  <c r="W17" i="728"/>
  <c r="V17" i="728"/>
  <c r="U17" i="728"/>
  <c r="T17" i="728"/>
  <c r="S17" i="728"/>
  <c r="AA16" i="728"/>
  <c r="Z16" i="728"/>
  <c r="Y16" i="728"/>
  <c r="X16" i="728"/>
  <c r="W16" i="728"/>
  <c r="V16" i="728"/>
  <c r="U16" i="728"/>
  <c r="T16" i="728"/>
  <c r="S16" i="728"/>
  <c r="AA15" i="728"/>
  <c r="Z15" i="728"/>
  <c r="Y15" i="728"/>
  <c r="X15" i="728"/>
  <c r="W15" i="728"/>
  <c r="V15" i="728"/>
  <c r="U15" i="728"/>
  <c r="T15" i="728"/>
  <c r="S15" i="728"/>
  <c r="AA14" i="728"/>
  <c r="Z14" i="728"/>
  <c r="Y14" i="728"/>
  <c r="X14" i="728"/>
  <c r="W14" i="728"/>
  <c r="V14" i="728"/>
  <c r="U14" i="728"/>
  <c r="T14" i="728"/>
  <c r="S14" i="728"/>
  <c r="AA13" i="728"/>
  <c r="Z13" i="728"/>
  <c r="Y13" i="728"/>
  <c r="X13" i="728"/>
  <c r="W13" i="728"/>
  <c r="V13" i="728"/>
  <c r="U13" i="728"/>
  <c r="T13" i="728"/>
  <c r="S13" i="728"/>
  <c r="AA12" i="728"/>
  <c r="Z12" i="728"/>
  <c r="Y12" i="728"/>
  <c r="X12" i="728"/>
  <c r="W12" i="728"/>
  <c r="V12" i="728"/>
  <c r="U12" i="728"/>
  <c r="T12" i="728"/>
  <c r="S12" i="728"/>
  <c r="AA11" i="728"/>
  <c r="Z11" i="728"/>
  <c r="Y11" i="728"/>
  <c r="X11" i="728"/>
  <c r="W11" i="728"/>
  <c r="V11" i="728"/>
  <c r="U11" i="728"/>
  <c r="T11" i="728"/>
  <c r="S11" i="728"/>
  <c r="AA10" i="728"/>
  <c r="Z10" i="728"/>
  <c r="Y10" i="728"/>
  <c r="X10" i="728"/>
  <c r="W10" i="728"/>
  <c r="V10" i="728"/>
  <c r="U10" i="728"/>
  <c r="T10" i="728"/>
  <c r="S10" i="728"/>
  <c r="K26" i="727"/>
  <c r="C11" i="727"/>
  <c r="D11" i="727"/>
  <c r="E11" i="727"/>
  <c r="F11" i="727"/>
  <c r="G11" i="727"/>
  <c r="L11" i="727"/>
  <c r="M11" i="727"/>
  <c r="N11" i="727"/>
  <c r="O11" i="727"/>
  <c r="O10" i="727"/>
  <c r="N10" i="727"/>
  <c r="M10" i="727"/>
  <c r="L10" i="727"/>
  <c r="G10" i="727"/>
  <c r="F10" i="727"/>
  <c r="E10" i="727"/>
  <c r="D10" i="727"/>
  <c r="C10" i="727"/>
  <c r="I19" i="729" l="1"/>
  <c r="J32" i="729" s="1"/>
  <c r="I13" i="728"/>
  <c r="K35" i="728"/>
  <c r="F67" i="727"/>
  <c r="AY57" i="727"/>
  <c r="AX57" i="727"/>
  <c r="AW57" i="727"/>
  <c r="AV57" i="727"/>
  <c r="AU57" i="727"/>
  <c r="AT57" i="727"/>
  <c r="AS57" i="727"/>
  <c r="AR57" i="727"/>
  <c r="AQ57" i="727"/>
  <c r="AP57" i="727"/>
  <c r="AO57" i="727"/>
  <c r="AN57" i="727"/>
  <c r="AM57" i="727"/>
  <c r="AL57" i="727"/>
  <c r="AK57" i="727"/>
  <c r="AJ57" i="727"/>
  <c r="AI57" i="727"/>
  <c r="AH57" i="727"/>
  <c r="AG57" i="727"/>
  <c r="AF57" i="727"/>
  <c r="AE57" i="727"/>
  <c r="AD57" i="727"/>
  <c r="AC57" i="727"/>
  <c r="AB57" i="727"/>
  <c r="AA57" i="727"/>
  <c r="Z57" i="727"/>
  <c r="Y57" i="727"/>
  <c r="X57" i="727"/>
  <c r="W57" i="727"/>
  <c r="V57" i="727"/>
  <c r="U57" i="727"/>
  <c r="L56" i="727"/>
  <c r="H56" i="727"/>
  <c r="B56" i="727"/>
  <c r="L54" i="727"/>
  <c r="K49" i="727"/>
  <c r="D47" i="727"/>
  <c r="M32" i="727"/>
  <c r="M31" i="727"/>
  <c r="M30" i="727"/>
  <c r="M28" i="727"/>
  <c r="M27" i="727"/>
  <c r="L27" i="727"/>
  <c r="K27" i="727"/>
  <c r="K35" i="727" s="1"/>
  <c r="M25" i="727"/>
  <c r="AA24" i="727"/>
  <c r="Z24" i="727"/>
  <c r="Y24" i="727"/>
  <c r="X24" i="727"/>
  <c r="W24" i="727"/>
  <c r="V24" i="727"/>
  <c r="U24" i="727"/>
  <c r="T24" i="727"/>
  <c r="S24" i="727"/>
  <c r="AA23" i="727"/>
  <c r="Z23" i="727"/>
  <c r="Y23" i="727"/>
  <c r="X23" i="727"/>
  <c r="W23" i="727"/>
  <c r="V23" i="727"/>
  <c r="U23" i="727"/>
  <c r="T23" i="727"/>
  <c r="S23" i="727"/>
  <c r="AA22" i="727"/>
  <c r="Z22" i="727"/>
  <c r="Y22" i="727"/>
  <c r="X22" i="727"/>
  <c r="W22" i="727"/>
  <c r="V22" i="727"/>
  <c r="U22" i="727"/>
  <c r="T22" i="727"/>
  <c r="S22" i="727"/>
  <c r="AA21" i="727"/>
  <c r="Z21" i="727"/>
  <c r="Y21" i="727"/>
  <c r="X21" i="727"/>
  <c r="W21" i="727"/>
  <c r="V21" i="727"/>
  <c r="U21" i="727"/>
  <c r="T21" i="727"/>
  <c r="S21" i="727"/>
  <c r="AA20" i="727"/>
  <c r="Z20" i="727"/>
  <c r="Y20" i="727"/>
  <c r="X20" i="727"/>
  <c r="W20" i="727"/>
  <c r="V20" i="727"/>
  <c r="U20" i="727"/>
  <c r="T20" i="727"/>
  <c r="S20" i="727"/>
  <c r="AA19" i="727"/>
  <c r="Z19" i="727"/>
  <c r="Y19" i="727"/>
  <c r="X19" i="727"/>
  <c r="W19" i="727"/>
  <c r="V19" i="727"/>
  <c r="U19" i="727"/>
  <c r="T19" i="727"/>
  <c r="S19" i="727"/>
  <c r="AA18" i="727"/>
  <c r="Z18" i="727"/>
  <c r="Y18" i="727"/>
  <c r="X18" i="727"/>
  <c r="W18" i="727"/>
  <c r="V18" i="727"/>
  <c r="U18" i="727"/>
  <c r="T18" i="727"/>
  <c r="S18" i="727"/>
  <c r="AA17" i="727"/>
  <c r="Z17" i="727"/>
  <c r="Y17" i="727"/>
  <c r="X17" i="727"/>
  <c r="W17" i="727"/>
  <c r="V17" i="727"/>
  <c r="U17" i="727"/>
  <c r="T17" i="727"/>
  <c r="S17" i="727"/>
  <c r="AA16" i="727"/>
  <c r="Z16" i="727"/>
  <c r="Y16" i="727"/>
  <c r="X16" i="727"/>
  <c r="W16" i="727"/>
  <c r="V16" i="727"/>
  <c r="U16" i="727"/>
  <c r="T16" i="727"/>
  <c r="S16" i="727"/>
  <c r="AA15" i="727"/>
  <c r="Z15" i="727"/>
  <c r="Y15" i="727"/>
  <c r="X15" i="727"/>
  <c r="W15" i="727"/>
  <c r="V15" i="727"/>
  <c r="U15" i="727"/>
  <c r="T15" i="727"/>
  <c r="S15" i="727"/>
  <c r="AA14" i="727"/>
  <c r="Z14" i="727"/>
  <c r="Y14" i="727"/>
  <c r="X14" i="727"/>
  <c r="W14" i="727"/>
  <c r="V14" i="727"/>
  <c r="U14" i="727"/>
  <c r="T14" i="727"/>
  <c r="S14" i="727"/>
  <c r="AA13" i="727"/>
  <c r="Z13" i="727"/>
  <c r="Y13" i="727"/>
  <c r="X13" i="727"/>
  <c r="W13" i="727"/>
  <c r="V13" i="727"/>
  <c r="U13" i="727"/>
  <c r="T13" i="727"/>
  <c r="S13" i="727"/>
  <c r="AA12" i="727"/>
  <c r="Z12" i="727"/>
  <c r="Y12" i="727"/>
  <c r="X12" i="727"/>
  <c r="W12" i="727"/>
  <c r="V12" i="727"/>
  <c r="U12" i="727"/>
  <c r="T12" i="727"/>
  <c r="S12" i="727"/>
  <c r="AA11" i="727"/>
  <c r="Z11" i="727"/>
  <c r="Y11" i="727"/>
  <c r="X11" i="727"/>
  <c r="W11" i="727"/>
  <c r="V11" i="727"/>
  <c r="U11" i="727"/>
  <c r="T11" i="727"/>
  <c r="S11" i="727"/>
  <c r="AA10" i="727"/>
  <c r="Z10" i="727"/>
  <c r="Y10" i="727"/>
  <c r="X10" i="727"/>
  <c r="W10" i="727"/>
  <c r="V10" i="727"/>
  <c r="U10" i="727"/>
  <c r="T10" i="727"/>
  <c r="S10" i="727"/>
  <c r="L40" i="727" l="1"/>
  <c r="M40" i="727" s="1"/>
  <c r="I56" i="727"/>
  <c r="J60" i="19"/>
  <c r="J61" i="19"/>
  <c r="J63" i="19"/>
  <c r="G60" i="19"/>
  <c r="G63" i="19"/>
  <c r="G64" i="19"/>
  <c r="J57" i="18"/>
  <c r="J58" i="18"/>
  <c r="J59" i="18"/>
  <c r="J60" i="18"/>
  <c r="J61" i="18"/>
  <c r="J62" i="18"/>
  <c r="J63" i="18"/>
  <c r="J64" i="18"/>
  <c r="G60" i="18"/>
  <c r="G63" i="18"/>
  <c r="G64" i="18"/>
  <c r="D60" i="18"/>
  <c r="D63" i="18"/>
  <c r="D64" i="18"/>
  <c r="K54" i="726"/>
  <c r="K62" i="726" s="1"/>
  <c r="B56" i="726"/>
  <c r="G56" i="726" l="1"/>
  <c r="K56" i="726"/>
  <c r="K63" i="726" s="1"/>
  <c r="J64" i="19" l="1"/>
  <c r="C37" i="726"/>
  <c r="C38" i="726"/>
  <c r="C39" i="726"/>
  <c r="C40" i="726"/>
  <c r="C41" i="726"/>
  <c r="C42" i="726"/>
  <c r="C43" i="726"/>
  <c r="C44" i="726"/>
  <c r="C25" i="726"/>
  <c r="C26" i="726"/>
  <c r="C27" i="726"/>
  <c r="C28" i="726"/>
  <c r="J58" i="19" l="1"/>
  <c r="J57" i="19"/>
  <c r="J59" i="19"/>
  <c r="J62" i="19"/>
  <c r="B37" i="726" l="1"/>
  <c r="B25" i="726"/>
  <c r="M27" i="726"/>
  <c r="L27" i="726"/>
  <c r="K27" i="726"/>
  <c r="M40" i="726" l="1"/>
  <c r="C15" i="726" l="1"/>
  <c r="D15" i="726"/>
  <c r="E15" i="726"/>
  <c r="F15" i="726"/>
  <c r="G15" i="726"/>
  <c r="I15" i="726"/>
  <c r="J27" i="726" s="1"/>
  <c r="J15" i="726"/>
  <c r="L15" i="726"/>
  <c r="M15" i="726"/>
  <c r="N15" i="726"/>
  <c r="O15" i="726"/>
  <c r="F67" i="726" l="1"/>
  <c r="AY57" i="726"/>
  <c r="AX57" i="726"/>
  <c r="AW57" i="726"/>
  <c r="AV57" i="726"/>
  <c r="AU57" i="726"/>
  <c r="AT57" i="726"/>
  <c r="AS57" i="726"/>
  <c r="AR57" i="726"/>
  <c r="AQ57" i="726"/>
  <c r="AP57" i="726"/>
  <c r="AO57" i="726"/>
  <c r="AN57" i="726"/>
  <c r="AM57" i="726"/>
  <c r="AL57" i="726"/>
  <c r="AK57" i="726"/>
  <c r="AJ57" i="726"/>
  <c r="AI57" i="726"/>
  <c r="AH57" i="726"/>
  <c r="AG57" i="726"/>
  <c r="AF57" i="726"/>
  <c r="AE57" i="726"/>
  <c r="AD57" i="726"/>
  <c r="AC57" i="726"/>
  <c r="AB57" i="726"/>
  <c r="AA57" i="726"/>
  <c r="Z57" i="726"/>
  <c r="Y57" i="726"/>
  <c r="X57" i="726"/>
  <c r="W57" i="726"/>
  <c r="V57" i="726"/>
  <c r="U57" i="726"/>
  <c r="D47" i="726"/>
  <c r="K49" i="726"/>
  <c r="L40" i="726" s="1"/>
  <c r="M32" i="726"/>
  <c r="M31" i="726"/>
  <c r="M30" i="726"/>
  <c r="M28" i="726"/>
  <c r="M26" i="726"/>
  <c r="M25" i="726"/>
  <c r="AA24" i="726"/>
  <c r="Z24" i="726"/>
  <c r="Y24" i="726"/>
  <c r="X24" i="726"/>
  <c r="W24" i="726"/>
  <c r="V24" i="726"/>
  <c r="U24" i="726"/>
  <c r="T24" i="726"/>
  <c r="S24" i="726"/>
  <c r="AA23" i="726"/>
  <c r="Z23" i="726"/>
  <c r="Y23" i="726"/>
  <c r="X23" i="726"/>
  <c r="W23" i="726"/>
  <c r="V23" i="726"/>
  <c r="U23" i="726"/>
  <c r="T23" i="726"/>
  <c r="S23" i="726"/>
  <c r="AA22" i="726"/>
  <c r="Z22" i="726"/>
  <c r="Y22" i="726"/>
  <c r="X22" i="726"/>
  <c r="W22" i="726"/>
  <c r="V22" i="726"/>
  <c r="U22" i="726"/>
  <c r="T22" i="726"/>
  <c r="S22" i="726"/>
  <c r="AA21" i="726"/>
  <c r="Z21" i="726"/>
  <c r="Y21" i="726"/>
  <c r="X21" i="726"/>
  <c r="W21" i="726"/>
  <c r="V21" i="726"/>
  <c r="U21" i="726"/>
  <c r="T21" i="726"/>
  <c r="S21" i="726"/>
  <c r="AA20" i="726"/>
  <c r="Z20" i="726"/>
  <c r="Y20" i="726"/>
  <c r="X20" i="726"/>
  <c r="W20" i="726"/>
  <c r="V20" i="726"/>
  <c r="U20" i="726"/>
  <c r="T20" i="726"/>
  <c r="S20" i="726"/>
  <c r="AA19" i="726"/>
  <c r="Z19" i="726"/>
  <c r="Y19" i="726"/>
  <c r="X19" i="726"/>
  <c r="W19" i="726"/>
  <c r="V19" i="726"/>
  <c r="U19" i="726"/>
  <c r="T19" i="726"/>
  <c r="S19" i="726"/>
  <c r="AA18" i="726"/>
  <c r="Z18" i="726"/>
  <c r="Y18" i="726"/>
  <c r="X18" i="726"/>
  <c r="W18" i="726"/>
  <c r="V18" i="726"/>
  <c r="U18" i="726"/>
  <c r="T18" i="726"/>
  <c r="S18" i="726"/>
  <c r="AA17" i="726"/>
  <c r="Z17" i="726"/>
  <c r="Y17" i="726"/>
  <c r="X17" i="726"/>
  <c r="W17" i="726"/>
  <c r="V17" i="726"/>
  <c r="U17" i="726"/>
  <c r="T17" i="726"/>
  <c r="S17" i="726"/>
  <c r="AA16" i="726"/>
  <c r="Z16" i="726"/>
  <c r="Y16" i="726"/>
  <c r="X16" i="726"/>
  <c r="W16" i="726"/>
  <c r="V16" i="726"/>
  <c r="U16" i="726"/>
  <c r="T16" i="726"/>
  <c r="S16" i="726"/>
  <c r="AA15" i="726"/>
  <c r="Z15" i="726"/>
  <c r="Y15" i="726"/>
  <c r="X15" i="726"/>
  <c r="W15" i="726"/>
  <c r="V15" i="726"/>
  <c r="U15" i="726"/>
  <c r="T15" i="726"/>
  <c r="S15" i="726"/>
  <c r="AA14" i="726"/>
  <c r="Z14" i="726"/>
  <c r="Y14" i="726"/>
  <c r="X14" i="726"/>
  <c r="W14" i="726"/>
  <c r="V14" i="726"/>
  <c r="U14" i="726"/>
  <c r="T14" i="726"/>
  <c r="S14" i="726"/>
  <c r="AA13" i="726"/>
  <c r="Z13" i="726"/>
  <c r="Y13" i="726"/>
  <c r="X13" i="726"/>
  <c r="W13" i="726"/>
  <c r="V13" i="726"/>
  <c r="U13" i="726"/>
  <c r="T13" i="726"/>
  <c r="S13" i="726"/>
  <c r="AA12" i="726"/>
  <c r="Z12" i="726"/>
  <c r="Y12" i="726"/>
  <c r="X12" i="726"/>
  <c r="W12" i="726"/>
  <c r="V12" i="726"/>
  <c r="U12" i="726"/>
  <c r="T12" i="726"/>
  <c r="S12" i="726"/>
  <c r="AA11" i="726"/>
  <c r="Z11" i="726"/>
  <c r="Y11" i="726"/>
  <c r="X11" i="726"/>
  <c r="W11" i="726"/>
  <c r="V11" i="726"/>
  <c r="U11" i="726"/>
  <c r="T11" i="726"/>
  <c r="S11" i="726"/>
  <c r="AA10" i="726"/>
  <c r="Z10" i="726"/>
  <c r="Y10" i="726"/>
  <c r="X10" i="726"/>
  <c r="W10" i="726"/>
  <c r="V10" i="726"/>
  <c r="U10" i="726"/>
  <c r="T10" i="726"/>
  <c r="S10" i="726"/>
  <c r="K35" i="726" l="1"/>
  <c r="L35" i="726" s="1"/>
  <c r="M35" i="726" s="1"/>
  <c r="F94" i="658" l="1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4" i="658"/>
  <c r="L65" i="658" s="1"/>
  <c r="M65" i="658" s="1"/>
  <c r="D72" i="658"/>
  <c r="M58" i="658"/>
  <c r="M57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H40" i="21" l="1"/>
  <c r="H41" i="21"/>
  <c r="H44" i="21"/>
  <c r="D40" i="21" l="1"/>
  <c r="D41" i="21"/>
  <c r="D44" i="21"/>
  <c r="D45" i="21"/>
  <c r="D47" i="21"/>
  <c r="N47" i="21" l="1"/>
  <c r="F38" i="21" l="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C33" i="18" l="1"/>
  <c r="I20" i="18"/>
  <c r="C33" i="19"/>
  <c r="D40" i="19"/>
  <c r="I20" i="19"/>
  <c r="D40" i="18"/>
  <c r="O47" i="21" l="1"/>
  <c r="E44" i="21" l="1"/>
  <c r="E41" i="21" l="1"/>
  <c r="E40" i="21"/>
  <c r="E47" i="21" l="1"/>
  <c r="F47" i="21" l="1"/>
  <c r="G47" i="21" l="1"/>
  <c r="H47" i="21" l="1"/>
  <c r="E7" i="21" l="1"/>
  <c r="P42" i="21"/>
  <c r="F7" i="21" s="1"/>
  <c r="E6" i="21" l="1"/>
  <c r="E9" i="21" l="1"/>
  <c r="E8" i="21"/>
  <c r="E5" i="21"/>
  <c r="I47" i="21"/>
  <c r="E10" i="21" l="1"/>
  <c r="J47" i="21" l="1"/>
  <c r="P45" i="21" l="1"/>
  <c r="F9" i="21" s="1"/>
  <c r="K47" i="21" l="1"/>
  <c r="L47" i="21" l="1"/>
  <c r="P40" i="21" l="1"/>
  <c r="F5" i="21" s="1"/>
  <c r="P44" i="21" l="1"/>
  <c r="F8" i="21" s="1"/>
  <c r="P41" i="21"/>
  <c r="F6" i="21" s="1"/>
  <c r="M47" i="21" l="1"/>
  <c r="P47" i="21" s="1"/>
  <c r="F10" i="21" s="1"/>
  <c r="L56" i="658" l="1"/>
  <c r="L59" i="658" s="1"/>
  <c r="M59" i="658" s="1"/>
  <c r="M56" i="658"/>
  <c r="G79" i="658" l="1"/>
  <c r="K79" i="658" l="1"/>
  <c r="K90" i="658" s="1"/>
  <c r="D79" i="658" l="1"/>
  <c r="L79" i="658" s="1"/>
  <c r="C90" i="658" s="1"/>
  <c r="G90" i="658"/>
  <c r="K15" i="726" l="1"/>
  <c r="J11" i="727" l="1"/>
  <c r="J10" i="727"/>
  <c r="I10" i="727" l="1"/>
  <c r="I11" i="727"/>
  <c r="L26" i="727" l="1"/>
  <c r="L35" i="727" s="1"/>
  <c r="M35" i="727" s="1"/>
  <c r="J26" i="727"/>
  <c r="M26" i="727"/>
  <c r="J17" i="728" l="1"/>
  <c r="M27" i="729" l="1"/>
  <c r="L27" i="729"/>
  <c r="L36" i="729" s="1"/>
  <c r="M36" i="729" s="1"/>
  <c r="I17" i="728"/>
  <c r="J26" i="728" s="1"/>
  <c r="L26" i="728"/>
  <c r="L35" i="728" s="1"/>
  <c r="M35" i="728" s="1"/>
  <c r="M26" i="728"/>
  <c r="I34" i="733" l="1"/>
  <c r="I35" i="733"/>
  <c r="I36" i="733"/>
  <c r="I38" i="733"/>
  <c r="I40" i="733"/>
  <c r="I41" i="733"/>
  <c r="J41" i="733" l="1"/>
  <c r="J40" i="733"/>
  <c r="J37" i="733"/>
  <c r="I37" i="733"/>
  <c r="I39" i="733"/>
  <c r="J38" i="733"/>
  <c r="J39" i="733"/>
  <c r="J35" i="733"/>
  <c r="J36" i="733"/>
  <c r="M103" i="733" l="1"/>
  <c r="L103" i="733"/>
  <c r="J34" i="733"/>
  <c r="J103" i="733" s="1"/>
  <c r="M109" i="733" l="1"/>
  <c r="L109" i="733"/>
  <c r="L113" i="733" s="1"/>
  <c r="M113" i="733" s="1"/>
  <c r="M40" i="732"/>
  <c r="L40" i="732"/>
  <c r="L44" i="732" s="1"/>
  <c r="M44" i="732" s="1"/>
  <c r="I12" i="730"/>
  <c r="L32" i="731"/>
  <c r="L36" i="731" s="1"/>
  <c r="M36" i="731" s="1"/>
  <c r="M32" i="731"/>
  <c r="L42" i="730"/>
  <c r="L46" i="730" s="1"/>
  <c r="M46" i="730" s="1"/>
  <c r="M42" i="730"/>
  <c r="M33" i="736" l="1"/>
  <c r="L33" i="736"/>
  <c r="L41" i="736" s="1"/>
  <c r="M41" i="736" s="1"/>
  <c r="I14" i="736"/>
  <c r="J33" i="736" s="1"/>
  <c r="L25" i="733" l="1"/>
  <c r="L26" i="733"/>
  <c r="L27" i="733"/>
  <c r="L28" i="733"/>
  <c r="L29" i="733"/>
  <c r="L30" i="733"/>
  <c r="L31" i="733"/>
  <c r="K20" i="737"/>
  <c r="K21" i="737"/>
  <c r="K22" i="737"/>
  <c r="K23" i="737"/>
  <c r="K24" i="737"/>
  <c r="K25" i="737"/>
  <c r="K28" i="737"/>
  <c r="K29" i="737"/>
  <c r="K20" i="731"/>
  <c r="K21" i="731"/>
  <c r="L10" i="732"/>
  <c r="L11" i="732"/>
  <c r="L12" i="732"/>
  <c r="L13" i="732"/>
  <c r="L24" i="733"/>
  <c r="K19" i="731"/>
  <c r="K18" i="731"/>
  <c r="K17" i="728"/>
  <c r="K16" i="728"/>
  <c r="K15" i="728"/>
  <c r="K14" i="728"/>
  <c r="K13" i="728"/>
  <c r="K12" i="728"/>
  <c r="K11" i="727"/>
  <c r="K10" i="727"/>
  <c r="N12" i="741" l="1"/>
  <c r="J12" i="741"/>
  <c r="I12" i="741" l="1"/>
  <c r="J24" i="741" s="1"/>
  <c r="K64" i="743" l="1"/>
  <c r="K70" i="743" s="1"/>
  <c r="J56" i="18" l="1"/>
  <c r="J65" i="18"/>
  <c r="J56" i="19"/>
  <c r="J65" i="19" l="1"/>
  <c r="G64" i="744" l="1"/>
  <c r="G64" i="743"/>
  <c r="G66" i="742"/>
  <c r="G60" i="738"/>
  <c r="G60" i="736"/>
  <c r="G134" i="734"/>
  <c r="G54" i="728"/>
  <c r="G57" i="729"/>
  <c r="G55" i="729"/>
  <c r="G56" i="728"/>
  <c r="G54" i="726"/>
  <c r="G55" i="731" l="1"/>
  <c r="G53" i="741"/>
  <c r="G132" i="733"/>
  <c r="D64" i="742" l="1"/>
  <c r="L64" i="742" s="1"/>
  <c r="F63" i="740"/>
  <c r="I63" i="740" s="1"/>
  <c r="F132" i="734"/>
  <c r="I132" i="734" s="1"/>
  <c r="F134" i="734"/>
  <c r="I134" i="734" s="1"/>
  <c r="D60" i="19"/>
  <c r="D63" i="19"/>
  <c r="D64" i="19"/>
  <c r="D60" i="735"/>
  <c r="L60" i="735" s="1"/>
  <c r="C71" i="735" s="1"/>
  <c r="D132" i="734"/>
  <c r="G141" i="734" l="1"/>
  <c r="D65" i="730"/>
  <c r="L65" i="730" s="1"/>
  <c r="C74" i="730" s="1"/>
  <c r="D60" i="738"/>
  <c r="L60" i="738" s="1"/>
  <c r="C68" i="738" s="1"/>
  <c r="G68" i="738"/>
  <c r="D60" i="739"/>
  <c r="D64" i="743"/>
  <c r="L64" i="743" s="1"/>
  <c r="C70" i="743" s="1"/>
  <c r="G140" i="733"/>
  <c r="D55" i="729"/>
  <c r="L55" i="729" s="1"/>
  <c r="G68" i="736"/>
  <c r="D66" i="744"/>
  <c r="L66" i="744" s="1"/>
  <c r="C72" i="744" s="1"/>
  <c r="G63" i="731"/>
  <c r="D66" i="742"/>
  <c r="L66" i="742" s="1"/>
  <c r="C72" i="742" s="1"/>
  <c r="G61" i="741"/>
  <c r="D62" i="19"/>
  <c r="D62" i="18"/>
  <c r="D56" i="726"/>
  <c r="G63" i="726"/>
  <c r="D57" i="729"/>
  <c r="L57" i="729" s="1"/>
  <c r="D67" i="730"/>
  <c r="L67" i="730" s="1"/>
  <c r="C75" i="730" s="1"/>
  <c r="G75" i="730"/>
  <c r="D59" i="19"/>
  <c r="D59" i="18"/>
  <c r="D57" i="19"/>
  <c r="G72" i="742"/>
  <c r="D56" i="741"/>
  <c r="L56" i="741" s="1"/>
  <c r="C62" i="741" s="1"/>
  <c r="G62" i="741"/>
  <c r="G140" i="734"/>
  <c r="D134" i="734"/>
  <c r="G70" i="743"/>
  <c r="F56" i="728"/>
  <c r="I56" i="728" s="1"/>
  <c r="D57" i="731"/>
  <c r="L57" i="731" s="1"/>
  <c r="C69" i="731" s="1"/>
  <c r="G71" i="735"/>
  <c r="F60" i="739"/>
  <c r="I60" i="739" s="1"/>
  <c r="G69" i="731"/>
  <c r="F56" i="726"/>
  <c r="I56" i="726" s="1"/>
  <c r="L132" i="734"/>
  <c r="C141" i="734" s="1"/>
  <c r="H132" i="734"/>
  <c r="D68" i="742"/>
  <c r="L68" i="742" s="1"/>
  <c r="C73" i="742" s="1"/>
  <c r="F132" i="733"/>
  <c r="I132" i="733" s="1"/>
  <c r="F104" i="737"/>
  <c r="I104" i="737" s="1"/>
  <c r="G70" i="744"/>
  <c r="D64" i="744"/>
  <c r="L64" i="744" s="1"/>
  <c r="C70" i="744" s="1"/>
  <c r="D104" i="737"/>
  <c r="G113" i="737"/>
  <c r="D57" i="18" l="1"/>
  <c r="G74" i="730"/>
  <c r="D56" i="728"/>
  <c r="D53" i="741"/>
  <c r="L53" i="741" s="1"/>
  <c r="C61" i="741" s="1"/>
  <c r="D54" i="728"/>
  <c r="L54" i="728" s="1"/>
  <c r="D55" i="731"/>
  <c r="L55" i="731" s="1"/>
  <c r="C63" i="731" s="1"/>
  <c r="D54" i="726"/>
  <c r="L54" i="726" s="1"/>
  <c r="C62" i="726" s="1"/>
  <c r="G62" i="726"/>
  <c r="G72" i="744"/>
  <c r="D60" i="736"/>
  <c r="L60" i="736" s="1"/>
  <c r="C68" i="736" s="1"/>
  <c r="D132" i="733"/>
  <c r="H132" i="733" s="1"/>
  <c r="G63" i="729"/>
  <c r="G62" i="728"/>
  <c r="C63" i="729"/>
  <c r="L56" i="728"/>
  <c r="C62" i="728" s="1"/>
  <c r="H56" i="728"/>
  <c r="L60" i="739"/>
  <c r="C70" i="739" s="1"/>
  <c r="H60" i="739"/>
  <c r="L56" i="726"/>
  <c r="C63" i="726" s="1"/>
  <c r="H56" i="726"/>
  <c r="L134" i="734"/>
  <c r="C140" i="734" s="1"/>
  <c r="H134" i="734"/>
  <c r="L104" i="737"/>
  <c r="C113" i="737" s="1"/>
  <c r="H104" i="737"/>
  <c r="G73" i="742"/>
  <c r="G70" i="739"/>
  <c r="D63" i="740"/>
  <c r="D61" i="18"/>
  <c r="D61" i="19"/>
  <c r="G59" i="18"/>
  <c r="G62" i="18"/>
  <c r="L132" i="733" l="1"/>
  <c r="C140" i="733" s="1"/>
  <c r="D56" i="18"/>
  <c r="G56" i="18"/>
  <c r="G59" i="19"/>
  <c r="D56" i="19"/>
  <c r="D58" i="19"/>
  <c r="G76" i="740"/>
  <c r="L63" i="740"/>
  <c r="C76" i="740" s="1"/>
  <c r="H63" i="740"/>
  <c r="G57" i="19"/>
  <c r="G57" i="18"/>
  <c r="G62" i="19"/>
  <c r="D58" i="18" l="1"/>
  <c r="G58" i="18"/>
  <c r="G61" i="18"/>
  <c r="G56" i="19"/>
  <c r="G58" i="19" l="1"/>
  <c r="D65" i="19"/>
  <c r="D65" i="18"/>
  <c r="G65" i="18"/>
  <c r="G61" i="19" l="1"/>
  <c r="G6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B48F43FB-1CCA-40E5-BED3-D951FD5BD6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64BD47BE-7CD3-4E31-BBDA-8CA0D5D7A6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96F966A-3336-4C31-86A0-692069F55F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EB381959-2B4D-44DF-A01F-3546BAECF9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E93C22CF-731E-4D93-B8D8-9C5E6C14C6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7A463E3B-9C9E-4E93-98DD-F921390AE5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0CA1F1DF-2465-469D-AF8A-8F075DA01E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06573FD7-D594-4577-AC50-F93F238984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86ACEEFD-93FE-442B-BA42-AFF6B9088C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7244F10-CCD5-40F6-9F36-DDB7066B8F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940DD049-B519-44F4-B00E-D66A8660BE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EB69778E-5C6C-439A-981D-E55DB48A0A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9E5A8D5-F3A7-42B1-80ED-D5FF594D86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BB5D9F6B-238D-4E4F-91CE-6393E711A5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3757C22B-CC23-4D59-87FA-D933EF7A3B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E64492A7-A5E7-430A-B176-CE3ED50E71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4E4ABBF2-F347-4F7E-939D-CE8526394A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2D82C502-8DAE-4C23-B55E-70E45F0DC8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7CA359DF-CC96-4871-86D7-234E361154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0CFBD990-A96A-470D-9511-FA7B15F144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513CA3F0-54CE-43F6-BE28-CA5B1330CC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065870F1-1E9C-44BF-9A2F-FABA924F1A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C06FAE7-92D6-4B3D-A8F0-C165CD441A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C6BB6B14-C6C3-43B8-AE8C-DCB46AFE99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9432A06C-0B7D-446E-AB45-34CBEBEBAF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42ABA6F2-A1FB-4888-89FF-551ADA61D1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23A0CF5E-3131-4078-9CB4-F23F164512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C0EEAB9E-645C-41A6-B7E0-6BE0D6B288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51061F30-8415-4316-8276-A8646D6677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0FF3F84E-909D-445F-8B13-BCEFDD42F0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5EF297AD-67F1-44B6-AD0E-A4E2CC0F3C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F2F6CEDC-F72E-49B5-8457-EAD88C7558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C26BF40-3EBD-40B6-9FA0-64AB2FC2649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12B3D9EB-378E-4C71-94D5-5A10277B9A6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F140097F-EF6E-4D9F-9275-82CA1EA645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6D41E77-54A7-4190-A45D-E51979CDC4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88F4673D-0608-4A08-9033-36E463B069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919E4DEE-6D86-4DC6-B049-4DF621F29F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1FA93F1F-EE13-4866-BA17-CE789C3F51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9DF1F884-3137-4842-8418-39E9092691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5F1A53FE-DBBE-49F2-B80B-67BBF1532B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D4033D3B-A2A2-4500-97AC-D44529F23C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DD9EBC5-9402-4586-95F4-35532C5B86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9939AE36-A536-4593-A9FA-4D195353FB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47E79398-4DA3-4993-B8AB-7B472C59C9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16516EAF-8B3A-4E9B-BB96-108F9DFA11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A52AF7FC-6DC6-4E7B-9FBD-F3FF773C43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E4759C0A-95C2-4BAC-AA83-533C790C6C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792767FB-8804-4883-A0AE-CC86386947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635CBEBE-E1A6-4A5A-85AD-22E5EDEEE3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BAEA5326-252E-470C-89CA-C5B1C0CA9C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2D267046-269B-4DED-AC38-F409DB923E6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DBCA351-EEDF-427A-8B79-BF20E8A1ED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D7FAB543-78AD-4524-B814-254598A859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7AFBFF8D-05B3-4B7E-B219-0EF6A97DA9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FCAE10C1-1502-41C6-B9CB-D9B370BBBF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176853E4-7CB3-434E-9E40-93FF5625CC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B7C331FB-1DFC-4ACF-BE40-D4ECE32050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92A4C7F6-DDAA-48F8-90E5-B3D257409D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DD6A16BC-1DAE-4E3F-9596-B3CBDA3F53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L57" authorId="0" shapeId="0" xr:uid="{DEA48898-313A-439D-BBBC-8E01273EE2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1.85 without water added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509786A8-A30D-45C5-92B9-D743F4FD63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A7D10AE-C719-45D6-B88C-6C32835E01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838231D-5F4A-40E4-8256-15CD5FD5EA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10CCEA9-EF5D-4CF8-B33F-63AF431C56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064342E-C856-400A-8A06-520F356D38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134B30F-58D2-4117-99AB-98150F3D28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E74A9CA-7D4F-42A5-A374-14EFA7DF81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36F602F-24ED-4193-A057-9A1B2C9FBC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9100A5A5-ED08-45BC-BB04-ABE5141522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40423C5E-01D7-4BA2-85C8-8CF55FD980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7D904A2-ED49-4478-8098-1E687D040A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D2C11E6-3A04-4630-B9FC-6ED9AB2697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3AC89A8-FD4B-4CB1-9874-8866497519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03EC157-BC39-4F6A-80CB-9996A125E72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62C66F3-B830-4C1C-AD59-6B430F7A1B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F2626AB-0427-4E60-8CD7-CA51D4E416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F81B7ED-5F5A-49BC-B7FE-22CD96AE91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8D42B72-64A1-4A49-B774-8C13D411A9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5E0CA4E-843E-402C-8598-95129A00FE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700E3CBB-71B0-456F-AFBE-6B046512D0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I31" authorId="1" shapeId="0" xr:uid="{F597245A-21EB-4501-9B26-3C93D63EA48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no cellar volume recorded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8481CA06-66D6-4B31-8ED7-975807D9EF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689D136-A7C2-4406-99A7-06BAE17491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C60B7D1-273D-48EF-91C7-FAC409BF9B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D050469-E29A-4078-9304-488F5431DE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6A1F0D8-8C5D-433A-BF3B-C0C388C692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A5D3973-885F-46ED-BC97-0D8138340D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F2A6385-7FE5-4922-B500-C2314E5C5F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A3E9E37-1B03-4C9A-B05C-BB8B85CA09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90DDC293-E123-4AE1-A546-62B0DB622D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1FE0A71E-EF76-4F9A-A487-D6AF0C02CF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CFD65656-76CD-45B4-BC1F-849BD0008C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F55FB39-A1F4-4EE8-A100-03ED55F420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A3CF0FC-F7DC-4B51-9627-DF016C0C64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EBD35E5-B1E2-4CC1-AA2E-E57D239B06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3481CC9-5F7E-4A81-84DD-1FB3B64EBD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8202F3A-9AD0-4262-AB08-59763549DD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01A7976-A857-46B9-85DC-363B09EF3D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54F35F9-AC92-48AF-945D-3EF8C881DD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DA16285B-F1AB-485C-AB04-D84990635A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49F44849-F801-4B53-A0B4-BF1F646DA7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90C139F6-D357-49FA-9680-9C70DF22DB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E253DFA-4AF0-455A-94E5-0BBB41C039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07E18B8-408F-4F2F-9C97-63DDC783939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BB64946-77C4-443E-B272-E2B2A9F113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1AE31BC-C4C8-40BD-B1C6-287430CC8C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6F36BDA-5068-4156-9F0E-EECE983CEF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33D0360-45FA-4BB0-B504-14CE4A368D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1F9C33B-2CD2-4AD2-9693-CD42CC8F99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D29EE5CE-CFD5-40DB-922F-4D1962526D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CBFF6175-2A26-4747-81E7-9D8E72D6D6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04963AB-DE49-412D-8E14-114BD485EC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2058CE4-BD69-476A-AE6E-75A98F9B50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FB6E0AC-787D-4946-82F4-F0EE29E789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793E3CD-6FE0-49E6-8899-215F7E0100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D8B9BAC-05CA-4D5D-A6F7-4DCE362069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41CC7EA-5C76-40BD-936B-3108939DD1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834A0D6-C286-4E86-9E63-B88281F985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14636BD-8137-4BF2-BBAC-000338D03B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A40DBC8-CF5C-420B-83FD-D8934D872A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510567CF-FF77-4E4C-A38B-B08BD908E0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H11" authorId="1" shapeId="0" xr:uid="{6633243C-951A-40DB-B73B-82F4C32A255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saach meter broken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F8ED54D2-CE1E-45FC-8D81-995AA4380A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392926C-4449-4924-B348-AA82A8550B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B60B6A6-1D83-4E0E-ABAF-DA233317A6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085E628-A9A8-42BD-A291-C247F0AB05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05569C6-E039-4FE8-B41E-DD5C9B2CB4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1E8433B-A94E-4B47-8958-84C670A9E2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5B370BC-95B3-42F4-9307-F949B617D2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D7D3173-AC38-47BE-B30C-49EE139977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ACF03D50-C7DC-4068-B9F9-EB256D9A45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09704092-4F7C-4A6B-A816-39AFB54237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B4580F7-D645-4736-BC0D-3254F660E0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6609929-3D54-4448-AE4E-36A92DC3AF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4FD3859-412F-452D-9951-422BAF3DF2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FD29033-0AC6-4932-BF0A-8297CDD5C6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76540A2-135C-4DAE-B2C9-7F4C1E2C89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14B3EB6-1C41-4B01-BCEB-C5BCDA6ABC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46B286C-A02C-447F-AB1C-FEFB78A118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2A67A8E-F3E9-4BF5-97FD-77837FF694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235A8B5A-3C22-4D0A-A2D1-739FF132A3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9A415E5A-3B9B-4D41-95ED-0304EFB655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L60" authorId="1" shapeId="0" xr:uid="{F16A4F67-9EA6-406E-BFDF-5344047631F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Program switch- initially had to filter 4 tanks
5hls was held in the BMF waiting to continue- after 4hrs it automatically dumped everything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15CE0702-B869-430E-8750-E3045F130E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AAD6E33-C400-438F-ADB6-0687804277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684AD86-17E9-46A5-BDF0-E1A813FD65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160BEF0-96B0-4372-A1E7-64502CCC49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9927A08-84ED-46A6-9FF1-59721E726A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158EF77-C1AC-4353-AF4D-24F3EFA33C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1AD299E-D122-48D0-B455-77E8B80750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945BB11-C784-47D8-9B3A-FFAF99EAF9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21778682-841F-4B04-9EBD-5B6E9B9B1C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550FB9C0-734E-4598-95CF-1B627B46F0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875DD752-A12F-4FB8-BF49-C9080311DC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93244FA-90B9-4636-9570-222B644AA6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A5C83CB-F0C7-45AB-B98A-6E60D52B82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77B1D5B-7DB2-4160-9919-E0BEBD57BD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38FE527-18FD-42FB-9832-DDF22A529D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DCC7D64-5194-4B70-BCA5-BEF832814D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F933D0A-9A70-408B-BFC1-522BDAFFD6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6180B7C-536F-4D42-9449-D043D2865F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BDC462CB-26B7-4FF5-8875-65DA579CA1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81E4D1BE-D421-4CC0-9DBC-57DD773366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A67C6FD-703A-4B04-A70C-468C6F60DF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5F1257D-C930-4194-881C-562F6CA12F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ADED5A5-27AE-4042-8290-5F28F12828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FCC6853-08C7-4879-8170-ACC6301D64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7626482-0D7D-4A53-B23B-D215C57879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C215DB5-2F4D-4713-816B-512AC50996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E368C80-74EC-4157-8B28-BBA717745C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348CB99-11BC-4E99-AF5F-938BA64639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EAA4860F-22F1-4567-95A6-CB65AAA9BC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E9173881-BA65-4BD9-AFA4-68786BC75C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68" authorId="1" shapeId="0" xr:uid="{C329B7FD-6462-4AF9-8598-04270213D0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pm filtration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55ABB3BA-6BEE-437B-BD35-E74EC0F7B5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1FE69FE-9F8E-48DF-8CA7-0E318FE2DD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1E5D285-CE52-439B-9CF0-0587425D14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1BA9874-650B-4276-9432-ABA9E4611D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83BFAA2-1EFD-421A-B707-6D36AF0EEE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FB961F5-6C1B-40DB-A33C-1F3F646D93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96E6BDF-BDD8-4349-B5EA-F044C0FFE0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5314CB4-59FB-49F7-8459-6BCE7E37A6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209EB4D3-FB23-4C68-ADAC-2E8D811A78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11B3E3B3-5FBB-4E1B-B325-88F0DDB2B9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784259E6-ECC1-4F0D-AA46-2A9E53B688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F842A24-461D-461D-BB3B-04C60C05F9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71DD142-6EF0-4F4A-B1CF-F9F26A616F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53790EA-7BC1-4BCA-98C6-2EEF871D08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177D322-599E-48AA-86C7-BF0ADC15BF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1928C96-5D7B-4579-9524-DDCD08BC19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76318F3-63F4-4630-B4EF-DD5BDA37C9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A215483-8832-40D0-9CE1-02F5DDBD10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812F8322-3279-4B46-A5C0-B9E0FB9A06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4F21A239-A4F0-408B-9668-85B7A77F8A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<sst xmlns="http://schemas.openxmlformats.org/spreadsheetml/2006/main" count="3034" uniqueCount="209">
  <si>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</si>
  <si>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</si>
  <si>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</si>
  <si>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</si>
  <si>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</si>
  <si>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</si>
  <si>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</si>
  <si>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</si>
  <si>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</si>
  <si>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</si>
  <si>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</si>
  <si>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</si>
  <si>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</si>
  <si>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</si>
  <si>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</si>
  <si>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</si>
  <si>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</si>
  <si>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</si>
  <si>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</si>
  <si>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</si>
  <si>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</si>
  <si>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</si>
  <si>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</si>
  <si>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</si>
  <si>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</si>
  <si>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</si>
  <si>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</si>
  <si>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</si>
  <si>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</si>
  <si>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</si>
  <si>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</si>
  <si>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</si>
  <si>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</si>
  <si>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</si>
  <si>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</si>
  <si>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</si>
  <si>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</si>
  <si>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</si>
  <si>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</si>
  <si>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</si>
  <si>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</si>
  <si>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</si>
  <si>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</si>
  <si>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</si>
  <si>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</si>
  <si>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</si>
  <si>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</si>
  <si>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</si>
  <si>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</si>
  <si>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</si>
  <si>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</si>
  <si>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</si>
  <si>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</si>
  <si>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</si>
  <si>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</si>
  <si>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</si>
  <si>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</si>
  <si>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</si>
  <si>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</si>
  <si>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</si>
  <si>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</si>
  <si>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</si>
  <si>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</si>
  <si>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</si>
  <si>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</si>
  <si>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</si>
  <si>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</si>
  <si>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</si>
  <si>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</si>
  <si>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</si>
  <si>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</si>
  <si>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</si>
  <si>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</si>
  <si>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</si>
  <si>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</si>
  <si>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</si>
  <si>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</si>
  <si>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</si>
  <si>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</si>
  <si>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</si>
  <si>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</si>
  <si>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</si>
  <si>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</si>
  <si>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</si>
  <si>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</si>
  <si>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</si>
  <si>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</si>
  <si>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</si>
  <si>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</si>
  <si>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</si>
  <si>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</si>
  <si>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</si>
  <si>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</si>
  <si>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</si>
  <si>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</si>
  <si>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</si>
  <si>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</si>
  <si>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</si>
  <si>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</si>
  <si>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</si>
  <si>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</si>
  <si>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</si>
  <si>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</si>
  <si>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</si>
  <si>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</si>
  <si>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</si>
  <si>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</si>
  <si>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</si>
  <si>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</si>
  <si>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</si>
  <si>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</si>
  <si>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</si>
  <si>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</si>
  <si>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</si>
  <si>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</si>
  <si>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</si>
  <si>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</si>
  <si>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</si>
  <si>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</si>
  <si>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</si>
  <si>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</si>
  <si>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</si>
  <si>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</si>
  <si>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</si>
  <si>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</si>
  <si>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</si>
  <si>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</si>
  <si>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</si>
  <si>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</si>
  <si>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</si>
  <si>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</si>
  <si>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</si>
  <si>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</si>
  <si>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</si>
  <si>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</si>
  <si>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</si>
  <si>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</si>
  <si>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</si>
  <si>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</si>
  <si>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</si>
  <si>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</si>
  <si>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</si>
  <si>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</si>
  <si>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</si>
  <si>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</si>
  <si>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</si>
  <si>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</si>
  <si>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</si>
  <si>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</si>
  <si>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</si>
  <si>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</si>
  <si>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</si>
  <si>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</si>
  <si>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</si>
  <si>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</si>
  <si>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</si>
  <si>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</si>
  <si>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</si>
  <si>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</si>
  <si>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Extr. Rec (80.9%)</t>
  </si>
  <si>
    <t>HR PILS</t>
  </si>
  <si>
    <t>HR APA</t>
  </si>
  <si>
    <t>HURRICANE REEF PILS</t>
  </si>
  <si>
    <t>K. Hosten</t>
  </si>
  <si>
    <t>T. Charles</t>
  </si>
  <si>
    <t xml:space="preserve"> MALT LOT: Lot 33</t>
  </si>
  <si>
    <t>LOT WORT COLOUR: 3.3</t>
  </si>
  <si>
    <t>1 BREAK</t>
  </si>
  <si>
    <t xml:space="preserve"> MALT LOT: Lot 29/ 33</t>
  </si>
  <si>
    <t>D. Emery</t>
  </si>
  <si>
    <t>Cellars Vol. Extr</t>
  </si>
  <si>
    <t>Missing Brew data.. Dump? Placed in tank?</t>
  </si>
  <si>
    <t>1 BREAK- Water added</t>
  </si>
  <si>
    <t>Extr. Rec (78.5%)</t>
  </si>
  <si>
    <t>J. Nelson</t>
  </si>
  <si>
    <t>1 SBF- Water added</t>
  </si>
  <si>
    <t>1 SBF</t>
  </si>
  <si>
    <t>R. Regis</t>
  </si>
  <si>
    <t>NO BREAK - Water added</t>
  </si>
  <si>
    <t xml:space="preserve">NO BREAK </t>
  </si>
  <si>
    <t>LOT WORT COLOUR: 3.6</t>
  </si>
  <si>
    <t xml:space="preserve">(Cellar Operator vol) Extr. Rec </t>
  </si>
  <si>
    <t>13th April 2025</t>
  </si>
  <si>
    <t>12th April 2025</t>
  </si>
  <si>
    <t>11th April 2025</t>
  </si>
  <si>
    <t>Brews Achieved 11th</t>
  </si>
  <si>
    <t>Brews Achieved 12th</t>
  </si>
  <si>
    <t>Brews Achieved 13th</t>
  </si>
  <si>
    <t>NO BREAK- Water added</t>
  </si>
  <si>
    <t xml:space="preserve"> MALT LOT: Lot 34</t>
  </si>
  <si>
    <t>NO BREAK- Ice in SV4</t>
  </si>
  <si>
    <t>Brews Achieved</t>
  </si>
  <si>
    <t>10mins extra boil, iddues with WK (ext. boiler inlet valve not opening)</t>
  </si>
  <si>
    <t xml:space="preserve">Lab tech cleaning water bath, waiting to take final gravity. WK knob to latch door came out therfore water could not be added for dilution until resolved. </t>
  </si>
  <si>
    <t>LT rake hoisting fan issues- kept tripping</t>
  </si>
  <si>
    <t>Brews Achieved (17th)</t>
  </si>
  <si>
    <t>Brews Achieved (18th)</t>
  </si>
  <si>
    <t>Brews Achieved (19th)</t>
  </si>
  <si>
    <t>Brews Achieved (20th)</t>
  </si>
  <si>
    <t>Boiler shut off, long heat up</t>
  </si>
  <si>
    <t>G. Mason</t>
  </si>
  <si>
    <t>Water added to brew</t>
  </si>
  <si>
    <t>Compensation</t>
  </si>
  <si>
    <t xml:space="preserve">Held back waiting on skip removal </t>
  </si>
  <si>
    <t>G.Mason</t>
  </si>
  <si>
    <t>1 SBF- Bad Filtration at the end of DPV10</t>
  </si>
  <si>
    <t xml:space="preserve"> MALT LOT: Lot 35</t>
  </si>
  <si>
    <t>LOT WORT COLOUR: 3.5</t>
  </si>
  <si>
    <t>1 SBF-Ice in DPV11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</si>
</sst>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-0.249977111117893"/>
      <name val="Arial"/>
      <family val="2"/>
    </font>
    <font>
      <b/>
      <sz val="11"/>
      <color theme="9" tint="0.39997558519241921"/>
      <name val="Arial"/>
      <family val="2"/>
    </font>
    <font>
      <b/>
      <sz val="11"/>
      <color theme="5" tint="0.39997558519241921"/>
      <name val="Arial"/>
      <family val="2"/>
    </font>
    <font>
      <b/>
      <sz val="11"/>
      <color theme="5" tint="-0.499984740745262"/>
      <name val="Arial"/>
      <family val="2"/>
    </font>
    <font>
      <b/>
      <sz val="11"/>
      <color theme="5"/>
      <name val="Arial"/>
      <family val="2"/>
    </font>
    <font>
      <b/>
      <sz val="11"/>
      <color rgb="FFC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11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2" fontId="9" fillId="23" borderId="1" xfId="3" applyNumberFormat="1" applyFont="1" applyFill="1" applyBorder="1" applyAlignment="1">
      <alignment horizontal="center" vertic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20" fillId="0" borderId="13" xfId="3" applyFont="1" applyBorder="1" applyAlignment="1">
      <alignment horizontal="center" vertical="center"/>
    </xf>
    <xf numFmtId="170" fontId="8" fillId="0" borderId="10" xfId="4" applyNumberFormat="1" applyFont="1" applyFill="1" applyBorder="1" applyAlignment="1">
      <alignment horizontal="center" vertical="center"/>
    </xf>
    <xf numFmtId="170" fontId="8" fillId="0" borderId="3" xfId="4" applyNumberFormat="1" applyFont="1" applyFill="1" applyBorder="1" applyAlignment="1">
      <alignment horizontal="center" vertical="center"/>
    </xf>
    <xf numFmtId="165" fontId="85" fillId="0" borderId="31" xfId="3" applyFont="1" applyBorder="1"/>
    <xf numFmtId="1" fontId="31" fillId="0" borderId="10" xfId="3" applyNumberFormat="1" applyFont="1" applyBorder="1" applyAlignment="1">
      <alignment horizontal="center" vertical="center" wrapText="1"/>
    </xf>
    <xf numFmtId="166" fontId="8" fillId="0" borderId="0" xfId="3" applyNumberFormat="1" applyFont="1" applyAlignment="1">
      <alignment horizontal="center" vertical="center"/>
    </xf>
    <xf numFmtId="165" fontId="8" fillId="0" borderId="0" xfId="3" applyFont="1" applyAlignment="1">
      <alignment horizontal="left"/>
    </xf>
    <xf numFmtId="165" fontId="27" fillId="0" borderId="13" xfId="3" applyFont="1" applyBorder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2" fontId="9" fillId="0" borderId="15" xfId="3" applyNumberFormat="1" applyFont="1" applyBorder="1" applyAlignment="1">
      <alignment horizontal="left" vertical="center"/>
    </xf>
    <xf numFmtId="165" fontId="23" fillId="0" borderId="31" xfId="3" applyFont="1" applyBorder="1" applyAlignment="1">
      <alignment horizontal="center" vertical="center"/>
    </xf>
    <xf numFmtId="16" fontId="8" fillId="0" borderId="39" xfId="3" applyNumberFormat="1" applyFont="1" applyBorder="1" applyAlignment="1">
      <alignment horizontal="center" vertical="center"/>
    </xf>
    <xf numFmtId="166" fontId="8" fillId="0" borderId="3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2" fontId="31" fillId="0" borderId="53" xfId="4" applyNumberFormat="1" applyFont="1" applyFill="1" applyBorder="1" applyAlignment="1">
      <alignment horizontal="center" vertical="center"/>
    </xf>
    <xf numFmtId="170" fontId="8" fillId="0" borderId="79" xfId="4" applyNumberFormat="1" applyFont="1" applyBorder="1" applyAlignment="1">
      <alignment horizontal="center" vertical="center"/>
    </xf>
    <xf numFmtId="2" fontId="79" fillId="0" borderId="32" xfId="3" applyNumberFormat="1" applyFont="1" applyBorder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166" fontId="9" fillId="23" borderId="1" xfId="3" applyNumberFormat="1" applyFont="1" applyFill="1" applyBorder="1" applyAlignment="1">
      <alignment horizontal="center" vertical="center"/>
    </xf>
    <xf numFmtId="165" fontId="8" fillId="23" borderId="2" xfId="3" applyFont="1" applyFill="1" applyBorder="1" applyAlignment="1">
      <alignment vertical="center"/>
    </xf>
    <xf numFmtId="0" fontId="9" fillId="0" borderId="0" xfId="3" applyNumberFormat="1" applyFont="1" applyAlignment="1">
      <alignment horizontal="center"/>
    </xf>
    <xf numFmtId="166" fontId="31" fillId="0" borderId="10" xfId="3" applyNumberFormat="1" applyFont="1" applyBorder="1" applyAlignment="1">
      <alignment horizontal="center" vertical="center" wrapText="1"/>
    </xf>
    <xf numFmtId="165" fontId="28" fillId="0" borderId="13" xfId="3" applyFont="1" applyBorder="1" applyAlignment="1">
      <alignment horizontal="center" vertical="center"/>
    </xf>
    <xf numFmtId="165" fontId="9" fillId="0" borderId="11" xfId="3" applyFont="1" applyBorder="1" applyAlignment="1">
      <alignment horizontal="center" vertical="center" wrapText="1"/>
    </xf>
    <xf numFmtId="165" fontId="9" fillId="0" borderId="74" xfId="3" applyFont="1" applyBorder="1" applyAlignment="1">
      <alignment horizontal="center" vertical="center" wrapText="1"/>
    </xf>
    <xf numFmtId="165" fontId="13" fillId="0" borderId="13" xfId="3" applyFont="1" applyBorder="1" applyAlignment="1">
      <alignment horizontal="center" vertical="center"/>
    </xf>
    <xf numFmtId="166" fontId="9" fillId="27" borderId="1" xfId="3" applyNumberFormat="1" applyFont="1" applyFill="1" applyBorder="1" applyAlignment="1">
      <alignment horizontal="center" vertical="center"/>
    </xf>
    <xf numFmtId="0" fontId="22" fillId="0" borderId="1" xfId="3" applyNumberFormat="1" applyFont="1" applyBorder="1" applyAlignment="1">
      <alignment vertical="top" wrapText="1"/>
    </xf>
    <xf numFmtId="1" fontId="8" fillId="0" borderId="11" xfId="3" applyNumberFormat="1" applyFont="1" applyBorder="1" applyAlignment="1">
      <alignment horizontal="center" vertical="center"/>
    </xf>
    <xf numFmtId="165" fontId="31" fillId="0" borderId="13" xfId="3" applyFont="1" applyBorder="1"/>
    <xf numFmtId="165" fontId="8" fillId="0" borderId="0" xfId="3" applyFont="1" applyAlignment="1">
      <alignment horizontal="left" vertical="center"/>
    </xf>
    <xf numFmtId="165" fontId="84" fillId="0" borderId="13" xfId="3" applyFont="1" applyBorder="1" applyAlignment="1">
      <alignment horizontal="center" vertical="center"/>
    </xf>
    <xf numFmtId="165" fontId="88" fillId="0" borderId="13" xfId="3" applyFont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5" fontId="80" fillId="0" borderId="13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5" fontId="79" fillId="0" borderId="13" xfId="3" applyFont="1" applyBorder="1" applyAlignment="1">
      <alignment horizontal="center" vertical="center"/>
    </xf>
    <xf numFmtId="165" fontId="30" fillId="0" borderId="13" xfId="3" applyFont="1" applyBorder="1" applyAlignment="1">
      <alignment horizontal="center" vertical="center"/>
    </xf>
    <xf numFmtId="166" fontId="79" fillId="0" borderId="1" xfId="3" applyNumberFormat="1" applyFont="1" applyBorder="1" applyAlignment="1">
      <alignment horizontal="center" vertical="center"/>
    </xf>
    <xf numFmtId="2" fontId="9" fillId="0" borderId="15" xfId="3" applyNumberFormat="1" applyFont="1" applyBorder="1" applyAlignment="1">
      <alignment horizontal="center" vertical="center"/>
    </xf>
    <xf numFmtId="2" fontId="9" fillId="4" borderId="34" xfId="3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0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84" fillId="0" borderId="23" xfId="3" applyFont="1" applyBorder="1" applyAlignment="1">
      <alignment horizontal="center" vertical="center"/>
    </xf>
    <xf numFmtId="165" fontId="84" fillId="0" borderId="27" xfId="3" applyFont="1" applyBorder="1" applyAlignment="1">
      <alignment horizontal="center" vertical="center"/>
    </xf>
    <xf numFmtId="165" fontId="84" fillId="0" borderId="35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86" fillId="0" borderId="23" xfId="3" applyFont="1" applyBorder="1" applyAlignment="1">
      <alignment horizontal="center" vertical="center"/>
    </xf>
    <xf numFmtId="165" fontId="86" fillId="0" borderId="27" xfId="3" applyFont="1" applyBorder="1" applyAlignment="1">
      <alignment horizontal="center" vertical="center"/>
    </xf>
    <xf numFmtId="165" fontId="26" fillId="0" borderId="23" xfId="3" applyFont="1" applyBorder="1" applyAlignment="1">
      <alignment horizontal="center" vertical="center"/>
    </xf>
    <xf numFmtId="166" fontId="9" fillId="4" borderId="2" xfId="3" applyNumberFormat="1" applyFont="1" applyFill="1" applyBorder="1" applyAlignment="1">
      <alignment horizontal="center" vertical="center"/>
    </xf>
    <xf numFmtId="166" fontId="9" fillId="4" borderId="65" xfId="3" applyNumberFormat="1" applyFont="1" applyFill="1" applyBorder="1" applyAlignment="1">
      <alignment horizontal="center" vertical="center"/>
    </xf>
    <xf numFmtId="166" fontId="9" fillId="4" borderId="3" xfId="3" applyNumberFormat="1" applyFont="1" applyFill="1" applyBorder="1" applyAlignment="1">
      <alignment horizontal="center" vertical="center"/>
    </xf>
    <xf numFmtId="165" fontId="28" fillId="0" borderId="66" xfId="3" applyFont="1" applyBorder="1" applyAlignment="1">
      <alignment horizontal="center" vertical="center"/>
    </xf>
    <xf numFmtId="165" fontId="28" fillId="0" borderId="27" xfId="3" applyFont="1" applyBorder="1" applyAlignment="1">
      <alignment horizontal="center" vertical="center"/>
    </xf>
    <xf numFmtId="165" fontId="28" fillId="0" borderId="35" xfId="3" applyFont="1" applyBorder="1" applyAlignment="1">
      <alignment horizontal="center" vertical="center"/>
    </xf>
    <xf numFmtId="165" fontId="87" fillId="0" borderId="66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5" fontId="87" fillId="0" borderId="35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9" fillId="0" borderId="1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9" fillId="27" borderId="6" xfId="3" applyFont="1" applyFill="1" applyBorder="1" applyAlignment="1">
      <alignment horizontal="center" vertical="center" wrapText="1"/>
    </xf>
    <xf numFmtId="165" fontId="9" fillId="27" borderId="10" xfId="3" applyFont="1" applyFill="1" applyBorder="1" applyAlignment="1">
      <alignment horizontal="center" vertical="center" wrapText="1"/>
    </xf>
    <xf numFmtId="165" fontId="20" fillId="0" borderId="66" xfId="3" applyFont="1" applyBorder="1" applyAlignment="1">
      <alignment horizontal="center" vertical="center"/>
    </xf>
    <xf numFmtId="165" fontId="88" fillId="0" borderId="23" xfId="3" applyFont="1" applyBorder="1" applyAlignment="1">
      <alignment horizontal="center" vertical="center"/>
    </xf>
    <xf numFmtId="165" fontId="79" fillId="0" borderId="23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165" fontId="89" fillId="0" borderId="23" xfId="3" applyFont="1" applyBorder="1" applyAlignment="1">
      <alignment horizontal="center" vertical="center"/>
    </xf>
    <xf numFmtId="165" fontId="89" fillId="0" borderId="27" xfId="3" applyFont="1" applyBorder="1" applyAlignment="1">
      <alignment horizontal="center" vertical="center"/>
    </xf>
    <xf numFmtId="165" fontId="89" fillId="0" borderId="35" xfId="3" applyFont="1" applyBorder="1" applyAlignment="1">
      <alignment horizontal="center" vertical="center"/>
    </xf>
    <xf numFmtId="165" fontId="80" fillId="0" borderId="66" xfId="3" applyFont="1" applyBorder="1" applyAlignment="1">
      <alignment horizontal="center" vertical="center"/>
    </xf>
    <xf numFmtId="165" fontId="79" fillId="0" borderId="66" xfId="3" applyFont="1" applyBorder="1" applyAlignment="1">
      <alignment horizontal="center" vertic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037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FF66FF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63" Type="http://schemas.openxmlformats.org/officeDocument/2006/relationships/externalLink" Target="externalLinks/externalLink39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34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40.xml"/><Relationship Id="rId69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35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54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38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3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28.xml"/><Relationship Id="rId60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4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10.xml"/><Relationship Id="rId50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rch'25%20Daily%20Process%20Report%202025.xlsx" TargetMode="External"/><Relationship Id="rId1" Type="http://schemas.openxmlformats.org/officeDocument/2006/relationships/externalLinkPath" Target="March'25%20Daily%20Process%20Repor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April_2025.xls" TargetMode="External"/><Relationship Id="rId1" Type="http://schemas.openxmlformats.org/officeDocument/2006/relationships/externalLinkPath" Target="/Operations/Brewing/Reports%20Local/Losses%202025/April_202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24">
          <cell r="AU24">
            <v>95.033114450535422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20">
          <cell r="B20">
            <v>44581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7">
          <cell r="D7">
            <v>14.3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2">
          <cell r="AY12">
            <v>96.029058348682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>
            <v>208.10000000000002</v>
          </cell>
        </row>
      </sheetData>
      <sheetData sheetId="9"/>
      <sheetData sheetId="10"/>
      <sheetData sheetId="11"/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 refreshError="1">
        <row r="7">
          <cell r="D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April '25"/>
      <sheetName val="Summary March '25"/>
      <sheetName val="Summary February '25"/>
      <sheetName val="Summary January '25"/>
      <sheetName val="Summary Dec '24  "/>
    </sheetNames>
    <sheetDataSet>
      <sheetData sheetId="0" refreshError="1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U24">
            <v>101.17562190812932</v>
          </cell>
        </row>
        <row r="25">
          <cell r="AU25">
            <v>104.35489283685058</v>
          </cell>
        </row>
        <row r="26">
          <cell r="AU26">
            <v>96.487973390295707</v>
          </cell>
        </row>
        <row r="27">
          <cell r="AU27">
            <v>96.125236648226917</v>
          </cell>
        </row>
        <row r="28">
          <cell r="AU28">
            <v>96.035425509762433</v>
          </cell>
        </row>
        <row r="29">
          <cell r="AU29">
            <v>97.504418634194764</v>
          </cell>
        </row>
        <row r="30">
          <cell r="AU30">
            <v>96.37756538871183</v>
          </cell>
        </row>
        <row r="31">
          <cell r="AU31">
            <v>97.487479769387974</v>
          </cell>
        </row>
        <row r="32">
          <cell r="AU32">
            <v>94.125484514622414</v>
          </cell>
        </row>
        <row r="33">
          <cell r="AU33">
            <v>97.508191618159188</v>
          </cell>
        </row>
        <row r="34">
          <cell r="AU34">
            <v>97.827131938655612</v>
          </cell>
        </row>
        <row r="35">
          <cell r="AU35">
            <v>96.619542475024176</v>
          </cell>
        </row>
        <row r="37">
          <cell r="A37" t="str">
            <v>GU031</v>
          </cell>
          <cell r="O37">
            <v>60</v>
          </cell>
          <cell r="R37">
            <v>2.9015544041450774</v>
          </cell>
          <cell r="T37">
            <v>1.1923611111111112</v>
          </cell>
          <cell r="U37">
            <v>1.3159722222222223</v>
          </cell>
          <cell r="V37">
            <v>63</v>
          </cell>
          <cell r="Z37">
            <v>0.29861111111111116</v>
          </cell>
          <cell r="AF37">
            <v>58.6</v>
          </cell>
          <cell r="AG37">
            <v>17</v>
          </cell>
          <cell r="AI37">
            <v>53.6</v>
          </cell>
          <cell r="AU37">
            <v>96.214667872117261</v>
          </cell>
          <cell r="AV37">
            <v>97.322929171668648</v>
          </cell>
          <cell r="AW37" t="str">
            <v>R. Regis</v>
          </cell>
        </row>
        <row r="38">
          <cell r="A38" t="str">
            <v>GU032</v>
          </cell>
          <cell r="O38">
            <v>59</v>
          </cell>
          <cell r="R38">
            <v>5.5112651646447128</v>
          </cell>
          <cell r="T38">
            <v>0.50208333333333333</v>
          </cell>
          <cell r="U38">
            <v>0.62569444444444444</v>
          </cell>
          <cell r="V38">
            <v>71</v>
          </cell>
          <cell r="Z38">
            <v>0.27152777777777776</v>
          </cell>
          <cell r="AF38">
            <v>58.4</v>
          </cell>
          <cell r="AG38">
            <v>17.3</v>
          </cell>
          <cell r="AI38">
            <v>52.9</v>
          </cell>
          <cell r="AU38">
            <v>96.902724932547827</v>
          </cell>
          <cell r="AV38">
            <v>97.90416166466585</v>
          </cell>
          <cell r="AW38" t="str">
            <v>K. Benjamin</v>
          </cell>
        </row>
        <row r="39">
          <cell r="A39" t="str">
            <v>GU033</v>
          </cell>
          <cell r="O39">
            <v>61</v>
          </cell>
          <cell r="R39">
            <v>2.67343485617597</v>
          </cell>
          <cell r="T39">
            <v>0.60347222222222219</v>
          </cell>
          <cell r="U39">
            <v>0.71736111111111112</v>
          </cell>
          <cell r="V39">
            <v>64</v>
          </cell>
          <cell r="Z39">
            <v>0.2590277777777778</v>
          </cell>
          <cell r="AF39">
            <v>58.6</v>
          </cell>
          <cell r="AG39">
            <v>17</v>
          </cell>
          <cell r="AI39">
            <v>53.6</v>
          </cell>
          <cell r="AU39">
            <v>96.477419827020157</v>
          </cell>
          <cell r="AV39">
            <v>97.474074445168071</v>
          </cell>
          <cell r="AW39" t="str">
            <v>R. Regis</v>
          </cell>
        </row>
        <row r="40">
          <cell r="A40" t="str">
            <v>GU034</v>
          </cell>
          <cell r="O40">
            <v>58</v>
          </cell>
          <cell r="R40">
            <v>2.3793103448275783</v>
          </cell>
          <cell r="T40">
            <v>0.71111111111111114</v>
          </cell>
          <cell r="U40">
            <v>0.82430555555555551</v>
          </cell>
          <cell r="V40">
            <v>64</v>
          </cell>
          <cell r="Z40">
            <v>0.24791666666666667</v>
          </cell>
          <cell r="AF40">
            <v>58.7</v>
          </cell>
          <cell r="AG40">
            <v>17.2</v>
          </cell>
          <cell r="AI40">
            <v>53.7</v>
          </cell>
          <cell r="AU40">
            <v>97.958535684216713</v>
          </cell>
          <cell r="AV40">
            <v>98.970294051289756</v>
          </cell>
          <cell r="AW40" t="str">
            <v>R. Regis</v>
          </cell>
        </row>
        <row r="41">
          <cell r="A41" t="str">
            <v>GU035</v>
          </cell>
          <cell r="O41">
            <v>59</v>
          </cell>
          <cell r="R41">
            <v>2.3793103448275783</v>
          </cell>
          <cell r="T41">
            <v>0.84513888888888888</v>
          </cell>
          <cell r="U41">
            <v>0.96666666666666667</v>
          </cell>
          <cell r="V41">
            <v>69</v>
          </cell>
          <cell r="Z41">
            <v>0.27916666666666667</v>
          </cell>
          <cell r="AF41">
            <v>59.3</v>
          </cell>
          <cell r="AG41">
            <v>17.100000000000001</v>
          </cell>
          <cell r="AI41">
            <v>54.3</v>
          </cell>
          <cell r="AU41">
            <v>98.383583724984007</v>
          </cell>
          <cell r="AV41">
            <v>99.399929863233311</v>
          </cell>
          <cell r="AW41" t="str">
            <v>R. Regis</v>
          </cell>
        </row>
        <row r="42">
          <cell r="A42" t="str">
            <v>GU036</v>
          </cell>
          <cell r="O42">
            <v>58</v>
          </cell>
          <cell r="R42">
            <v>-2.5088339222614873</v>
          </cell>
          <cell r="T42">
            <v>0.9458333333333333</v>
          </cell>
          <cell r="U42">
            <v>1.0736111111111111</v>
          </cell>
          <cell r="V42">
            <v>83</v>
          </cell>
          <cell r="Z42">
            <v>0.26111111111111107</v>
          </cell>
          <cell r="AF42">
            <v>62.7</v>
          </cell>
          <cell r="AG42">
            <v>15.9</v>
          </cell>
          <cell r="AI42">
            <v>57.8</v>
          </cell>
          <cell r="AU42">
            <v>96.793336074199303</v>
          </cell>
          <cell r="AV42">
            <v>97.948910781880599</v>
          </cell>
          <cell r="AW42" t="str">
            <v>R. Regis</v>
          </cell>
        </row>
        <row r="43">
          <cell r="A43" t="str">
            <v>GU037</v>
          </cell>
          <cell r="O43">
            <v>56</v>
          </cell>
          <cell r="R43">
            <v>2.8717948717948714</v>
          </cell>
          <cell r="T43">
            <v>1.0590277777777777</v>
          </cell>
          <cell r="U43">
            <v>1.1909722222222223</v>
          </cell>
          <cell r="V43">
            <v>66</v>
          </cell>
          <cell r="Z43">
            <v>0.27430555555555569</v>
          </cell>
          <cell r="AF43">
            <v>57.9</v>
          </cell>
          <cell r="AG43">
            <v>17.8</v>
          </cell>
          <cell r="AI43">
            <v>52.9</v>
          </cell>
          <cell r="AU43">
            <v>99.803737147936374</v>
          </cell>
          <cell r="AV43">
            <v>101.15594996365094</v>
          </cell>
          <cell r="AW43" t="str">
            <v>G. Mason</v>
          </cell>
        </row>
        <row r="44">
          <cell r="A44" t="str">
            <v>GU038</v>
          </cell>
          <cell r="O44">
            <v>56</v>
          </cell>
          <cell r="R44">
            <v>2.1917808219177983</v>
          </cell>
          <cell r="T44">
            <v>1.1784722222222221</v>
          </cell>
          <cell r="U44">
            <v>1.3236111111111111</v>
          </cell>
          <cell r="V44">
            <v>66</v>
          </cell>
          <cell r="Z44">
            <v>0.30277777777777781</v>
          </cell>
          <cell r="AF44">
            <v>58.5</v>
          </cell>
          <cell r="AG44">
            <v>18</v>
          </cell>
          <cell r="AI44">
            <v>53.8</v>
          </cell>
          <cell r="AU44">
            <v>102.72591618996796</v>
          </cell>
          <cell r="AV44">
            <v>104.11772078915043</v>
          </cell>
          <cell r="AW44" t="str">
            <v>G. Mason</v>
          </cell>
        </row>
        <row r="45">
          <cell r="A45" t="str">
            <v>GU039</v>
          </cell>
          <cell r="O45">
            <v>57</v>
          </cell>
          <cell r="R45">
            <v>2.3711340206185612</v>
          </cell>
          <cell r="T45">
            <v>0.30833333333333335</v>
          </cell>
          <cell r="U45">
            <v>0.45347222222222222</v>
          </cell>
          <cell r="V45">
            <v>70</v>
          </cell>
          <cell r="Z45">
            <v>0.30763888888888891</v>
          </cell>
          <cell r="AF45">
            <v>57.9</v>
          </cell>
          <cell r="AG45">
            <v>17.3</v>
          </cell>
          <cell r="AI45">
            <v>53.3</v>
          </cell>
          <cell r="AU45">
            <v>97.552718434345124</v>
          </cell>
          <cell r="AV45">
            <v>98.874432829460261</v>
          </cell>
          <cell r="AW45" t="str">
            <v>G. Mason</v>
          </cell>
        </row>
      </sheetData>
      <sheetData sheetId="2">
        <row r="5">
          <cell r="D5">
            <v>17.399999999999999</v>
          </cell>
        </row>
        <row r="50">
          <cell r="D50">
            <v>17.600000000000001</v>
          </cell>
        </row>
        <row r="51">
          <cell r="D51">
            <v>17.3</v>
          </cell>
        </row>
        <row r="52">
          <cell r="D52">
            <v>17.5</v>
          </cell>
        </row>
        <row r="53">
          <cell r="D53">
            <v>17.5</v>
          </cell>
        </row>
        <row r="54">
          <cell r="D54">
            <v>17.600000000000001</v>
          </cell>
        </row>
        <row r="55">
          <cell r="D55">
            <v>18</v>
          </cell>
        </row>
        <row r="56">
          <cell r="D56">
            <v>18.100000000000001</v>
          </cell>
        </row>
        <row r="57">
          <cell r="D57">
            <v>17.3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April '25"/>
      <sheetName val="Summary March '25 "/>
      <sheetName val="Summary February '25 "/>
      <sheetName val="Summary January '25"/>
      <sheetName val="Summary December '24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U255">
            <v>102.72900962852634</v>
          </cell>
        </row>
        <row r="256">
          <cell r="AU256">
            <v>97.709347146924856</v>
          </cell>
        </row>
        <row r="257">
          <cell r="AU257">
            <v>97.039020012695659</v>
          </cell>
        </row>
        <row r="258">
          <cell r="AU258">
            <v>100.56008067857034</v>
          </cell>
        </row>
        <row r="259">
          <cell r="AU259">
            <v>100.13520638196576</v>
          </cell>
        </row>
        <row r="260">
          <cell r="AU260">
            <v>99.006072770899991</v>
          </cell>
        </row>
        <row r="261">
          <cell r="AU261">
            <v>99.476489650339886</v>
          </cell>
        </row>
        <row r="262">
          <cell r="AU262">
            <v>103.44040315564746</v>
          </cell>
        </row>
        <row r="263">
          <cell r="AU263">
            <v>103.55524050594897</v>
          </cell>
        </row>
        <row r="264">
          <cell r="AU264">
            <v>103.31964719473716</v>
          </cell>
        </row>
        <row r="265">
          <cell r="AU265">
            <v>95.931616007214288</v>
          </cell>
        </row>
        <row r="266">
          <cell r="AU266">
            <v>106.48989247788745</v>
          </cell>
        </row>
        <row r="267">
          <cell r="AU267">
            <v>102.73439130971231</v>
          </cell>
        </row>
        <row r="268">
          <cell r="AU268">
            <v>101.93738806144394</v>
          </cell>
        </row>
        <row r="269">
          <cell r="AU269">
            <v>94.916087726339811</v>
          </cell>
        </row>
        <row r="270">
          <cell r="AU270">
            <v>96.181647145113629</v>
          </cell>
        </row>
        <row r="271">
          <cell r="AU271">
            <v>97.888884805156863</v>
          </cell>
        </row>
        <row r="272">
          <cell r="AU272">
            <v>96.606945507027518</v>
          </cell>
        </row>
        <row r="273">
          <cell r="AU273">
            <v>100.84824136478873</v>
          </cell>
        </row>
        <row r="274">
          <cell r="AU274">
            <v>96.736277075978393</v>
          </cell>
        </row>
        <row r="275">
          <cell r="AU275">
            <v>99.866724046583627</v>
          </cell>
        </row>
        <row r="276">
          <cell r="AU276">
            <v>97.312963605074586</v>
          </cell>
        </row>
        <row r="277">
          <cell r="AU277">
            <v>97.751802809548707</v>
          </cell>
        </row>
        <row r="278">
          <cell r="AU278">
            <v>108.34535319131975</v>
          </cell>
        </row>
        <row r="279">
          <cell r="AU279">
            <v>97.455960743822175</v>
          </cell>
        </row>
        <row r="280">
          <cell r="AU280">
            <v>96.084434808486492</v>
          </cell>
        </row>
        <row r="281">
          <cell r="AU281">
            <v>98.233712305667396</v>
          </cell>
        </row>
        <row r="282">
          <cell r="AU282">
            <v>98.24308419119933</v>
          </cell>
        </row>
        <row r="283">
          <cell r="AU283">
            <v>98.332506588615331</v>
          </cell>
        </row>
        <row r="284">
          <cell r="AU284">
            <v>92.662463281061918</v>
          </cell>
        </row>
        <row r="285">
          <cell r="AU285">
            <v>97.346014307803912</v>
          </cell>
        </row>
        <row r="286">
          <cell r="AU286">
            <v>98.678864505842682</v>
          </cell>
        </row>
        <row r="287">
          <cell r="AU287">
            <v>91.779024513115218</v>
          </cell>
        </row>
        <row r="288">
          <cell r="AU288">
            <v>93.197398193182465</v>
          </cell>
        </row>
        <row r="289">
          <cell r="AU289">
            <v>89.6398714567338</v>
          </cell>
        </row>
        <row r="290">
          <cell r="AU290">
            <v>100.14422471363589</v>
          </cell>
        </row>
        <row r="291">
          <cell r="AU291">
            <v>96.721958172382543</v>
          </cell>
        </row>
        <row r="292">
          <cell r="AU292">
            <v>99.66467104367139</v>
          </cell>
        </row>
        <row r="293">
          <cell r="AU293">
            <v>101.46018254984246</v>
          </cell>
        </row>
        <row r="294">
          <cell r="AU294">
            <v>102.67780014140652</v>
          </cell>
        </row>
        <row r="295">
          <cell r="AU295">
            <v>101.8514455792621</v>
          </cell>
        </row>
        <row r="296">
          <cell r="AU296">
            <v>100.31098207591012</v>
          </cell>
        </row>
        <row r="297">
          <cell r="AU297">
            <v>102.74010817185233</v>
          </cell>
        </row>
        <row r="298">
          <cell r="AU298">
            <v>98.313519336144523</v>
          </cell>
        </row>
        <row r="299">
          <cell r="AU299">
            <v>96.991620603991933</v>
          </cell>
        </row>
        <row r="300">
          <cell r="AU300">
            <v>98.291339046896496</v>
          </cell>
        </row>
        <row r="301">
          <cell r="AU301">
            <v>98.955013733627396</v>
          </cell>
        </row>
        <row r="302">
          <cell r="AU302">
            <v>99.112393932911999</v>
          </cell>
        </row>
        <row r="303">
          <cell r="AU303">
            <v>98.049377375814046</v>
          </cell>
        </row>
        <row r="304">
          <cell r="AU304">
            <v>97.140907627227477</v>
          </cell>
        </row>
        <row r="305">
          <cell r="AU305">
            <v>97.108675302847075</v>
          </cell>
        </row>
        <row r="306">
          <cell r="AU306">
            <v>99.955896952490676</v>
          </cell>
        </row>
        <row r="307">
          <cell r="AU307">
            <v>96.285477000540993</v>
          </cell>
        </row>
        <row r="308">
          <cell r="AU308">
            <v>95.136209191041715</v>
          </cell>
        </row>
        <row r="309">
          <cell r="AU309">
            <v>104.12720344993677</v>
          </cell>
        </row>
        <row r="310">
          <cell r="AU310">
            <v>99.544031672518045</v>
          </cell>
        </row>
        <row r="311">
          <cell r="AU311">
            <v>97.107689466916568</v>
          </cell>
        </row>
        <row r="312">
          <cell r="AU312">
            <v>95.640781997288045</v>
          </cell>
        </row>
        <row r="313">
          <cell r="AU313">
            <v>98.925414914366613</v>
          </cell>
        </row>
        <row r="314">
          <cell r="AU314">
            <v>100.41166904509818</v>
          </cell>
        </row>
        <row r="315">
          <cell r="AU315">
            <v>100.10153958094506</v>
          </cell>
        </row>
        <row r="316">
          <cell r="AU316">
            <v>102.1345698780635</v>
          </cell>
        </row>
        <row r="317">
          <cell r="AU317">
            <v>102.61615796495992</v>
          </cell>
        </row>
        <row r="318">
          <cell r="AU318">
            <v>103.66246391386404</v>
          </cell>
        </row>
        <row r="319">
          <cell r="AU319">
            <v>106.95998042120141</v>
          </cell>
        </row>
        <row r="320">
          <cell r="AU320">
            <v>94.2893537985222</v>
          </cell>
        </row>
        <row r="321">
          <cell r="AU321">
            <v>98.710610505273081</v>
          </cell>
        </row>
        <row r="322">
          <cell r="AU322">
            <v>96.128929587864761</v>
          </cell>
        </row>
        <row r="323">
          <cell r="AU323">
            <v>97.94439772053714</v>
          </cell>
        </row>
        <row r="324">
          <cell r="AU324">
            <v>97.705041554039269</v>
          </cell>
        </row>
        <row r="325">
          <cell r="AU325">
            <v>97.542503945319154</v>
          </cell>
        </row>
        <row r="326">
          <cell r="AU326">
            <v>97.820735625935143</v>
          </cell>
        </row>
        <row r="327">
          <cell r="AU327">
            <v>98.296844040938197</v>
          </cell>
        </row>
        <row r="328">
          <cell r="AU328">
            <v>97.046163433641169</v>
          </cell>
        </row>
        <row r="329">
          <cell r="AU329">
            <v>98.107009642147446</v>
          </cell>
        </row>
        <row r="330">
          <cell r="AU330">
            <v>97.822477372642041</v>
          </cell>
        </row>
        <row r="331">
          <cell r="AU331">
            <v>96.841006194248607</v>
          </cell>
        </row>
        <row r="332">
          <cell r="AU332">
            <v>94.353846621380328</v>
          </cell>
        </row>
        <row r="333">
          <cell r="AU333">
            <v>99.52869748499829</v>
          </cell>
        </row>
        <row r="334">
          <cell r="AU334">
            <v>98.285972690602023</v>
          </cell>
        </row>
        <row r="335">
          <cell r="AU335">
            <v>101.59569981419895</v>
          </cell>
        </row>
        <row r="336">
          <cell r="AU336">
            <v>100.35668628710914</v>
          </cell>
        </row>
        <row r="337">
          <cell r="AU337">
            <v>100.31331285198578</v>
          </cell>
        </row>
        <row r="338">
          <cell r="AU338">
            <v>99.745226951365936</v>
          </cell>
        </row>
        <row r="339">
          <cell r="AU339">
            <v>98.609928325637725</v>
          </cell>
        </row>
        <row r="341">
          <cell r="A341" t="str">
            <v>CA237</v>
          </cell>
          <cell r="P341">
            <v>64</v>
          </cell>
          <cell r="Q341">
            <v>8.6764705882352917</v>
          </cell>
          <cell r="T341">
            <v>0.22777777777777777</v>
          </cell>
          <cell r="U341">
            <v>0.34236111111111112</v>
          </cell>
          <cell r="V341">
            <v>56</v>
          </cell>
          <cell r="Z341">
            <v>0.2590277777777778</v>
          </cell>
          <cell r="AF341">
            <v>52.5</v>
          </cell>
          <cell r="AG341">
            <v>12</v>
          </cell>
          <cell r="AI341">
            <v>48.4</v>
          </cell>
          <cell r="AU341">
            <v>95.054951532926523</v>
          </cell>
          <cell r="AV341">
            <v>96.311757056089704</v>
          </cell>
          <cell r="AX341" t="str">
            <v>K.Benjamin</v>
          </cell>
        </row>
        <row r="342">
          <cell r="A342" t="str">
            <v>CA238</v>
          </cell>
          <cell r="P342">
            <v>57</v>
          </cell>
          <cell r="Q342">
            <v>7.4909090909090859</v>
          </cell>
          <cell r="T342">
            <v>0.36458333333333331</v>
          </cell>
          <cell r="U342">
            <v>0.46944444444444444</v>
          </cell>
          <cell r="V342">
            <v>57</v>
          </cell>
          <cell r="Z342">
            <v>0.26111111111111107</v>
          </cell>
          <cell r="AF342">
            <v>53.8</v>
          </cell>
          <cell r="AG342">
            <v>12</v>
          </cell>
          <cell r="AI342">
            <v>50</v>
          </cell>
          <cell r="AU342">
            <v>98.197263980295986</v>
          </cell>
          <cell r="AV342">
            <v>99.495616793481105</v>
          </cell>
          <cell r="AX342" t="str">
            <v>K.Benjamin</v>
          </cell>
        </row>
        <row r="343">
          <cell r="A343" t="str">
            <v>CA239</v>
          </cell>
          <cell r="P343">
            <v>60</v>
          </cell>
          <cell r="Q343">
            <v>7.477313974591647</v>
          </cell>
          <cell r="T343">
            <v>0.46527777777777779</v>
          </cell>
          <cell r="U343">
            <v>0.57847222222222228</v>
          </cell>
          <cell r="V343">
            <v>61</v>
          </cell>
          <cell r="Z343">
            <v>0.24513888888888896</v>
          </cell>
          <cell r="AF343">
            <v>54.3</v>
          </cell>
          <cell r="AG343">
            <v>11.7</v>
          </cell>
          <cell r="AI343">
            <v>50.7</v>
          </cell>
          <cell r="AU343">
            <v>97.89069649116648</v>
          </cell>
          <cell r="AV343">
            <v>99.240153845261503</v>
          </cell>
          <cell r="AX343" t="str">
            <v>R. Regis</v>
          </cell>
        </row>
        <row r="344">
          <cell r="A344" t="str">
            <v>CA240</v>
          </cell>
          <cell r="P344">
            <v>60</v>
          </cell>
          <cell r="Q344">
            <v>7.2563176895306798</v>
          </cell>
          <cell r="T344">
            <v>0.57499999999999996</v>
          </cell>
          <cell r="U344">
            <v>0.69513888888888886</v>
          </cell>
          <cell r="V344">
            <v>60</v>
          </cell>
          <cell r="Z344">
            <v>0.25763888888888886</v>
          </cell>
          <cell r="AF344">
            <v>53.9</v>
          </cell>
          <cell r="AG344">
            <v>11.8</v>
          </cell>
          <cell r="AI344">
            <v>50.3</v>
          </cell>
          <cell r="AU344">
            <v>97.267564374285826</v>
          </cell>
          <cell r="AV344">
            <v>98.608870508309707</v>
          </cell>
          <cell r="AX344" t="str">
            <v>R. Regis</v>
          </cell>
        </row>
        <row r="345">
          <cell r="A345" t="str">
            <v>CA241</v>
          </cell>
          <cell r="P345">
            <v>58</v>
          </cell>
          <cell r="Q345">
            <v>6.499102333931785</v>
          </cell>
          <cell r="T345">
            <v>0.68611111111111112</v>
          </cell>
          <cell r="U345">
            <v>0.7944444444444444</v>
          </cell>
          <cell r="V345">
            <v>60</v>
          </cell>
          <cell r="Z345">
            <v>0.25277777777777777</v>
          </cell>
          <cell r="AF345">
            <v>55.4</v>
          </cell>
          <cell r="AG345">
            <v>11.8</v>
          </cell>
          <cell r="AI345">
            <v>51.8</v>
          </cell>
          <cell r="AU345">
            <v>100.78902433175921</v>
          </cell>
          <cell r="AV345">
            <v>102.17851240802378</v>
          </cell>
          <cell r="AX345" t="str">
            <v>R.Sookram</v>
          </cell>
        </row>
        <row r="346">
          <cell r="A346" t="str">
            <v>CA242</v>
          </cell>
          <cell r="P346">
            <v>57</v>
          </cell>
          <cell r="Q346">
            <v>6.1180679785330847</v>
          </cell>
          <cell r="T346">
            <v>0.78611111111111109</v>
          </cell>
          <cell r="U346">
            <v>0.89236111111111116</v>
          </cell>
          <cell r="V346">
            <v>62</v>
          </cell>
          <cell r="Z346">
            <v>0.24652777777777779</v>
          </cell>
          <cell r="AF346">
            <v>53.2</v>
          </cell>
          <cell r="AG346">
            <v>11.8</v>
          </cell>
          <cell r="AI346">
            <v>49.9</v>
          </cell>
          <cell r="AU346">
            <v>97.092129616887718</v>
          </cell>
          <cell r="AV346">
            <v>98.430651914293179</v>
          </cell>
          <cell r="AX346" t="str">
            <v>R.Sookram</v>
          </cell>
        </row>
        <row r="347">
          <cell r="A347" t="str">
            <v>CA243</v>
          </cell>
          <cell r="P347">
            <v>62</v>
          </cell>
          <cell r="Q347">
            <v>5.4121863799283085</v>
          </cell>
          <cell r="T347">
            <v>0.8881944444444444</v>
          </cell>
          <cell r="U347">
            <v>1.0034722222222223</v>
          </cell>
          <cell r="V347">
            <v>63</v>
          </cell>
          <cell r="Z347">
            <v>0.25347222222222232</v>
          </cell>
          <cell r="AF347">
            <v>55.7</v>
          </cell>
          <cell r="AI347">
            <v>52.2</v>
          </cell>
          <cell r="AX347" t="str">
            <v>R.Sookram</v>
          </cell>
        </row>
        <row r="348">
          <cell r="A348" t="str">
            <v>CA244</v>
          </cell>
          <cell r="P348">
            <v>59</v>
          </cell>
          <cell r="Q348">
            <v>7.2563176895306798</v>
          </cell>
          <cell r="T348">
            <v>0.99097222222222225</v>
          </cell>
          <cell r="U348">
            <v>1.1104166666666666</v>
          </cell>
          <cell r="V348">
            <v>63</v>
          </cell>
          <cell r="Z348">
            <v>0.25624999999999998</v>
          </cell>
          <cell r="AF348">
            <v>52.1</v>
          </cell>
          <cell r="AG348">
            <v>11.7</v>
          </cell>
          <cell r="AI348">
            <v>49.9</v>
          </cell>
          <cell r="AU348">
            <v>96.346070116552426</v>
          </cell>
          <cell r="AV348">
            <v>97.67423425795954</v>
          </cell>
          <cell r="AX348" t="str">
            <v>K.Benjamin</v>
          </cell>
        </row>
        <row r="349">
          <cell r="A349" t="str">
            <v>CA245</v>
          </cell>
          <cell r="P349">
            <v>57</v>
          </cell>
          <cell r="Q349">
            <v>6.7636363636363619</v>
          </cell>
          <cell r="T349">
            <v>0.78611111111111109</v>
          </cell>
          <cell r="U349">
            <v>0.8930555555555556</v>
          </cell>
          <cell r="V349">
            <v>60</v>
          </cell>
          <cell r="Z349">
            <v>0.24722222222222223</v>
          </cell>
          <cell r="AF349">
            <v>53.3</v>
          </cell>
          <cell r="AG349">
            <v>11.9</v>
          </cell>
          <cell r="AI349">
            <v>49</v>
          </cell>
          <cell r="AU349">
            <v>95.167732750673323</v>
          </cell>
          <cell r="AV349">
            <v>96.297037705174944</v>
          </cell>
          <cell r="AX349" t="str">
            <v>G. Mason</v>
          </cell>
        </row>
        <row r="350">
          <cell r="A350" t="str">
            <v>CA246</v>
          </cell>
          <cell r="P350">
            <v>58</v>
          </cell>
          <cell r="Q350">
            <v>6.036363636363637</v>
          </cell>
          <cell r="T350">
            <v>0.88611111111111107</v>
          </cell>
          <cell r="U350">
            <v>0.9916666666666667</v>
          </cell>
          <cell r="V350">
            <v>59</v>
          </cell>
          <cell r="Z350">
            <v>0.2416666666666667</v>
          </cell>
          <cell r="AF350">
            <v>54.1</v>
          </cell>
          <cell r="AG350">
            <v>12</v>
          </cell>
          <cell r="AI350">
            <v>50.8</v>
          </cell>
          <cell r="AU350">
            <v>99.535417664292453</v>
          </cell>
          <cell r="AV350">
            <v>100.7165516166076</v>
          </cell>
          <cell r="AX350" t="str">
            <v>G. Mason</v>
          </cell>
        </row>
        <row r="351">
          <cell r="A351" t="str">
            <v>CA247</v>
          </cell>
          <cell r="P351">
            <v>61</v>
          </cell>
          <cell r="Q351">
            <v>7.2694394213381486</v>
          </cell>
          <cell r="T351">
            <v>0.99097222222222225</v>
          </cell>
          <cell r="U351">
            <v>1.0965277777777778</v>
          </cell>
          <cell r="V351">
            <v>56</v>
          </cell>
          <cell r="Z351">
            <v>0.24236111111111114</v>
          </cell>
          <cell r="AF351">
            <v>53.7</v>
          </cell>
          <cell r="AG351">
            <v>11.9</v>
          </cell>
          <cell r="AI351">
            <v>50.3</v>
          </cell>
          <cell r="AU351">
            <v>98.272039728735081</v>
          </cell>
          <cell r="AV351">
            <v>99.487879888853783</v>
          </cell>
          <cell r="AX351" t="str">
            <v>K.Benjamin</v>
          </cell>
        </row>
        <row r="352">
          <cell r="A352" t="str">
            <v>CA248</v>
          </cell>
          <cell r="P352">
            <v>61</v>
          </cell>
          <cell r="Q352">
            <v>6.3423423423423362</v>
          </cell>
          <cell r="T352">
            <v>1.0583333333333333</v>
          </cell>
          <cell r="U352">
            <v>1.1979166666666667</v>
          </cell>
          <cell r="V352">
            <v>56</v>
          </cell>
          <cell r="Z352">
            <v>0.23958333333333337</v>
          </cell>
          <cell r="AF352">
            <v>52.7</v>
          </cell>
          <cell r="AG352">
            <v>12</v>
          </cell>
          <cell r="AI352">
            <v>49.2</v>
          </cell>
          <cell r="AU352">
            <v>97.452426605983504</v>
          </cell>
          <cell r="AV352">
            <v>98.657864007177082</v>
          </cell>
          <cell r="AX352" t="str">
            <v>K.Benjamin</v>
          </cell>
        </row>
        <row r="353">
          <cell r="A353" t="str">
            <v>CA249</v>
          </cell>
          <cell r="P353">
            <v>61</v>
          </cell>
          <cell r="Q353">
            <v>6.809269162210339</v>
          </cell>
          <cell r="T353">
            <v>0.2048611111111111</v>
          </cell>
          <cell r="U353">
            <v>0.31874999999999998</v>
          </cell>
          <cell r="V353">
            <v>61</v>
          </cell>
          <cell r="Z353">
            <v>0.25277777777777777</v>
          </cell>
          <cell r="AF353">
            <v>53.9</v>
          </cell>
          <cell r="AG353">
            <v>11.9</v>
          </cell>
          <cell r="AI353">
            <v>50.6</v>
          </cell>
          <cell r="AU353">
            <v>99.224854122831672</v>
          </cell>
          <cell r="AV353">
            <v>100.45228258737295</v>
          </cell>
          <cell r="AX353" t="str">
            <v>K.Benjamin</v>
          </cell>
        </row>
        <row r="354">
          <cell r="A354" t="str">
            <v>CA250</v>
          </cell>
          <cell r="P354">
            <v>61</v>
          </cell>
          <cell r="Q354">
            <v>6.3423423423423362</v>
          </cell>
          <cell r="T354">
            <v>0.32291666666666669</v>
          </cell>
          <cell r="U354">
            <v>0.43819444444444444</v>
          </cell>
          <cell r="V354">
            <v>60</v>
          </cell>
          <cell r="Z354">
            <v>0.25416666666666665</v>
          </cell>
          <cell r="AF354">
            <v>54.5</v>
          </cell>
          <cell r="AG354">
            <v>11.8</v>
          </cell>
          <cell r="AI354">
            <v>51.2</v>
          </cell>
          <cell r="AU354">
            <v>99.637549112347273</v>
          </cell>
          <cell r="AV354">
            <v>100.87001537764506</v>
          </cell>
          <cell r="AX354" t="str">
            <v>R. Regis</v>
          </cell>
        </row>
        <row r="355">
          <cell r="A355" t="str">
            <v>CA251</v>
          </cell>
          <cell r="P355">
            <v>61</v>
          </cell>
          <cell r="Q355">
            <v>5.9498207885304542</v>
          </cell>
          <cell r="T355">
            <v>0.44166666666666665</v>
          </cell>
          <cell r="U355">
            <v>0.5541666666666667</v>
          </cell>
          <cell r="V355">
            <v>63</v>
          </cell>
          <cell r="Z355">
            <v>0.26597222222222228</v>
          </cell>
          <cell r="AF355">
            <v>53.6</v>
          </cell>
          <cell r="AG355">
            <v>11.9</v>
          </cell>
          <cell r="AI355">
            <v>50.2</v>
          </cell>
          <cell r="AU355">
            <v>98.440467924232209</v>
          </cell>
          <cell r="AV355">
            <v>99.658193396958936</v>
          </cell>
          <cell r="AX355" t="str">
            <v>R. Regis</v>
          </cell>
        </row>
        <row r="356">
          <cell r="A356" t="str">
            <v>CA252</v>
          </cell>
          <cell r="P356">
            <v>61</v>
          </cell>
          <cell r="Q356">
            <v>6.0638297872340337</v>
          </cell>
          <cell r="T356">
            <v>0.58263888888888893</v>
          </cell>
          <cell r="U356">
            <v>0.65625</v>
          </cell>
          <cell r="V356">
            <v>64</v>
          </cell>
          <cell r="Z356">
            <v>0.25</v>
          </cell>
          <cell r="AF356">
            <v>54.6</v>
          </cell>
          <cell r="AG356">
            <v>11.7</v>
          </cell>
          <cell r="AI356">
            <v>51.4</v>
          </cell>
          <cell r="AU356">
            <v>99.13510971387187</v>
          </cell>
          <cell r="AV356">
            <v>100.36136105703947</v>
          </cell>
          <cell r="AX356" t="str">
            <v>R. Regis</v>
          </cell>
        </row>
        <row r="357">
          <cell r="A357" t="str">
            <v>CA253</v>
          </cell>
          <cell r="P357">
            <v>61</v>
          </cell>
          <cell r="Q357">
            <v>5.7913669064748179</v>
          </cell>
          <cell r="T357">
            <v>1.0215277777777778</v>
          </cell>
          <cell r="U357">
            <v>1.1458333333333333</v>
          </cell>
          <cell r="V357">
            <v>64</v>
          </cell>
          <cell r="Z357">
            <v>0.27083333333333326</v>
          </cell>
          <cell r="AF357">
            <v>53.1</v>
          </cell>
          <cell r="AG357">
            <v>11.8</v>
          </cell>
          <cell r="AI357">
            <v>49.3</v>
          </cell>
          <cell r="AU357">
            <v>95.843374606839177</v>
          </cell>
          <cell r="AV357">
            <v>96.979702735902592</v>
          </cell>
          <cell r="AX357" t="str">
            <v>K.Benjamin</v>
          </cell>
          <cell r="AY357">
            <v>93.918730775991904</v>
          </cell>
        </row>
        <row r="358">
          <cell r="A358" t="str">
            <v>CA254</v>
          </cell>
          <cell r="P358">
            <v>60</v>
          </cell>
          <cell r="Q358">
            <v>4.368231046931399</v>
          </cell>
          <cell r="T358">
            <v>1.1166666666666667</v>
          </cell>
          <cell r="U358">
            <v>1.2277777777777779</v>
          </cell>
          <cell r="V358">
            <v>54</v>
          </cell>
          <cell r="Z358">
            <v>0.24861111111111123</v>
          </cell>
          <cell r="AF358">
            <v>55</v>
          </cell>
          <cell r="AG358">
            <v>12</v>
          </cell>
          <cell r="AI358">
            <v>51.4</v>
          </cell>
          <cell r="AU358">
            <v>100.8345162679376</v>
          </cell>
          <cell r="AV358">
            <v>102.0309362937182</v>
          </cell>
          <cell r="AX358" t="str">
            <v>K.Benjamin</v>
          </cell>
          <cell r="AY358">
            <v>99.598606827299463</v>
          </cell>
        </row>
        <row r="359">
          <cell r="A359" t="str">
            <v>CA255</v>
          </cell>
          <cell r="P359">
            <v>61</v>
          </cell>
          <cell r="Q359">
            <v>5.9819819819819831</v>
          </cell>
          <cell r="T359">
            <v>0.24097222222222223</v>
          </cell>
          <cell r="U359">
            <v>0.35</v>
          </cell>
          <cell r="V359">
            <v>59</v>
          </cell>
          <cell r="Z359">
            <v>0.25624999999999998</v>
          </cell>
          <cell r="AF359">
            <v>54.2</v>
          </cell>
          <cell r="AG359">
            <v>11.9</v>
          </cell>
          <cell r="AI359">
            <v>50.8</v>
          </cell>
          <cell r="AU359">
            <v>99.271537216316347</v>
          </cell>
          <cell r="AV359">
            <v>100.44889854541175</v>
          </cell>
          <cell r="AX359" t="str">
            <v>K.Benjamin</v>
          </cell>
          <cell r="AY359">
            <v>97.630039356833947</v>
          </cell>
        </row>
        <row r="360">
          <cell r="A360" t="str">
            <v>CA256</v>
          </cell>
          <cell r="P360">
            <v>60</v>
          </cell>
          <cell r="Q360">
            <v>6.2969588550983833</v>
          </cell>
          <cell r="T360">
            <v>0.36736111111111114</v>
          </cell>
          <cell r="U360">
            <v>0.47847222222222224</v>
          </cell>
          <cell r="V360">
            <v>68</v>
          </cell>
          <cell r="Z360">
            <v>0.27708333333333335</v>
          </cell>
          <cell r="AF360">
            <v>53.5</v>
          </cell>
          <cell r="AG360">
            <v>11.8</v>
          </cell>
          <cell r="AI360">
            <v>50.3</v>
          </cell>
          <cell r="AU360">
            <v>98.251005719348782</v>
          </cell>
          <cell r="AV360">
            <v>99.466121041331647</v>
          </cell>
          <cell r="AX360" t="str">
            <v>R. Regis</v>
          </cell>
          <cell r="AY360">
            <v>96.68836546933926</v>
          </cell>
        </row>
        <row r="361">
          <cell r="A361" t="str">
            <v>CA257</v>
          </cell>
          <cell r="P361">
            <v>60</v>
          </cell>
          <cell r="Q361">
            <v>5.3736654804270509</v>
          </cell>
          <cell r="T361">
            <v>0.4777777777777778</v>
          </cell>
          <cell r="U361">
            <v>0.59652777777777777</v>
          </cell>
          <cell r="V361">
            <v>56</v>
          </cell>
          <cell r="Z361">
            <v>0.27013888888888887</v>
          </cell>
          <cell r="AF361">
            <v>53.9</v>
          </cell>
          <cell r="AG361">
            <v>11.8</v>
          </cell>
          <cell r="AI361">
            <v>50.5</v>
          </cell>
          <cell r="AU361">
            <v>98.519246414669013</v>
          </cell>
          <cell r="AV361">
            <v>99.737746240695031</v>
          </cell>
          <cell r="AX361" t="str">
            <v>G. Mason</v>
          </cell>
          <cell r="AY361">
            <v>96.782966626370893</v>
          </cell>
        </row>
        <row r="362">
          <cell r="A362" t="str">
            <v>CA258</v>
          </cell>
          <cell r="P362">
            <v>62</v>
          </cell>
          <cell r="Q362">
            <v>4.848484848484846</v>
          </cell>
          <cell r="T362">
            <v>0.59652777777777777</v>
          </cell>
          <cell r="U362">
            <v>0.70347222222222228</v>
          </cell>
          <cell r="V362">
            <v>63</v>
          </cell>
          <cell r="Z362">
            <v>0.24513888888888896</v>
          </cell>
          <cell r="AF362">
            <v>54.1</v>
          </cell>
          <cell r="AG362">
            <v>11.9</v>
          </cell>
          <cell r="AI362">
            <v>50.7</v>
          </cell>
          <cell r="AU362">
            <v>99.544031672518045</v>
          </cell>
          <cell r="AV362">
            <v>100.77534117421787</v>
          </cell>
          <cell r="AX362" t="str">
            <v>G. Mason</v>
          </cell>
          <cell r="AY362">
            <v>97.482468886400795</v>
          </cell>
        </row>
        <row r="363">
          <cell r="A363" t="str">
            <v>CA259</v>
          </cell>
          <cell r="P363">
            <v>56</v>
          </cell>
          <cell r="Q363">
            <v>7.4690265486725638</v>
          </cell>
          <cell r="T363">
            <v>0.33750000000000002</v>
          </cell>
          <cell r="U363">
            <v>0.45277777777777778</v>
          </cell>
          <cell r="V363">
            <v>59</v>
          </cell>
          <cell r="Z363">
            <v>0.26527777777777778</v>
          </cell>
          <cell r="AF363">
            <v>53.4</v>
          </cell>
          <cell r="AG363">
            <v>11.9</v>
          </cell>
          <cell r="AI363">
            <v>49.7</v>
          </cell>
          <cell r="AU363">
            <v>96.768319863223013</v>
          </cell>
          <cell r="AV363">
            <v>98.273823970609541</v>
          </cell>
          <cell r="AX363" t="str">
            <v>G. Mason</v>
          </cell>
          <cell r="AY363">
            <v>98.540134170577801</v>
          </cell>
        </row>
        <row r="364">
          <cell r="A364" t="str">
            <v>CA260</v>
          </cell>
          <cell r="P364">
            <v>57</v>
          </cell>
          <cell r="Q364">
            <v>6.8336314847942763</v>
          </cell>
          <cell r="T364">
            <v>0.44236111111111109</v>
          </cell>
          <cell r="U364">
            <v>0.5493055555555556</v>
          </cell>
          <cell r="V364">
            <v>58</v>
          </cell>
          <cell r="Z364">
            <v>0.25763888888888892</v>
          </cell>
          <cell r="AF364">
            <v>54.1</v>
          </cell>
          <cell r="AG364">
            <v>12</v>
          </cell>
          <cell r="AI364">
            <v>50.5</v>
          </cell>
          <cell r="AU364">
            <v>99.07258993276939</v>
          </cell>
          <cell r="AV364">
            <v>100.61411219616258</v>
          </cell>
          <cell r="AX364" t="str">
            <v>G. Mason</v>
          </cell>
          <cell r="AY364">
            <v>99.680758306614138</v>
          </cell>
        </row>
        <row r="365">
          <cell r="A365" t="str">
            <v>CA261</v>
          </cell>
          <cell r="P365">
            <v>58</v>
          </cell>
          <cell r="Q365">
            <v>6.7148014440433199</v>
          </cell>
          <cell r="T365">
            <v>0.54513888888888884</v>
          </cell>
          <cell r="U365">
            <v>0.65972222222222221</v>
          </cell>
          <cell r="V365">
            <v>57</v>
          </cell>
          <cell r="Z365">
            <v>0.25347222222222221</v>
          </cell>
          <cell r="AF365">
            <v>54.1</v>
          </cell>
          <cell r="AG365">
            <v>12</v>
          </cell>
          <cell r="AI365">
            <v>50.9</v>
          </cell>
          <cell r="AU365">
            <v>99.857323318375492</v>
          </cell>
          <cell r="AV365">
            <v>101.41105565910249</v>
          </cell>
          <cell r="AX365" t="str">
            <v>G. Mason</v>
          </cell>
          <cell r="AY365">
            <v>97.522741496197369</v>
          </cell>
        </row>
        <row r="366">
          <cell r="A366" t="str">
            <v>CA262</v>
          </cell>
          <cell r="P366">
            <v>57</v>
          </cell>
          <cell r="Q366">
            <v>6.4758497316636809</v>
          </cell>
          <cell r="T366">
            <v>0.65069444444444446</v>
          </cell>
          <cell r="U366">
            <v>0.7583333333333333</v>
          </cell>
          <cell r="V366">
            <v>60</v>
          </cell>
          <cell r="Z366">
            <v>0.24791666666666667</v>
          </cell>
          <cell r="AF366">
            <v>54.8</v>
          </cell>
          <cell r="AG366">
            <v>11.7</v>
          </cell>
          <cell r="AI366">
            <v>51.2</v>
          </cell>
          <cell r="AU366">
            <v>98.374607891386887</v>
          </cell>
          <cell r="AV366">
            <v>99.970849924521829</v>
          </cell>
          <cell r="AX366" t="str">
            <v>G. Mason</v>
          </cell>
          <cell r="AY366">
            <v>96.472442621612032</v>
          </cell>
        </row>
        <row r="367">
          <cell r="A367" t="str">
            <v>CA263</v>
          </cell>
          <cell r="P367">
            <v>57</v>
          </cell>
          <cell r="Q367">
            <v>5.581395348837205</v>
          </cell>
          <cell r="T367">
            <v>0.76111111111111107</v>
          </cell>
          <cell r="U367">
            <v>0.86805555555555558</v>
          </cell>
          <cell r="V367">
            <v>63</v>
          </cell>
          <cell r="Z367">
            <v>0.25347222222222221</v>
          </cell>
          <cell r="AF367">
            <v>54.4</v>
          </cell>
          <cell r="AG367">
            <v>11.9</v>
          </cell>
          <cell r="AI367">
            <v>50.8</v>
          </cell>
          <cell r="AU367">
            <v>99.488368097360109</v>
          </cell>
          <cell r="AV367">
            <v>101.10052669336523</v>
          </cell>
          <cell r="AX367" t="str">
            <v>R.Sookram</v>
          </cell>
          <cell r="AY367">
            <v>97.13824916592641</v>
          </cell>
        </row>
        <row r="368">
          <cell r="A368" t="str">
            <v>CA264</v>
          </cell>
          <cell r="P368">
            <v>62</v>
          </cell>
          <cell r="Q368">
            <v>6.263345195729543</v>
          </cell>
          <cell r="T368">
            <v>0.87013888888888891</v>
          </cell>
          <cell r="U368">
            <v>0.98333333333333328</v>
          </cell>
          <cell r="V368">
            <v>63</v>
          </cell>
          <cell r="Z368">
            <v>0.26458333333333328</v>
          </cell>
          <cell r="AF368">
            <v>54.2</v>
          </cell>
          <cell r="AG368">
            <v>11.8</v>
          </cell>
          <cell r="AI368">
            <v>50.8</v>
          </cell>
          <cell r="AU368">
            <v>98.731758097232401</v>
          </cell>
          <cell r="AV368">
            <v>100.33156574156735</v>
          </cell>
          <cell r="AX368" t="str">
            <v>R.Sookram</v>
          </cell>
          <cell r="AY368">
            <v>97.196362646507723</v>
          </cell>
        </row>
        <row r="369">
          <cell r="A369" t="str">
            <v>CA265</v>
          </cell>
          <cell r="P369">
            <v>57</v>
          </cell>
          <cell r="Q369">
            <v>5.0267379679144391</v>
          </cell>
          <cell r="T369">
            <v>0.97361111111111109</v>
          </cell>
          <cell r="U369">
            <v>1.08125</v>
          </cell>
          <cell r="V369">
            <v>64</v>
          </cell>
          <cell r="Z369">
            <v>0.25833333333333341</v>
          </cell>
          <cell r="AF369">
            <v>54</v>
          </cell>
          <cell r="AG369">
            <v>12</v>
          </cell>
          <cell r="AI369">
            <v>50.6</v>
          </cell>
          <cell r="AU369">
            <v>100.21736158844494</v>
          </cell>
          <cell r="AV369">
            <v>101.8432366934918</v>
          </cell>
          <cell r="AX369" t="str">
            <v>R.Sookram</v>
          </cell>
          <cell r="AY369">
            <v>98.791343795091564</v>
          </cell>
        </row>
        <row r="370">
          <cell r="A370" t="str">
            <v>CA266</v>
          </cell>
          <cell r="P370">
            <v>57</v>
          </cell>
          <cell r="Q370">
            <v>5.5516014234875524</v>
          </cell>
          <cell r="T370">
            <v>1.0736111111111111</v>
          </cell>
          <cell r="U370">
            <v>1.1819444444444445</v>
          </cell>
          <cell r="V370">
            <v>60</v>
          </cell>
          <cell r="Z370">
            <v>0.24444444444444446</v>
          </cell>
          <cell r="AF370">
            <v>55.1</v>
          </cell>
          <cell r="AG370">
            <v>12</v>
          </cell>
          <cell r="AI370">
            <v>52.1</v>
          </cell>
          <cell r="AU370">
            <v>103.18823199126446</v>
          </cell>
          <cell r="AV370">
            <v>104.86230497491944</v>
          </cell>
          <cell r="AX370" t="str">
            <v>R.Sookram</v>
          </cell>
          <cell r="AY370">
            <v>101.82163160596747</v>
          </cell>
        </row>
        <row r="371">
          <cell r="A371" t="str">
            <v>CA267</v>
          </cell>
          <cell r="P371">
            <v>57</v>
          </cell>
          <cell r="Q371">
            <v>7.5357142857142829</v>
          </cell>
          <cell r="T371">
            <v>0.24652777777777779</v>
          </cell>
          <cell r="U371">
            <v>0.35</v>
          </cell>
          <cell r="V371">
            <v>52</v>
          </cell>
          <cell r="Z371">
            <v>0.24583333333333329</v>
          </cell>
          <cell r="AF371">
            <v>54.2</v>
          </cell>
          <cell r="AG371">
            <v>12</v>
          </cell>
          <cell r="AI371">
            <v>49.4</v>
          </cell>
          <cell r="AU371">
            <v>100.97805319324719</v>
          </cell>
          <cell r="AV371">
            <v>102.6139405638538</v>
          </cell>
          <cell r="AX371" t="str">
            <v>G. Mason</v>
          </cell>
          <cell r="AY371">
            <v>99.710717302967566</v>
          </cell>
        </row>
        <row r="372">
          <cell r="A372" t="str">
            <v>CA268</v>
          </cell>
          <cell r="P372">
            <v>61</v>
          </cell>
          <cell r="Q372">
            <v>8.546099290780143</v>
          </cell>
          <cell r="T372">
            <v>0.34166666666666667</v>
          </cell>
          <cell r="U372">
            <v>0.45763888888888887</v>
          </cell>
          <cell r="V372">
            <v>59</v>
          </cell>
          <cell r="Z372">
            <v>0.24930555555555553</v>
          </cell>
          <cell r="AF372">
            <v>54.5</v>
          </cell>
          <cell r="AG372">
            <v>11.8</v>
          </cell>
          <cell r="AI372">
            <v>51</v>
          </cell>
          <cell r="AU372">
            <v>99.240317373165226</v>
          </cell>
          <cell r="AV372">
            <v>100.85034141367622</v>
          </cell>
          <cell r="AX372" t="str">
            <v>K.Benjamin</v>
          </cell>
          <cell r="AY372">
            <v>98.325749742471345</v>
          </cell>
        </row>
        <row r="373">
          <cell r="A373" t="str">
            <v>CA269</v>
          </cell>
          <cell r="P373">
            <v>60</v>
          </cell>
          <cell r="Q373">
            <v>6.9454545454545462</v>
          </cell>
          <cell r="T373">
            <v>0.49513888888888891</v>
          </cell>
          <cell r="U373">
            <v>0.60833333333333328</v>
          </cell>
          <cell r="V373">
            <v>57</v>
          </cell>
          <cell r="Z373">
            <v>0.2541666666666666</v>
          </cell>
          <cell r="AF373">
            <v>54.1</v>
          </cell>
          <cell r="AG373">
            <v>12.03</v>
          </cell>
          <cell r="AI373">
            <v>50.5</v>
          </cell>
          <cell r="AU373">
            <v>100.01930356159028</v>
          </cell>
          <cell r="AV373">
            <v>101.64196547472994</v>
          </cell>
          <cell r="AX373" t="str">
            <v>K.Benjamin</v>
          </cell>
          <cell r="AY373">
            <v>99.464741086397311</v>
          </cell>
        </row>
        <row r="374">
          <cell r="A374" t="str">
            <v>CA270</v>
          </cell>
          <cell r="P374">
            <v>60</v>
          </cell>
          <cell r="Q374">
            <v>7.0000000000000036</v>
          </cell>
          <cell r="T374">
            <v>0.6069444444444444</v>
          </cell>
          <cell r="U374">
            <v>0.71666666666666667</v>
          </cell>
          <cell r="V374">
            <v>62</v>
          </cell>
          <cell r="Z374">
            <v>0.25833333333333336</v>
          </cell>
          <cell r="AF374">
            <v>54.6</v>
          </cell>
          <cell r="AG374">
            <v>11.81</v>
          </cell>
          <cell r="AI374">
            <v>51</v>
          </cell>
          <cell r="AU374">
            <v>99.117134605566818</v>
          </cell>
          <cell r="AV374">
            <v>100.72524867872173</v>
          </cell>
          <cell r="AX374" t="str">
            <v>K.Benjamin</v>
          </cell>
          <cell r="AY374">
            <v>97.057052984353064</v>
          </cell>
        </row>
        <row r="375">
          <cell r="A375" t="str">
            <v>CA271</v>
          </cell>
          <cell r="P375">
            <v>61</v>
          </cell>
          <cell r="Q375">
            <v>8.0427046263345243</v>
          </cell>
          <cell r="T375">
            <v>0.71805555555555556</v>
          </cell>
          <cell r="U375">
            <v>0.82986111111111116</v>
          </cell>
          <cell r="V375">
            <v>58</v>
          </cell>
          <cell r="Z375">
            <v>0.26041666666666674</v>
          </cell>
          <cell r="AF375">
            <v>54.1</v>
          </cell>
          <cell r="AG375">
            <v>11.82</v>
          </cell>
          <cell r="AI375">
            <v>50.7</v>
          </cell>
          <cell r="AU375">
            <v>98.53409263729877</v>
          </cell>
          <cell r="AV375">
            <v>100.13274721590572</v>
          </cell>
          <cell r="AX375" t="str">
            <v>R. Regis</v>
          </cell>
          <cell r="AY375">
            <v>97.057052984353064</v>
          </cell>
        </row>
        <row r="376">
          <cell r="A376" t="str">
            <v>CA272</v>
          </cell>
          <cell r="P376">
            <v>61</v>
          </cell>
          <cell r="Q376">
            <v>6.2745098039215739</v>
          </cell>
          <cell r="T376">
            <v>0.81597222222222221</v>
          </cell>
          <cell r="U376">
            <v>0.92222222222222228</v>
          </cell>
          <cell r="V376">
            <v>56</v>
          </cell>
          <cell r="Z376">
            <v>0.24513888888888891</v>
          </cell>
          <cell r="AF376">
            <v>54.2</v>
          </cell>
          <cell r="AG376">
            <v>11.83</v>
          </cell>
          <cell r="AI376">
            <v>50.5</v>
          </cell>
          <cell r="AU376">
            <v>98.267373085193</v>
          </cell>
          <cell r="AV376">
            <v>99.861612576287229</v>
          </cell>
          <cell r="AX376" t="str">
            <v>R. Regis</v>
          </cell>
          <cell r="AY376">
            <v>97.352805454499119</v>
          </cell>
        </row>
        <row r="377">
          <cell r="A377" t="str">
            <v>CA273</v>
          </cell>
          <cell r="P377">
            <v>60</v>
          </cell>
          <cell r="Q377">
            <v>9.1265597147950039</v>
          </cell>
          <cell r="T377">
            <v>0.9243055555555556</v>
          </cell>
          <cell r="U377">
            <v>1.0368055555555555</v>
          </cell>
          <cell r="V377">
            <v>64</v>
          </cell>
          <cell r="Z377">
            <v>0.25555555555555554</v>
          </cell>
          <cell r="AF377">
            <v>54.9</v>
          </cell>
          <cell r="AG377">
            <v>11.77</v>
          </cell>
          <cell r="AI377">
            <v>51.4</v>
          </cell>
          <cell r="AU377">
            <v>99.400995056811297</v>
          </cell>
          <cell r="AV377">
            <v>101.01406735984358</v>
          </cell>
          <cell r="AX377" t="str">
            <v>R. Regis</v>
          </cell>
          <cell r="AY377">
            <v>97.718526852542325</v>
          </cell>
        </row>
        <row r="378">
          <cell r="A378" t="str">
            <v>CA274</v>
          </cell>
          <cell r="P378">
            <v>56</v>
          </cell>
          <cell r="Q378">
            <v>6.4758497316636809</v>
          </cell>
          <cell r="T378">
            <v>1.0305555555555554</v>
          </cell>
          <cell r="U378">
            <v>1.1375</v>
          </cell>
          <cell r="V378">
            <v>62</v>
          </cell>
          <cell r="Z378">
            <v>0.24166666666666659</v>
          </cell>
          <cell r="AF378">
            <v>54.3</v>
          </cell>
          <cell r="AG378">
            <v>11.78</v>
          </cell>
          <cell r="AI378">
            <v>50.8</v>
          </cell>
          <cell r="AU378">
            <v>98.240672157315458</v>
          </cell>
          <cell r="AV378">
            <v>99.834914822569132</v>
          </cell>
          <cell r="AX378" t="str">
            <v>G. Mason</v>
          </cell>
          <cell r="AY378">
            <v>97.853897857483503</v>
          </cell>
        </row>
        <row r="379">
          <cell r="A379" t="str">
            <v>CA275</v>
          </cell>
          <cell r="P379">
            <v>61</v>
          </cell>
          <cell r="Q379">
            <v>8.5121107266435896</v>
          </cell>
          <cell r="T379">
            <v>0.4826388888888889</v>
          </cell>
          <cell r="U379">
            <v>0.60138888888888886</v>
          </cell>
          <cell r="V379">
            <v>63</v>
          </cell>
          <cell r="Z379">
            <v>0.28888888888888886</v>
          </cell>
          <cell r="AF379">
            <v>55.4</v>
          </cell>
          <cell r="AG379">
            <v>11.6</v>
          </cell>
          <cell r="AI379">
            <v>51</v>
          </cell>
          <cell r="AU379">
            <v>100.08308943032193</v>
          </cell>
          <cell r="AV379">
            <v>101.70485720362939</v>
          </cell>
          <cell r="AX379" t="str">
            <v>D. Gomez</v>
          </cell>
        </row>
        <row r="380">
          <cell r="A380" t="str">
            <v>CA276</v>
          </cell>
          <cell r="P380">
            <v>61</v>
          </cell>
          <cell r="Q380">
            <v>7.6460176991150446</v>
          </cell>
          <cell r="T380">
            <v>0.67291666666666672</v>
          </cell>
          <cell r="U380">
            <v>0.7</v>
          </cell>
          <cell r="V380">
            <v>61</v>
          </cell>
          <cell r="Z380">
            <v>0.26249999999999996</v>
          </cell>
          <cell r="AF380">
            <v>53.3</v>
          </cell>
          <cell r="AG380">
            <v>11.83</v>
          </cell>
          <cell r="AI380">
            <v>49.7</v>
          </cell>
          <cell r="AU380">
            <v>99.429215913383217</v>
          </cell>
          <cell r="AV380">
            <v>101.04029436156875</v>
          </cell>
          <cell r="AX380" t="str">
            <v>D. Gomez</v>
          </cell>
        </row>
        <row r="381">
          <cell r="A381" t="str">
            <v>CA277</v>
          </cell>
          <cell r="P381">
            <v>61</v>
          </cell>
          <cell r="Q381">
            <v>6.4527629233511536</v>
          </cell>
          <cell r="T381">
            <v>0.69930555555555551</v>
          </cell>
          <cell r="U381">
            <v>0.80694444444444446</v>
          </cell>
          <cell r="V381">
            <v>62</v>
          </cell>
          <cell r="Z381">
            <v>0.22361111111111109</v>
          </cell>
          <cell r="AF381">
            <v>53.2</v>
          </cell>
          <cell r="AG381">
            <v>11.78</v>
          </cell>
          <cell r="AI381">
            <v>49.4</v>
          </cell>
          <cell r="AU381">
            <v>99.082241304611145</v>
          </cell>
          <cell r="AV381">
            <v>100.68750992842179</v>
          </cell>
          <cell r="AX381" t="str">
            <v>D. Gomez</v>
          </cell>
        </row>
        <row r="382">
          <cell r="A382" t="str">
            <v>CA278</v>
          </cell>
          <cell r="P382">
            <v>60</v>
          </cell>
          <cell r="Q382">
            <v>6.7730496453900706</v>
          </cell>
          <cell r="T382">
            <v>0.79791666666666672</v>
          </cell>
          <cell r="U382">
            <v>0.90486111111111112</v>
          </cell>
          <cell r="V382">
            <v>60</v>
          </cell>
          <cell r="Z382">
            <v>0.24861111111111112</v>
          </cell>
          <cell r="AF382">
            <v>53.3</v>
          </cell>
          <cell r="AG382">
            <v>11.75</v>
          </cell>
          <cell r="AI382">
            <v>49.4</v>
          </cell>
          <cell r="AU382">
            <v>98.955478462844866</v>
          </cell>
          <cell r="AV382">
            <v>100.55878720450451</v>
          </cell>
          <cell r="AX382" t="str">
            <v>D. Gomez</v>
          </cell>
        </row>
        <row r="383">
          <cell r="A383" t="str">
            <v>CA279</v>
          </cell>
          <cell r="P383">
            <v>61</v>
          </cell>
          <cell r="Q383">
            <v>6.4758497316636809</v>
          </cell>
          <cell r="T383">
            <v>0.90555555555555556</v>
          </cell>
          <cell r="U383">
            <v>1.0298611111111111</v>
          </cell>
          <cell r="V383">
            <v>77</v>
          </cell>
          <cell r="Z383">
            <v>0.25902777777777775</v>
          </cell>
          <cell r="AF383">
            <v>54.8</v>
          </cell>
          <cell r="AG383">
            <v>11.99</v>
          </cell>
          <cell r="AI383">
            <v>50.9</v>
          </cell>
          <cell r="AU383">
            <v>103.64536563023121</v>
          </cell>
          <cell r="AV383">
            <v>105.32475949135387</v>
          </cell>
          <cell r="AX383" t="str">
            <v>R. Regis</v>
          </cell>
        </row>
        <row r="384">
          <cell r="A384" t="str">
            <v>CA280</v>
          </cell>
          <cell r="P384">
            <v>59</v>
          </cell>
          <cell r="Q384">
            <v>6.7610619469026547</v>
          </cell>
          <cell r="T384">
            <v>1.0152777777777777</v>
          </cell>
          <cell r="U384">
            <v>1.1277777777777778</v>
          </cell>
          <cell r="V384">
            <v>65</v>
          </cell>
          <cell r="Z384">
            <v>0.25277777777777777</v>
          </cell>
          <cell r="AF384">
            <v>55.6</v>
          </cell>
          <cell r="AG384">
            <v>11.69</v>
          </cell>
          <cell r="AI384">
            <v>52.2</v>
          </cell>
          <cell r="AU384">
            <v>99.556372614317851</v>
          </cell>
          <cell r="AV384">
            <v>101.17231622319738</v>
          </cell>
          <cell r="AX384" t="str">
            <v>R. Regis</v>
          </cell>
        </row>
        <row r="385">
          <cell r="A385" t="str">
            <v>CA281</v>
          </cell>
          <cell r="P385">
            <v>60</v>
          </cell>
          <cell r="Q385">
            <v>6.0317460317460343</v>
          </cell>
          <cell r="T385">
            <v>1.1361111111111111</v>
          </cell>
          <cell r="U385">
            <v>1.2527777777777778</v>
          </cell>
          <cell r="V385">
            <v>72</v>
          </cell>
          <cell r="Z385">
            <v>0.27361111111111114</v>
          </cell>
          <cell r="AF385">
            <v>54.9</v>
          </cell>
          <cell r="AG385">
            <v>11.86</v>
          </cell>
          <cell r="AI385">
            <v>51.5</v>
          </cell>
          <cell r="AU385">
            <v>100.23457211367787</v>
          </cell>
          <cell r="AV385">
            <v>101.86134819634137</v>
          </cell>
          <cell r="AX385" t="str">
            <v>R. Regis</v>
          </cell>
        </row>
        <row r="386">
          <cell r="A386" t="str">
            <v>CA282</v>
          </cell>
          <cell r="P386">
            <v>60</v>
          </cell>
          <cell r="Q386">
            <v>5.6991150442477858</v>
          </cell>
          <cell r="T386">
            <v>1.2305555555555556</v>
          </cell>
          <cell r="U386">
            <v>1.351388888888889</v>
          </cell>
          <cell r="V386">
            <v>72</v>
          </cell>
          <cell r="Z386">
            <v>0.26111111111111129</v>
          </cell>
          <cell r="AF386">
            <v>55.4</v>
          </cell>
          <cell r="AG386">
            <v>11.72</v>
          </cell>
          <cell r="AI386">
            <v>52</v>
          </cell>
          <cell r="AU386">
            <v>99.664904263017561</v>
          </cell>
          <cell r="AV386">
            <v>101.28225926594436</v>
          </cell>
          <cell r="AX386" t="str">
            <v>R. Regis</v>
          </cell>
        </row>
        <row r="387">
          <cell r="A387" t="str">
            <v>CA283</v>
          </cell>
          <cell r="P387">
            <v>61</v>
          </cell>
          <cell r="Q387">
            <v>8.7427466150870465</v>
          </cell>
          <cell r="T387">
            <v>0.26319444444444445</v>
          </cell>
          <cell r="U387">
            <v>0.36875000000000002</v>
          </cell>
          <cell r="V387">
            <v>55</v>
          </cell>
          <cell r="Z387">
            <v>0.24375000000000002</v>
          </cell>
          <cell r="AF387">
            <v>49.8</v>
          </cell>
          <cell r="AG387">
            <v>11.9</v>
          </cell>
          <cell r="AI387">
            <v>49.5</v>
          </cell>
          <cell r="AU387">
            <v>110.18976831746323</v>
          </cell>
          <cell r="AV387">
            <v>111.96682208720785</v>
          </cell>
          <cell r="AX387" t="str">
            <v>R. Regis</v>
          </cell>
        </row>
        <row r="388">
          <cell r="A388" t="str">
            <v>CA284</v>
          </cell>
          <cell r="P388">
            <v>59</v>
          </cell>
          <cell r="Q388">
            <v>6.46428571428571</v>
          </cell>
          <cell r="T388">
            <v>0.36388888888888887</v>
          </cell>
          <cell r="U388">
            <v>0.47638888888888886</v>
          </cell>
          <cell r="V388">
            <v>66</v>
          </cell>
          <cell r="Z388">
            <v>0.2472222222222222</v>
          </cell>
          <cell r="AF388">
            <v>55.3</v>
          </cell>
          <cell r="AG388">
            <v>11.9</v>
          </cell>
          <cell r="AI388">
            <v>51.2</v>
          </cell>
          <cell r="AU388">
            <v>103.07975259792097</v>
          </cell>
          <cell r="AV388">
            <v>104.75017595742095</v>
          </cell>
          <cell r="AX388" t="str">
            <v>R.Sookram</v>
          </cell>
        </row>
        <row r="389">
          <cell r="A389" t="str">
            <v>CA285</v>
          </cell>
          <cell r="P389">
            <v>58</v>
          </cell>
          <cell r="Q389">
            <v>6.6428571428571406</v>
          </cell>
          <cell r="T389">
            <v>0.47569444444444442</v>
          </cell>
          <cell r="U389">
            <v>0.59305555555555556</v>
          </cell>
          <cell r="V389">
            <v>64</v>
          </cell>
          <cell r="Z389">
            <v>0.25972222222222224</v>
          </cell>
          <cell r="AF389">
            <v>55.6</v>
          </cell>
          <cell r="AG389">
            <v>11.6</v>
          </cell>
          <cell r="AI389">
            <v>53.2</v>
          </cell>
          <cell r="AU389">
            <v>104.26734312107473</v>
          </cell>
          <cell r="AV389">
            <v>105.95701156897859</v>
          </cell>
          <cell r="AX389" t="str">
            <v>R.Sookram</v>
          </cell>
        </row>
        <row r="390">
          <cell r="A390" t="str">
            <v>CA286</v>
          </cell>
          <cell r="P390">
            <v>59</v>
          </cell>
          <cell r="Q390">
            <v>7.6190476190476195</v>
          </cell>
          <cell r="T390">
            <v>0.57916666666666672</v>
          </cell>
          <cell r="U390">
            <v>0.68888888888888888</v>
          </cell>
          <cell r="V390">
            <v>62</v>
          </cell>
          <cell r="Z390">
            <v>0.25138888888888888</v>
          </cell>
          <cell r="AF390">
            <v>54.4</v>
          </cell>
          <cell r="AG390">
            <v>11.9</v>
          </cell>
          <cell r="AI390">
            <v>50.4</v>
          </cell>
          <cell r="AU390">
            <v>98.579471202485308</v>
          </cell>
          <cell r="AV390">
            <v>100.17903738028755</v>
          </cell>
          <cell r="AX390" t="str">
            <v>R.Sookram</v>
          </cell>
        </row>
        <row r="391">
          <cell r="A391" t="str">
            <v>CA287</v>
          </cell>
          <cell r="P391">
            <v>60</v>
          </cell>
          <cell r="Q391">
            <v>6.7730496453900706</v>
          </cell>
          <cell r="T391">
            <v>0.68541666666666667</v>
          </cell>
          <cell r="U391">
            <v>0.79027777777777775</v>
          </cell>
          <cell r="V391">
            <v>61</v>
          </cell>
          <cell r="Z391">
            <v>0.24861111111111112</v>
          </cell>
          <cell r="AF391">
            <v>53.3</v>
          </cell>
          <cell r="AG391">
            <v>11.8</v>
          </cell>
          <cell r="AI391">
            <v>49.5</v>
          </cell>
          <cell r="AU391">
            <v>95.963693495592068</v>
          </cell>
          <cell r="AV391">
            <v>97.52081564830921</v>
          </cell>
          <cell r="AX391" t="str">
            <v>D. Gomez</v>
          </cell>
        </row>
        <row r="392">
          <cell r="A392" t="str">
            <v>CA288</v>
          </cell>
          <cell r="P392">
            <v>62</v>
          </cell>
          <cell r="Q392">
            <v>6.5724381625441666</v>
          </cell>
          <cell r="T392">
            <v>0.78333333333333333</v>
          </cell>
          <cell r="U392">
            <v>0.89027777777777772</v>
          </cell>
          <cell r="V392">
            <v>59</v>
          </cell>
          <cell r="Z392">
            <v>0.24444444444444435</v>
          </cell>
          <cell r="AF392">
            <v>54.5</v>
          </cell>
          <cell r="AG392">
            <v>11.9</v>
          </cell>
          <cell r="AI392">
            <v>50.8</v>
          </cell>
          <cell r="AU392">
            <v>99.238971902138758</v>
          </cell>
          <cell r="AV392">
            <v>100.84932718257996</v>
          </cell>
          <cell r="AX392" t="str">
            <v>D. Gomez</v>
          </cell>
        </row>
        <row r="393">
          <cell r="A393" t="str">
            <v>CA289</v>
          </cell>
          <cell r="P393">
            <v>61</v>
          </cell>
          <cell r="Q393">
            <v>5.8761061946902657</v>
          </cell>
          <cell r="T393">
            <v>0.89166666666666672</v>
          </cell>
          <cell r="U393">
            <v>0.99652777777777779</v>
          </cell>
          <cell r="V393">
            <v>60</v>
          </cell>
          <cell r="Z393">
            <v>0.24652777777777779</v>
          </cell>
          <cell r="AF393">
            <v>54.8</v>
          </cell>
          <cell r="AG393">
            <v>11.9</v>
          </cell>
          <cell r="AI393">
            <v>51.2</v>
          </cell>
          <cell r="AU393">
            <v>99.040551339905747</v>
          </cell>
          <cell r="AV393">
            <v>100.64838121706174</v>
          </cell>
          <cell r="AX393" t="str">
            <v>D. Gomez</v>
          </cell>
        </row>
        <row r="394">
          <cell r="A394" t="str">
            <v>CA290</v>
          </cell>
          <cell r="P394">
            <v>62</v>
          </cell>
          <cell r="Q394">
            <v>6.263345195729543</v>
          </cell>
          <cell r="T394">
            <v>1.0048611111111112</v>
          </cell>
          <cell r="U394">
            <v>1.1138888888888889</v>
          </cell>
          <cell r="V394">
            <v>59</v>
          </cell>
          <cell r="Z394">
            <v>0.2597222222222223</v>
          </cell>
          <cell r="AF394">
            <v>54.8</v>
          </cell>
          <cell r="AG394">
            <v>11.8</v>
          </cell>
          <cell r="AI394">
            <v>51.3</v>
          </cell>
          <cell r="AU394">
            <v>98.963144227374542</v>
          </cell>
          <cell r="AV394">
            <v>100.56928542895204</v>
          </cell>
          <cell r="AX394" t="str">
            <v>R. Regis</v>
          </cell>
        </row>
        <row r="395">
          <cell r="A395" t="str">
            <v>CA291</v>
          </cell>
          <cell r="P395">
            <v>58</v>
          </cell>
          <cell r="Q395">
            <v>5.3546099290780074</v>
          </cell>
          <cell r="T395">
            <v>1.0993055555555555</v>
          </cell>
          <cell r="U395">
            <v>1.2090277777777778</v>
          </cell>
          <cell r="V395">
            <v>66</v>
          </cell>
          <cell r="Z395">
            <v>0.25069444444444444</v>
          </cell>
          <cell r="AF395">
            <v>55</v>
          </cell>
          <cell r="AG395">
            <v>11.8</v>
          </cell>
          <cell r="AI395">
            <v>51.5</v>
          </cell>
          <cell r="AU395">
            <v>99.471522456377443</v>
          </cell>
          <cell r="AV395">
            <v>101.08582698415105</v>
          </cell>
          <cell r="AX395" t="str">
            <v>R. Regis</v>
          </cell>
        </row>
        <row r="396">
          <cell r="A396" t="str">
            <v>CA292</v>
          </cell>
          <cell r="P396">
            <v>60</v>
          </cell>
          <cell r="Q396">
            <v>4.5048543689320395</v>
          </cell>
          <cell r="T396">
            <v>0.2590277777777778</v>
          </cell>
          <cell r="U396">
            <v>0.3972222222222222</v>
          </cell>
          <cell r="V396">
            <v>57</v>
          </cell>
          <cell r="Z396">
            <v>0.2722222222222222</v>
          </cell>
          <cell r="AF396">
            <v>49.9</v>
          </cell>
          <cell r="AG396">
            <v>11.6</v>
          </cell>
          <cell r="AI396">
            <v>50.6</v>
          </cell>
          <cell r="AU396">
            <v>110.11836123964689</v>
          </cell>
          <cell r="AV396">
            <v>111.89388222946664</v>
          </cell>
          <cell r="AX396" t="str">
            <v>R. Regis</v>
          </cell>
        </row>
        <row r="397">
          <cell r="A397" t="str">
            <v>CA293</v>
          </cell>
          <cell r="P397">
            <v>60</v>
          </cell>
          <cell r="Q397">
            <v>5.8866544789762321</v>
          </cell>
          <cell r="T397">
            <v>0.88472222222222219</v>
          </cell>
          <cell r="U397">
            <v>0.99791666666666667</v>
          </cell>
          <cell r="V397">
            <v>58</v>
          </cell>
          <cell r="Z397">
            <v>0.24791666666666667</v>
          </cell>
          <cell r="AF397">
            <v>54.8</v>
          </cell>
          <cell r="AG397">
            <v>11.83</v>
          </cell>
          <cell r="AI397">
            <v>50.6</v>
          </cell>
          <cell r="AU397">
            <v>100.93888664190121</v>
          </cell>
          <cell r="AV397">
            <v>102.73882038661588</v>
          </cell>
          <cell r="AX397" t="str">
            <v>K.Benjamin</v>
          </cell>
        </row>
        <row r="398">
          <cell r="A398" t="str">
            <v>CA294</v>
          </cell>
          <cell r="P398">
            <v>60</v>
          </cell>
          <cell r="Q398">
            <v>7.0503597122302182</v>
          </cell>
          <cell r="T398">
            <v>1.0034722222222223</v>
          </cell>
          <cell r="U398">
            <v>1.1145833333333333</v>
          </cell>
          <cell r="V398">
            <v>63</v>
          </cell>
          <cell r="Z398">
            <v>0.26041666666666663</v>
          </cell>
          <cell r="AF398">
            <v>55.5</v>
          </cell>
          <cell r="AG398">
            <v>11.73</v>
          </cell>
          <cell r="AI398">
            <v>51.9</v>
          </cell>
          <cell r="AU398">
            <v>102.6092819559459</v>
          </cell>
          <cell r="AV398">
            <v>104.43900204953746</v>
          </cell>
          <cell r="AX398" t="str">
            <v>R. Regis</v>
          </cell>
        </row>
        <row r="399">
          <cell r="A399" t="str">
            <v>CA295</v>
          </cell>
          <cell r="P399">
            <v>62</v>
          </cell>
          <cell r="Q399">
            <v>6.6192170818505316</v>
          </cell>
          <cell r="T399">
            <v>1.1055555555555556</v>
          </cell>
          <cell r="U399">
            <v>1.2118055555555556</v>
          </cell>
          <cell r="V399">
            <v>58</v>
          </cell>
          <cell r="Z399">
            <v>0.24305555555555558</v>
          </cell>
          <cell r="AF399">
            <v>54.9</v>
          </cell>
          <cell r="AG399">
            <v>11.85</v>
          </cell>
          <cell r="AI399">
            <v>51.4</v>
          </cell>
          <cell r="AU399">
            <v>103.4487635068831</v>
          </cell>
          <cell r="AV399">
            <v>105.29345316494944</v>
          </cell>
          <cell r="AX399" t="str">
            <v>R. Regis</v>
          </cell>
        </row>
        <row r="400">
          <cell r="A400" t="str">
            <v>CA296</v>
          </cell>
          <cell r="P400">
            <v>59</v>
          </cell>
          <cell r="Q400">
            <v>5.2707581227436728</v>
          </cell>
          <cell r="T400">
            <v>0.21180555555555555</v>
          </cell>
          <cell r="U400">
            <v>0.32916666666666666</v>
          </cell>
          <cell r="V400">
            <v>66</v>
          </cell>
          <cell r="Z400">
            <v>0.25624999999999998</v>
          </cell>
          <cell r="AF400">
            <v>57.2</v>
          </cell>
          <cell r="AG400">
            <v>11.8</v>
          </cell>
          <cell r="AI400">
            <v>53.8</v>
          </cell>
          <cell r="AU400">
            <v>103.49216064482762</v>
          </cell>
          <cell r="AV400">
            <v>105.34062557986434</v>
          </cell>
          <cell r="AX400" t="str">
            <v>R. Regis</v>
          </cell>
        </row>
        <row r="401">
          <cell r="A401" t="str">
            <v>CA297</v>
          </cell>
          <cell r="P401">
            <v>57</v>
          </cell>
          <cell r="Q401">
            <v>5.2707581227436728</v>
          </cell>
          <cell r="T401">
            <v>0.34861111111111109</v>
          </cell>
          <cell r="U401">
            <v>0.45208333333333334</v>
          </cell>
          <cell r="V401">
            <v>61</v>
          </cell>
          <cell r="Z401">
            <v>0.27500000000000002</v>
          </cell>
          <cell r="AF401">
            <v>53.2</v>
          </cell>
          <cell r="AG401">
            <v>11.87</v>
          </cell>
          <cell r="AI401">
            <v>48.8</v>
          </cell>
          <cell r="AU401">
            <v>95.297118868006976</v>
          </cell>
          <cell r="AV401">
            <v>96.998750479326063</v>
          </cell>
          <cell r="AX401" t="str">
            <v>R. Sookram</v>
          </cell>
        </row>
        <row r="402">
          <cell r="A402" t="str">
            <v>CA298</v>
          </cell>
          <cell r="P402">
            <v>57</v>
          </cell>
          <cell r="Q402">
            <v>5.7397504456327963</v>
          </cell>
          <cell r="T402">
            <v>0.45416666666666666</v>
          </cell>
          <cell r="U402">
            <v>0.56319444444444444</v>
          </cell>
          <cell r="V402">
            <v>62</v>
          </cell>
          <cell r="Z402">
            <v>0.25069444444444444</v>
          </cell>
          <cell r="AF402">
            <v>54.5</v>
          </cell>
          <cell r="AG402">
            <v>11.9</v>
          </cell>
          <cell r="AI402">
            <v>50.48</v>
          </cell>
          <cell r="AU402">
            <v>97.971265135622474</v>
          </cell>
          <cell r="AV402">
            <v>99.721121811877268</v>
          </cell>
          <cell r="AX402" t="str">
            <v>R. Sookram</v>
          </cell>
        </row>
        <row r="403">
          <cell r="A403" t="str">
            <v>CA299</v>
          </cell>
          <cell r="P403">
            <v>57</v>
          </cell>
          <cell r="Q403">
            <v>5.4121863799283085</v>
          </cell>
          <cell r="T403">
            <v>0.57777777777777772</v>
          </cell>
          <cell r="U403">
            <v>0.68541666666666667</v>
          </cell>
          <cell r="V403">
            <v>58</v>
          </cell>
          <cell r="Z403">
            <v>0.26180555555555557</v>
          </cell>
          <cell r="AF403">
            <v>55.3</v>
          </cell>
          <cell r="AG403">
            <v>11.9</v>
          </cell>
          <cell r="AI403">
            <v>51.9</v>
          </cell>
          <cell r="AU403">
            <v>101.35082928790086</v>
          </cell>
          <cell r="AV403">
            <v>103.16055634993899</v>
          </cell>
          <cell r="AX403" t="str">
            <v>K.Benjamin</v>
          </cell>
        </row>
        <row r="404">
          <cell r="A404" t="str">
            <v>CA300</v>
          </cell>
          <cell r="P404">
            <v>61</v>
          </cell>
          <cell r="Q404">
            <v>4.352517985611513</v>
          </cell>
          <cell r="T404">
            <v>0.67777777777777781</v>
          </cell>
          <cell r="U404">
            <v>0.79097222222222219</v>
          </cell>
          <cell r="V404">
            <v>58</v>
          </cell>
          <cell r="Z404">
            <v>0.2631944444444444</v>
          </cell>
          <cell r="AF404">
            <v>53.9</v>
          </cell>
          <cell r="AG404">
            <v>11.9</v>
          </cell>
          <cell r="AI404">
            <v>50.6</v>
          </cell>
          <cell r="AU404">
            <v>98.32516426656413</v>
          </cell>
          <cell r="AV404">
            <v>100.08124696572568</v>
          </cell>
          <cell r="AX404" t="str">
            <v>K.Benjamin</v>
          </cell>
        </row>
        <row r="405">
          <cell r="A405" t="str">
            <v>CA301</v>
          </cell>
          <cell r="P405">
            <v>58</v>
          </cell>
          <cell r="Q405">
            <v>8.280701754385964</v>
          </cell>
          <cell r="T405">
            <v>0.15694444444444444</v>
          </cell>
          <cell r="U405">
            <v>1.1305555555555555</v>
          </cell>
          <cell r="V405">
            <v>54</v>
          </cell>
          <cell r="Z405">
            <v>0.25555555555555554</v>
          </cell>
          <cell r="AF405">
            <v>53</v>
          </cell>
          <cell r="AG405">
            <v>12.18</v>
          </cell>
          <cell r="AI405">
            <v>48</v>
          </cell>
          <cell r="AU405">
            <v>96.338703059118458</v>
          </cell>
          <cell r="AV405">
            <v>98.05883908871877</v>
          </cell>
          <cell r="AX405" t="str">
            <v>G. Mason</v>
          </cell>
        </row>
        <row r="406">
          <cell r="A406" t="str">
            <v>CA302</v>
          </cell>
          <cell r="P406">
            <v>59</v>
          </cell>
          <cell r="Q406">
            <v>6.889279437609833</v>
          </cell>
          <cell r="T406">
            <v>1.1097222222222223</v>
          </cell>
          <cell r="U406">
            <v>1.2194444444444446</v>
          </cell>
          <cell r="V406">
            <v>65</v>
          </cell>
          <cell r="Z406">
            <v>0.26111111111111118</v>
          </cell>
          <cell r="AF406">
            <v>54.6</v>
          </cell>
          <cell r="AG406">
            <v>12.04</v>
          </cell>
          <cell r="AI406">
            <v>50.9</v>
          </cell>
          <cell r="AU406">
            <v>103.61202517173329</v>
          </cell>
          <cell r="AV406">
            <v>105.45941065064164</v>
          </cell>
          <cell r="AX406" t="str">
            <v>G. Mason</v>
          </cell>
        </row>
      </sheetData>
      <sheetData sheetId="6">
        <row r="57">
          <cell r="D57">
            <v>11.6</v>
          </cell>
        </row>
        <row r="286">
          <cell r="D286">
            <v>11.8</v>
          </cell>
        </row>
        <row r="291">
          <cell r="D291">
            <v>11.83</v>
          </cell>
        </row>
        <row r="292">
          <cell r="D292">
            <v>11.8</v>
          </cell>
        </row>
        <row r="293">
          <cell r="D293">
            <v>11.8</v>
          </cell>
        </row>
        <row r="294">
          <cell r="D294">
            <v>12</v>
          </cell>
        </row>
        <row r="295">
          <cell r="D295">
            <v>11.64</v>
          </cell>
        </row>
        <row r="296">
          <cell r="D296">
            <v>11.7</v>
          </cell>
        </row>
        <row r="297">
          <cell r="D297">
            <v>12</v>
          </cell>
        </row>
        <row r="298">
          <cell r="D298">
            <v>12.4</v>
          </cell>
        </row>
        <row r="299">
          <cell r="D299">
            <v>11.88</v>
          </cell>
        </row>
        <row r="300">
          <cell r="D300">
            <v>11.9</v>
          </cell>
        </row>
        <row r="301">
          <cell r="D301">
            <v>11.91</v>
          </cell>
        </row>
        <row r="304">
          <cell r="D304">
            <v>11.76</v>
          </cell>
        </row>
        <row r="305">
          <cell r="D305">
            <v>11.72</v>
          </cell>
        </row>
        <row r="306">
          <cell r="D306">
            <v>11.78</v>
          </cell>
        </row>
        <row r="307">
          <cell r="D307">
            <v>11.76</v>
          </cell>
        </row>
        <row r="308">
          <cell r="D308">
            <v>11.7</v>
          </cell>
        </row>
        <row r="309">
          <cell r="D309">
            <v>11.95</v>
          </cell>
        </row>
        <row r="310">
          <cell r="D310">
            <v>11.93</v>
          </cell>
        </row>
        <row r="311">
          <cell r="D311">
            <v>11.8</v>
          </cell>
        </row>
        <row r="312">
          <cell r="D312">
            <v>11.8</v>
          </cell>
        </row>
        <row r="313">
          <cell r="D313">
            <v>11.8</v>
          </cell>
        </row>
        <row r="314">
          <cell r="D314">
            <v>11.89</v>
          </cell>
        </row>
        <row r="315">
          <cell r="D315">
            <v>12</v>
          </cell>
        </row>
        <row r="316">
          <cell r="D316">
            <v>11.99</v>
          </cell>
        </row>
        <row r="317">
          <cell r="D317">
            <v>11.91</v>
          </cell>
        </row>
        <row r="318">
          <cell r="D318">
            <v>11.95</v>
          </cell>
        </row>
        <row r="319">
          <cell r="D319">
            <v>12</v>
          </cell>
        </row>
        <row r="320">
          <cell r="D320">
            <v>11.7</v>
          </cell>
        </row>
        <row r="321">
          <cell r="D321">
            <v>11.9</v>
          </cell>
        </row>
        <row r="322">
          <cell r="D322">
            <v>11.94</v>
          </cell>
        </row>
        <row r="323">
          <cell r="D323">
            <v>11.94</v>
          </cell>
        </row>
        <row r="324">
          <cell r="D324">
            <v>11.92</v>
          </cell>
        </row>
        <row r="325">
          <cell r="D325">
            <v>11.9</v>
          </cell>
        </row>
        <row r="326">
          <cell r="D326">
            <v>12</v>
          </cell>
        </row>
        <row r="327">
          <cell r="D327">
            <v>11.9</v>
          </cell>
        </row>
        <row r="328">
          <cell r="D328">
            <v>11.9</v>
          </cell>
        </row>
        <row r="329">
          <cell r="D329">
            <v>11.9</v>
          </cell>
        </row>
        <row r="330">
          <cell r="D330">
            <v>11.8</v>
          </cell>
        </row>
        <row r="331">
          <cell r="D331">
            <v>11.6</v>
          </cell>
        </row>
        <row r="332">
          <cell r="D332">
            <v>11.7</v>
          </cell>
        </row>
        <row r="333">
          <cell r="D333">
            <v>11.9</v>
          </cell>
        </row>
        <row r="334">
          <cell r="D334">
            <v>11.8</v>
          </cell>
        </row>
        <row r="335">
          <cell r="D335">
            <v>12</v>
          </cell>
        </row>
        <row r="336">
          <cell r="D336">
            <v>12</v>
          </cell>
        </row>
        <row r="337">
          <cell r="D337">
            <v>11.9</v>
          </cell>
        </row>
        <row r="338">
          <cell r="D338">
            <v>11.8</v>
          </cell>
        </row>
        <row r="339">
          <cell r="D339">
            <v>11.61</v>
          </cell>
        </row>
        <row r="341">
          <cell r="D341">
            <v>12</v>
          </cell>
        </row>
        <row r="342">
          <cell r="D342">
            <v>12</v>
          </cell>
        </row>
        <row r="343">
          <cell r="D343">
            <v>11.7</v>
          </cell>
        </row>
        <row r="344">
          <cell r="D344">
            <v>11.8</v>
          </cell>
        </row>
        <row r="345">
          <cell r="D345">
            <v>11.8</v>
          </cell>
        </row>
        <row r="346">
          <cell r="D346">
            <v>11.8</v>
          </cell>
        </row>
        <row r="348">
          <cell r="D348">
            <v>11.7</v>
          </cell>
        </row>
        <row r="349">
          <cell r="D349">
            <v>11.9</v>
          </cell>
        </row>
        <row r="350">
          <cell r="D350">
            <v>12</v>
          </cell>
        </row>
        <row r="351">
          <cell r="D351">
            <v>11.9</v>
          </cell>
        </row>
        <row r="352">
          <cell r="D352">
            <v>12</v>
          </cell>
        </row>
        <row r="353">
          <cell r="D353">
            <v>11.9</v>
          </cell>
        </row>
        <row r="354">
          <cell r="D354">
            <v>11.8</v>
          </cell>
        </row>
        <row r="355">
          <cell r="D355">
            <v>11.9</v>
          </cell>
        </row>
        <row r="356">
          <cell r="D356">
            <v>11.7</v>
          </cell>
        </row>
        <row r="363">
          <cell r="D363">
            <v>11.9</v>
          </cell>
        </row>
        <row r="364">
          <cell r="D364">
            <v>12</v>
          </cell>
        </row>
        <row r="365">
          <cell r="D365">
            <v>12</v>
          </cell>
        </row>
        <row r="373">
          <cell r="D373">
            <v>12.03</v>
          </cell>
        </row>
        <row r="374">
          <cell r="D374">
            <v>11.81</v>
          </cell>
        </row>
        <row r="375">
          <cell r="D375">
            <v>11.82</v>
          </cell>
        </row>
        <row r="376">
          <cell r="D376">
            <v>11.83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April '25"/>
      <sheetName val="Summary March '25"/>
      <sheetName val="Summary February '25"/>
      <sheetName val="Summary January '25"/>
      <sheetName val="Summary December '24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S105">
            <v>96.818003369761513</v>
          </cell>
        </row>
        <row r="106">
          <cell r="AS106">
            <v>96.728268188487093</v>
          </cell>
        </row>
        <row r="107">
          <cell r="AS107">
            <v>94.725921358787076</v>
          </cell>
        </row>
        <row r="108">
          <cell r="AS108">
            <v>96.728268188487093</v>
          </cell>
        </row>
        <row r="109">
          <cell r="AS109">
            <v>98.026213210604823</v>
          </cell>
        </row>
        <row r="110">
          <cell r="AS110">
            <v>98.897348757551114</v>
          </cell>
        </row>
        <row r="111">
          <cell r="AS111">
            <v>98.846181723282257</v>
          </cell>
        </row>
        <row r="112">
          <cell r="AS112">
            <v>99.65424616729544</v>
          </cell>
        </row>
        <row r="113">
          <cell r="AS113">
            <v>99.065888617269223</v>
          </cell>
        </row>
        <row r="114">
          <cell r="AS114">
            <v>99.602654863491452</v>
          </cell>
        </row>
        <row r="115">
          <cell r="AS115">
            <v>99.164950119073353</v>
          </cell>
        </row>
        <row r="116">
          <cell r="AS116">
            <v>97.38390073907243</v>
          </cell>
        </row>
        <row r="117">
          <cell r="AS117">
            <v>97.938471627804731</v>
          </cell>
        </row>
        <row r="118">
          <cell r="AS118">
            <v>102.00584482183068</v>
          </cell>
        </row>
        <row r="119">
          <cell r="AS119">
            <v>93.711849834287406</v>
          </cell>
        </row>
        <row r="120">
          <cell r="AS120">
            <v>104.41201107512165</v>
          </cell>
        </row>
        <row r="121">
          <cell r="AS121">
            <v>101.34183343248617</v>
          </cell>
        </row>
        <row r="122">
          <cell r="AS122">
            <v>103.02428455849693</v>
          </cell>
        </row>
        <row r="123">
          <cell r="AS123">
            <v>98.371980498141809</v>
          </cell>
        </row>
        <row r="124">
          <cell r="AS124">
            <v>97.480302480496775</v>
          </cell>
        </row>
        <row r="125">
          <cell r="AS125">
            <v>99.211017553113123</v>
          </cell>
        </row>
        <row r="126">
          <cell r="AS126">
            <v>98.111702404981273</v>
          </cell>
        </row>
        <row r="127">
          <cell r="AS127">
            <v>98.934461309721527</v>
          </cell>
        </row>
        <row r="128">
          <cell r="AS128">
            <v>98.841782508267997</v>
          </cell>
        </row>
        <row r="129">
          <cell r="AS129">
            <v>103.23164333167807</v>
          </cell>
        </row>
        <row r="130">
          <cell r="AS130">
            <v>98.533330895870236</v>
          </cell>
        </row>
        <row r="131">
          <cell r="AS131">
            <v>98.055764357108799</v>
          </cell>
        </row>
        <row r="132">
          <cell r="AS132">
            <v>98.965495815775583</v>
          </cell>
        </row>
        <row r="133">
          <cell r="AS133">
            <v>98.136818497898929</v>
          </cell>
        </row>
        <row r="134">
          <cell r="AS134">
            <v>99.594814290107152</v>
          </cell>
        </row>
        <row r="135">
          <cell r="AS135">
            <v>98.47330071154957</v>
          </cell>
        </row>
        <row r="136">
          <cell r="AS136">
            <v>103.36052848626758</v>
          </cell>
        </row>
        <row r="137">
          <cell r="AS137">
            <v>94.448940517191943</v>
          </cell>
        </row>
        <row r="138">
          <cell r="AS138">
            <v>96.922261553729911</v>
          </cell>
        </row>
        <row r="139">
          <cell r="AS139">
            <v>97.203701282276711</v>
          </cell>
        </row>
        <row r="140">
          <cell r="AS140">
            <v>97.400469908354196</v>
          </cell>
        </row>
        <row r="142">
          <cell r="A142" t="str">
            <v>ST125</v>
          </cell>
          <cell r="P142">
            <v>61</v>
          </cell>
          <cell r="Q142">
            <v>8.8724584103511965</v>
          </cell>
          <cell r="T142">
            <v>0.82638888888888884</v>
          </cell>
          <cell r="U142">
            <v>0.93958333333333333</v>
          </cell>
          <cell r="V142">
            <v>55</v>
          </cell>
          <cell r="AD142">
            <v>52.3</v>
          </cell>
          <cell r="AE142">
            <v>12.1</v>
          </cell>
          <cell r="AG142">
            <v>48.3</v>
          </cell>
          <cell r="AS142">
            <v>97.215215171736631</v>
          </cell>
          <cell r="AT142">
            <v>98.325316738561199</v>
          </cell>
          <cell r="AV142" t="str">
            <v>K. Benjamin</v>
          </cell>
          <cell r="AW142">
            <v>0.26944444444444449</v>
          </cell>
        </row>
        <row r="143">
          <cell r="A143" t="str">
            <v>ST126</v>
          </cell>
          <cell r="P143">
            <v>78</v>
          </cell>
          <cell r="Q143">
            <v>6.4102564102564097</v>
          </cell>
          <cell r="T143">
            <v>0.95208333333333328</v>
          </cell>
          <cell r="U143">
            <v>1.0625</v>
          </cell>
          <cell r="V143">
            <v>57</v>
          </cell>
          <cell r="AD143">
            <v>52.3</v>
          </cell>
          <cell r="AE143">
            <v>11.8</v>
          </cell>
          <cell r="AG143">
            <v>51</v>
          </cell>
          <cell r="AS143">
            <v>100.22635814188384</v>
          </cell>
          <cell r="AT143">
            <v>101.37009901971213</v>
          </cell>
          <cell r="AV143" t="str">
            <v>K. Benjamin</v>
          </cell>
          <cell r="AW143">
            <v>0.24652777777777779</v>
          </cell>
        </row>
        <row r="144">
          <cell r="A144" t="str">
            <v>ST127</v>
          </cell>
          <cell r="P144">
            <v>58</v>
          </cell>
          <cell r="Q144">
            <v>4.2750929368029693</v>
          </cell>
          <cell r="T144">
            <v>0.45624999999999999</v>
          </cell>
          <cell r="U144">
            <v>0.57777777777777772</v>
          </cell>
          <cell r="V144">
            <v>79</v>
          </cell>
          <cell r="AD144">
            <v>53.3</v>
          </cell>
          <cell r="AE144">
            <v>12</v>
          </cell>
          <cell r="AG144">
            <v>49.8</v>
          </cell>
          <cell r="AS144">
            <v>99.612902884689717</v>
          </cell>
          <cell r="AT144">
            <v>100.74964327015871</v>
          </cell>
          <cell r="AV144" t="str">
            <v>R.Sookram</v>
          </cell>
          <cell r="AW144">
            <v>0.26180555555555551</v>
          </cell>
        </row>
        <row r="145">
          <cell r="A145" t="str">
            <v>ST128</v>
          </cell>
          <cell r="P145">
            <v>57</v>
          </cell>
          <cell r="Q145">
            <v>5.1756007393715286</v>
          </cell>
          <cell r="T145">
            <v>0.56319444444444444</v>
          </cell>
          <cell r="U145">
            <v>0.67500000000000004</v>
          </cell>
          <cell r="V145">
            <v>62</v>
          </cell>
          <cell r="AD145">
            <v>53.9</v>
          </cell>
          <cell r="AE145">
            <v>11.8</v>
          </cell>
          <cell r="AG145">
            <v>50.5</v>
          </cell>
          <cell r="AS145">
            <v>98.872380781910195</v>
          </cell>
          <cell r="AT145">
            <v>100.0017716185931</v>
          </cell>
          <cell r="AV145" t="str">
            <v>K. Benjamin</v>
          </cell>
          <cell r="AW145">
            <v>0.25138888888888894</v>
          </cell>
        </row>
        <row r="146">
          <cell r="A146" t="str">
            <v>ST129</v>
          </cell>
          <cell r="P146">
            <v>60</v>
          </cell>
          <cell r="Q146">
            <v>4.6296296296296298</v>
          </cell>
          <cell r="T146">
            <v>0.66874999999999996</v>
          </cell>
          <cell r="U146">
            <v>0.78402777777777777</v>
          </cell>
          <cell r="V146">
            <v>60</v>
          </cell>
          <cell r="AD146">
            <v>53.7</v>
          </cell>
          <cell r="AE146">
            <v>11.7</v>
          </cell>
          <cell r="AG146">
            <v>50.4</v>
          </cell>
          <cell r="AS146">
            <v>98.164307604461925</v>
          </cell>
          <cell r="AT146">
            <v>99.284517232272535</v>
          </cell>
          <cell r="AV146" t="str">
            <v>K. Benjamin</v>
          </cell>
          <cell r="AW146">
            <v>0.25624999999999998</v>
          </cell>
        </row>
        <row r="147">
          <cell r="A147" t="str">
            <v>ST130</v>
          </cell>
          <cell r="P147">
            <v>61</v>
          </cell>
          <cell r="Q147">
            <v>4.444444444444442</v>
          </cell>
          <cell r="T147">
            <v>0.78472222222222221</v>
          </cell>
          <cell r="U147">
            <v>0.90347222222222223</v>
          </cell>
          <cell r="V147">
            <v>59</v>
          </cell>
          <cell r="AD147">
            <v>52.5</v>
          </cell>
          <cell r="AE147">
            <v>11.8</v>
          </cell>
          <cell r="AG147">
            <v>49.3</v>
          </cell>
          <cell r="AS147">
            <v>96.764330157536619</v>
          </cell>
          <cell r="AT147">
            <v>97.868923897107251</v>
          </cell>
          <cell r="AV147" t="str">
            <v>K. Benjamin</v>
          </cell>
          <cell r="AW147">
            <v>0.24722222222222223</v>
          </cell>
        </row>
        <row r="148">
          <cell r="A148" t="str">
            <v>ST131</v>
          </cell>
          <cell r="P148">
            <v>60</v>
          </cell>
          <cell r="Q148">
            <v>4.4036697247706398</v>
          </cell>
          <cell r="T148">
            <v>0.93819444444444444</v>
          </cell>
          <cell r="U148">
            <v>1.0472222222222223</v>
          </cell>
          <cell r="V148">
            <v>63</v>
          </cell>
          <cell r="AD148">
            <v>53.4</v>
          </cell>
          <cell r="AE148">
            <v>11.8</v>
          </cell>
          <cell r="AG148">
            <v>50.1</v>
          </cell>
          <cell r="AS148">
            <v>98.581081664819095</v>
          </cell>
          <cell r="AT148">
            <v>99.705679601823675</v>
          </cell>
          <cell r="AV148" t="str">
            <v>R.Sookram</v>
          </cell>
          <cell r="AW148">
            <v>0.25902777777777786</v>
          </cell>
        </row>
        <row r="149">
          <cell r="A149" t="str">
            <v>ST132</v>
          </cell>
          <cell r="P149">
            <v>57</v>
          </cell>
          <cell r="Q149">
            <v>4.9270072992700653</v>
          </cell>
          <cell r="T149">
            <v>1.0652777777777778</v>
          </cell>
          <cell r="U149">
            <v>1.1729166666666666</v>
          </cell>
          <cell r="V149">
            <v>61</v>
          </cell>
          <cell r="AD149">
            <v>53.4</v>
          </cell>
          <cell r="AE149">
            <v>11.8</v>
          </cell>
          <cell r="AG149">
            <v>50.2</v>
          </cell>
          <cell r="AS149">
            <v>98.654179974952328</v>
          </cell>
          <cell r="AT149">
            <v>99.779979819402925</v>
          </cell>
          <cell r="AV149" t="str">
            <v>R.Sookram</v>
          </cell>
          <cell r="AW149">
            <v>0.26666666666666661</v>
          </cell>
        </row>
        <row r="150">
          <cell r="A150" t="str">
            <v>ST133</v>
          </cell>
          <cell r="P150">
            <v>57</v>
          </cell>
          <cell r="Q150">
            <v>8.1818181818181817</v>
          </cell>
          <cell r="T150">
            <v>0.74861111111111112</v>
          </cell>
          <cell r="U150">
            <v>0.85833333333333328</v>
          </cell>
          <cell r="V150">
            <v>61</v>
          </cell>
          <cell r="AD150">
            <v>52.2</v>
          </cell>
          <cell r="AE150">
            <v>12</v>
          </cell>
          <cell r="AG150">
            <v>48.1</v>
          </cell>
          <cell r="AS150">
            <v>96.687242116034184</v>
          </cell>
          <cell r="AT150">
            <v>97.676192112075483</v>
          </cell>
          <cell r="AV150" t="str">
            <v>G. Mason</v>
          </cell>
          <cell r="AW150">
            <v>0.25416666666666665</v>
          </cell>
        </row>
        <row r="151">
          <cell r="A151" t="str">
            <v>ST134</v>
          </cell>
          <cell r="P151">
            <v>58</v>
          </cell>
          <cell r="Q151">
            <v>6.0885608856088638</v>
          </cell>
          <cell r="T151">
            <v>0.84513888888888888</v>
          </cell>
          <cell r="U151">
            <v>0.9506944444444444</v>
          </cell>
          <cell r="V151">
            <v>56</v>
          </cell>
          <cell r="AD151">
            <v>53.1</v>
          </cell>
          <cell r="AE151">
            <v>12</v>
          </cell>
          <cell r="AG151">
            <v>49.6</v>
          </cell>
          <cell r="AS151">
            <v>99.203898650029743</v>
          </cell>
          <cell r="AT151">
            <v>100.21991960991036</v>
          </cell>
          <cell r="AV151" t="str">
            <v>G. Mason</v>
          </cell>
          <cell r="AW151">
            <v>0.24236111111111103</v>
          </cell>
        </row>
        <row r="152">
          <cell r="A152" t="str">
            <v>ST135</v>
          </cell>
          <cell r="P152">
            <v>58</v>
          </cell>
          <cell r="Q152">
            <v>5.7195571955719577</v>
          </cell>
          <cell r="T152">
            <v>0.94722222222222219</v>
          </cell>
          <cell r="U152">
            <v>1.0520833333333333</v>
          </cell>
          <cell r="V152">
            <v>57</v>
          </cell>
          <cell r="AD152">
            <v>52.9</v>
          </cell>
          <cell r="AE152">
            <v>12</v>
          </cell>
          <cell r="AG152">
            <v>49.7</v>
          </cell>
          <cell r="AS152">
            <v>99.653052105402068</v>
          </cell>
          <cell r="AT152">
            <v>100.67300696695037</v>
          </cell>
          <cell r="AV152" t="str">
            <v>K. Benjamin</v>
          </cell>
          <cell r="AW152">
            <v>0.23958333333333326</v>
          </cell>
        </row>
        <row r="153">
          <cell r="A153" t="str">
            <v>ST136</v>
          </cell>
          <cell r="P153">
            <v>57</v>
          </cell>
          <cell r="Q153">
            <v>6.8265682656826616</v>
          </cell>
          <cell r="T153">
            <v>1.0569444444444445</v>
          </cell>
          <cell r="U153">
            <v>1.1784722222222221</v>
          </cell>
          <cell r="V153">
            <v>65</v>
          </cell>
          <cell r="AD153">
            <v>53.5</v>
          </cell>
          <cell r="AE153">
            <v>11.9</v>
          </cell>
          <cell r="AG153">
            <v>50.4</v>
          </cell>
          <cell r="AS153">
            <v>100.04618853247267</v>
          </cell>
          <cell r="AT153">
            <v>101.07050200668787</v>
          </cell>
          <cell r="AV153" t="str">
            <v>K. Benjamin</v>
          </cell>
          <cell r="AW153">
            <v>0.26180555555555551</v>
          </cell>
        </row>
        <row r="154">
          <cell r="A154" t="str">
            <v>ST137</v>
          </cell>
          <cell r="P154">
            <v>60</v>
          </cell>
          <cell r="Q154">
            <v>6.0439560439560385</v>
          </cell>
          <cell r="T154">
            <v>0.48194444444444445</v>
          </cell>
          <cell r="U154">
            <v>0.59722222222222221</v>
          </cell>
          <cell r="V154">
            <v>59</v>
          </cell>
          <cell r="AD154">
            <v>55.7</v>
          </cell>
          <cell r="AE154">
            <v>11.8</v>
          </cell>
          <cell r="AG154">
            <v>52.4</v>
          </cell>
          <cell r="AS154">
            <v>103.48583389849561</v>
          </cell>
          <cell r="AT154">
            <v>104.54432220351342</v>
          </cell>
          <cell r="AV154" t="str">
            <v>R. Regis</v>
          </cell>
          <cell r="AW154">
            <v>0.25347222222222221</v>
          </cell>
          <cell r="AX154">
            <v>95.092421797949683</v>
          </cell>
        </row>
        <row r="155">
          <cell r="A155" t="str">
            <v>ST138</v>
          </cell>
          <cell r="P155">
            <v>61</v>
          </cell>
          <cell r="Q155">
            <v>5.2919708029197059</v>
          </cell>
          <cell r="T155">
            <v>0.58888888888888891</v>
          </cell>
          <cell r="U155">
            <v>0.69930555555555551</v>
          </cell>
          <cell r="V155">
            <v>62</v>
          </cell>
          <cell r="AD155">
            <v>52.8</v>
          </cell>
          <cell r="AE155">
            <v>12</v>
          </cell>
          <cell r="AG155">
            <v>49.5</v>
          </cell>
          <cell r="AS155">
            <v>98.880284002650114</v>
          </cell>
          <cell r="AT155">
            <v>99.893319872832194</v>
          </cell>
          <cell r="AV155" t="str">
            <v>R. Regis</v>
          </cell>
          <cell r="AW155">
            <v>0.25138888888888883</v>
          </cell>
          <cell r="AX155">
            <v>0</v>
          </cell>
        </row>
        <row r="156">
          <cell r="A156" t="str">
            <v>ST139</v>
          </cell>
          <cell r="P156">
            <v>61</v>
          </cell>
          <cell r="Q156">
            <v>4.5787545787545785</v>
          </cell>
          <cell r="T156">
            <v>0.68958333333333333</v>
          </cell>
          <cell r="U156">
            <v>0.79652777777777772</v>
          </cell>
          <cell r="V156">
            <v>61</v>
          </cell>
          <cell r="AD156">
            <v>53</v>
          </cell>
          <cell r="AE156">
            <v>11.8</v>
          </cell>
          <cell r="AG156">
            <v>49.7</v>
          </cell>
          <cell r="AS156">
            <v>97.662755281529215</v>
          </cell>
          <cell r="AT156">
            <v>98.662992245156801</v>
          </cell>
          <cell r="AV156" t="str">
            <v>D. Gomaz</v>
          </cell>
          <cell r="AW156">
            <v>0.24444444444444435</v>
          </cell>
          <cell r="AX156">
            <v>96.247922609442668</v>
          </cell>
        </row>
        <row r="157">
          <cell r="A157" t="str">
            <v>ST140</v>
          </cell>
          <cell r="P157">
            <v>62</v>
          </cell>
          <cell r="Q157">
            <v>4.1818181818181772</v>
          </cell>
          <cell r="T157">
            <v>0.82777777777777772</v>
          </cell>
          <cell r="U157">
            <v>0.9375</v>
          </cell>
          <cell r="V157">
            <v>64</v>
          </cell>
          <cell r="AD157">
            <v>53.6</v>
          </cell>
          <cell r="AE157">
            <v>12</v>
          </cell>
          <cell r="AG157">
            <v>50.6</v>
          </cell>
          <cell r="AS157">
            <v>101.20397725184486</v>
          </cell>
          <cell r="AT157">
            <v>102.24048250527147</v>
          </cell>
          <cell r="AV157" t="str">
            <v>D. Gomaz</v>
          </cell>
          <cell r="AW157">
            <v>0.28125</v>
          </cell>
          <cell r="AX157">
            <v>99.463908868265705</v>
          </cell>
        </row>
        <row r="158">
          <cell r="A158" t="str">
            <v>ST141</v>
          </cell>
          <cell r="P158">
            <v>61</v>
          </cell>
          <cell r="Q158">
            <v>6.5298507462686564</v>
          </cell>
          <cell r="T158">
            <v>0.44861111111111113</v>
          </cell>
          <cell r="U158">
            <v>0.55277777777777781</v>
          </cell>
          <cell r="V158">
            <v>46</v>
          </cell>
          <cell r="AD158">
            <v>53.1</v>
          </cell>
          <cell r="AE158">
            <v>11.77</v>
          </cell>
          <cell r="AG158">
            <v>49.4</v>
          </cell>
          <cell r="AS158">
            <v>97.163133476785902</v>
          </cell>
          <cell r="AT158">
            <v>98.312586274053672</v>
          </cell>
          <cell r="AV158" t="str">
            <v>K. Benjamin</v>
          </cell>
          <cell r="AW158">
            <v>0.24027777777777781</v>
          </cell>
          <cell r="AX158">
            <v>96.081357699210344</v>
          </cell>
        </row>
        <row r="159">
          <cell r="A159" t="str">
            <v>ST142</v>
          </cell>
          <cell r="P159">
            <v>60</v>
          </cell>
          <cell r="Q159">
            <v>5.8394160583941535</v>
          </cell>
          <cell r="T159">
            <v>0.54652777777777772</v>
          </cell>
          <cell r="U159">
            <v>0.67500000000000004</v>
          </cell>
          <cell r="V159">
            <v>62</v>
          </cell>
          <cell r="AD159">
            <v>52.9</v>
          </cell>
          <cell r="AE159">
            <v>12.13</v>
          </cell>
          <cell r="AG159">
            <v>49.5</v>
          </cell>
          <cell r="AS159">
            <v>99.680986353901574</v>
          </cell>
          <cell r="AT159">
            <v>101.01976380286928</v>
          </cell>
          <cell r="AV159" t="str">
            <v>K. Benjamin</v>
          </cell>
          <cell r="AW159">
            <v>0.25833333333333336</v>
          </cell>
          <cell r="AX159">
            <v>98.674107703862177</v>
          </cell>
        </row>
        <row r="160">
          <cell r="A160" t="str">
            <v>ST143</v>
          </cell>
          <cell r="P160">
            <v>60</v>
          </cell>
          <cell r="Q160">
            <v>6.4102564102564097</v>
          </cell>
          <cell r="T160">
            <v>0.66666666666666663</v>
          </cell>
          <cell r="U160">
            <v>0.78541666666666665</v>
          </cell>
          <cell r="V160">
            <v>56</v>
          </cell>
          <cell r="AD160">
            <v>54.2</v>
          </cell>
          <cell r="AE160">
            <v>11.86</v>
          </cell>
          <cell r="AG160">
            <v>50.7</v>
          </cell>
          <cell r="AS160">
            <v>100.32468935826775</v>
          </cell>
          <cell r="AT160">
            <v>101.6721121376801</v>
          </cell>
          <cell r="AV160" t="str">
            <v>K. Benjamin</v>
          </cell>
          <cell r="AW160">
            <v>0.26458333333333328</v>
          </cell>
          <cell r="AX160">
            <v>95.536015822823799</v>
          </cell>
        </row>
        <row r="161">
          <cell r="A161" t="str">
            <v>ST144</v>
          </cell>
          <cell r="P161">
            <v>60</v>
          </cell>
          <cell r="Q161">
            <v>6.3405797101449268</v>
          </cell>
          <cell r="T161">
            <v>0.7680555555555556</v>
          </cell>
          <cell r="U161">
            <v>0.87916666666666665</v>
          </cell>
          <cell r="V161">
            <v>61</v>
          </cell>
          <cell r="AD161">
            <v>54.4</v>
          </cell>
          <cell r="AE161">
            <v>11.7</v>
          </cell>
          <cell r="AG161">
            <v>50.9</v>
          </cell>
          <cell r="AS161">
            <v>99.06474164379361</v>
          </cell>
          <cell r="AT161">
            <v>100.39480761635954</v>
          </cell>
          <cell r="AV161" t="str">
            <v>K. Benjamin</v>
          </cell>
          <cell r="AW161">
            <v>0.24375000000000002</v>
          </cell>
          <cell r="AX161">
            <v>98.500325630498907</v>
          </cell>
        </row>
        <row r="162">
          <cell r="A162" t="str">
            <v>ST145</v>
          </cell>
          <cell r="P162">
            <v>62</v>
          </cell>
          <cell r="Q162">
            <v>3.8181818181818206</v>
          </cell>
          <cell r="T162">
            <v>0.88541666666666663</v>
          </cell>
          <cell r="U162">
            <v>0.99444444444444446</v>
          </cell>
          <cell r="V162">
            <v>62</v>
          </cell>
          <cell r="AD162">
            <v>53.8</v>
          </cell>
          <cell r="AE162">
            <v>11.68</v>
          </cell>
          <cell r="AG162">
            <v>50.3</v>
          </cell>
          <cell r="AS162">
            <v>98.019922797995775</v>
          </cell>
          <cell r="AT162">
            <v>99.335529374925187</v>
          </cell>
          <cell r="AV162" t="str">
            <v>D. Gomaz</v>
          </cell>
          <cell r="AW162">
            <v>0.26527777777777783</v>
          </cell>
          <cell r="AX162">
            <v>96.792237880247541</v>
          </cell>
        </row>
        <row r="163">
          <cell r="A163" t="str">
            <v>ST146</v>
          </cell>
          <cell r="P163">
            <v>61</v>
          </cell>
          <cell r="Q163">
            <v>5.0632911392405013</v>
          </cell>
          <cell r="T163">
            <v>0.98124999999999996</v>
          </cell>
          <cell r="U163">
            <v>1.0909722222222222</v>
          </cell>
          <cell r="V163">
            <v>64</v>
          </cell>
          <cell r="AD163">
            <v>54.3</v>
          </cell>
          <cell r="AE163">
            <v>11.71</v>
          </cell>
          <cell r="AG163">
            <v>51.2</v>
          </cell>
          <cell r="AS163">
            <v>99.773758394779009</v>
          </cell>
          <cell r="AT163">
            <v>101.11290465201132</v>
          </cell>
          <cell r="AV163" t="str">
            <v>D. Gomaz</v>
          </cell>
          <cell r="AW163">
            <v>0.25763888888888886</v>
          </cell>
          <cell r="AX163">
            <v>98.351202855165951</v>
          </cell>
        </row>
        <row r="164">
          <cell r="A164" t="str">
            <v>ST147</v>
          </cell>
          <cell r="P164">
            <v>61</v>
          </cell>
          <cell r="Q164">
            <v>5.2727272727272698</v>
          </cell>
          <cell r="T164">
            <v>1.0798611111111112</v>
          </cell>
          <cell r="U164">
            <v>1.1909722222222223</v>
          </cell>
          <cell r="V164">
            <v>62</v>
          </cell>
          <cell r="AD164">
            <v>53.4</v>
          </cell>
          <cell r="AE164">
            <v>11.69</v>
          </cell>
          <cell r="AG164">
            <v>50.1</v>
          </cell>
          <cell r="AS164">
            <v>97.507731951946184</v>
          </cell>
          <cell r="AT164">
            <v>98.816893154805797</v>
          </cell>
          <cell r="AV164" t="str">
            <v>D. Gomaz</v>
          </cell>
          <cell r="AW164">
            <v>0.2465277777777779</v>
          </cell>
          <cell r="AX164">
            <v>97.799671269167561</v>
          </cell>
        </row>
        <row r="165">
          <cell r="A165" t="str">
            <v>ST148</v>
          </cell>
          <cell r="P165">
            <v>61</v>
          </cell>
          <cell r="Q165">
            <v>5.3211009174311901</v>
          </cell>
          <cell r="T165">
            <v>1.1868055555555554</v>
          </cell>
          <cell r="U165">
            <v>1.2951388888888888</v>
          </cell>
          <cell r="V165">
            <v>62</v>
          </cell>
          <cell r="AD165">
            <v>53.4</v>
          </cell>
          <cell r="AE165">
            <v>11.8</v>
          </cell>
          <cell r="AG165">
            <v>50.2</v>
          </cell>
          <cell r="AS165">
            <v>98.581120174708957</v>
          </cell>
          <cell r="AT165">
            <v>99.904692934362231</v>
          </cell>
          <cell r="AV165" t="str">
            <v>D. Gomaz</v>
          </cell>
          <cell r="AW165">
            <v>0.23958333333333326</v>
          </cell>
        </row>
        <row r="166">
          <cell r="A166" t="str">
            <v>ST149</v>
          </cell>
          <cell r="P166">
            <v>57</v>
          </cell>
          <cell r="Q166">
            <v>4.9450549450549506</v>
          </cell>
          <cell r="T166">
            <v>0.81180555555555556</v>
          </cell>
          <cell r="U166">
            <v>0.9194444444444444</v>
          </cell>
          <cell r="V166">
            <v>56</v>
          </cell>
          <cell r="AD166">
            <v>52.8</v>
          </cell>
          <cell r="AE166">
            <v>11.84</v>
          </cell>
          <cell r="AG166">
            <v>48.5</v>
          </cell>
          <cell r="AS166">
            <v>95.004403103029915</v>
          </cell>
          <cell r="AT166">
            <v>96.280787201008152</v>
          </cell>
          <cell r="AV166" t="str">
            <v>R.Sookram</v>
          </cell>
          <cell r="AW166">
            <v>0.25277777777777777</v>
          </cell>
        </row>
        <row r="167">
          <cell r="A167" t="str">
            <v>ST150</v>
          </cell>
          <cell r="P167">
            <v>57</v>
          </cell>
          <cell r="Q167">
            <v>2.5594149908592296</v>
          </cell>
          <cell r="T167">
            <v>0.92013888888888884</v>
          </cell>
          <cell r="U167">
            <v>1.0277777777777777</v>
          </cell>
          <cell r="V167">
            <v>62</v>
          </cell>
          <cell r="AD167">
            <v>54.2</v>
          </cell>
          <cell r="AE167">
            <v>11.89</v>
          </cell>
          <cell r="AG167">
            <v>50.5</v>
          </cell>
          <cell r="AS167">
            <v>99.803912080322945</v>
          </cell>
          <cell r="AT167">
            <v>101.14477757849561</v>
          </cell>
          <cell r="AV167" t="str">
            <v>R.Sookram</v>
          </cell>
          <cell r="AW167">
            <v>0.25694444444444431</v>
          </cell>
        </row>
        <row r="168">
          <cell r="A168" t="str">
            <v>ST151</v>
          </cell>
          <cell r="P168">
            <v>57</v>
          </cell>
          <cell r="Q168">
            <v>4.2357274401473246</v>
          </cell>
          <cell r="T168">
            <v>1.0333333333333334</v>
          </cell>
          <cell r="U168">
            <v>1.1465277777777778</v>
          </cell>
          <cell r="V168">
            <v>61</v>
          </cell>
          <cell r="AD168">
            <v>53.5</v>
          </cell>
          <cell r="AE168">
            <v>11.92</v>
          </cell>
          <cell r="AG168">
            <v>50.1</v>
          </cell>
          <cell r="AS168">
            <v>99.261754930640222</v>
          </cell>
          <cell r="AT168">
            <v>100.59446604884155</v>
          </cell>
          <cell r="AV168" t="str">
            <v>R.Sookram</v>
          </cell>
          <cell r="AW168">
            <v>0.27152777777777781</v>
          </cell>
        </row>
        <row r="169">
          <cell r="A169" t="str">
            <v>ST152</v>
          </cell>
          <cell r="P169">
            <v>58</v>
          </cell>
          <cell r="Q169">
            <v>4.0707964601769859</v>
          </cell>
          <cell r="T169">
            <v>0.85</v>
          </cell>
          <cell r="U169">
            <v>0.97222222222222221</v>
          </cell>
          <cell r="V169">
            <v>63</v>
          </cell>
          <cell r="AD169">
            <v>55.1</v>
          </cell>
          <cell r="AE169">
            <v>11.51</v>
          </cell>
          <cell r="AG169">
            <v>50.9</v>
          </cell>
          <cell r="AS169">
            <v>97.650134196033449</v>
          </cell>
          <cell r="AT169">
            <v>98.959914717979856</v>
          </cell>
          <cell r="AV169" t="str">
            <v>R.Sookram</v>
          </cell>
          <cell r="AW169">
            <v>0.26388888888888884</v>
          </cell>
        </row>
        <row r="170">
          <cell r="A170" t="str">
            <v>ST153</v>
          </cell>
          <cell r="P170">
            <v>57</v>
          </cell>
          <cell r="Q170">
            <v>2.2263450834879328</v>
          </cell>
          <cell r="T170">
            <v>0.96250000000000002</v>
          </cell>
          <cell r="U170">
            <v>1.0687500000000001</v>
          </cell>
          <cell r="V170">
            <v>58</v>
          </cell>
          <cell r="AD170">
            <v>53.6</v>
          </cell>
          <cell r="AE170">
            <v>11.74</v>
          </cell>
          <cell r="AG170">
            <v>50.3</v>
          </cell>
          <cell r="AS170">
            <v>97.774353948870356</v>
          </cell>
          <cell r="AT170">
            <v>99.08752414252595</v>
          </cell>
          <cell r="AV170" t="str">
            <v>R.Sookram</v>
          </cell>
          <cell r="AW170">
            <v>0.24930555555555567</v>
          </cell>
        </row>
        <row r="171">
          <cell r="A171" t="str">
            <v>ST154</v>
          </cell>
          <cell r="P171">
            <v>58</v>
          </cell>
          <cell r="Q171">
            <v>2.2181146025878054</v>
          </cell>
          <cell r="T171">
            <v>1.0694444444444444</v>
          </cell>
          <cell r="U171">
            <v>1.1784722222222221</v>
          </cell>
          <cell r="V171">
            <v>59</v>
          </cell>
          <cell r="AD171">
            <v>54.6</v>
          </cell>
          <cell r="AE171">
            <v>11.84</v>
          </cell>
          <cell r="AG171">
            <v>51.1</v>
          </cell>
          <cell r="AS171">
            <v>100.34851077545073</v>
          </cell>
          <cell r="AT171">
            <v>101.69581292720935</v>
          </cell>
          <cell r="AV171" t="str">
            <v>R.Sookram</v>
          </cell>
          <cell r="AW171">
            <v>0.24791666666666656</v>
          </cell>
        </row>
        <row r="172">
          <cell r="A172" t="str">
            <v>ST155</v>
          </cell>
          <cell r="P172">
            <v>58</v>
          </cell>
          <cell r="Q172">
            <v>4.7101449275362341</v>
          </cell>
          <cell r="T172">
            <v>1.2013888888888888</v>
          </cell>
          <cell r="U172">
            <v>1.3215277777777779</v>
          </cell>
          <cell r="V172">
            <v>62</v>
          </cell>
          <cell r="AD172">
            <v>54.8</v>
          </cell>
          <cell r="AE172">
            <v>11.65</v>
          </cell>
          <cell r="AG172">
            <v>51.6</v>
          </cell>
          <cell r="AS172">
            <v>100.17584029377748</v>
          </cell>
          <cell r="AT172">
            <v>101.52170264727198</v>
          </cell>
          <cell r="AV172" t="str">
            <v>R.Sookram</v>
          </cell>
          <cell r="AW172">
            <v>0.28680555555555554</v>
          </cell>
        </row>
        <row r="173">
          <cell r="A173" t="str">
            <v>ST156</v>
          </cell>
          <cell r="P173">
            <v>57</v>
          </cell>
          <cell r="Q173">
            <v>3.6101083032490973</v>
          </cell>
          <cell r="T173">
            <v>0.30902777777777779</v>
          </cell>
          <cell r="U173">
            <v>0.41805555555555557</v>
          </cell>
          <cell r="V173">
            <v>64</v>
          </cell>
          <cell r="AD173">
            <v>54.3</v>
          </cell>
          <cell r="AE173">
            <v>11.7</v>
          </cell>
          <cell r="AG173">
            <v>51.3</v>
          </cell>
          <cell r="AS173">
            <v>99.593422617650873</v>
          </cell>
          <cell r="AT173">
            <v>100.93146019002039</v>
          </cell>
          <cell r="AV173" t="str">
            <v>R.Sookram</v>
          </cell>
          <cell r="AW173">
            <v>0.28263888888888888</v>
          </cell>
        </row>
        <row r="174">
          <cell r="A174" t="str">
            <v>ST157</v>
          </cell>
          <cell r="P174">
            <v>61</v>
          </cell>
          <cell r="Q174">
            <v>9.2558983666061732</v>
          </cell>
          <cell r="T174">
            <v>0.27986111111111112</v>
          </cell>
          <cell r="U174">
            <v>0.40555555555555556</v>
          </cell>
          <cell r="V174">
            <v>69</v>
          </cell>
          <cell r="AD174">
            <v>53.3</v>
          </cell>
          <cell r="AE174">
            <v>11.8</v>
          </cell>
          <cell r="AG174">
            <v>49.3</v>
          </cell>
          <cell r="AS174">
            <v>96.450818305435675</v>
          </cell>
          <cell r="AT174">
            <v>97.747056334806572</v>
          </cell>
          <cell r="AV174" t="str">
            <v>R. Regis</v>
          </cell>
          <cell r="AW174">
            <v>0.25972222222222219</v>
          </cell>
        </row>
        <row r="175">
          <cell r="A175" t="str">
            <v>ST158</v>
          </cell>
          <cell r="P175">
            <v>61</v>
          </cell>
          <cell r="Q175">
            <v>4.5787545787545785</v>
          </cell>
          <cell r="T175">
            <v>0.38680555555555557</v>
          </cell>
          <cell r="U175">
            <v>0.51249999999999996</v>
          </cell>
          <cell r="V175">
            <v>85</v>
          </cell>
          <cell r="AD175">
            <v>55.2</v>
          </cell>
          <cell r="AE175">
            <v>9.5</v>
          </cell>
          <cell r="AG175">
            <v>66.8</v>
          </cell>
          <cell r="AS175">
            <v>104.47252079158716</v>
          </cell>
          <cell r="AT175">
            <v>105.87565151880544</v>
          </cell>
          <cell r="AV175" t="str">
            <v>R.Sookram</v>
          </cell>
          <cell r="AW175">
            <v>0.26597222222222217</v>
          </cell>
        </row>
        <row r="176">
          <cell r="A176" t="str">
            <v>ST159</v>
          </cell>
          <cell r="P176">
            <v>57</v>
          </cell>
          <cell r="Q176">
            <v>5.698529411764695</v>
          </cell>
          <cell r="T176">
            <v>0.53680555555555554</v>
          </cell>
          <cell r="U176">
            <v>0.64375000000000004</v>
          </cell>
          <cell r="V176">
            <v>61</v>
          </cell>
          <cell r="AD176">
            <v>52.2</v>
          </cell>
          <cell r="AE176">
            <v>12.09</v>
          </cell>
          <cell r="AG176">
            <v>48.3</v>
          </cell>
          <cell r="AS176">
            <v>97.021410313288342</v>
          </cell>
          <cell r="AT176">
            <v>98.325316738561199</v>
          </cell>
          <cell r="AV176" t="str">
            <v>R.Sookram</v>
          </cell>
          <cell r="AW176">
            <v>0.28958333333333336</v>
          </cell>
        </row>
        <row r="177">
          <cell r="A177" t="str">
            <v>ST160</v>
          </cell>
          <cell r="P177">
            <v>61</v>
          </cell>
          <cell r="Q177">
            <v>7.1428571428571397</v>
          </cell>
          <cell r="T177">
            <v>0.64722222222222225</v>
          </cell>
          <cell r="U177">
            <v>0.78263888888888888</v>
          </cell>
          <cell r="V177">
            <v>53</v>
          </cell>
          <cell r="AD177">
            <v>51.6</v>
          </cell>
          <cell r="AE177">
            <v>13.91</v>
          </cell>
          <cell r="AG177">
            <v>47.7</v>
          </cell>
          <cell r="AS177">
            <v>111.42233703913573</v>
          </cell>
          <cell r="AT177">
            <v>112.91782851924663</v>
          </cell>
          <cell r="AV177" t="str">
            <v>K. Benjamin</v>
          </cell>
          <cell r="AW177">
            <v>0.27569444444444446</v>
          </cell>
        </row>
        <row r="178">
          <cell r="A178" t="str">
            <v>ST161</v>
          </cell>
          <cell r="P178">
            <v>62</v>
          </cell>
          <cell r="Q178">
            <v>7.6225045372050868</v>
          </cell>
          <cell r="T178">
            <v>0.76527777777777772</v>
          </cell>
          <cell r="U178">
            <v>0.875</v>
          </cell>
          <cell r="V178">
            <v>51</v>
          </cell>
          <cell r="AD178">
            <v>51.8</v>
          </cell>
          <cell r="AE178">
            <v>11.69</v>
          </cell>
          <cell r="AG178">
            <v>49.4</v>
          </cell>
          <cell r="AS178">
            <v>96.024912228115227</v>
          </cell>
          <cell r="AT178">
            <v>97.314586334806805</v>
          </cell>
          <cell r="AV178" t="str">
            <v>K. Benjamin</v>
          </cell>
          <cell r="AW178">
            <v>0.25694444444444442</v>
          </cell>
        </row>
        <row r="179">
          <cell r="A179" t="str">
            <v>ST162</v>
          </cell>
          <cell r="P179">
            <v>60</v>
          </cell>
          <cell r="Q179">
            <v>4.3399638336347177</v>
          </cell>
          <cell r="T179">
            <v>0.86388888888888893</v>
          </cell>
          <cell r="U179">
            <v>0.98124999999999996</v>
          </cell>
          <cell r="V179">
            <v>65</v>
          </cell>
          <cell r="AD179">
            <v>54.7</v>
          </cell>
          <cell r="AE179">
            <v>11.81</v>
          </cell>
          <cell r="AG179">
            <v>51.5</v>
          </cell>
          <cell r="AS179">
            <v>100.88096411971219</v>
          </cell>
          <cell r="AT179">
            <v>102.23629981137978</v>
          </cell>
          <cell r="AV179" t="str">
            <v>K. Benjamin</v>
          </cell>
          <cell r="AW179">
            <v>0.25902777777777775</v>
          </cell>
        </row>
        <row r="180">
          <cell r="A180" t="str">
            <v>ST163</v>
          </cell>
          <cell r="P180">
            <v>62</v>
          </cell>
          <cell r="Q180">
            <v>3.7974683544303693</v>
          </cell>
          <cell r="T180">
            <v>0.98124999999999996</v>
          </cell>
          <cell r="U180">
            <v>1.0715277777777779</v>
          </cell>
          <cell r="V180">
            <v>61</v>
          </cell>
          <cell r="AD180">
            <v>54.1</v>
          </cell>
          <cell r="AE180">
            <v>11.69</v>
          </cell>
          <cell r="AG180">
            <v>50.6</v>
          </cell>
          <cell r="AS180">
            <v>98.35750118912209</v>
          </cell>
          <cell r="AT180">
            <v>99.678503411765689</v>
          </cell>
          <cell r="AV180" t="str">
            <v>K. Benjamin</v>
          </cell>
          <cell r="AW180">
            <v>0.24513888888888902</v>
          </cell>
        </row>
        <row r="181">
          <cell r="A181" t="str">
            <v>ST164</v>
          </cell>
          <cell r="P181">
            <v>62</v>
          </cell>
          <cell r="Q181">
            <v>4.1666666666666741</v>
          </cell>
          <cell r="T181">
            <v>1.0694444444444444</v>
          </cell>
          <cell r="U181">
            <v>1.1784722222222221</v>
          </cell>
          <cell r="V181">
            <v>59</v>
          </cell>
          <cell r="AD181">
            <v>54.2</v>
          </cell>
          <cell r="AE181">
            <v>11.77</v>
          </cell>
          <cell r="AG181">
            <v>50.9</v>
          </cell>
          <cell r="AS181">
            <v>99.955757308619226</v>
          </cell>
          <cell r="AT181">
            <v>101.29778626213222</v>
          </cell>
          <cell r="AV181" t="str">
            <v>R. Regis</v>
          </cell>
          <cell r="AW181">
            <v>0.24444444444444435</v>
          </cell>
        </row>
        <row r="182">
          <cell r="A182" t="str">
            <v>ST165</v>
          </cell>
          <cell r="P182">
            <v>58</v>
          </cell>
          <cell r="Q182">
            <v>5.8394160583941535</v>
          </cell>
          <cell r="T182">
            <v>0.41041666666666665</v>
          </cell>
          <cell r="U182">
            <v>0.52083333333333337</v>
          </cell>
          <cell r="V182">
            <v>62</v>
          </cell>
          <cell r="AD182">
            <v>53.8</v>
          </cell>
          <cell r="AE182">
            <v>11.85</v>
          </cell>
          <cell r="AG182">
            <v>50.5</v>
          </cell>
          <cell r="AS182">
            <v>100.0542639520425</v>
          </cell>
          <cell r="AT182">
            <v>101.39761547837318</v>
          </cell>
          <cell r="AV182" t="str">
            <v>R.Sookram</v>
          </cell>
          <cell r="AW182">
            <v>0.26388888888888895</v>
          </cell>
        </row>
        <row r="183">
          <cell r="A183" t="str">
            <v>ST166</v>
          </cell>
          <cell r="P183">
            <v>58</v>
          </cell>
          <cell r="Q183">
            <v>3.3519553072625774</v>
          </cell>
          <cell r="T183">
            <v>0.53333333333333333</v>
          </cell>
          <cell r="U183">
            <v>0.63680555555555551</v>
          </cell>
          <cell r="V183">
            <v>57</v>
          </cell>
          <cell r="AD183">
            <v>53.2</v>
          </cell>
          <cell r="AE183">
            <v>11.9</v>
          </cell>
          <cell r="AG183">
            <v>49.6</v>
          </cell>
          <cell r="AS183">
            <v>97.894867203057146</v>
          </cell>
          <cell r="AT183">
            <v>99.342197384027386</v>
          </cell>
          <cell r="AV183" t="str">
            <v>R.Sookram</v>
          </cell>
          <cell r="AW183">
            <v>0.25138888888888883</v>
          </cell>
        </row>
        <row r="184">
          <cell r="A184" t="str">
            <v>ST167</v>
          </cell>
          <cell r="P184">
            <v>60</v>
          </cell>
          <cell r="Q184">
            <v>4.6846846846846875</v>
          </cell>
          <cell r="T184">
            <v>0.64097222222222228</v>
          </cell>
          <cell r="U184">
            <v>0.75208333333333333</v>
          </cell>
          <cell r="V184">
            <v>57</v>
          </cell>
          <cell r="AD184">
            <v>55.1</v>
          </cell>
          <cell r="AE184">
            <v>11.81</v>
          </cell>
          <cell r="AG184">
            <v>51.7</v>
          </cell>
          <cell r="AS184">
            <v>101.26478844270513</v>
          </cell>
          <cell r="AT184">
            <v>102.76145331998269</v>
          </cell>
          <cell r="AV184" t="str">
            <v>K. Benjamin</v>
          </cell>
          <cell r="AW184">
            <v>0.27638888888888891</v>
          </cell>
        </row>
        <row r="185">
          <cell r="A185" t="str">
            <v>ST168</v>
          </cell>
          <cell r="P185">
            <v>59</v>
          </cell>
          <cell r="Q185">
            <v>3.9783001808318188</v>
          </cell>
          <cell r="T185">
            <v>0.7368055555555556</v>
          </cell>
          <cell r="U185">
            <v>0.85416666666666663</v>
          </cell>
          <cell r="V185">
            <v>54</v>
          </cell>
          <cell r="AD185">
            <v>54.5</v>
          </cell>
          <cell r="AE185">
            <v>11.81</v>
          </cell>
          <cell r="AG185">
            <v>51.5</v>
          </cell>
          <cell r="AS185">
            <v>100.87304844872946</v>
          </cell>
          <cell r="AT185">
            <v>102.36392351990537</v>
          </cell>
          <cell r="AV185" t="str">
            <v>K. Benjamin</v>
          </cell>
          <cell r="AW185">
            <v>0.25347222222222221</v>
          </cell>
        </row>
        <row r="186">
          <cell r="A186" t="str">
            <v>ST169</v>
          </cell>
          <cell r="P186">
            <v>57</v>
          </cell>
          <cell r="Q186">
            <v>6.1151079136690623</v>
          </cell>
          <cell r="T186">
            <v>0.2076388888888889</v>
          </cell>
          <cell r="U186">
            <v>0.31805555555555554</v>
          </cell>
          <cell r="V186">
            <v>68</v>
          </cell>
          <cell r="AD186">
            <v>53.9</v>
          </cell>
          <cell r="AE186">
            <v>11.78</v>
          </cell>
          <cell r="AG186">
            <v>49.9</v>
          </cell>
          <cell r="AS186">
            <v>97.739128496924266</v>
          </cell>
          <cell r="AT186">
            <v>99.183685119286963</v>
          </cell>
          <cell r="AV186" t="str">
            <v>G. Mason</v>
          </cell>
          <cell r="AW186">
            <v>0.25555555555555554</v>
          </cell>
        </row>
        <row r="187">
          <cell r="A187" t="str">
            <v>ST170</v>
          </cell>
          <cell r="P187">
            <v>62</v>
          </cell>
          <cell r="Q187">
            <v>6.0218978102189737</v>
          </cell>
          <cell r="T187">
            <v>0.30833333333333335</v>
          </cell>
          <cell r="U187">
            <v>0.42291666666666666</v>
          </cell>
          <cell r="V187">
            <v>66</v>
          </cell>
          <cell r="AD187">
            <v>52.8</v>
          </cell>
          <cell r="AE187">
            <v>12</v>
          </cell>
          <cell r="AG187">
            <v>49.4</v>
          </cell>
          <cell r="AS187">
            <v>98.608395095224694</v>
          </cell>
          <cell r="AT187">
            <v>100.06532282026856</v>
          </cell>
          <cell r="AV187" t="str">
            <v>D. Gomaz</v>
          </cell>
          <cell r="AW187">
            <v>0.25624999999999998</v>
          </cell>
        </row>
        <row r="188">
          <cell r="A188" t="str">
            <v>ST171</v>
          </cell>
          <cell r="P188">
            <v>61</v>
          </cell>
          <cell r="Q188">
            <v>5.2252252252252225</v>
          </cell>
          <cell r="T188">
            <v>0.41875000000000001</v>
          </cell>
          <cell r="U188">
            <v>0.53611111111111109</v>
          </cell>
          <cell r="V188">
            <v>69</v>
          </cell>
          <cell r="AD188">
            <v>53.9</v>
          </cell>
          <cell r="AE188">
            <v>11.94</v>
          </cell>
          <cell r="AG188">
            <v>50.4</v>
          </cell>
          <cell r="AS188">
            <v>99.473816674074172</v>
          </cell>
          <cell r="AT188">
            <v>100.94449089022137</v>
          </cell>
          <cell r="AV188" t="str">
            <v>D. Gomaz</v>
          </cell>
          <cell r="AW188">
            <v>0.26527777777777778</v>
          </cell>
        </row>
        <row r="189">
          <cell r="A189" t="str">
            <v>ST172</v>
          </cell>
          <cell r="P189">
            <v>64</v>
          </cell>
          <cell r="Q189">
            <v>4.8300536672629626</v>
          </cell>
          <cell r="T189">
            <v>0.52013888888888893</v>
          </cell>
          <cell r="U189">
            <v>0.63888888888888884</v>
          </cell>
          <cell r="V189">
            <v>70</v>
          </cell>
          <cell r="AD189">
            <v>54.1</v>
          </cell>
          <cell r="AE189">
            <v>11.53</v>
          </cell>
          <cell r="AG189">
            <v>50.7</v>
          </cell>
          <cell r="AS189">
            <v>96.771677377330477</v>
          </cell>
          <cell r="AT189">
            <v>98.201467808803216</v>
          </cell>
          <cell r="AV189" t="str">
            <v>D. Gomaz</v>
          </cell>
          <cell r="AW189">
            <v>0.26388888888888884</v>
          </cell>
        </row>
        <row r="190">
          <cell r="A190" t="str">
            <v>ST173</v>
          </cell>
          <cell r="P190">
            <v>67</v>
          </cell>
          <cell r="Q190">
            <v>4.1516245487364571</v>
          </cell>
          <cell r="T190">
            <v>0.61805555555555558</v>
          </cell>
          <cell r="U190">
            <v>0.72847222222222219</v>
          </cell>
          <cell r="V190">
            <v>63</v>
          </cell>
          <cell r="AD190">
            <v>54</v>
          </cell>
          <cell r="AE190">
            <v>11.8</v>
          </cell>
          <cell r="AG190">
            <v>50.3</v>
          </cell>
          <cell r="AS190">
            <v>98.031246107368958</v>
          </cell>
          <cell r="AT190">
            <v>99.482002870944854</v>
          </cell>
          <cell r="AV190" t="str">
            <v>R.Sookram</v>
          </cell>
          <cell r="AW190">
            <v>0.27013888888888887</v>
          </cell>
        </row>
        <row r="191">
          <cell r="A191" t="str">
            <v>ST174</v>
          </cell>
          <cell r="P191">
            <v>58</v>
          </cell>
          <cell r="Q191">
            <v>3.0852994555353952</v>
          </cell>
          <cell r="T191">
            <v>0.70972222222222225</v>
          </cell>
          <cell r="U191">
            <v>0.83125000000000004</v>
          </cell>
          <cell r="V191">
            <v>73</v>
          </cell>
          <cell r="AD191">
            <v>54.8</v>
          </cell>
          <cell r="AE191">
            <v>11.8</v>
          </cell>
          <cell r="AG191">
            <v>50.4</v>
          </cell>
          <cell r="AS191">
            <v>98.226139240783183</v>
          </cell>
          <cell r="AT191">
            <v>99.679780212636587</v>
          </cell>
          <cell r="AV191" t="str">
            <v>R.Sookram</v>
          </cell>
          <cell r="AW191">
            <v>0.26875000000000004</v>
          </cell>
        </row>
        <row r="192">
          <cell r="A192" t="str">
            <v>ST175</v>
          </cell>
          <cell r="P192">
            <v>56</v>
          </cell>
          <cell r="Q192">
            <v>3.4358047016274837</v>
          </cell>
          <cell r="T192">
            <v>0.80277777777777781</v>
          </cell>
          <cell r="U192">
            <v>0.91527777777777775</v>
          </cell>
          <cell r="V192">
            <v>67</v>
          </cell>
          <cell r="AD192">
            <v>54.8</v>
          </cell>
          <cell r="AE192">
            <v>11.6</v>
          </cell>
          <cell r="AG192">
            <v>51.6</v>
          </cell>
          <cell r="AS192">
            <v>99.142807989788679</v>
          </cell>
          <cell r="AT192">
            <v>100.60858839615179</v>
          </cell>
          <cell r="AV192" t="str">
            <v>R.Sookram</v>
          </cell>
          <cell r="AW192">
            <v>0.24861111111111112</v>
          </cell>
        </row>
        <row r="193">
          <cell r="A193" t="str">
            <v>ST176</v>
          </cell>
          <cell r="P193">
            <v>57</v>
          </cell>
          <cell r="Q193">
            <v>2.3636363636363584</v>
          </cell>
          <cell r="T193">
            <v>0.89930555555555558</v>
          </cell>
          <cell r="U193">
            <v>1.0111111111111111</v>
          </cell>
          <cell r="V193">
            <v>66</v>
          </cell>
          <cell r="AD193">
            <v>54.6</v>
          </cell>
          <cell r="AE193">
            <v>11.9</v>
          </cell>
          <cell r="AG193">
            <v>51.8</v>
          </cell>
          <cell r="AS193">
            <v>102.23697824835402</v>
          </cell>
          <cell r="AT193">
            <v>103.74850452606086</v>
          </cell>
          <cell r="AV193" t="str">
            <v>R.Sookram</v>
          </cell>
          <cell r="AW193">
            <v>0.26111111111111107</v>
          </cell>
        </row>
      </sheetData>
      <sheetData sheetId="7">
        <row r="4">
          <cell r="D4">
            <v>12.04</v>
          </cell>
        </row>
        <row r="121">
          <cell r="D121">
            <v>11.8</v>
          </cell>
        </row>
        <row r="122">
          <cell r="D122">
            <v>11.7</v>
          </cell>
        </row>
        <row r="123">
          <cell r="D123">
            <v>11.9</v>
          </cell>
        </row>
        <row r="124">
          <cell r="D124">
            <v>11.7</v>
          </cell>
        </row>
        <row r="125">
          <cell r="D125">
            <v>11.85</v>
          </cell>
        </row>
        <row r="126">
          <cell r="D126">
            <v>11.71</v>
          </cell>
        </row>
        <row r="127">
          <cell r="D127">
            <v>11.74</v>
          </cell>
        </row>
        <row r="128">
          <cell r="D128">
            <v>11.76</v>
          </cell>
        </row>
        <row r="137">
          <cell r="D137">
            <v>11.8</v>
          </cell>
        </row>
        <row r="138">
          <cell r="D138">
            <v>11.7</v>
          </cell>
        </row>
        <row r="139">
          <cell r="D139">
            <v>11.8</v>
          </cell>
        </row>
        <row r="140">
          <cell r="D140">
            <v>11.8</v>
          </cell>
        </row>
        <row r="142">
          <cell r="D142">
            <v>12.1</v>
          </cell>
        </row>
        <row r="143">
          <cell r="D143">
            <v>11.8</v>
          </cell>
        </row>
        <row r="144">
          <cell r="D144">
            <v>12</v>
          </cell>
        </row>
        <row r="145">
          <cell r="D145">
            <v>11.8</v>
          </cell>
        </row>
        <row r="146">
          <cell r="D146">
            <v>11.7</v>
          </cell>
        </row>
        <row r="147">
          <cell r="D147">
            <v>11.8</v>
          </cell>
        </row>
        <row r="148">
          <cell r="D148">
            <v>11.8</v>
          </cell>
        </row>
        <row r="149">
          <cell r="D149">
            <v>11.8</v>
          </cell>
        </row>
        <row r="152">
          <cell r="D152">
            <v>12</v>
          </cell>
        </row>
        <row r="153">
          <cell r="D153">
            <v>11.9</v>
          </cell>
        </row>
        <row r="154">
          <cell r="D154">
            <v>11.8</v>
          </cell>
        </row>
        <row r="155">
          <cell r="D155">
            <v>12</v>
          </cell>
        </row>
        <row r="156">
          <cell r="D156">
            <v>11.8</v>
          </cell>
        </row>
        <row r="157">
          <cell r="D157">
            <v>12</v>
          </cell>
        </row>
        <row r="158">
          <cell r="D158">
            <v>11.77</v>
          </cell>
        </row>
        <row r="159">
          <cell r="D159">
            <v>12.13</v>
          </cell>
        </row>
        <row r="160">
          <cell r="D160">
            <v>11.86</v>
          </cell>
        </row>
        <row r="161">
          <cell r="D161">
            <v>11.7</v>
          </cell>
        </row>
        <row r="162">
          <cell r="D162">
            <v>11.68</v>
          </cell>
        </row>
        <row r="163">
          <cell r="D163">
            <v>11.71</v>
          </cell>
        </row>
        <row r="164">
          <cell r="D164">
            <v>11.69</v>
          </cell>
        </row>
        <row r="165">
          <cell r="D165">
            <v>11.8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March '25"/>
      <sheetName val="Summary February '25"/>
      <sheetName val="Summary January '25"/>
      <sheetName val="Summary December '24 "/>
      <sheetName val="Summary November '24"/>
      <sheetName val="Summary October '24"/>
      <sheetName val="Summary May '24"/>
      <sheetName val="Summary April '24 "/>
      <sheetName val="Summary March '24 "/>
      <sheetName val="Summary February '24"/>
      <sheetName val="Summary January '24"/>
      <sheetName val="Summary December '23"/>
      <sheetName val="Summary April '25"/>
    </sheetNames>
    <sheetDataSet>
      <sheetData sheetId="0" refreshError="1"/>
      <sheetData sheetId="1"/>
      <sheetData sheetId="2"/>
      <sheetData sheetId="3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V21">
            <v>101.27863888434283</v>
          </cell>
        </row>
        <row r="22">
          <cell r="AV22">
            <v>99.303486828954206</v>
          </cell>
        </row>
        <row r="23">
          <cell r="AV23">
            <v>103.66984113752797</v>
          </cell>
        </row>
        <row r="24">
          <cell r="AV24">
            <v>95.602927454157623</v>
          </cell>
        </row>
        <row r="26">
          <cell r="A26" t="str">
            <v>VM019</v>
          </cell>
          <cell r="R26">
            <v>73</v>
          </cell>
          <cell r="S26">
            <v>7.3743016759776676</v>
          </cell>
          <cell r="V26">
            <v>0.22777777777777777</v>
          </cell>
          <cell r="W26">
            <v>0.37222222222222223</v>
          </cell>
          <cell r="X26">
            <v>78</v>
          </cell>
          <cell r="AB26">
            <v>0.28888888888888892</v>
          </cell>
          <cell r="AE26">
            <v>53.7</v>
          </cell>
          <cell r="AH26">
            <v>14.3</v>
          </cell>
          <cell r="AJ26">
            <v>48.2</v>
          </cell>
          <cell r="AV26">
            <v>97.882610792421659</v>
          </cell>
          <cell r="AW26">
            <v>98.210403024717408</v>
          </cell>
          <cell r="AZ26" t="str">
            <v>R.Sookram</v>
          </cell>
        </row>
        <row r="27">
          <cell r="A27" t="str">
            <v>VM020</v>
          </cell>
          <cell r="R27">
            <v>78</v>
          </cell>
          <cell r="S27">
            <v>6.4122137404580002</v>
          </cell>
          <cell r="V27">
            <v>0.3527777777777778</v>
          </cell>
          <cell r="W27">
            <v>0.51944444444444449</v>
          </cell>
          <cell r="X27">
            <v>88</v>
          </cell>
          <cell r="AB27">
            <v>0.32847222222222228</v>
          </cell>
          <cell r="AE27">
            <v>52.4</v>
          </cell>
          <cell r="AH27">
            <v>14.5</v>
          </cell>
          <cell r="AJ27">
            <v>49.8</v>
          </cell>
          <cell r="AV27">
            <v>102.56353376807962</v>
          </cell>
          <cell r="AW27">
            <v>102.90845819547192</v>
          </cell>
          <cell r="AZ27" t="str">
            <v>K. Benjamin</v>
          </cell>
        </row>
        <row r="28">
          <cell r="A28" t="str">
            <v>VM021</v>
          </cell>
          <cell r="R28">
            <v>61</v>
          </cell>
          <cell r="S28">
            <v>5.9735349716446198</v>
          </cell>
          <cell r="V28">
            <v>0.47847222222222224</v>
          </cell>
          <cell r="W28">
            <v>0.64444444444444449</v>
          </cell>
          <cell r="X28">
            <v>88</v>
          </cell>
          <cell r="AB28">
            <v>0.34930555555555559</v>
          </cell>
          <cell r="AE28">
            <v>52.9</v>
          </cell>
          <cell r="AH28">
            <v>14.4</v>
          </cell>
          <cell r="AJ28">
            <v>49.4</v>
          </cell>
          <cell r="AV28">
            <v>101.00969960355251</v>
          </cell>
          <cell r="AW28">
            <v>101.34939843721016</v>
          </cell>
          <cell r="AZ28" t="str">
            <v>K. Benjamin</v>
          </cell>
        </row>
        <row r="29">
          <cell r="A29" t="str">
            <v>VM022</v>
          </cell>
          <cell r="R29">
            <v>63</v>
          </cell>
          <cell r="S29">
            <v>4.2884250474383396</v>
          </cell>
          <cell r="V29">
            <v>0.60486111111111107</v>
          </cell>
          <cell r="W29">
            <v>0.75555555555555554</v>
          </cell>
          <cell r="X29">
            <v>88</v>
          </cell>
          <cell r="AB29">
            <v>0.33541666666666664</v>
          </cell>
          <cell r="AE29">
            <v>52.7</v>
          </cell>
          <cell r="AH29">
            <v>14.3</v>
          </cell>
          <cell r="AJ29">
            <v>48.7</v>
          </cell>
          <cell r="AV29">
            <v>98.793275944001337</v>
          </cell>
          <cell r="AW29">
            <v>99.125520874370537</v>
          </cell>
          <cell r="AZ29" t="str">
            <v>R.Regis</v>
          </cell>
        </row>
        <row r="30">
          <cell r="A30" t="str">
            <v>VM023</v>
          </cell>
          <cell r="R30">
            <v>60</v>
          </cell>
          <cell r="S30">
            <v>5.5534709193245666</v>
          </cell>
          <cell r="V30">
            <v>0.72916666666666663</v>
          </cell>
          <cell r="W30">
            <v>0.875</v>
          </cell>
          <cell r="X30">
            <v>87</v>
          </cell>
          <cell r="AB30">
            <v>0.33333333333333337</v>
          </cell>
          <cell r="AE30">
            <v>53.3</v>
          </cell>
          <cell r="AH30">
            <v>14.4</v>
          </cell>
          <cell r="AJ30">
            <v>48.4</v>
          </cell>
          <cell r="AV30">
            <v>99.174984669941196</v>
          </cell>
          <cell r="AW30">
            <v>99.505693437710235</v>
          </cell>
          <cell r="AZ30" t="str">
            <v>R.Regis</v>
          </cell>
        </row>
        <row r="31">
          <cell r="A31" t="str">
            <v>VM024</v>
          </cell>
          <cell r="R31">
            <v>60</v>
          </cell>
          <cell r="S31">
            <v>4.4277673545966216</v>
          </cell>
          <cell r="V31">
            <v>0.83888888888888891</v>
          </cell>
          <cell r="W31">
            <v>0.97777777777777775</v>
          </cell>
          <cell r="X31">
            <v>88</v>
          </cell>
          <cell r="AB31">
            <v>0.26944444444444438</v>
          </cell>
          <cell r="AE31">
            <v>53.3</v>
          </cell>
          <cell r="AH31">
            <v>14.2</v>
          </cell>
          <cell r="AJ31">
            <v>49.5</v>
          </cell>
          <cell r="AV31">
            <v>99.790314392337137</v>
          </cell>
          <cell r="AW31">
            <v>100.12449519985083</v>
          </cell>
          <cell r="AZ31" t="str">
            <v>R.Regis</v>
          </cell>
        </row>
        <row r="32">
          <cell r="A32" t="str">
            <v>VM025</v>
          </cell>
          <cell r="R32">
            <v>57</v>
          </cell>
          <cell r="S32">
            <v>4.2803030303030134</v>
          </cell>
          <cell r="V32">
            <v>0.96319444444444446</v>
          </cell>
          <cell r="W32">
            <v>1.0923611111111111</v>
          </cell>
          <cell r="X32">
            <v>85</v>
          </cell>
          <cell r="AB32">
            <v>0.26944444444444449</v>
          </cell>
          <cell r="AE32">
            <v>52.8</v>
          </cell>
          <cell r="AH32">
            <v>14.2</v>
          </cell>
          <cell r="AJ32">
            <v>48.6</v>
          </cell>
          <cell r="AV32">
            <v>98.079903538511672</v>
          </cell>
          <cell r="AW32">
            <v>98.406960650242766</v>
          </cell>
          <cell r="AZ32" t="str">
            <v>D. Gomez</v>
          </cell>
        </row>
        <row r="33">
          <cell r="A33" t="str">
            <v>VM026</v>
          </cell>
          <cell r="R33">
            <v>61</v>
          </cell>
          <cell r="S33">
            <v>3.8721804511278233</v>
          </cell>
          <cell r="V33">
            <v>1.0569444444444445</v>
          </cell>
          <cell r="W33">
            <v>1.1916666666666667</v>
          </cell>
          <cell r="X33">
            <v>89</v>
          </cell>
          <cell r="AB33">
            <v>0.26458333333333328</v>
          </cell>
          <cell r="AE33">
            <v>53.2</v>
          </cell>
          <cell r="AH33">
            <v>14.2</v>
          </cell>
          <cell r="AJ33">
            <v>49.4</v>
          </cell>
          <cell r="AV33">
            <v>99.588717797605156</v>
          </cell>
          <cell r="AW33">
            <v>99.922223492376389</v>
          </cell>
          <cell r="AZ33" t="str">
            <v>D. Gomez</v>
          </cell>
        </row>
      </sheetData>
      <sheetData sheetId="4">
        <row r="5">
          <cell r="D5">
            <v>14.8</v>
          </cell>
        </row>
        <row r="26">
          <cell r="D26">
            <v>14.3</v>
          </cell>
        </row>
        <row r="27">
          <cell r="D27">
            <v>14.5</v>
          </cell>
        </row>
        <row r="28">
          <cell r="D28">
            <v>14.4</v>
          </cell>
        </row>
        <row r="29">
          <cell r="D29">
            <v>14.3</v>
          </cell>
        </row>
        <row r="30">
          <cell r="D30">
            <v>14.4</v>
          </cell>
        </row>
        <row r="31">
          <cell r="D31">
            <v>14.2</v>
          </cell>
        </row>
        <row r="32">
          <cell r="D32">
            <v>14.2</v>
          </cell>
        </row>
        <row r="33">
          <cell r="D33">
            <v>14.2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March'25 "/>
      <sheetName val="Summary February'25"/>
      <sheetName val="Summary January'25"/>
      <sheetName val="Summary April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  <row r="13">
          <cell r="A13" t="str">
            <v>MK009</v>
          </cell>
          <cell r="R13">
            <v>60</v>
          </cell>
          <cell r="S13">
            <v>6.470125223613592</v>
          </cell>
          <cell r="V13">
            <v>0.46458333333333335</v>
          </cell>
          <cell r="W13">
            <v>0.63680555555555551</v>
          </cell>
          <cell r="X13">
            <v>54</v>
          </cell>
          <cell r="AA13">
            <v>0.27500000000000002</v>
          </cell>
          <cell r="AF13">
            <v>54.8</v>
          </cell>
          <cell r="AG13">
            <v>12.94</v>
          </cell>
          <cell r="AI13">
            <v>51.4</v>
          </cell>
          <cell r="AT13">
            <v>93.283411294323415</v>
          </cell>
          <cell r="AU13">
            <v>94.609562864615683</v>
          </cell>
          <cell r="AX13" t="str">
            <v>K.Benjamin</v>
          </cell>
        </row>
        <row r="14">
          <cell r="A14" t="str">
            <v>MK010</v>
          </cell>
          <cell r="R14">
            <v>77</v>
          </cell>
          <cell r="S14">
            <v>5.1442680776014145</v>
          </cell>
          <cell r="V14">
            <v>0.63194444444444442</v>
          </cell>
          <cell r="W14">
            <v>0.75902777777777775</v>
          </cell>
          <cell r="X14">
            <v>63</v>
          </cell>
          <cell r="AA14">
            <v>0.26527777777777783</v>
          </cell>
          <cell r="AF14">
            <v>54.1</v>
          </cell>
          <cell r="AG14">
            <v>13.49</v>
          </cell>
          <cell r="AI14">
            <v>50.9</v>
          </cell>
          <cell r="AT14">
            <v>96.364074868449421</v>
          </cell>
          <cell r="AU14">
            <v>97.730155923113131</v>
          </cell>
          <cell r="AX14" t="str">
            <v>K.Benjamin</v>
          </cell>
        </row>
        <row r="15">
          <cell r="A15" t="str">
            <v>MK011</v>
          </cell>
          <cell r="R15">
            <v>77</v>
          </cell>
          <cell r="S15">
            <v>5.5366609294320117</v>
          </cell>
          <cell r="V15">
            <v>0.78541666666666665</v>
          </cell>
          <cell r="W15">
            <v>0.90347222222222223</v>
          </cell>
          <cell r="X15">
            <v>49</v>
          </cell>
          <cell r="AA15">
            <v>0.2909722222222223</v>
          </cell>
          <cell r="AF15">
            <v>55.2</v>
          </cell>
          <cell r="AG15">
            <v>13.38</v>
          </cell>
          <cell r="AI15">
            <v>52</v>
          </cell>
          <cell r="AT15">
            <v>97.47700242710556</v>
          </cell>
          <cell r="AU15">
            <v>98.854133364742296</v>
          </cell>
          <cell r="AX15" t="str">
            <v>R.Regis</v>
          </cell>
        </row>
        <row r="16">
          <cell r="A16" t="str">
            <v>MK012</v>
          </cell>
          <cell r="R16">
            <v>76</v>
          </cell>
          <cell r="S16">
            <v>4.8170212765957432</v>
          </cell>
          <cell r="V16">
            <v>0.59791666666666665</v>
          </cell>
          <cell r="W16">
            <v>0.74375000000000002</v>
          </cell>
          <cell r="X16">
            <v>52</v>
          </cell>
          <cell r="AA16">
            <v>0.39027777777777772</v>
          </cell>
          <cell r="AF16">
            <v>54</v>
          </cell>
          <cell r="AG16">
            <v>12.67</v>
          </cell>
          <cell r="AI16">
            <v>50.5</v>
          </cell>
          <cell r="AT16">
            <v>96.358297626626836</v>
          </cell>
          <cell r="AU16">
            <v>97.693245603372176</v>
          </cell>
          <cell r="AX16" t="str">
            <v>K.Benjamin</v>
          </cell>
        </row>
      </sheetData>
      <sheetData sheetId="8">
        <row r="4">
          <cell r="D4">
            <v>13.5</v>
          </cell>
        </row>
        <row r="13">
          <cell r="D13">
            <v>12.94</v>
          </cell>
        </row>
        <row r="14">
          <cell r="D14">
            <v>13.49</v>
          </cell>
        </row>
        <row r="15">
          <cell r="D15">
            <v>13.38</v>
          </cell>
        </row>
        <row r="16">
          <cell r="D16">
            <v>12.67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April ' 25"/>
      <sheetName val="Summary March ' 25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Y22">
            <v>94.953130139836233</v>
          </cell>
        </row>
        <row r="23">
          <cell r="AY23">
            <v>100.2179588674224</v>
          </cell>
        </row>
        <row r="24">
          <cell r="AY24">
            <v>92.417462104672595</v>
          </cell>
        </row>
        <row r="25">
          <cell r="AY25">
            <v>98.212353766599264</v>
          </cell>
        </row>
        <row r="26">
          <cell r="AY26">
            <v>100.17660084193123</v>
          </cell>
        </row>
        <row r="27">
          <cell r="AY27">
            <v>101.7139711841882</v>
          </cell>
        </row>
        <row r="28">
          <cell r="AY28">
            <v>97.028254502167584</v>
          </cell>
        </row>
        <row r="29">
          <cell r="AY29">
            <v>99.806942496410372</v>
          </cell>
        </row>
        <row r="31">
          <cell r="A31" t="str">
            <v>SM023</v>
          </cell>
          <cell r="T31">
            <v>60</v>
          </cell>
          <cell r="U31">
            <v>3.0268199233716575</v>
          </cell>
          <cell r="X31">
            <v>1.1527777777777777</v>
          </cell>
          <cell r="Y31">
            <v>1.2826388888888889</v>
          </cell>
          <cell r="Z31">
            <v>64</v>
          </cell>
          <cell r="AD31">
            <v>0.28611111111111109</v>
          </cell>
          <cell r="AH31">
            <v>52.2</v>
          </cell>
          <cell r="AK31">
            <v>17.5</v>
          </cell>
          <cell r="AM31">
            <v>50.8</v>
          </cell>
          <cell r="AY31">
            <v>97.699494944251768</v>
          </cell>
          <cell r="AZ31">
            <v>98.349954309036363</v>
          </cell>
          <cell r="BC31" t="str">
            <v>K. Benjamin</v>
          </cell>
        </row>
        <row r="32">
          <cell r="A32" t="str">
            <v>SM024</v>
          </cell>
          <cell r="T32">
            <v>59</v>
          </cell>
          <cell r="U32">
            <v>3.1939163498098986</v>
          </cell>
          <cell r="X32">
            <v>0.27777777777777779</v>
          </cell>
          <cell r="Y32">
            <v>0.40902777777777777</v>
          </cell>
          <cell r="Z32">
            <v>65</v>
          </cell>
          <cell r="AD32">
            <v>0.28749999999999998</v>
          </cell>
          <cell r="AH32">
            <v>52.6</v>
          </cell>
          <cell r="AK32">
            <v>17.399999999999999</v>
          </cell>
          <cell r="AM32">
            <v>51.3</v>
          </cell>
          <cell r="AY32">
            <v>98.002211653180524</v>
          </cell>
          <cell r="AZ32">
            <v>98.655293788670065</v>
          </cell>
          <cell r="BC32" t="str">
            <v>R. Regis</v>
          </cell>
        </row>
        <row r="33">
          <cell r="A33" t="str">
            <v>SM025</v>
          </cell>
          <cell r="T33">
            <v>60</v>
          </cell>
          <cell r="U33">
            <v>3.3969465648854986</v>
          </cell>
          <cell r="X33">
            <v>0.47569444444444442</v>
          </cell>
          <cell r="Y33">
            <v>0.59930555555555554</v>
          </cell>
          <cell r="Z33">
            <v>65</v>
          </cell>
          <cell r="AD33">
            <v>0.34930555555555554</v>
          </cell>
          <cell r="AH33">
            <v>52.4</v>
          </cell>
          <cell r="AK33">
            <v>17.5</v>
          </cell>
          <cell r="AM33">
            <v>51.3</v>
          </cell>
          <cell r="AY33">
            <v>98.900740579253281</v>
          </cell>
          <cell r="AZ33">
            <v>99.55735285854594</v>
          </cell>
          <cell r="BC33" t="str">
            <v>R. Regis</v>
          </cell>
        </row>
        <row r="34">
          <cell r="A34" t="str">
            <v>SM026</v>
          </cell>
          <cell r="T34">
            <v>61</v>
          </cell>
          <cell r="U34">
            <v>3.3458646616541508</v>
          </cell>
          <cell r="X34">
            <v>0.58472222222222225</v>
          </cell>
          <cell r="Y34">
            <v>0.70763888888888893</v>
          </cell>
          <cell r="Z34">
            <v>63</v>
          </cell>
          <cell r="AD34">
            <v>0.27013888888888893</v>
          </cell>
          <cell r="AH34">
            <v>53.2</v>
          </cell>
          <cell r="AK34">
            <v>17.5</v>
          </cell>
          <cell r="AM34">
            <v>51.9</v>
          </cell>
          <cell r="AY34">
            <v>100.01046742421136</v>
          </cell>
          <cell r="AZ34">
            <v>100.64090771227269</v>
          </cell>
          <cell r="BC34" t="str">
            <v>G. Mason</v>
          </cell>
        </row>
      </sheetData>
      <sheetData sheetId="4">
        <row r="5">
          <cell r="D5">
            <v>17.399999999999999</v>
          </cell>
        </row>
        <row r="30">
          <cell r="D30">
            <v>17.5</v>
          </cell>
        </row>
        <row r="31">
          <cell r="D31">
            <v>17.399999999999999</v>
          </cell>
        </row>
        <row r="32">
          <cell r="D32">
            <v>17.5</v>
          </cell>
        </row>
        <row r="33">
          <cell r="D33">
            <v>17.5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</sheetData>
      <sheetData sheetId="6">
        <row r="5">
          <cell r="D5">
            <v>11.7</v>
          </cell>
        </row>
      </sheetData>
      <sheetData sheetId="7"/>
      <sheetData sheetId="8" refreshError="1"/>
      <sheetData sheetId="9" refreshError="1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70">
          <cell r="M70">
            <v>6.5</v>
          </cell>
        </row>
      </sheetData>
      <sheetData sheetId="17" refreshError="1"/>
      <sheetData sheetId="18">
        <row r="65">
          <cell r="L65">
            <v>95.175721461636485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. 3rd"/>
      <sheetName val="Mar. 4th"/>
      <sheetName val="Mar. 5th "/>
      <sheetName val="Mar. 6th"/>
      <sheetName val="Mar. 7th &amp; 8th"/>
      <sheetName val="Mar. 10th"/>
      <sheetName val="Mar. 11th"/>
      <sheetName val="Mar. 12th"/>
      <sheetName val="Mar. 13th"/>
      <sheetName val="Mar. 14th &amp; 16th"/>
      <sheetName val="Mar. 17th"/>
      <sheetName val="Mar. 18th"/>
      <sheetName val="Mar. 19th"/>
      <sheetName val="Mar. 20th"/>
      <sheetName val="Mar. 21th"/>
      <sheetName val="Mar. 24th"/>
      <sheetName val="Mar. 25th"/>
      <sheetName val="Mar. 26th "/>
      <sheetName val="Mar. 27th "/>
      <sheetName val="Mar. 28th "/>
      <sheetName val="Mar.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5">
          <cell r="L35">
            <v>98.722240043834276</v>
          </cell>
        </row>
        <row r="40">
          <cell r="L40">
            <v>6.3043478260869561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>
        <row r="3">
          <cell r="D3">
            <v>205.4</v>
          </cell>
          <cell r="G3">
            <v>300.10000000000002</v>
          </cell>
          <cell r="H3">
            <v>200.8</v>
          </cell>
          <cell r="I3">
            <v>406.27</v>
          </cell>
          <cell r="J3">
            <v>205.1</v>
          </cell>
          <cell r="L3">
            <v>208</v>
          </cell>
          <cell r="N3">
            <v>297.90000000000003</v>
          </cell>
          <cell r="Q3">
            <v>412.40000000000003</v>
          </cell>
          <cell r="S3">
            <v>294.09999999999997</v>
          </cell>
          <cell r="Y3">
            <v>148.30000000000001</v>
          </cell>
          <cell r="AB3">
            <v>213.70000000000002</v>
          </cell>
          <cell r="AE3">
            <v>315.60000000000002</v>
          </cell>
          <cell r="AF3">
            <v>482.7</v>
          </cell>
          <cell r="AG3">
            <v>192.7</v>
          </cell>
          <cell r="AN3">
            <v>5.5316685773910379</v>
          </cell>
          <cell r="AQ3">
            <v>7.1725551897553945</v>
          </cell>
        </row>
        <row r="4">
          <cell r="AN4">
            <v>3.7311899747361132</v>
          </cell>
          <cell r="AQ4">
            <v>6.6012405294716094</v>
          </cell>
        </row>
        <row r="5">
          <cell r="AN5">
            <v>11.265054002593653</v>
          </cell>
          <cell r="AQ5">
            <v>13.449891307585697</v>
          </cell>
        </row>
        <row r="6">
          <cell r="AN6">
            <v>2.3924874613168265</v>
          </cell>
          <cell r="AQ6">
            <v>5.0359151649923692</v>
          </cell>
        </row>
        <row r="7">
          <cell r="D7">
            <v>178.2</v>
          </cell>
          <cell r="G7">
            <v>276.89999999999998</v>
          </cell>
          <cell r="H7">
            <v>190.1</v>
          </cell>
          <cell r="I7">
            <v>375.6</v>
          </cell>
          <cell r="J7">
            <v>197</v>
          </cell>
          <cell r="L7">
            <v>197.89999999999998</v>
          </cell>
          <cell r="N7">
            <v>288.3</v>
          </cell>
          <cell r="Q7">
            <v>389.4</v>
          </cell>
          <cell r="S7">
            <v>278.5</v>
          </cell>
          <cell r="Y7">
            <v>177.3</v>
          </cell>
          <cell r="AB7">
            <v>203</v>
          </cell>
          <cell r="AE7">
            <v>300.8</v>
          </cell>
          <cell r="AF7">
            <v>409.7</v>
          </cell>
          <cell r="AG7">
            <v>180.8</v>
          </cell>
          <cell r="AN7" t="e">
            <v>#DIV/0!</v>
          </cell>
          <cell r="AQ7" t="e">
            <v>#DIV/0!</v>
          </cell>
        </row>
        <row r="8">
          <cell r="AN8">
            <v>7.0254499502894436</v>
          </cell>
          <cell r="AQ8">
            <v>9.4300678869947632</v>
          </cell>
        </row>
        <row r="9">
          <cell r="AN9">
            <v>3.9053322254376623</v>
          </cell>
          <cell r="AQ9">
            <v>4.5764571827076486</v>
          </cell>
        </row>
        <row r="10">
          <cell r="AN10" t="e">
            <v>#DIV/0!</v>
          </cell>
          <cell r="AQ10" t="e">
            <v>#DIV/0!</v>
          </cell>
        </row>
        <row r="11">
          <cell r="D11">
            <v>14.082042906052713</v>
          </cell>
          <cell r="G11">
            <v>7.6559232891550533</v>
          </cell>
          <cell r="H11">
            <v>3.6476772490345581</v>
          </cell>
          <cell r="L11">
            <v>3.7824257732597864</v>
          </cell>
          <cell r="N11">
            <v>4.4692882382798906</v>
          </cell>
          <cell r="Q11">
            <v>3.975428908990934</v>
          </cell>
          <cell r="S11">
            <v>3.1643028525214363</v>
          </cell>
          <cell r="Y11">
            <v>-19.073656024314197</v>
          </cell>
          <cell r="AB11">
            <v>4.16024220931053</v>
          </cell>
          <cell r="AE11">
            <v>3.4626353715152187</v>
          </cell>
          <cell r="AF11">
            <v>14.443162924362438</v>
          </cell>
          <cell r="AG11">
            <v>4.8145296890073404</v>
          </cell>
          <cell r="AN11" t="e">
            <v>#DIV/0!</v>
          </cell>
          <cell r="AQ11">
            <v>6.2003723782925313</v>
          </cell>
        </row>
        <row r="12">
          <cell r="AN12">
            <v>5.5998779636172795</v>
          </cell>
          <cell r="AQ12">
            <v>7.5288675324499499</v>
          </cell>
        </row>
        <row r="13">
          <cell r="D13">
            <v>407.20000000000005</v>
          </cell>
          <cell r="K13">
            <v>405.3</v>
          </cell>
          <cell r="Q13">
            <v>196.6</v>
          </cell>
          <cell r="T13">
            <v>399.6</v>
          </cell>
          <cell r="AB13">
            <v>207.50000000000003</v>
          </cell>
          <cell r="AD13">
            <v>294.89999999999998</v>
          </cell>
          <cell r="AE13">
            <v>202.20000000000002</v>
          </cell>
        </row>
        <row r="17">
          <cell r="D17">
            <v>388.2</v>
          </cell>
          <cell r="K17">
            <v>399.6</v>
          </cell>
          <cell r="Q17">
            <v>187</v>
          </cell>
          <cell r="T17">
            <v>374.09999999999997</v>
          </cell>
          <cell r="AB17">
            <v>198.3</v>
          </cell>
          <cell r="AD17">
            <v>279.3</v>
          </cell>
          <cell r="AE17">
            <v>182.9</v>
          </cell>
        </row>
        <row r="21">
          <cell r="D21">
            <v>5.2855665446815321</v>
          </cell>
          <cell r="K21">
            <v>1.4860051012294051</v>
          </cell>
          <cell r="Q21">
            <v>1.7947972678389668</v>
          </cell>
          <cell r="T21">
            <v>4.2657063843504721</v>
          </cell>
          <cell r="AB21">
            <v>2.1235109657000195</v>
          </cell>
          <cell r="AD21">
            <v>3.21766629129562</v>
          </cell>
          <cell r="AE21">
            <v>8.3098764990724518</v>
          </cell>
        </row>
        <row r="23">
          <cell r="K23">
            <v>263.70000000000005</v>
          </cell>
          <cell r="Z23">
            <v>217.20000000000002</v>
          </cell>
          <cell r="AG23">
            <v>215.10000000000002</v>
          </cell>
        </row>
        <row r="28">
          <cell r="K28">
            <v>240.5</v>
          </cell>
          <cell r="Z28">
            <v>194.89999999999998</v>
          </cell>
          <cell r="AG28">
            <v>199.2</v>
          </cell>
        </row>
        <row r="32">
          <cell r="K32">
            <v>10.823247958374074</v>
          </cell>
          <cell r="Z32">
            <v>12.977473134780851</v>
          </cell>
          <cell r="AG32">
            <v>10.07708540501152</v>
          </cell>
        </row>
        <row r="34">
          <cell r="AA34">
            <v>204.8</v>
          </cell>
        </row>
        <row r="39">
          <cell r="AA39">
            <v>196.2</v>
          </cell>
        </row>
        <row r="43">
          <cell r="AA43">
            <v>7.0254499502894436</v>
          </cell>
        </row>
        <row r="55">
          <cell r="L55">
            <v>205.29999999999998</v>
          </cell>
        </row>
        <row r="59">
          <cell r="L59">
            <v>204.5</v>
          </cell>
        </row>
        <row r="63">
          <cell r="L63">
            <v>3.9053322254376623</v>
          </cell>
        </row>
        <row r="65">
          <cell r="Q65">
            <v>392</v>
          </cell>
        </row>
        <row r="70">
          <cell r="Q70">
            <v>395.2</v>
          </cell>
        </row>
        <row r="74">
          <cell r="Q74">
            <v>2.3924874613168265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>
        <row r="13">
          <cell r="AN13">
            <v>0.70223745517780711</v>
          </cell>
          <cell r="AQ13">
            <v>0.75970500394081208</v>
          </cell>
        </row>
        <row r="14">
          <cell r="AN14">
            <v>0.86837351230333448</v>
          </cell>
          <cell r="AQ14">
            <v>0.75323691521525205</v>
          </cell>
        </row>
        <row r="15">
          <cell r="AN15">
            <v>0.60157894736842099</v>
          </cell>
          <cell r="AQ15">
            <v>0.54554653679653675</v>
          </cell>
        </row>
        <row r="16">
          <cell r="AN16">
            <v>1.3866666666666667</v>
          </cell>
          <cell r="AQ16">
            <v>0.87880701754385959</v>
          </cell>
        </row>
        <row r="17">
          <cell r="AN17" t="e">
            <v>#DIV/0!</v>
          </cell>
          <cell r="AQ17" t="e">
            <v>#DIV/0!</v>
          </cell>
        </row>
        <row r="18">
          <cell r="D18">
            <v>0.31263157894736843</v>
          </cell>
          <cell r="G18">
            <v>0.97157894736842099</v>
          </cell>
          <cell r="H18">
            <v>0.66701754385964906</v>
          </cell>
          <cell r="L18">
            <v>0.69438596491228066</v>
          </cell>
          <cell r="N18">
            <v>1.0115789473684211</v>
          </cell>
          <cell r="Q18">
            <v>0.68315789473684208</v>
          </cell>
          <cell r="S18">
            <v>0.97719298245614039</v>
          </cell>
          <cell r="Y18">
            <v>0.62210526315789483</v>
          </cell>
          <cell r="AB18">
            <v>0.71228070175438596</v>
          </cell>
          <cell r="AE18">
            <v>0.84859649122807024</v>
          </cell>
          <cell r="AF18">
            <v>0.7187719298245614</v>
          </cell>
          <cell r="AG18">
            <v>0.31719298245614036</v>
          </cell>
          <cell r="AN18">
            <v>0.68842105263157893</v>
          </cell>
          <cell r="AQ18">
            <v>0.674970760233918</v>
          </cell>
        </row>
        <row r="19">
          <cell r="AN19">
            <v>0.71754385964912282</v>
          </cell>
          <cell r="AQ19">
            <v>0.83594855305466242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</v>
          </cell>
          <cell r="AQ21">
            <v>0.33859649122807017</v>
          </cell>
        </row>
        <row r="22">
          <cell r="AN22">
            <v>0.75775978407557354</v>
          </cell>
          <cell r="AQ22">
            <v>0.73915991066443321</v>
          </cell>
        </row>
        <row r="25">
          <cell r="D25">
            <v>1.3621052631578947</v>
          </cell>
          <cell r="K25">
            <v>0.70105263157894737</v>
          </cell>
          <cell r="Q25">
            <v>0.65614035087719302</v>
          </cell>
          <cell r="T25">
            <v>1.3126315789473684</v>
          </cell>
          <cell r="AB25">
            <v>0.69578947368421051</v>
          </cell>
          <cell r="AD25">
            <v>0.49000000000000005</v>
          </cell>
          <cell r="AE25">
            <v>0.84859649122807024</v>
          </cell>
        </row>
        <row r="32">
          <cell r="K32">
            <v>0.42192982456140349</v>
          </cell>
          <cell r="Z32">
            <v>0.68385964912280695</v>
          </cell>
          <cell r="AG32">
            <v>0.69894736842105254</v>
          </cell>
        </row>
        <row r="39">
          <cell r="Z39">
            <v>0.68842105263157893</v>
          </cell>
        </row>
        <row r="53">
          <cell r="L53">
            <v>0.71754385964912282</v>
          </cell>
        </row>
        <row r="60">
          <cell r="R60">
            <v>1.3866666666666667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Hurricane Reef"/>
      <sheetName val="APA"/>
      <sheetName val="CARIBE"/>
      <sheetName val="YTD 2025"/>
      <sheetName val="MTD"/>
    </sheetNames>
    <sheetDataSet>
      <sheetData sheetId="0">
        <row r="6">
          <cell r="L6">
            <v>100</v>
          </cell>
        </row>
        <row r="8">
          <cell r="L8">
            <v>100</v>
          </cell>
        </row>
        <row r="10">
          <cell r="L10">
            <v>100</v>
          </cell>
        </row>
        <row r="12">
          <cell r="L12">
            <v>97</v>
          </cell>
        </row>
        <row r="22">
          <cell r="L22">
            <v>100</v>
          </cell>
        </row>
        <row r="24">
          <cell r="L24">
            <v>93.4</v>
          </cell>
        </row>
        <row r="27">
          <cell r="L27">
            <v>100</v>
          </cell>
        </row>
        <row r="28">
          <cell r="L28">
            <v>0</v>
          </cell>
        </row>
        <row r="29">
          <cell r="L29">
            <v>100</v>
          </cell>
        </row>
        <row r="30">
          <cell r="L30">
            <v>0</v>
          </cell>
        </row>
        <row r="31">
          <cell r="L31">
            <v>100</v>
          </cell>
        </row>
        <row r="32">
          <cell r="L32">
            <v>0</v>
          </cell>
        </row>
        <row r="33">
          <cell r="L33">
            <v>87</v>
          </cell>
        </row>
        <row r="34">
          <cell r="L34">
            <v>0</v>
          </cell>
        </row>
      </sheetData>
      <sheetData sheetId="1">
        <row r="12">
          <cell r="L12">
            <v>100</v>
          </cell>
          <cell r="S12">
            <v>4.6000000000000005</v>
          </cell>
        </row>
        <row r="13">
          <cell r="L13">
            <v>0</v>
          </cell>
        </row>
        <row r="14">
          <cell r="S14">
            <v>5</v>
          </cell>
        </row>
        <row r="16">
          <cell r="L16">
            <v>102</v>
          </cell>
        </row>
        <row r="17">
          <cell r="L17">
            <v>0</v>
          </cell>
        </row>
      </sheetData>
      <sheetData sheetId="2">
        <row r="24">
          <cell r="L24">
            <v>100</v>
          </cell>
        </row>
        <row r="26">
          <cell r="L26">
            <v>96.45</v>
          </cell>
        </row>
        <row r="40">
          <cell r="L40">
            <v>100</v>
          </cell>
        </row>
        <row r="42">
          <cell r="L42">
            <v>95.5</v>
          </cell>
        </row>
        <row r="48">
          <cell r="L48">
            <v>92</v>
          </cell>
        </row>
        <row r="52">
          <cell r="L52">
            <v>397.5</v>
          </cell>
        </row>
      </sheetData>
      <sheetData sheetId="3">
        <row r="6"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</sheetData>
      <sheetData sheetId="4"/>
      <sheetData sheetId="5">
        <row r="7">
          <cell r="L7">
            <v>103</v>
          </cell>
          <cell r="S7">
            <v>1.9</v>
          </cell>
        </row>
        <row r="8">
          <cell r="L8">
            <v>0</v>
          </cell>
        </row>
        <row r="9">
          <cell r="L9">
            <v>96.8</v>
          </cell>
          <cell r="S9">
            <v>1.9</v>
          </cell>
        </row>
        <row r="10">
          <cell r="L10">
            <v>0</v>
          </cell>
        </row>
      </sheetData>
      <sheetData sheetId="6"/>
      <sheetData sheetId="7"/>
      <sheetData sheetId="8"/>
      <sheetData sheetId="9"/>
      <sheetData sheetId="10">
        <row r="5">
          <cell r="E5">
            <v>6.9531818654466129</v>
          </cell>
        </row>
        <row r="6">
          <cell r="E6">
            <v>6.6626746660217995</v>
          </cell>
        </row>
        <row r="7">
          <cell r="E7">
            <v>11.956968054529007</v>
          </cell>
        </row>
        <row r="8">
          <cell r="E8">
            <v>4.6593071945184654</v>
          </cell>
        </row>
        <row r="9">
          <cell r="E9" t="e">
            <v>#DIV/0!</v>
          </cell>
        </row>
        <row r="10">
          <cell r="E10">
            <v>7.8262258425171876</v>
          </cell>
        </row>
        <row r="11">
          <cell r="E11">
            <v>2.2264009025949534</v>
          </cell>
        </row>
        <row r="12">
          <cell r="E12" t="e">
            <v>#DIV/0!</v>
          </cell>
        </row>
        <row r="13">
          <cell r="E13">
            <v>4.8792508624938291</v>
          </cell>
        </row>
        <row r="14">
          <cell r="E14">
            <v>6.9787493949721418</v>
          </cell>
        </row>
      </sheetData>
      <sheetData sheetId="11">
        <row r="5">
          <cell r="E5">
            <v>6.2926775321037809</v>
          </cell>
        </row>
        <row r="6">
          <cell r="E6">
            <v>4.9164813325131247</v>
          </cell>
        </row>
        <row r="7">
          <cell r="E7">
            <v>10.820685778527247</v>
          </cell>
        </row>
        <row r="8">
          <cell r="E8">
            <v>3.2321253672869714</v>
          </cell>
        </row>
        <row r="9">
          <cell r="E9" t="e">
            <v>#DIV/0!</v>
          </cell>
        </row>
        <row r="10">
          <cell r="E10">
            <v>5.9443911792905233</v>
          </cell>
        </row>
        <row r="11">
          <cell r="E11">
            <v>0.38967364831952411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5.9979801920808047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25.33203125" style="275" customWidth="1"/>
    <col min="11" max="11" width="18.554687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11" t="s">
        <v>0</v>
      </c>
      <c r="U1" s="511"/>
      <c r="V1" s="511" t="s">
        <v>1</v>
      </c>
      <c r="W1" s="511"/>
      <c r="X1" s="511" t="s">
        <v>2</v>
      </c>
      <c r="Y1" s="511"/>
      <c r="Z1" s="511" t="s">
        <v>124</v>
      </c>
      <c r="AA1" s="511"/>
    </row>
    <row r="2" spans="2:30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30">
        <v>45278</v>
      </c>
      <c r="D4" s="530"/>
      <c r="J4" s="531" t="s">
        <v>153</v>
      </c>
      <c r="K4" s="531"/>
      <c r="L4" s="11"/>
      <c r="M4" s="533" t="s">
        <v>8</v>
      </c>
      <c r="N4" s="534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32"/>
      <c r="K5" s="532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15" t="s">
        <v>151</v>
      </c>
      <c r="K6" s="516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17"/>
      <c r="K7" s="51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152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80"/>
      <c r="P8" s="472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20"/>
      <c r="P9" s="529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4.4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4.4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4.4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4.4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4.4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4.4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4.4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4.4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4.4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4.4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4.4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4.4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4.4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4.4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4.4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4.4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4.4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4.4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4.4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00" t="s">
        <v>34</v>
      </c>
      <c r="J48" s="500"/>
      <c r="K48" s="500"/>
      <c r="L48" s="500"/>
      <c r="M48" s="500"/>
      <c r="N48" s="500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28.2" thickBot="1">
      <c r="B49" s="388" t="s">
        <v>145</v>
      </c>
      <c r="C49" s="388"/>
      <c r="D49" s="513" t="s">
        <v>35</v>
      </c>
      <c r="E49" s="514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01" t="s">
        <v>9</v>
      </c>
      <c r="C50" s="362">
        <v>11.8</v>
      </c>
      <c r="D50" s="504">
        <v>11.73</v>
      </c>
      <c r="E50" s="493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02"/>
      <c r="C51" s="349">
        <v>11.9</v>
      </c>
      <c r="D51" s="505"/>
      <c r="E51" s="488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7" customHeight="1">
      <c r="A52" s="28"/>
      <c r="B52" s="502"/>
      <c r="C52" s="349"/>
      <c r="D52" s="504"/>
      <c r="E52" s="493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7" customHeight="1">
      <c r="A53" s="28"/>
      <c r="B53" s="502"/>
      <c r="C53" s="349"/>
      <c r="D53" s="505"/>
      <c r="E53" s="488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7" customHeight="1">
      <c r="A54" s="28"/>
      <c r="B54" s="502"/>
      <c r="C54" s="349"/>
      <c r="D54" s="504"/>
      <c r="E54" s="493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7" customHeight="1">
      <c r="A55" s="28"/>
      <c r="B55" s="502"/>
      <c r="C55" s="349"/>
      <c r="D55" s="505"/>
      <c r="E55" s="488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7" customHeight="1">
      <c r="A56" s="28"/>
      <c r="B56" s="502"/>
      <c r="C56" s="349"/>
      <c r="D56" s="504"/>
      <c r="E56" s="493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7" customHeight="1">
      <c r="A57" s="28"/>
      <c r="B57" s="502"/>
      <c r="C57" s="349"/>
      <c r="D57" s="505"/>
      <c r="E57" s="488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02"/>
      <c r="C58" s="349"/>
      <c r="D58" s="506"/>
      <c r="E58" s="495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02"/>
      <c r="C59" s="349"/>
      <c r="D59" s="507"/>
      <c r="E59" s="508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02"/>
      <c r="C60" s="349"/>
      <c r="D60" s="506"/>
      <c r="E60" s="495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03"/>
      <c r="C61" s="350"/>
      <c r="D61" s="509"/>
      <c r="E61" s="510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" thickBot="1">
      <c r="B62" s="482"/>
      <c r="C62" s="362"/>
      <c r="D62" s="485"/>
      <c r="E62" s="486"/>
      <c r="F62" s="43"/>
      <c r="G62" s="41"/>
      <c r="H62" s="41"/>
      <c r="I62" s="42"/>
      <c r="J62" s="489" t="s">
        <v>129</v>
      </c>
      <c r="K62" s="489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483"/>
      <c r="C63" s="349"/>
      <c r="D63" s="487"/>
      <c r="E63" s="488"/>
      <c r="F63" s="43"/>
      <c r="G63" s="41"/>
      <c r="H63" s="41"/>
      <c r="I63" s="42"/>
      <c r="J63" s="292" t="s">
        <v>17</v>
      </c>
      <c r="K63" s="293" t="s">
        <v>147</v>
      </c>
      <c r="L63" s="490" t="s">
        <v>136</v>
      </c>
      <c r="M63" s="490"/>
      <c r="N63" s="491"/>
      <c r="O63" s="294"/>
      <c r="P63" s="12"/>
      <c r="S63" s="23"/>
    </row>
    <row r="64" spans="1:27" ht="15" customHeight="1" thickBot="1">
      <c r="B64" s="483"/>
      <c r="C64" s="349"/>
      <c r="D64" s="492"/>
      <c r="E64" s="493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483"/>
      <c r="C65" s="349"/>
      <c r="D65" s="487"/>
      <c r="E65" s="488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483"/>
      <c r="C66" s="349"/>
      <c r="D66" s="492"/>
      <c r="E66" s="493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483"/>
      <c r="C67" s="349"/>
      <c r="D67" s="487"/>
      <c r="E67" s="488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4.4">
      <c r="B68" s="483"/>
      <c r="C68" s="349"/>
      <c r="D68" s="492"/>
      <c r="E68" s="493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4.4">
      <c r="B69" s="483"/>
      <c r="C69" s="349"/>
      <c r="D69" s="487"/>
      <c r="E69" s="488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4.4">
      <c r="B70" s="483"/>
      <c r="C70" s="349"/>
      <c r="D70" s="494"/>
      <c r="E70" s="495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" thickBot="1">
      <c r="B71" s="484"/>
      <c r="C71" s="350"/>
      <c r="D71" s="496"/>
      <c r="E71" s="497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7" customHeight="1" thickBot="1">
      <c r="B72" s="312" t="s">
        <v>139</v>
      </c>
      <c r="C72" s="313"/>
      <c r="D72" s="476">
        <f>AVERAGE(D50:E71)</f>
        <v>11.73</v>
      </c>
      <c r="E72" s="477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7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466" t="s">
        <v>17</v>
      </c>
      <c r="C77" s="466" t="s">
        <v>44</v>
      </c>
      <c r="D77" s="478" t="s">
        <v>45</v>
      </c>
      <c r="E77" s="480" t="s">
        <v>46</v>
      </c>
      <c r="F77" s="474" t="s">
        <v>47</v>
      </c>
      <c r="G77" s="464" t="s">
        <v>48</v>
      </c>
      <c r="H77" s="466" t="s">
        <v>49</v>
      </c>
      <c r="I77" s="468" t="s">
        <v>50</v>
      </c>
      <c r="J77" s="458" t="s">
        <v>28</v>
      </c>
      <c r="K77" s="470" t="s">
        <v>51</v>
      </c>
      <c r="L77" s="472" t="s">
        <v>52</v>
      </c>
      <c r="M77" s="458" t="s">
        <v>53</v>
      </c>
      <c r="N77" s="77"/>
      <c r="O77" s="13"/>
      <c r="P77" s="50"/>
    </row>
    <row r="78" spans="2:58" ht="28.5" customHeight="1" thickTop="1" thickBot="1">
      <c r="B78" s="467"/>
      <c r="C78" s="467"/>
      <c r="D78" s="479"/>
      <c r="E78" s="481"/>
      <c r="F78" s="475"/>
      <c r="G78" s="465"/>
      <c r="H78" s="467"/>
      <c r="I78" s="469"/>
      <c r="J78" s="459"/>
      <c r="K78" s="471"/>
      <c r="L78" s="473"/>
      <c r="M78" s="459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4.4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4.4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4.4" thickBot="1">
      <c r="B87" s="460" t="s">
        <v>55</v>
      </c>
      <c r="C87" s="461"/>
      <c r="D87" s="461"/>
      <c r="E87" s="461"/>
      <c r="F87" s="462"/>
      <c r="G87" s="460" t="s">
        <v>56</v>
      </c>
      <c r="H87" s="461"/>
      <c r="I87" s="461"/>
      <c r="J87" s="462"/>
      <c r="K87" s="460" t="s">
        <v>51</v>
      </c>
      <c r="L87" s="461"/>
      <c r="M87" s="461"/>
      <c r="N87" s="463"/>
      <c r="O87" s="56"/>
      <c r="P87" s="50"/>
    </row>
    <row r="88" spans="2:58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4.4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3036" priority="157" operator="notBetween">
      <formula>#REF!</formula>
      <formula>#REF!</formula>
    </cfRule>
  </conditionalFormatting>
  <conditionalFormatting sqref="C76">
    <cfRule type="cellIs" dxfId="3035" priority="190" stopIfTrue="1" operator="greaterThan">
      <formula>100</formula>
    </cfRule>
    <cfRule type="cellIs" dxfId="3034" priority="189" stopIfTrue="1" operator="lessThan">
      <formula>96</formula>
    </cfRule>
  </conditionalFormatting>
  <conditionalFormatting sqref="C90">
    <cfRule type="cellIs" dxfId="3033" priority="212" stopIfTrue="1" operator="greaterThan">
      <formula>$F89</formula>
    </cfRule>
    <cfRule type="cellIs" dxfId="3032" priority="106" stopIfTrue="1" operator="lessThanOrEqual">
      <formula>0</formula>
    </cfRule>
  </conditionalFormatting>
  <conditionalFormatting sqref="C91:C93">
    <cfRule type="cellIs" dxfId="3031" priority="105" stopIfTrue="1" operator="greaterThan">
      <formula>$F91</formula>
    </cfRule>
  </conditionalFormatting>
  <conditionalFormatting sqref="C91:C94">
    <cfRule type="cellIs" dxfId="3030" priority="129" stopIfTrue="1" operator="lessThanOrEqual">
      <formula>0</formula>
    </cfRule>
  </conditionalFormatting>
  <conditionalFormatting sqref="C94">
    <cfRule type="cellIs" dxfId="3029" priority="128" stopIfTrue="1" operator="greaterThan">
      <formula>$J94</formula>
    </cfRule>
  </conditionalFormatting>
  <conditionalFormatting sqref="C95:C97">
    <cfRule type="cellIs" dxfId="3028" priority="145" stopIfTrue="1" operator="greaterThan">
      <formula>$F95</formula>
    </cfRule>
    <cfRule type="cellIs" dxfId="3027" priority="146" stopIfTrue="1" operator="lessThanOrEqual">
      <formula>0</formula>
    </cfRule>
  </conditionalFormatting>
  <conditionalFormatting sqref="C100:C104">
    <cfRule type="cellIs" dxfId="3026" priority="181" stopIfTrue="1" operator="lessThanOrEqual">
      <formula>0</formula>
    </cfRule>
  </conditionalFormatting>
  <conditionalFormatting sqref="C101:C104">
    <cfRule type="cellIs" dxfId="3025" priority="180" stopIfTrue="1" operator="greaterThan">
      <formula>$F$100</formula>
    </cfRule>
  </conditionalFormatting>
  <conditionalFormatting sqref="C106">
    <cfRule type="cellIs" dxfId="3024" priority="183" stopIfTrue="1" operator="lessThanOrEqual">
      <formula>0</formula>
    </cfRule>
    <cfRule type="cellIs" dxfId="3023" priority="182" stopIfTrue="1" operator="greaterThan">
      <formula>$F$100</formula>
    </cfRule>
  </conditionalFormatting>
  <conditionalFormatting sqref="C100:D100 D102:D108">
    <cfRule type="cellIs" dxfId="3022" priority="175" stopIfTrue="1" operator="greaterThan">
      <formula>4.5</formula>
    </cfRule>
  </conditionalFormatting>
  <conditionalFormatting sqref="D72:D73">
    <cfRule type="cellIs" dxfId="3021" priority="158" operator="notBetween">
      <formula>#REF!</formula>
      <formula>#REF!</formula>
    </cfRule>
  </conditionalFormatting>
  <conditionalFormatting sqref="D89:D96">
    <cfRule type="cellIs" dxfId="3020" priority="144" stopIfTrue="1" operator="lessThanOrEqual">
      <formula>0</formula>
    </cfRule>
  </conditionalFormatting>
  <conditionalFormatting sqref="D97">
    <cfRule type="cellIs" dxfId="3019" priority="143" stopIfTrue="1" operator="lessThanOrEqual">
      <formula>0</formula>
    </cfRule>
  </conditionalFormatting>
  <conditionalFormatting sqref="D100 D102:D108">
    <cfRule type="cellIs" dxfId="3018" priority="176" stopIfTrue="1" operator="lessThanOrEqual">
      <formula>0</formula>
    </cfRule>
  </conditionalFormatting>
  <conditionalFormatting sqref="D101">
    <cfRule type="cellIs" dxfId="3017" priority="167" stopIfTrue="1" operator="greaterThan">
      <formula>$F$100</formula>
    </cfRule>
    <cfRule type="cellIs" dxfId="3016" priority="168" stopIfTrue="1" operator="lessThanOrEqual">
      <formula>0</formula>
    </cfRule>
  </conditionalFormatting>
  <conditionalFormatting sqref="D89:E97">
    <cfRule type="cellIs" dxfId="3015" priority="135" stopIfTrue="1" operator="greaterThan">
      <formula>$F89</formula>
    </cfRule>
  </conditionalFormatting>
  <conditionalFormatting sqref="E10:E14">
    <cfRule type="cellIs" dxfId="3014" priority="52" operator="lessThan">
      <formula>48</formula>
    </cfRule>
  </conditionalFormatting>
  <conditionalFormatting sqref="E33:E46">
    <cfRule type="cellIs" dxfId="3013" priority="25" operator="lessThan">
      <formula>48</formula>
    </cfRule>
  </conditionalFormatting>
  <conditionalFormatting sqref="E76">
    <cfRule type="cellIs" dxfId="3012" priority="169" stopIfTrue="1" operator="lessThan">
      <formula>96.8</formula>
    </cfRule>
    <cfRule type="cellIs" dxfId="3011" priority="170" stopIfTrue="1" operator="greaterThan">
      <formula>100</formula>
    </cfRule>
  </conditionalFormatting>
  <conditionalFormatting sqref="E89:E97">
    <cfRule type="cellIs" dxfId="3010" priority="136" stopIfTrue="1" operator="lessThanOrEqual">
      <formula>0</formula>
    </cfRule>
  </conditionalFormatting>
  <conditionalFormatting sqref="E100:E108">
    <cfRule type="cellIs" dxfId="3009" priority="162" stopIfTrue="1" operator="lessThanOrEqual">
      <formula>0</formula>
    </cfRule>
    <cfRule type="cellIs" dxfId="3008" priority="161" stopIfTrue="1" operator="greaterThan">
      <formula>4.5</formula>
    </cfRule>
  </conditionalFormatting>
  <conditionalFormatting sqref="E75:F76">
    <cfRule type="cellIs" dxfId="3007" priority="171" stopIfTrue="1" operator="lessThan">
      <formula>96.5</formula>
    </cfRule>
    <cfRule type="cellIs" dxfId="3006" priority="172" stopIfTrue="1" operator="greaterThan">
      <formula>100</formula>
    </cfRule>
  </conditionalFormatting>
  <conditionalFormatting sqref="F10:F12">
    <cfRule type="cellIs" dxfId="3005" priority="62" operator="greaterThan">
      <formula>#REF!</formula>
    </cfRule>
  </conditionalFormatting>
  <conditionalFormatting sqref="F10:F47">
    <cfRule type="cellIs" dxfId="3004" priority="15" operator="greaterThan">
      <formula>$AA10</formula>
    </cfRule>
  </conditionalFormatting>
  <conditionalFormatting sqref="F13">
    <cfRule type="cellIs" dxfId="3003" priority="53" operator="greaterThan">
      <formula>$AA47</formula>
    </cfRule>
  </conditionalFormatting>
  <conditionalFormatting sqref="F14">
    <cfRule type="cellIs" dxfId="3002" priority="196" operator="greaterThan">
      <formula>#REF!</formula>
    </cfRule>
  </conditionalFormatting>
  <conditionalFormatting sqref="F33:F46">
    <cfRule type="cellIs" dxfId="3001" priority="26" operator="greaterThan">
      <formula>$AA48</formula>
    </cfRule>
  </conditionalFormatting>
  <conditionalFormatting sqref="F76">
    <cfRule type="cellIs" dxfId="3000" priority="187" stopIfTrue="1" operator="lessThan">
      <formula>96.8</formula>
    </cfRule>
    <cfRule type="cellIs" dxfId="2999" priority="188" stopIfTrue="1" operator="greaterThan">
      <formula>100</formula>
    </cfRule>
  </conditionalFormatting>
  <conditionalFormatting sqref="F97">
    <cfRule type="cellIs" dxfId="2998" priority="137" stopIfTrue="1" operator="greaterThan">
      <formula>$F97</formula>
    </cfRule>
    <cfRule type="cellIs" dxfId="2997" priority="138" stopIfTrue="1" operator="lessThanOrEqual">
      <formula>0</formula>
    </cfRule>
  </conditionalFormatting>
  <conditionalFormatting sqref="G10:G14">
    <cfRule type="expression" dxfId="2996" priority="54">
      <formula>IF(+(IF(G10&lt;#REF!,0,IF(G10&gt;#REF!,0,1)))=0,1)</formula>
    </cfRule>
  </conditionalFormatting>
  <conditionalFormatting sqref="G33:G46">
    <cfRule type="expression" dxfId="2995" priority="27">
      <formula>IF(+(IF(G33&lt;#REF!,0,IF(G33&gt;#REF!,0,1)))=0,1)</formula>
    </cfRule>
  </conditionalFormatting>
  <conditionalFormatting sqref="G90">
    <cfRule type="cellIs" dxfId="2994" priority="71" stopIfTrue="1" operator="lessThanOrEqual">
      <formula>0</formula>
    </cfRule>
    <cfRule type="cellIs" dxfId="2993" priority="70" stopIfTrue="1" operator="greaterThan">
      <formula>$F89</formula>
    </cfRule>
  </conditionalFormatting>
  <conditionalFormatting sqref="G90:G91">
    <cfRule type="cellIs" dxfId="2992" priority="191" stopIfTrue="1" operator="greaterThan">
      <formula>$F89</formula>
    </cfRule>
    <cfRule type="cellIs" dxfId="2991" priority="192" stopIfTrue="1" operator="lessThanOrEqual">
      <formula>0</formula>
    </cfRule>
  </conditionalFormatting>
  <conditionalFormatting sqref="G92">
    <cfRule type="cellIs" dxfId="2990" priority="140" stopIfTrue="1" operator="lessThanOrEqual">
      <formula>0</formula>
    </cfRule>
    <cfRule type="cellIs" dxfId="2989" priority="139" stopIfTrue="1" operator="greaterThan">
      <formula>$F92</formula>
    </cfRule>
  </conditionalFormatting>
  <conditionalFormatting sqref="G93:G96">
    <cfRule type="cellIs" dxfId="2988" priority="149" stopIfTrue="1" operator="lessThanOrEqual">
      <formula>0</formula>
    </cfRule>
    <cfRule type="cellIs" dxfId="2987" priority="148" stopIfTrue="1" operator="greaterThan">
      <formula>$J93</formula>
    </cfRule>
  </conditionalFormatting>
  <conditionalFormatting sqref="G97">
    <cfRule type="cellIs" dxfId="2986" priority="147" operator="greaterThan">
      <formula>4.5</formula>
    </cfRule>
  </conditionalFormatting>
  <conditionalFormatting sqref="G102:G107 C105 C107">
    <cfRule type="cellIs" dxfId="2985" priority="185" stopIfTrue="1" operator="lessThanOrEqual">
      <formula>0</formula>
    </cfRule>
    <cfRule type="cellIs" dxfId="2984" priority="184" stopIfTrue="1" operator="greaterThan">
      <formula>4.5</formula>
    </cfRule>
  </conditionalFormatting>
  <conditionalFormatting sqref="G62:H62 G63:G73 H63:H74">
    <cfRule type="cellIs" dxfId="2983" priority="163" stopIfTrue="1" operator="greaterThan">
      <formula>0</formula>
    </cfRule>
  </conditionalFormatting>
  <conditionalFormatting sqref="G101:H101">
    <cfRule type="cellIs" dxfId="2982" priority="166" stopIfTrue="1" operator="lessThanOrEqual">
      <formula>0</formula>
    </cfRule>
    <cfRule type="cellIs" dxfId="2981" priority="165" stopIfTrue="1" operator="greaterThan">
      <formula>$F$100</formula>
    </cfRule>
  </conditionalFormatting>
  <conditionalFormatting sqref="H10">
    <cfRule type="expression" dxfId="2980" priority="63">
      <formula>IF(+(IF(H10&lt;T27,0,IF(H10&gt;U27,0,1)))=0,1)</formula>
    </cfRule>
  </conditionalFormatting>
  <conditionalFormatting sqref="H10:H12">
    <cfRule type="expression" dxfId="2979" priority="64">
      <formula>IF(+(IF(H10&lt;#REF!,0,IF(H10&gt;#REF!,0,1)))=0,1)</formula>
    </cfRule>
  </conditionalFormatting>
  <conditionalFormatting sqref="H11:H12">
    <cfRule type="expression" dxfId="2978" priority="207">
      <formula>IF(+(IF(H11&lt;T47,0,IF(H11&gt;U47,0,1)))=0,1)</formula>
    </cfRule>
  </conditionalFormatting>
  <conditionalFormatting sqref="H13">
    <cfRule type="expression" dxfId="2977" priority="56">
      <formula>IF(+(IF(H13&lt;T47,0,IF(H13&gt;U47,0,1)))=0,1)</formula>
    </cfRule>
    <cfRule type="expression" dxfId="2976" priority="55">
      <formula>IF(+(IF(H13&lt;T56,0,IF(H13&gt;U56,0,1)))=0,1)</formula>
    </cfRule>
  </conditionalFormatting>
  <conditionalFormatting sqref="H14">
    <cfRule type="expression" dxfId="2975" priority="197">
      <formula>IF(+(IF(H14&lt;T50,0,IF(H14&gt;U50,0,1)))=0,1)</formula>
    </cfRule>
    <cfRule type="expression" dxfId="2974" priority="198">
      <formula>IF(+(IF(H14&lt;#REF!,0,IF(H14&gt;#REF!,0,1)))=0,1)</formula>
    </cfRule>
  </conditionalFormatting>
  <conditionalFormatting sqref="H15:H32">
    <cfRule type="expression" dxfId="2973" priority="209">
      <formula>IF(+(IF(H15&lt;T66,0,IF(H15&gt;U66,0,1)))=0,1)</formula>
    </cfRule>
  </conditionalFormatting>
  <conditionalFormatting sqref="H33:H46">
    <cfRule type="expression" dxfId="2972" priority="29">
      <formula>IF(+(IF(H33&lt;T48,0,IF(H33&gt;U48,0,1)))=0,1)</formula>
    </cfRule>
    <cfRule type="expression" dxfId="2971" priority="28">
      <formula>IF(+(IF(H33&lt;T57,0,IF(H33&gt;U57,0,1)))=0,1)</formula>
    </cfRule>
  </conditionalFormatting>
  <conditionalFormatting sqref="H47">
    <cfRule type="expression" dxfId="2970" priority="193">
      <formula>IF(+(IF(H47&lt;#REF!,0,IF(H47&gt;#REF!,0,1)))=0,1)</formula>
    </cfRule>
  </conditionalFormatting>
  <conditionalFormatting sqref="H51:H61">
    <cfRule type="cellIs" dxfId="2969" priority="159" stopIfTrue="1" operator="greaterThan">
      <formula>0</formula>
    </cfRule>
  </conditionalFormatting>
  <conditionalFormatting sqref="H79">
    <cfRule type="cellIs" dxfId="2968" priority="2" stopIfTrue="1" operator="lessThanOrEqual">
      <formula>0</formula>
    </cfRule>
    <cfRule type="cellIs" dxfId="2967" priority="12" stopIfTrue="1" operator="lessThanOrEqual">
      <formula>0</formula>
    </cfRule>
    <cfRule type="cellIs" dxfId="2966" priority="11" stopIfTrue="1" operator="greaterThan">
      <formula>$F$56</formula>
    </cfRule>
    <cfRule type="cellIs" dxfId="2965" priority="14" stopIfTrue="1" operator="lessThanOrEqual">
      <formula>0</formula>
    </cfRule>
    <cfRule type="cellIs" dxfId="2964" priority="3" stopIfTrue="1" operator="greaterThan">
      <formula>$F$53</formula>
    </cfRule>
    <cfRule type="cellIs" dxfId="2963" priority="13" stopIfTrue="1" operator="greaterThan">
      <formula>$F$54</formula>
    </cfRule>
  </conditionalFormatting>
  <conditionalFormatting sqref="H80">
    <cfRule type="cellIs" dxfId="2962" priority="102" stopIfTrue="1" operator="lessThanOrEqual">
      <formula>0</formula>
    </cfRule>
    <cfRule type="cellIs" dxfId="2961" priority="93" stopIfTrue="1" operator="greaterThan">
      <formula>$F$88</formula>
    </cfRule>
    <cfRule type="cellIs" dxfId="2960" priority="92" stopIfTrue="1" operator="lessThanOrEqual">
      <formula>0</formula>
    </cfRule>
    <cfRule type="cellIs" dxfId="2959" priority="104" stopIfTrue="1" operator="lessThanOrEqual">
      <formula>0</formula>
    </cfRule>
    <cfRule type="cellIs" dxfId="2958" priority="103" stopIfTrue="1" operator="greaterThan">
      <formula>$F$89</formula>
    </cfRule>
    <cfRule type="cellIs" dxfId="2957" priority="101" stopIfTrue="1" operator="greaterThan">
      <formula>$F$91</formula>
    </cfRule>
  </conditionalFormatting>
  <conditionalFormatting sqref="H81">
    <cfRule type="cellIs" dxfId="2956" priority="35" stopIfTrue="1" operator="lessThanOrEqual">
      <formula>0</formula>
    </cfRule>
    <cfRule type="cellIs" dxfId="2955" priority="47" stopIfTrue="1" operator="lessThanOrEqual">
      <formula>0</formula>
    </cfRule>
    <cfRule type="cellIs" dxfId="2954" priority="46" stopIfTrue="1" operator="greaterThan">
      <formula>$F$73</formula>
    </cfRule>
    <cfRule type="cellIs" dxfId="2953" priority="45" stopIfTrue="1" operator="lessThanOrEqual">
      <formula>0</formula>
    </cfRule>
    <cfRule type="cellIs" dxfId="2952" priority="44" stopIfTrue="1" operator="greaterThan">
      <formula>$F$75</formula>
    </cfRule>
    <cfRule type="cellIs" dxfId="2951" priority="36" stopIfTrue="1" operator="greaterThan">
      <formula>$F$72</formula>
    </cfRule>
  </conditionalFormatting>
  <conditionalFormatting sqref="H82">
    <cfRule type="cellIs" dxfId="2950" priority="84" stopIfTrue="1" operator="greaterThan">
      <formula>#REF!</formula>
    </cfRule>
    <cfRule type="cellIs" dxfId="2949" priority="76" stopIfTrue="1" operator="greaterThan">
      <formula>#REF!</formula>
    </cfRule>
    <cfRule type="cellIs" dxfId="2948" priority="75" stopIfTrue="1" operator="lessThanOrEqual">
      <formula>0</formula>
    </cfRule>
  </conditionalFormatting>
  <conditionalFormatting sqref="H82:H84">
    <cfRule type="cellIs" dxfId="2947" priority="85" stopIfTrue="1" operator="lessThanOrEqual">
      <formula>0</formula>
    </cfRule>
  </conditionalFormatting>
  <conditionalFormatting sqref="H83:H84">
    <cfRule type="cellIs" dxfId="2946" priority="124" stopIfTrue="1" operator="greaterThan">
      <formula>$F$90</formula>
    </cfRule>
    <cfRule type="cellIs" dxfId="2945" priority="123" stopIfTrue="1" operator="lessThanOrEqual">
      <formula>0</formula>
    </cfRule>
    <cfRule type="cellIs" dxfId="2944" priority="122" stopIfTrue="1" operator="greaterThan">
      <formula>$F$92</formula>
    </cfRule>
    <cfRule type="cellIs" dxfId="2943" priority="114" stopIfTrue="1" operator="greaterThan">
      <formula>$F$89</formula>
    </cfRule>
    <cfRule type="cellIs" dxfId="2942" priority="125" stopIfTrue="1" operator="lessThanOrEqual">
      <formula>0</formula>
    </cfRule>
  </conditionalFormatting>
  <conditionalFormatting sqref="H85">
    <cfRule type="cellIs" dxfId="2941" priority="155" stopIfTrue="1" operator="greaterThan">
      <formula>$F$82</formula>
    </cfRule>
    <cfRule type="cellIs" dxfId="2940" priority="154" stopIfTrue="1" operator="lessThanOrEqual">
      <formula>0</formula>
    </cfRule>
    <cfRule type="cellIs" dxfId="2939" priority="153" stopIfTrue="1" operator="greaterThan">
      <formula>$F$86</formula>
    </cfRule>
    <cfRule type="cellIs" dxfId="2938" priority="156" stopIfTrue="1" operator="lessThanOrEqual">
      <formula>0</formula>
    </cfRule>
  </conditionalFormatting>
  <conditionalFormatting sqref="H89:H96">
    <cfRule type="cellIs" dxfId="2937" priority="127" stopIfTrue="1" operator="lessThanOrEqual">
      <formula>0</formula>
    </cfRule>
    <cfRule type="cellIs" dxfId="2936" priority="126" stopIfTrue="1" operator="greaterThan">
      <formula>$J89</formula>
    </cfRule>
  </conditionalFormatting>
  <conditionalFormatting sqref="H97">
    <cfRule type="cellIs" dxfId="2935" priority="132" operator="greaterThan">
      <formula>5.3</formula>
    </cfRule>
  </conditionalFormatting>
  <conditionalFormatting sqref="H100 H102:H108">
    <cfRule type="cellIs" dxfId="2934" priority="178" stopIfTrue="1" operator="lessThanOrEqual">
      <formula>0</formula>
    </cfRule>
    <cfRule type="cellIs" dxfId="2933" priority="177" stopIfTrue="1" operator="greaterThan">
      <formula>4.5</formula>
    </cfRule>
  </conditionalFormatting>
  <conditionalFormatting sqref="H79:I79">
    <cfRule type="cellIs" dxfId="2932" priority="4" stopIfTrue="1" operator="lessThanOrEqual">
      <formula>0</formula>
    </cfRule>
    <cfRule type="cellIs" dxfId="2931" priority="1" stopIfTrue="1" operator="greaterThan">
      <formula>$F$55</formula>
    </cfRule>
  </conditionalFormatting>
  <conditionalFormatting sqref="H80:I80">
    <cfRule type="cellIs" dxfId="2930" priority="91" stopIfTrue="1" operator="greaterThan">
      <formula>$F$90</formula>
    </cfRule>
    <cfRule type="cellIs" dxfId="2929" priority="94" stopIfTrue="1" operator="lessThanOrEqual">
      <formula>0</formula>
    </cfRule>
  </conditionalFormatting>
  <conditionalFormatting sqref="H81:I81">
    <cfRule type="cellIs" dxfId="2928" priority="37" stopIfTrue="1" operator="lessThanOrEqual">
      <formula>0</formula>
    </cfRule>
    <cfRule type="cellIs" dxfId="2927" priority="34" stopIfTrue="1" operator="greaterThan">
      <formula>$F$74</formula>
    </cfRule>
  </conditionalFormatting>
  <conditionalFormatting sqref="H82:I82">
    <cfRule type="cellIs" dxfId="2926" priority="74" stopIfTrue="1" operator="greaterThan">
      <formula>#REF!</formula>
    </cfRule>
    <cfRule type="cellIs" dxfId="2925" priority="77" stopIfTrue="1" operator="lessThanOrEqual">
      <formula>0</formula>
    </cfRule>
    <cfRule type="cellIs" dxfId="2924" priority="83" stopIfTrue="1" operator="lessThanOrEqual">
      <formula>0</formula>
    </cfRule>
    <cfRule type="cellIs" dxfId="2923" priority="82" stopIfTrue="1" operator="greaterThan">
      <formula>#REF!</formula>
    </cfRule>
  </conditionalFormatting>
  <conditionalFormatting sqref="H83:I83">
    <cfRule type="cellIs" dxfId="2922" priority="115" stopIfTrue="1" operator="lessThanOrEqual">
      <formula>0</formula>
    </cfRule>
  </conditionalFormatting>
  <conditionalFormatting sqref="H83:I84">
    <cfRule type="cellIs" dxfId="2921" priority="72" stopIfTrue="1" operator="greaterThan">
      <formula>$F$91</formula>
    </cfRule>
  </conditionalFormatting>
  <conditionalFormatting sqref="H84:I84">
    <cfRule type="cellIs" dxfId="2920" priority="73" stopIfTrue="1" operator="lessThanOrEqual">
      <formula>0</formula>
    </cfRule>
  </conditionalFormatting>
  <conditionalFormatting sqref="I10:I14">
    <cfRule type="cellIs" dxfId="2919" priority="49" operator="lessThan">
      <formula>97.8</formula>
    </cfRule>
  </conditionalFormatting>
  <conditionalFormatting sqref="I10:I47">
    <cfRule type="cellIs" dxfId="2918" priority="21" operator="lessThan">
      <formula>98</formula>
    </cfRule>
  </conditionalFormatting>
  <conditionalFormatting sqref="I33:I46">
    <cfRule type="cellIs" dxfId="2917" priority="22" operator="lessThan">
      <formula>97.8</formula>
    </cfRule>
  </conditionalFormatting>
  <conditionalFormatting sqref="I79">
    <cfRule type="cellIs" dxfId="2916" priority="10" stopIfTrue="1" operator="lessThanOrEqual">
      <formula>0</formula>
    </cfRule>
    <cfRule type="cellIs" dxfId="2915" priority="8" stopIfTrue="1" operator="lessThanOrEqual">
      <formula>0</formula>
    </cfRule>
    <cfRule type="cellIs" dxfId="2914" priority="7" stopIfTrue="1" operator="greaterThan">
      <formula>$F$55</formula>
    </cfRule>
    <cfRule type="cellIs" dxfId="2913" priority="6" stopIfTrue="1" operator="lessThanOrEqual">
      <formula>0</formula>
    </cfRule>
    <cfRule type="cellIs" dxfId="2912" priority="5" stopIfTrue="1" operator="greaterThan">
      <formula>$F$53</formula>
    </cfRule>
    <cfRule type="cellIs" dxfId="2911" priority="9" stopIfTrue="1" operator="greaterThan">
      <formula>$F$53</formula>
    </cfRule>
  </conditionalFormatting>
  <conditionalFormatting sqref="I80">
    <cfRule type="cellIs" dxfId="2910" priority="98" stopIfTrue="1" operator="lessThanOrEqual">
      <formula>0</formula>
    </cfRule>
    <cfRule type="cellIs" dxfId="2909" priority="97" stopIfTrue="1" operator="greaterThan">
      <formula>$F$90</formula>
    </cfRule>
    <cfRule type="cellIs" dxfId="2908" priority="100" stopIfTrue="1" operator="lessThanOrEqual">
      <formula>0</formula>
    </cfRule>
    <cfRule type="cellIs" dxfId="2907" priority="99" stopIfTrue="1" operator="greaterThan">
      <formula>$F$88</formula>
    </cfRule>
    <cfRule type="cellIs" dxfId="2906" priority="95" stopIfTrue="1" operator="greaterThan">
      <formula>$F$88</formula>
    </cfRule>
    <cfRule type="cellIs" dxfId="2905" priority="96" stopIfTrue="1" operator="lessThanOrEqual">
      <formula>0</formula>
    </cfRule>
  </conditionalFormatting>
  <conditionalFormatting sqref="I81">
    <cfRule type="cellIs" dxfId="2904" priority="42" stopIfTrue="1" operator="greaterThan">
      <formula>$F$72</formula>
    </cfRule>
    <cfRule type="cellIs" dxfId="2903" priority="41" stopIfTrue="1" operator="lessThanOrEqual">
      <formula>0</formula>
    </cfRule>
    <cfRule type="cellIs" dxfId="2902" priority="40" stopIfTrue="1" operator="greaterThan">
      <formula>$F$74</formula>
    </cfRule>
    <cfRule type="cellIs" dxfId="2901" priority="39" stopIfTrue="1" operator="lessThanOrEqual">
      <formula>0</formula>
    </cfRule>
    <cfRule type="cellIs" dxfId="2900" priority="38" stopIfTrue="1" operator="greaterThan">
      <formula>$F$72</formula>
    </cfRule>
    <cfRule type="cellIs" dxfId="2899" priority="43" stopIfTrue="1" operator="lessThanOrEqual">
      <formula>0</formula>
    </cfRule>
  </conditionalFormatting>
  <conditionalFormatting sqref="I82">
    <cfRule type="cellIs" dxfId="2898" priority="78" stopIfTrue="1" operator="greaterThan">
      <formula>#REF!</formula>
    </cfRule>
    <cfRule type="cellIs" dxfId="2897" priority="81" stopIfTrue="1" operator="lessThanOrEqual">
      <formula>0</formula>
    </cfRule>
    <cfRule type="cellIs" dxfId="2896" priority="80" stopIfTrue="1" operator="greaterThan">
      <formula>#REF!</formula>
    </cfRule>
    <cfRule type="cellIs" dxfId="2895" priority="79" stopIfTrue="1" operator="lessThanOrEqual">
      <formula>0</formula>
    </cfRule>
  </conditionalFormatting>
  <conditionalFormatting sqref="I83:I84">
    <cfRule type="cellIs" dxfId="2894" priority="116" stopIfTrue="1" operator="greaterThan">
      <formula>$F$89</formula>
    </cfRule>
    <cfRule type="cellIs" dxfId="2893" priority="118" stopIfTrue="1" operator="greaterThan">
      <formula>$F$91</formula>
    </cfRule>
    <cfRule type="cellIs" dxfId="2892" priority="119" stopIfTrue="1" operator="lessThanOrEqual">
      <formula>0</formula>
    </cfRule>
    <cfRule type="cellIs" dxfId="2891" priority="120" stopIfTrue="1" operator="greaterThan">
      <formula>$F$89</formula>
    </cfRule>
    <cfRule type="cellIs" dxfId="2890" priority="121" stopIfTrue="1" operator="lessThanOrEqual">
      <formula>0</formula>
    </cfRule>
    <cfRule type="cellIs" dxfId="2889" priority="117" stopIfTrue="1" operator="lessThanOrEqual">
      <formula>0</formula>
    </cfRule>
  </conditionalFormatting>
  <conditionalFormatting sqref="I89:I97">
    <cfRule type="cellIs" dxfId="2888" priority="133" stopIfTrue="1" operator="greaterThan">
      <formula>$J89</formula>
    </cfRule>
    <cfRule type="cellIs" dxfId="2887" priority="134" stopIfTrue="1" operator="lessThanOrEqual">
      <formula>0</formula>
    </cfRule>
  </conditionalFormatting>
  <conditionalFormatting sqref="I100:I108">
    <cfRule type="cellIs" dxfId="2886" priority="174" stopIfTrue="1" operator="lessThanOrEqual">
      <formula>0</formula>
    </cfRule>
    <cfRule type="cellIs" dxfId="2885" priority="173" stopIfTrue="1" operator="greaterThan">
      <formula>4.5</formula>
    </cfRule>
  </conditionalFormatting>
  <conditionalFormatting sqref="J10:J14">
    <cfRule type="cellIs" dxfId="2884" priority="51" operator="notBetween">
      <formula>98</formula>
      <formula>99.9</formula>
    </cfRule>
  </conditionalFormatting>
  <conditionalFormatting sqref="J10:J47">
    <cfRule type="cellIs" dxfId="2883" priority="20" operator="lessThan">
      <formula>97.4</formula>
    </cfRule>
  </conditionalFormatting>
  <conditionalFormatting sqref="J33:J46">
    <cfRule type="cellIs" dxfId="2882" priority="24" operator="notBetween">
      <formula>98</formula>
      <formula>99.9</formula>
    </cfRule>
  </conditionalFormatting>
  <conditionalFormatting sqref="J50:J52">
    <cfRule type="cellIs" dxfId="2881" priority="107" stopIfTrue="1" operator="lessThan">
      <formula>96.8</formula>
    </cfRule>
    <cfRule type="cellIs" dxfId="2880" priority="108" stopIfTrue="1" operator="greaterThan">
      <formula>100</formula>
    </cfRule>
    <cfRule type="cellIs" dxfId="2879" priority="109" operator="lessThan">
      <formula>98</formula>
    </cfRule>
  </conditionalFormatting>
  <conditionalFormatting sqref="J50:J54">
    <cfRule type="cellIs" dxfId="2878" priority="48" operator="lessThan">
      <formula>97.4</formula>
    </cfRule>
  </conditionalFormatting>
  <conditionalFormatting sqref="J55 L59:M59 L61:M61">
    <cfRule type="cellIs" dxfId="2877" priority="110" operator="lessThan">
      <formula>98</formula>
    </cfRule>
  </conditionalFormatting>
  <conditionalFormatting sqref="J56:J57">
    <cfRule type="cellIs" dxfId="2876" priority="111" stopIfTrue="1" operator="lessThan">
      <formula>96.8</formula>
    </cfRule>
    <cfRule type="cellIs" dxfId="2875" priority="112" stopIfTrue="1" operator="greaterThan">
      <formula>100</formula>
    </cfRule>
  </conditionalFormatting>
  <conditionalFormatting sqref="J56:J58">
    <cfRule type="cellIs" dxfId="2874" priority="113" operator="lessThan">
      <formula>98</formula>
    </cfRule>
  </conditionalFormatting>
  <conditionalFormatting sqref="K10:K14">
    <cfRule type="cellIs" dxfId="2873" priority="50" operator="greaterThan">
      <formula>6.4</formula>
    </cfRule>
  </conditionalFormatting>
  <conditionalFormatting sqref="K10:K47">
    <cfRule type="cellIs" dxfId="2872" priority="16" operator="greaterThan">
      <formula>6</formula>
    </cfRule>
    <cfRule type="cellIs" dxfId="2871" priority="17" operator="lessThan">
      <formula>4</formula>
    </cfRule>
  </conditionalFormatting>
  <conditionalFormatting sqref="K33:K46">
    <cfRule type="cellIs" dxfId="2870" priority="23" operator="greaterThan">
      <formula>6.4</formula>
    </cfRule>
  </conditionalFormatting>
  <conditionalFormatting sqref="K64:K73">
    <cfRule type="cellIs" dxfId="2869" priority="141" operator="notEqual">
      <formula>#REF!</formula>
    </cfRule>
  </conditionalFormatting>
  <conditionalFormatting sqref="K79:K84 J85:K85 L89:N89 K90:N97">
    <cfRule type="cellIs" dxfId="2868" priority="152" stopIfTrue="1" operator="lessThan">
      <formula>100%</formula>
    </cfRule>
  </conditionalFormatting>
  <conditionalFormatting sqref="K100:K105">
    <cfRule type="cellIs" dxfId="2867" priority="179" stopIfTrue="1" operator="lessThan">
      <formula>100%</formula>
    </cfRule>
  </conditionalFormatting>
  <conditionalFormatting sqref="K107:K108">
    <cfRule type="cellIs" dxfId="2866" priority="186" stopIfTrue="1" operator="lessThan">
      <formula>100%</formula>
    </cfRule>
  </conditionalFormatting>
  <conditionalFormatting sqref="L10:L47">
    <cfRule type="cellIs" dxfId="2865" priority="18" operator="between">
      <formula>61</formula>
      <formula>65</formula>
    </cfRule>
    <cfRule type="cellIs" dxfId="2864" priority="19" operator="greaterThan">
      <formula>65</formula>
    </cfRule>
  </conditionalFormatting>
  <conditionalFormatting sqref="L52:L58">
    <cfRule type="cellIs" dxfId="2863" priority="88" operator="lessThan">
      <formula>98</formula>
    </cfRule>
  </conditionalFormatting>
  <conditionalFormatting sqref="L65:N65">
    <cfRule type="cellIs" dxfId="2862" priority="87" operator="notEqual">
      <formula>#REF!</formula>
    </cfRule>
  </conditionalFormatting>
  <conditionalFormatting sqref="L100:N108">
    <cfRule type="cellIs" dxfId="2861" priority="164" stopIfTrue="1" operator="lessThan">
      <formula>100%</formula>
    </cfRule>
  </conditionalFormatting>
  <conditionalFormatting sqref="M10:M11">
    <cfRule type="expression" dxfId="2860" priority="65">
      <formula>IF(+(IF(M10&lt;V23,0,IF(M10&gt;W23,0,1)))=0,1)</formula>
    </cfRule>
  </conditionalFormatting>
  <conditionalFormatting sqref="M13">
    <cfRule type="expression" dxfId="2859" priority="57">
      <formula>IF(+(IF(M13&lt;V52,0,IF(M13&gt;W52,0,1)))=0,1)</formula>
    </cfRule>
    <cfRule type="expression" dxfId="2858" priority="58">
      <formula>IF(+(IF(M13&lt;V47,0,IF(M13&gt;W47,0,1)))=0,1)</formula>
    </cfRule>
  </conditionalFormatting>
  <conditionalFormatting sqref="M14">
    <cfRule type="expression" dxfId="2857" priority="199">
      <formula>IF(+(IF(M14&lt;V27,0,IF(M14&gt;W27,0,1)))=0,1)</formula>
    </cfRule>
  </conditionalFormatting>
  <conditionalFormatting sqref="M15:M32">
    <cfRule type="expression" dxfId="2856" priority="210">
      <formula>IF(+(IF(M15&lt;V62,0,IF(M15&gt;W62,0,1)))=0,1)</formula>
    </cfRule>
  </conditionalFormatting>
  <conditionalFormatting sqref="M33:M46">
    <cfRule type="expression" dxfId="2855" priority="31">
      <formula>IF(+(IF(M33&lt;V48,0,IF(M33&gt;W48,0,1)))=0,1)</formula>
    </cfRule>
    <cfRule type="expression" dxfId="2854" priority="30">
      <formula>IF(+(IF(M33&lt;V53,0,IF(M33&gt;W53,0,1)))=0,1)</formula>
    </cfRule>
  </conditionalFormatting>
  <conditionalFormatting sqref="M50:M58">
    <cfRule type="cellIs" dxfId="2853" priority="86" operator="lessThan">
      <formula>98</formula>
    </cfRule>
  </conditionalFormatting>
  <conditionalFormatting sqref="M6:N6">
    <cfRule type="cellIs" dxfId="2852" priority="89" operator="greaterThanOrEqual">
      <formula>15</formula>
    </cfRule>
    <cfRule type="cellIs" dxfId="2851" priority="90" operator="greaterThanOrEqual">
      <formula>19</formula>
    </cfRule>
  </conditionalFormatting>
  <conditionalFormatting sqref="M10:N12">
    <cfRule type="expression" dxfId="2850" priority="66">
      <formula>IF(+(IF(M10&lt;#REF!,0,IF(M10&gt;#REF!,0,1)))=0,1)</formula>
    </cfRule>
  </conditionalFormatting>
  <conditionalFormatting sqref="M14:N14">
    <cfRule type="expression" dxfId="2849" priority="200">
      <formula>IF(+(IF(M14&lt;#REF!,0,IF(M14&gt;#REF!,0,1)))=0,1)</formula>
    </cfRule>
  </conditionalFormatting>
  <conditionalFormatting sqref="M47:N47">
    <cfRule type="expression" dxfId="2848" priority="194">
      <formula>IF(+(IF(M47&lt;#REF!,0,IF(M47&gt;#REF!,0,1)))=0,1)</formula>
    </cfRule>
  </conditionalFormatting>
  <conditionalFormatting sqref="N10:N11">
    <cfRule type="expression" dxfId="2847" priority="67">
      <formula>IF(+(IF(N10&lt;X23,0,IF(N10&gt;Y23,0,1)))=0,1)</formula>
    </cfRule>
  </conditionalFormatting>
  <conditionalFormatting sqref="N13">
    <cfRule type="expression" dxfId="2846" priority="60">
      <formula>IF(+(IF(N13&lt;X47,0,IF(N13&gt;Y47,0,1)))=0,1)</formula>
    </cfRule>
    <cfRule type="expression" dxfId="2845" priority="59">
      <formula>IF(+(IF(N13&lt;X52,0,IF(N13&gt;Y52,0,1)))=0,1)</formula>
    </cfRule>
  </conditionalFormatting>
  <conditionalFormatting sqref="N14">
    <cfRule type="expression" dxfId="2844" priority="203">
      <formula>IF(+(IF(N14&lt;X27,0,IF(N14&gt;Y27,0,1)))=0,1)</formula>
    </cfRule>
  </conditionalFormatting>
  <conditionalFormatting sqref="N15:N32">
    <cfRule type="expression" dxfId="2843" priority="211">
      <formula>IF(+(IF(N15&lt;X62,0,IF(N15&gt;Y62,0,1)))=0,1)</formula>
    </cfRule>
  </conditionalFormatting>
  <conditionalFormatting sqref="N33:N46">
    <cfRule type="expression" dxfId="2842" priority="32">
      <formula>IF(+(IF(N33&lt;X53,0,IF(N33&gt;Y53,0,1)))=0,1)</formula>
    </cfRule>
    <cfRule type="expression" dxfId="2841" priority="33">
      <formula>IF(+(IF(N33&lt;X48,0,IF(N33&gt;Y48,0,1)))=0,1)</formula>
    </cfRule>
  </conditionalFormatting>
  <conditionalFormatting sqref="P6">
    <cfRule type="cellIs" dxfId="2840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971E-7AE8-4CBF-9DB5-100766A8DCB4}">
  <sheetPr>
    <pageSetUpPr fitToPage="1"/>
  </sheetPr>
  <dimension ref="A1:BF83"/>
  <sheetViews>
    <sheetView topLeftCell="A37" zoomScale="80" zoomScaleNormal="80" workbookViewId="0">
      <selection activeCell="L40" sqref="L40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11" t="s">
        <v>0</v>
      </c>
      <c r="U1" s="511"/>
      <c r="V1" s="511" t="s">
        <v>1</v>
      </c>
      <c r="W1" s="511"/>
      <c r="X1" s="511" t="s">
        <v>2</v>
      </c>
      <c r="Y1" s="511"/>
      <c r="Z1" s="511" t="s">
        <v>124</v>
      </c>
      <c r="AA1" s="511"/>
    </row>
    <row r="2" spans="2:30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21">
        <v>45749</v>
      </c>
      <c r="J4" s="399" t="s">
        <v>166</v>
      </c>
      <c r="K4" s="399"/>
      <c r="L4" s="11"/>
      <c r="M4" s="533" t="s">
        <v>8</v>
      </c>
      <c r="N4" s="534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0" t="s">
        <v>165</v>
      </c>
      <c r="K6" s="401"/>
      <c r="L6" s="311" t="s">
        <v>14</v>
      </c>
      <c r="M6" s="340">
        <v>12</v>
      </c>
      <c r="N6" s="340">
        <v>10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2"/>
      <c r="K7" s="403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159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80" t="s">
        <v>155</v>
      </c>
      <c r="P8" s="472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20"/>
      <c r="P9" s="529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371"/>
      <c r="P10" s="419"/>
      <c r="Q10" s="347"/>
      <c r="S10" s="277">
        <f t="shared" ref="S10:S24" si="0">B10</f>
        <v>0</v>
      </c>
      <c r="T10" s="296" t="e">
        <f t="shared" ref="T10:T24" si="1">VLOOKUP($B10,$S$3:$Y$9,2,FALSE)</f>
        <v>#N/A</v>
      </c>
      <c r="U10" s="296" t="e">
        <f t="shared" ref="U10:U24" si="2">VLOOKUP($B10,$S$3:$Y$9,3,FALSE)</f>
        <v>#N/A</v>
      </c>
      <c r="V10" s="297" t="e">
        <f t="shared" ref="V10:V24" si="3">VLOOKUP($B10,$S$3:$Y$9,4,FALSE)</f>
        <v>#N/A</v>
      </c>
      <c r="W10" s="297" t="e">
        <f t="shared" ref="W10:W24" si="4">VLOOKUP($B10,$S$3:$Y$9,5,FALSE)</f>
        <v>#N/A</v>
      </c>
      <c r="X10" s="297" t="e">
        <f t="shared" ref="X10:X24" si="5">VLOOKUP($B10,$S$3:$Y$9,6,FALSE)</f>
        <v>#N/A</v>
      </c>
      <c r="Y10" s="297" t="e">
        <f t="shared" ref="Y10:Y24" si="6">VLOOKUP($B10,$S$3:$Y$9,7,FALSE)</f>
        <v>#N/A</v>
      </c>
      <c r="Z10" s="297" t="e">
        <f t="shared" ref="Z10:Z24" si="7">VLOOKUP($B10,$S$3:$AA$9,8,FALSE)</f>
        <v>#N/A</v>
      </c>
      <c r="AA10" s="296" t="e">
        <f t="shared" ref="AA10:AA24" si="8">VLOOKUP($B10,$S$3:$AA$9,9,FALSE)</f>
        <v>#N/A</v>
      </c>
    </row>
    <row r="11" spans="2:30" ht="15.75" hidden="1" customHeight="1">
      <c r="B11" s="34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371"/>
      <c r="P11" s="41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.75" hidden="1" customHeight="1">
      <c r="B12" s="34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41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4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19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19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customHeight="1">
      <c r="B15" s="34" t="s">
        <v>12</v>
      </c>
      <c r="C15" s="366" t="str">
        <f>[22]Brewhouse!$A37</f>
        <v>GU031</v>
      </c>
      <c r="D15" s="279">
        <f>[22]Brewhouse!$AF37</f>
        <v>58.6</v>
      </c>
      <c r="E15" s="279">
        <f>[22]Brewhouse!$AI37</f>
        <v>53.6</v>
      </c>
      <c r="F15" s="278">
        <f>[22]Brewhouse!$V37</f>
        <v>63</v>
      </c>
      <c r="G15" s="279">
        <f>[22]Brewhouse!$AG37</f>
        <v>17</v>
      </c>
      <c r="H15" s="396">
        <v>17.100000000000001</v>
      </c>
      <c r="I15" s="368">
        <f>[22]Brewhouse!$AU37</f>
        <v>96.214667872117261</v>
      </c>
      <c r="J15" s="368">
        <f>[22]Brewhouse!$AV37</f>
        <v>97.322929171668648</v>
      </c>
      <c r="K15" s="281">
        <f>[22]Brewhouse!$R37</f>
        <v>2.9015544041450774</v>
      </c>
      <c r="L15" s="276">
        <f>[22]Brewhouse!$O37</f>
        <v>60</v>
      </c>
      <c r="M15" s="397">
        <f>[22]Brewhouse!$U37-[22]Brewhouse!$T37</f>
        <v>0.12361111111111112</v>
      </c>
      <c r="N15" s="370">
        <f>[22]Brewhouse!$Z37</f>
        <v>0.29861111111111116</v>
      </c>
      <c r="O15" s="371" t="str">
        <f>[22]Brewhouse!$AW37</f>
        <v>R. Regis</v>
      </c>
      <c r="P15" s="419"/>
      <c r="Q15" s="347"/>
      <c r="S15" s="277" t="str">
        <f t="shared" si="0"/>
        <v>GUINNESS</v>
      </c>
      <c r="T15" s="296">
        <f t="shared" si="1"/>
        <v>17</v>
      </c>
      <c r="U15" s="296">
        <f t="shared" si="2"/>
        <v>17.5</v>
      </c>
      <c r="V15" s="297">
        <f t="shared" si="3"/>
        <v>0</v>
      </c>
      <c r="W15" s="297">
        <f t="shared" si="4"/>
        <v>0.1076388888888889</v>
      </c>
      <c r="X15" s="297">
        <f t="shared" si="5"/>
        <v>0.24652777777777779</v>
      </c>
      <c r="Y15" s="297">
        <f t="shared" si="6"/>
        <v>0.28472222222222221</v>
      </c>
      <c r="Z15" s="297">
        <f t="shared" si="7"/>
        <v>0</v>
      </c>
      <c r="AA15" s="296">
        <f t="shared" si="8"/>
        <v>60</v>
      </c>
    </row>
    <row r="16" spans="2:30" ht="15.75" customHeight="1">
      <c r="B16" s="34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9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1:27" ht="15.75" customHeight="1">
      <c r="B17" s="34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9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9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9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00" t="s">
        <v>34</v>
      </c>
      <c r="J23" s="500"/>
      <c r="K23" s="500"/>
      <c r="L23" s="500"/>
      <c r="M23" s="500"/>
      <c r="N23" s="500"/>
      <c r="O23" s="1"/>
      <c r="P23" s="12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" thickBot="1">
      <c r="B24" s="388" t="s">
        <v>145</v>
      </c>
      <c r="C24" s="388"/>
      <c r="D24" s="513" t="s">
        <v>35</v>
      </c>
      <c r="E24" s="514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0"/>
        <v>BRAND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customHeight="1">
      <c r="A25" s="28"/>
      <c r="B25" s="539" t="str">
        <f>I25</f>
        <v>CARIB</v>
      </c>
      <c r="C25" s="362">
        <f>[23]Process!D291</f>
        <v>11.83</v>
      </c>
      <c r="D25" s="504">
        <v>11.67</v>
      </c>
      <c r="E25" s="493"/>
      <c r="F25" s="294"/>
      <c r="G25" s="294"/>
      <c r="H25" s="348"/>
      <c r="I25" s="29" t="s">
        <v>6</v>
      </c>
      <c r="J25" s="280"/>
      <c r="K25" s="284"/>
      <c r="L25" s="302"/>
      <c r="M25" s="302">
        <f>AVERAGE([23]Brewhouse!$AU$102:$AU$171,[23]Brewhouse!$AU$173:$AU$253,[23]Brewhouse!$AU$255:$AU$339)</f>
        <v>96.788243515624899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40"/>
      <c r="C26" s="349">
        <f>[23]Process!D292</f>
        <v>11.8</v>
      </c>
      <c r="D26" s="505"/>
      <c r="E26" s="488"/>
      <c r="F26" s="294"/>
      <c r="G26" s="294"/>
      <c r="H26" s="348"/>
      <c r="I26" s="33" t="s">
        <v>9</v>
      </c>
      <c r="J26" s="280"/>
      <c r="K26" s="284"/>
      <c r="L26" s="302"/>
      <c r="M26" s="302">
        <f>AVERAGE([24]Brewhouse!$AS$15:$AS$64,[24]Brewhouse!$AS$66:$AS$103,[24]Brewhouse!$AS$105:$AS$140)</f>
        <v>96.705559909313564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40"/>
      <c r="C27" s="349">
        <f>[23]Process!D293</f>
        <v>11.8</v>
      </c>
      <c r="D27" s="504">
        <v>11.78</v>
      </c>
      <c r="E27" s="493"/>
      <c r="F27" s="294"/>
      <c r="G27" s="294"/>
      <c r="H27" s="348"/>
      <c r="I27" s="34" t="s">
        <v>12</v>
      </c>
      <c r="J27" s="280">
        <f>AVERAGE(I15)</f>
        <v>96.214667872117261</v>
      </c>
      <c r="K27" s="284">
        <f>COUNTA([22]Brewhouse!$A$37)</f>
        <v>1</v>
      </c>
      <c r="L27" s="302">
        <f>AVERAGE([22]Brewhouse!$AU$37)</f>
        <v>96.214667872117261</v>
      </c>
      <c r="M27" s="302">
        <f>AVERAGE([22]Brewhouse!$AU$4:$AU$7,[22]Brewhouse!$AU$9:$AU$22,[22]Brewhouse!$AU$24:$AU$35,[22]Brewhouse!$AU$37)</f>
        <v>96.767265202814471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40"/>
      <c r="C28" s="349">
        <f>[23]Process!D294</f>
        <v>12</v>
      </c>
      <c r="D28" s="505"/>
      <c r="E28" s="488"/>
      <c r="F28" s="294"/>
      <c r="G28" s="294"/>
      <c r="H28" s="348"/>
      <c r="I28" s="22" t="s">
        <v>33</v>
      </c>
      <c r="J28" s="280"/>
      <c r="K28" s="284"/>
      <c r="L28" s="302"/>
      <c r="M28" s="302">
        <f>AVERAGE([25]Brewhouse!$AV$5:$AV$14,[25]Brewhouse!$AV$16:$AV$19,[25]Brewhouse!$AV$21:$AV$24)</f>
        <v>98.616016873478046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40"/>
      <c r="C29" s="349"/>
      <c r="D29" s="504"/>
      <c r="E29" s="493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40"/>
      <c r="C30" s="349"/>
      <c r="D30" s="505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AVERAGE([26]Brewhouse!$AT$4:$AT$11)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40"/>
      <c r="C31" s="349"/>
      <c r="D31" s="504"/>
      <c r="E31" s="493"/>
      <c r="F31" s="294"/>
      <c r="G31" s="294"/>
      <c r="H31" s="348"/>
      <c r="I31" s="37" t="s">
        <v>16</v>
      </c>
      <c r="J31" s="323"/>
      <c r="K31" s="284"/>
      <c r="L31" s="302"/>
      <c r="M31" s="302">
        <f>AVERAGE([27]Brewhouse!$AY$6:$AY$13,[27]Brewhouse!$AY$15:$AY$20,[27]Brewhouse!$AY$22:$AY$29)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40"/>
      <c r="C32" s="349"/>
      <c r="D32" s="505"/>
      <c r="E32" s="488"/>
      <c r="F32" s="294"/>
      <c r="G32" s="294"/>
      <c r="H32" s="348"/>
      <c r="I32" s="412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40"/>
      <c r="C33" s="349"/>
      <c r="D33" s="504"/>
      <c r="E33" s="493"/>
      <c r="F33" s="294"/>
      <c r="G33" s="294"/>
      <c r="H33" s="348"/>
      <c r="I33" s="411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40"/>
      <c r="C34" s="349"/>
      <c r="D34" s="505"/>
      <c r="E34" s="488"/>
      <c r="F34" s="294"/>
      <c r="G34" s="294"/>
      <c r="H34" s="348"/>
      <c r="I34" s="407" t="s">
        <v>156</v>
      </c>
      <c r="J34" s="327"/>
      <c r="K34" s="408"/>
      <c r="L34" s="409"/>
      <c r="M34" s="409"/>
      <c r="N34" s="410">
        <v>98</v>
      </c>
      <c r="O34" s="11"/>
      <c r="P34" s="31"/>
      <c r="S34" s="23"/>
    </row>
    <row r="35" spans="1:57" ht="15" customHeight="1" thickBot="1">
      <c r="A35" s="28"/>
      <c r="B35" s="540"/>
      <c r="C35" s="349"/>
      <c r="D35" s="504"/>
      <c r="E35" s="493"/>
      <c r="F35" s="294"/>
      <c r="G35" s="294"/>
      <c r="H35" s="348"/>
      <c r="I35" s="1"/>
      <c r="J35" s="39"/>
      <c r="K35" s="405">
        <f>SUM(K25:K34)</f>
        <v>1</v>
      </c>
      <c r="L35" s="406">
        <f>((L25*K25)+(L26*K26)+(L27*K27)+(L28*K28)+(L29*K29)+(K32*L32)+(L30*K30)+(L31*K31)+(L34*K34))/(K35)</f>
        <v>96.214667872117261</v>
      </c>
      <c r="M35" s="406">
        <f>AVERAGE('[29]Jan 31st'!$L$65,'[30]Feb 28th'!$L$35,L35)</f>
        <v>95.885881433172088</v>
      </c>
      <c r="N35" s="40">
        <v>98</v>
      </c>
      <c r="O35" s="11"/>
      <c r="P35" s="31"/>
      <c r="S35" s="23"/>
    </row>
    <row r="36" spans="1:57" ht="15" thickBot="1">
      <c r="B36" s="540"/>
      <c r="C36" s="350"/>
      <c r="D36" s="505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35" t="str">
        <f>I26</f>
        <v>STAG</v>
      </c>
      <c r="C37" s="362">
        <f>[24]Process!D121</f>
        <v>11.8</v>
      </c>
      <c r="D37" s="485">
        <v>11.71</v>
      </c>
      <c r="E37" s="486"/>
      <c r="F37" s="43"/>
      <c r="G37" s="41"/>
      <c r="H37" s="41"/>
      <c r="I37" s="42"/>
      <c r="J37" s="538" t="s">
        <v>129</v>
      </c>
      <c r="K37" s="53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536"/>
      <c r="C38" s="349">
        <f>[24]Process!D122</f>
        <v>11.7</v>
      </c>
      <c r="D38" s="487"/>
      <c r="E38" s="488"/>
      <c r="F38" s="43"/>
      <c r="G38" s="41"/>
      <c r="H38" s="41"/>
      <c r="I38" s="42"/>
      <c r="J38" s="292" t="s">
        <v>17</v>
      </c>
      <c r="K38" s="293" t="s">
        <v>147</v>
      </c>
      <c r="L38" s="490" t="s">
        <v>136</v>
      </c>
      <c r="M38" s="490"/>
      <c r="N38" s="491"/>
      <c r="O38" s="294"/>
      <c r="P38" s="12"/>
      <c r="S38" s="23"/>
    </row>
    <row r="39" spans="1:57" ht="15" customHeight="1" thickBot="1">
      <c r="B39" s="536"/>
      <c r="C39" s="349">
        <f>[24]Process!D123</f>
        <v>11.9</v>
      </c>
      <c r="D39" s="492">
        <v>11.79</v>
      </c>
      <c r="E39" s="493"/>
      <c r="F39" s="43"/>
      <c r="G39" s="41"/>
      <c r="H39" s="41"/>
      <c r="I39" s="42"/>
      <c r="J39" s="287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536"/>
      <c r="C40" s="349">
        <f>[24]Process!D124</f>
        <v>11.7</v>
      </c>
      <c r="D40" s="487"/>
      <c r="E40" s="488"/>
      <c r="F40" s="43"/>
      <c r="G40" s="41"/>
      <c r="H40" s="41"/>
      <c r="I40" s="42"/>
      <c r="J40" s="345" t="s">
        <v>9</v>
      </c>
      <c r="K40" s="324"/>
      <c r="L40" s="344">
        <f>K49</f>
        <v>1</v>
      </c>
      <c r="M40" s="325">
        <f>AVERAGE('[29]Jan 29th '!$M$70,'[30]Feb 28th'!$L$40,'[31]Mar. 31st'!$L$40,L40)</f>
        <v>5.203834209268992</v>
      </c>
      <c r="N40" s="433">
        <v>9.1999999999999993</v>
      </c>
      <c r="O40" s="294"/>
      <c r="P40" s="12"/>
      <c r="S40" s="23"/>
    </row>
    <row r="41" spans="1:57" ht="15" customHeight="1">
      <c r="B41" s="536"/>
      <c r="C41" s="349">
        <f>[24]Process!D125</f>
        <v>11.85</v>
      </c>
      <c r="D41" s="492">
        <v>11.65</v>
      </c>
      <c r="E41" s="493"/>
      <c r="F41" s="43"/>
      <c r="G41" s="41"/>
      <c r="H41" s="41"/>
      <c r="I41" s="42"/>
      <c r="J41" s="288" t="s">
        <v>40</v>
      </c>
      <c r="K41" s="324">
        <v>1</v>
      </c>
      <c r="L41" s="294"/>
      <c r="M41" s="294"/>
      <c r="N41" s="294"/>
      <c r="O41" s="294"/>
      <c r="P41" s="12"/>
      <c r="S41" s="23"/>
    </row>
    <row r="42" spans="1:57" ht="15" customHeight="1">
      <c r="B42" s="536"/>
      <c r="C42" s="349">
        <f>[24]Process!D126</f>
        <v>11.71</v>
      </c>
      <c r="D42" s="487"/>
      <c r="E42" s="488"/>
      <c r="F42" s="43"/>
      <c r="G42" s="41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536"/>
      <c r="C43" s="349">
        <f>[24]Process!D127</f>
        <v>11.74</v>
      </c>
      <c r="D43" s="492">
        <v>11.64</v>
      </c>
      <c r="E43" s="493"/>
      <c r="F43" s="43"/>
      <c r="G43" s="41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36"/>
      <c r="C44" s="349">
        <f>[24]Process!D128</f>
        <v>11.76</v>
      </c>
      <c r="D44" s="487"/>
      <c r="E44" s="488"/>
      <c r="F44" s="43"/>
      <c r="G44" s="41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36"/>
      <c r="C45" s="349"/>
      <c r="D45" s="494"/>
      <c r="E45" s="495"/>
      <c r="F45" s="43"/>
      <c r="G45" s="41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37"/>
      <c r="C46" s="350"/>
      <c r="D46" s="496"/>
      <c r="E46" s="497"/>
      <c r="F46" s="43"/>
      <c r="G46" s="41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476">
        <f>AVERAGE(D25:E46)</f>
        <v>11.706666666666665</v>
      </c>
      <c r="E47" s="477"/>
      <c r="F47" s="43"/>
      <c r="G47" s="41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346" t="s">
        <v>130</v>
      </c>
      <c r="K49" s="324">
        <f>SUM(K39:K48)</f>
        <v>1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466" t="s">
        <v>17</v>
      </c>
      <c r="C52" s="466" t="s">
        <v>44</v>
      </c>
      <c r="D52" s="478" t="s">
        <v>45</v>
      </c>
      <c r="E52" s="480" t="s">
        <v>46</v>
      </c>
      <c r="F52" s="474" t="s">
        <v>47</v>
      </c>
      <c r="G52" s="464" t="s">
        <v>48</v>
      </c>
      <c r="H52" s="466" t="s">
        <v>49</v>
      </c>
      <c r="I52" s="466" t="s">
        <v>50</v>
      </c>
      <c r="J52" s="458" t="s">
        <v>28</v>
      </c>
      <c r="K52" s="470" t="s">
        <v>51</v>
      </c>
      <c r="L52" s="472" t="s">
        <v>52</v>
      </c>
      <c r="M52" s="458" t="s">
        <v>53</v>
      </c>
      <c r="N52" s="13"/>
      <c r="O52" s="13"/>
      <c r="P52" s="50"/>
    </row>
    <row r="53" spans="2:58" ht="28.5" customHeight="1" thickTop="1" thickBot="1">
      <c r="B53" s="467"/>
      <c r="C53" s="467"/>
      <c r="D53" s="479"/>
      <c r="E53" s="481"/>
      <c r="F53" s="475"/>
      <c r="G53" s="465"/>
      <c r="H53" s="467"/>
      <c r="I53" s="467"/>
      <c r="J53" s="459"/>
      <c r="K53" s="471"/>
      <c r="L53" s="473"/>
      <c r="M53" s="459"/>
      <c r="N53" s="13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customHeight="1">
      <c r="B54" s="415" t="s">
        <v>6</v>
      </c>
      <c r="C54" s="283">
        <v>45748</v>
      </c>
      <c r="D54" s="377">
        <f>[32]April_2025!$D$3</f>
        <v>205.4</v>
      </c>
      <c r="E54" s="378"/>
      <c r="F54" s="379"/>
      <c r="G54" s="303">
        <f>[32]April_2025!$D$7</f>
        <v>178.2</v>
      </c>
      <c r="H54" s="320"/>
      <c r="I54" s="322"/>
      <c r="J54" s="360" t="s">
        <v>167</v>
      </c>
      <c r="K54" s="416">
        <f>[33]April_2025!$D$18</f>
        <v>0.31263157894736843</v>
      </c>
      <c r="L54" s="314">
        <f>(((D54+E54)-G54)/(D54+E54))*100</f>
        <v>13.24245374878287</v>
      </c>
      <c r="M54" s="423" t="s">
        <v>164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4.4" thickBot="1">
      <c r="B55" s="415"/>
      <c r="C55" s="283"/>
      <c r="D55" s="377"/>
      <c r="E55" s="378"/>
      <c r="F55" s="379"/>
      <c r="G55" s="303"/>
      <c r="H55" s="320"/>
      <c r="I55" s="322"/>
      <c r="J55" s="398"/>
      <c r="K55" s="286"/>
      <c r="L55" s="314"/>
      <c r="M55" s="423"/>
      <c r="N55" s="13"/>
      <c r="O55" s="13"/>
      <c r="P55" s="50"/>
      <c r="T55" s="272"/>
      <c r="U55" s="420"/>
      <c r="V55" s="420"/>
      <c r="W55" s="420"/>
      <c r="X55" s="420"/>
      <c r="Y55" s="420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  <c r="AK55" s="420"/>
      <c r="AL55" s="420"/>
      <c r="AM55" s="420"/>
      <c r="AN55" s="420"/>
      <c r="AO55" s="420"/>
      <c r="AP55" s="420"/>
      <c r="AQ55" s="420"/>
      <c r="AR55" s="420"/>
      <c r="AS55" s="420"/>
      <c r="AT55" s="420"/>
      <c r="AU55" s="420"/>
      <c r="AV55" s="420"/>
      <c r="AW55" s="420"/>
      <c r="AX55" s="420"/>
    </row>
    <row r="56" spans="2:58" s="54" customFormat="1" ht="59.25" customHeight="1">
      <c r="B56" s="422" t="str">
        <f>B63</f>
        <v>STAG</v>
      </c>
      <c r="C56" s="283">
        <v>45748</v>
      </c>
      <c r="D56" s="377">
        <f>[32]April_2025!$D$13</f>
        <v>407.20000000000005</v>
      </c>
      <c r="E56" s="378"/>
      <c r="F56" s="379">
        <f>[34]STAG!$L$6+[34]STAG!$L$8+[34]STAG!$L$10+[34]STAG!$L$12</f>
        <v>397</v>
      </c>
      <c r="G56" s="303">
        <f>[32]April_2025!$D$17</f>
        <v>388.2</v>
      </c>
      <c r="H56" s="320">
        <f>(D56-F56)/D56*100</f>
        <v>2.5049115913556101</v>
      </c>
      <c r="I56" s="322">
        <f>((F56+E56)-G56)/(F56+E56)*100</f>
        <v>2.2166246851385418</v>
      </c>
      <c r="J56" s="360" t="s">
        <v>150</v>
      </c>
      <c r="K56" s="286">
        <f>[33]April_2025!$D$25</f>
        <v>1.3621052631578947</v>
      </c>
      <c r="L56" s="391">
        <f>(((D56+E56)-G56)/(D56+E56))*100</f>
        <v>4.6660117878192668</v>
      </c>
      <c r="M56" s="423" t="s">
        <v>163</v>
      </c>
      <c r="N56" s="13"/>
      <c r="O56" s="13"/>
      <c r="P56" s="50"/>
      <c r="T56" s="272"/>
      <c r="U56" s="420"/>
      <c r="V56" s="420"/>
      <c r="W56" s="420"/>
      <c r="X56" s="420"/>
      <c r="Y56" s="420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  <c r="AK56" s="420"/>
      <c r="AL56" s="420"/>
      <c r="AM56" s="420"/>
      <c r="AN56" s="420"/>
      <c r="AO56" s="420"/>
      <c r="AP56" s="420"/>
      <c r="AQ56" s="420"/>
      <c r="AR56" s="420"/>
      <c r="AS56" s="420"/>
      <c r="AT56" s="420"/>
      <c r="AU56" s="420"/>
      <c r="AV56" s="420"/>
      <c r="AW56" s="420"/>
      <c r="AX56" s="420"/>
    </row>
    <row r="57" spans="2:58" s="54" customFormat="1">
      <c r="B57" s="387"/>
      <c r="C57" s="283"/>
      <c r="D57" s="279"/>
      <c r="E57" s="279"/>
      <c r="F57" s="279"/>
      <c r="G57" s="279"/>
      <c r="H57" s="320"/>
      <c r="I57" s="322"/>
      <c r="J57" s="281"/>
      <c r="K57" s="417"/>
      <c r="L57" s="314"/>
      <c r="M57" s="425"/>
      <c r="N57" s="13"/>
      <c r="O57" s="13"/>
      <c r="P57" s="50"/>
      <c r="T57" s="272" t="s">
        <v>51</v>
      </c>
      <c r="U57" s="57" t="e">
        <f>[20]January_2019!D8</f>
        <v>#DIV/0!</v>
      </c>
      <c r="V57" s="57">
        <f>[20]January_2019!E8</f>
        <v>1.0319298245614037</v>
      </c>
      <c r="W57" s="57">
        <f>[20]January_2019!F8</f>
        <v>1.7789473684210526</v>
      </c>
      <c r="X57" s="57">
        <f>[20]January_2019!G8</f>
        <v>0.51929824561403504</v>
      </c>
      <c r="Y57" s="57" t="e">
        <f>[20]January_2019!H8</f>
        <v>#DIV/0!</v>
      </c>
      <c r="Z57" s="57" t="e">
        <f>[20]January_2019!I8</f>
        <v>#DIV/0!</v>
      </c>
      <c r="AA57" s="57">
        <f>[20]January_2019!J8</f>
        <v>1.365263157894737</v>
      </c>
      <c r="AB57" s="57" t="e">
        <f>[20]January_2019!K8</f>
        <v>#DIV/0!</v>
      </c>
      <c r="AC57" s="57">
        <f>[20]January_2019!L8</f>
        <v>1.0028070175438597</v>
      </c>
      <c r="AD57" s="57">
        <f>[20]January_2019!M8</f>
        <v>1.7828070175438597</v>
      </c>
      <c r="AE57" s="57" t="e">
        <f>[20]January_2019!N8</f>
        <v>#DIV/0!</v>
      </c>
      <c r="AF57" s="57" t="e">
        <f>[20]January_2019!O8</f>
        <v>#DIV/0!</v>
      </c>
      <c r="AG57" s="57">
        <f>[20]January_2019!P8</f>
        <v>0.19222222222222221</v>
      </c>
      <c r="AH57" s="57">
        <f>[20]January_2019!Q8</f>
        <v>0.52219298245614032</v>
      </c>
      <c r="AI57" s="57">
        <f>[20]January_2019!R8</f>
        <v>0.42912280701754385</v>
      </c>
      <c r="AJ57" s="57" t="e">
        <f>[20]January_2019!S8</f>
        <v>#DIV/0!</v>
      </c>
      <c r="AK57" s="57">
        <f>[20]January_2019!T8</f>
        <v>1.0340350877192983</v>
      </c>
      <c r="AL57" s="57">
        <f>[20]January_2019!U8</f>
        <v>0.98421052631578942</v>
      </c>
      <c r="AM57" s="57" t="e">
        <f>[20]January_2019!V8</f>
        <v>#DIV/0!</v>
      </c>
      <c r="AN57" s="57" t="e">
        <f>[20]January_2019!W8</f>
        <v>#DIV/0!</v>
      </c>
      <c r="AO57" s="57">
        <f>[20]January_2019!X8</f>
        <v>0.66052631578947374</v>
      </c>
      <c r="AP57" s="57">
        <f>[20]January_2019!Y8</f>
        <v>1.0375438596491227</v>
      </c>
      <c r="AQ57" s="57">
        <f>[20]January_2019!Z8</f>
        <v>0.90456140350877201</v>
      </c>
      <c r="AR57" s="57">
        <f>[20]January_2019!AA8</f>
        <v>1.0217543859649123</v>
      </c>
      <c r="AS57" s="57">
        <f>[20]January_2019!AB8</f>
        <v>0.65614035087719302</v>
      </c>
      <c r="AT57" s="57" t="e">
        <f>[20]January_2019!AC8</f>
        <v>#DIV/0!</v>
      </c>
      <c r="AU57" s="57" t="e">
        <f>[20]January_2019!AD8</f>
        <v>#DIV/0!</v>
      </c>
      <c r="AV57" s="57">
        <f>[20]January_2019!AE8</f>
        <v>1.7021052631578948</v>
      </c>
      <c r="AW57" s="57">
        <f>[20]January_2019!AF8</f>
        <v>0.60192982456140354</v>
      </c>
      <c r="AX57" s="57">
        <f>[20]January_2019!AG8</f>
        <v>1.4870175438596491</v>
      </c>
      <c r="AY57" s="277" t="e">
        <f>[20]January_2019!AH8</f>
        <v>#DIV/0!</v>
      </c>
      <c r="AZ57" s="277"/>
      <c r="BA57" s="277"/>
      <c r="BB57" s="277"/>
      <c r="BC57" s="277"/>
      <c r="BD57" s="277"/>
      <c r="BE57" s="277"/>
      <c r="BF57" s="277"/>
    </row>
    <row r="58" spans="2:58" ht="58.5" hidden="1" customHeight="1" thickBot="1">
      <c r="B58" s="426"/>
      <c r="C58" s="427"/>
      <c r="D58" s="428"/>
      <c r="E58" s="428"/>
      <c r="F58" s="428"/>
      <c r="G58" s="428"/>
      <c r="H58" s="429"/>
      <c r="I58" s="430"/>
      <c r="J58" s="390"/>
      <c r="K58" s="431"/>
      <c r="L58" s="432"/>
      <c r="M58" s="424"/>
      <c r="N58" s="13"/>
      <c r="O58" s="13"/>
      <c r="P58" s="56"/>
    </row>
    <row r="59" spans="2:58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6"/>
      <c r="P59" s="60"/>
    </row>
    <row r="60" spans="2:58" ht="14.4" thickBot="1">
      <c r="B60" s="460" t="s">
        <v>55</v>
      </c>
      <c r="C60" s="461"/>
      <c r="D60" s="461"/>
      <c r="E60" s="461"/>
      <c r="F60" s="462"/>
      <c r="G60" s="460" t="s">
        <v>56</v>
      </c>
      <c r="H60" s="461"/>
      <c r="I60" s="461"/>
      <c r="J60" s="462"/>
      <c r="K60" s="460" t="s">
        <v>51</v>
      </c>
      <c r="L60" s="461"/>
      <c r="M60" s="461"/>
      <c r="N60" s="463"/>
      <c r="O60" s="56"/>
      <c r="P60" s="50"/>
    </row>
    <row r="61" spans="2:58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8">
      <c r="B62" s="29" t="s">
        <v>6</v>
      </c>
      <c r="C62" s="65">
        <f>L54</f>
        <v>13.24245374878287</v>
      </c>
      <c r="D62" s="76">
        <v>13.620940378090172</v>
      </c>
      <c r="E62" s="76">
        <v>7.1787312313291798</v>
      </c>
      <c r="F62" s="66">
        <v>4.8</v>
      </c>
      <c r="G62" s="65">
        <f>[32]April_2025!$D$11</f>
        <v>14.082042906052713</v>
      </c>
      <c r="H62" s="76">
        <v>14.456866761528014</v>
      </c>
      <c r="I62" s="76">
        <v>7.8483520100408546</v>
      </c>
      <c r="J62" s="66">
        <v>4.8</v>
      </c>
      <c r="K62" s="67">
        <f>K54</f>
        <v>0.31263157894736843</v>
      </c>
      <c r="L62" s="194">
        <v>0.31263157894736843</v>
      </c>
      <c r="M62" s="194">
        <v>0.76809623457264942</v>
      </c>
      <c r="N62" s="68">
        <v>1</v>
      </c>
      <c r="O62" s="56"/>
      <c r="P62" s="69"/>
    </row>
    <row r="63" spans="2:58">
      <c r="B63" s="33" t="s">
        <v>9</v>
      </c>
      <c r="C63" s="65">
        <f>L56</f>
        <v>4.6660117878192668</v>
      </c>
      <c r="D63" s="76">
        <v>4.6660117878192668</v>
      </c>
      <c r="E63" s="76">
        <v>6.6015692780892836</v>
      </c>
      <c r="F63" s="66">
        <v>4.8</v>
      </c>
      <c r="G63" s="65">
        <f>[32]April_2025!$D$21</f>
        <v>5.2855665446815321</v>
      </c>
      <c r="H63" s="76">
        <v>5.2855665446815321</v>
      </c>
      <c r="I63" s="76">
        <v>7.5048624154579011</v>
      </c>
      <c r="J63" s="66">
        <v>4.8</v>
      </c>
      <c r="K63" s="67">
        <f>K56</f>
        <v>1.3621052631578947</v>
      </c>
      <c r="L63" s="194">
        <v>1.3621052631578947</v>
      </c>
      <c r="M63" s="194">
        <v>0.74739011756129492</v>
      </c>
      <c r="N63" s="68">
        <v>1</v>
      </c>
      <c r="P63" s="69"/>
    </row>
    <row r="64" spans="2:58">
      <c r="B64" s="34" t="s">
        <v>40</v>
      </c>
      <c r="C64" s="65"/>
      <c r="D64" s="76"/>
      <c r="E64" s="76">
        <v>13.702325581395328</v>
      </c>
      <c r="F64" s="66">
        <v>5.5</v>
      </c>
      <c r="G64" s="65"/>
      <c r="H64" s="76"/>
      <c r="I64" s="76">
        <v>14.436247754556394</v>
      </c>
      <c r="J64" s="66">
        <v>5.5</v>
      </c>
      <c r="K64" s="67"/>
      <c r="L64" s="194"/>
      <c r="M64" s="194">
        <v>0.52401498127340829</v>
      </c>
      <c r="N64" s="68">
        <v>1</v>
      </c>
      <c r="P64" s="69"/>
    </row>
    <row r="65" spans="2:16">
      <c r="B65" s="22" t="s">
        <v>33</v>
      </c>
      <c r="C65" s="65"/>
      <c r="D65" s="76"/>
      <c r="E65" s="76">
        <v>3.9190537266638161</v>
      </c>
      <c r="F65" s="66">
        <v>3.3</v>
      </c>
      <c r="G65" s="65"/>
      <c r="H65" s="76"/>
      <c r="I65" s="76">
        <v>6.209437755460022</v>
      </c>
      <c r="J65" s="66">
        <v>3.3</v>
      </c>
      <c r="K65" s="67"/>
      <c r="L65" s="194"/>
      <c r="M65" s="194">
        <v>0.75184210526315787</v>
      </c>
      <c r="N65" s="68">
        <v>1</v>
      </c>
      <c r="P65" s="69"/>
    </row>
    <row r="66" spans="2:16">
      <c r="B66" s="35" t="s">
        <v>29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L66" s="194"/>
      <c r="M66" s="194"/>
      <c r="N66" s="68">
        <v>1</v>
      </c>
      <c r="P66" s="69"/>
    </row>
    <row r="67" spans="2:16">
      <c r="B67" s="36" t="s">
        <v>15</v>
      </c>
      <c r="C67" s="282"/>
      <c r="D67" s="76"/>
      <c r="E67" s="76">
        <v>8.7664670658682695</v>
      </c>
      <c r="F67" s="70">
        <f>[21]May_2022!$M$43</f>
        <v>3.4878406700073312</v>
      </c>
      <c r="G67" s="282"/>
      <c r="H67" s="76"/>
      <c r="I67" s="76">
        <v>10.607235567685406</v>
      </c>
      <c r="J67" s="66">
        <v>5.5</v>
      </c>
      <c r="K67" s="67"/>
      <c r="L67" s="194"/>
      <c r="M67" s="194">
        <v>0.66824561403508764</v>
      </c>
      <c r="N67" s="68">
        <v>1</v>
      </c>
      <c r="P67" s="69"/>
    </row>
    <row r="68" spans="2:16">
      <c r="B68" s="37" t="s">
        <v>16</v>
      </c>
      <c r="C68" s="65"/>
      <c r="D68" s="76"/>
      <c r="E68" s="76">
        <v>2.2765363128491556</v>
      </c>
      <c r="F68" s="66">
        <v>3.3</v>
      </c>
      <c r="G68" s="282"/>
      <c r="H68" s="76"/>
      <c r="I68" s="76">
        <v>4.6996399261015078</v>
      </c>
      <c r="J68" s="66">
        <v>3.3</v>
      </c>
      <c r="K68" s="67"/>
      <c r="L68" s="194"/>
      <c r="M68" s="194">
        <v>0.86251968503937015</v>
      </c>
      <c r="N68" s="71">
        <v>1</v>
      </c>
      <c r="P68" s="69"/>
    </row>
    <row r="69" spans="2:16" ht="14.4" thickBot="1">
      <c r="B69" s="38" t="s">
        <v>127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4.4" thickBot="1">
      <c r="B70" s="418" t="s">
        <v>162</v>
      </c>
      <c r="C70" s="65"/>
      <c r="D70" s="76"/>
      <c r="E70" s="76">
        <v>4.8792508624938291</v>
      </c>
      <c r="F70" s="66">
        <v>4.8</v>
      </c>
      <c r="G70" s="282"/>
      <c r="H70" s="76"/>
      <c r="I70" s="76">
        <v>6.2003723782925313</v>
      </c>
      <c r="J70" s="66">
        <v>4.8</v>
      </c>
      <c r="K70" s="67"/>
      <c r="L70" s="194"/>
      <c r="M70" s="194">
        <v>0.33859649122807017</v>
      </c>
      <c r="N70" s="71">
        <v>1</v>
      </c>
      <c r="O70" s="74"/>
      <c r="P70" s="75"/>
    </row>
    <row r="71" spans="2:16">
      <c r="D71" s="76">
        <v>7.6772616136919352</v>
      </c>
      <c r="E71" s="76">
        <v>7.1109174466812934</v>
      </c>
      <c r="F71" s="341">
        <v>4.5</v>
      </c>
      <c r="H71" s="76">
        <v>8.3845039435976823</v>
      </c>
      <c r="I71" s="76">
        <v>8.2178213284048329</v>
      </c>
      <c r="J71" s="341">
        <v>4.5</v>
      </c>
      <c r="K71" s="67"/>
      <c r="L71" s="194">
        <v>0.83736842105263154</v>
      </c>
      <c r="M71" s="194">
        <v>0.73560292626394308</v>
      </c>
      <c r="N71" s="386">
        <v>1</v>
      </c>
    </row>
    <row r="75" spans="2:16">
      <c r="F75" s="315"/>
    </row>
    <row r="83" spans="30:30">
      <c r="AD83" s="275" t="s">
        <v>57</v>
      </c>
    </row>
  </sheetData>
  <mergeCells count="52">
    <mergeCell ref="M4:N4"/>
    <mergeCell ref="T1:U1"/>
    <mergeCell ref="V1:W1"/>
    <mergeCell ref="X1:Y1"/>
    <mergeCell ref="Z1:AA1"/>
    <mergeCell ref="B2:O2"/>
    <mergeCell ref="C5:D5"/>
    <mergeCell ref="B8:B9"/>
    <mergeCell ref="C8:C9"/>
    <mergeCell ref="D8:D9"/>
    <mergeCell ref="G8:G9"/>
    <mergeCell ref="B25:B36"/>
    <mergeCell ref="D25:E26"/>
    <mergeCell ref="D27:E28"/>
    <mergeCell ref="D29:E30"/>
    <mergeCell ref="D31:E32"/>
    <mergeCell ref="D33:E34"/>
    <mergeCell ref="D35:E36"/>
    <mergeCell ref="J37:K37"/>
    <mergeCell ref="L38:N38"/>
    <mergeCell ref="D39:E40"/>
    <mergeCell ref="D41:E42"/>
    <mergeCell ref="Q8:Q9"/>
    <mergeCell ref="I23:N23"/>
    <mergeCell ref="D24:E24"/>
    <mergeCell ref="I8:I9"/>
    <mergeCell ref="J8:J9"/>
    <mergeCell ref="K8:K9"/>
    <mergeCell ref="L8:L9"/>
    <mergeCell ref="O8:O9"/>
    <mergeCell ref="P8:P9"/>
    <mergeCell ref="H8:H9"/>
    <mergeCell ref="B37:B46"/>
    <mergeCell ref="F52:F53"/>
    <mergeCell ref="G52:G53"/>
    <mergeCell ref="H52:H53"/>
    <mergeCell ref="I52:I53"/>
    <mergeCell ref="D43:E44"/>
    <mergeCell ref="D45:E46"/>
    <mergeCell ref="D47:E47"/>
    <mergeCell ref="B52:B53"/>
    <mergeCell ref="C52:C53"/>
    <mergeCell ref="D52:D53"/>
    <mergeCell ref="E52:E53"/>
    <mergeCell ref="D37:E38"/>
    <mergeCell ref="L52:L53"/>
    <mergeCell ref="M52:M53"/>
    <mergeCell ref="B60:F60"/>
    <mergeCell ref="G60:J60"/>
    <mergeCell ref="K60:N60"/>
    <mergeCell ref="J52:J53"/>
    <mergeCell ref="K52:K53"/>
  </mergeCells>
  <conditionalFormatting sqref="B47:B48">
    <cfRule type="cellIs" dxfId="2839" priority="127" operator="notBetween">
      <formula>#REF!</formula>
      <formula>#REF!</formula>
    </cfRule>
  </conditionalFormatting>
  <conditionalFormatting sqref="C51">
    <cfRule type="cellIs" dxfId="2838" priority="158" stopIfTrue="1" operator="lessThan">
      <formula>96</formula>
    </cfRule>
    <cfRule type="cellIs" dxfId="2837" priority="159" stopIfTrue="1" operator="greaterThan">
      <formula>100</formula>
    </cfRule>
  </conditionalFormatting>
  <conditionalFormatting sqref="C62">
    <cfRule type="cellIs" dxfId="2836" priority="82" stopIfTrue="1" operator="greaterThan">
      <formula>$F62</formula>
    </cfRule>
  </conditionalFormatting>
  <conditionalFormatting sqref="C62:C63">
    <cfRule type="cellIs" dxfId="2835" priority="83" stopIfTrue="1" operator="lessThanOrEqual">
      <formula>0</formula>
    </cfRule>
  </conditionalFormatting>
  <conditionalFormatting sqref="C63">
    <cfRule type="cellIs" dxfId="2834" priority="162" stopIfTrue="1" operator="greaterThan">
      <formula>$F62</formula>
    </cfRule>
  </conditionalFormatting>
  <conditionalFormatting sqref="C64:C66">
    <cfRule type="cellIs" dxfId="2833" priority="107" stopIfTrue="1" operator="greaterThan">
      <formula>$F64</formula>
    </cfRule>
  </conditionalFormatting>
  <conditionalFormatting sqref="C64:C67">
    <cfRule type="cellIs" dxfId="2832" priority="111" stopIfTrue="1" operator="lessThanOrEqual">
      <formula>0</formula>
    </cfRule>
  </conditionalFormatting>
  <conditionalFormatting sqref="C67">
    <cfRule type="cellIs" dxfId="2831" priority="110" stopIfTrue="1" operator="greaterThan">
      <formula>$J67</formula>
    </cfRule>
  </conditionalFormatting>
  <conditionalFormatting sqref="C73:C77">
    <cfRule type="cellIs" dxfId="2830" priority="150" stopIfTrue="1" operator="lessThanOrEqual">
      <formula>0</formula>
    </cfRule>
  </conditionalFormatting>
  <conditionalFormatting sqref="C74:C77">
    <cfRule type="cellIs" dxfId="2829" priority="149" stopIfTrue="1" operator="greaterThan">
      <formula>$F$73</formula>
    </cfRule>
  </conditionalFormatting>
  <conditionalFormatting sqref="C79">
    <cfRule type="cellIs" dxfId="2828" priority="152" stopIfTrue="1" operator="lessThanOrEqual">
      <formula>0</formula>
    </cfRule>
    <cfRule type="cellIs" dxfId="2827" priority="151" stopIfTrue="1" operator="greaterThan">
      <formula>$F$73</formula>
    </cfRule>
  </conditionalFormatting>
  <conditionalFormatting sqref="C73:D73 D75:D81">
    <cfRule type="cellIs" dxfId="2826" priority="144" stopIfTrue="1" operator="greaterThan">
      <formula>4.5</formula>
    </cfRule>
  </conditionalFormatting>
  <conditionalFormatting sqref="D47:D48">
    <cfRule type="cellIs" dxfId="2825" priority="128" operator="notBetween">
      <formula>#REF!</formula>
      <formula>#REF!</formula>
    </cfRule>
  </conditionalFormatting>
  <conditionalFormatting sqref="D62:D69">
    <cfRule type="cellIs" dxfId="2824" priority="121" stopIfTrue="1" operator="lessThanOrEqual">
      <formula>0</formula>
    </cfRule>
  </conditionalFormatting>
  <conditionalFormatting sqref="D70">
    <cfRule type="cellIs" dxfId="2823" priority="120" stopIfTrue="1" operator="lessThanOrEqual">
      <formula>0</formula>
    </cfRule>
  </conditionalFormatting>
  <conditionalFormatting sqref="D73 D75:D81">
    <cfRule type="cellIs" dxfId="2822" priority="145" stopIfTrue="1" operator="lessThanOrEqual">
      <formula>0</formula>
    </cfRule>
  </conditionalFormatting>
  <conditionalFormatting sqref="D74">
    <cfRule type="cellIs" dxfId="2821" priority="137" stopIfTrue="1" operator="lessThanOrEqual">
      <formula>0</formula>
    </cfRule>
    <cfRule type="cellIs" dxfId="2820" priority="136" stopIfTrue="1" operator="greaterThan">
      <formula>$F$73</formula>
    </cfRule>
  </conditionalFormatting>
  <conditionalFormatting sqref="D62:E71">
    <cfRule type="cellIs" dxfId="2819" priority="79" stopIfTrue="1" operator="greaterThan">
      <formula>$F62</formula>
    </cfRule>
  </conditionalFormatting>
  <conditionalFormatting sqref="D71:E71">
    <cfRule type="cellIs" dxfId="2818" priority="80" stopIfTrue="1" operator="lessThanOrEqual">
      <formula>0</formula>
    </cfRule>
  </conditionalFormatting>
  <conditionalFormatting sqref="E10:E22">
    <cfRule type="cellIs" dxfId="2817" priority="22" operator="lessThan">
      <formula>48</formula>
    </cfRule>
  </conditionalFormatting>
  <conditionalFormatting sqref="E51">
    <cfRule type="cellIs" dxfId="2816" priority="138" stopIfTrue="1" operator="lessThan">
      <formula>96.8</formula>
    </cfRule>
    <cfRule type="cellIs" dxfId="2815" priority="139" stopIfTrue="1" operator="greaterThan">
      <formula>100</formula>
    </cfRule>
  </conditionalFormatting>
  <conditionalFormatting sqref="E62:E70">
    <cfRule type="cellIs" dxfId="2814" priority="115" stopIfTrue="1" operator="lessThanOrEqual">
      <formula>0</formula>
    </cfRule>
  </conditionalFormatting>
  <conditionalFormatting sqref="E73:E81">
    <cfRule type="cellIs" dxfId="2813" priority="130" stopIfTrue="1" operator="greaterThan">
      <formula>4.5</formula>
    </cfRule>
    <cfRule type="cellIs" dxfId="2812" priority="131" stopIfTrue="1" operator="lessThanOrEqual">
      <formula>0</formula>
    </cfRule>
  </conditionalFormatting>
  <conditionalFormatting sqref="E50:F51">
    <cfRule type="cellIs" dxfId="2811" priority="140" stopIfTrue="1" operator="lessThan">
      <formula>96.5</formula>
    </cfRule>
    <cfRule type="cellIs" dxfId="2810" priority="141" stopIfTrue="1" operator="greaterThan">
      <formula>100</formula>
    </cfRule>
  </conditionalFormatting>
  <conditionalFormatting sqref="F10:F21">
    <cfRule type="cellIs" dxfId="2809" priority="24" operator="greaterThan">
      <formula>60</formula>
    </cfRule>
  </conditionalFormatting>
  <conditionalFormatting sqref="F22">
    <cfRule type="cellIs" dxfId="2808" priority="166" operator="greaterThan">
      <formula>$AA59</formula>
    </cfRule>
    <cfRule type="cellIs" dxfId="2807" priority="165" operator="greaterThan">
      <formula>$AA22</formula>
    </cfRule>
  </conditionalFormatting>
  <conditionalFormatting sqref="F51">
    <cfRule type="cellIs" dxfId="2806" priority="156" stopIfTrue="1" operator="lessThan">
      <formula>96.8</formula>
    </cfRule>
    <cfRule type="cellIs" dxfId="2805" priority="157" stopIfTrue="1" operator="greaterThan">
      <formula>100</formula>
    </cfRule>
  </conditionalFormatting>
  <conditionalFormatting sqref="F71">
    <cfRule type="cellIs" dxfId="2804" priority="117" stopIfTrue="1" operator="lessThanOrEqual">
      <formula>0</formula>
    </cfRule>
    <cfRule type="cellIs" dxfId="2803" priority="116" stopIfTrue="1" operator="greaterThan">
      <formula>$F71</formula>
    </cfRule>
  </conditionalFormatting>
  <conditionalFormatting sqref="G62:G63 C68:C70">
    <cfRule type="cellIs" dxfId="2802" priority="122" stopIfTrue="1" operator="greaterThan">
      <formula>$F62</formula>
    </cfRule>
    <cfRule type="cellIs" dxfId="2801" priority="123" stopIfTrue="1" operator="lessThanOrEqual">
      <formula>0</formula>
    </cfRule>
  </conditionalFormatting>
  <conditionalFormatting sqref="G62:G63">
    <cfRule type="cellIs" dxfId="2800" priority="88" stopIfTrue="1" operator="greaterThan">
      <formula>$F62</formula>
    </cfRule>
    <cfRule type="cellIs" dxfId="2799" priority="89" stopIfTrue="1" operator="lessThanOrEqual">
      <formula>0</formula>
    </cfRule>
  </conditionalFormatting>
  <conditionalFormatting sqref="G64">
    <cfRule type="cellIs" dxfId="2798" priority="160" stopIfTrue="1" operator="greaterThan">
      <formula>$F63</formula>
    </cfRule>
    <cfRule type="cellIs" dxfId="2797" priority="161" stopIfTrue="1" operator="lessThanOrEqual">
      <formula>0</formula>
    </cfRule>
  </conditionalFormatting>
  <conditionalFormatting sqref="G65">
    <cfRule type="cellIs" dxfId="2796" priority="119" stopIfTrue="1" operator="lessThanOrEqual">
      <formula>0</formula>
    </cfRule>
    <cfRule type="cellIs" dxfId="2795" priority="118" stopIfTrue="1" operator="greaterThan">
      <formula>$F65</formula>
    </cfRule>
  </conditionalFormatting>
  <conditionalFormatting sqref="G66:G70">
    <cfRule type="cellIs" dxfId="2794" priority="124" stopIfTrue="1" operator="greaterThan">
      <formula>$J66</formula>
    </cfRule>
    <cfRule type="cellIs" dxfId="2793" priority="125" stopIfTrue="1" operator="lessThanOrEqual">
      <formula>0</formula>
    </cfRule>
  </conditionalFormatting>
  <conditionalFormatting sqref="G75:G80 C78 C80">
    <cfRule type="cellIs" dxfId="2792" priority="154" stopIfTrue="1" operator="lessThanOrEqual">
      <formula>0</formula>
    </cfRule>
    <cfRule type="cellIs" dxfId="2791" priority="153" stopIfTrue="1" operator="greaterThan">
      <formula>4.5</formula>
    </cfRule>
  </conditionalFormatting>
  <conditionalFormatting sqref="G10:H22">
    <cfRule type="expression" dxfId="2790" priority="15">
      <formula>IF(+(IF(G10&lt;$T$15,0,IF(G10&gt;$U$15,0,1)))=0,1)</formula>
    </cfRule>
  </conditionalFormatting>
  <conditionalFormatting sqref="G74:H74">
    <cfRule type="cellIs" dxfId="2789" priority="134" stopIfTrue="1" operator="greaterThan">
      <formula>$F$73</formula>
    </cfRule>
    <cfRule type="cellIs" dxfId="2788" priority="135" stopIfTrue="1" operator="lessThanOrEqual">
      <formula>0</formula>
    </cfRule>
  </conditionalFormatting>
  <conditionalFormatting sqref="H36:H49 G37:G48">
    <cfRule type="cellIs" dxfId="2787" priority="132" stopIfTrue="1" operator="greaterThan">
      <formula>0</formula>
    </cfRule>
  </conditionalFormatting>
  <conditionalFormatting sqref="H54:H55">
    <cfRule type="cellIs" dxfId="2786" priority="61" stopIfTrue="1" operator="greaterThan">
      <formula>$F$38</formula>
    </cfRule>
    <cfRule type="cellIs" dxfId="2785" priority="64" stopIfTrue="1" operator="lessThanOrEqual">
      <formula>0</formula>
    </cfRule>
    <cfRule type="cellIs" dxfId="2784" priority="62" stopIfTrue="1" operator="lessThanOrEqual">
      <formula>0</formula>
    </cfRule>
    <cfRule type="cellIs" dxfId="2783" priority="63" stopIfTrue="1" operator="greaterThan">
      <formula>$F$36</formula>
    </cfRule>
    <cfRule type="cellIs" dxfId="2782" priority="53" stopIfTrue="1" operator="greaterThan">
      <formula>$F$35</formula>
    </cfRule>
  </conditionalFormatting>
  <conditionalFormatting sqref="H54:H56">
    <cfRule type="cellIs" dxfId="2781" priority="14" stopIfTrue="1" operator="lessThanOrEqual">
      <formula>0</formula>
    </cfRule>
  </conditionalFormatting>
  <conditionalFormatting sqref="H56">
    <cfRule type="cellIs" dxfId="2780" priority="12" stopIfTrue="1" operator="lessThanOrEqual">
      <formula>0</formula>
    </cfRule>
    <cfRule type="cellIs" dxfId="2779" priority="13" stopIfTrue="1" operator="greaterThan">
      <formula>$F$36</formula>
    </cfRule>
    <cfRule type="cellIs" dxfId="2778" priority="11" stopIfTrue="1" operator="greaterThan">
      <formula>$F$38</formula>
    </cfRule>
    <cfRule type="cellIs" dxfId="2777" priority="2" stopIfTrue="1" operator="lessThanOrEqual">
      <formula>0</formula>
    </cfRule>
    <cfRule type="cellIs" dxfId="2776" priority="3" stopIfTrue="1" operator="greaterThan">
      <formula>$F$35</formula>
    </cfRule>
  </conditionalFormatting>
  <conditionalFormatting sqref="H57">
    <cfRule type="cellIs" dxfId="2775" priority="106" stopIfTrue="1" operator="lessThanOrEqual">
      <formula>0</formula>
    </cfRule>
    <cfRule type="cellIs" dxfId="2774" priority="105" stopIfTrue="1" operator="greaterThan">
      <formula>$F$62</formula>
    </cfRule>
    <cfRule type="cellIs" dxfId="2773" priority="104" stopIfTrue="1" operator="lessThanOrEqual">
      <formula>0</formula>
    </cfRule>
    <cfRule type="cellIs" dxfId="2772" priority="103" stopIfTrue="1" operator="greaterThan">
      <formula>$F$64</formula>
    </cfRule>
    <cfRule type="cellIs" dxfId="2771" priority="95" stopIfTrue="1" operator="greaterThan">
      <formula>$F$61</formula>
    </cfRule>
    <cfRule type="cellIs" dxfId="2770" priority="94" stopIfTrue="1" operator="lessThanOrEqual">
      <formula>0</formula>
    </cfRule>
  </conditionalFormatting>
  <conditionalFormatting sqref="H58">
    <cfRule type="cellIs" dxfId="2769" priority="47" stopIfTrue="1" operator="greaterThan">
      <formula>$F$38</formula>
    </cfRule>
    <cfRule type="cellIs" dxfId="2768" priority="39" stopIfTrue="1" operator="greaterThan">
      <formula>$F$35</formula>
    </cfRule>
    <cfRule type="cellIs" dxfId="2767" priority="38" stopIfTrue="1" operator="lessThanOrEqual">
      <formula>0</formula>
    </cfRule>
    <cfRule type="cellIs" dxfId="2766" priority="50" stopIfTrue="1" operator="lessThanOrEqual">
      <formula>0</formula>
    </cfRule>
    <cfRule type="cellIs" dxfId="2765" priority="49" stopIfTrue="1" operator="greaterThan">
      <formula>$F$36</formula>
    </cfRule>
    <cfRule type="cellIs" dxfId="2764" priority="48" stopIfTrue="1" operator="lessThanOrEqual">
      <formula>0</formula>
    </cfRule>
  </conditionalFormatting>
  <conditionalFormatting sqref="H62:H69">
    <cfRule type="cellIs" dxfId="2763" priority="109" stopIfTrue="1" operator="lessThanOrEqual">
      <formula>0</formula>
    </cfRule>
    <cfRule type="cellIs" dxfId="2762" priority="108" stopIfTrue="1" operator="greaterThan">
      <formula>$J62</formula>
    </cfRule>
  </conditionalFormatting>
  <conditionalFormatting sqref="H70">
    <cfRule type="cellIs" dxfId="2761" priority="112" operator="greaterThan">
      <formula>5.3</formula>
    </cfRule>
  </conditionalFormatting>
  <conditionalFormatting sqref="H73 H75:H81">
    <cfRule type="cellIs" dxfId="2760" priority="146" stopIfTrue="1" operator="greaterThan">
      <formula>4.5</formula>
    </cfRule>
    <cfRule type="cellIs" dxfId="2759" priority="147" stopIfTrue="1" operator="lessThanOrEqual">
      <formula>0</formula>
    </cfRule>
  </conditionalFormatting>
  <conditionalFormatting sqref="H54:I55">
    <cfRule type="cellIs" dxfId="2758" priority="54" stopIfTrue="1" operator="lessThanOrEqual">
      <formula>0</formula>
    </cfRule>
  </conditionalFormatting>
  <conditionalFormatting sqref="H54:I56">
    <cfRule type="cellIs" dxfId="2757" priority="1" stopIfTrue="1" operator="greaterThan">
      <formula>$F$37</formula>
    </cfRule>
  </conditionalFormatting>
  <conditionalFormatting sqref="H56:I56">
    <cfRule type="cellIs" dxfId="2756" priority="4" stopIfTrue="1" operator="lessThanOrEqual">
      <formula>0</formula>
    </cfRule>
  </conditionalFormatting>
  <conditionalFormatting sqref="H57:I57">
    <cfRule type="cellIs" dxfId="2755" priority="96" stopIfTrue="1" operator="lessThanOrEqual">
      <formula>0</formula>
    </cfRule>
    <cfRule type="cellIs" dxfId="2754" priority="93" stopIfTrue="1" operator="greaterThan">
      <formula>$F$63</formula>
    </cfRule>
  </conditionalFormatting>
  <conditionalFormatting sqref="H58:I58">
    <cfRule type="cellIs" dxfId="2753" priority="37" stopIfTrue="1" operator="greaterThan">
      <formula>$F$37</formula>
    </cfRule>
    <cfRule type="cellIs" dxfId="2752" priority="40" stopIfTrue="1" operator="lessThanOrEqual">
      <formula>0</formula>
    </cfRule>
  </conditionalFormatting>
  <conditionalFormatting sqref="H71:I71">
    <cfRule type="cellIs" dxfId="2751" priority="78" stopIfTrue="1" operator="lessThanOrEqual">
      <formula>0</formula>
    </cfRule>
    <cfRule type="cellIs" dxfId="2750" priority="77" stopIfTrue="1" operator="greaterThan">
      <formula>$J71</formula>
    </cfRule>
  </conditionalFormatting>
  <conditionalFormatting sqref="I22">
    <cfRule type="cellIs" dxfId="2749" priority="84" operator="lessThan">
      <formula>97.8</formula>
    </cfRule>
    <cfRule type="cellIs" dxfId="2748" priority="87" operator="lessThan">
      <formula>98</formula>
    </cfRule>
  </conditionalFormatting>
  <conditionalFormatting sqref="I54:I55">
    <cfRule type="cellIs" dxfId="2747" priority="58" stopIfTrue="1" operator="lessThanOrEqual">
      <formula>0</formula>
    </cfRule>
    <cfRule type="cellIs" dxfId="2746" priority="57" stopIfTrue="1" operator="greaterThan">
      <formula>$F$37</formula>
    </cfRule>
    <cfRule type="cellIs" dxfId="2745" priority="56" stopIfTrue="1" operator="lessThanOrEqual">
      <formula>0</formula>
    </cfRule>
    <cfRule type="cellIs" dxfId="2744" priority="55" stopIfTrue="1" operator="greaterThan">
      <formula>$F$35</formula>
    </cfRule>
    <cfRule type="cellIs" dxfId="2743" priority="60" stopIfTrue="1" operator="lessThanOrEqual">
      <formula>0</formula>
    </cfRule>
    <cfRule type="cellIs" dxfId="2742" priority="59" stopIfTrue="1" operator="greaterThan">
      <formula>$F$35</formula>
    </cfRule>
  </conditionalFormatting>
  <conditionalFormatting sqref="I56">
    <cfRule type="cellIs" dxfId="2741" priority="5" stopIfTrue="1" operator="greaterThan">
      <formula>$F$35</formula>
    </cfRule>
    <cfRule type="cellIs" dxfId="2740" priority="6" stopIfTrue="1" operator="lessThanOrEqual">
      <formula>0</formula>
    </cfRule>
    <cfRule type="cellIs" dxfId="2739" priority="7" stopIfTrue="1" operator="greaterThan">
      <formula>$F$37</formula>
    </cfRule>
    <cfRule type="cellIs" dxfId="2738" priority="8" stopIfTrue="1" operator="lessThanOrEqual">
      <formula>0</formula>
    </cfRule>
    <cfRule type="cellIs" dxfId="2737" priority="9" stopIfTrue="1" operator="greaterThan">
      <formula>$F$35</formula>
    </cfRule>
    <cfRule type="cellIs" dxfId="2736" priority="10" stopIfTrue="1" operator="lessThanOrEqual">
      <formula>0</formula>
    </cfRule>
  </conditionalFormatting>
  <conditionalFormatting sqref="I57">
    <cfRule type="cellIs" dxfId="2735" priority="97" stopIfTrue="1" operator="greaterThan">
      <formula>$F$61</formula>
    </cfRule>
    <cfRule type="cellIs" dxfId="2734" priority="98" stopIfTrue="1" operator="lessThanOrEqual">
      <formula>0</formula>
    </cfRule>
    <cfRule type="cellIs" dxfId="2733" priority="99" stopIfTrue="1" operator="greaterThan">
      <formula>$F$63</formula>
    </cfRule>
    <cfRule type="cellIs" dxfId="2732" priority="100" stopIfTrue="1" operator="lessThanOrEqual">
      <formula>0</formula>
    </cfRule>
    <cfRule type="cellIs" dxfId="2731" priority="101" stopIfTrue="1" operator="greaterThan">
      <formula>$F$61</formula>
    </cfRule>
    <cfRule type="cellIs" dxfId="2730" priority="102" stopIfTrue="1" operator="lessThanOrEqual">
      <formula>0</formula>
    </cfRule>
  </conditionalFormatting>
  <conditionalFormatting sqref="I58">
    <cfRule type="cellIs" dxfId="2729" priority="41" stopIfTrue="1" operator="greaterThan">
      <formula>$F$35</formula>
    </cfRule>
    <cfRule type="cellIs" dxfId="2728" priority="46" stopIfTrue="1" operator="lessThanOrEqual">
      <formula>0</formula>
    </cfRule>
    <cfRule type="cellIs" dxfId="2727" priority="45" stopIfTrue="1" operator="greaterThan">
      <formula>$F$35</formula>
    </cfRule>
    <cfRule type="cellIs" dxfId="2726" priority="44" stopIfTrue="1" operator="lessThanOrEqual">
      <formula>0</formula>
    </cfRule>
    <cfRule type="cellIs" dxfId="2725" priority="43" stopIfTrue="1" operator="greaterThan">
      <formula>$F$37</formula>
    </cfRule>
    <cfRule type="cellIs" dxfId="2724" priority="42" stopIfTrue="1" operator="lessThanOrEqual">
      <formula>0</formula>
    </cfRule>
  </conditionalFormatting>
  <conditionalFormatting sqref="I62:I70">
    <cfRule type="cellIs" dxfId="2723" priority="113" stopIfTrue="1" operator="greaterThan">
      <formula>$J62</formula>
    </cfRule>
    <cfRule type="cellIs" dxfId="2722" priority="114" stopIfTrue="1" operator="lessThanOrEqual">
      <formula>0</formula>
    </cfRule>
  </conditionalFormatting>
  <conditionalFormatting sqref="I73:I81">
    <cfRule type="cellIs" dxfId="2721" priority="142" stopIfTrue="1" operator="greaterThan">
      <formula>4.5</formula>
    </cfRule>
    <cfRule type="cellIs" dxfId="2720" priority="143" stopIfTrue="1" operator="lessThanOrEqual">
      <formula>0</formula>
    </cfRule>
  </conditionalFormatting>
  <conditionalFormatting sqref="I10:J21">
    <cfRule type="cellIs" dxfId="2719" priority="25" operator="lessThan">
      <formula>97.9</formula>
    </cfRule>
  </conditionalFormatting>
  <conditionalFormatting sqref="J22">
    <cfRule type="cellIs" dxfId="2718" priority="85" operator="notBetween">
      <formula>98</formula>
      <formula>99.9</formula>
    </cfRule>
    <cfRule type="cellIs" dxfId="2717" priority="86" operator="lessThan">
      <formula>97.4</formula>
    </cfRule>
  </conditionalFormatting>
  <conditionalFormatting sqref="J25:J27">
    <cfRule type="cellIs" dxfId="2716" priority="69" operator="lessThan">
      <formula>98</formula>
    </cfRule>
    <cfRule type="cellIs" dxfId="2715" priority="68" stopIfTrue="1" operator="greaterThan">
      <formula>100</formula>
    </cfRule>
    <cfRule type="cellIs" dxfId="2714" priority="67" stopIfTrue="1" operator="lessThan">
      <formula>96.8</formula>
    </cfRule>
  </conditionalFormatting>
  <conditionalFormatting sqref="J25:J29">
    <cfRule type="cellIs" dxfId="2713" priority="66" operator="lessThan">
      <formula>97.4</formula>
    </cfRule>
  </conditionalFormatting>
  <conditionalFormatting sqref="J30">
    <cfRule type="cellIs" dxfId="2712" priority="70" operator="lessThan">
      <formula>98</formula>
    </cfRule>
  </conditionalFormatting>
  <conditionalFormatting sqref="J31:J33">
    <cfRule type="cellIs" dxfId="2711" priority="71" stopIfTrue="1" operator="lessThan">
      <formula>96.8</formula>
    </cfRule>
    <cfRule type="cellIs" dxfId="2710" priority="72" stopIfTrue="1" operator="greaterThan">
      <formula>100</formula>
    </cfRule>
  </conditionalFormatting>
  <conditionalFormatting sqref="J31:J34">
    <cfRule type="cellIs" dxfId="2709" priority="73" operator="lessThan">
      <formula>98</formula>
    </cfRule>
  </conditionalFormatting>
  <conditionalFormatting sqref="J71">
    <cfRule type="cellIs" dxfId="2708" priority="75" stopIfTrue="1" operator="lessThanOrEqual">
      <formula>0</formula>
    </cfRule>
    <cfRule type="cellIs" dxfId="2707" priority="74" stopIfTrue="1" operator="greaterThan">
      <formula>$F71</formula>
    </cfRule>
  </conditionalFormatting>
  <conditionalFormatting sqref="K10:K22">
    <cfRule type="cellIs" dxfId="2706" priority="23" operator="greaterThan">
      <formula>6.4</formula>
    </cfRule>
    <cfRule type="cellIs" dxfId="2705" priority="19" operator="lessThan">
      <formula>4</formula>
    </cfRule>
    <cfRule type="cellIs" dxfId="2704" priority="18" operator="greaterThan">
      <formula>6</formula>
    </cfRule>
  </conditionalFormatting>
  <conditionalFormatting sqref="K39:K48">
    <cfRule type="cellIs" dxfId="2703" priority="65" operator="notEqual">
      <formula>#REF!</formula>
    </cfRule>
  </conditionalFormatting>
  <conditionalFormatting sqref="K54:K58 K62:N65 L66:N66">
    <cfRule type="cellIs" dxfId="2702" priority="126" stopIfTrue="1" operator="lessThan">
      <formula>100%</formula>
    </cfRule>
  </conditionalFormatting>
  <conditionalFormatting sqref="K73:K78">
    <cfRule type="cellIs" dxfId="2701" priority="148" stopIfTrue="1" operator="lessThan">
      <formula>100%</formula>
    </cfRule>
  </conditionalFormatting>
  <conditionalFormatting sqref="K80:K81">
    <cfRule type="cellIs" dxfId="2700" priority="155" stopIfTrue="1" operator="lessThan">
      <formula>100%</formula>
    </cfRule>
  </conditionalFormatting>
  <conditionalFormatting sqref="K67:N71">
    <cfRule type="cellIs" dxfId="2699" priority="76" stopIfTrue="1" operator="lessThan">
      <formula>100%</formula>
    </cfRule>
  </conditionalFormatting>
  <conditionalFormatting sqref="L10:L22">
    <cfRule type="cellIs" dxfId="2698" priority="21" operator="greaterThan">
      <formula>65</formula>
    </cfRule>
    <cfRule type="cellIs" dxfId="2697" priority="20" operator="between">
      <formula>61</formula>
      <formula>65</formula>
    </cfRule>
  </conditionalFormatting>
  <conditionalFormatting sqref="L25:M36">
    <cfRule type="cellIs" dxfId="2696" priority="81" operator="lessThan">
      <formula>98</formula>
    </cfRule>
  </conditionalFormatting>
  <conditionalFormatting sqref="L40:N40">
    <cfRule type="cellIs" dxfId="2695" priority="90" operator="notEqual">
      <formula>#REF!</formula>
    </cfRule>
  </conditionalFormatting>
  <conditionalFormatting sqref="L73:N81">
    <cfRule type="cellIs" dxfId="2694" priority="133" stopIfTrue="1" operator="lessThan">
      <formula>100%</formula>
    </cfRule>
  </conditionalFormatting>
  <conditionalFormatting sqref="M10:M22">
    <cfRule type="expression" dxfId="2693" priority="16">
      <formula>IF(+(IF(M10&lt;V10,0,IF(M10&gt;W10,0,1)))=0,1)</formula>
    </cfRule>
  </conditionalFormatting>
  <conditionalFormatting sqref="M6:N6">
    <cfRule type="cellIs" dxfId="2692" priority="91" operator="greaterThanOrEqual">
      <formula>15</formula>
    </cfRule>
    <cfRule type="cellIs" dxfId="2691" priority="92" operator="greaterThanOrEqual">
      <formula>19</formula>
    </cfRule>
  </conditionalFormatting>
  <conditionalFormatting sqref="N10:N22">
    <cfRule type="expression" dxfId="2690" priority="17">
      <formula>IF(+(IF(N10&lt;X10,0,IF(N10&gt;Y10,0,1)))=0,1)</formula>
    </cfRule>
  </conditionalFormatting>
  <conditionalFormatting sqref="N22">
    <cfRule type="expression" dxfId="2689" priority="163">
      <formula>IF(+(IF(N22&lt;X64,0,IF(N22&gt;Y64,0,1)))=0,1)</formula>
    </cfRule>
    <cfRule type="expression" dxfId="2688" priority="164">
      <formula>IF(+(IF(N22&lt;X59,0,IF(N22&gt;Y59,0,1)))=0,1)</formula>
    </cfRule>
  </conditionalFormatting>
  <conditionalFormatting sqref="P6">
    <cfRule type="cellIs" dxfId="2687" priority="129" operator="greaterThanOrEqual">
      <formula>19</formula>
    </cfRule>
  </conditionalFormatting>
  <dataValidations disablePrompts="1" count="1">
    <dataValidation type="list" allowBlank="1" showInputMessage="1" showErrorMessage="1" sqref="S8 B22" xr:uid="{E5C7C24A-486D-445B-BDCD-4CC152593D8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CC25-1964-40ED-A003-C490A70A9BC7}">
  <sheetPr>
    <pageSetUpPr fitToPage="1"/>
  </sheetPr>
  <dimension ref="A1:BF83"/>
  <sheetViews>
    <sheetView topLeftCell="A11" zoomScale="80" zoomScaleNormal="80" workbookViewId="0">
      <selection activeCell="L40" sqref="L40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11" t="s">
        <v>0</v>
      </c>
      <c r="U1" s="511"/>
      <c r="V1" s="511" t="s">
        <v>1</v>
      </c>
      <c r="W1" s="511"/>
      <c r="X1" s="511" t="s">
        <v>2</v>
      </c>
      <c r="Y1" s="511"/>
      <c r="Z1" s="511" t="s">
        <v>124</v>
      </c>
      <c r="AA1" s="511"/>
    </row>
    <row r="2" spans="2:30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21">
        <v>45751</v>
      </c>
      <c r="J4" s="399" t="s">
        <v>166</v>
      </c>
      <c r="K4" s="399"/>
      <c r="L4" s="11"/>
      <c r="M4" s="533" t="s">
        <v>8</v>
      </c>
      <c r="N4" s="534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0" t="s">
        <v>168</v>
      </c>
      <c r="K6" s="401"/>
      <c r="L6" s="311" t="s">
        <v>14</v>
      </c>
      <c r="M6" s="340">
        <v>12</v>
      </c>
      <c r="N6" s="340">
        <v>10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2"/>
      <c r="K7" s="403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159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80" t="s">
        <v>155</v>
      </c>
      <c r="P8" s="472" t="s">
        <v>28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20"/>
      <c r="P9" s="529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33" t="s">
        <v>9</v>
      </c>
      <c r="C10" s="366" t="str">
        <f>[24]Brewhouse!$A142</f>
        <v>ST125</v>
      </c>
      <c r="D10" s="279">
        <f>[24]Brewhouse!$AD142</f>
        <v>52.3</v>
      </c>
      <c r="E10" s="279">
        <f>[24]Brewhouse!$AG142</f>
        <v>48.3</v>
      </c>
      <c r="F10" s="278">
        <f>[24]Brewhouse!$V142</f>
        <v>55</v>
      </c>
      <c r="G10" s="279">
        <f>[24]Brewhouse!$AE142</f>
        <v>12.1</v>
      </c>
      <c r="H10" s="396">
        <v>12.1</v>
      </c>
      <c r="I10" s="434">
        <f>[24]Brewhouse!$AS142</f>
        <v>97.215215171736631</v>
      </c>
      <c r="J10" s="434">
        <f>[24]Brewhouse!$AT142</f>
        <v>98.325316738561199</v>
      </c>
      <c r="K10" s="398">
        <f>[24]Brewhouse!$Q142</f>
        <v>8.8724584103511965</v>
      </c>
      <c r="L10" s="276">
        <f>[24]Brewhouse!$P142</f>
        <v>61</v>
      </c>
      <c r="M10" s="374">
        <f>[24]Brewhouse!$U142-[24]Brewhouse!$T142</f>
        <v>0.11319444444444449</v>
      </c>
      <c r="N10" s="370">
        <f>[24]Brewhouse!$AW142</f>
        <v>0.26944444444444449</v>
      </c>
      <c r="O10" s="435" t="str">
        <f>[24]Brewhouse!$AV142</f>
        <v>K. Benjamin</v>
      </c>
      <c r="P10" s="419"/>
      <c r="Q10" s="347"/>
      <c r="S10" s="277" t="str">
        <f t="shared" ref="S10:S24" si="0">B10</f>
        <v>STAG</v>
      </c>
      <c r="T10" s="296">
        <f t="shared" ref="T10:T24" si="1">VLOOKUP($B10,$S$3:$Y$9,2,FALSE)</f>
        <v>11.6</v>
      </c>
      <c r="U10" s="296">
        <f t="shared" ref="U10:U24" si="2">VLOOKUP($B10,$S$3:$Y$9,3,FALSE)</f>
        <v>12</v>
      </c>
      <c r="V10" s="297">
        <f t="shared" ref="V10:V24" si="3">VLOOKUP($B10,$S$3:$Y$9,4,FALSE)</f>
        <v>0</v>
      </c>
      <c r="W10" s="297">
        <f t="shared" ref="W10:W24" si="4">VLOOKUP($B10,$S$3:$Y$9,5,FALSE)</f>
        <v>0.118055555555556</v>
      </c>
      <c r="X10" s="297">
        <f t="shared" ref="X10:X24" si="5">VLOOKUP($B10,$S$3:$Y$9,6,FALSE)</f>
        <v>0.22569444444444445</v>
      </c>
      <c r="Y10" s="297">
        <f t="shared" ref="Y10:Y24" si="6">VLOOKUP($B10,$S$3:$Y$9,7,FALSE)</f>
        <v>0.2638888888888889</v>
      </c>
      <c r="Z10" s="297">
        <f t="shared" ref="Z10:Z24" si="7">VLOOKUP($B10,$S$3:$AA$9,8,FALSE)</f>
        <v>0</v>
      </c>
      <c r="AA10" s="296">
        <f t="shared" ref="AA10:AA24" si="8">VLOOKUP($B10,$S$3:$AA$9,9,FALSE)</f>
        <v>60</v>
      </c>
    </row>
    <row r="11" spans="2:30" ht="15.75" customHeight="1">
      <c r="B11" s="33" t="s">
        <v>9</v>
      </c>
      <c r="C11" s="366" t="str">
        <f>[24]Brewhouse!$A143</f>
        <v>ST126</v>
      </c>
      <c r="D11" s="279">
        <f>[24]Brewhouse!$AD143</f>
        <v>52.3</v>
      </c>
      <c r="E11" s="279">
        <f>[24]Brewhouse!$AG143</f>
        <v>51</v>
      </c>
      <c r="F11" s="278">
        <f>[24]Brewhouse!$V143</f>
        <v>57</v>
      </c>
      <c r="G11" s="279">
        <f>[24]Brewhouse!$AE143</f>
        <v>11.8</v>
      </c>
      <c r="H11" s="396">
        <v>11.8</v>
      </c>
      <c r="I11" s="434">
        <f>[24]Brewhouse!$AS143</f>
        <v>100.22635814188384</v>
      </c>
      <c r="J11" s="434">
        <f>[24]Brewhouse!$AT143</f>
        <v>101.37009901971213</v>
      </c>
      <c r="K11" s="398">
        <f>[24]Brewhouse!$Q143</f>
        <v>6.4102564102564097</v>
      </c>
      <c r="L11" s="276">
        <f>[24]Brewhouse!$P143</f>
        <v>78</v>
      </c>
      <c r="M11" s="374">
        <f>[24]Brewhouse!$U143-[24]Brewhouse!$T143</f>
        <v>0.11041666666666672</v>
      </c>
      <c r="N11" s="370">
        <f>[24]Brewhouse!$AW143</f>
        <v>0.24652777777777779</v>
      </c>
      <c r="O11" s="435" t="str">
        <f>[24]Brewhouse!$AV143</f>
        <v>K. Benjamin</v>
      </c>
      <c r="P11" s="419"/>
      <c r="Q11" s="347"/>
      <c r="S11" s="277" t="str">
        <f t="shared" si="0"/>
        <v>STAG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34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41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customHeight="1">
      <c r="B13" s="34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19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customHeight="1">
      <c r="B14" s="34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19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4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19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4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9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1:27" ht="15.75" hidden="1" customHeight="1">
      <c r="B17" s="34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9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9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9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00" t="s">
        <v>34</v>
      </c>
      <c r="J23" s="500"/>
      <c r="K23" s="500"/>
      <c r="L23" s="500"/>
      <c r="M23" s="500"/>
      <c r="N23" s="500"/>
      <c r="O23" s="1"/>
      <c r="P23" s="12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" thickBot="1">
      <c r="B24" s="388" t="s">
        <v>145</v>
      </c>
      <c r="C24" s="388"/>
      <c r="D24" s="513" t="s">
        <v>35</v>
      </c>
      <c r="E24" s="514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0"/>
        <v>BRAND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customHeight="1">
      <c r="A25" s="28"/>
      <c r="B25" s="541" t="s">
        <v>131</v>
      </c>
      <c r="C25" s="362"/>
      <c r="D25" s="504"/>
      <c r="E25" s="493"/>
      <c r="F25" s="294"/>
      <c r="G25" s="294"/>
      <c r="H25" s="348"/>
      <c r="I25" s="29" t="s">
        <v>6</v>
      </c>
      <c r="J25" s="280"/>
      <c r="K25" s="284"/>
      <c r="L25" s="302"/>
      <c r="M25" s="302">
        <f>AVERAGE([23]Brewhouse!$AU$102:$AU$171,[23]Brewhouse!$AU$173:$AU$253,[23]Brewhouse!$AU$255:$AU$339)</f>
        <v>96.788243515624899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42"/>
      <c r="C26" s="349"/>
      <c r="D26" s="505"/>
      <c r="E26" s="488"/>
      <c r="F26" s="294"/>
      <c r="G26" s="294"/>
      <c r="H26" s="348"/>
      <c r="I26" s="33" t="s">
        <v>9</v>
      </c>
      <c r="J26" s="280">
        <f>AVERAGE(I10:I11)</f>
        <v>98.720786656810233</v>
      </c>
      <c r="K26" s="284">
        <f>COUNTA([24]Brewhouse!$A$142:$A$143)</f>
        <v>2</v>
      </c>
      <c r="L26" s="302">
        <f>AVERAGE([24]Brewhouse!$AS$142:$AS$143)</f>
        <v>98.720786656810233</v>
      </c>
      <c r="M26" s="302">
        <f>AVERAGE([24]Brewhouse!$AS$15:$AS$64,[24]Brewhouse!$AS$66:$AS$103,[24]Brewhouse!$AS$105:$AS$140,[24]Brewhouse!$AS$142:$AS$143)</f>
        <v>96.73754763546431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42"/>
      <c r="C27" s="349"/>
      <c r="D27" s="504"/>
      <c r="E27" s="493"/>
      <c r="F27" s="294"/>
      <c r="G27" s="294"/>
      <c r="H27" s="348"/>
      <c r="I27" s="34" t="s">
        <v>12</v>
      </c>
      <c r="J27" s="280"/>
      <c r="K27" s="284">
        <f>COUNTA([22]Brewhouse!$A$37)</f>
        <v>1</v>
      </c>
      <c r="L27" s="302">
        <f>AVERAGE([22]Brewhouse!$AU$37)</f>
        <v>96.214667872117261</v>
      </c>
      <c r="M27" s="302">
        <f>AVERAGE([22]Brewhouse!$AU$4:$AU$7,[22]Brewhouse!$AU$9:$AU$22,[22]Brewhouse!$AU$24:$AU$35,[22]Brewhouse!$AU$37)</f>
        <v>96.767265202814471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42"/>
      <c r="C28" s="349"/>
      <c r="D28" s="505"/>
      <c r="E28" s="488"/>
      <c r="F28" s="294"/>
      <c r="G28" s="294"/>
      <c r="H28" s="348"/>
      <c r="I28" s="22" t="s">
        <v>33</v>
      </c>
      <c r="J28" s="280"/>
      <c r="K28" s="284"/>
      <c r="L28" s="302"/>
      <c r="M28" s="302">
        <f>AVERAGE([25]Brewhouse!$AV$5:$AV$14,[25]Brewhouse!$AV$16:$AV$19,[25]Brewhouse!$AV$21:$AV$24)</f>
        <v>98.616016873478046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42"/>
      <c r="C29" s="349"/>
      <c r="D29" s="504"/>
      <c r="E29" s="493"/>
      <c r="F29" s="436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42"/>
      <c r="C30" s="349"/>
      <c r="D30" s="505"/>
      <c r="E30" s="488"/>
      <c r="F30" s="436"/>
      <c r="G30" s="294"/>
      <c r="H30" s="348"/>
      <c r="I30" s="36" t="s">
        <v>15</v>
      </c>
      <c r="J30" s="323"/>
      <c r="K30" s="284"/>
      <c r="L30" s="302"/>
      <c r="M30" s="302">
        <f>AVERAGE([26]Brewhouse!$AT$4:$AT$11)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42"/>
      <c r="C31" s="349"/>
      <c r="D31" s="504"/>
      <c r="E31" s="493"/>
      <c r="F31" s="436"/>
      <c r="G31" s="294"/>
      <c r="H31" s="348"/>
      <c r="I31" s="37" t="s">
        <v>16</v>
      </c>
      <c r="J31" s="323"/>
      <c r="K31" s="284"/>
      <c r="L31" s="302"/>
      <c r="M31" s="302">
        <f>AVERAGE([27]Brewhouse!$AY$6:$AY$13,[27]Brewhouse!$AY$15:$AY$20,[27]Brewhouse!$AY$22:$AY$29)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42"/>
      <c r="C32" s="349"/>
      <c r="D32" s="505"/>
      <c r="E32" s="488"/>
      <c r="F32" s="294"/>
      <c r="G32" s="294"/>
      <c r="H32" s="348"/>
      <c r="I32" s="412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42"/>
      <c r="C33" s="349"/>
      <c r="D33" s="504"/>
      <c r="E33" s="493"/>
      <c r="F33" s="294"/>
      <c r="G33" s="294"/>
      <c r="H33" s="348"/>
      <c r="I33" s="411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42"/>
      <c r="C34" s="349"/>
      <c r="D34" s="505"/>
      <c r="E34" s="488"/>
      <c r="F34" s="294"/>
      <c r="G34" s="294"/>
      <c r="H34" s="348"/>
      <c r="I34" s="407" t="s">
        <v>156</v>
      </c>
      <c r="J34" s="327"/>
      <c r="K34" s="408"/>
      <c r="L34" s="409"/>
      <c r="M34" s="409"/>
      <c r="N34" s="410">
        <v>98</v>
      </c>
      <c r="O34" s="11"/>
      <c r="P34" s="31"/>
      <c r="S34" s="23"/>
    </row>
    <row r="35" spans="1:57" ht="15" customHeight="1" thickBot="1">
      <c r="A35" s="28"/>
      <c r="B35" s="542"/>
      <c r="C35" s="349"/>
      <c r="D35" s="504"/>
      <c r="E35" s="493"/>
      <c r="F35" s="294"/>
      <c r="G35" s="294"/>
      <c r="H35" s="348"/>
      <c r="I35" s="1"/>
      <c r="J35" s="39"/>
      <c r="K35" s="405">
        <f>SUM(K25:K34)</f>
        <v>3</v>
      </c>
      <c r="L35" s="406">
        <f>((L25*K25)+(L26*K26)+(L27*K27)+(L28*K28)+(L29*K29)+(K32*L32)+(L30*K30)+(L31*K31)+(L34*K34))/(K35)</f>
        <v>97.885413728579238</v>
      </c>
      <c r="M35" s="406">
        <f>AVERAGE('[29]Jan 31st'!$L$65,'[30]Feb 28th'!$L$35,L35)</f>
        <v>96.442796718659409</v>
      </c>
      <c r="N35" s="40">
        <v>98</v>
      </c>
      <c r="O35" s="11"/>
      <c r="P35" s="31"/>
      <c r="S35" s="23"/>
    </row>
    <row r="36" spans="1:57" ht="15" thickBot="1">
      <c r="B36" s="542"/>
      <c r="C36" s="350"/>
      <c r="D36" s="505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35"/>
      <c r="C37" s="362"/>
      <c r="D37" s="485"/>
      <c r="E37" s="486"/>
      <c r="F37" s="43"/>
      <c r="G37" s="41"/>
      <c r="H37" s="41"/>
      <c r="I37" s="42"/>
      <c r="J37" s="538" t="s">
        <v>129</v>
      </c>
      <c r="K37" s="53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536"/>
      <c r="C38" s="349"/>
      <c r="D38" s="487"/>
      <c r="E38" s="488"/>
      <c r="F38" s="43"/>
      <c r="G38" s="41"/>
      <c r="H38" s="41"/>
      <c r="I38" s="42"/>
      <c r="J38" s="292" t="s">
        <v>17</v>
      </c>
      <c r="K38" s="293" t="s">
        <v>147</v>
      </c>
      <c r="L38" s="490" t="s">
        <v>136</v>
      </c>
      <c r="M38" s="490"/>
      <c r="N38" s="491"/>
      <c r="O38" s="294"/>
      <c r="P38" s="12"/>
      <c r="S38" s="23"/>
    </row>
    <row r="39" spans="1:57" ht="15" customHeight="1" thickBot="1">
      <c r="B39" s="536"/>
      <c r="C39" s="349"/>
      <c r="D39" s="492"/>
      <c r="E39" s="493"/>
      <c r="F39" s="43"/>
      <c r="G39" s="41"/>
      <c r="H39" s="41"/>
      <c r="I39" s="42"/>
      <c r="J39" s="287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536"/>
      <c r="C40" s="349"/>
      <c r="D40" s="487"/>
      <c r="E40" s="488"/>
      <c r="F40" s="43"/>
      <c r="G40" s="41"/>
      <c r="H40" s="41"/>
      <c r="I40" s="42"/>
      <c r="J40" s="345" t="s">
        <v>9</v>
      </c>
      <c r="K40" s="324">
        <v>2</v>
      </c>
      <c r="L40" s="344">
        <f>AVERAGE('Apr. 1st'!K49,'Apr. 3rd'!K49)</f>
        <v>1.5</v>
      </c>
      <c r="M40" s="325">
        <f>AVERAGE('[29]Jan 29th '!$M$70,'[30]Feb 28th'!$L$40,'[31]Mar. 31st'!$L$40,L40)</f>
        <v>5.328834209268992</v>
      </c>
      <c r="N40" s="433">
        <v>9.1999999999999993</v>
      </c>
      <c r="O40" s="294"/>
      <c r="P40" s="12"/>
      <c r="S40" s="23"/>
    </row>
    <row r="41" spans="1:57" ht="15" customHeight="1">
      <c r="B41" s="536"/>
      <c r="C41" s="349"/>
      <c r="D41" s="492"/>
      <c r="E41" s="493"/>
      <c r="F41" s="43"/>
      <c r="G41" s="41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>
      <c r="B42" s="536"/>
      <c r="C42" s="349"/>
      <c r="D42" s="487"/>
      <c r="E42" s="488"/>
      <c r="F42" s="43"/>
      <c r="G42" s="41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536"/>
      <c r="C43" s="349"/>
      <c r="D43" s="492"/>
      <c r="E43" s="493"/>
      <c r="F43" s="43"/>
      <c r="G43" s="41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36"/>
      <c r="C44" s="349"/>
      <c r="D44" s="487"/>
      <c r="E44" s="488"/>
      <c r="F44" s="43"/>
      <c r="G44" s="41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36"/>
      <c r="C45" s="349"/>
      <c r="D45" s="494"/>
      <c r="E45" s="495"/>
      <c r="F45" s="43"/>
      <c r="G45" s="41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37"/>
      <c r="C46" s="350"/>
      <c r="D46" s="496"/>
      <c r="E46" s="497"/>
      <c r="F46" s="43"/>
      <c r="G46" s="41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476" t="e">
        <f>AVERAGE(D25:E46)</f>
        <v>#DIV/0!</v>
      </c>
      <c r="E47" s="477"/>
      <c r="F47" s="43"/>
      <c r="G47" s="41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346" t="s">
        <v>130</v>
      </c>
      <c r="K49" s="324">
        <f>SUM(K39:K48)</f>
        <v>2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466" t="s">
        <v>17</v>
      </c>
      <c r="C52" s="466" t="s">
        <v>44</v>
      </c>
      <c r="D52" s="478" t="s">
        <v>45</v>
      </c>
      <c r="E52" s="480" t="s">
        <v>46</v>
      </c>
      <c r="F52" s="474" t="s">
        <v>47</v>
      </c>
      <c r="G52" s="464" t="s">
        <v>48</v>
      </c>
      <c r="H52" s="466" t="s">
        <v>49</v>
      </c>
      <c r="I52" s="466" t="s">
        <v>50</v>
      </c>
      <c r="J52" s="458" t="s">
        <v>28</v>
      </c>
      <c r="K52" s="470" t="s">
        <v>51</v>
      </c>
      <c r="L52" s="472" t="s">
        <v>52</v>
      </c>
      <c r="M52" s="458" t="s">
        <v>53</v>
      </c>
      <c r="N52" s="13"/>
      <c r="O52" s="13"/>
      <c r="P52" s="50"/>
    </row>
    <row r="53" spans="2:58" ht="28.5" customHeight="1" thickTop="1" thickBot="1">
      <c r="B53" s="467"/>
      <c r="C53" s="467"/>
      <c r="D53" s="479"/>
      <c r="E53" s="481"/>
      <c r="F53" s="475"/>
      <c r="G53" s="465"/>
      <c r="H53" s="467"/>
      <c r="I53" s="467"/>
      <c r="J53" s="459"/>
      <c r="K53" s="471"/>
      <c r="L53" s="473"/>
      <c r="M53" s="459"/>
      <c r="N53" s="13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hidden="1" customHeight="1">
      <c r="B54" s="415" t="s">
        <v>6</v>
      </c>
      <c r="C54" s="283">
        <v>45748</v>
      </c>
      <c r="D54" s="377"/>
      <c r="E54" s="378"/>
      <c r="F54" s="379"/>
      <c r="G54" s="303"/>
      <c r="H54" s="320"/>
      <c r="I54" s="322"/>
      <c r="J54" s="360" t="s">
        <v>167</v>
      </c>
      <c r="K54" s="416"/>
      <c r="L54" s="314" t="e">
        <f>(((D54+E54)-G54)/(D54+E54))*100</f>
        <v>#DIV/0!</v>
      </c>
      <c r="M54" s="423" t="s">
        <v>164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4.4" hidden="1" thickBot="1">
      <c r="B55" s="415"/>
      <c r="C55" s="283"/>
      <c r="D55" s="377"/>
      <c r="E55" s="378"/>
      <c r="F55" s="379"/>
      <c r="G55" s="303"/>
      <c r="H55" s="320"/>
      <c r="I55" s="322"/>
      <c r="J55" s="398"/>
      <c r="K55" s="286"/>
      <c r="L55" s="314"/>
      <c r="M55" s="423"/>
      <c r="N55" s="13"/>
      <c r="O55" s="13"/>
      <c r="P55" s="50"/>
      <c r="T55" s="272"/>
      <c r="U55" s="420"/>
      <c r="V55" s="420"/>
      <c r="W55" s="420"/>
      <c r="X55" s="420"/>
      <c r="Y55" s="420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  <c r="AK55" s="420"/>
      <c r="AL55" s="420"/>
      <c r="AM55" s="420"/>
      <c r="AN55" s="420"/>
      <c r="AO55" s="420"/>
      <c r="AP55" s="420"/>
      <c r="AQ55" s="420"/>
      <c r="AR55" s="420"/>
      <c r="AS55" s="420"/>
      <c r="AT55" s="420"/>
      <c r="AU55" s="420"/>
      <c r="AV55" s="420"/>
      <c r="AW55" s="420"/>
      <c r="AX55" s="420"/>
    </row>
    <row r="56" spans="2:58" s="54" customFormat="1" ht="59.25" hidden="1" customHeight="1">
      <c r="B56" s="422" t="str">
        <f>B63</f>
        <v>STAG</v>
      </c>
      <c r="C56" s="283">
        <v>45748</v>
      </c>
      <c r="D56" s="377"/>
      <c r="E56" s="378"/>
      <c r="F56" s="379"/>
      <c r="G56" s="303"/>
      <c r="H56" s="320" t="e">
        <f>(D56-F56)/D56*100</f>
        <v>#DIV/0!</v>
      </c>
      <c r="I56" s="322" t="e">
        <f>((F56+E56)-G56)/(F56+E56)*100</f>
        <v>#DIV/0!</v>
      </c>
      <c r="J56" s="360" t="s">
        <v>150</v>
      </c>
      <c r="K56" s="286"/>
      <c r="L56" s="391" t="e">
        <f>(((D56+E56)-G56)/(D56+E56))*100</f>
        <v>#DIV/0!</v>
      </c>
      <c r="M56" s="423" t="s">
        <v>163</v>
      </c>
      <c r="N56" s="13"/>
      <c r="O56" s="13"/>
      <c r="P56" s="50"/>
      <c r="T56" s="272"/>
      <c r="U56" s="420"/>
      <c r="V56" s="420"/>
      <c r="W56" s="420"/>
      <c r="X56" s="420"/>
      <c r="Y56" s="420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  <c r="AK56" s="420"/>
      <c r="AL56" s="420"/>
      <c r="AM56" s="420"/>
      <c r="AN56" s="420"/>
      <c r="AO56" s="420"/>
      <c r="AP56" s="420"/>
      <c r="AQ56" s="420"/>
      <c r="AR56" s="420"/>
      <c r="AS56" s="420"/>
      <c r="AT56" s="420"/>
      <c r="AU56" s="420"/>
      <c r="AV56" s="420"/>
      <c r="AW56" s="420"/>
      <c r="AX56" s="420"/>
    </row>
    <row r="57" spans="2:58" s="54" customFormat="1">
      <c r="B57" s="387"/>
      <c r="C57" s="283"/>
      <c r="D57" s="279"/>
      <c r="E57" s="279"/>
      <c r="F57" s="279"/>
      <c r="G57" s="279"/>
      <c r="H57" s="320"/>
      <c r="I57" s="322"/>
      <c r="J57" s="281"/>
      <c r="K57" s="417"/>
      <c r="L57" s="314"/>
      <c r="M57" s="425"/>
      <c r="N57" s="13"/>
      <c r="O57" s="13"/>
      <c r="P57" s="50"/>
      <c r="T57" s="272" t="s">
        <v>51</v>
      </c>
      <c r="U57" s="57" t="e">
        <f>[20]January_2019!D8</f>
        <v>#DIV/0!</v>
      </c>
      <c r="V57" s="57">
        <f>[20]January_2019!E8</f>
        <v>1.0319298245614037</v>
      </c>
      <c r="W57" s="57">
        <f>[20]January_2019!F8</f>
        <v>1.7789473684210526</v>
      </c>
      <c r="X57" s="57">
        <f>[20]January_2019!G8</f>
        <v>0.51929824561403504</v>
      </c>
      <c r="Y57" s="57" t="e">
        <f>[20]January_2019!H8</f>
        <v>#DIV/0!</v>
      </c>
      <c r="Z57" s="57" t="e">
        <f>[20]January_2019!I8</f>
        <v>#DIV/0!</v>
      </c>
      <c r="AA57" s="57">
        <f>[20]January_2019!J8</f>
        <v>1.365263157894737</v>
      </c>
      <c r="AB57" s="57" t="e">
        <f>[20]January_2019!K8</f>
        <v>#DIV/0!</v>
      </c>
      <c r="AC57" s="57">
        <f>[20]January_2019!L8</f>
        <v>1.0028070175438597</v>
      </c>
      <c r="AD57" s="57">
        <f>[20]January_2019!M8</f>
        <v>1.7828070175438597</v>
      </c>
      <c r="AE57" s="57" t="e">
        <f>[20]January_2019!N8</f>
        <v>#DIV/0!</v>
      </c>
      <c r="AF57" s="57" t="e">
        <f>[20]January_2019!O8</f>
        <v>#DIV/0!</v>
      </c>
      <c r="AG57" s="57">
        <f>[20]January_2019!P8</f>
        <v>0.19222222222222221</v>
      </c>
      <c r="AH57" s="57">
        <f>[20]January_2019!Q8</f>
        <v>0.52219298245614032</v>
      </c>
      <c r="AI57" s="57">
        <f>[20]January_2019!R8</f>
        <v>0.42912280701754385</v>
      </c>
      <c r="AJ57" s="57" t="e">
        <f>[20]January_2019!S8</f>
        <v>#DIV/0!</v>
      </c>
      <c r="AK57" s="57">
        <f>[20]January_2019!T8</f>
        <v>1.0340350877192983</v>
      </c>
      <c r="AL57" s="57">
        <f>[20]January_2019!U8</f>
        <v>0.98421052631578942</v>
      </c>
      <c r="AM57" s="57" t="e">
        <f>[20]January_2019!V8</f>
        <v>#DIV/0!</v>
      </c>
      <c r="AN57" s="57" t="e">
        <f>[20]January_2019!W8</f>
        <v>#DIV/0!</v>
      </c>
      <c r="AO57" s="57">
        <f>[20]January_2019!X8</f>
        <v>0.66052631578947374</v>
      </c>
      <c r="AP57" s="57">
        <f>[20]January_2019!Y8</f>
        <v>1.0375438596491227</v>
      </c>
      <c r="AQ57" s="57">
        <f>[20]January_2019!Z8</f>
        <v>0.90456140350877201</v>
      </c>
      <c r="AR57" s="57">
        <f>[20]January_2019!AA8</f>
        <v>1.0217543859649123</v>
      </c>
      <c r="AS57" s="57">
        <f>[20]January_2019!AB8</f>
        <v>0.65614035087719302</v>
      </c>
      <c r="AT57" s="57" t="e">
        <f>[20]January_2019!AC8</f>
        <v>#DIV/0!</v>
      </c>
      <c r="AU57" s="57" t="e">
        <f>[20]January_2019!AD8</f>
        <v>#DIV/0!</v>
      </c>
      <c r="AV57" s="57">
        <f>[20]January_2019!AE8</f>
        <v>1.7021052631578948</v>
      </c>
      <c r="AW57" s="57">
        <f>[20]January_2019!AF8</f>
        <v>0.60192982456140354</v>
      </c>
      <c r="AX57" s="57">
        <f>[20]January_2019!AG8</f>
        <v>1.4870175438596491</v>
      </c>
      <c r="AY57" s="277" t="e">
        <f>[20]January_2019!AH8</f>
        <v>#DIV/0!</v>
      </c>
      <c r="AZ57" s="277"/>
      <c r="BA57" s="277"/>
      <c r="BB57" s="277"/>
      <c r="BC57" s="277"/>
      <c r="BD57" s="277"/>
      <c r="BE57" s="277"/>
      <c r="BF57" s="277"/>
    </row>
    <row r="58" spans="2:58" ht="58.5" hidden="1" customHeight="1" thickBot="1">
      <c r="B58" s="426"/>
      <c r="C58" s="427"/>
      <c r="D58" s="428"/>
      <c r="E58" s="428"/>
      <c r="F58" s="428"/>
      <c r="G58" s="428"/>
      <c r="H58" s="429"/>
      <c r="I58" s="430"/>
      <c r="J58" s="390"/>
      <c r="K58" s="431"/>
      <c r="L58" s="432"/>
      <c r="M58" s="424"/>
      <c r="N58" s="13"/>
      <c r="O58" s="13"/>
      <c r="P58" s="56"/>
    </row>
    <row r="59" spans="2:58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6"/>
      <c r="P59" s="60"/>
    </row>
    <row r="60" spans="2:58" ht="14.4" thickBot="1">
      <c r="B60" s="460" t="s">
        <v>55</v>
      </c>
      <c r="C60" s="461"/>
      <c r="D60" s="461"/>
      <c r="E60" s="461"/>
      <c r="F60" s="462"/>
      <c r="G60" s="460" t="s">
        <v>56</v>
      </c>
      <c r="H60" s="461"/>
      <c r="I60" s="461"/>
      <c r="J60" s="462"/>
      <c r="K60" s="460" t="s">
        <v>51</v>
      </c>
      <c r="L60" s="461"/>
      <c r="M60" s="461"/>
      <c r="N60" s="463"/>
      <c r="O60" s="56"/>
      <c r="P60" s="50"/>
    </row>
    <row r="61" spans="2:58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8">
      <c r="B62" s="29" t="s">
        <v>6</v>
      </c>
      <c r="C62" s="65"/>
      <c r="D62" s="76">
        <v>13.620940378090172</v>
      </c>
      <c r="E62" s="76">
        <v>7.1787312313291798</v>
      </c>
      <c r="F62" s="66">
        <v>4.8</v>
      </c>
      <c r="G62" s="65"/>
      <c r="H62" s="76">
        <v>14.456866761528014</v>
      </c>
      <c r="I62" s="76">
        <v>7.8483520100408546</v>
      </c>
      <c r="J62" s="66">
        <v>4.8</v>
      </c>
      <c r="K62" s="67"/>
      <c r="L62" s="194">
        <v>0.31263157894736843</v>
      </c>
      <c r="M62" s="194">
        <v>0.76809623457264942</v>
      </c>
      <c r="N62" s="68">
        <v>1</v>
      </c>
      <c r="O62" s="56"/>
      <c r="P62" s="69"/>
    </row>
    <row r="63" spans="2:58">
      <c r="B63" s="33" t="s">
        <v>9</v>
      </c>
      <c r="C63" s="65"/>
      <c r="D63" s="76">
        <v>4.6660117878192668</v>
      </c>
      <c r="E63" s="76">
        <v>6.6015692780892836</v>
      </c>
      <c r="F63" s="66">
        <v>4.8</v>
      </c>
      <c r="G63" s="65"/>
      <c r="H63" s="76">
        <v>5.2855665446815321</v>
      </c>
      <c r="I63" s="76">
        <v>7.5048624154579011</v>
      </c>
      <c r="J63" s="66">
        <v>4.8</v>
      </c>
      <c r="K63" s="67"/>
      <c r="L63" s="194">
        <v>1.3621052631578947</v>
      </c>
      <c r="M63" s="194">
        <v>0.74739011756129492</v>
      </c>
      <c r="N63" s="68">
        <v>1</v>
      </c>
      <c r="P63" s="69"/>
    </row>
    <row r="64" spans="2:58">
      <c r="B64" s="34" t="s">
        <v>40</v>
      </c>
      <c r="C64" s="65"/>
      <c r="D64" s="76"/>
      <c r="E64" s="76">
        <v>13.702325581395328</v>
      </c>
      <c r="F64" s="66">
        <v>5.5</v>
      </c>
      <c r="G64" s="65"/>
      <c r="H64" s="76"/>
      <c r="I64" s="76">
        <v>14.436247754556394</v>
      </c>
      <c r="J64" s="66">
        <v>5.5</v>
      </c>
      <c r="K64" s="67"/>
      <c r="L64" s="194"/>
      <c r="M64" s="194">
        <v>0.52401498127340829</v>
      </c>
      <c r="N64" s="68">
        <v>1</v>
      </c>
      <c r="P64" s="69"/>
    </row>
    <row r="65" spans="2:16">
      <c r="B65" s="22" t="s">
        <v>33</v>
      </c>
      <c r="C65" s="65"/>
      <c r="D65" s="76"/>
      <c r="E65" s="76">
        <v>3.9190537266638161</v>
      </c>
      <c r="F65" s="66">
        <v>3.3</v>
      </c>
      <c r="G65" s="65"/>
      <c r="H65" s="76"/>
      <c r="I65" s="76">
        <v>6.209437755460022</v>
      </c>
      <c r="J65" s="66">
        <v>3.3</v>
      </c>
      <c r="K65" s="67"/>
      <c r="L65" s="194"/>
      <c r="M65" s="194">
        <v>0.75184210526315787</v>
      </c>
      <c r="N65" s="68">
        <v>1</v>
      </c>
      <c r="P65" s="69"/>
    </row>
    <row r="66" spans="2:16">
      <c r="B66" s="35" t="s">
        <v>29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L66" s="194"/>
      <c r="M66" s="194"/>
      <c r="N66" s="68">
        <v>1</v>
      </c>
      <c r="P66" s="69"/>
    </row>
    <row r="67" spans="2:16">
      <c r="B67" s="36" t="s">
        <v>15</v>
      </c>
      <c r="C67" s="282"/>
      <c r="D67" s="76"/>
      <c r="E67" s="76">
        <v>8.7664670658682695</v>
      </c>
      <c r="F67" s="70">
        <f>[21]May_2022!$M$43</f>
        <v>3.4878406700073312</v>
      </c>
      <c r="G67" s="282"/>
      <c r="H67" s="76"/>
      <c r="I67" s="76">
        <v>10.607235567685406</v>
      </c>
      <c r="J67" s="66">
        <v>5.5</v>
      </c>
      <c r="K67" s="67"/>
      <c r="L67" s="194"/>
      <c r="M67" s="194">
        <v>0.66824561403508764</v>
      </c>
      <c r="N67" s="68">
        <v>1</v>
      </c>
      <c r="P67" s="69"/>
    </row>
    <row r="68" spans="2:16">
      <c r="B68" s="37" t="s">
        <v>16</v>
      </c>
      <c r="C68" s="65"/>
      <c r="D68" s="76"/>
      <c r="E68" s="76">
        <v>2.2765363128491556</v>
      </c>
      <c r="F68" s="66">
        <v>3.3</v>
      </c>
      <c r="G68" s="282"/>
      <c r="H68" s="76"/>
      <c r="I68" s="76">
        <v>4.6996399261015078</v>
      </c>
      <c r="J68" s="66">
        <v>3.3</v>
      </c>
      <c r="K68" s="67"/>
      <c r="L68" s="194"/>
      <c r="M68" s="194">
        <v>0.86251968503937015</v>
      </c>
      <c r="N68" s="71">
        <v>1</v>
      </c>
      <c r="P68" s="69"/>
    </row>
    <row r="69" spans="2:16" ht="14.4" thickBot="1">
      <c r="B69" s="38" t="s">
        <v>127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4.4" thickBot="1">
      <c r="B70" s="418" t="s">
        <v>162</v>
      </c>
      <c r="C70" s="65"/>
      <c r="D70" s="76"/>
      <c r="E70" s="76">
        <v>4.8792508624938291</v>
      </c>
      <c r="F70" s="66">
        <v>4.8</v>
      </c>
      <c r="G70" s="282"/>
      <c r="H70" s="76"/>
      <c r="I70" s="76">
        <v>6.2003723782925313</v>
      </c>
      <c r="J70" s="66">
        <v>4.8</v>
      </c>
      <c r="K70" s="67"/>
      <c r="L70" s="194"/>
      <c r="M70" s="194">
        <v>0.33859649122807017</v>
      </c>
      <c r="N70" s="71">
        <v>1</v>
      </c>
      <c r="O70" s="74"/>
      <c r="P70" s="75"/>
    </row>
    <row r="71" spans="2:16">
      <c r="D71" s="76">
        <v>7.6772616136919352</v>
      </c>
      <c r="E71" s="76">
        <v>7.1109174466812934</v>
      </c>
      <c r="F71" s="341">
        <v>4.5</v>
      </c>
      <c r="H71" s="76">
        <v>8.3845039435976823</v>
      </c>
      <c r="I71" s="76">
        <v>8.2178213284048329</v>
      </c>
      <c r="J71" s="341">
        <v>4.5</v>
      </c>
      <c r="K71" s="67"/>
      <c r="L71" s="194">
        <v>0.83736842105263154</v>
      </c>
      <c r="M71" s="194">
        <v>0.73560292626394308</v>
      </c>
      <c r="N71" s="386">
        <v>1</v>
      </c>
    </row>
    <row r="75" spans="2:16">
      <c r="F75" s="315"/>
    </row>
    <row r="83" spans="30:30">
      <c r="AD83" s="275" t="s">
        <v>57</v>
      </c>
    </row>
  </sheetData>
  <mergeCells count="52">
    <mergeCell ref="V1:W1"/>
    <mergeCell ref="X1:Y1"/>
    <mergeCell ref="Z1:AA1"/>
    <mergeCell ref="B2:O2"/>
    <mergeCell ref="C5:D5"/>
    <mergeCell ref="M4:N4"/>
    <mergeCell ref="T1:U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D47:E47"/>
    <mergeCell ref="B52:B53"/>
    <mergeCell ref="C52:C53"/>
    <mergeCell ref="D52:D53"/>
    <mergeCell ref="E52:E53"/>
    <mergeCell ref="M52:M53"/>
    <mergeCell ref="B60:F60"/>
    <mergeCell ref="G60:J60"/>
    <mergeCell ref="K60:N60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2686" priority="125" operator="notBetween">
      <formula>#REF!</formula>
      <formula>#REF!</formula>
    </cfRule>
  </conditionalFormatting>
  <conditionalFormatting sqref="C51">
    <cfRule type="cellIs" dxfId="2685" priority="156" stopIfTrue="1" operator="lessThan">
      <formula>96</formula>
    </cfRule>
    <cfRule type="cellIs" dxfId="2684" priority="157" stopIfTrue="1" operator="greaterThan">
      <formula>100</formula>
    </cfRule>
  </conditionalFormatting>
  <conditionalFormatting sqref="C62">
    <cfRule type="cellIs" dxfId="2683" priority="80" stopIfTrue="1" operator="greaterThan">
      <formula>$F62</formula>
    </cfRule>
  </conditionalFormatting>
  <conditionalFormatting sqref="C62:C63">
    <cfRule type="cellIs" dxfId="2682" priority="81" stopIfTrue="1" operator="lessThanOrEqual">
      <formula>0</formula>
    </cfRule>
  </conditionalFormatting>
  <conditionalFormatting sqref="C63">
    <cfRule type="cellIs" dxfId="2681" priority="160" stopIfTrue="1" operator="greaterThan">
      <formula>$F62</formula>
    </cfRule>
  </conditionalFormatting>
  <conditionalFormatting sqref="C64:C66">
    <cfRule type="cellIs" dxfId="2680" priority="105" stopIfTrue="1" operator="greaterThan">
      <formula>$F64</formula>
    </cfRule>
  </conditionalFormatting>
  <conditionalFormatting sqref="C64:C67">
    <cfRule type="cellIs" dxfId="2679" priority="109" stopIfTrue="1" operator="lessThanOrEqual">
      <formula>0</formula>
    </cfRule>
  </conditionalFormatting>
  <conditionalFormatting sqref="C67">
    <cfRule type="cellIs" dxfId="2678" priority="108" stopIfTrue="1" operator="greaterThan">
      <formula>$J67</formula>
    </cfRule>
  </conditionalFormatting>
  <conditionalFormatting sqref="C73:C77">
    <cfRule type="cellIs" dxfId="2677" priority="148" stopIfTrue="1" operator="lessThanOrEqual">
      <formula>0</formula>
    </cfRule>
  </conditionalFormatting>
  <conditionalFormatting sqref="C74:C77">
    <cfRule type="cellIs" dxfId="2676" priority="147" stopIfTrue="1" operator="greaterThan">
      <formula>$F$73</formula>
    </cfRule>
  </conditionalFormatting>
  <conditionalFormatting sqref="C79">
    <cfRule type="cellIs" dxfId="2675" priority="150" stopIfTrue="1" operator="lessThanOrEqual">
      <formula>0</formula>
    </cfRule>
    <cfRule type="cellIs" dxfId="2674" priority="149" stopIfTrue="1" operator="greaterThan">
      <formula>$F$73</formula>
    </cfRule>
  </conditionalFormatting>
  <conditionalFormatting sqref="C73:D73 D75:D81">
    <cfRule type="cellIs" dxfId="2673" priority="142" stopIfTrue="1" operator="greaterThan">
      <formula>4.5</formula>
    </cfRule>
  </conditionalFormatting>
  <conditionalFormatting sqref="D47:D48">
    <cfRule type="cellIs" dxfId="2672" priority="126" operator="notBetween">
      <formula>#REF!</formula>
      <formula>#REF!</formula>
    </cfRule>
  </conditionalFormatting>
  <conditionalFormatting sqref="D62:D69">
    <cfRule type="cellIs" dxfId="2671" priority="119" stopIfTrue="1" operator="lessThanOrEqual">
      <formula>0</formula>
    </cfRule>
  </conditionalFormatting>
  <conditionalFormatting sqref="D70">
    <cfRule type="cellIs" dxfId="2670" priority="118" stopIfTrue="1" operator="lessThanOrEqual">
      <formula>0</formula>
    </cfRule>
  </conditionalFormatting>
  <conditionalFormatting sqref="D73 D75:D81">
    <cfRule type="cellIs" dxfId="2669" priority="143" stopIfTrue="1" operator="lessThanOrEqual">
      <formula>0</formula>
    </cfRule>
  </conditionalFormatting>
  <conditionalFormatting sqref="D74">
    <cfRule type="cellIs" dxfId="2668" priority="135" stopIfTrue="1" operator="lessThanOrEqual">
      <formula>0</formula>
    </cfRule>
    <cfRule type="cellIs" dxfId="2667" priority="134" stopIfTrue="1" operator="greaterThan">
      <formula>$F$73</formula>
    </cfRule>
  </conditionalFormatting>
  <conditionalFormatting sqref="D62:E71">
    <cfRule type="cellIs" dxfId="2666" priority="77" stopIfTrue="1" operator="greaterThan">
      <formula>$F62</formula>
    </cfRule>
  </conditionalFormatting>
  <conditionalFormatting sqref="D71:E71">
    <cfRule type="cellIs" dxfId="2665" priority="78" stopIfTrue="1" operator="lessThanOrEqual">
      <formula>0</formula>
    </cfRule>
  </conditionalFormatting>
  <conditionalFormatting sqref="E10:E22">
    <cfRule type="cellIs" dxfId="2664" priority="8" operator="lessThan">
      <formula>48</formula>
    </cfRule>
  </conditionalFormatting>
  <conditionalFormatting sqref="E51">
    <cfRule type="cellIs" dxfId="2663" priority="137" stopIfTrue="1" operator="greaterThan">
      <formula>100</formula>
    </cfRule>
    <cfRule type="cellIs" dxfId="2662" priority="136" stopIfTrue="1" operator="lessThan">
      <formula>96.8</formula>
    </cfRule>
  </conditionalFormatting>
  <conditionalFormatting sqref="E62:E70">
    <cfRule type="cellIs" dxfId="2661" priority="113" stopIfTrue="1" operator="lessThanOrEqual">
      <formula>0</formula>
    </cfRule>
  </conditionalFormatting>
  <conditionalFormatting sqref="E73:E81">
    <cfRule type="cellIs" dxfId="2660" priority="129" stopIfTrue="1" operator="lessThanOrEqual">
      <formula>0</formula>
    </cfRule>
    <cfRule type="cellIs" dxfId="2659" priority="128" stopIfTrue="1" operator="greaterThan">
      <formula>4.5</formula>
    </cfRule>
  </conditionalFormatting>
  <conditionalFormatting sqref="E50:F51">
    <cfRule type="cellIs" dxfId="2658" priority="139" stopIfTrue="1" operator="greaterThan">
      <formula>100</formula>
    </cfRule>
    <cfRule type="cellIs" dxfId="2657" priority="138" stopIfTrue="1" operator="lessThan">
      <formula>96.5</formula>
    </cfRule>
  </conditionalFormatting>
  <conditionalFormatting sqref="F10:F21">
    <cfRule type="cellIs" dxfId="2656" priority="10" operator="greaterThan">
      <formula>60</formula>
    </cfRule>
  </conditionalFormatting>
  <conditionalFormatting sqref="F22">
    <cfRule type="cellIs" dxfId="2655" priority="163" operator="greaterThan">
      <formula>$AA22</formula>
    </cfRule>
    <cfRule type="cellIs" dxfId="2654" priority="164" operator="greaterThan">
      <formula>$AA59</formula>
    </cfRule>
  </conditionalFormatting>
  <conditionalFormatting sqref="F51">
    <cfRule type="cellIs" dxfId="2653" priority="155" stopIfTrue="1" operator="greaterThan">
      <formula>100</formula>
    </cfRule>
    <cfRule type="cellIs" dxfId="2652" priority="154" stopIfTrue="1" operator="lessThan">
      <formula>96.8</formula>
    </cfRule>
  </conditionalFormatting>
  <conditionalFormatting sqref="F71">
    <cfRule type="cellIs" dxfId="2651" priority="115" stopIfTrue="1" operator="lessThanOrEqual">
      <formula>0</formula>
    </cfRule>
    <cfRule type="cellIs" dxfId="2650" priority="114" stopIfTrue="1" operator="greaterThan">
      <formula>$F71</formula>
    </cfRule>
  </conditionalFormatting>
  <conditionalFormatting sqref="G62:G63 C68:C70">
    <cfRule type="cellIs" dxfId="2649" priority="121" stopIfTrue="1" operator="lessThanOrEqual">
      <formula>0</formula>
    </cfRule>
    <cfRule type="cellIs" dxfId="2648" priority="120" stopIfTrue="1" operator="greaterThan">
      <formula>$F62</formula>
    </cfRule>
  </conditionalFormatting>
  <conditionalFormatting sqref="G62:G63">
    <cfRule type="cellIs" dxfId="2647" priority="86" stopIfTrue="1" operator="greaterThan">
      <formula>$F62</formula>
    </cfRule>
    <cfRule type="cellIs" dxfId="2646" priority="87" stopIfTrue="1" operator="lessThanOrEqual">
      <formula>0</formula>
    </cfRule>
  </conditionalFormatting>
  <conditionalFormatting sqref="G64">
    <cfRule type="cellIs" dxfId="2645" priority="158" stopIfTrue="1" operator="greaterThan">
      <formula>$F63</formula>
    </cfRule>
    <cfRule type="cellIs" dxfId="2644" priority="159" stopIfTrue="1" operator="lessThanOrEqual">
      <formula>0</formula>
    </cfRule>
  </conditionalFormatting>
  <conditionalFormatting sqref="G65">
    <cfRule type="cellIs" dxfId="2643" priority="117" stopIfTrue="1" operator="lessThanOrEqual">
      <formula>0</formula>
    </cfRule>
    <cfRule type="cellIs" dxfId="2642" priority="116" stopIfTrue="1" operator="greaterThan">
      <formula>$F65</formula>
    </cfRule>
  </conditionalFormatting>
  <conditionalFormatting sqref="G66:G70">
    <cfRule type="cellIs" dxfId="2641" priority="123" stopIfTrue="1" operator="lessThanOrEqual">
      <formula>0</formula>
    </cfRule>
    <cfRule type="cellIs" dxfId="2640" priority="122" stopIfTrue="1" operator="greaterThan">
      <formula>$J66</formula>
    </cfRule>
  </conditionalFormatting>
  <conditionalFormatting sqref="G75:G80 C78 C80">
    <cfRule type="cellIs" dxfId="2639" priority="151" stopIfTrue="1" operator="greaterThan">
      <formula>4.5</formula>
    </cfRule>
    <cfRule type="cellIs" dxfId="2638" priority="152" stopIfTrue="1" operator="lessThanOrEqual">
      <formula>0</formula>
    </cfRule>
  </conditionalFormatting>
  <conditionalFormatting sqref="G10:H22">
    <cfRule type="expression" dxfId="2637" priority="1">
      <formula>IF(+(IF(G10&lt;#REF!,0,IF(G10&gt;#REF!,0,1)))=0,1)</formula>
    </cfRule>
  </conditionalFormatting>
  <conditionalFormatting sqref="G74:H74">
    <cfRule type="cellIs" dxfId="2636" priority="133" stopIfTrue="1" operator="lessThanOrEqual">
      <formula>0</formula>
    </cfRule>
    <cfRule type="cellIs" dxfId="2635" priority="132" stopIfTrue="1" operator="greaterThan">
      <formula>$F$73</formula>
    </cfRule>
  </conditionalFormatting>
  <conditionalFormatting sqref="H36:H49 G37:G48">
    <cfRule type="cellIs" dxfId="2634" priority="130" stopIfTrue="1" operator="greaterThan">
      <formula>0</formula>
    </cfRule>
  </conditionalFormatting>
  <conditionalFormatting sqref="H54:H55">
    <cfRule type="cellIs" dxfId="2633" priority="51" stopIfTrue="1" operator="greaterThan">
      <formula>$F$35</formula>
    </cfRule>
    <cfRule type="cellIs" dxfId="2632" priority="59" stopIfTrue="1" operator="greaterThan">
      <formula>$F$38</formula>
    </cfRule>
    <cfRule type="cellIs" dxfId="2631" priority="60" stopIfTrue="1" operator="lessThanOrEqual">
      <formula>0</formula>
    </cfRule>
    <cfRule type="cellIs" dxfId="2630" priority="61" stopIfTrue="1" operator="greaterThan">
      <formula>$F$36</formula>
    </cfRule>
    <cfRule type="cellIs" dxfId="2629" priority="62" stopIfTrue="1" operator="lessThanOrEqual">
      <formula>0</formula>
    </cfRule>
  </conditionalFormatting>
  <conditionalFormatting sqref="H54:H56">
    <cfRule type="cellIs" dxfId="2628" priority="25" stopIfTrue="1" operator="lessThanOrEqual">
      <formula>0</formula>
    </cfRule>
  </conditionalFormatting>
  <conditionalFormatting sqref="H56">
    <cfRule type="cellIs" dxfId="2627" priority="14" stopIfTrue="1" operator="greaterThan">
      <formula>$F$35</formula>
    </cfRule>
    <cfRule type="cellIs" dxfId="2626" priority="13" stopIfTrue="1" operator="lessThanOrEqual">
      <formula>0</formula>
    </cfRule>
    <cfRule type="cellIs" dxfId="2625" priority="24" stopIfTrue="1" operator="greaterThan">
      <formula>$F$36</formula>
    </cfRule>
    <cfRule type="cellIs" dxfId="2624" priority="22" stopIfTrue="1" operator="greaterThan">
      <formula>$F$38</formula>
    </cfRule>
    <cfRule type="cellIs" dxfId="2623" priority="23" stopIfTrue="1" operator="lessThanOrEqual">
      <formula>0</formula>
    </cfRule>
  </conditionalFormatting>
  <conditionalFormatting sqref="H57">
    <cfRule type="cellIs" dxfId="2622" priority="92" stopIfTrue="1" operator="lessThanOrEqual">
      <formula>0</formula>
    </cfRule>
    <cfRule type="cellIs" dxfId="2621" priority="101" stopIfTrue="1" operator="greaterThan">
      <formula>$F$64</formula>
    </cfRule>
    <cfRule type="cellIs" dxfId="2620" priority="93" stopIfTrue="1" operator="greaterThan">
      <formula>$F$61</formula>
    </cfRule>
    <cfRule type="cellIs" dxfId="2619" priority="104" stopIfTrue="1" operator="lessThanOrEqual">
      <formula>0</formula>
    </cfRule>
    <cfRule type="cellIs" dxfId="2618" priority="103" stopIfTrue="1" operator="greaterThan">
      <formula>$F$62</formula>
    </cfRule>
    <cfRule type="cellIs" dxfId="2617" priority="102" stopIfTrue="1" operator="lessThanOrEqual">
      <formula>0</formula>
    </cfRule>
  </conditionalFormatting>
  <conditionalFormatting sqref="H58">
    <cfRule type="cellIs" dxfId="2616" priority="50" stopIfTrue="1" operator="lessThanOrEqual">
      <formula>0</formula>
    </cfRule>
    <cfRule type="cellIs" dxfId="2615" priority="38" stopIfTrue="1" operator="lessThanOrEqual">
      <formula>0</formula>
    </cfRule>
    <cfRule type="cellIs" dxfId="2614" priority="39" stopIfTrue="1" operator="greaterThan">
      <formula>$F$35</formula>
    </cfRule>
    <cfRule type="cellIs" dxfId="2613" priority="47" stopIfTrue="1" operator="greaterThan">
      <formula>$F$38</formula>
    </cfRule>
    <cfRule type="cellIs" dxfId="2612" priority="48" stopIfTrue="1" operator="lessThanOrEqual">
      <formula>0</formula>
    </cfRule>
    <cfRule type="cellIs" dxfId="2611" priority="49" stopIfTrue="1" operator="greaterThan">
      <formula>$F$36</formula>
    </cfRule>
  </conditionalFormatting>
  <conditionalFormatting sqref="H62:H69">
    <cfRule type="cellIs" dxfId="2610" priority="106" stopIfTrue="1" operator="greaterThan">
      <formula>$J62</formula>
    </cfRule>
    <cfRule type="cellIs" dxfId="2609" priority="107" stopIfTrue="1" operator="lessThanOrEqual">
      <formula>0</formula>
    </cfRule>
  </conditionalFormatting>
  <conditionalFormatting sqref="H70">
    <cfRule type="cellIs" dxfId="2608" priority="110" operator="greaterThan">
      <formula>5.3</formula>
    </cfRule>
  </conditionalFormatting>
  <conditionalFormatting sqref="H73 H75:H81">
    <cfRule type="cellIs" dxfId="2607" priority="145" stopIfTrue="1" operator="lessThanOrEqual">
      <formula>0</formula>
    </cfRule>
    <cfRule type="cellIs" dxfId="2606" priority="144" stopIfTrue="1" operator="greaterThan">
      <formula>4.5</formula>
    </cfRule>
  </conditionalFormatting>
  <conditionalFormatting sqref="H54:I55">
    <cfRule type="cellIs" dxfId="2605" priority="52" stopIfTrue="1" operator="lessThanOrEqual">
      <formula>0</formula>
    </cfRule>
  </conditionalFormatting>
  <conditionalFormatting sqref="H54:I56">
    <cfRule type="cellIs" dxfId="2604" priority="12" stopIfTrue="1" operator="greaterThan">
      <formula>$F$37</formula>
    </cfRule>
  </conditionalFormatting>
  <conditionalFormatting sqref="H56:I56">
    <cfRule type="cellIs" dxfId="2603" priority="15" stopIfTrue="1" operator="lessThanOrEqual">
      <formula>0</formula>
    </cfRule>
  </conditionalFormatting>
  <conditionalFormatting sqref="H57:I57">
    <cfRule type="cellIs" dxfId="2602" priority="91" stopIfTrue="1" operator="greaterThan">
      <formula>$F$63</formula>
    </cfRule>
    <cfRule type="cellIs" dxfId="2601" priority="94" stopIfTrue="1" operator="lessThanOrEqual">
      <formula>0</formula>
    </cfRule>
  </conditionalFormatting>
  <conditionalFormatting sqref="H58:I58">
    <cfRule type="cellIs" dxfId="2600" priority="40" stopIfTrue="1" operator="lessThanOrEqual">
      <formula>0</formula>
    </cfRule>
    <cfRule type="cellIs" dxfId="2599" priority="37" stopIfTrue="1" operator="greaterThan">
      <formula>$F$37</formula>
    </cfRule>
  </conditionalFormatting>
  <conditionalFormatting sqref="H71:I71">
    <cfRule type="cellIs" dxfId="2598" priority="76" stopIfTrue="1" operator="lessThanOrEqual">
      <formula>0</formula>
    </cfRule>
    <cfRule type="cellIs" dxfId="2597" priority="75" stopIfTrue="1" operator="greaterThan">
      <formula>$J71</formula>
    </cfRule>
  </conditionalFormatting>
  <conditionalFormatting sqref="I22">
    <cfRule type="cellIs" dxfId="2596" priority="85" operator="lessThan">
      <formula>98</formula>
    </cfRule>
    <cfRule type="cellIs" dxfId="2595" priority="82" operator="lessThan">
      <formula>97.8</formula>
    </cfRule>
  </conditionalFormatting>
  <conditionalFormatting sqref="I54:I55">
    <cfRule type="cellIs" dxfId="2594" priority="54" stopIfTrue="1" operator="lessThanOrEqual">
      <formula>0</formula>
    </cfRule>
    <cfRule type="cellIs" dxfId="2593" priority="58" stopIfTrue="1" operator="lessThanOrEqual">
      <formula>0</formula>
    </cfRule>
    <cfRule type="cellIs" dxfId="2592" priority="55" stopIfTrue="1" operator="greaterThan">
      <formula>$F$37</formula>
    </cfRule>
    <cfRule type="cellIs" dxfId="2591" priority="57" stopIfTrue="1" operator="greaterThan">
      <formula>$F$35</formula>
    </cfRule>
    <cfRule type="cellIs" dxfId="2590" priority="56" stopIfTrue="1" operator="lessThanOrEqual">
      <formula>0</formula>
    </cfRule>
    <cfRule type="cellIs" dxfId="2589" priority="53" stopIfTrue="1" operator="greaterThan">
      <formula>$F$35</formula>
    </cfRule>
  </conditionalFormatting>
  <conditionalFormatting sqref="I56">
    <cfRule type="cellIs" dxfId="2588" priority="16" stopIfTrue="1" operator="greaterThan">
      <formula>$F$35</formula>
    </cfRule>
    <cfRule type="cellIs" dxfId="2587" priority="17" stopIfTrue="1" operator="lessThanOrEqual">
      <formula>0</formula>
    </cfRule>
    <cfRule type="cellIs" dxfId="2586" priority="18" stopIfTrue="1" operator="greaterThan">
      <formula>$F$37</formula>
    </cfRule>
    <cfRule type="cellIs" dxfId="2585" priority="19" stopIfTrue="1" operator="lessThanOrEqual">
      <formula>0</formula>
    </cfRule>
    <cfRule type="cellIs" dxfId="2584" priority="21" stopIfTrue="1" operator="lessThanOrEqual">
      <formula>0</formula>
    </cfRule>
    <cfRule type="cellIs" dxfId="2583" priority="20" stopIfTrue="1" operator="greaterThan">
      <formula>$F$35</formula>
    </cfRule>
  </conditionalFormatting>
  <conditionalFormatting sqref="I57">
    <cfRule type="cellIs" dxfId="2582" priority="100" stopIfTrue="1" operator="lessThanOrEqual">
      <formula>0</formula>
    </cfRule>
    <cfRule type="cellIs" dxfId="2581" priority="99" stopIfTrue="1" operator="greaterThan">
      <formula>$F$61</formula>
    </cfRule>
    <cfRule type="cellIs" dxfId="2580" priority="98" stopIfTrue="1" operator="lessThanOrEqual">
      <formula>0</formula>
    </cfRule>
    <cfRule type="cellIs" dxfId="2579" priority="97" stopIfTrue="1" operator="greaterThan">
      <formula>$F$63</formula>
    </cfRule>
    <cfRule type="cellIs" dxfId="2578" priority="96" stopIfTrue="1" operator="lessThanOrEqual">
      <formula>0</formula>
    </cfRule>
    <cfRule type="cellIs" dxfId="2577" priority="95" stopIfTrue="1" operator="greaterThan">
      <formula>$F$61</formula>
    </cfRule>
  </conditionalFormatting>
  <conditionalFormatting sqref="I58">
    <cfRule type="cellIs" dxfId="2576" priority="44" stopIfTrue="1" operator="lessThanOrEqual">
      <formula>0</formula>
    </cfRule>
    <cfRule type="cellIs" dxfId="2575" priority="43" stopIfTrue="1" operator="greaterThan">
      <formula>$F$37</formula>
    </cfRule>
    <cfRule type="cellIs" dxfId="2574" priority="42" stopIfTrue="1" operator="lessThanOrEqual">
      <formula>0</formula>
    </cfRule>
    <cfRule type="cellIs" dxfId="2573" priority="41" stopIfTrue="1" operator="greaterThan">
      <formula>$F$35</formula>
    </cfRule>
    <cfRule type="cellIs" dxfId="2572" priority="45" stopIfTrue="1" operator="greaterThan">
      <formula>$F$35</formula>
    </cfRule>
    <cfRule type="cellIs" dxfId="2571" priority="46" stopIfTrue="1" operator="lessThanOrEqual">
      <formula>0</formula>
    </cfRule>
  </conditionalFormatting>
  <conditionalFormatting sqref="I62:I70">
    <cfRule type="cellIs" dxfId="2570" priority="111" stopIfTrue="1" operator="greaterThan">
      <formula>$J62</formula>
    </cfRule>
    <cfRule type="cellIs" dxfId="2569" priority="112" stopIfTrue="1" operator="lessThanOrEqual">
      <formula>0</formula>
    </cfRule>
  </conditionalFormatting>
  <conditionalFormatting sqref="I73:I81">
    <cfRule type="cellIs" dxfId="2568" priority="140" stopIfTrue="1" operator="greaterThan">
      <formula>4.5</formula>
    </cfRule>
    <cfRule type="cellIs" dxfId="2567" priority="141" stopIfTrue="1" operator="lessThanOrEqual">
      <formula>0</formula>
    </cfRule>
  </conditionalFormatting>
  <conditionalFormatting sqref="I10:J21">
    <cfRule type="cellIs" dxfId="2566" priority="11" operator="lessThan">
      <formula>97.9</formula>
    </cfRule>
  </conditionalFormatting>
  <conditionalFormatting sqref="J22">
    <cfRule type="cellIs" dxfId="2565" priority="84" operator="lessThan">
      <formula>97.4</formula>
    </cfRule>
    <cfRule type="cellIs" dxfId="2564" priority="83" operator="notBetween">
      <formula>98</formula>
      <formula>99.9</formula>
    </cfRule>
  </conditionalFormatting>
  <conditionalFormatting sqref="J25:J27">
    <cfRule type="cellIs" dxfId="2563" priority="65" stopIfTrue="1" operator="lessThan">
      <formula>96.8</formula>
    </cfRule>
    <cfRule type="cellIs" dxfId="2562" priority="66" stopIfTrue="1" operator="greaterThan">
      <formula>100</formula>
    </cfRule>
    <cfRule type="cellIs" dxfId="2561" priority="67" operator="lessThan">
      <formula>98</formula>
    </cfRule>
  </conditionalFormatting>
  <conditionalFormatting sqref="J25:J29">
    <cfRule type="cellIs" dxfId="2560" priority="64" operator="lessThan">
      <formula>97.4</formula>
    </cfRule>
  </conditionalFormatting>
  <conditionalFormatting sqref="J30">
    <cfRule type="cellIs" dxfId="2559" priority="68" operator="lessThan">
      <formula>98</formula>
    </cfRule>
  </conditionalFormatting>
  <conditionalFormatting sqref="J31:J33">
    <cfRule type="cellIs" dxfId="2558" priority="70" stopIfTrue="1" operator="greaterThan">
      <formula>100</formula>
    </cfRule>
    <cfRule type="cellIs" dxfId="2557" priority="69" stopIfTrue="1" operator="lessThan">
      <formula>96.8</formula>
    </cfRule>
  </conditionalFormatting>
  <conditionalFormatting sqref="J31:J34">
    <cfRule type="cellIs" dxfId="2556" priority="71" operator="lessThan">
      <formula>98</formula>
    </cfRule>
  </conditionalFormatting>
  <conditionalFormatting sqref="J71">
    <cfRule type="cellIs" dxfId="2555" priority="72" stopIfTrue="1" operator="greaterThan">
      <formula>$F71</formula>
    </cfRule>
    <cfRule type="cellIs" dxfId="2554" priority="73" stopIfTrue="1" operator="lessThanOrEqual">
      <formula>0</formula>
    </cfRule>
  </conditionalFormatting>
  <conditionalFormatting sqref="K10:K22">
    <cfRule type="cellIs" dxfId="2553" priority="9" operator="greaterThan">
      <formula>6.4</formula>
    </cfRule>
    <cfRule type="cellIs" dxfId="2552" priority="5" operator="lessThan">
      <formula>4</formula>
    </cfRule>
    <cfRule type="cellIs" dxfId="2551" priority="4" operator="greaterThan">
      <formula>6</formula>
    </cfRule>
  </conditionalFormatting>
  <conditionalFormatting sqref="K39:K48">
    <cfRule type="cellIs" dxfId="2550" priority="63" operator="notEqual">
      <formula>#REF!</formula>
    </cfRule>
  </conditionalFormatting>
  <conditionalFormatting sqref="K54:K58 K62:N65 L66:N66">
    <cfRule type="cellIs" dxfId="2549" priority="124" stopIfTrue="1" operator="lessThan">
      <formula>100%</formula>
    </cfRule>
  </conditionalFormatting>
  <conditionalFormatting sqref="K73:K78">
    <cfRule type="cellIs" dxfId="2548" priority="146" stopIfTrue="1" operator="lessThan">
      <formula>100%</formula>
    </cfRule>
  </conditionalFormatting>
  <conditionalFormatting sqref="K80:K81">
    <cfRule type="cellIs" dxfId="2547" priority="153" stopIfTrue="1" operator="lessThan">
      <formula>100%</formula>
    </cfRule>
  </conditionalFormatting>
  <conditionalFormatting sqref="K67:N71">
    <cfRule type="cellIs" dxfId="2546" priority="74" stopIfTrue="1" operator="lessThan">
      <formula>100%</formula>
    </cfRule>
  </conditionalFormatting>
  <conditionalFormatting sqref="L10:L22">
    <cfRule type="cellIs" dxfId="2545" priority="7" operator="greaterThan">
      <formula>65</formula>
    </cfRule>
    <cfRule type="cellIs" dxfId="2544" priority="6" operator="between">
      <formula>61</formula>
      <formula>65</formula>
    </cfRule>
  </conditionalFormatting>
  <conditionalFormatting sqref="L25:M36">
    <cfRule type="cellIs" dxfId="2543" priority="79" operator="lessThan">
      <formula>98</formula>
    </cfRule>
  </conditionalFormatting>
  <conditionalFormatting sqref="L40:N40">
    <cfRule type="cellIs" dxfId="2542" priority="88" operator="notEqual">
      <formula>#REF!</formula>
    </cfRule>
  </conditionalFormatting>
  <conditionalFormatting sqref="L73:N81">
    <cfRule type="cellIs" dxfId="2541" priority="131" stopIfTrue="1" operator="lessThan">
      <formula>100%</formula>
    </cfRule>
  </conditionalFormatting>
  <conditionalFormatting sqref="M10:M22">
    <cfRule type="expression" dxfId="2540" priority="2">
      <formula>IF(+(IF(M10&lt;V10,0,IF(M10&gt;W10,0,1)))=0,1)</formula>
    </cfRule>
  </conditionalFormatting>
  <conditionalFormatting sqref="M6:N6">
    <cfRule type="cellIs" dxfId="2539" priority="90" operator="greaterThanOrEqual">
      <formula>19</formula>
    </cfRule>
    <cfRule type="cellIs" dxfId="2538" priority="89" operator="greaterThanOrEqual">
      <formula>15</formula>
    </cfRule>
  </conditionalFormatting>
  <conditionalFormatting sqref="N10:N22">
    <cfRule type="expression" dxfId="2537" priority="3">
      <formula>IF(+(IF(N10&lt;X10,0,IF(N10&gt;Y10,0,1)))=0,1)</formula>
    </cfRule>
  </conditionalFormatting>
  <conditionalFormatting sqref="N22">
    <cfRule type="expression" dxfId="2536" priority="161">
      <formula>IF(+(IF(N22&lt;X64,0,IF(N22&gt;Y64,0,1)))=0,1)</formula>
    </cfRule>
    <cfRule type="expression" dxfId="2535" priority="162">
      <formula>IF(+(IF(N22&lt;X59,0,IF(N22&gt;Y59,0,1)))=0,1)</formula>
    </cfRule>
  </conditionalFormatting>
  <conditionalFormatting sqref="P6">
    <cfRule type="cellIs" dxfId="2534" priority="127" operator="greaterThanOrEqual">
      <formula>19</formula>
    </cfRule>
  </conditionalFormatting>
  <dataValidations count="1">
    <dataValidation type="list" allowBlank="1" showInputMessage="1" showErrorMessage="1" sqref="S8 B22" xr:uid="{1403150D-2A2E-48A4-A5D2-3CEF900FDDB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AB69-206B-4364-A972-32A2B3AC2229}">
  <sheetPr>
    <pageSetUpPr fitToPage="1"/>
  </sheetPr>
  <dimension ref="A1:BF83"/>
  <sheetViews>
    <sheetView topLeftCell="B18" zoomScale="80" zoomScaleNormal="80" workbookViewId="0">
      <selection activeCell="H13" sqref="H13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11" t="s">
        <v>0</v>
      </c>
      <c r="U1" s="511"/>
      <c r="V1" s="511" t="s">
        <v>1</v>
      </c>
      <c r="W1" s="511"/>
      <c r="X1" s="511" t="s">
        <v>2</v>
      </c>
      <c r="Y1" s="511"/>
      <c r="Z1" s="511" t="s">
        <v>124</v>
      </c>
      <c r="AA1" s="511"/>
    </row>
    <row r="2" spans="2:30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21">
        <v>45754</v>
      </c>
      <c r="J4" s="399" t="s">
        <v>166</v>
      </c>
      <c r="K4" s="399"/>
      <c r="L4" s="11"/>
      <c r="M4" s="533" t="s">
        <v>8</v>
      </c>
      <c r="N4" s="534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0" t="s">
        <v>168</v>
      </c>
      <c r="K6" s="401"/>
      <c r="L6" s="311" t="s">
        <v>14</v>
      </c>
      <c r="M6" s="340">
        <v>12</v>
      </c>
      <c r="N6" s="340">
        <v>10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2"/>
      <c r="K7" s="403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159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80" t="s">
        <v>155</v>
      </c>
      <c r="P8" s="472" t="s">
        <v>170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20"/>
      <c r="P9" s="529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hidden="1" customHeight="1">
      <c r="B10" s="33"/>
      <c r="C10" s="366"/>
      <c r="D10" s="279"/>
      <c r="E10" s="279"/>
      <c r="F10" s="278"/>
      <c r="G10" s="279"/>
      <c r="H10" s="396"/>
      <c r="I10" s="434"/>
      <c r="J10" s="434"/>
      <c r="K10" s="398"/>
      <c r="L10" s="276"/>
      <c r="M10" s="374"/>
      <c r="N10" s="370"/>
      <c r="O10" s="435"/>
      <c r="P10" s="419"/>
      <c r="Q10" s="347"/>
      <c r="S10" s="277">
        <f t="shared" ref="S10:S24" si="0">B10</f>
        <v>0</v>
      </c>
      <c r="T10" s="296" t="e">
        <f t="shared" ref="T10:T24" si="1">VLOOKUP($B10,$S$3:$Y$9,2,FALSE)</f>
        <v>#N/A</v>
      </c>
      <c r="U10" s="296" t="e">
        <f t="shared" ref="U10:U24" si="2">VLOOKUP($B10,$S$3:$Y$9,3,FALSE)</f>
        <v>#N/A</v>
      </c>
      <c r="V10" s="297" t="e">
        <f t="shared" ref="V10:V24" si="3">VLOOKUP($B10,$S$3:$Y$9,4,FALSE)</f>
        <v>#N/A</v>
      </c>
      <c r="W10" s="297" t="e">
        <f t="shared" ref="W10:W24" si="4">VLOOKUP($B10,$S$3:$Y$9,5,FALSE)</f>
        <v>#N/A</v>
      </c>
      <c r="X10" s="297" t="e">
        <f t="shared" ref="X10:X24" si="5">VLOOKUP($B10,$S$3:$Y$9,6,FALSE)</f>
        <v>#N/A</v>
      </c>
      <c r="Y10" s="297" t="e">
        <f t="shared" ref="Y10:Y24" si="6">VLOOKUP($B10,$S$3:$Y$9,7,FALSE)</f>
        <v>#N/A</v>
      </c>
      <c r="Z10" s="297" t="e">
        <f t="shared" ref="Z10:Z24" si="7">VLOOKUP($B10,$S$3:$AA$9,8,FALSE)</f>
        <v>#N/A</v>
      </c>
      <c r="AA10" s="296" t="e">
        <f t="shared" ref="AA10:AA24" si="8">VLOOKUP($B10,$S$3:$AA$9,9,FALSE)</f>
        <v>#N/A</v>
      </c>
    </row>
    <row r="11" spans="2:30" ht="15.75" hidden="1" customHeight="1">
      <c r="B11" s="33"/>
      <c r="C11" s="366"/>
      <c r="D11" s="279"/>
      <c r="E11" s="279"/>
      <c r="F11" s="278"/>
      <c r="G11" s="279"/>
      <c r="H11" s="396"/>
      <c r="I11" s="434"/>
      <c r="J11" s="434"/>
      <c r="K11" s="398"/>
      <c r="L11" s="276"/>
      <c r="M11" s="374"/>
      <c r="N11" s="370"/>
      <c r="O11" s="435"/>
      <c r="P11" s="41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.75" customHeight="1">
      <c r="B12" s="33" t="s">
        <v>9</v>
      </c>
      <c r="C12" s="366" t="str">
        <f>[24]Brewhouse!$A144</f>
        <v>ST127</v>
      </c>
      <c r="D12" s="279">
        <f>[24]Brewhouse!$AD144</f>
        <v>53.3</v>
      </c>
      <c r="E12" s="279">
        <f>[24]Brewhouse!$AG144</f>
        <v>49.8</v>
      </c>
      <c r="F12" s="278">
        <f>[24]Brewhouse!$V144</f>
        <v>79</v>
      </c>
      <c r="G12" s="279">
        <f>[24]Brewhouse!$AE144</f>
        <v>12</v>
      </c>
      <c r="H12" s="396">
        <v>12</v>
      </c>
      <c r="I12" s="434">
        <f>[24]Brewhouse!$AS144</f>
        <v>99.612902884689717</v>
      </c>
      <c r="J12" s="434">
        <f>[24]Brewhouse!$AT144</f>
        <v>100.74964327015871</v>
      </c>
      <c r="K12" s="398">
        <f>[24]Brewhouse!$Q144</f>
        <v>4.2750929368029693</v>
      </c>
      <c r="L12" s="276">
        <f>[24]Brewhouse!$P144</f>
        <v>58</v>
      </c>
      <c r="M12" s="374">
        <f>[24]Brewhouse!$U144-[24]Brewhouse!$T144</f>
        <v>0.12152777777777773</v>
      </c>
      <c r="N12" s="370">
        <f>[24]Brewhouse!$AW144</f>
        <v>0.26180555555555551</v>
      </c>
      <c r="O12" s="435" t="str">
        <f>[24]Brewhouse!$AV144</f>
        <v>R.Sookram</v>
      </c>
      <c r="P12" s="437">
        <v>96.269228605883285</v>
      </c>
      <c r="Q12" s="347"/>
      <c r="S12" s="277" t="str">
        <f t="shared" si="0"/>
        <v>STAG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33" t="s">
        <v>9</v>
      </c>
      <c r="C13" s="366" t="str">
        <f>[24]Brewhouse!$A145</f>
        <v>ST128</v>
      </c>
      <c r="D13" s="279">
        <f>[24]Brewhouse!$AD145</f>
        <v>53.9</v>
      </c>
      <c r="E13" s="279">
        <f>[24]Brewhouse!$AG145</f>
        <v>50.5</v>
      </c>
      <c r="F13" s="278">
        <f>[24]Brewhouse!$V145</f>
        <v>62</v>
      </c>
      <c r="G13" s="279">
        <f>[24]Brewhouse!$AE145</f>
        <v>11.8</v>
      </c>
      <c r="H13" s="396">
        <v>11.8</v>
      </c>
      <c r="I13" s="434">
        <f>[24]Brewhouse!$AS145</f>
        <v>98.872380781910195</v>
      </c>
      <c r="J13" s="434">
        <f>[24]Brewhouse!$AT145</f>
        <v>100.0017716185931</v>
      </c>
      <c r="K13" s="398">
        <f>[24]Brewhouse!$Q145</f>
        <v>5.1756007393715286</v>
      </c>
      <c r="L13" s="276">
        <f>[24]Brewhouse!$P145</f>
        <v>57</v>
      </c>
      <c r="M13" s="374">
        <f>[24]Brewhouse!$U145-[24]Brewhouse!$T145</f>
        <v>0.1118055555555556</v>
      </c>
      <c r="N13" s="370">
        <f>[24]Brewhouse!$AW145</f>
        <v>0.25138888888888894</v>
      </c>
      <c r="O13" s="435" t="str">
        <f>[24]Brewhouse!$AV145</f>
        <v>K. Benjamin</v>
      </c>
      <c r="P13" s="437">
        <v>92.561989578092721</v>
      </c>
      <c r="Q13" s="347"/>
      <c r="S13" s="277" t="str">
        <f t="shared" si="0"/>
        <v>STAG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33" t="s">
        <v>9</v>
      </c>
      <c r="C14" s="366" t="str">
        <f>[24]Brewhouse!$A146</f>
        <v>ST129</v>
      </c>
      <c r="D14" s="279">
        <f>[24]Brewhouse!$AD146</f>
        <v>53.7</v>
      </c>
      <c r="E14" s="279">
        <f>[24]Brewhouse!$AG146</f>
        <v>50.4</v>
      </c>
      <c r="F14" s="278">
        <f>[24]Brewhouse!$V146</f>
        <v>60</v>
      </c>
      <c r="G14" s="279">
        <f>[24]Brewhouse!$AE146</f>
        <v>11.7</v>
      </c>
      <c r="H14" s="396">
        <v>11.8</v>
      </c>
      <c r="I14" s="434">
        <f>[24]Brewhouse!$AS146</f>
        <v>98.164307604461925</v>
      </c>
      <c r="J14" s="434">
        <f>[24]Brewhouse!$AT146</f>
        <v>99.284517232272535</v>
      </c>
      <c r="K14" s="398">
        <f>[24]Brewhouse!$Q146</f>
        <v>4.6296296296296298</v>
      </c>
      <c r="L14" s="276">
        <f>[24]Brewhouse!$P146</f>
        <v>60</v>
      </c>
      <c r="M14" s="374">
        <f>[24]Brewhouse!$U146-[24]Brewhouse!$T146</f>
        <v>0.11527777777777781</v>
      </c>
      <c r="N14" s="370">
        <f>[24]Brewhouse!$AW146</f>
        <v>0.25624999999999998</v>
      </c>
      <c r="O14" s="435" t="str">
        <f>[24]Brewhouse!$AV146</f>
        <v>K. Benjamin</v>
      </c>
      <c r="P14" s="437">
        <v>98.612773337654687</v>
      </c>
      <c r="Q14" s="347"/>
      <c r="S14" s="277" t="str">
        <f t="shared" si="0"/>
        <v>STAG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33" t="s">
        <v>9</v>
      </c>
      <c r="C15" s="366" t="str">
        <f>[24]Brewhouse!$A147</f>
        <v>ST130</v>
      </c>
      <c r="D15" s="279">
        <f>[24]Brewhouse!$AD147</f>
        <v>52.5</v>
      </c>
      <c r="E15" s="279">
        <f>[24]Brewhouse!$AG147</f>
        <v>49.3</v>
      </c>
      <c r="F15" s="278">
        <f>[24]Brewhouse!$V147</f>
        <v>59</v>
      </c>
      <c r="G15" s="279">
        <f>[24]Brewhouse!$AE147</f>
        <v>11.8</v>
      </c>
      <c r="H15" s="396">
        <v>11.8</v>
      </c>
      <c r="I15" s="434">
        <f>[24]Brewhouse!$AS147</f>
        <v>96.764330157536619</v>
      </c>
      <c r="J15" s="434">
        <f>[24]Brewhouse!$AT147</f>
        <v>97.868923897107251</v>
      </c>
      <c r="K15" s="398">
        <f>[24]Brewhouse!$Q147</f>
        <v>4.444444444444442</v>
      </c>
      <c r="L15" s="276">
        <f>[24]Brewhouse!$P147</f>
        <v>61</v>
      </c>
      <c r="M15" s="374">
        <f>[24]Brewhouse!$U147-[24]Brewhouse!$T147</f>
        <v>0.11875000000000002</v>
      </c>
      <c r="N15" s="370">
        <f>[24]Brewhouse!$AW147</f>
        <v>0.24722222222222223</v>
      </c>
      <c r="O15" s="435" t="str">
        <f>[24]Brewhouse!$AV147</f>
        <v>K. Benjamin</v>
      </c>
      <c r="P15" s="437">
        <v>97.403979087129343</v>
      </c>
      <c r="Q15" s="347"/>
      <c r="S15" s="277" t="str">
        <f t="shared" si="0"/>
        <v>STAG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33" t="s">
        <v>9</v>
      </c>
      <c r="C16" s="366" t="str">
        <f>[24]Brewhouse!$A148</f>
        <v>ST131</v>
      </c>
      <c r="D16" s="279">
        <f>[24]Brewhouse!$AD148</f>
        <v>53.4</v>
      </c>
      <c r="E16" s="279">
        <f>[24]Brewhouse!$AG148</f>
        <v>50.1</v>
      </c>
      <c r="F16" s="278">
        <f>[24]Brewhouse!$V148</f>
        <v>63</v>
      </c>
      <c r="G16" s="279">
        <f>[24]Brewhouse!$AE148</f>
        <v>11.8</v>
      </c>
      <c r="H16" s="396">
        <v>11.9</v>
      </c>
      <c r="I16" s="434">
        <f>[24]Brewhouse!$AS148</f>
        <v>98.581081664819095</v>
      </c>
      <c r="J16" s="434">
        <f>[24]Brewhouse!$AT148</f>
        <v>99.705679601823675</v>
      </c>
      <c r="K16" s="398">
        <f>[24]Brewhouse!$Q148</f>
        <v>4.4036697247706398</v>
      </c>
      <c r="L16" s="276">
        <f>[24]Brewhouse!$P148</f>
        <v>60</v>
      </c>
      <c r="M16" s="374">
        <f>[24]Brewhouse!$U148-[24]Brewhouse!$T148</f>
        <v>0.10902777777777783</v>
      </c>
      <c r="N16" s="370">
        <f>[24]Brewhouse!$AW148</f>
        <v>0.25902777777777786</v>
      </c>
      <c r="O16" s="435" t="str">
        <f>[24]Brewhouse!$AV148</f>
        <v>R.Sookram</v>
      </c>
      <c r="P16" s="437">
        <v>96.995684894884988</v>
      </c>
      <c r="Q16" s="347"/>
      <c r="S16" s="277" t="str">
        <f t="shared" si="0"/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33" t="s">
        <v>9</v>
      </c>
      <c r="C17" s="366" t="str">
        <f>[24]Brewhouse!$A149</f>
        <v>ST132</v>
      </c>
      <c r="D17" s="279">
        <f>[24]Brewhouse!$AD149</f>
        <v>53.4</v>
      </c>
      <c r="E17" s="279">
        <f>[24]Brewhouse!$AG149</f>
        <v>50.2</v>
      </c>
      <c r="F17" s="278">
        <f>[24]Brewhouse!$V149</f>
        <v>61</v>
      </c>
      <c r="G17" s="279">
        <f>[24]Brewhouse!$AE149</f>
        <v>11.8</v>
      </c>
      <c r="H17" s="396">
        <v>11.8</v>
      </c>
      <c r="I17" s="434">
        <f>[24]Brewhouse!$AS149</f>
        <v>98.654179974952328</v>
      </c>
      <c r="J17" s="434">
        <f>[24]Brewhouse!$AT149</f>
        <v>99.779979819402925</v>
      </c>
      <c r="K17" s="398">
        <f>[24]Brewhouse!$Q149</f>
        <v>4.9270072992700653</v>
      </c>
      <c r="L17" s="276">
        <f>[24]Brewhouse!$P149</f>
        <v>57</v>
      </c>
      <c r="M17" s="374">
        <f>[24]Brewhouse!$U149-[24]Brewhouse!$T149</f>
        <v>0.10763888888888884</v>
      </c>
      <c r="N17" s="370">
        <f>[24]Brewhouse!$AW149</f>
        <v>0.26666666666666661</v>
      </c>
      <c r="O17" s="435" t="str">
        <f>[24]Brewhouse!$AV149</f>
        <v>R.Sookram</v>
      </c>
      <c r="P17" s="437">
        <v>95.370766782042693</v>
      </c>
      <c r="Q17" s="347"/>
      <c r="S17" s="277" t="str">
        <f t="shared" si="0"/>
        <v>STAG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37">
        <v>96.396949915359031</v>
      </c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37">
        <v>97.671568620620135</v>
      </c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00" t="s">
        <v>34</v>
      </c>
      <c r="J23" s="500"/>
      <c r="K23" s="500"/>
      <c r="L23" s="500"/>
      <c r="M23" s="500"/>
      <c r="N23" s="500"/>
      <c r="O23" s="1"/>
      <c r="P23" s="12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" thickBot="1">
      <c r="B24" s="388" t="s">
        <v>145</v>
      </c>
      <c r="C24" s="388"/>
      <c r="D24" s="513" t="s">
        <v>35</v>
      </c>
      <c r="E24" s="514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0"/>
        <v>BRAND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customHeight="1">
      <c r="A25" s="28"/>
      <c r="B25" s="543" t="str">
        <f>I25</f>
        <v>CARIB</v>
      </c>
      <c r="C25" s="362">
        <f>[23]Process!D296</f>
        <v>11.7</v>
      </c>
      <c r="D25" s="504">
        <v>11.77</v>
      </c>
      <c r="E25" s="493"/>
      <c r="F25" s="294"/>
      <c r="G25" s="294"/>
      <c r="H25" s="348"/>
      <c r="I25" s="29" t="s">
        <v>6</v>
      </c>
      <c r="J25" s="280"/>
      <c r="K25" s="284"/>
      <c r="L25" s="302"/>
      <c r="M25" s="302">
        <f>AVERAGE([23]Brewhouse!$AU$102:$AU$171,[23]Brewhouse!$AU$173:$AU$253,[23]Brewhouse!$AU$255:$AU$339)</f>
        <v>96.788243515624899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483"/>
      <c r="C26" s="349">
        <f>[23]Process!D297</f>
        <v>12</v>
      </c>
      <c r="D26" s="505"/>
      <c r="E26" s="488"/>
      <c r="F26" s="294"/>
      <c r="G26" s="294"/>
      <c r="H26" s="348"/>
      <c r="I26" s="33" t="s">
        <v>9</v>
      </c>
      <c r="J26" s="280">
        <f>AVERAGE(I12:I17)</f>
        <v>98.441530511394959</v>
      </c>
      <c r="K26" s="284">
        <f>COUNTA([24]Brewhouse!$A$142:$A$149)</f>
        <v>8</v>
      </c>
      <c r="L26" s="302">
        <f>AVERAGE([24]Brewhouse!$AS$142:$AS$149)</f>
        <v>98.511344547748777</v>
      </c>
      <c r="M26" s="302">
        <f>AVERAGE([24]Brewhouse!$AS$15:$AS$64,[24]Brewhouse!$AS$66:$AS$103,[24]Brewhouse!$AS$105:$AS$140,[24]Brewhouse!$AS$142:$AS$149)</f>
        <v>96.81500140255207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483"/>
      <c r="C27" s="349">
        <f>[23]Process!D304</f>
        <v>11.76</v>
      </c>
      <c r="D27" s="504">
        <v>11.8</v>
      </c>
      <c r="E27" s="493"/>
      <c r="F27" s="294"/>
      <c r="G27" s="294"/>
      <c r="H27" s="348"/>
      <c r="I27" s="34" t="s">
        <v>12</v>
      </c>
      <c r="J27" s="280"/>
      <c r="K27" s="284">
        <f>COUNTA([22]Brewhouse!$A$37)</f>
        <v>1</v>
      </c>
      <c r="L27" s="302">
        <f>AVERAGE([22]Brewhouse!$AU$37)</f>
        <v>96.214667872117261</v>
      </c>
      <c r="M27" s="302">
        <f>AVERAGE([22]Brewhouse!$AU$4:$AU$7,[22]Brewhouse!$AU$9:$AU$22,[22]Brewhouse!$AU$24:$AU$35,[22]Brewhouse!$AU$37)</f>
        <v>96.767265202814471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483"/>
      <c r="C28" s="349">
        <f>[23]Process!D305</f>
        <v>11.72</v>
      </c>
      <c r="D28" s="505"/>
      <c r="E28" s="488"/>
      <c r="F28" s="294"/>
      <c r="G28" s="294"/>
      <c r="H28" s="348"/>
      <c r="I28" s="22" t="s">
        <v>33</v>
      </c>
      <c r="J28" s="280"/>
      <c r="K28" s="284"/>
      <c r="L28" s="302"/>
      <c r="M28" s="302">
        <f>AVERAGE([25]Brewhouse!$AV$5:$AV$14,[25]Brewhouse!$AV$16:$AV$19,[25]Brewhouse!$AV$21:$AV$24)</f>
        <v>98.616016873478046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483"/>
      <c r="C29" s="349">
        <f>[23]Process!D306</f>
        <v>11.78</v>
      </c>
      <c r="D29" s="504">
        <v>11.84</v>
      </c>
      <c r="E29" s="493"/>
      <c r="F29" s="436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483"/>
      <c r="C30" s="349">
        <f>[23]Process!D307</f>
        <v>11.76</v>
      </c>
      <c r="D30" s="505"/>
      <c r="E30" s="488"/>
      <c r="F30" s="436"/>
      <c r="G30" s="294"/>
      <c r="H30" s="348"/>
      <c r="I30" s="36" t="s">
        <v>15</v>
      </c>
      <c r="J30" s="323"/>
      <c r="K30" s="284"/>
      <c r="L30" s="302"/>
      <c r="M30" s="302">
        <f>AVERAGE([26]Brewhouse!$AT$4:$AT$11)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483"/>
      <c r="C31" s="349"/>
      <c r="D31" s="504"/>
      <c r="E31" s="493"/>
      <c r="F31" s="436"/>
      <c r="G31" s="294"/>
      <c r="H31" s="348"/>
      <c r="I31" s="37" t="s">
        <v>16</v>
      </c>
      <c r="J31" s="323"/>
      <c r="K31" s="284"/>
      <c r="L31" s="302"/>
      <c r="M31" s="302">
        <f>AVERAGE([27]Brewhouse!$AY$6:$AY$13,[27]Brewhouse!$AY$15:$AY$20,[27]Brewhouse!$AY$22:$AY$29)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483"/>
      <c r="C32" s="349"/>
      <c r="D32" s="505"/>
      <c r="E32" s="488"/>
      <c r="F32" s="294"/>
      <c r="G32" s="294"/>
      <c r="H32" s="348"/>
      <c r="I32" s="412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483"/>
      <c r="C33" s="349"/>
      <c r="D33" s="504"/>
      <c r="E33" s="493"/>
      <c r="F33" s="294"/>
      <c r="G33" s="294"/>
      <c r="H33" s="348"/>
      <c r="I33" s="411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483"/>
      <c r="C34" s="349"/>
      <c r="D34" s="505"/>
      <c r="E34" s="488"/>
      <c r="F34" s="294"/>
      <c r="G34" s="294"/>
      <c r="H34" s="348"/>
      <c r="I34" s="407" t="s">
        <v>156</v>
      </c>
      <c r="J34" s="327"/>
      <c r="K34" s="408"/>
      <c r="L34" s="409"/>
      <c r="M34" s="409"/>
      <c r="N34" s="410">
        <v>98</v>
      </c>
      <c r="O34" s="11"/>
      <c r="P34" s="31"/>
      <c r="S34" s="23"/>
    </row>
    <row r="35" spans="1:57" ht="15" customHeight="1" thickBot="1">
      <c r="A35" s="28"/>
      <c r="B35" s="483"/>
      <c r="C35" s="349"/>
      <c r="D35" s="504"/>
      <c r="E35" s="493"/>
      <c r="F35" s="294"/>
      <c r="G35" s="294"/>
      <c r="H35" s="348"/>
      <c r="I35" s="1"/>
      <c r="J35" s="39"/>
      <c r="K35" s="405">
        <f>SUM(K25:K34)</f>
        <v>9</v>
      </c>
      <c r="L35" s="406">
        <f>((L25*K25)+(L26*K26)+(L27*K27)+(L28*K28)+(L29*K29)+(K32*L32)+(L30*K30)+(L31*K31)+(L34*K34))/(K35)</f>
        <v>98.256158250456394</v>
      </c>
      <c r="M35" s="406">
        <f>AVERAGE('[29]Jan 31st'!$L$65,'[30]Feb 28th'!$L$35,L35)</f>
        <v>96.566378225951823</v>
      </c>
      <c r="N35" s="40">
        <v>98</v>
      </c>
      <c r="O35" s="11"/>
      <c r="P35" s="31"/>
      <c r="S35" s="23"/>
    </row>
    <row r="36" spans="1:57" ht="15" thickBot="1">
      <c r="B36" s="484"/>
      <c r="C36" s="350"/>
      <c r="D36" s="505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482" t="str">
        <f>I25</f>
        <v>CARIB</v>
      </c>
      <c r="C37" s="362">
        <f>[23]Process!D308</f>
        <v>11.7</v>
      </c>
      <c r="D37" s="485">
        <v>12.02</v>
      </c>
      <c r="E37" s="486"/>
      <c r="F37" s="43"/>
      <c r="G37" s="41"/>
      <c r="H37" s="41"/>
      <c r="I37" s="42"/>
      <c r="J37" s="538" t="s">
        <v>129</v>
      </c>
      <c r="K37" s="53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483"/>
      <c r="C38" s="349">
        <f>[23]Process!D309</f>
        <v>11.95</v>
      </c>
      <c r="D38" s="487"/>
      <c r="E38" s="488"/>
      <c r="F38" s="43"/>
      <c r="G38" s="41"/>
      <c r="H38" s="41"/>
      <c r="I38" s="42"/>
      <c r="J38" s="292" t="s">
        <v>17</v>
      </c>
      <c r="K38" s="293" t="s">
        <v>147</v>
      </c>
      <c r="L38" s="490" t="s">
        <v>136</v>
      </c>
      <c r="M38" s="490"/>
      <c r="N38" s="491"/>
      <c r="O38" s="294"/>
      <c r="P38" s="12"/>
      <c r="S38" s="23"/>
    </row>
    <row r="39" spans="1:57" ht="15" customHeight="1" thickBot="1">
      <c r="B39" s="483"/>
      <c r="C39" s="349">
        <f>[23]Process!D310</f>
        <v>11.93</v>
      </c>
      <c r="D39" s="492">
        <v>12.05</v>
      </c>
      <c r="E39" s="493"/>
      <c r="F39" s="43"/>
      <c r="G39" s="41"/>
      <c r="H39" s="41"/>
      <c r="I39" s="42"/>
      <c r="J39" s="287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483"/>
      <c r="C40" s="349">
        <f>[23]Process!D311</f>
        <v>11.8</v>
      </c>
      <c r="D40" s="487"/>
      <c r="E40" s="488"/>
      <c r="F40" s="43"/>
      <c r="G40" s="41"/>
      <c r="H40" s="41"/>
      <c r="I40" s="42"/>
      <c r="J40" s="345" t="s">
        <v>9</v>
      </c>
      <c r="K40" s="324">
        <v>6</v>
      </c>
      <c r="L40" s="344">
        <f>AVERAGE('Apr. 1st'!K49,'Apr. 4th'!K49,'Apr. 3rd'!K49)</f>
        <v>3</v>
      </c>
      <c r="M40" s="325">
        <f>AVERAGE('[29]Jan 29th '!$M$70,'[30]Feb 28th'!$L$40,'[31]Mar. 31st'!$L$40,L40)</f>
        <v>5.703834209268992</v>
      </c>
      <c r="N40" s="433">
        <v>9.1999999999999993</v>
      </c>
      <c r="O40" s="294"/>
      <c r="P40" s="12"/>
      <c r="S40" s="23"/>
    </row>
    <row r="41" spans="1:57" ht="15" customHeight="1">
      <c r="B41" s="483"/>
      <c r="C41" s="349"/>
      <c r="D41" s="492"/>
      <c r="E41" s="493"/>
      <c r="F41" s="43"/>
      <c r="G41" s="41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>
      <c r="B42" s="483"/>
      <c r="C42" s="349"/>
      <c r="D42" s="487"/>
      <c r="E42" s="488"/>
      <c r="F42" s="43"/>
      <c r="G42" s="41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483"/>
      <c r="C43" s="349"/>
      <c r="D43" s="492"/>
      <c r="E43" s="493"/>
      <c r="F43" s="43"/>
      <c r="G43" s="41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483"/>
      <c r="C44" s="349"/>
      <c r="D44" s="487"/>
      <c r="E44" s="488"/>
      <c r="F44" s="43"/>
      <c r="G44" s="41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483"/>
      <c r="C45" s="349"/>
      <c r="D45" s="494"/>
      <c r="E45" s="495"/>
      <c r="F45" s="43"/>
      <c r="G45" s="41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484"/>
      <c r="C46" s="350"/>
      <c r="D46" s="496"/>
      <c r="E46" s="497"/>
      <c r="F46" s="43"/>
      <c r="G46" s="41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476">
        <f>AVERAGE(D25:E46)</f>
        <v>11.895999999999997</v>
      </c>
      <c r="E47" s="477"/>
      <c r="F47" s="43"/>
      <c r="G47" s="41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34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466" t="s">
        <v>17</v>
      </c>
      <c r="C52" s="466" t="s">
        <v>44</v>
      </c>
      <c r="D52" s="478" t="s">
        <v>45</v>
      </c>
      <c r="E52" s="480" t="s">
        <v>46</v>
      </c>
      <c r="F52" s="474" t="s">
        <v>47</v>
      </c>
      <c r="G52" s="464" t="s">
        <v>48</v>
      </c>
      <c r="H52" s="466" t="s">
        <v>49</v>
      </c>
      <c r="I52" s="466" t="s">
        <v>50</v>
      </c>
      <c r="J52" s="458" t="s">
        <v>28</v>
      </c>
      <c r="K52" s="470" t="s">
        <v>51</v>
      </c>
      <c r="L52" s="472" t="s">
        <v>52</v>
      </c>
      <c r="M52" s="458" t="s">
        <v>53</v>
      </c>
      <c r="N52" s="13"/>
      <c r="O52" s="13"/>
      <c r="P52" s="50"/>
    </row>
    <row r="53" spans="2:58" ht="28.5" customHeight="1" thickTop="1" thickBot="1">
      <c r="B53" s="467"/>
      <c r="C53" s="467"/>
      <c r="D53" s="479"/>
      <c r="E53" s="481"/>
      <c r="F53" s="475"/>
      <c r="G53" s="465"/>
      <c r="H53" s="467"/>
      <c r="I53" s="467"/>
      <c r="J53" s="459"/>
      <c r="K53" s="471"/>
      <c r="L53" s="473"/>
      <c r="M53" s="459"/>
      <c r="N53" s="13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customHeight="1">
      <c r="B54" s="415" t="s">
        <v>6</v>
      </c>
      <c r="C54" s="283">
        <v>45751</v>
      </c>
      <c r="D54" s="377">
        <f>[32]April_2025!$G$3</f>
        <v>300.10000000000002</v>
      </c>
      <c r="E54" s="378"/>
      <c r="F54" s="379"/>
      <c r="G54" s="303">
        <f>[32]April_2025!$G$7</f>
        <v>276.89999999999998</v>
      </c>
      <c r="H54" s="320"/>
      <c r="I54" s="322"/>
      <c r="J54" s="360" t="s">
        <v>150</v>
      </c>
      <c r="K54" s="416">
        <f>[33]April_2025!$G$18</f>
        <v>0.97157894736842099</v>
      </c>
      <c r="L54" s="314">
        <f>(((D54+E54)-G54)/(D54+E54))*100</f>
        <v>7.7307564145285053</v>
      </c>
      <c r="M54" s="423" t="s">
        <v>164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4.4" thickBot="1">
      <c r="B55" s="415"/>
      <c r="C55" s="283"/>
      <c r="D55" s="377"/>
      <c r="E55" s="378"/>
      <c r="F55" s="379"/>
      <c r="G55" s="303"/>
      <c r="H55" s="320"/>
      <c r="I55" s="322"/>
      <c r="J55" s="398"/>
      <c r="K55" s="286"/>
      <c r="L55" s="314"/>
      <c r="M55" s="423"/>
      <c r="N55" s="13"/>
      <c r="O55" s="13"/>
      <c r="P55" s="50"/>
      <c r="T55" s="272"/>
      <c r="U55" s="420"/>
      <c r="V55" s="420"/>
      <c r="W55" s="420"/>
      <c r="X55" s="420"/>
      <c r="Y55" s="420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  <c r="AK55" s="420"/>
      <c r="AL55" s="420"/>
      <c r="AM55" s="420"/>
      <c r="AN55" s="420"/>
      <c r="AO55" s="420"/>
      <c r="AP55" s="420"/>
      <c r="AQ55" s="420"/>
      <c r="AR55" s="420"/>
      <c r="AS55" s="420"/>
      <c r="AT55" s="420"/>
      <c r="AU55" s="420"/>
      <c r="AV55" s="420"/>
      <c r="AW55" s="420"/>
      <c r="AX55" s="420"/>
    </row>
    <row r="56" spans="2:58" s="54" customFormat="1" ht="59.25" customHeight="1">
      <c r="B56" s="415" t="str">
        <f>B54</f>
        <v>CARIB</v>
      </c>
      <c r="C56" s="283">
        <v>45751</v>
      </c>
      <c r="D56" s="377">
        <f>[32]April_2025!$H$3</f>
        <v>200.8</v>
      </c>
      <c r="E56" s="378"/>
      <c r="F56" s="379">
        <f>[34]CARIB!$L$24+[34]CARIB!$L$26</f>
        <v>196.45</v>
      </c>
      <c r="G56" s="303">
        <f>[32]April_2025!$H$7</f>
        <v>190.1</v>
      </c>
      <c r="H56" s="320">
        <f>(D56-F56)/D56*100</f>
        <v>2.1663346613545928</v>
      </c>
      <c r="I56" s="322">
        <f>((F56+E56)-G56)/(F56+E56)*100</f>
        <v>3.2323746500381749</v>
      </c>
      <c r="J56" s="360" t="s">
        <v>150</v>
      </c>
      <c r="K56" s="286">
        <f>[33]April_2025!$H$18</f>
        <v>0.66701754385964906</v>
      </c>
      <c r="L56" s="391">
        <f>(((D56+E56)-G56)/(D56+E56))*100</f>
        <v>5.3286852589641516</v>
      </c>
      <c r="M56" s="423" t="s">
        <v>169</v>
      </c>
      <c r="N56" s="13"/>
      <c r="O56" s="13"/>
      <c r="P56" s="50"/>
      <c r="T56" s="272"/>
      <c r="U56" s="420"/>
      <c r="V56" s="420"/>
      <c r="W56" s="420"/>
      <c r="X56" s="420"/>
      <c r="Y56" s="420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  <c r="AK56" s="420"/>
      <c r="AL56" s="420"/>
      <c r="AM56" s="420"/>
      <c r="AN56" s="420"/>
      <c r="AO56" s="420"/>
      <c r="AP56" s="420"/>
      <c r="AQ56" s="420"/>
      <c r="AR56" s="420"/>
      <c r="AS56" s="420"/>
      <c r="AT56" s="420"/>
      <c r="AU56" s="420"/>
      <c r="AV56" s="420"/>
      <c r="AW56" s="420"/>
      <c r="AX56" s="420"/>
    </row>
    <row r="57" spans="2:58" s="54" customFormat="1">
      <c r="B57" s="387"/>
      <c r="C57" s="283"/>
      <c r="D57" s="279"/>
      <c r="E57" s="279"/>
      <c r="F57" s="279"/>
      <c r="G57" s="279"/>
      <c r="H57" s="320"/>
      <c r="I57" s="322"/>
      <c r="J57" s="281"/>
      <c r="K57" s="417"/>
      <c r="L57" s="314"/>
      <c r="M57" s="425"/>
      <c r="N57" s="13"/>
      <c r="O57" s="13"/>
      <c r="P57" s="50"/>
      <c r="T57" s="272" t="s">
        <v>51</v>
      </c>
      <c r="U57" s="57" t="e">
        <f>[20]January_2019!D8</f>
        <v>#DIV/0!</v>
      </c>
      <c r="V57" s="57">
        <f>[20]January_2019!E8</f>
        <v>1.0319298245614037</v>
      </c>
      <c r="W57" s="57">
        <f>[20]January_2019!F8</f>
        <v>1.7789473684210526</v>
      </c>
      <c r="X57" s="57">
        <f>[20]January_2019!G8</f>
        <v>0.51929824561403504</v>
      </c>
      <c r="Y57" s="57" t="e">
        <f>[20]January_2019!H8</f>
        <v>#DIV/0!</v>
      </c>
      <c r="Z57" s="57" t="e">
        <f>[20]January_2019!I8</f>
        <v>#DIV/0!</v>
      </c>
      <c r="AA57" s="57">
        <f>[20]January_2019!J8</f>
        <v>1.365263157894737</v>
      </c>
      <c r="AB57" s="57" t="e">
        <f>[20]January_2019!K8</f>
        <v>#DIV/0!</v>
      </c>
      <c r="AC57" s="57">
        <f>[20]January_2019!L8</f>
        <v>1.0028070175438597</v>
      </c>
      <c r="AD57" s="57">
        <f>[20]January_2019!M8</f>
        <v>1.7828070175438597</v>
      </c>
      <c r="AE57" s="57" t="e">
        <f>[20]January_2019!N8</f>
        <v>#DIV/0!</v>
      </c>
      <c r="AF57" s="57" t="e">
        <f>[20]January_2019!O8</f>
        <v>#DIV/0!</v>
      </c>
      <c r="AG57" s="57">
        <f>[20]January_2019!P8</f>
        <v>0.19222222222222221</v>
      </c>
      <c r="AH57" s="57">
        <f>[20]January_2019!Q8</f>
        <v>0.52219298245614032</v>
      </c>
      <c r="AI57" s="57">
        <f>[20]January_2019!R8</f>
        <v>0.42912280701754385</v>
      </c>
      <c r="AJ57" s="57" t="e">
        <f>[20]January_2019!S8</f>
        <v>#DIV/0!</v>
      </c>
      <c r="AK57" s="57">
        <f>[20]January_2019!T8</f>
        <v>1.0340350877192983</v>
      </c>
      <c r="AL57" s="57">
        <f>[20]January_2019!U8</f>
        <v>0.98421052631578942</v>
      </c>
      <c r="AM57" s="57" t="e">
        <f>[20]January_2019!V8</f>
        <v>#DIV/0!</v>
      </c>
      <c r="AN57" s="57" t="e">
        <f>[20]January_2019!W8</f>
        <v>#DIV/0!</v>
      </c>
      <c r="AO57" s="57">
        <f>[20]January_2019!X8</f>
        <v>0.66052631578947374</v>
      </c>
      <c r="AP57" s="57">
        <f>[20]January_2019!Y8</f>
        <v>1.0375438596491227</v>
      </c>
      <c r="AQ57" s="57">
        <f>[20]January_2019!Z8</f>
        <v>0.90456140350877201</v>
      </c>
      <c r="AR57" s="57">
        <f>[20]January_2019!AA8</f>
        <v>1.0217543859649123</v>
      </c>
      <c r="AS57" s="57">
        <f>[20]January_2019!AB8</f>
        <v>0.65614035087719302</v>
      </c>
      <c r="AT57" s="57" t="e">
        <f>[20]January_2019!AC8</f>
        <v>#DIV/0!</v>
      </c>
      <c r="AU57" s="57" t="e">
        <f>[20]January_2019!AD8</f>
        <v>#DIV/0!</v>
      </c>
      <c r="AV57" s="57">
        <f>[20]January_2019!AE8</f>
        <v>1.7021052631578948</v>
      </c>
      <c r="AW57" s="57">
        <f>[20]January_2019!AF8</f>
        <v>0.60192982456140354</v>
      </c>
      <c r="AX57" s="57">
        <f>[20]January_2019!AG8</f>
        <v>1.4870175438596491</v>
      </c>
      <c r="AY57" s="277" t="e">
        <f>[20]January_2019!AH8</f>
        <v>#DIV/0!</v>
      </c>
      <c r="AZ57" s="277"/>
      <c r="BA57" s="277"/>
      <c r="BB57" s="277"/>
      <c r="BC57" s="277"/>
      <c r="BD57" s="277"/>
      <c r="BE57" s="277"/>
      <c r="BF57" s="277"/>
    </row>
    <row r="58" spans="2:58" ht="58.5" hidden="1" customHeight="1" thickBot="1">
      <c r="B58" s="426"/>
      <c r="C58" s="427"/>
      <c r="D58" s="428"/>
      <c r="E58" s="428"/>
      <c r="F58" s="428"/>
      <c r="G58" s="428"/>
      <c r="H58" s="429"/>
      <c r="I58" s="430"/>
      <c r="J58" s="390"/>
      <c r="K58" s="431"/>
      <c r="L58" s="432"/>
      <c r="M58" s="424"/>
      <c r="N58" s="13"/>
      <c r="O58" s="13"/>
      <c r="P58" s="56"/>
    </row>
    <row r="59" spans="2:58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6"/>
      <c r="P59" s="60"/>
    </row>
    <row r="60" spans="2:58" ht="14.4" thickBot="1">
      <c r="B60" s="460" t="s">
        <v>55</v>
      </c>
      <c r="C60" s="461"/>
      <c r="D60" s="461"/>
      <c r="E60" s="461"/>
      <c r="F60" s="462"/>
      <c r="G60" s="460" t="s">
        <v>56</v>
      </c>
      <c r="H60" s="461"/>
      <c r="I60" s="461"/>
      <c r="J60" s="462"/>
      <c r="K60" s="460" t="s">
        <v>51</v>
      </c>
      <c r="L60" s="461"/>
      <c r="M60" s="461"/>
      <c r="N60" s="463"/>
      <c r="O60" s="56"/>
      <c r="P60" s="50"/>
    </row>
    <row r="61" spans="2:58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8">
      <c r="B62" s="29" t="s">
        <v>6</v>
      </c>
      <c r="C62" s="65">
        <f>AVERAGE(L54,L56)</f>
        <v>6.5297208367463284</v>
      </c>
      <c r="D62" s="76">
        <v>9.3055946021928815</v>
      </c>
      <c r="E62" s="76">
        <v>7.2012532432564793</v>
      </c>
      <c r="F62" s="66">
        <v>4.8</v>
      </c>
      <c r="G62" s="65">
        <f>AVERAGE([32]April_2025!$H$11,[32]April_2025!$G$11)</f>
        <v>5.6518002690948057</v>
      </c>
      <c r="H62" s="76">
        <v>9.0436435540571587</v>
      </c>
      <c r="I62" s="76">
        <v>7.8060073373969416</v>
      </c>
      <c r="J62" s="66">
        <v>4.8</v>
      </c>
      <c r="K62" s="67">
        <f>AVERAGE(K54,K56)</f>
        <v>0.81929824561403497</v>
      </c>
      <c r="L62" s="194">
        <v>0.65040935672514621</v>
      </c>
      <c r="M62" s="194">
        <v>0.77053378232351399</v>
      </c>
      <c r="N62" s="68">
        <v>1</v>
      </c>
      <c r="O62" s="56"/>
      <c r="P62" s="69"/>
    </row>
    <row r="63" spans="2:58">
      <c r="B63" s="33" t="s">
        <v>9</v>
      </c>
      <c r="C63" s="65"/>
      <c r="D63" s="76">
        <v>4.6660117878192668</v>
      </c>
      <c r="E63" s="76">
        <v>6.6015692780892836</v>
      </c>
      <c r="F63" s="66">
        <v>4.8</v>
      </c>
      <c r="G63" s="65"/>
      <c r="H63" s="76">
        <v>5.2855665446815321</v>
      </c>
      <c r="I63" s="76">
        <v>7.5048624154579011</v>
      </c>
      <c r="J63" s="66">
        <v>4.8</v>
      </c>
      <c r="K63" s="67"/>
      <c r="L63" s="194">
        <v>1.3621052631578947</v>
      </c>
      <c r="M63" s="194">
        <v>0.74739011756129492</v>
      </c>
      <c r="N63" s="68">
        <v>1</v>
      </c>
      <c r="P63" s="69"/>
    </row>
    <row r="64" spans="2:58">
      <c r="B64" s="34" t="s">
        <v>40</v>
      </c>
      <c r="C64" s="65"/>
      <c r="D64" s="76"/>
      <c r="E64" s="76">
        <v>13.702325581395328</v>
      </c>
      <c r="F64" s="66">
        <v>5.5</v>
      </c>
      <c r="G64" s="65"/>
      <c r="H64" s="76"/>
      <c r="I64" s="76">
        <v>14.359342965977257</v>
      </c>
      <c r="J64" s="66">
        <v>5.5</v>
      </c>
      <c r="K64" s="67"/>
      <c r="L64" s="194"/>
      <c r="M64" s="194">
        <v>0.52401498127340829</v>
      </c>
      <c r="N64" s="68">
        <v>1</v>
      </c>
      <c r="P64" s="69"/>
    </row>
    <row r="65" spans="2:16">
      <c r="B65" s="22" t="s">
        <v>33</v>
      </c>
      <c r="C65" s="65"/>
      <c r="D65" s="76"/>
      <c r="E65" s="76">
        <v>3.9190537266638161</v>
      </c>
      <c r="F65" s="66">
        <v>3.3</v>
      </c>
      <c r="G65" s="65"/>
      <c r="H65" s="76"/>
      <c r="I65" s="76">
        <v>6.209437755460022</v>
      </c>
      <c r="J65" s="66">
        <v>3.3</v>
      </c>
      <c r="K65" s="67"/>
      <c r="L65" s="194"/>
      <c r="M65" s="194">
        <v>0.75184210526315787</v>
      </c>
      <c r="N65" s="68">
        <v>1</v>
      </c>
      <c r="P65" s="69"/>
    </row>
    <row r="66" spans="2:16">
      <c r="B66" s="35" t="s">
        <v>29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L66" s="194"/>
      <c r="M66" s="194"/>
      <c r="N66" s="68">
        <v>1</v>
      </c>
      <c r="P66" s="69"/>
    </row>
    <row r="67" spans="2:16">
      <c r="B67" s="36" t="s">
        <v>15</v>
      </c>
      <c r="C67" s="282"/>
      <c r="D67" s="76"/>
      <c r="E67" s="76">
        <v>8.7664670658682695</v>
      </c>
      <c r="F67" s="70">
        <f>[21]May_2022!$M$43</f>
        <v>3.4878406700073312</v>
      </c>
      <c r="G67" s="282"/>
      <c r="H67" s="76"/>
      <c r="I67" s="76">
        <v>10.607235567685406</v>
      </c>
      <c r="J67" s="66">
        <v>5.5</v>
      </c>
      <c r="K67" s="67"/>
      <c r="L67" s="194"/>
      <c r="M67" s="194">
        <v>0.66824561403508764</v>
      </c>
      <c r="N67" s="68">
        <v>1</v>
      </c>
      <c r="P67" s="69"/>
    </row>
    <row r="68" spans="2:16">
      <c r="B68" s="37" t="s">
        <v>16</v>
      </c>
      <c r="C68" s="65"/>
      <c r="D68" s="76"/>
      <c r="E68" s="76">
        <v>2.2765363128491556</v>
      </c>
      <c r="F68" s="66">
        <v>3.3</v>
      </c>
      <c r="G68" s="282"/>
      <c r="H68" s="76"/>
      <c r="I68" s="76">
        <v>4.6996399261015078</v>
      </c>
      <c r="J68" s="66">
        <v>3.3</v>
      </c>
      <c r="K68" s="67"/>
      <c r="L68" s="194"/>
      <c r="M68" s="194">
        <v>0.86251968503937015</v>
      </c>
      <c r="N68" s="71">
        <v>1</v>
      </c>
      <c r="P68" s="69"/>
    </row>
    <row r="69" spans="2:16" ht="14.4" thickBot="1">
      <c r="B69" s="38" t="s">
        <v>127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4.4" thickBot="1">
      <c r="B70" s="418" t="s">
        <v>162</v>
      </c>
      <c r="C70" s="65"/>
      <c r="D70" s="76"/>
      <c r="E70" s="76">
        <v>4.8792508624938291</v>
      </c>
      <c r="F70" s="66">
        <v>4.8</v>
      </c>
      <c r="G70" s="282"/>
      <c r="H70" s="76"/>
      <c r="I70" s="76">
        <v>6.2003723782925313</v>
      </c>
      <c r="J70" s="66">
        <v>4.8</v>
      </c>
      <c r="K70" s="67"/>
      <c r="L70" s="194"/>
      <c r="M70" s="194">
        <v>0.33859649122807017</v>
      </c>
      <c r="N70" s="71">
        <v>1</v>
      </c>
      <c r="O70" s="74"/>
      <c r="P70" s="75"/>
    </row>
    <row r="71" spans="2:16">
      <c r="D71" s="76">
        <v>7.6166636867513198</v>
      </c>
      <c r="E71" s="76">
        <v>7.1250079885455522</v>
      </c>
      <c r="F71" s="341">
        <v>4.5</v>
      </c>
      <c r="H71" s="76">
        <v>7.6796391435887488</v>
      </c>
      <c r="I71" s="76">
        <v>8.1805070199297454</v>
      </c>
      <c r="J71" s="341">
        <v>4.5</v>
      </c>
      <c r="K71" s="67"/>
      <c r="L71" s="194">
        <v>0.82833333333333325</v>
      </c>
      <c r="M71" s="194">
        <v>0.73762609556120995</v>
      </c>
      <c r="N71" s="386">
        <v>1</v>
      </c>
    </row>
    <row r="75" spans="2:16">
      <c r="F75" s="315"/>
    </row>
    <row r="83" spans="30:30">
      <c r="AD83" s="275" t="s">
        <v>57</v>
      </c>
    </row>
  </sheetData>
  <mergeCells count="52">
    <mergeCell ref="M52:M53"/>
    <mergeCell ref="B60:F60"/>
    <mergeCell ref="G60:J60"/>
    <mergeCell ref="K60:N60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V1:W1"/>
    <mergeCell ref="X1:Y1"/>
    <mergeCell ref="Z1:AA1"/>
    <mergeCell ref="B2:O2"/>
    <mergeCell ref="C5:D5"/>
    <mergeCell ref="M4:N4"/>
    <mergeCell ref="T1:U1"/>
  </mergeCells>
  <conditionalFormatting sqref="B47:B48">
    <cfRule type="cellIs" dxfId="2533" priority="115" operator="notBetween">
      <formula>#REF!</formula>
      <formula>#REF!</formula>
    </cfRule>
  </conditionalFormatting>
  <conditionalFormatting sqref="C51">
    <cfRule type="cellIs" dxfId="2532" priority="147" stopIfTrue="1" operator="greaterThan">
      <formula>100</formula>
    </cfRule>
    <cfRule type="cellIs" dxfId="2531" priority="146" stopIfTrue="1" operator="lessThan">
      <formula>96</formula>
    </cfRule>
  </conditionalFormatting>
  <conditionalFormatting sqref="C62">
    <cfRule type="cellIs" dxfId="2530" priority="70" stopIfTrue="1" operator="greaterThan">
      <formula>$F62</formula>
    </cfRule>
  </conditionalFormatting>
  <conditionalFormatting sqref="C62:C63">
    <cfRule type="cellIs" dxfId="2529" priority="71" stopIfTrue="1" operator="lessThanOrEqual">
      <formula>0</formula>
    </cfRule>
  </conditionalFormatting>
  <conditionalFormatting sqref="C63">
    <cfRule type="cellIs" dxfId="2528" priority="150" stopIfTrue="1" operator="greaterThan">
      <formula>$F62</formula>
    </cfRule>
  </conditionalFormatting>
  <conditionalFormatting sqref="C64:C66">
    <cfRule type="cellIs" dxfId="2527" priority="95" stopIfTrue="1" operator="greaterThan">
      <formula>$F64</formula>
    </cfRule>
  </conditionalFormatting>
  <conditionalFormatting sqref="C64:C67">
    <cfRule type="cellIs" dxfId="2526" priority="99" stopIfTrue="1" operator="lessThanOrEqual">
      <formula>0</formula>
    </cfRule>
  </conditionalFormatting>
  <conditionalFormatting sqref="C67">
    <cfRule type="cellIs" dxfId="2525" priority="98" stopIfTrue="1" operator="greaterThan">
      <formula>$J67</formula>
    </cfRule>
  </conditionalFormatting>
  <conditionalFormatting sqref="C73:C77">
    <cfRule type="cellIs" dxfId="2524" priority="138" stopIfTrue="1" operator="lessThanOrEqual">
      <formula>0</formula>
    </cfRule>
  </conditionalFormatting>
  <conditionalFormatting sqref="C74:C77">
    <cfRule type="cellIs" dxfId="2523" priority="137" stopIfTrue="1" operator="greaterThan">
      <formula>$F$73</formula>
    </cfRule>
  </conditionalFormatting>
  <conditionalFormatting sqref="C79">
    <cfRule type="cellIs" dxfId="2522" priority="140" stopIfTrue="1" operator="lessThanOrEqual">
      <formula>0</formula>
    </cfRule>
    <cfRule type="cellIs" dxfId="2521" priority="139" stopIfTrue="1" operator="greaterThan">
      <formula>$F$73</formula>
    </cfRule>
  </conditionalFormatting>
  <conditionalFormatting sqref="C73:D73 D75:D81">
    <cfRule type="cellIs" dxfId="2520" priority="132" stopIfTrue="1" operator="greaterThan">
      <formula>4.5</formula>
    </cfRule>
  </conditionalFormatting>
  <conditionalFormatting sqref="D47:D48">
    <cfRule type="cellIs" dxfId="2519" priority="116" operator="notBetween">
      <formula>#REF!</formula>
      <formula>#REF!</formula>
    </cfRule>
  </conditionalFormatting>
  <conditionalFormatting sqref="D62:D69">
    <cfRule type="cellIs" dxfId="2518" priority="109" stopIfTrue="1" operator="lessThanOrEqual">
      <formula>0</formula>
    </cfRule>
  </conditionalFormatting>
  <conditionalFormatting sqref="D70">
    <cfRule type="cellIs" dxfId="2517" priority="108" stopIfTrue="1" operator="lessThanOrEqual">
      <formula>0</formula>
    </cfRule>
  </conditionalFormatting>
  <conditionalFormatting sqref="D73 D75:D81">
    <cfRule type="cellIs" dxfId="2516" priority="133" stopIfTrue="1" operator="lessThanOrEqual">
      <formula>0</formula>
    </cfRule>
  </conditionalFormatting>
  <conditionalFormatting sqref="D74">
    <cfRule type="cellIs" dxfId="2515" priority="125" stopIfTrue="1" operator="lessThanOrEqual">
      <formula>0</formula>
    </cfRule>
    <cfRule type="cellIs" dxfId="2514" priority="124" stopIfTrue="1" operator="greaterThan">
      <formula>$F$73</formula>
    </cfRule>
  </conditionalFormatting>
  <conditionalFormatting sqref="D62:E71">
    <cfRule type="cellIs" dxfId="2513" priority="67" stopIfTrue="1" operator="greaterThan">
      <formula>$F62</formula>
    </cfRule>
  </conditionalFormatting>
  <conditionalFormatting sqref="D71:E71">
    <cfRule type="cellIs" dxfId="2512" priority="68" stopIfTrue="1" operator="lessThanOrEqual">
      <formula>0</formula>
    </cfRule>
  </conditionalFormatting>
  <conditionalFormatting sqref="E10:E22">
    <cfRule type="cellIs" dxfId="2511" priority="9" operator="lessThan">
      <formula>48</formula>
    </cfRule>
  </conditionalFormatting>
  <conditionalFormatting sqref="E51">
    <cfRule type="cellIs" dxfId="2510" priority="126" stopIfTrue="1" operator="lessThan">
      <formula>96.8</formula>
    </cfRule>
    <cfRule type="cellIs" dxfId="2509" priority="127" stopIfTrue="1" operator="greaterThan">
      <formula>100</formula>
    </cfRule>
  </conditionalFormatting>
  <conditionalFormatting sqref="E62:E70">
    <cfRule type="cellIs" dxfId="2508" priority="103" stopIfTrue="1" operator="lessThanOrEqual">
      <formula>0</formula>
    </cfRule>
  </conditionalFormatting>
  <conditionalFormatting sqref="E73:E81">
    <cfRule type="cellIs" dxfId="2507" priority="119" stopIfTrue="1" operator="lessThanOrEqual">
      <formula>0</formula>
    </cfRule>
    <cfRule type="cellIs" dxfId="2506" priority="118" stopIfTrue="1" operator="greaterThan">
      <formula>4.5</formula>
    </cfRule>
  </conditionalFormatting>
  <conditionalFormatting sqref="E50:F51">
    <cfRule type="cellIs" dxfId="2505" priority="129" stopIfTrue="1" operator="greaterThan">
      <formula>100</formula>
    </cfRule>
    <cfRule type="cellIs" dxfId="2504" priority="128" stopIfTrue="1" operator="lessThan">
      <formula>96.5</formula>
    </cfRule>
  </conditionalFormatting>
  <conditionalFormatting sqref="F10:F21">
    <cfRule type="cellIs" dxfId="2503" priority="11" operator="greaterThan">
      <formula>60</formula>
    </cfRule>
  </conditionalFormatting>
  <conditionalFormatting sqref="F22">
    <cfRule type="cellIs" dxfId="2502" priority="154" operator="greaterThan">
      <formula>$AA59</formula>
    </cfRule>
    <cfRule type="cellIs" dxfId="2501" priority="153" operator="greaterThan">
      <formula>$AA22</formula>
    </cfRule>
  </conditionalFormatting>
  <conditionalFormatting sqref="F51">
    <cfRule type="cellIs" dxfId="2500" priority="144" stopIfTrue="1" operator="lessThan">
      <formula>96.8</formula>
    </cfRule>
    <cfRule type="cellIs" dxfId="2499" priority="145" stopIfTrue="1" operator="greaterThan">
      <formula>100</formula>
    </cfRule>
  </conditionalFormatting>
  <conditionalFormatting sqref="F71">
    <cfRule type="cellIs" dxfId="2498" priority="104" stopIfTrue="1" operator="greaterThan">
      <formula>$F71</formula>
    </cfRule>
    <cfRule type="cellIs" dxfId="2497" priority="105" stopIfTrue="1" operator="lessThanOrEqual">
      <formula>0</formula>
    </cfRule>
  </conditionalFormatting>
  <conditionalFormatting sqref="G62:G63 C68:C70">
    <cfRule type="cellIs" dxfId="2496" priority="110" stopIfTrue="1" operator="greaterThan">
      <formula>$F62</formula>
    </cfRule>
    <cfRule type="cellIs" dxfId="2495" priority="111" stopIfTrue="1" operator="lessThanOrEqual">
      <formula>0</formula>
    </cfRule>
  </conditionalFormatting>
  <conditionalFormatting sqref="G62:G63">
    <cfRule type="cellIs" dxfId="2494" priority="77" stopIfTrue="1" operator="lessThanOrEqual">
      <formula>0</formula>
    </cfRule>
    <cfRule type="cellIs" dxfId="2493" priority="76" stopIfTrue="1" operator="greaterThan">
      <formula>$F62</formula>
    </cfRule>
  </conditionalFormatting>
  <conditionalFormatting sqref="G64">
    <cfRule type="cellIs" dxfId="2492" priority="148" stopIfTrue="1" operator="greaterThan">
      <formula>$F63</formula>
    </cfRule>
    <cfRule type="cellIs" dxfId="2491" priority="149" stopIfTrue="1" operator="lessThanOrEqual">
      <formula>0</formula>
    </cfRule>
  </conditionalFormatting>
  <conditionalFormatting sqref="G65">
    <cfRule type="cellIs" dxfId="2490" priority="106" stopIfTrue="1" operator="greaterThan">
      <formula>$F65</formula>
    </cfRule>
    <cfRule type="cellIs" dxfId="2489" priority="107" stopIfTrue="1" operator="lessThanOrEqual">
      <formula>0</formula>
    </cfRule>
  </conditionalFormatting>
  <conditionalFormatting sqref="G66:G70">
    <cfRule type="cellIs" dxfId="2488" priority="112" stopIfTrue="1" operator="greaterThan">
      <formula>$J66</formula>
    </cfRule>
    <cfRule type="cellIs" dxfId="2487" priority="113" stopIfTrue="1" operator="lessThanOrEqual">
      <formula>0</formula>
    </cfRule>
  </conditionalFormatting>
  <conditionalFormatting sqref="G75:G80 C78 C80">
    <cfRule type="cellIs" dxfId="2486" priority="141" stopIfTrue="1" operator="greaterThan">
      <formula>4.5</formula>
    </cfRule>
    <cfRule type="cellIs" dxfId="2485" priority="142" stopIfTrue="1" operator="lessThanOrEqual">
      <formula>0</formula>
    </cfRule>
  </conditionalFormatting>
  <conditionalFormatting sqref="G10:H22">
    <cfRule type="expression" dxfId="2484" priority="2">
      <formula>IF(+(IF(G10&lt;#REF!,0,IF(G10&gt;#REF!,0,1)))=0,1)</formula>
    </cfRule>
  </conditionalFormatting>
  <conditionalFormatting sqref="G74:H74">
    <cfRule type="cellIs" dxfId="2483" priority="123" stopIfTrue="1" operator="lessThanOrEqual">
      <formula>0</formula>
    </cfRule>
    <cfRule type="cellIs" dxfId="2482" priority="122" stopIfTrue="1" operator="greaterThan">
      <formula>$F$73</formula>
    </cfRule>
  </conditionalFormatting>
  <conditionalFormatting sqref="H36:H49 G37:G48">
    <cfRule type="cellIs" dxfId="2481" priority="120" stopIfTrue="1" operator="greaterThan">
      <formula>0</formula>
    </cfRule>
  </conditionalFormatting>
  <conditionalFormatting sqref="H54:H55">
    <cfRule type="cellIs" dxfId="2480" priority="50" stopIfTrue="1" operator="lessThanOrEqual">
      <formula>0</formula>
    </cfRule>
    <cfRule type="cellIs" dxfId="2479" priority="41" stopIfTrue="1" operator="greaterThan">
      <formula>$F$35</formula>
    </cfRule>
    <cfRule type="cellIs" dxfId="2478" priority="49" stopIfTrue="1" operator="greaterThan">
      <formula>$F$38</formula>
    </cfRule>
    <cfRule type="cellIs" dxfId="2477" priority="52" stopIfTrue="1" operator="lessThanOrEqual">
      <formula>0</formula>
    </cfRule>
    <cfRule type="cellIs" dxfId="2476" priority="51" stopIfTrue="1" operator="greaterThan">
      <formula>$F$36</formula>
    </cfRule>
  </conditionalFormatting>
  <conditionalFormatting sqref="H54:H56">
    <cfRule type="cellIs" dxfId="2475" priority="26" stopIfTrue="1" operator="lessThanOrEqual">
      <formula>0</formula>
    </cfRule>
  </conditionalFormatting>
  <conditionalFormatting sqref="H56">
    <cfRule type="cellIs" dxfId="2474" priority="23" stopIfTrue="1" operator="greaterThan">
      <formula>$F$38</formula>
    </cfRule>
    <cfRule type="cellIs" dxfId="2473" priority="25" stopIfTrue="1" operator="greaterThan">
      <formula>$F$36</formula>
    </cfRule>
    <cfRule type="cellIs" dxfId="2472" priority="15" stopIfTrue="1" operator="greaterThan">
      <formula>$F$35</formula>
    </cfRule>
    <cfRule type="cellIs" dxfId="2471" priority="14" stopIfTrue="1" operator="lessThanOrEqual">
      <formula>0</formula>
    </cfRule>
    <cfRule type="cellIs" dxfId="2470" priority="24" stopIfTrue="1" operator="lessThanOrEqual">
      <formula>0</formula>
    </cfRule>
  </conditionalFormatting>
  <conditionalFormatting sqref="H57">
    <cfRule type="cellIs" dxfId="2469" priority="91" stopIfTrue="1" operator="greaterThan">
      <formula>$F$64</formula>
    </cfRule>
    <cfRule type="cellIs" dxfId="2468" priority="83" stopIfTrue="1" operator="greaterThan">
      <formula>$F$61</formula>
    </cfRule>
    <cfRule type="cellIs" dxfId="2467" priority="82" stopIfTrue="1" operator="lessThanOrEqual">
      <formula>0</formula>
    </cfRule>
    <cfRule type="cellIs" dxfId="2466" priority="92" stopIfTrue="1" operator="lessThanOrEqual">
      <formula>0</formula>
    </cfRule>
    <cfRule type="cellIs" dxfId="2465" priority="94" stopIfTrue="1" operator="lessThanOrEqual">
      <formula>0</formula>
    </cfRule>
    <cfRule type="cellIs" dxfId="2464" priority="93" stopIfTrue="1" operator="greaterThan">
      <formula>$F$62</formula>
    </cfRule>
  </conditionalFormatting>
  <conditionalFormatting sqref="H58">
    <cfRule type="cellIs" dxfId="2463" priority="29" stopIfTrue="1" operator="greaterThan">
      <formula>$F$35</formula>
    </cfRule>
    <cfRule type="cellIs" dxfId="2462" priority="28" stopIfTrue="1" operator="lessThanOrEqual">
      <formula>0</formula>
    </cfRule>
    <cfRule type="cellIs" dxfId="2461" priority="39" stopIfTrue="1" operator="greaterThan">
      <formula>$F$36</formula>
    </cfRule>
    <cfRule type="cellIs" dxfId="2460" priority="38" stopIfTrue="1" operator="lessThanOrEqual">
      <formula>0</formula>
    </cfRule>
    <cfRule type="cellIs" dxfId="2459" priority="40" stopIfTrue="1" operator="lessThanOrEqual">
      <formula>0</formula>
    </cfRule>
    <cfRule type="cellIs" dxfId="2458" priority="37" stopIfTrue="1" operator="greaterThan">
      <formula>$F$38</formula>
    </cfRule>
  </conditionalFormatting>
  <conditionalFormatting sqref="H62:H69">
    <cfRule type="cellIs" dxfId="2457" priority="96" stopIfTrue="1" operator="greaterThan">
      <formula>$J62</formula>
    </cfRule>
    <cfRule type="cellIs" dxfId="2456" priority="97" stopIfTrue="1" operator="lessThanOrEqual">
      <formula>0</formula>
    </cfRule>
  </conditionalFormatting>
  <conditionalFormatting sqref="H70">
    <cfRule type="cellIs" dxfId="2455" priority="100" operator="greaterThan">
      <formula>5.3</formula>
    </cfRule>
  </conditionalFormatting>
  <conditionalFormatting sqref="H73 H75:H81">
    <cfRule type="cellIs" dxfId="2454" priority="134" stopIfTrue="1" operator="greaterThan">
      <formula>4.5</formula>
    </cfRule>
    <cfRule type="cellIs" dxfId="2453" priority="135" stopIfTrue="1" operator="lessThanOrEqual">
      <formula>0</formula>
    </cfRule>
  </conditionalFormatting>
  <conditionalFormatting sqref="H54:I55">
    <cfRule type="cellIs" dxfId="2452" priority="42" stopIfTrue="1" operator="lessThanOrEqual">
      <formula>0</formula>
    </cfRule>
  </conditionalFormatting>
  <conditionalFormatting sqref="H54:I56">
    <cfRule type="cellIs" dxfId="2451" priority="13" stopIfTrue="1" operator="greaterThan">
      <formula>$F$37</formula>
    </cfRule>
  </conditionalFormatting>
  <conditionalFormatting sqref="H56:I56">
    <cfRule type="cellIs" dxfId="2450" priority="16" stopIfTrue="1" operator="lessThanOrEqual">
      <formula>0</formula>
    </cfRule>
  </conditionalFormatting>
  <conditionalFormatting sqref="H57:I57">
    <cfRule type="cellIs" dxfId="2449" priority="81" stopIfTrue="1" operator="greaterThan">
      <formula>$F$63</formula>
    </cfRule>
    <cfRule type="cellIs" dxfId="2448" priority="84" stopIfTrue="1" operator="lessThanOrEqual">
      <formula>0</formula>
    </cfRule>
  </conditionalFormatting>
  <conditionalFormatting sqref="H58:I58">
    <cfRule type="cellIs" dxfId="2447" priority="30" stopIfTrue="1" operator="lessThanOrEqual">
      <formula>0</formula>
    </cfRule>
    <cfRule type="cellIs" dxfId="2446" priority="27" stopIfTrue="1" operator="greaterThan">
      <formula>$F$37</formula>
    </cfRule>
  </conditionalFormatting>
  <conditionalFormatting sqref="H71:I71">
    <cfRule type="cellIs" dxfId="2445" priority="65" stopIfTrue="1" operator="greaterThan">
      <formula>$J71</formula>
    </cfRule>
    <cfRule type="cellIs" dxfId="2444" priority="66" stopIfTrue="1" operator="lessThanOrEqual">
      <formula>0</formula>
    </cfRule>
  </conditionalFormatting>
  <conditionalFormatting sqref="I22">
    <cfRule type="cellIs" dxfId="2443" priority="72" operator="lessThan">
      <formula>97.8</formula>
    </cfRule>
    <cfRule type="cellIs" dxfId="2442" priority="75" operator="lessThan">
      <formula>98</formula>
    </cfRule>
  </conditionalFormatting>
  <conditionalFormatting sqref="I54:I55">
    <cfRule type="cellIs" dxfId="2441" priority="45" stopIfTrue="1" operator="greaterThan">
      <formula>$F$37</formula>
    </cfRule>
    <cfRule type="cellIs" dxfId="2440" priority="44" stopIfTrue="1" operator="lessThanOrEqual">
      <formula>0</formula>
    </cfRule>
    <cfRule type="cellIs" dxfId="2439" priority="43" stopIfTrue="1" operator="greaterThan">
      <formula>$F$35</formula>
    </cfRule>
    <cfRule type="cellIs" dxfId="2438" priority="48" stopIfTrue="1" operator="lessThanOrEqual">
      <formula>0</formula>
    </cfRule>
    <cfRule type="cellIs" dxfId="2437" priority="47" stopIfTrue="1" operator="greaterThan">
      <formula>$F$35</formula>
    </cfRule>
    <cfRule type="cellIs" dxfId="2436" priority="46" stopIfTrue="1" operator="lessThanOrEqual">
      <formula>0</formula>
    </cfRule>
  </conditionalFormatting>
  <conditionalFormatting sqref="I56">
    <cfRule type="cellIs" dxfId="2435" priority="19" stopIfTrue="1" operator="greaterThan">
      <formula>$F$37</formula>
    </cfRule>
    <cfRule type="cellIs" dxfId="2434" priority="21" stopIfTrue="1" operator="greaterThan">
      <formula>$F$35</formula>
    </cfRule>
    <cfRule type="cellIs" dxfId="2433" priority="22" stopIfTrue="1" operator="lessThanOrEqual">
      <formula>0</formula>
    </cfRule>
    <cfRule type="cellIs" dxfId="2432" priority="20" stopIfTrue="1" operator="lessThanOrEqual">
      <formula>0</formula>
    </cfRule>
    <cfRule type="cellIs" dxfId="2431" priority="17" stopIfTrue="1" operator="greaterThan">
      <formula>$F$35</formula>
    </cfRule>
    <cfRule type="cellIs" dxfId="2430" priority="18" stopIfTrue="1" operator="lessThanOrEqual">
      <formula>0</formula>
    </cfRule>
  </conditionalFormatting>
  <conditionalFormatting sqref="I57">
    <cfRule type="cellIs" dxfId="2429" priority="89" stopIfTrue="1" operator="greaterThan">
      <formula>$F$61</formula>
    </cfRule>
    <cfRule type="cellIs" dxfId="2428" priority="88" stopIfTrue="1" operator="lessThanOrEqual">
      <formula>0</formula>
    </cfRule>
    <cfRule type="cellIs" dxfId="2427" priority="86" stopIfTrue="1" operator="lessThanOrEqual">
      <formula>0</formula>
    </cfRule>
    <cfRule type="cellIs" dxfId="2426" priority="87" stopIfTrue="1" operator="greaterThan">
      <formula>$F$63</formula>
    </cfRule>
    <cfRule type="cellIs" dxfId="2425" priority="85" stopIfTrue="1" operator="greaterThan">
      <formula>$F$61</formula>
    </cfRule>
    <cfRule type="cellIs" dxfId="2424" priority="90" stopIfTrue="1" operator="lessThanOrEqual">
      <formula>0</formula>
    </cfRule>
  </conditionalFormatting>
  <conditionalFormatting sqref="I58">
    <cfRule type="cellIs" dxfId="2423" priority="36" stopIfTrue="1" operator="lessThanOrEqual">
      <formula>0</formula>
    </cfRule>
    <cfRule type="cellIs" dxfId="2422" priority="35" stopIfTrue="1" operator="greaterThan">
      <formula>$F$35</formula>
    </cfRule>
    <cfRule type="cellIs" dxfId="2421" priority="34" stopIfTrue="1" operator="lessThanOrEqual">
      <formula>0</formula>
    </cfRule>
    <cfRule type="cellIs" dxfId="2420" priority="33" stopIfTrue="1" operator="greaterThan">
      <formula>$F$37</formula>
    </cfRule>
    <cfRule type="cellIs" dxfId="2419" priority="32" stopIfTrue="1" operator="lessThanOrEqual">
      <formula>0</formula>
    </cfRule>
    <cfRule type="cellIs" dxfId="2418" priority="31" stopIfTrue="1" operator="greaterThan">
      <formula>$F$35</formula>
    </cfRule>
  </conditionalFormatting>
  <conditionalFormatting sqref="I62:I70">
    <cfRule type="cellIs" dxfId="2417" priority="102" stopIfTrue="1" operator="lessThanOrEqual">
      <formula>0</formula>
    </cfRule>
    <cfRule type="cellIs" dxfId="2416" priority="101" stopIfTrue="1" operator="greaterThan">
      <formula>$J62</formula>
    </cfRule>
  </conditionalFormatting>
  <conditionalFormatting sqref="I73:I81">
    <cfRule type="cellIs" dxfId="2415" priority="130" stopIfTrue="1" operator="greaterThan">
      <formula>4.5</formula>
    </cfRule>
    <cfRule type="cellIs" dxfId="2414" priority="131" stopIfTrue="1" operator="lessThanOrEqual">
      <formula>0</formula>
    </cfRule>
  </conditionalFormatting>
  <conditionalFormatting sqref="I10:J21">
    <cfRule type="cellIs" dxfId="2413" priority="12" operator="lessThan">
      <formula>97.9</formula>
    </cfRule>
  </conditionalFormatting>
  <conditionalFormatting sqref="J22">
    <cfRule type="cellIs" dxfId="2412" priority="74" operator="lessThan">
      <formula>97.4</formula>
    </cfRule>
    <cfRule type="cellIs" dxfId="2411" priority="73" operator="notBetween">
      <formula>98</formula>
      <formula>99.9</formula>
    </cfRule>
  </conditionalFormatting>
  <conditionalFormatting sqref="J25:J27">
    <cfRule type="cellIs" dxfId="2410" priority="57" operator="lessThan">
      <formula>98</formula>
    </cfRule>
    <cfRule type="cellIs" dxfId="2409" priority="56" stopIfTrue="1" operator="greaterThan">
      <formula>100</formula>
    </cfRule>
    <cfRule type="cellIs" dxfId="2408" priority="55" stopIfTrue="1" operator="lessThan">
      <formula>96.8</formula>
    </cfRule>
  </conditionalFormatting>
  <conditionalFormatting sqref="J25:J29">
    <cfRule type="cellIs" dxfId="2407" priority="54" operator="lessThan">
      <formula>97.4</formula>
    </cfRule>
  </conditionalFormatting>
  <conditionalFormatting sqref="J30">
    <cfRule type="cellIs" dxfId="2406" priority="58" operator="lessThan">
      <formula>98</formula>
    </cfRule>
  </conditionalFormatting>
  <conditionalFormatting sqref="J31:J33">
    <cfRule type="cellIs" dxfId="2405" priority="59" stopIfTrue="1" operator="lessThan">
      <formula>96.8</formula>
    </cfRule>
    <cfRule type="cellIs" dxfId="2404" priority="60" stopIfTrue="1" operator="greaterThan">
      <formula>100</formula>
    </cfRule>
  </conditionalFormatting>
  <conditionalFormatting sqref="J31:J34">
    <cfRule type="cellIs" dxfId="2403" priority="61" operator="lessThan">
      <formula>98</formula>
    </cfRule>
  </conditionalFormatting>
  <conditionalFormatting sqref="J71">
    <cfRule type="cellIs" dxfId="2402" priority="63" stopIfTrue="1" operator="lessThanOrEqual">
      <formula>0</formula>
    </cfRule>
    <cfRule type="cellIs" dxfId="2401" priority="62" stopIfTrue="1" operator="greaterThan">
      <formula>$F71</formula>
    </cfRule>
  </conditionalFormatting>
  <conditionalFormatting sqref="K10:K22">
    <cfRule type="cellIs" dxfId="2400" priority="10" operator="greaterThan">
      <formula>6.4</formula>
    </cfRule>
    <cfRule type="cellIs" dxfId="2399" priority="6" operator="lessThan">
      <formula>4</formula>
    </cfRule>
    <cfRule type="cellIs" dxfId="2398" priority="5" operator="greaterThan">
      <formula>6</formula>
    </cfRule>
  </conditionalFormatting>
  <conditionalFormatting sqref="K39:K48">
    <cfRule type="cellIs" dxfId="2397" priority="53" operator="notEqual">
      <formula>#REF!</formula>
    </cfRule>
  </conditionalFormatting>
  <conditionalFormatting sqref="K54:K58 K62:N65 L66:N66">
    <cfRule type="cellIs" dxfId="2396" priority="114" stopIfTrue="1" operator="lessThan">
      <formula>100%</formula>
    </cfRule>
  </conditionalFormatting>
  <conditionalFormatting sqref="K73:K78">
    <cfRule type="cellIs" dxfId="2395" priority="136" stopIfTrue="1" operator="lessThan">
      <formula>100%</formula>
    </cfRule>
  </conditionalFormatting>
  <conditionalFormatting sqref="K80:K81">
    <cfRule type="cellIs" dxfId="2394" priority="143" stopIfTrue="1" operator="lessThan">
      <formula>100%</formula>
    </cfRule>
  </conditionalFormatting>
  <conditionalFormatting sqref="K67:N71">
    <cfRule type="cellIs" dxfId="2393" priority="64" stopIfTrue="1" operator="lessThan">
      <formula>100%</formula>
    </cfRule>
  </conditionalFormatting>
  <conditionalFormatting sqref="L10:L22">
    <cfRule type="cellIs" dxfId="2392" priority="8" operator="greaterThan">
      <formula>65</formula>
    </cfRule>
    <cfRule type="cellIs" dxfId="2391" priority="7" operator="between">
      <formula>61</formula>
      <formula>65</formula>
    </cfRule>
  </conditionalFormatting>
  <conditionalFormatting sqref="L25:M36">
    <cfRule type="cellIs" dxfId="2390" priority="69" operator="lessThan">
      <formula>98</formula>
    </cfRule>
  </conditionalFormatting>
  <conditionalFormatting sqref="L40:N40">
    <cfRule type="cellIs" dxfId="2389" priority="78" operator="notEqual">
      <formula>#REF!</formula>
    </cfRule>
  </conditionalFormatting>
  <conditionalFormatting sqref="L73:N81">
    <cfRule type="cellIs" dxfId="2388" priority="121" stopIfTrue="1" operator="lessThan">
      <formula>100%</formula>
    </cfRule>
  </conditionalFormatting>
  <conditionalFormatting sqref="M10:M22">
    <cfRule type="expression" dxfId="2387" priority="3">
      <formula>IF(+(IF(M10&lt;V10,0,IF(M10&gt;W10,0,1)))=0,1)</formula>
    </cfRule>
  </conditionalFormatting>
  <conditionalFormatting sqref="M6:N6">
    <cfRule type="cellIs" dxfId="2386" priority="80" operator="greaterThanOrEqual">
      <formula>19</formula>
    </cfRule>
    <cfRule type="cellIs" dxfId="2385" priority="79" operator="greaterThanOrEqual">
      <formula>15</formula>
    </cfRule>
  </conditionalFormatting>
  <conditionalFormatting sqref="N10:N22">
    <cfRule type="expression" dxfId="2384" priority="4">
      <formula>IF(+(IF(N10&lt;X10,0,IF(N10&gt;Y10,0,1)))=0,1)</formula>
    </cfRule>
  </conditionalFormatting>
  <conditionalFormatting sqref="N22">
    <cfRule type="expression" dxfId="2383" priority="151">
      <formula>IF(+(IF(N22&lt;X64,0,IF(N22&gt;Y64,0,1)))=0,1)</formula>
    </cfRule>
    <cfRule type="expression" dxfId="2382" priority="152">
      <formula>IF(+(IF(N22&lt;X59,0,IF(N22&gt;Y59,0,1)))=0,1)</formula>
    </cfRule>
  </conditionalFormatting>
  <conditionalFormatting sqref="P6">
    <cfRule type="cellIs" dxfId="2381" priority="117" operator="greaterThanOrEqual">
      <formula>19</formula>
    </cfRule>
  </conditionalFormatting>
  <conditionalFormatting sqref="P12:P19">
    <cfRule type="cellIs" dxfId="2380" priority="1" operator="lessThan">
      <formula>98</formula>
    </cfRule>
  </conditionalFormatting>
  <dataValidations count="1">
    <dataValidation type="list" allowBlank="1" showInputMessage="1" showErrorMessage="1" sqref="S8 B22" xr:uid="{33E298F8-BEC4-4611-B304-EDBDA57C4CD8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2951-51A6-4E05-B808-C780B8915190}">
  <sheetPr>
    <pageSetUpPr fitToPage="1"/>
  </sheetPr>
  <dimension ref="A1:BF84"/>
  <sheetViews>
    <sheetView topLeftCell="A21" zoomScale="80" zoomScaleNormal="80" workbookViewId="0">
      <selection activeCell="H12" sqref="H12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11" t="s">
        <v>0</v>
      </c>
      <c r="U1" s="511"/>
      <c r="V1" s="511" t="s">
        <v>1</v>
      </c>
      <c r="W1" s="511"/>
      <c r="X1" s="511" t="s">
        <v>2</v>
      </c>
      <c r="Y1" s="511"/>
      <c r="Z1" s="511" t="s">
        <v>124</v>
      </c>
      <c r="AA1" s="511"/>
    </row>
    <row r="2" spans="2:30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21">
        <v>45755</v>
      </c>
      <c r="J4" s="399" t="s">
        <v>166</v>
      </c>
      <c r="K4" s="399"/>
      <c r="L4" s="11"/>
      <c r="M4" s="533" t="s">
        <v>8</v>
      </c>
      <c r="N4" s="534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0" t="s">
        <v>168</v>
      </c>
      <c r="K6" s="401"/>
      <c r="L6" s="311" t="s">
        <v>14</v>
      </c>
      <c r="M6" s="340">
        <v>12</v>
      </c>
      <c r="N6" s="340">
        <v>10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2"/>
      <c r="K7" s="403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159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80" t="s">
        <v>155</v>
      </c>
      <c r="P8" s="472" t="s">
        <v>170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20"/>
      <c r="P9" s="529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[23]Brewhouse!$A341</f>
        <v>CA237</v>
      </c>
      <c r="D10" s="279">
        <f>[23]Brewhouse!$AF341</f>
        <v>52.5</v>
      </c>
      <c r="E10" s="279">
        <f>[23]Brewhouse!$AI341</f>
        <v>48.4</v>
      </c>
      <c r="F10" s="278">
        <f>[23]Brewhouse!$V341</f>
        <v>56</v>
      </c>
      <c r="G10" s="279">
        <f>[23]Brewhouse!$AG341</f>
        <v>12</v>
      </c>
      <c r="H10" s="396">
        <v>11.8</v>
      </c>
      <c r="I10" s="368">
        <f>[23]Brewhouse!$AU341</f>
        <v>95.054951532926523</v>
      </c>
      <c r="J10" s="368">
        <f>[23]Brewhouse!$AV341</f>
        <v>96.311757056089704</v>
      </c>
      <c r="K10" s="281">
        <f>[23]Brewhouse!$Q341</f>
        <v>8.6764705882352917</v>
      </c>
      <c r="L10" s="276">
        <f>[23]Brewhouse!$P341</f>
        <v>64</v>
      </c>
      <c r="M10" s="397">
        <f>[23]Brewhouse!$U341-[23]Brewhouse!$T341</f>
        <v>0.11458333333333334</v>
      </c>
      <c r="N10" s="370">
        <f>[23]Brewhouse!$Z341</f>
        <v>0.2590277777777778</v>
      </c>
      <c r="O10" s="371" t="str">
        <f>[23]Brewhouse!$AX341</f>
        <v>K.Benjamin</v>
      </c>
      <c r="P10" s="419"/>
      <c r="Q10" s="347"/>
      <c r="S10" s="277" t="str">
        <f t="shared" ref="S10:S25" si="0">B10</f>
        <v>CARIB</v>
      </c>
      <c r="T10" s="296">
        <f t="shared" ref="T10:T25" si="1">VLOOKUP($B10,$S$3:$Y$9,2,FALSE)</f>
        <v>11.6</v>
      </c>
      <c r="U10" s="296">
        <f t="shared" ref="U10:U25" si="2">VLOOKUP($B10,$S$3:$Y$9,3,FALSE)</f>
        <v>12</v>
      </c>
      <c r="V10" s="297">
        <f t="shared" ref="V10:V25" si="3">VLOOKUP($B10,$S$3:$Y$9,4,FALSE)</f>
        <v>0</v>
      </c>
      <c r="W10" s="297">
        <f t="shared" ref="W10:W25" si="4">VLOOKUP($B10,$S$3:$Y$9,5,FALSE)</f>
        <v>0.118055555555556</v>
      </c>
      <c r="X10" s="297">
        <f t="shared" ref="X10:X25" si="5">VLOOKUP($B10,$S$3:$Y$9,6,FALSE)</f>
        <v>0.22569444444444445</v>
      </c>
      <c r="Y10" s="297">
        <f t="shared" ref="Y10:Y25" si="6">VLOOKUP($B10,$S$3:$Y$9,7,FALSE)</f>
        <v>0.2638888888888889</v>
      </c>
      <c r="Z10" s="297">
        <f t="shared" ref="Z10:Z25" si="7">VLOOKUP($B10,$S$3:$AA$9,8,FALSE)</f>
        <v>0</v>
      </c>
      <c r="AA10" s="296">
        <f t="shared" ref="AA10:AA25" si="8">VLOOKUP($B10,$S$3:$AA$9,9,FALSE)</f>
        <v>60</v>
      </c>
    </row>
    <row r="11" spans="2:30" ht="15.75" customHeight="1">
      <c r="B11" s="29" t="s">
        <v>6</v>
      </c>
      <c r="C11" s="366" t="str">
        <f>[23]Brewhouse!$A342</f>
        <v>CA238</v>
      </c>
      <c r="D11" s="279">
        <f>[23]Brewhouse!$AF342</f>
        <v>53.8</v>
      </c>
      <c r="E11" s="279">
        <f>[23]Brewhouse!$AI342</f>
        <v>50</v>
      </c>
      <c r="F11" s="278">
        <f>[23]Brewhouse!$V342</f>
        <v>57</v>
      </c>
      <c r="G11" s="279">
        <f>[23]Brewhouse!$AG342</f>
        <v>12</v>
      </c>
      <c r="H11" s="396">
        <v>11.7</v>
      </c>
      <c r="I11" s="368">
        <f>[23]Brewhouse!$AU342</f>
        <v>98.197263980295986</v>
      </c>
      <c r="J11" s="368">
        <f>[23]Brewhouse!$AV342</f>
        <v>99.495616793481105</v>
      </c>
      <c r="K11" s="281">
        <f>[23]Brewhouse!$Q342</f>
        <v>7.4909090909090859</v>
      </c>
      <c r="L11" s="276">
        <f>[23]Brewhouse!$P342</f>
        <v>57</v>
      </c>
      <c r="M11" s="397">
        <f>[23]Brewhouse!$U342-[23]Brewhouse!$T342</f>
        <v>0.10486111111111113</v>
      </c>
      <c r="N11" s="370">
        <f>[23]Brewhouse!$Z342</f>
        <v>0.26111111111111107</v>
      </c>
      <c r="O11" s="371" t="str">
        <f>[23]Brewhouse!$AX342</f>
        <v>K.Benjamin</v>
      </c>
      <c r="P11" s="419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[23]Brewhouse!$A343</f>
        <v>CA239</v>
      </c>
      <c r="D12" s="279">
        <f>[23]Brewhouse!$AF343</f>
        <v>54.3</v>
      </c>
      <c r="E12" s="279">
        <f>[23]Brewhouse!$AI343</f>
        <v>50.7</v>
      </c>
      <c r="F12" s="278">
        <f>[23]Brewhouse!$V343</f>
        <v>61</v>
      </c>
      <c r="G12" s="279">
        <f>[23]Brewhouse!$AG343</f>
        <v>11.7</v>
      </c>
      <c r="H12" s="396">
        <v>11.7</v>
      </c>
      <c r="I12" s="368">
        <f>[23]Brewhouse!$AU343</f>
        <v>97.89069649116648</v>
      </c>
      <c r="J12" s="368">
        <f>[23]Brewhouse!$AV343</f>
        <v>99.240153845261503</v>
      </c>
      <c r="K12" s="281">
        <f>[23]Brewhouse!$Q343</f>
        <v>7.477313974591647</v>
      </c>
      <c r="L12" s="276">
        <f>[23]Brewhouse!$P343</f>
        <v>60</v>
      </c>
      <c r="M12" s="397">
        <f>[23]Brewhouse!$U343-[23]Brewhouse!$T343</f>
        <v>0.11319444444444449</v>
      </c>
      <c r="N12" s="370">
        <f>[23]Brewhouse!$Z343</f>
        <v>0.24513888888888896</v>
      </c>
      <c r="O12" s="371" t="str">
        <f>[23]Brewhouse!$AX343</f>
        <v>R. Regis</v>
      </c>
      <c r="P12" s="437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[23]Brewhouse!$A344</f>
        <v>CA240</v>
      </c>
      <c r="D13" s="279">
        <f>[23]Brewhouse!$AF344</f>
        <v>53.9</v>
      </c>
      <c r="E13" s="279">
        <f>[23]Brewhouse!$AI344</f>
        <v>50.3</v>
      </c>
      <c r="F13" s="278">
        <f>[23]Brewhouse!$V344</f>
        <v>60</v>
      </c>
      <c r="G13" s="279">
        <f>[23]Brewhouse!$AG344</f>
        <v>11.8</v>
      </c>
      <c r="H13" s="396">
        <v>11.8</v>
      </c>
      <c r="I13" s="368">
        <f>[23]Brewhouse!$AU344</f>
        <v>97.267564374285826</v>
      </c>
      <c r="J13" s="368">
        <f>[23]Brewhouse!$AV344</f>
        <v>98.608870508309707</v>
      </c>
      <c r="K13" s="281">
        <f>[23]Brewhouse!$Q344</f>
        <v>7.2563176895306798</v>
      </c>
      <c r="L13" s="276">
        <f>[23]Brewhouse!$P344</f>
        <v>60</v>
      </c>
      <c r="M13" s="397">
        <f>[23]Brewhouse!$U344-[23]Brewhouse!$T344</f>
        <v>0.12013888888888891</v>
      </c>
      <c r="N13" s="370">
        <f>[23]Brewhouse!$Z344</f>
        <v>0.25763888888888886</v>
      </c>
      <c r="O13" s="371" t="str">
        <f>[23]Brewhouse!$AX344</f>
        <v>R. Regis</v>
      </c>
      <c r="P13" s="437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 t="s">
        <v>6</v>
      </c>
      <c r="C14" s="366" t="str">
        <f>[23]Brewhouse!$A345</f>
        <v>CA241</v>
      </c>
      <c r="D14" s="279">
        <f>[23]Brewhouse!$AF345</f>
        <v>55.4</v>
      </c>
      <c r="E14" s="279">
        <f>[23]Brewhouse!$AI345</f>
        <v>51.8</v>
      </c>
      <c r="F14" s="278">
        <f>[23]Brewhouse!$V345</f>
        <v>60</v>
      </c>
      <c r="G14" s="279">
        <f>[23]Brewhouse!$AG345</f>
        <v>11.8</v>
      </c>
      <c r="H14" s="396">
        <v>11.8</v>
      </c>
      <c r="I14" s="368">
        <f>[23]Brewhouse!$AU345</f>
        <v>100.78902433175921</v>
      </c>
      <c r="J14" s="368">
        <f>[23]Brewhouse!$AV345</f>
        <v>102.17851240802378</v>
      </c>
      <c r="K14" s="281">
        <f>[23]Brewhouse!$Q345</f>
        <v>6.499102333931785</v>
      </c>
      <c r="L14" s="276">
        <f>[23]Brewhouse!$P345</f>
        <v>58</v>
      </c>
      <c r="M14" s="397">
        <f>[23]Brewhouse!$U345-[23]Brewhouse!$T345</f>
        <v>0.10833333333333328</v>
      </c>
      <c r="N14" s="370">
        <f>[23]Brewhouse!$Z345</f>
        <v>0.25277777777777777</v>
      </c>
      <c r="O14" s="371" t="str">
        <f>[23]Brewhouse!$AX345</f>
        <v>R.Sookram</v>
      </c>
      <c r="P14" s="437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29" t="s">
        <v>6</v>
      </c>
      <c r="C15" s="366" t="str">
        <f>[23]Brewhouse!$A346</f>
        <v>CA242</v>
      </c>
      <c r="D15" s="279">
        <f>[23]Brewhouse!$AF346</f>
        <v>53.2</v>
      </c>
      <c r="E15" s="279">
        <f>[23]Brewhouse!$AI346</f>
        <v>49.9</v>
      </c>
      <c r="F15" s="278">
        <f>[23]Brewhouse!$V346</f>
        <v>62</v>
      </c>
      <c r="G15" s="279">
        <f>[23]Brewhouse!$AG346</f>
        <v>11.8</v>
      </c>
      <c r="H15" s="367"/>
      <c r="I15" s="368">
        <f>[23]Brewhouse!$AU346</f>
        <v>97.092129616887718</v>
      </c>
      <c r="J15" s="368">
        <f>[23]Brewhouse!$AV346</f>
        <v>98.430651914293179</v>
      </c>
      <c r="K15" s="281">
        <f>[23]Brewhouse!$Q346</f>
        <v>6.1180679785330847</v>
      </c>
      <c r="L15" s="276">
        <f>[23]Brewhouse!$P346</f>
        <v>57</v>
      </c>
      <c r="M15" s="397">
        <f>[23]Brewhouse!$U346-[23]Brewhouse!$T346</f>
        <v>0.10625000000000007</v>
      </c>
      <c r="N15" s="370">
        <f>[23]Brewhouse!$Z346</f>
        <v>0.24652777777777779</v>
      </c>
      <c r="O15" s="371" t="str">
        <f>[23]Brewhouse!$AX346</f>
        <v>R.Sookram</v>
      </c>
      <c r="P15" s="437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29" t="s">
        <v>6</v>
      </c>
      <c r="C16" s="366" t="str">
        <f>[23]Brewhouse!$A347</f>
        <v>CA243</v>
      </c>
      <c r="D16" s="279">
        <f>[23]Brewhouse!$AF347</f>
        <v>55.7</v>
      </c>
      <c r="E16" s="279">
        <f>[23]Brewhouse!$AI347</f>
        <v>52.2</v>
      </c>
      <c r="F16" s="278">
        <f>[23]Brewhouse!$V347</f>
        <v>63</v>
      </c>
      <c r="G16" s="544" t="s">
        <v>171</v>
      </c>
      <c r="H16" s="545"/>
      <c r="I16" s="545"/>
      <c r="J16" s="546"/>
      <c r="K16" s="281">
        <f>[23]Brewhouse!$Q347</f>
        <v>5.4121863799283085</v>
      </c>
      <c r="L16" s="276">
        <f>[23]Brewhouse!$P347</f>
        <v>62</v>
      </c>
      <c r="M16" s="397">
        <f>[23]Brewhouse!$U347-[23]Brewhouse!$T347</f>
        <v>0.11527777777777792</v>
      </c>
      <c r="N16" s="370">
        <f>[23]Brewhouse!$Z347</f>
        <v>0.25347222222222232</v>
      </c>
      <c r="O16" s="371" t="str">
        <f>[23]Brewhouse!$AX347</f>
        <v>R.Sookram</v>
      </c>
      <c r="P16" s="437"/>
      <c r="Q16" s="347"/>
      <c r="S16" s="277" t="str">
        <f t="shared" ref="S16:S24" si="9">B16</f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29" t="s">
        <v>6</v>
      </c>
      <c r="C17" s="366" t="str">
        <f>[23]Brewhouse!$A348</f>
        <v>CA244</v>
      </c>
      <c r="D17" s="279">
        <f>[23]Brewhouse!$AF348</f>
        <v>52.1</v>
      </c>
      <c r="E17" s="279">
        <f>[23]Brewhouse!$AI348</f>
        <v>49.9</v>
      </c>
      <c r="F17" s="278">
        <f>[23]Brewhouse!$V348</f>
        <v>63</v>
      </c>
      <c r="G17" s="279">
        <f>[23]Brewhouse!$AG348</f>
        <v>11.7</v>
      </c>
      <c r="H17" s="396">
        <v>11.9</v>
      </c>
      <c r="I17" s="368">
        <f>[23]Brewhouse!$AU348</f>
        <v>96.346070116552426</v>
      </c>
      <c r="J17" s="368">
        <f>[23]Brewhouse!$AV348</f>
        <v>97.67423425795954</v>
      </c>
      <c r="K17" s="281">
        <f>[23]Brewhouse!$Q348</f>
        <v>7.2563176895306798</v>
      </c>
      <c r="L17" s="276">
        <f>[23]Brewhouse!$P348</f>
        <v>59</v>
      </c>
      <c r="M17" s="397">
        <f>[23]Brewhouse!$U348-[23]Brewhouse!$T348</f>
        <v>0.11944444444444435</v>
      </c>
      <c r="N17" s="370">
        <f>[23]Brewhouse!$Z348</f>
        <v>0.25624999999999998</v>
      </c>
      <c r="O17" s="371" t="str">
        <f>[23]Brewhouse!$AX348</f>
        <v>K.Benjamin</v>
      </c>
      <c r="P17" s="437"/>
      <c r="Q17" s="347"/>
      <c r="S17" s="277" t="str">
        <f t="shared" si="9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33"/>
      <c r="C18" s="366"/>
      <c r="D18" s="279"/>
      <c r="E18" s="279"/>
      <c r="F18" s="278"/>
      <c r="G18" s="279"/>
      <c r="H18" s="396"/>
      <c r="I18" s="434"/>
      <c r="J18" s="434"/>
      <c r="K18" s="398"/>
      <c r="L18" s="276"/>
      <c r="M18" s="374"/>
      <c r="N18" s="370"/>
      <c r="O18" s="435"/>
      <c r="P18" s="437"/>
      <c r="Q18" s="347"/>
      <c r="S18" s="277">
        <f t="shared" si="9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37" t="s">
        <v>16</v>
      </c>
      <c r="C19" s="366" t="str">
        <f>[27]Brewhouse!$A31</f>
        <v>SM023</v>
      </c>
      <c r="D19" s="279">
        <f>[27]Brewhouse!$AH31</f>
        <v>52.2</v>
      </c>
      <c r="E19" s="279">
        <f>[27]Brewhouse!$AM31</f>
        <v>50.8</v>
      </c>
      <c r="F19" s="276">
        <f>[27]Brewhouse!$Z31</f>
        <v>64</v>
      </c>
      <c r="G19" s="279">
        <f>[27]Brewhouse!$AK31</f>
        <v>17.5</v>
      </c>
      <c r="H19" s="396"/>
      <c r="I19" s="368">
        <f>[27]Brewhouse!$AY31</f>
        <v>97.699494944251768</v>
      </c>
      <c r="J19" s="368">
        <f>[27]Brewhouse!$AZ31</f>
        <v>98.349954309036363</v>
      </c>
      <c r="K19" s="281">
        <f>[27]Brewhouse!$U31</f>
        <v>3.0268199233716575</v>
      </c>
      <c r="L19" s="276">
        <f>[27]Brewhouse!$T31</f>
        <v>60</v>
      </c>
      <c r="M19" s="397">
        <f>[27]Brewhouse!$Y31-[27]Brewhouse!$X31</f>
        <v>0.1298611111111112</v>
      </c>
      <c r="N19" s="370">
        <f>[27]Brewhouse!$AD31</f>
        <v>0.28611111111111109</v>
      </c>
      <c r="O19" s="371" t="str">
        <f>[27]Brewhouse!$BC31</f>
        <v>K. Benjamin</v>
      </c>
      <c r="P19" s="437"/>
      <c r="Q19" s="347"/>
      <c r="S19" s="277" t="str">
        <f t="shared" si="9"/>
        <v>STARMALT</v>
      </c>
      <c r="T19" s="296">
        <f t="shared" si="1"/>
        <v>17.100000000000001</v>
      </c>
      <c r="U19" s="296">
        <f t="shared" si="2"/>
        <v>17.5</v>
      </c>
      <c r="V19" s="297">
        <f t="shared" si="3"/>
        <v>0</v>
      </c>
      <c r="W19" s="297">
        <f t="shared" si="4"/>
        <v>0.13605324074074074</v>
      </c>
      <c r="X19" s="297">
        <f t="shared" si="5"/>
        <v>0.27430555555555552</v>
      </c>
      <c r="Y19" s="297">
        <f t="shared" si="6"/>
        <v>0.30902777777777779</v>
      </c>
      <c r="Z19" s="297">
        <f t="shared" si="7"/>
        <v>0</v>
      </c>
      <c r="AA19" s="296">
        <f t="shared" si="8"/>
        <v>60</v>
      </c>
    </row>
    <row r="20" spans="1:27" ht="15.75" customHeight="1">
      <c r="B20" s="37"/>
      <c r="C20" s="366"/>
      <c r="D20" s="279"/>
      <c r="E20" s="279"/>
      <c r="F20" s="276"/>
      <c r="G20" s="279"/>
      <c r="H20" s="396"/>
      <c r="I20" s="368"/>
      <c r="J20" s="368"/>
      <c r="K20" s="281"/>
      <c r="L20" s="276"/>
      <c r="M20" s="397"/>
      <c r="N20" s="370"/>
      <c r="O20" s="371"/>
      <c r="P20" s="437"/>
      <c r="Q20" s="347"/>
      <c r="S20" s="277">
        <f t="shared" si="9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33"/>
      <c r="C21" s="366"/>
      <c r="D21" s="279"/>
      <c r="E21" s="279"/>
      <c r="F21" s="278"/>
      <c r="G21" s="279"/>
      <c r="H21" s="396"/>
      <c r="I21" s="434"/>
      <c r="J21" s="434"/>
      <c r="K21" s="398"/>
      <c r="L21" s="276"/>
      <c r="M21" s="374"/>
      <c r="N21" s="370"/>
      <c r="O21" s="435"/>
      <c r="P21" s="437"/>
      <c r="Q21" s="347"/>
      <c r="S21" s="277">
        <f t="shared" si="9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5.75" customHeight="1">
      <c r="B22" s="33"/>
      <c r="C22" s="366"/>
      <c r="D22" s="279"/>
      <c r="E22" s="279"/>
      <c r="F22" s="278"/>
      <c r="G22" s="279"/>
      <c r="H22" s="396"/>
      <c r="I22" s="434"/>
      <c r="J22" s="434"/>
      <c r="K22" s="398"/>
      <c r="L22" s="276"/>
      <c r="M22" s="374"/>
      <c r="N22" s="370"/>
      <c r="O22" s="435"/>
      <c r="P22" s="437"/>
      <c r="Q22" s="347"/>
      <c r="S22" s="277">
        <f t="shared" si="9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>
      <c r="B23" s="33"/>
      <c r="C23" s="366"/>
      <c r="D23" s="279"/>
      <c r="E23" s="279"/>
      <c r="F23" s="278"/>
      <c r="G23" s="279"/>
      <c r="H23" s="396"/>
      <c r="I23" s="434"/>
      <c r="J23" s="434"/>
      <c r="K23" s="398"/>
      <c r="L23" s="276"/>
      <c r="M23" s="374"/>
      <c r="N23" s="370"/>
      <c r="O23" s="435"/>
      <c r="P23" s="437"/>
      <c r="Q23" s="347"/>
      <c r="S23" s="277">
        <f t="shared" si="9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00" t="s">
        <v>34</v>
      </c>
      <c r="J24" s="500"/>
      <c r="K24" s="500"/>
      <c r="L24" s="500"/>
      <c r="M24" s="500"/>
      <c r="N24" s="500"/>
      <c r="O24" s="1"/>
      <c r="P24" s="12"/>
      <c r="S24" s="277">
        <f t="shared" si="9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thickBot="1">
      <c r="B25" s="388" t="s">
        <v>145</v>
      </c>
      <c r="C25" s="388"/>
      <c r="D25" s="513" t="s">
        <v>35</v>
      </c>
      <c r="E25" s="514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S25" s="277" t="str">
        <f t="shared" si="0"/>
        <v>BRAND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1:27" ht="15" customHeight="1">
      <c r="A26" s="28"/>
      <c r="B26" s="543" t="str">
        <f>I26</f>
        <v>CARIB</v>
      </c>
      <c r="C26" s="362" cm="1">
        <f t="array" ref="C26:C31">[23]Process!$D$296:$D$301</f>
        <v>11.7</v>
      </c>
      <c r="D26" s="504">
        <v>11.9</v>
      </c>
      <c r="E26" s="493"/>
      <c r="F26" s="294"/>
      <c r="G26" s="294"/>
      <c r="H26" s="348"/>
      <c r="I26" s="29" t="s">
        <v>6</v>
      </c>
      <c r="J26" s="280">
        <f>AVERAGE(I10:I15,I17)</f>
        <v>97.51967149198201</v>
      </c>
      <c r="K26" s="284">
        <f>COUNTA([23]Brewhouse!$A$341:$A$348)</f>
        <v>8</v>
      </c>
      <c r="L26" s="302">
        <f>AVERAGE([23]Brewhouse!$AU$341:$AU$346,[23]Brewhouse!$AU$348)</f>
        <v>97.51967149198201</v>
      </c>
      <c r="M26" s="302">
        <f>AVERAGE([23]Brewhouse!$AU$102:$AU$171,[23]Brewhouse!$AU$173:$AU$253,[23]Brewhouse!$AU$255:$AU$339,[23]Brewhouse!$AU$341:$AU$346,[23]Brewhouse!$AU$348)</f>
        <v>96.80931345733066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5" customHeight="1">
      <c r="A27" s="28"/>
      <c r="B27" s="483"/>
      <c r="C27" s="349">
        <v>12</v>
      </c>
      <c r="D27" s="505"/>
      <c r="E27" s="488"/>
      <c r="F27" s="294"/>
      <c r="G27" s="294"/>
      <c r="H27" s="348"/>
      <c r="I27" s="33" t="s">
        <v>9</v>
      </c>
      <c r="J27" s="280"/>
      <c r="K27" s="284">
        <f>COUNTA([24]Brewhouse!$A$142:$A$149)</f>
        <v>8</v>
      </c>
      <c r="L27" s="302">
        <f>AVERAGE([24]Brewhouse!$AS$142:$AS$149)</f>
        <v>98.511344547748777</v>
      </c>
      <c r="M27" s="302">
        <f>AVERAGE([24]Brewhouse!$AS$15:$AS$64,[24]Brewhouse!$AS$66:$AS$103,[24]Brewhouse!$AS$105:$AS$140,[24]Brewhouse!$AS$142:$AS$149)</f>
        <v>96.81500140255207</v>
      </c>
      <c r="N27" s="30">
        <v>98</v>
      </c>
      <c r="O27" s="11"/>
      <c r="P27" s="31"/>
      <c r="S27" s="277"/>
      <c r="T27" s="296"/>
      <c r="U27" s="296"/>
      <c r="V27" s="297"/>
      <c r="W27" s="297"/>
      <c r="X27" s="297"/>
      <c r="Y27" s="297"/>
      <c r="Z27" s="297"/>
      <c r="AA27" s="296"/>
    </row>
    <row r="28" spans="1:27" ht="14.7" customHeight="1">
      <c r="A28" s="28"/>
      <c r="B28" s="483"/>
      <c r="C28" s="349">
        <v>12.4</v>
      </c>
      <c r="D28" s="504">
        <v>11.85</v>
      </c>
      <c r="E28" s="493"/>
      <c r="F28" s="294"/>
      <c r="G28" s="294"/>
      <c r="H28" s="348"/>
      <c r="I28" s="34" t="s">
        <v>12</v>
      </c>
      <c r="J28" s="280"/>
      <c r="K28" s="284">
        <f>COUNTA([22]Brewhouse!$A$37)</f>
        <v>1</v>
      </c>
      <c r="L28" s="302">
        <f>AVERAGE([22]Brewhouse!$AU$37)</f>
        <v>96.214667872117261</v>
      </c>
      <c r="M28" s="302">
        <f>AVERAGE([22]Brewhouse!$AU$4:$AU$7,[22]Brewhouse!$AU$9:$AU$22,[22]Brewhouse!$AU$24:$AU$35,[22]Brewhouse!$AU$37)</f>
        <v>96.767265202814471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483"/>
      <c r="C29" s="349">
        <v>11.88</v>
      </c>
      <c r="D29" s="505"/>
      <c r="E29" s="488"/>
      <c r="F29" s="294"/>
      <c r="G29" s="294"/>
      <c r="H29" s="348"/>
      <c r="I29" s="22" t="s">
        <v>33</v>
      </c>
      <c r="J29" s="280"/>
      <c r="K29" s="284"/>
      <c r="L29" s="302"/>
      <c r="M29" s="302">
        <f>AVERAGE([25]Brewhouse!$AV$5:$AV$14,[25]Brewhouse!$AV$16:$AV$19,[25]Brewhouse!$AV$21:$AV$24)</f>
        <v>98.616016873478046</v>
      </c>
      <c r="N29" s="30">
        <v>98</v>
      </c>
      <c r="O29" s="11"/>
      <c r="P29" s="31"/>
      <c r="S29" s="23"/>
      <c r="T29" s="1"/>
      <c r="U29" s="1"/>
      <c r="AA29" s="285"/>
    </row>
    <row r="30" spans="1:27" ht="14.7" customHeight="1">
      <c r="A30" s="28"/>
      <c r="B30" s="483"/>
      <c r="C30" s="349">
        <v>11.9</v>
      </c>
      <c r="D30" s="504">
        <v>12.19</v>
      </c>
      <c r="E30" s="493"/>
      <c r="F30" s="436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S30" s="23"/>
    </row>
    <row r="31" spans="1:27" ht="14.7" customHeight="1">
      <c r="A31" s="28"/>
      <c r="B31" s="483"/>
      <c r="C31" s="349">
        <v>11.91</v>
      </c>
      <c r="D31" s="505"/>
      <c r="E31" s="488"/>
      <c r="F31" s="436"/>
      <c r="G31" s="294"/>
      <c r="H31" s="348"/>
      <c r="I31" s="36" t="s">
        <v>15</v>
      </c>
      <c r="J31" s="323"/>
      <c r="K31" s="284"/>
      <c r="L31" s="302"/>
      <c r="M31" s="302">
        <f>AVERAGE([26]Brewhouse!$AT$4:$AT$11)</f>
        <v>94.812616598822359</v>
      </c>
      <c r="N31" s="30">
        <v>98</v>
      </c>
      <c r="O31" s="11"/>
      <c r="P31" s="31"/>
      <c r="S31" s="23"/>
    </row>
    <row r="32" spans="1:27" ht="14.7" customHeight="1">
      <c r="A32" s="28"/>
      <c r="B32" s="483"/>
      <c r="C32" s="349">
        <f>[23]Process!$D$295</f>
        <v>11.64</v>
      </c>
      <c r="D32" s="504">
        <v>12</v>
      </c>
      <c r="E32" s="493"/>
      <c r="F32" s="436"/>
      <c r="G32" s="294"/>
      <c r="H32" s="348"/>
      <c r="I32" s="37" t="s">
        <v>16</v>
      </c>
      <c r="J32" s="323">
        <f>I19</f>
        <v>97.699494944251768</v>
      </c>
      <c r="K32" s="284">
        <f>COUNTA([27]Brewhouse!$A$31)</f>
        <v>1</v>
      </c>
      <c r="L32" s="302">
        <f>AVERAGE([27]Brewhouse!$AY$31)</f>
        <v>97.699494944251768</v>
      </c>
      <c r="M32" s="302">
        <f>AVERAGE([27]Brewhouse!$AY$6:$AY$13,[27]Brewhouse!$AY$15:$AY$20,[27]Brewhouse!$AY$22:$AY$29,[27]Brewhouse!$AY$31)</f>
        <v>95.749116058915007</v>
      </c>
      <c r="N32" s="30">
        <v>98</v>
      </c>
      <c r="O32" s="11"/>
      <c r="P32" s="31" t="s">
        <v>41</v>
      </c>
      <c r="S32" s="23"/>
      <c r="X32" s="275" t="s">
        <v>41</v>
      </c>
    </row>
    <row r="33" spans="1:57" ht="14.7" customHeight="1">
      <c r="A33" s="28"/>
      <c r="B33" s="483"/>
      <c r="C33" s="349">
        <f>[23]Process!$D$286</f>
        <v>11.8</v>
      </c>
      <c r="D33" s="505"/>
      <c r="E33" s="488"/>
      <c r="F33" s="294"/>
      <c r="G33" s="294"/>
      <c r="H33" s="348"/>
      <c r="I33" s="412" t="s">
        <v>158</v>
      </c>
      <c r="J33" s="326"/>
      <c r="K33" s="284"/>
      <c r="L33" s="305"/>
      <c r="M33" s="305">
        <f>AVERAGE([28]Brewhouse!$AU$5:$AU$8)</f>
        <v>91.006888337619571</v>
      </c>
      <c r="N33" s="30">
        <v>98</v>
      </c>
      <c r="O33" s="11"/>
      <c r="P33" s="31"/>
      <c r="S33" s="23"/>
    </row>
    <row r="34" spans="1:57" ht="14.7" customHeight="1">
      <c r="A34" s="28"/>
      <c r="B34" s="483"/>
      <c r="C34" s="349"/>
      <c r="D34" s="504"/>
      <c r="E34" s="493"/>
      <c r="F34" s="294"/>
      <c r="G34" s="294"/>
      <c r="H34" s="348"/>
      <c r="I34" s="411" t="s">
        <v>157</v>
      </c>
      <c r="J34" s="326"/>
      <c r="K34" s="284"/>
      <c r="L34" s="305"/>
      <c r="M34" s="305"/>
      <c r="N34" s="30">
        <v>98</v>
      </c>
      <c r="O34" s="11"/>
      <c r="P34" s="31"/>
      <c r="S34" s="23"/>
    </row>
    <row r="35" spans="1:57" ht="15" customHeight="1" thickBot="1">
      <c r="A35" s="28"/>
      <c r="B35" s="483"/>
      <c r="C35" s="349"/>
      <c r="D35" s="505"/>
      <c r="E35" s="488"/>
      <c r="F35" s="294"/>
      <c r="G35" s="294"/>
      <c r="H35" s="348"/>
      <c r="I35" s="407" t="s">
        <v>156</v>
      </c>
      <c r="J35" s="327"/>
      <c r="K35" s="408"/>
      <c r="L35" s="409"/>
      <c r="M35" s="409"/>
      <c r="N35" s="410">
        <v>98</v>
      </c>
      <c r="O35" s="11"/>
      <c r="P35" s="31"/>
      <c r="S35" s="23"/>
    </row>
    <row r="36" spans="1:57" ht="15" customHeight="1" thickBot="1">
      <c r="A36" s="28"/>
      <c r="B36" s="483"/>
      <c r="C36" s="349"/>
      <c r="D36" s="504"/>
      <c r="E36" s="493"/>
      <c r="F36" s="294"/>
      <c r="G36" s="294"/>
      <c r="H36" s="348"/>
      <c r="I36" s="1"/>
      <c r="J36" s="39"/>
      <c r="K36" s="405">
        <f>SUM(K26:K35)</f>
        <v>18</v>
      </c>
      <c r="L36" s="406">
        <f>((L26*K26)+(L27*K27)+(L28*K28)+(L29*K29)+(L30*K30)+(K33*L33)+(L31*K31)+(L32*K32)+(L35*K35))/(K36)</f>
        <v>97.897905063011947</v>
      </c>
      <c r="M36" s="406">
        <f>AVERAGE('[29]Jan 31st'!$L$65,'[30]Feb 28th'!$L$35,'[31]Mar. 31st'!$L$35,L36)</f>
        <v>97.015780383561307</v>
      </c>
      <c r="N36" s="40">
        <v>98</v>
      </c>
      <c r="O36" s="11"/>
      <c r="P36" s="31"/>
      <c r="S36" s="23"/>
    </row>
    <row r="37" spans="1:57" ht="15" thickBot="1">
      <c r="B37" s="484"/>
      <c r="C37" s="350"/>
      <c r="D37" s="505"/>
      <c r="E37" s="488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S37" s="23"/>
    </row>
    <row r="38" spans="1:57" ht="15" thickBot="1">
      <c r="B38" s="482" t="str">
        <f>I26</f>
        <v>CARIB</v>
      </c>
      <c r="C38" s="362" cm="1">
        <f t="array" ref="C38:C41">[23]Process!$D$316:$D$319</f>
        <v>11.99</v>
      </c>
      <c r="D38" s="485">
        <v>11.7</v>
      </c>
      <c r="E38" s="486"/>
      <c r="F38" s="43"/>
      <c r="G38" s="41"/>
      <c r="H38" s="41"/>
      <c r="I38" s="42"/>
      <c r="J38" s="538" t="s">
        <v>129</v>
      </c>
      <c r="K38" s="538"/>
      <c r="L38" s="294"/>
      <c r="M38" s="294"/>
      <c r="N38" s="294"/>
      <c r="O38" s="294"/>
      <c r="P38" s="12"/>
      <c r="S38" s="23" t="s">
        <v>41</v>
      </c>
    </row>
    <row r="39" spans="1:57" ht="13.5" customHeight="1" thickBot="1">
      <c r="B39" s="483"/>
      <c r="C39" s="349">
        <v>11.91</v>
      </c>
      <c r="D39" s="487"/>
      <c r="E39" s="488"/>
      <c r="F39" s="43"/>
      <c r="G39" s="41"/>
      <c r="H39" s="41"/>
      <c r="I39" s="42"/>
      <c r="J39" s="292" t="s">
        <v>17</v>
      </c>
      <c r="K39" s="293" t="s">
        <v>147</v>
      </c>
      <c r="L39" s="490" t="s">
        <v>136</v>
      </c>
      <c r="M39" s="490"/>
      <c r="N39" s="491"/>
      <c r="O39" s="294"/>
      <c r="P39" s="12"/>
      <c r="S39" s="23"/>
    </row>
    <row r="40" spans="1:57" ht="15" customHeight="1" thickBot="1">
      <c r="B40" s="483"/>
      <c r="C40" s="349">
        <v>11.95</v>
      </c>
      <c r="D40" s="492">
        <v>11.97</v>
      </c>
      <c r="E40" s="493"/>
      <c r="F40" s="43"/>
      <c r="G40" s="41"/>
      <c r="H40" s="41"/>
      <c r="I40" s="42"/>
      <c r="J40" s="287" t="s">
        <v>6</v>
      </c>
      <c r="K40" s="324">
        <v>8</v>
      </c>
      <c r="L40" s="343" t="s">
        <v>37</v>
      </c>
      <c r="M40" s="307" t="s">
        <v>38</v>
      </c>
      <c r="N40" s="307" t="s">
        <v>84</v>
      </c>
      <c r="O40" s="294"/>
      <c r="P40" s="12"/>
      <c r="S40" s="23"/>
    </row>
    <row r="41" spans="1:57" ht="15.75" customHeight="1" thickBot="1">
      <c r="B41" s="483"/>
      <c r="C41" s="349">
        <v>12</v>
      </c>
      <c r="D41" s="487"/>
      <c r="E41" s="488"/>
      <c r="F41" s="43"/>
      <c r="G41" s="41"/>
      <c r="H41" s="41"/>
      <c r="I41" s="42"/>
      <c r="J41" s="345" t="s">
        <v>9</v>
      </c>
      <c r="K41" s="324"/>
      <c r="L41" s="344">
        <f>AVERAGE('Apr. 1st'!K49,'Apr. 7th '!K50,'Apr. 3rd'!K49,'Apr. 4th'!K49)</f>
        <v>4.5</v>
      </c>
      <c r="M41" s="325">
        <f>AVERAGE('[29]Jan 29th '!$M$70,'[30]Feb 28th'!$L$40,'[31]Mar. 31st'!$L$40,L41)</f>
        <v>6.078834209268992</v>
      </c>
      <c r="N41" s="433">
        <v>9.1999999999999993</v>
      </c>
      <c r="O41" s="294"/>
      <c r="P41" s="12"/>
      <c r="S41" s="23"/>
    </row>
    <row r="42" spans="1:57" ht="15" customHeight="1">
      <c r="B42" s="483"/>
      <c r="C42" s="349"/>
      <c r="D42" s="492"/>
      <c r="E42" s="493"/>
      <c r="F42" s="43"/>
      <c r="G42" s="41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  <c r="S42" s="23"/>
    </row>
    <row r="43" spans="1:57" ht="15" customHeight="1">
      <c r="B43" s="483"/>
      <c r="C43" s="349"/>
      <c r="D43" s="487"/>
      <c r="E43" s="488"/>
      <c r="F43" s="43"/>
      <c r="G43" s="41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  <c r="S43" s="23"/>
    </row>
    <row r="44" spans="1:57" ht="14.4">
      <c r="B44" s="483"/>
      <c r="C44" s="349"/>
      <c r="D44" s="492"/>
      <c r="E44" s="493"/>
      <c r="F44" s="43"/>
      <c r="G44" s="41"/>
      <c r="H44" s="41"/>
      <c r="I44" s="42"/>
      <c r="J44" s="290" t="s">
        <v>16</v>
      </c>
      <c r="K44" s="324">
        <v>1</v>
      </c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483"/>
      <c r="C45" s="349"/>
      <c r="D45" s="487"/>
      <c r="E45" s="488"/>
      <c r="F45" s="43"/>
      <c r="G45" s="41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4.4">
      <c r="B46" s="483"/>
      <c r="C46" s="349"/>
      <c r="D46" s="494"/>
      <c r="E46" s="495"/>
      <c r="F46" s="43"/>
      <c r="G46" s="41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5" thickBot="1">
      <c r="B47" s="484"/>
      <c r="C47" s="350"/>
      <c r="D47" s="496"/>
      <c r="E47" s="497"/>
      <c r="F47" s="43"/>
      <c r="G47" s="41"/>
      <c r="H47" s="41"/>
      <c r="I47" s="42"/>
      <c r="J47" s="291" t="s">
        <v>148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 thickBot="1">
      <c r="B48" s="312" t="s">
        <v>139</v>
      </c>
      <c r="C48" s="313"/>
      <c r="D48" s="476">
        <f>AVERAGE(D26:E47)</f>
        <v>11.935</v>
      </c>
      <c r="E48" s="477"/>
      <c r="F48" s="43"/>
      <c r="G48" s="41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7.7" customHeight="1">
      <c r="B49" s="363"/>
      <c r="C49" s="364"/>
      <c r="D49" s="365"/>
      <c r="E49" s="365"/>
      <c r="F49" s="43"/>
      <c r="G49" s="41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S49" s="23"/>
      <c r="BD49" s="44"/>
      <c r="BE49" s="44"/>
    </row>
    <row r="50" spans="2:58" ht="15.75" customHeight="1">
      <c r="B50" s="45"/>
      <c r="C50" s="11"/>
      <c r="D50" s="11"/>
      <c r="E50" s="46"/>
      <c r="F50" s="23"/>
      <c r="G50" s="11"/>
      <c r="H50" s="41"/>
      <c r="I50" s="42"/>
      <c r="J50" s="346" t="s">
        <v>130</v>
      </c>
      <c r="K50" s="324">
        <f>SUM(K40:K49)</f>
        <v>9</v>
      </c>
      <c r="L50" s="294"/>
      <c r="M50" s="294"/>
      <c r="N50" s="294"/>
      <c r="O50" s="294"/>
      <c r="P50" s="12"/>
    </row>
    <row r="51" spans="2:58" ht="20.25" customHeight="1">
      <c r="B51" s="15" t="s">
        <v>42</v>
      </c>
      <c r="C51" s="1" t="s">
        <v>43</v>
      </c>
      <c r="D51" s="1"/>
      <c r="E51" s="1"/>
      <c r="I51" s="42"/>
      <c r="L51" s="294"/>
      <c r="P51" s="334"/>
    </row>
    <row r="52" spans="2:58" ht="15" customHeight="1" thickBot="1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8"/>
      <c r="O52" s="48"/>
      <c r="P52" s="49"/>
      <c r="X52" s="275" t="s">
        <v>41</v>
      </c>
    </row>
    <row r="53" spans="2:58" ht="15" customHeight="1" thickBot="1">
      <c r="B53" s="466" t="s">
        <v>17</v>
      </c>
      <c r="C53" s="466" t="s">
        <v>44</v>
      </c>
      <c r="D53" s="478" t="s">
        <v>45</v>
      </c>
      <c r="E53" s="480" t="s">
        <v>46</v>
      </c>
      <c r="F53" s="474" t="s">
        <v>47</v>
      </c>
      <c r="G53" s="464" t="s">
        <v>48</v>
      </c>
      <c r="H53" s="466" t="s">
        <v>49</v>
      </c>
      <c r="I53" s="466" t="s">
        <v>50</v>
      </c>
      <c r="J53" s="458" t="s">
        <v>28</v>
      </c>
      <c r="K53" s="470" t="s">
        <v>51</v>
      </c>
      <c r="L53" s="472" t="s">
        <v>52</v>
      </c>
      <c r="M53" s="458" t="s">
        <v>53</v>
      </c>
      <c r="N53" s="13"/>
      <c r="O53" s="13"/>
      <c r="P53" s="50"/>
    </row>
    <row r="54" spans="2:58" ht="28.5" customHeight="1" thickTop="1" thickBot="1">
      <c r="B54" s="467"/>
      <c r="C54" s="467"/>
      <c r="D54" s="479"/>
      <c r="E54" s="481"/>
      <c r="F54" s="475"/>
      <c r="G54" s="465"/>
      <c r="H54" s="467"/>
      <c r="I54" s="467"/>
      <c r="J54" s="459"/>
      <c r="K54" s="471"/>
      <c r="L54" s="473"/>
      <c r="M54" s="459"/>
      <c r="N54" s="13"/>
      <c r="O54" s="13"/>
      <c r="P54" s="50"/>
      <c r="Q54" s="355"/>
      <c r="R54" s="355"/>
      <c r="S54" s="355"/>
      <c r="T54" s="355"/>
      <c r="U54" s="51">
        <v>43466</v>
      </c>
      <c r="V54" s="51">
        <v>43467</v>
      </c>
      <c r="W54" s="51">
        <v>43468</v>
      </c>
      <c r="X54" s="51">
        <v>43469</v>
      </c>
      <c r="Y54" s="51">
        <v>43470</v>
      </c>
      <c r="Z54" s="51">
        <v>43471</v>
      </c>
      <c r="AA54" s="51">
        <v>43472</v>
      </c>
      <c r="AB54" s="51">
        <v>43473</v>
      </c>
      <c r="AC54" s="51">
        <v>43474</v>
      </c>
      <c r="AD54" s="51">
        <v>43475</v>
      </c>
      <c r="AE54" s="51">
        <v>43476</v>
      </c>
      <c r="AF54" s="51">
        <v>43477</v>
      </c>
      <c r="AG54" s="51">
        <v>43478</v>
      </c>
      <c r="AH54" s="51">
        <v>43479</v>
      </c>
      <c r="AI54" s="51">
        <v>43480</v>
      </c>
      <c r="AJ54" s="51">
        <v>43481</v>
      </c>
      <c r="AK54" s="51">
        <v>43482</v>
      </c>
      <c r="AL54" s="51">
        <v>43483</v>
      </c>
      <c r="AM54" s="51">
        <v>43484</v>
      </c>
      <c r="AN54" s="51">
        <v>43485</v>
      </c>
      <c r="AO54" s="51">
        <v>43486</v>
      </c>
      <c r="AP54" s="51">
        <v>43487</v>
      </c>
      <c r="AQ54" s="51">
        <v>43488</v>
      </c>
      <c r="AR54" s="51">
        <v>43489</v>
      </c>
      <c r="AS54" s="51">
        <v>43490</v>
      </c>
      <c r="AT54" s="51">
        <v>43491</v>
      </c>
      <c r="AU54" s="51">
        <v>43492</v>
      </c>
      <c r="AV54" s="51">
        <v>43493</v>
      </c>
      <c r="AW54" s="51">
        <v>43494</v>
      </c>
      <c r="AX54" s="51">
        <v>43495</v>
      </c>
      <c r="AY54" s="51">
        <v>43496</v>
      </c>
    </row>
    <row r="55" spans="2:58" s="54" customFormat="1" ht="59.25" customHeight="1">
      <c r="B55" s="415" t="s">
        <v>6</v>
      </c>
      <c r="C55" s="283">
        <v>45751</v>
      </c>
      <c r="D55" s="377">
        <f>[32]April_2025!$I$3</f>
        <v>406.27</v>
      </c>
      <c r="E55" s="378"/>
      <c r="F55" s="379"/>
      <c r="G55" s="303">
        <f>[32]April_2025!$I$7</f>
        <v>375.6</v>
      </c>
      <c r="H55" s="320"/>
      <c r="I55" s="322"/>
      <c r="J55" s="360" t="s">
        <v>150</v>
      </c>
      <c r="K55" s="416">
        <f>[33]April_2025!$G$18</f>
        <v>0.97157894736842099</v>
      </c>
      <c r="L55" s="314">
        <f>(((D55+E55)-G55)/(D55+E55))*100</f>
        <v>7.5491668102493321</v>
      </c>
      <c r="M55" s="423" t="s">
        <v>164</v>
      </c>
      <c r="N55" s="13"/>
      <c r="O55" s="13"/>
      <c r="P55" s="50"/>
      <c r="T55" s="272" t="s">
        <v>54</v>
      </c>
      <c r="U55" s="279"/>
      <c r="V55" s="279"/>
      <c r="W55" s="279"/>
      <c r="X55" s="279"/>
      <c r="Y55" s="279"/>
      <c r="Z55" s="279"/>
      <c r="AA55" s="279"/>
      <c r="AB55" s="279"/>
      <c r="AC55" s="279"/>
      <c r="AD55" s="279"/>
      <c r="AE55" s="279"/>
      <c r="AF55" s="279"/>
      <c r="AG55" s="279"/>
      <c r="AH55" s="279"/>
      <c r="AI55" s="279"/>
      <c r="AJ55" s="279"/>
      <c r="AK55" s="279"/>
      <c r="AL55" s="279"/>
      <c r="AM55" s="279"/>
      <c r="AN55" s="279"/>
      <c r="AO55" s="279"/>
      <c r="AP55" s="279"/>
      <c r="AQ55" s="279"/>
      <c r="AR55" s="279"/>
      <c r="AS55" s="279"/>
      <c r="AT55" s="279"/>
      <c r="AU55" s="279"/>
      <c r="AV55" s="279"/>
      <c r="AW55" s="279"/>
      <c r="AX55" s="279"/>
    </row>
    <row r="56" spans="2:58" s="54" customFormat="1" ht="14.4" thickBot="1">
      <c r="B56" s="415"/>
      <c r="C56" s="283"/>
      <c r="D56" s="377"/>
      <c r="E56" s="378"/>
      <c r="F56" s="379"/>
      <c r="G56" s="303"/>
      <c r="H56" s="320"/>
      <c r="I56" s="322"/>
      <c r="J56" s="398"/>
      <c r="K56" s="286"/>
      <c r="L56" s="314"/>
      <c r="M56" s="423"/>
      <c r="N56" s="13"/>
      <c r="O56" s="13"/>
      <c r="P56" s="50"/>
      <c r="T56" s="272"/>
      <c r="U56" s="420"/>
      <c r="V56" s="420"/>
      <c r="W56" s="420"/>
      <c r="X56" s="420"/>
      <c r="Y56" s="420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  <c r="AK56" s="420"/>
      <c r="AL56" s="420"/>
      <c r="AM56" s="420"/>
      <c r="AN56" s="420"/>
      <c r="AO56" s="420"/>
      <c r="AP56" s="420"/>
      <c r="AQ56" s="420"/>
      <c r="AR56" s="420"/>
      <c r="AS56" s="420"/>
      <c r="AT56" s="420"/>
      <c r="AU56" s="420"/>
      <c r="AV56" s="420"/>
      <c r="AW56" s="420"/>
      <c r="AX56" s="420"/>
    </row>
    <row r="57" spans="2:58" s="54" customFormat="1" ht="59.25" customHeight="1">
      <c r="B57" s="415" t="str">
        <f>B55</f>
        <v>CARIB</v>
      </c>
      <c r="C57" s="283">
        <v>45751</v>
      </c>
      <c r="D57" s="377">
        <f>[32]April_2025!$J$3</f>
        <v>205.1</v>
      </c>
      <c r="E57" s="378"/>
      <c r="F57" s="379"/>
      <c r="G57" s="303">
        <f>[32]April_2025!$J$7</f>
        <v>197</v>
      </c>
      <c r="H57" s="320"/>
      <c r="I57" s="322"/>
      <c r="J57" s="360" t="s">
        <v>172</v>
      </c>
      <c r="K57" s="286">
        <f>[33]April_2025!$H$18</f>
        <v>0.66701754385964906</v>
      </c>
      <c r="L57" s="391">
        <f>(((D57+E57)-G57)/(D57+E57))*100</f>
        <v>3.949293027791319</v>
      </c>
      <c r="M57" s="423" t="s">
        <v>169</v>
      </c>
      <c r="N57" s="13"/>
      <c r="O57" s="13"/>
      <c r="P57" s="50"/>
      <c r="T57" s="272"/>
      <c r="U57" s="420"/>
      <c r="V57" s="420"/>
      <c r="W57" s="420"/>
      <c r="X57" s="420"/>
      <c r="Y57" s="420"/>
      <c r="Z57" s="420"/>
      <c r="AA57" s="420"/>
      <c r="AB57" s="420"/>
      <c r="AC57" s="420"/>
      <c r="AD57" s="420"/>
      <c r="AE57" s="420"/>
      <c r="AF57" s="420"/>
      <c r="AG57" s="420"/>
      <c r="AH57" s="420"/>
      <c r="AI57" s="420"/>
      <c r="AJ57" s="420"/>
      <c r="AK57" s="420"/>
      <c r="AL57" s="420"/>
      <c r="AM57" s="420"/>
      <c r="AN57" s="420"/>
      <c r="AO57" s="420"/>
      <c r="AP57" s="420"/>
      <c r="AQ57" s="420"/>
      <c r="AR57" s="420"/>
      <c r="AS57" s="420"/>
      <c r="AT57" s="420"/>
      <c r="AU57" s="420"/>
      <c r="AV57" s="420"/>
      <c r="AW57" s="420"/>
      <c r="AX57" s="420"/>
    </row>
    <row r="58" spans="2:58" s="54" customFormat="1">
      <c r="B58" s="387"/>
      <c r="C58" s="283"/>
      <c r="D58" s="279"/>
      <c r="E58" s="279"/>
      <c r="F58" s="279"/>
      <c r="G58" s="279"/>
      <c r="H58" s="320"/>
      <c r="I58" s="322"/>
      <c r="J58" s="281"/>
      <c r="K58" s="417"/>
      <c r="L58" s="314"/>
      <c r="M58" s="425"/>
      <c r="N58" s="13"/>
      <c r="O58" s="13"/>
      <c r="P58" s="50"/>
      <c r="T58" s="272" t="s">
        <v>51</v>
      </c>
      <c r="U58" s="57" t="e">
        <f>[20]January_2019!D8</f>
        <v>#DIV/0!</v>
      </c>
      <c r="V58" s="57">
        <f>[20]January_2019!E8</f>
        <v>1.0319298245614037</v>
      </c>
      <c r="W58" s="57">
        <f>[20]January_2019!F8</f>
        <v>1.7789473684210526</v>
      </c>
      <c r="X58" s="57">
        <f>[20]January_2019!G8</f>
        <v>0.51929824561403504</v>
      </c>
      <c r="Y58" s="57" t="e">
        <f>[20]January_2019!H8</f>
        <v>#DIV/0!</v>
      </c>
      <c r="Z58" s="57" t="e">
        <f>[20]January_2019!I8</f>
        <v>#DIV/0!</v>
      </c>
      <c r="AA58" s="57">
        <f>[20]January_2019!J8</f>
        <v>1.365263157894737</v>
      </c>
      <c r="AB58" s="57" t="e">
        <f>[20]January_2019!K8</f>
        <v>#DIV/0!</v>
      </c>
      <c r="AC58" s="57">
        <f>[20]January_2019!L8</f>
        <v>1.0028070175438597</v>
      </c>
      <c r="AD58" s="57">
        <f>[20]January_2019!M8</f>
        <v>1.7828070175438597</v>
      </c>
      <c r="AE58" s="57" t="e">
        <f>[20]January_2019!N8</f>
        <v>#DIV/0!</v>
      </c>
      <c r="AF58" s="57" t="e">
        <f>[20]January_2019!O8</f>
        <v>#DIV/0!</v>
      </c>
      <c r="AG58" s="57">
        <f>[20]January_2019!P8</f>
        <v>0.19222222222222221</v>
      </c>
      <c r="AH58" s="57">
        <f>[20]January_2019!Q8</f>
        <v>0.52219298245614032</v>
      </c>
      <c r="AI58" s="57">
        <f>[20]January_2019!R8</f>
        <v>0.42912280701754385</v>
      </c>
      <c r="AJ58" s="57" t="e">
        <f>[20]January_2019!S8</f>
        <v>#DIV/0!</v>
      </c>
      <c r="AK58" s="57">
        <f>[20]January_2019!T8</f>
        <v>1.0340350877192983</v>
      </c>
      <c r="AL58" s="57">
        <f>[20]January_2019!U8</f>
        <v>0.98421052631578942</v>
      </c>
      <c r="AM58" s="57" t="e">
        <f>[20]January_2019!V8</f>
        <v>#DIV/0!</v>
      </c>
      <c r="AN58" s="57" t="e">
        <f>[20]January_2019!W8</f>
        <v>#DIV/0!</v>
      </c>
      <c r="AO58" s="57">
        <f>[20]January_2019!X8</f>
        <v>0.66052631578947374</v>
      </c>
      <c r="AP58" s="57">
        <f>[20]January_2019!Y8</f>
        <v>1.0375438596491227</v>
      </c>
      <c r="AQ58" s="57">
        <f>[20]January_2019!Z8</f>
        <v>0.90456140350877201</v>
      </c>
      <c r="AR58" s="57">
        <f>[20]January_2019!AA8</f>
        <v>1.0217543859649123</v>
      </c>
      <c r="AS58" s="57">
        <f>[20]January_2019!AB8</f>
        <v>0.65614035087719302</v>
      </c>
      <c r="AT58" s="57" t="e">
        <f>[20]January_2019!AC8</f>
        <v>#DIV/0!</v>
      </c>
      <c r="AU58" s="57" t="e">
        <f>[20]January_2019!AD8</f>
        <v>#DIV/0!</v>
      </c>
      <c r="AV58" s="57">
        <f>[20]January_2019!AE8</f>
        <v>1.7021052631578948</v>
      </c>
      <c r="AW58" s="57">
        <f>[20]January_2019!AF8</f>
        <v>0.60192982456140354</v>
      </c>
      <c r="AX58" s="57">
        <f>[20]January_2019!AG8</f>
        <v>1.4870175438596491</v>
      </c>
      <c r="AY58" s="277" t="e">
        <f>[20]January_2019!AH8</f>
        <v>#DIV/0!</v>
      </c>
      <c r="AZ58" s="277"/>
      <c r="BA58" s="277"/>
      <c r="BB58" s="277"/>
      <c r="BC58" s="277"/>
      <c r="BD58" s="277"/>
      <c r="BE58" s="277"/>
      <c r="BF58" s="277"/>
    </row>
    <row r="59" spans="2:58" ht="58.5" hidden="1" customHeight="1" thickBot="1">
      <c r="B59" s="426"/>
      <c r="C59" s="427"/>
      <c r="D59" s="428"/>
      <c r="E59" s="428"/>
      <c r="F59" s="428"/>
      <c r="G59" s="428"/>
      <c r="H59" s="429"/>
      <c r="I59" s="430"/>
      <c r="J59" s="390"/>
      <c r="K59" s="431"/>
      <c r="L59" s="432"/>
      <c r="M59" s="424"/>
      <c r="N59" s="13"/>
      <c r="O59" s="13"/>
      <c r="P59" s="56"/>
    </row>
    <row r="60" spans="2:58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6"/>
      <c r="P60" s="60"/>
    </row>
    <row r="61" spans="2:58" ht="14.4" thickBot="1">
      <c r="B61" s="460" t="s">
        <v>55</v>
      </c>
      <c r="C61" s="461"/>
      <c r="D61" s="461"/>
      <c r="E61" s="461"/>
      <c r="F61" s="462"/>
      <c r="G61" s="460" t="s">
        <v>56</v>
      </c>
      <c r="H61" s="461"/>
      <c r="I61" s="461"/>
      <c r="J61" s="462"/>
      <c r="K61" s="460" t="s">
        <v>51</v>
      </c>
      <c r="L61" s="461"/>
      <c r="M61" s="461"/>
      <c r="N61" s="463"/>
      <c r="O61" s="56"/>
      <c r="P61" s="50"/>
    </row>
    <row r="62" spans="2:58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8">
      <c r="B63" s="29" t="s">
        <v>6</v>
      </c>
      <c r="C63" s="65">
        <f>AVERAGE(L55,L57)</f>
        <v>5.7492299190203253</v>
      </c>
      <c r="D63" s="76">
        <v>7.9356199490463384</v>
      </c>
      <c r="E63" s="76">
        <v>7.1414012709842876</v>
      </c>
      <c r="F63" s="66">
        <v>4.8</v>
      </c>
      <c r="G63" s="65">
        <f>AVERAGE([32]April_2025!$H$11,[32]April_2025!$G$11)</f>
        <v>5.6518002690948057</v>
      </c>
      <c r="H63" s="76">
        <v>14.7218626016108</v>
      </c>
      <c r="I63" s="76">
        <v>8.4516522801151801</v>
      </c>
      <c r="J63" s="66">
        <v>4.8</v>
      </c>
      <c r="K63" s="67">
        <f>AVERAGE(K55,K57)</f>
        <v>0.81929824561403497</v>
      </c>
      <c r="L63" s="194">
        <v>0.59185964912280709</v>
      </c>
      <c r="M63" s="194">
        <v>0.75842325590854476</v>
      </c>
      <c r="N63" s="68">
        <v>1</v>
      </c>
      <c r="O63" s="56"/>
      <c r="P63" s="69"/>
    </row>
    <row r="64" spans="2:58">
      <c r="B64" s="33" t="s">
        <v>9</v>
      </c>
      <c r="C64" s="65"/>
      <c r="D64" s="76">
        <v>4.6660117878192668</v>
      </c>
      <c r="E64" s="76">
        <v>6.6015692780892836</v>
      </c>
      <c r="F64" s="66">
        <v>4.8</v>
      </c>
      <c r="G64" s="65"/>
      <c r="H64" s="76">
        <v>5.2855665446815321</v>
      </c>
      <c r="I64" s="76">
        <v>7.5048624154579011</v>
      </c>
      <c r="J64" s="66">
        <v>4.8</v>
      </c>
      <c r="K64" s="67"/>
      <c r="L64" s="194">
        <v>1.3621052631578947</v>
      </c>
      <c r="M64" s="194">
        <v>0.74739011756129492</v>
      </c>
      <c r="N64" s="68">
        <v>1</v>
      </c>
      <c r="P64" s="69"/>
    </row>
    <row r="65" spans="2:16">
      <c r="B65" s="34" t="s">
        <v>40</v>
      </c>
      <c r="C65" s="65"/>
      <c r="D65" s="76"/>
      <c r="E65" s="76">
        <v>13.702325581395328</v>
      </c>
      <c r="F65" s="66">
        <v>5.5</v>
      </c>
      <c r="G65" s="65"/>
      <c r="H65" s="76"/>
      <c r="I65" s="76">
        <v>14.359342965977257</v>
      </c>
      <c r="J65" s="66">
        <v>5.5</v>
      </c>
      <c r="K65" s="67"/>
      <c r="L65" s="194"/>
      <c r="M65" s="194">
        <v>0.52401498127340829</v>
      </c>
      <c r="N65" s="68">
        <v>1</v>
      </c>
      <c r="P65" s="69"/>
    </row>
    <row r="66" spans="2:16">
      <c r="B66" s="22" t="s">
        <v>33</v>
      </c>
      <c r="C66" s="65"/>
      <c r="D66" s="76"/>
      <c r="E66" s="76">
        <v>3.9190537266638161</v>
      </c>
      <c r="F66" s="66">
        <v>3.3</v>
      </c>
      <c r="G66" s="65"/>
      <c r="H66" s="76"/>
      <c r="I66" s="76">
        <v>6.209437755460022</v>
      </c>
      <c r="J66" s="66">
        <v>3.3</v>
      </c>
      <c r="K66" s="67"/>
      <c r="L66" s="194"/>
      <c r="M66" s="194">
        <v>0.75184210526315787</v>
      </c>
      <c r="N66" s="68">
        <v>1</v>
      </c>
      <c r="P66" s="69"/>
    </row>
    <row r="67" spans="2:16">
      <c r="B67" s="35" t="s">
        <v>29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L67" s="194"/>
      <c r="M67" s="194"/>
      <c r="N67" s="68">
        <v>1</v>
      </c>
      <c r="P67" s="69"/>
    </row>
    <row r="68" spans="2:16">
      <c r="B68" s="36" t="s">
        <v>15</v>
      </c>
      <c r="C68" s="282"/>
      <c r="D68" s="76"/>
      <c r="E68" s="76">
        <v>8.7664670658682695</v>
      </c>
      <c r="F68" s="70">
        <f>[21]May_2022!$M$43</f>
        <v>3.4878406700073312</v>
      </c>
      <c r="G68" s="282"/>
      <c r="H68" s="76"/>
      <c r="I68" s="76">
        <v>10.607235567685406</v>
      </c>
      <c r="J68" s="66">
        <v>5.5</v>
      </c>
      <c r="K68" s="67"/>
      <c r="L68" s="194"/>
      <c r="M68" s="194">
        <v>0.66824561403508764</v>
      </c>
      <c r="N68" s="68">
        <v>1</v>
      </c>
      <c r="P68" s="69"/>
    </row>
    <row r="69" spans="2:16">
      <c r="B69" s="37" t="s">
        <v>16</v>
      </c>
      <c r="C69" s="65"/>
      <c r="D69" s="76"/>
      <c r="E69" s="76">
        <v>2.2765363128491556</v>
      </c>
      <c r="F69" s="66">
        <v>3.3</v>
      </c>
      <c r="G69" s="282"/>
      <c r="H69" s="76"/>
      <c r="I69" s="76">
        <v>4.6996399261015078</v>
      </c>
      <c r="J69" s="66">
        <v>3.3</v>
      </c>
      <c r="K69" s="67"/>
      <c r="L69" s="194"/>
      <c r="M69" s="194">
        <v>0.86251968503937015</v>
      </c>
      <c r="N69" s="71">
        <v>1</v>
      </c>
      <c r="P69" s="69"/>
    </row>
    <row r="70" spans="2:16" ht="14.4" thickBot="1">
      <c r="B70" s="38" t="s">
        <v>127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4.4" thickBot="1">
      <c r="B71" s="418" t="s">
        <v>162</v>
      </c>
      <c r="C71" s="65"/>
      <c r="D71" s="76"/>
      <c r="E71" s="76">
        <v>4.8792508624938291</v>
      </c>
      <c r="F71" s="66">
        <v>4.8</v>
      </c>
      <c r="G71" s="282"/>
      <c r="H71" s="76"/>
      <c r="I71" s="76">
        <v>6.2003723782925313</v>
      </c>
      <c r="J71" s="66">
        <v>4.8</v>
      </c>
      <c r="K71" s="67"/>
      <c r="L71" s="194">
        <v>0</v>
      </c>
      <c r="M71" s="194">
        <v>0.33859649122807017</v>
      </c>
      <c r="N71" s="71">
        <v>1</v>
      </c>
      <c r="O71" s="74"/>
      <c r="P71" s="75"/>
    </row>
    <row r="72" spans="2:16">
      <c r="D72" s="76">
        <v>7.1660202200038281</v>
      </c>
      <c r="E72" s="76">
        <v>7.0952596833992549</v>
      </c>
      <c r="F72" s="341">
        <v>4.5</v>
      </c>
      <c r="H72" s="76">
        <v>12.509462493422829</v>
      </c>
      <c r="I72" s="76">
        <v>8.4985139239260157</v>
      </c>
      <c r="J72" s="341">
        <v>4.5</v>
      </c>
      <c r="K72" s="67"/>
      <c r="L72" s="194">
        <v>0.720233918128655</v>
      </c>
      <c r="M72" s="194">
        <v>0.73211276742581077</v>
      </c>
      <c r="N72" s="386">
        <v>1</v>
      </c>
    </row>
    <row r="76" spans="2:16">
      <c r="F76" s="315"/>
    </row>
    <row r="84" spans="30:30">
      <c r="AD84" s="275" t="s">
        <v>57</v>
      </c>
    </row>
  </sheetData>
  <mergeCells count="53">
    <mergeCell ref="H8:H9"/>
    <mergeCell ref="T1:U1"/>
    <mergeCell ref="V1:W1"/>
    <mergeCell ref="X1:Y1"/>
    <mergeCell ref="Z1:AA1"/>
    <mergeCell ref="B2:O2"/>
    <mergeCell ref="M4:N4"/>
    <mergeCell ref="C5:D5"/>
    <mergeCell ref="B8:B9"/>
    <mergeCell ref="C8:C9"/>
    <mergeCell ref="D8:D9"/>
    <mergeCell ref="G8:G9"/>
    <mergeCell ref="Q8:Q9"/>
    <mergeCell ref="I8:I9"/>
    <mergeCell ref="J8:J9"/>
    <mergeCell ref="K8:K9"/>
    <mergeCell ref="D28:E29"/>
    <mergeCell ref="D30:E31"/>
    <mergeCell ref="D32:E33"/>
    <mergeCell ref="D34:E35"/>
    <mergeCell ref="D36:E37"/>
    <mergeCell ref="L8:L9"/>
    <mergeCell ref="O8:O9"/>
    <mergeCell ref="P8:P9"/>
    <mergeCell ref="F53:F54"/>
    <mergeCell ref="B38:B47"/>
    <mergeCell ref="D38:E39"/>
    <mergeCell ref="J38:K38"/>
    <mergeCell ref="L39:N39"/>
    <mergeCell ref="D40:E41"/>
    <mergeCell ref="D42:E43"/>
    <mergeCell ref="D44:E45"/>
    <mergeCell ref="D46:E47"/>
    <mergeCell ref="M53:M54"/>
    <mergeCell ref="I24:N24"/>
    <mergeCell ref="D25:E25"/>
    <mergeCell ref="B26:B37"/>
    <mergeCell ref="B61:F61"/>
    <mergeCell ref="G61:J61"/>
    <mergeCell ref="K61:N61"/>
    <mergeCell ref="G16:J16"/>
    <mergeCell ref="G53:G54"/>
    <mergeCell ref="H53:H54"/>
    <mergeCell ref="I53:I54"/>
    <mergeCell ref="J53:J54"/>
    <mergeCell ref="K53:K54"/>
    <mergeCell ref="L53:L54"/>
    <mergeCell ref="D48:E48"/>
    <mergeCell ref="B53:B54"/>
    <mergeCell ref="C53:C54"/>
    <mergeCell ref="D53:D54"/>
    <mergeCell ref="E53:E54"/>
    <mergeCell ref="D26:E27"/>
  </mergeCells>
  <conditionalFormatting sqref="B48:B49">
    <cfRule type="cellIs" dxfId="2379" priority="136" operator="notBetween">
      <formula>#REF!</formula>
      <formula>#REF!</formula>
    </cfRule>
  </conditionalFormatting>
  <conditionalFormatting sqref="C52">
    <cfRule type="cellIs" dxfId="2378" priority="168" stopIfTrue="1" operator="greaterThan">
      <formula>100</formula>
    </cfRule>
    <cfRule type="cellIs" dxfId="2377" priority="167" stopIfTrue="1" operator="lessThan">
      <formula>96</formula>
    </cfRule>
  </conditionalFormatting>
  <conditionalFormatting sqref="C63">
    <cfRule type="cellIs" dxfId="2376" priority="91" stopIfTrue="1" operator="greaterThan">
      <formula>$F63</formula>
    </cfRule>
  </conditionalFormatting>
  <conditionalFormatting sqref="C63:C64">
    <cfRule type="cellIs" dxfId="2375" priority="92" stopIfTrue="1" operator="lessThanOrEqual">
      <formula>0</formula>
    </cfRule>
  </conditionalFormatting>
  <conditionalFormatting sqref="C64">
    <cfRule type="cellIs" dxfId="2374" priority="171" stopIfTrue="1" operator="greaterThan">
      <formula>$F63</formula>
    </cfRule>
  </conditionalFormatting>
  <conditionalFormatting sqref="C65:C67">
    <cfRule type="cellIs" dxfId="2373" priority="116" stopIfTrue="1" operator="greaterThan">
      <formula>$F65</formula>
    </cfRule>
  </conditionalFormatting>
  <conditionalFormatting sqref="C65:C68">
    <cfRule type="cellIs" dxfId="2372" priority="120" stopIfTrue="1" operator="lessThanOrEqual">
      <formula>0</formula>
    </cfRule>
  </conditionalFormatting>
  <conditionalFormatting sqref="C68">
    <cfRule type="cellIs" dxfId="2371" priority="119" stopIfTrue="1" operator="greaterThan">
      <formula>$J68</formula>
    </cfRule>
  </conditionalFormatting>
  <conditionalFormatting sqref="C74:C78">
    <cfRule type="cellIs" dxfId="2370" priority="159" stopIfTrue="1" operator="lessThanOrEqual">
      <formula>0</formula>
    </cfRule>
  </conditionalFormatting>
  <conditionalFormatting sqref="C75:C78">
    <cfRule type="cellIs" dxfId="2369" priority="158" stopIfTrue="1" operator="greaterThan">
      <formula>$F$74</formula>
    </cfRule>
  </conditionalFormatting>
  <conditionalFormatting sqref="C80">
    <cfRule type="cellIs" dxfId="2368" priority="161" stopIfTrue="1" operator="lessThanOrEqual">
      <formula>0</formula>
    </cfRule>
    <cfRule type="cellIs" dxfId="2367" priority="160" stopIfTrue="1" operator="greaterThan">
      <formula>$F$74</formula>
    </cfRule>
  </conditionalFormatting>
  <conditionalFormatting sqref="C74:D74 D76:D82">
    <cfRule type="cellIs" dxfId="2366" priority="153" stopIfTrue="1" operator="greaterThan">
      <formula>4.5</formula>
    </cfRule>
  </conditionalFormatting>
  <conditionalFormatting sqref="D48:D49">
    <cfRule type="cellIs" dxfId="2365" priority="137" operator="notBetween">
      <formula>#REF!</formula>
      <formula>#REF!</formula>
    </cfRule>
  </conditionalFormatting>
  <conditionalFormatting sqref="D63:D70">
    <cfRule type="cellIs" dxfId="2364" priority="130" stopIfTrue="1" operator="lessThanOrEqual">
      <formula>0</formula>
    </cfRule>
  </conditionalFormatting>
  <conditionalFormatting sqref="D71">
    <cfRule type="cellIs" dxfId="2363" priority="129" stopIfTrue="1" operator="lessThanOrEqual">
      <formula>0</formula>
    </cfRule>
  </conditionalFormatting>
  <conditionalFormatting sqref="D74 D76:D82">
    <cfRule type="cellIs" dxfId="2362" priority="154" stopIfTrue="1" operator="lessThanOrEqual">
      <formula>0</formula>
    </cfRule>
  </conditionalFormatting>
  <conditionalFormatting sqref="D75">
    <cfRule type="cellIs" dxfId="2361" priority="145" stopIfTrue="1" operator="greaterThan">
      <formula>$F$74</formula>
    </cfRule>
    <cfRule type="cellIs" dxfId="2360" priority="146" stopIfTrue="1" operator="lessThanOrEqual">
      <formula>0</formula>
    </cfRule>
  </conditionalFormatting>
  <conditionalFormatting sqref="D63:E72">
    <cfRule type="cellIs" dxfId="2359" priority="88" stopIfTrue="1" operator="greaterThan">
      <formula>$F63</formula>
    </cfRule>
  </conditionalFormatting>
  <conditionalFormatting sqref="D72:E72">
    <cfRule type="cellIs" dxfId="2358" priority="89" stopIfTrue="1" operator="lessThanOrEqual">
      <formula>0</formula>
    </cfRule>
  </conditionalFormatting>
  <conditionalFormatting sqref="E10:E18">
    <cfRule type="cellIs" dxfId="2357" priority="18" operator="lessThan">
      <formula>48</formula>
    </cfRule>
  </conditionalFormatting>
  <conditionalFormatting sqref="E21:E23">
    <cfRule type="cellIs" dxfId="2356" priority="30" operator="lessThan">
      <formula>48</formula>
    </cfRule>
  </conditionalFormatting>
  <conditionalFormatting sqref="E52">
    <cfRule type="cellIs" dxfId="2355" priority="147" stopIfTrue="1" operator="lessThan">
      <formula>96.8</formula>
    </cfRule>
    <cfRule type="cellIs" dxfId="2354" priority="148" stopIfTrue="1" operator="greaterThan">
      <formula>100</formula>
    </cfRule>
  </conditionalFormatting>
  <conditionalFormatting sqref="E63:E71">
    <cfRule type="cellIs" dxfId="2353" priority="124" stopIfTrue="1" operator="lessThanOrEqual">
      <formula>0</formula>
    </cfRule>
  </conditionalFormatting>
  <conditionalFormatting sqref="E74:E82">
    <cfRule type="cellIs" dxfId="2352" priority="140" stopIfTrue="1" operator="lessThanOrEqual">
      <formula>0</formula>
    </cfRule>
    <cfRule type="cellIs" dxfId="2351" priority="139" stopIfTrue="1" operator="greaterThan">
      <formula>4.5</formula>
    </cfRule>
  </conditionalFormatting>
  <conditionalFormatting sqref="E51:F52">
    <cfRule type="cellIs" dxfId="2350" priority="150" stopIfTrue="1" operator="greaterThan">
      <formula>100</formula>
    </cfRule>
    <cfRule type="cellIs" dxfId="2349" priority="149" stopIfTrue="1" operator="lessThan">
      <formula>96.5</formula>
    </cfRule>
  </conditionalFormatting>
  <conditionalFormatting sqref="E19:G20">
    <cfRule type="cellIs" dxfId="2348" priority="8" operator="lessThan">
      <formula>48</formula>
    </cfRule>
  </conditionalFormatting>
  <conditionalFormatting sqref="F10:F18">
    <cfRule type="cellIs" dxfId="2347" priority="20" operator="greaterThan">
      <formula>60</formula>
    </cfRule>
  </conditionalFormatting>
  <conditionalFormatting sqref="F21:F23">
    <cfRule type="cellIs" dxfId="2346" priority="32" operator="greaterThan">
      <formula>60</formula>
    </cfRule>
  </conditionalFormatting>
  <conditionalFormatting sqref="F52">
    <cfRule type="cellIs" dxfId="2345" priority="165" stopIfTrue="1" operator="lessThan">
      <formula>96.8</formula>
    </cfRule>
    <cfRule type="cellIs" dxfId="2344" priority="166" stopIfTrue="1" operator="greaterThan">
      <formula>100</formula>
    </cfRule>
  </conditionalFormatting>
  <conditionalFormatting sqref="F72">
    <cfRule type="cellIs" dxfId="2343" priority="126" stopIfTrue="1" operator="lessThanOrEqual">
      <formula>0</formula>
    </cfRule>
    <cfRule type="cellIs" dxfId="2342" priority="125" stopIfTrue="1" operator="greaterThan">
      <formula>$F72</formula>
    </cfRule>
  </conditionalFormatting>
  <conditionalFormatting sqref="G63:G64 C69:C71">
    <cfRule type="cellIs" dxfId="2341" priority="131" stopIfTrue="1" operator="greaterThan">
      <formula>$F63</formula>
    </cfRule>
    <cfRule type="cellIs" dxfId="2340" priority="132" stopIfTrue="1" operator="lessThanOrEqual">
      <formula>0</formula>
    </cfRule>
  </conditionalFormatting>
  <conditionalFormatting sqref="G63:G64">
    <cfRule type="cellIs" dxfId="2339" priority="97" stopIfTrue="1" operator="greaterThan">
      <formula>$F63</formula>
    </cfRule>
    <cfRule type="cellIs" dxfId="2338" priority="98" stopIfTrue="1" operator="lessThanOrEqual">
      <formula>0</formula>
    </cfRule>
  </conditionalFormatting>
  <conditionalFormatting sqref="G65">
    <cfRule type="cellIs" dxfId="2337" priority="169" stopIfTrue="1" operator="greaterThan">
      <formula>$F64</formula>
    </cfRule>
    <cfRule type="cellIs" dxfId="2336" priority="170" stopIfTrue="1" operator="lessThanOrEqual">
      <formula>0</formula>
    </cfRule>
  </conditionalFormatting>
  <conditionalFormatting sqref="G66">
    <cfRule type="cellIs" dxfId="2335" priority="128" stopIfTrue="1" operator="lessThanOrEqual">
      <formula>0</formula>
    </cfRule>
    <cfRule type="cellIs" dxfId="2334" priority="127" stopIfTrue="1" operator="greaterThan">
      <formula>$F66</formula>
    </cfRule>
  </conditionalFormatting>
  <conditionalFormatting sqref="G67:G71">
    <cfRule type="cellIs" dxfId="2333" priority="133" stopIfTrue="1" operator="greaterThan">
      <formula>$J67</formula>
    </cfRule>
    <cfRule type="cellIs" dxfId="2332" priority="134" stopIfTrue="1" operator="lessThanOrEqual">
      <formula>0</formula>
    </cfRule>
  </conditionalFormatting>
  <conditionalFormatting sqref="G76:G81 C79 C81">
    <cfRule type="cellIs" dxfId="2331" priority="163" stopIfTrue="1" operator="lessThanOrEqual">
      <formula>0</formula>
    </cfRule>
    <cfRule type="cellIs" dxfId="2330" priority="162" stopIfTrue="1" operator="greaterThan">
      <formula>4.5</formula>
    </cfRule>
  </conditionalFormatting>
  <conditionalFormatting sqref="G10:H15 G16 G17:H18">
    <cfRule type="expression" dxfId="2329" priority="11">
      <formula>IF(+(IF(G10&lt;#REF!,0,IF(G10&gt;#REF!,0,1)))=0,1)</formula>
    </cfRule>
  </conditionalFormatting>
  <conditionalFormatting sqref="G21:H23">
    <cfRule type="expression" dxfId="2328" priority="23">
      <formula>IF(+(IF(G21&lt;#REF!,0,IF(G21&gt;#REF!,0,1)))=0,1)</formula>
    </cfRule>
  </conditionalFormatting>
  <conditionalFormatting sqref="G75:H75">
    <cfRule type="cellIs" dxfId="2327" priority="144" stopIfTrue="1" operator="lessThanOrEqual">
      <formula>0</formula>
    </cfRule>
    <cfRule type="cellIs" dxfId="2326" priority="143" stopIfTrue="1" operator="greaterThan">
      <formula>$F$74</formula>
    </cfRule>
  </conditionalFormatting>
  <conditionalFormatting sqref="H19:H20">
    <cfRule type="expression" dxfId="2325" priority="1">
      <formula>IF(+(IF(H19&lt;#REF!,0,IF(H19&gt;#REF!,0,1)))=0,1)</formula>
    </cfRule>
  </conditionalFormatting>
  <conditionalFormatting sqref="H37:H50 G38:G49">
    <cfRule type="cellIs" dxfId="2324" priority="141" stopIfTrue="1" operator="greaterThan">
      <formula>0</formula>
    </cfRule>
  </conditionalFormatting>
  <conditionalFormatting sqref="H55:H56">
    <cfRule type="cellIs" dxfId="2323" priority="73" stopIfTrue="1" operator="lessThanOrEqual">
      <formula>0</formula>
    </cfRule>
    <cfRule type="cellIs" dxfId="2322" priority="62" stopIfTrue="1" operator="greaterThan">
      <formula>$F$36</formula>
    </cfRule>
    <cfRule type="cellIs" dxfId="2321" priority="70" stopIfTrue="1" operator="greaterThan">
      <formula>$F$39</formula>
    </cfRule>
    <cfRule type="cellIs" dxfId="2320" priority="71" stopIfTrue="1" operator="lessThanOrEqual">
      <formula>0</formula>
    </cfRule>
    <cfRule type="cellIs" dxfId="2319" priority="72" stopIfTrue="1" operator="greaterThan">
      <formula>$F$37</formula>
    </cfRule>
  </conditionalFormatting>
  <conditionalFormatting sqref="H55:H57">
    <cfRule type="cellIs" dxfId="2318" priority="47" stopIfTrue="1" operator="lessThanOrEqual">
      <formula>0</formula>
    </cfRule>
  </conditionalFormatting>
  <conditionalFormatting sqref="H57">
    <cfRule type="cellIs" dxfId="2317" priority="36" stopIfTrue="1" operator="greaterThan">
      <formula>$F$36</formula>
    </cfRule>
    <cfRule type="cellIs" dxfId="2316" priority="44" stopIfTrue="1" operator="greaterThan">
      <formula>$F$39</formula>
    </cfRule>
    <cfRule type="cellIs" dxfId="2315" priority="45" stopIfTrue="1" operator="lessThanOrEqual">
      <formula>0</formula>
    </cfRule>
    <cfRule type="cellIs" dxfId="2314" priority="46" stopIfTrue="1" operator="greaterThan">
      <formula>$F$37</formula>
    </cfRule>
    <cfRule type="cellIs" dxfId="2313" priority="35" stopIfTrue="1" operator="lessThanOrEqual">
      <formula>0</formula>
    </cfRule>
  </conditionalFormatting>
  <conditionalFormatting sqref="H58">
    <cfRule type="cellIs" dxfId="2312" priority="113" stopIfTrue="1" operator="lessThanOrEqual">
      <formula>0</formula>
    </cfRule>
    <cfRule type="cellIs" dxfId="2311" priority="114" stopIfTrue="1" operator="greaterThan">
      <formula>$F$63</formula>
    </cfRule>
    <cfRule type="cellIs" dxfId="2310" priority="115" stopIfTrue="1" operator="lessThanOrEqual">
      <formula>0</formula>
    </cfRule>
    <cfRule type="cellIs" dxfId="2309" priority="103" stopIfTrue="1" operator="lessThanOrEqual">
      <formula>0</formula>
    </cfRule>
    <cfRule type="cellIs" dxfId="2308" priority="104" stopIfTrue="1" operator="greaterThan">
      <formula>$F$62</formula>
    </cfRule>
    <cfRule type="cellIs" dxfId="2307" priority="112" stopIfTrue="1" operator="greaterThan">
      <formula>$F$65</formula>
    </cfRule>
  </conditionalFormatting>
  <conditionalFormatting sqref="H59">
    <cfRule type="cellIs" dxfId="2306" priority="50" stopIfTrue="1" operator="greaterThan">
      <formula>$F$36</formula>
    </cfRule>
    <cfRule type="cellIs" dxfId="2305" priority="58" stopIfTrue="1" operator="greaterThan">
      <formula>$F$39</formula>
    </cfRule>
    <cfRule type="cellIs" dxfId="2304" priority="59" stopIfTrue="1" operator="lessThanOrEqual">
      <formula>0</formula>
    </cfRule>
    <cfRule type="cellIs" dxfId="2303" priority="60" stopIfTrue="1" operator="greaterThan">
      <formula>$F$37</formula>
    </cfRule>
    <cfRule type="cellIs" dxfId="2302" priority="61" stopIfTrue="1" operator="lessThanOrEqual">
      <formula>0</formula>
    </cfRule>
    <cfRule type="cellIs" dxfId="2301" priority="49" stopIfTrue="1" operator="lessThanOrEqual">
      <formula>0</formula>
    </cfRule>
  </conditionalFormatting>
  <conditionalFormatting sqref="H63:H70">
    <cfRule type="cellIs" dxfId="2300" priority="117" stopIfTrue="1" operator="greaterThan">
      <formula>$J63</formula>
    </cfRule>
    <cfRule type="cellIs" dxfId="2299" priority="118" stopIfTrue="1" operator="lessThanOrEqual">
      <formula>0</formula>
    </cfRule>
  </conditionalFormatting>
  <conditionalFormatting sqref="H71">
    <cfRule type="cellIs" dxfId="2298" priority="121" operator="greaterThan">
      <formula>5.3</formula>
    </cfRule>
  </conditionalFormatting>
  <conditionalFormatting sqref="H74 H76:H82">
    <cfRule type="cellIs" dxfId="2297" priority="156" stopIfTrue="1" operator="lessThanOrEqual">
      <formula>0</formula>
    </cfRule>
    <cfRule type="cellIs" dxfId="2296" priority="155" stopIfTrue="1" operator="greaterThan">
      <formula>4.5</formula>
    </cfRule>
  </conditionalFormatting>
  <conditionalFormatting sqref="H55:I56">
    <cfRule type="cellIs" dxfId="2295" priority="63" stopIfTrue="1" operator="lessThanOrEqual">
      <formula>0</formula>
    </cfRule>
  </conditionalFormatting>
  <conditionalFormatting sqref="H55:I57">
    <cfRule type="cellIs" dxfId="2294" priority="34" stopIfTrue="1" operator="greaterThan">
      <formula>$F$38</formula>
    </cfRule>
  </conditionalFormatting>
  <conditionalFormatting sqref="H57:I57">
    <cfRule type="cellIs" dxfId="2293" priority="37" stopIfTrue="1" operator="lessThanOrEqual">
      <formula>0</formula>
    </cfRule>
  </conditionalFormatting>
  <conditionalFormatting sqref="H58:I58">
    <cfRule type="cellIs" dxfId="2292" priority="102" stopIfTrue="1" operator="greaterThan">
      <formula>$F$64</formula>
    </cfRule>
    <cfRule type="cellIs" dxfId="2291" priority="105" stopIfTrue="1" operator="lessThanOrEqual">
      <formula>0</formula>
    </cfRule>
  </conditionalFormatting>
  <conditionalFormatting sqref="H59:I59">
    <cfRule type="cellIs" dxfId="2290" priority="48" stopIfTrue="1" operator="greaterThan">
      <formula>$F$38</formula>
    </cfRule>
    <cfRule type="cellIs" dxfId="2289" priority="51" stopIfTrue="1" operator="lessThanOrEqual">
      <formula>0</formula>
    </cfRule>
  </conditionalFormatting>
  <conditionalFormatting sqref="H72:I72">
    <cfRule type="cellIs" dxfId="2288" priority="86" stopIfTrue="1" operator="greaterThan">
      <formula>$J72</formula>
    </cfRule>
    <cfRule type="cellIs" dxfId="2287" priority="87" stopIfTrue="1" operator="lessThanOrEqual">
      <formula>0</formula>
    </cfRule>
  </conditionalFormatting>
  <conditionalFormatting sqref="I55:I56">
    <cfRule type="cellIs" dxfId="2286" priority="64" stopIfTrue="1" operator="greaterThan">
      <formula>$F$36</formula>
    </cfRule>
    <cfRule type="cellIs" dxfId="2285" priority="67" stopIfTrue="1" operator="lessThanOrEqual">
      <formula>0</formula>
    </cfRule>
    <cfRule type="cellIs" dxfId="2284" priority="69" stopIfTrue="1" operator="lessThanOrEqual">
      <formula>0</formula>
    </cfRule>
    <cfRule type="cellIs" dxfId="2283" priority="68" stopIfTrue="1" operator="greaterThan">
      <formula>$F$36</formula>
    </cfRule>
    <cfRule type="cellIs" dxfId="2282" priority="66" stopIfTrue="1" operator="greaterThan">
      <formula>$F$38</formula>
    </cfRule>
    <cfRule type="cellIs" dxfId="2281" priority="65" stopIfTrue="1" operator="lessThanOrEqual">
      <formula>0</formula>
    </cfRule>
  </conditionalFormatting>
  <conditionalFormatting sqref="I57">
    <cfRule type="cellIs" dxfId="2280" priority="41" stopIfTrue="1" operator="lessThanOrEqual">
      <formula>0</formula>
    </cfRule>
    <cfRule type="cellIs" dxfId="2279" priority="42" stopIfTrue="1" operator="greaterThan">
      <formula>$F$36</formula>
    </cfRule>
    <cfRule type="cellIs" dxfId="2278" priority="43" stopIfTrue="1" operator="lessThanOrEqual">
      <formula>0</formula>
    </cfRule>
    <cfRule type="cellIs" dxfId="2277" priority="38" stopIfTrue="1" operator="greaterThan">
      <formula>$F$36</formula>
    </cfRule>
    <cfRule type="cellIs" dxfId="2276" priority="39" stopIfTrue="1" operator="lessThanOrEqual">
      <formula>0</formula>
    </cfRule>
    <cfRule type="cellIs" dxfId="2275" priority="40" stopIfTrue="1" operator="greaterThan">
      <formula>$F$38</formula>
    </cfRule>
  </conditionalFormatting>
  <conditionalFormatting sqref="I58">
    <cfRule type="cellIs" dxfId="2274" priority="111" stopIfTrue="1" operator="lessThanOrEqual">
      <formula>0</formula>
    </cfRule>
    <cfRule type="cellIs" dxfId="2273" priority="106" stopIfTrue="1" operator="greaterThan">
      <formula>$F$62</formula>
    </cfRule>
    <cfRule type="cellIs" dxfId="2272" priority="107" stopIfTrue="1" operator="lessThanOrEqual">
      <formula>0</formula>
    </cfRule>
    <cfRule type="cellIs" dxfId="2271" priority="108" stopIfTrue="1" operator="greaterThan">
      <formula>$F$64</formula>
    </cfRule>
    <cfRule type="cellIs" dxfId="2270" priority="109" stopIfTrue="1" operator="lessThanOrEqual">
      <formula>0</formula>
    </cfRule>
    <cfRule type="cellIs" dxfId="2269" priority="110" stopIfTrue="1" operator="greaterThan">
      <formula>$F$62</formula>
    </cfRule>
  </conditionalFormatting>
  <conditionalFormatting sqref="I59">
    <cfRule type="cellIs" dxfId="2268" priority="54" stopIfTrue="1" operator="greaterThan">
      <formula>$F$38</formula>
    </cfRule>
    <cfRule type="cellIs" dxfId="2267" priority="55" stopIfTrue="1" operator="lessThanOrEqual">
      <formula>0</formula>
    </cfRule>
    <cfRule type="cellIs" dxfId="2266" priority="57" stopIfTrue="1" operator="lessThanOrEqual">
      <formula>0</formula>
    </cfRule>
    <cfRule type="cellIs" dxfId="2265" priority="56" stopIfTrue="1" operator="greaterThan">
      <formula>$F$36</formula>
    </cfRule>
    <cfRule type="cellIs" dxfId="2264" priority="52" stopIfTrue="1" operator="greaterThan">
      <formula>$F$36</formula>
    </cfRule>
    <cfRule type="cellIs" dxfId="2263" priority="53" stopIfTrue="1" operator="lessThanOrEqual">
      <formula>0</formula>
    </cfRule>
  </conditionalFormatting>
  <conditionalFormatting sqref="I63:I71">
    <cfRule type="cellIs" dxfId="2262" priority="123" stopIfTrue="1" operator="lessThanOrEqual">
      <formula>0</formula>
    </cfRule>
    <cfRule type="cellIs" dxfId="2261" priority="122" stopIfTrue="1" operator="greaterThan">
      <formula>$J63</formula>
    </cfRule>
  </conditionalFormatting>
  <conditionalFormatting sqref="I74:I82">
    <cfRule type="cellIs" dxfId="2260" priority="152" stopIfTrue="1" operator="lessThanOrEqual">
      <formula>0</formula>
    </cfRule>
    <cfRule type="cellIs" dxfId="2259" priority="151" stopIfTrue="1" operator="greaterThan">
      <formula>4.5</formula>
    </cfRule>
  </conditionalFormatting>
  <conditionalFormatting sqref="I10:J15">
    <cfRule type="cellIs" dxfId="2258" priority="21" operator="lessThan">
      <formula>97.9</formula>
    </cfRule>
  </conditionalFormatting>
  <conditionalFormatting sqref="I17:J23">
    <cfRule type="cellIs" dxfId="2257" priority="10" operator="lessThan">
      <formula>97.9</formula>
    </cfRule>
  </conditionalFormatting>
  <conditionalFormatting sqref="J26:J28">
    <cfRule type="cellIs" dxfId="2256" priority="78" operator="lessThan">
      <formula>98</formula>
    </cfRule>
    <cfRule type="cellIs" dxfId="2255" priority="76" stopIfTrue="1" operator="lessThan">
      <formula>96.8</formula>
    </cfRule>
    <cfRule type="cellIs" dxfId="2254" priority="77" stopIfTrue="1" operator="greaterThan">
      <formula>100</formula>
    </cfRule>
  </conditionalFormatting>
  <conditionalFormatting sqref="J26:J30">
    <cfRule type="cellIs" dxfId="2253" priority="75" operator="lessThan">
      <formula>97.4</formula>
    </cfRule>
  </conditionalFormatting>
  <conditionalFormatting sqref="J31">
    <cfRule type="cellIs" dxfId="2252" priority="79" operator="lessThan">
      <formula>98</formula>
    </cfRule>
  </conditionalFormatting>
  <conditionalFormatting sqref="J32:J34">
    <cfRule type="cellIs" dxfId="2251" priority="81" stopIfTrue="1" operator="greaterThan">
      <formula>100</formula>
    </cfRule>
    <cfRule type="cellIs" dxfId="2250" priority="80" stopIfTrue="1" operator="lessThan">
      <formula>96.8</formula>
    </cfRule>
  </conditionalFormatting>
  <conditionalFormatting sqref="J32:J35">
    <cfRule type="cellIs" dxfId="2249" priority="82" operator="lessThan">
      <formula>98</formula>
    </cfRule>
  </conditionalFormatting>
  <conditionalFormatting sqref="J72">
    <cfRule type="cellIs" dxfId="2248" priority="83" stopIfTrue="1" operator="greaterThan">
      <formula>$F72</formula>
    </cfRule>
    <cfRule type="cellIs" dxfId="2247" priority="84" stopIfTrue="1" operator="lessThanOrEqual">
      <formula>0</formula>
    </cfRule>
  </conditionalFormatting>
  <conditionalFormatting sqref="K10:K23">
    <cfRule type="cellIs" dxfId="2246" priority="4" operator="greaterThan">
      <formula>6</formula>
    </cfRule>
    <cfRule type="cellIs" dxfId="2245" priority="5" operator="lessThan">
      <formula>4</formula>
    </cfRule>
    <cfRule type="cellIs" dxfId="2244" priority="9" operator="greaterThan">
      <formula>6.4</formula>
    </cfRule>
  </conditionalFormatting>
  <conditionalFormatting sqref="K40:K49">
    <cfRule type="cellIs" dxfId="2243" priority="74" operator="notEqual">
      <formula>#REF!</formula>
    </cfRule>
  </conditionalFormatting>
  <conditionalFormatting sqref="K55:K59 K63:N66 L67:N67">
    <cfRule type="cellIs" dxfId="2242" priority="135" stopIfTrue="1" operator="lessThan">
      <formula>100%</formula>
    </cfRule>
  </conditionalFormatting>
  <conditionalFormatting sqref="K74:K79">
    <cfRule type="cellIs" dxfId="2241" priority="157" stopIfTrue="1" operator="lessThan">
      <formula>100%</formula>
    </cfRule>
  </conditionalFormatting>
  <conditionalFormatting sqref="K81:K82">
    <cfRule type="cellIs" dxfId="2240" priority="164" stopIfTrue="1" operator="lessThan">
      <formula>100%</formula>
    </cfRule>
  </conditionalFormatting>
  <conditionalFormatting sqref="K68:N72">
    <cfRule type="cellIs" dxfId="2239" priority="85" stopIfTrue="1" operator="lessThan">
      <formula>100%</formula>
    </cfRule>
  </conditionalFormatting>
  <conditionalFormatting sqref="L10:L23">
    <cfRule type="cellIs" dxfId="2238" priority="6" operator="between">
      <formula>61</formula>
      <formula>65</formula>
    </cfRule>
    <cfRule type="cellIs" dxfId="2237" priority="7" operator="greaterThan">
      <formula>65</formula>
    </cfRule>
  </conditionalFormatting>
  <conditionalFormatting sqref="L26:M37">
    <cfRule type="cellIs" dxfId="2236" priority="90" operator="lessThan">
      <formula>98</formula>
    </cfRule>
  </conditionalFormatting>
  <conditionalFormatting sqref="L41:N41">
    <cfRule type="cellIs" dxfId="2235" priority="99" operator="notEqual">
      <formula>#REF!</formula>
    </cfRule>
  </conditionalFormatting>
  <conditionalFormatting sqref="L74:N82">
    <cfRule type="cellIs" dxfId="2234" priority="142" stopIfTrue="1" operator="lessThan">
      <formula>100%</formula>
    </cfRule>
  </conditionalFormatting>
  <conditionalFormatting sqref="M10:M23">
    <cfRule type="expression" dxfId="2233" priority="2">
      <formula>IF(+(IF(M10&lt;V10,0,IF(M10&gt;W10,0,1)))=0,1)</formula>
    </cfRule>
  </conditionalFormatting>
  <conditionalFormatting sqref="M6:N6">
    <cfRule type="cellIs" dxfId="2232" priority="100" operator="greaterThanOrEqual">
      <formula>15</formula>
    </cfRule>
    <cfRule type="cellIs" dxfId="2231" priority="101" operator="greaterThanOrEqual">
      <formula>19</formula>
    </cfRule>
  </conditionalFormatting>
  <conditionalFormatting sqref="N10:N23">
    <cfRule type="expression" dxfId="2230" priority="3">
      <formula>IF(+(IF(N10&lt;X10,0,IF(N10&gt;Y10,0,1)))=0,1)</formula>
    </cfRule>
  </conditionalFormatting>
  <conditionalFormatting sqref="P6">
    <cfRule type="cellIs" dxfId="2229" priority="138" operator="greaterThanOrEqual">
      <formula>19</formula>
    </cfRule>
  </conditionalFormatting>
  <conditionalFormatting sqref="P12:P23">
    <cfRule type="cellIs" dxfId="2228" priority="22" operator="lessThan">
      <formula>98</formula>
    </cfRule>
  </conditionalFormatting>
  <dataValidations disablePrompts="1" count="1">
    <dataValidation type="list" allowBlank="1" showInputMessage="1" showErrorMessage="1" sqref="S8" xr:uid="{FD308E0E-13AC-49A4-AD3B-8F412B8EED8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2E30-60AF-4E86-86E9-DFAAC78CE568}">
  <sheetPr>
    <pageSetUpPr fitToPage="1"/>
  </sheetPr>
  <dimension ref="A1:BF94"/>
  <sheetViews>
    <sheetView topLeftCell="A40" zoomScale="80" zoomScaleNormal="80" workbookViewId="0">
      <selection activeCell="L58" sqref="L58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11" t="s">
        <v>0</v>
      </c>
      <c r="U1" s="511"/>
      <c r="V1" s="511" t="s">
        <v>1</v>
      </c>
      <c r="W1" s="511"/>
      <c r="X1" s="511" t="s">
        <v>2</v>
      </c>
      <c r="Y1" s="511"/>
      <c r="Z1" s="511" t="s">
        <v>124</v>
      </c>
      <c r="AA1" s="511"/>
    </row>
    <row r="2" spans="2:30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21">
        <v>45756</v>
      </c>
      <c r="J4" s="399" t="s">
        <v>166</v>
      </c>
      <c r="K4" s="399"/>
      <c r="L4" s="11"/>
      <c r="M4" s="533" t="s">
        <v>8</v>
      </c>
      <c r="N4" s="534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0" t="s">
        <v>168</v>
      </c>
      <c r="K6" s="401"/>
      <c r="L6" s="311" t="s">
        <v>14</v>
      </c>
      <c r="M6" s="340">
        <v>12</v>
      </c>
      <c r="N6" s="340">
        <v>10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2"/>
      <c r="K7" s="403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80" t="s">
        <v>155</v>
      </c>
      <c r="P8" s="472" t="s">
        <v>170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20"/>
      <c r="P9" s="529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37" t="s">
        <v>16</v>
      </c>
      <c r="C10" s="366" t="str">
        <f>[27]Brewhouse!$A32</f>
        <v>SM024</v>
      </c>
      <c r="D10" s="279">
        <f>[27]Brewhouse!$AH32</f>
        <v>52.6</v>
      </c>
      <c r="E10" s="279">
        <f>[27]Brewhouse!$AM32</f>
        <v>51.3</v>
      </c>
      <c r="F10" s="276">
        <f>[27]Brewhouse!$Z32</f>
        <v>65</v>
      </c>
      <c r="G10" s="279">
        <f>[27]Brewhouse!$AK32</f>
        <v>17.399999999999999</v>
      </c>
      <c r="H10" s="396"/>
      <c r="I10" s="368">
        <f>[27]Brewhouse!$AY32</f>
        <v>98.002211653180524</v>
      </c>
      <c r="J10" s="368">
        <f>[27]Brewhouse!$AZ32</f>
        <v>98.655293788670065</v>
      </c>
      <c r="K10" s="281">
        <f>[27]Brewhouse!$U32</f>
        <v>3.1939163498098986</v>
      </c>
      <c r="L10" s="276">
        <f>[27]Brewhouse!$T32</f>
        <v>59</v>
      </c>
      <c r="M10" s="397">
        <f>[27]Brewhouse!$Y32-[27]Brewhouse!$X32</f>
        <v>0.13124999999999998</v>
      </c>
      <c r="N10" s="370">
        <f>[27]Brewhouse!$AD32</f>
        <v>0.28749999999999998</v>
      </c>
      <c r="O10" s="371" t="str">
        <f>[27]Brewhouse!$BC32</f>
        <v>R. Regis</v>
      </c>
      <c r="P10" s="439"/>
      <c r="Q10" s="440"/>
      <c r="R10" s="48"/>
      <c r="S10" s="277"/>
      <c r="T10" s="296"/>
      <c r="U10" s="296"/>
      <c r="V10" s="297"/>
      <c r="W10" s="297"/>
      <c r="X10" s="297"/>
      <c r="Y10" s="297"/>
      <c r="Z10" s="297"/>
      <c r="AA10" s="296"/>
      <c r="AB10" s="19"/>
    </row>
    <row r="11" spans="2:30" ht="14.4">
      <c r="B11" s="37" t="s">
        <v>16</v>
      </c>
      <c r="C11" s="366" t="str">
        <f>[27]Brewhouse!$A33</f>
        <v>SM025</v>
      </c>
      <c r="D11" s="279">
        <f>[27]Brewhouse!$AH33</f>
        <v>52.4</v>
      </c>
      <c r="E11" s="279">
        <f>[27]Brewhouse!$AM33</f>
        <v>51.3</v>
      </c>
      <c r="F11" s="276">
        <f>[27]Brewhouse!$Z33</f>
        <v>65</v>
      </c>
      <c r="G11" s="279">
        <f>[27]Brewhouse!$AK33</f>
        <v>17.5</v>
      </c>
      <c r="H11" s="396"/>
      <c r="I11" s="368">
        <f>[27]Brewhouse!$AY33</f>
        <v>98.900740579253281</v>
      </c>
      <c r="J11" s="368">
        <f>[27]Brewhouse!$AZ33</f>
        <v>99.55735285854594</v>
      </c>
      <c r="K11" s="281">
        <f>[27]Brewhouse!$U33</f>
        <v>3.3969465648854986</v>
      </c>
      <c r="L11" s="276">
        <f>[27]Brewhouse!$T33</f>
        <v>60</v>
      </c>
      <c r="M11" s="397">
        <f>[27]Brewhouse!$Y33-[27]Brewhouse!$X33</f>
        <v>0.12361111111111112</v>
      </c>
      <c r="N11" s="370">
        <f>[27]Brewhouse!$AD33</f>
        <v>0.34930555555555554</v>
      </c>
      <c r="O11" s="371" t="str">
        <f>[27]Brewhouse!$BC33</f>
        <v>R. Regis</v>
      </c>
      <c r="P11" s="439"/>
      <c r="Q11" s="440"/>
      <c r="R11" s="48"/>
      <c r="S11" s="277" t="str">
        <f t="shared" ref="S11:S19" si="0">B11</f>
        <v>STARMALT</v>
      </c>
      <c r="T11" s="296">
        <f t="shared" ref="T11:T19" si="1">VLOOKUP($B11,$S$3:$Y$9,2,FALSE)</f>
        <v>17.100000000000001</v>
      </c>
      <c r="U11" s="296">
        <f t="shared" ref="U11:U19" si="2">VLOOKUP($B11,$S$3:$Y$9,3,FALSE)</f>
        <v>17.5</v>
      </c>
      <c r="V11" s="297">
        <f t="shared" ref="V11:V19" si="3">VLOOKUP($B11,$S$3:$Y$9,4,FALSE)</f>
        <v>0</v>
      </c>
      <c r="W11" s="297">
        <f t="shared" ref="W11:W19" si="4">VLOOKUP($B11,$S$3:$Y$9,5,FALSE)</f>
        <v>0.13605324074074074</v>
      </c>
      <c r="X11" s="297">
        <f t="shared" ref="X11:X19" si="5">VLOOKUP($B11,$S$3:$Y$9,6,FALSE)</f>
        <v>0.27430555555555552</v>
      </c>
      <c r="Y11" s="297">
        <f t="shared" ref="Y11:Y19" si="6">VLOOKUP($B11,$S$3:$Y$9,7,FALSE)</f>
        <v>0.30902777777777779</v>
      </c>
      <c r="Z11" s="297">
        <f t="shared" ref="Z11:Z19" si="7">VLOOKUP($B11,$S$3:$AA$9,8,FALSE)</f>
        <v>0</v>
      </c>
      <c r="AA11" s="296">
        <f t="shared" ref="AA11:AA19" si="8">VLOOKUP($B11,$S$3:$AA$9,9,FALSE)</f>
        <v>60</v>
      </c>
      <c r="AB11" s="19"/>
    </row>
    <row r="12" spans="2:30" ht="14.4">
      <c r="B12" s="37" t="s">
        <v>16</v>
      </c>
      <c r="C12" s="366" t="str">
        <f>[27]Brewhouse!$A34</f>
        <v>SM026</v>
      </c>
      <c r="D12" s="279">
        <f>[27]Brewhouse!$AH34</f>
        <v>53.2</v>
      </c>
      <c r="E12" s="279">
        <f>[27]Brewhouse!$AM34</f>
        <v>51.9</v>
      </c>
      <c r="F12" s="276">
        <f>[27]Brewhouse!$Z34</f>
        <v>63</v>
      </c>
      <c r="G12" s="279">
        <f>[27]Brewhouse!$AK34</f>
        <v>17.5</v>
      </c>
      <c r="H12" s="396"/>
      <c r="I12" s="368">
        <f>[27]Brewhouse!$AY34</f>
        <v>100.01046742421136</v>
      </c>
      <c r="J12" s="368">
        <f>[27]Brewhouse!$AZ34</f>
        <v>100.64090771227269</v>
      </c>
      <c r="K12" s="281">
        <f>[27]Brewhouse!$U34</f>
        <v>3.3458646616541508</v>
      </c>
      <c r="L12" s="276">
        <f>[27]Brewhouse!$T34</f>
        <v>61</v>
      </c>
      <c r="M12" s="397">
        <f>[27]Brewhouse!$Y34-[27]Brewhouse!$X34</f>
        <v>0.12291666666666667</v>
      </c>
      <c r="N12" s="370">
        <f>[27]Brewhouse!$AD34</f>
        <v>0.27013888888888893</v>
      </c>
      <c r="O12" s="371" t="str">
        <f>[27]Brewhouse!$BC34</f>
        <v>G. Mason</v>
      </c>
      <c r="P12" s="439"/>
      <c r="Q12" s="440"/>
      <c r="R12" s="48"/>
      <c r="S12" s="277" t="str">
        <f t="shared" si="0"/>
        <v>STARMALT</v>
      </c>
      <c r="T12" s="296">
        <f t="shared" si="1"/>
        <v>17.100000000000001</v>
      </c>
      <c r="U12" s="296">
        <f t="shared" si="2"/>
        <v>17.5</v>
      </c>
      <c r="V12" s="297">
        <f t="shared" si="3"/>
        <v>0</v>
      </c>
      <c r="W12" s="297">
        <f t="shared" si="4"/>
        <v>0.13605324074074074</v>
      </c>
      <c r="X12" s="297">
        <f t="shared" si="5"/>
        <v>0.27430555555555552</v>
      </c>
      <c r="Y12" s="297">
        <f t="shared" si="6"/>
        <v>0.30902777777777779</v>
      </c>
      <c r="Z12" s="297">
        <f t="shared" si="7"/>
        <v>0</v>
      </c>
      <c r="AA12" s="296">
        <f t="shared" si="8"/>
        <v>60</v>
      </c>
      <c r="AB12" s="19"/>
    </row>
    <row r="13" spans="2:30" ht="14.4">
      <c r="B13" s="37"/>
      <c r="C13" s="366"/>
      <c r="D13" s="279"/>
      <c r="E13" s="279"/>
      <c r="F13" s="276"/>
      <c r="G13" s="279"/>
      <c r="H13" s="396"/>
      <c r="I13" s="368"/>
      <c r="J13" s="368"/>
      <c r="K13" s="281"/>
      <c r="L13" s="276"/>
      <c r="M13" s="397"/>
      <c r="N13" s="370"/>
      <c r="O13" s="371"/>
      <c r="P13" s="439"/>
      <c r="Q13" s="440"/>
      <c r="R13" s="48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  <c r="AB13" s="19"/>
    </row>
    <row r="14" spans="2:30" ht="14.4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39"/>
      <c r="Q14" s="440"/>
      <c r="R14" s="48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  <c r="AB14" s="19"/>
    </row>
    <row r="15" spans="2:30" ht="14.4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39"/>
      <c r="Q15" s="440"/>
      <c r="R15" s="48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  <c r="AB15" s="19"/>
    </row>
    <row r="16" spans="2:30" ht="14.4">
      <c r="B16" s="29" t="s">
        <v>6</v>
      </c>
      <c r="C16" s="366" t="str">
        <f>[23]Brewhouse!$A349</f>
        <v>CA245</v>
      </c>
      <c r="D16" s="279">
        <f>[23]Brewhouse!$AF349</f>
        <v>53.3</v>
      </c>
      <c r="E16" s="279">
        <f>[23]Brewhouse!$AI349</f>
        <v>49</v>
      </c>
      <c r="F16" s="278">
        <f>[23]Brewhouse!$V349</f>
        <v>60</v>
      </c>
      <c r="G16" s="279">
        <f>[23]Brewhouse!$AG349</f>
        <v>11.9</v>
      </c>
      <c r="H16" s="396"/>
      <c r="I16" s="368">
        <f>[23]Brewhouse!$AU349</f>
        <v>95.167732750673323</v>
      </c>
      <c r="J16" s="368">
        <f>[23]Brewhouse!$AV349</f>
        <v>96.297037705174944</v>
      </c>
      <c r="K16" s="281">
        <f>[23]Brewhouse!$Q349</f>
        <v>6.7636363636363619</v>
      </c>
      <c r="L16" s="276">
        <f>[23]Brewhouse!$P349</f>
        <v>57</v>
      </c>
      <c r="M16" s="397">
        <f>[23]Brewhouse!$U349-[23]Brewhouse!$T349</f>
        <v>0.10694444444444451</v>
      </c>
      <c r="N16" s="370">
        <f>[23]Brewhouse!$Z349</f>
        <v>0.24722222222222223</v>
      </c>
      <c r="O16" s="371" t="str">
        <f>[23]Brewhouse!$AX349</f>
        <v>G. Mason</v>
      </c>
      <c r="P16" s="439"/>
      <c r="Q16" s="440"/>
      <c r="R16" s="48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  <c r="AB16" s="19"/>
    </row>
    <row r="17" spans="2:28" ht="14.4">
      <c r="B17" s="29" t="s">
        <v>6</v>
      </c>
      <c r="C17" s="366" t="str">
        <f>[23]Brewhouse!$A350</f>
        <v>CA246</v>
      </c>
      <c r="D17" s="279">
        <f>[23]Brewhouse!$AF350</f>
        <v>54.1</v>
      </c>
      <c r="E17" s="279">
        <f>[23]Brewhouse!$AI350</f>
        <v>50.8</v>
      </c>
      <c r="F17" s="278">
        <f>[23]Brewhouse!$V350</f>
        <v>59</v>
      </c>
      <c r="G17" s="279">
        <f>[23]Brewhouse!$AG350</f>
        <v>12</v>
      </c>
      <c r="H17" s="396"/>
      <c r="I17" s="368">
        <f>[23]Brewhouse!$AU350</f>
        <v>99.535417664292453</v>
      </c>
      <c r="J17" s="368">
        <f>[23]Brewhouse!$AV350</f>
        <v>100.7165516166076</v>
      </c>
      <c r="K17" s="281">
        <f>[23]Brewhouse!$Q350</f>
        <v>6.036363636363637</v>
      </c>
      <c r="L17" s="276">
        <f>[23]Brewhouse!$P350</f>
        <v>58</v>
      </c>
      <c r="M17" s="397">
        <f>[23]Brewhouse!$U350-[23]Brewhouse!$T350</f>
        <v>0.10555555555555562</v>
      </c>
      <c r="N17" s="370">
        <f>[23]Brewhouse!$Z350</f>
        <v>0.2416666666666667</v>
      </c>
      <c r="O17" s="371" t="str">
        <f>[23]Brewhouse!$AX350</f>
        <v>G. Mason</v>
      </c>
      <c r="P17" s="439"/>
      <c r="Q17" s="440"/>
      <c r="R17" s="48"/>
      <c r="S17" s="277" t="str">
        <f t="shared" si="0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  <c r="AB17" s="19"/>
    </row>
    <row r="18" spans="2:28" ht="14.4">
      <c r="B18" s="29" t="s">
        <v>6</v>
      </c>
      <c r="C18" s="366" t="str">
        <f>[23]Brewhouse!$A351</f>
        <v>CA247</v>
      </c>
      <c r="D18" s="279">
        <f>[23]Brewhouse!$AF351</f>
        <v>53.7</v>
      </c>
      <c r="E18" s="279">
        <f>[23]Brewhouse!$AI351</f>
        <v>50.3</v>
      </c>
      <c r="F18" s="278">
        <f>[23]Brewhouse!$V351</f>
        <v>56</v>
      </c>
      <c r="G18" s="279">
        <f>[23]Brewhouse!$AG351</f>
        <v>11.9</v>
      </c>
      <c r="H18" s="396"/>
      <c r="I18" s="368">
        <f>[23]Brewhouse!$AU351</f>
        <v>98.272039728735081</v>
      </c>
      <c r="J18" s="368">
        <f>[23]Brewhouse!$AV351</f>
        <v>99.487879888853783</v>
      </c>
      <c r="K18" s="281">
        <f>[23]Brewhouse!$Q351</f>
        <v>7.2694394213381486</v>
      </c>
      <c r="L18" s="276">
        <f>[23]Brewhouse!$P351</f>
        <v>61</v>
      </c>
      <c r="M18" s="397">
        <f>[23]Brewhouse!$U351-[23]Brewhouse!$T351</f>
        <v>0.10555555555555551</v>
      </c>
      <c r="N18" s="370">
        <f>[23]Brewhouse!$Z351</f>
        <v>0.24236111111111114</v>
      </c>
      <c r="O18" s="371" t="str">
        <f>[23]Brewhouse!$AX351</f>
        <v>K.Benjamin</v>
      </c>
      <c r="P18" s="439"/>
      <c r="Q18" s="440"/>
      <c r="R18" s="48"/>
      <c r="S18" s="277" t="str">
        <f t="shared" si="0"/>
        <v>CARIB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  <c r="AB18" s="19"/>
    </row>
    <row r="19" spans="2:28" ht="14.4">
      <c r="B19" s="29" t="s">
        <v>6</v>
      </c>
      <c r="C19" s="366" t="str">
        <f>[23]Brewhouse!$A352</f>
        <v>CA248</v>
      </c>
      <c r="D19" s="279">
        <f>[23]Brewhouse!$AF352</f>
        <v>52.7</v>
      </c>
      <c r="E19" s="279">
        <f>[23]Brewhouse!$AI352</f>
        <v>49.2</v>
      </c>
      <c r="F19" s="278">
        <f>[23]Brewhouse!$V352</f>
        <v>56</v>
      </c>
      <c r="G19" s="279">
        <f>[23]Brewhouse!$AG352</f>
        <v>12</v>
      </c>
      <c r="H19" s="396"/>
      <c r="I19" s="368">
        <f>[23]Brewhouse!$AU352</f>
        <v>97.452426605983504</v>
      </c>
      <c r="J19" s="368">
        <f>[23]Brewhouse!$AV352</f>
        <v>98.657864007177082</v>
      </c>
      <c r="K19" s="281">
        <f>[23]Brewhouse!$Q352</f>
        <v>6.3423423423423362</v>
      </c>
      <c r="L19" s="276">
        <f>[23]Brewhouse!$P352</f>
        <v>61</v>
      </c>
      <c r="M19" s="397">
        <f>[23]Brewhouse!$U352-[23]Brewhouse!$T352</f>
        <v>0.13958333333333339</v>
      </c>
      <c r="N19" s="370">
        <f>[23]Brewhouse!$Z352</f>
        <v>0.23958333333333337</v>
      </c>
      <c r="O19" s="371" t="str">
        <f>[23]Brewhouse!$AX352</f>
        <v>K.Benjamin</v>
      </c>
      <c r="P19" s="439"/>
      <c r="Q19" s="440"/>
      <c r="R19" s="48"/>
      <c r="S19" s="277" t="str">
        <f t="shared" si="0"/>
        <v>CARIB</v>
      </c>
      <c r="T19" s="296">
        <f t="shared" si="1"/>
        <v>11.6</v>
      </c>
      <c r="U19" s="296">
        <f t="shared" si="2"/>
        <v>12</v>
      </c>
      <c r="V19" s="297">
        <f t="shared" si="3"/>
        <v>0</v>
      </c>
      <c r="W19" s="297">
        <f t="shared" si="4"/>
        <v>0.118055555555556</v>
      </c>
      <c r="X19" s="297">
        <f t="shared" si="5"/>
        <v>0.22569444444444445</v>
      </c>
      <c r="Y19" s="297">
        <f t="shared" si="6"/>
        <v>0.2638888888888889</v>
      </c>
      <c r="Z19" s="297">
        <f t="shared" si="7"/>
        <v>0</v>
      </c>
      <c r="AA19" s="296">
        <f t="shared" si="8"/>
        <v>60</v>
      </c>
      <c r="AB19" s="19"/>
    </row>
    <row r="20" spans="2:28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Q20" s="347"/>
      <c r="S20" s="277">
        <f t="shared" ref="S20:S35" si="9">B20</f>
        <v>0</v>
      </c>
      <c r="T20" s="296" t="e">
        <f t="shared" ref="T20:T35" si="10">VLOOKUP($B20,$S$3:$Y$9,2,FALSE)</f>
        <v>#N/A</v>
      </c>
      <c r="U20" s="296" t="e">
        <f t="shared" ref="U20:U35" si="11">VLOOKUP($B20,$S$3:$Y$9,3,FALSE)</f>
        <v>#N/A</v>
      </c>
      <c r="V20" s="297" t="e">
        <f t="shared" ref="V20:V35" si="12">VLOOKUP($B20,$S$3:$Y$9,4,FALSE)</f>
        <v>#N/A</v>
      </c>
      <c r="W20" s="297" t="e">
        <f t="shared" ref="W20:W35" si="13">VLOOKUP($B20,$S$3:$Y$9,5,FALSE)</f>
        <v>#N/A</v>
      </c>
      <c r="X20" s="297" t="e">
        <f t="shared" ref="X20:X35" si="14">VLOOKUP($B20,$S$3:$Y$9,6,FALSE)</f>
        <v>#N/A</v>
      </c>
      <c r="Y20" s="297" t="e">
        <f t="shared" ref="Y20:Y35" si="15">VLOOKUP($B20,$S$3:$Y$9,7,FALSE)</f>
        <v>#N/A</v>
      </c>
      <c r="Z20" s="297" t="e">
        <f t="shared" ref="Z20:Z35" si="16">VLOOKUP($B20,$S$3:$AA$9,8,FALSE)</f>
        <v>#N/A</v>
      </c>
      <c r="AA20" s="296" t="e">
        <f t="shared" ref="AA20:AA35" si="17">VLOOKUP($B20,$S$3:$AA$9,9,FALSE)</f>
        <v>#N/A</v>
      </c>
    </row>
    <row r="21" spans="2:28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2:28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37"/>
      <c r="Q22" s="347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2:28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37"/>
      <c r="Q23" s="347"/>
      <c r="S23" s="277">
        <f t="shared" si="9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2:28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37"/>
      <c r="Q24" s="347"/>
      <c r="S24" s="277">
        <f t="shared" si="9"/>
        <v>0</v>
      </c>
      <c r="T24" s="296" t="e">
        <f t="shared" si="10"/>
        <v>#N/A</v>
      </c>
      <c r="U24" s="296" t="e">
        <f t="shared" si="11"/>
        <v>#N/A</v>
      </c>
      <c r="V24" s="297" t="e">
        <f t="shared" si="12"/>
        <v>#N/A</v>
      </c>
      <c r="W24" s="297" t="e">
        <f t="shared" si="13"/>
        <v>#N/A</v>
      </c>
      <c r="X24" s="297" t="e">
        <f t="shared" si="14"/>
        <v>#N/A</v>
      </c>
      <c r="Y24" s="297" t="e">
        <f t="shared" si="15"/>
        <v>#N/A</v>
      </c>
      <c r="Z24" s="297" t="e">
        <f t="shared" si="16"/>
        <v>#N/A</v>
      </c>
      <c r="AA24" s="296" t="e">
        <f t="shared" si="17"/>
        <v>#N/A</v>
      </c>
    </row>
    <row r="25" spans="2:28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37"/>
      <c r="Q25" s="347"/>
      <c r="S25" s="277">
        <f t="shared" si="9"/>
        <v>0</v>
      </c>
      <c r="T25" s="296" t="e">
        <f t="shared" si="10"/>
        <v>#N/A</v>
      </c>
      <c r="U25" s="296" t="e">
        <f t="shared" si="11"/>
        <v>#N/A</v>
      </c>
      <c r="V25" s="297" t="e">
        <f t="shared" si="12"/>
        <v>#N/A</v>
      </c>
      <c r="W25" s="297" t="e">
        <f t="shared" si="13"/>
        <v>#N/A</v>
      </c>
      <c r="X25" s="297" t="e">
        <f t="shared" si="14"/>
        <v>#N/A</v>
      </c>
      <c r="Y25" s="297" t="e">
        <f t="shared" si="15"/>
        <v>#N/A</v>
      </c>
      <c r="Z25" s="297" t="e">
        <f t="shared" si="16"/>
        <v>#N/A</v>
      </c>
      <c r="AA25" s="296" t="e">
        <f t="shared" si="17"/>
        <v>#N/A</v>
      </c>
    </row>
    <row r="26" spans="2:28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37"/>
      <c r="Q26" s="347"/>
      <c r="S26" s="277">
        <f t="shared" si="9"/>
        <v>0</v>
      </c>
      <c r="T26" s="296" t="e">
        <f t="shared" si="10"/>
        <v>#N/A</v>
      </c>
      <c r="U26" s="296" t="e">
        <f t="shared" si="11"/>
        <v>#N/A</v>
      </c>
      <c r="V26" s="297" t="e">
        <f t="shared" si="12"/>
        <v>#N/A</v>
      </c>
      <c r="W26" s="297" t="e">
        <f t="shared" si="13"/>
        <v>#N/A</v>
      </c>
      <c r="X26" s="297" t="e">
        <f t="shared" si="14"/>
        <v>#N/A</v>
      </c>
      <c r="Y26" s="297" t="e">
        <f t="shared" si="15"/>
        <v>#N/A</v>
      </c>
      <c r="Z26" s="297" t="e">
        <f t="shared" si="16"/>
        <v>#N/A</v>
      </c>
      <c r="AA26" s="296" t="e">
        <f t="shared" si="17"/>
        <v>#N/A</v>
      </c>
    </row>
    <row r="27" spans="2:28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37"/>
      <c r="Q27" s="347"/>
      <c r="S27" s="277">
        <f t="shared" si="9"/>
        <v>0</v>
      </c>
      <c r="T27" s="296" t="e">
        <f t="shared" si="10"/>
        <v>#N/A</v>
      </c>
      <c r="U27" s="296" t="e">
        <f t="shared" si="11"/>
        <v>#N/A</v>
      </c>
      <c r="V27" s="297" t="e">
        <f t="shared" si="12"/>
        <v>#N/A</v>
      </c>
      <c r="W27" s="297" t="e">
        <f t="shared" si="13"/>
        <v>#N/A</v>
      </c>
      <c r="X27" s="297" t="e">
        <f t="shared" si="14"/>
        <v>#N/A</v>
      </c>
      <c r="Y27" s="297" t="e">
        <f t="shared" si="15"/>
        <v>#N/A</v>
      </c>
      <c r="Z27" s="297" t="e">
        <f t="shared" si="16"/>
        <v>#N/A</v>
      </c>
      <c r="AA27" s="296" t="e">
        <f t="shared" si="17"/>
        <v>#N/A</v>
      </c>
    </row>
    <row r="28" spans="2:28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37"/>
      <c r="Q28" s="347"/>
      <c r="S28" s="277">
        <f t="shared" si="9"/>
        <v>0</v>
      </c>
      <c r="T28" s="296" t="e">
        <f t="shared" si="10"/>
        <v>#N/A</v>
      </c>
      <c r="U28" s="296" t="e">
        <f t="shared" si="11"/>
        <v>#N/A</v>
      </c>
      <c r="V28" s="297" t="e">
        <f t="shared" si="12"/>
        <v>#N/A</v>
      </c>
      <c r="W28" s="297" t="e">
        <f t="shared" si="13"/>
        <v>#N/A</v>
      </c>
      <c r="X28" s="297" t="e">
        <f t="shared" si="14"/>
        <v>#N/A</v>
      </c>
      <c r="Y28" s="297" t="e">
        <f t="shared" si="15"/>
        <v>#N/A</v>
      </c>
      <c r="Z28" s="297" t="e">
        <f t="shared" si="16"/>
        <v>#N/A</v>
      </c>
      <c r="AA28" s="296" t="e">
        <f t="shared" si="17"/>
        <v>#N/A</v>
      </c>
    </row>
    <row r="29" spans="2:28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37"/>
      <c r="Q29" s="347"/>
      <c r="S29" s="277">
        <f t="shared" si="9"/>
        <v>0</v>
      </c>
      <c r="T29" s="296" t="e">
        <f t="shared" si="10"/>
        <v>#N/A</v>
      </c>
      <c r="U29" s="296" t="e">
        <f t="shared" si="11"/>
        <v>#N/A</v>
      </c>
      <c r="V29" s="297" t="e">
        <f t="shared" si="12"/>
        <v>#N/A</v>
      </c>
      <c r="W29" s="297" t="e">
        <f t="shared" si="13"/>
        <v>#N/A</v>
      </c>
      <c r="X29" s="297" t="e">
        <f t="shared" si="14"/>
        <v>#N/A</v>
      </c>
      <c r="Y29" s="297" t="e">
        <f t="shared" si="15"/>
        <v>#N/A</v>
      </c>
      <c r="Z29" s="297" t="e">
        <f t="shared" si="16"/>
        <v>#N/A</v>
      </c>
      <c r="AA29" s="296" t="e">
        <f t="shared" si="17"/>
        <v>#N/A</v>
      </c>
    </row>
    <row r="30" spans="2:28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37"/>
      <c r="Q30" s="347"/>
      <c r="S30" s="277">
        <f t="shared" si="9"/>
        <v>0</v>
      </c>
      <c r="T30" s="296" t="e">
        <f t="shared" si="10"/>
        <v>#N/A</v>
      </c>
      <c r="U30" s="296" t="e">
        <f t="shared" si="11"/>
        <v>#N/A</v>
      </c>
      <c r="V30" s="297" t="e">
        <f t="shared" si="12"/>
        <v>#N/A</v>
      </c>
      <c r="W30" s="297" t="e">
        <f t="shared" si="13"/>
        <v>#N/A</v>
      </c>
      <c r="X30" s="297" t="e">
        <f t="shared" si="14"/>
        <v>#N/A</v>
      </c>
      <c r="Y30" s="297" t="e">
        <f t="shared" si="15"/>
        <v>#N/A</v>
      </c>
      <c r="Z30" s="297" t="e">
        <f t="shared" si="16"/>
        <v>#N/A</v>
      </c>
      <c r="AA30" s="296" t="e">
        <f t="shared" si="17"/>
        <v>#N/A</v>
      </c>
    </row>
    <row r="31" spans="2:28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37"/>
      <c r="Q31" s="347"/>
      <c r="S31" s="277">
        <f t="shared" si="9"/>
        <v>0</v>
      </c>
      <c r="T31" s="296" t="e">
        <f t="shared" si="10"/>
        <v>#N/A</v>
      </c>
      <c r="U31" s="296" t="e">
        <f t="shared" si="11"/>
        <v>#N/A</v>
      </c>
      <c r="V31" s="297" t="e">
        <f t="shared" si="12"/>
        <v>#N/A</v>
      </c>
      <c r="W31" s="297" t="e">
        <f t="shared" si="13"/>
        <v>#N/A</v>
      </c>
      <c r="X31" s="297" t="e">
        <f t="shared" si="14"/>
        <v>#N/A</v>
      </c>
      <c r="Y31" s="297" t="e">
        <f t="shared" si="15"/>
        <v>#N/A</v>
      </c>
      <c r="Z31" s="297" t="e">
        <f t="shared" si="16"/>
        <v>#N/A</v>
      </c>
      <c r="AA31" s="296" t="e">
        <f t="shared" si="17"/>
        <v>#N/A</v>
      </c>
    </row>
    <row r="32" spans="2:28" ht="15.75" hidden="1" customHeight="1">
      <c r="B32" s="33"/>
      <c r="C32" s="366"/>
      <c r="D32" s="279"/>
      <c r="E32" s="279"/>
      <c r="F32" s="278"/>
      <c r="G32" s="279"/>
      <c r="H32" s="396"/>
      <c r="I32" s="434"/>
      <c r="J32" s="434"/>
      <c r="K32" s="398"/>
      <c r="L32" s="276"/>
      <c r="M32" s="374"/>
      <c r="N32" s="370"/>
      <c r="O32" s="435"/>
      <c r="P32" s="437"/>
      <c r="Q32" s="347"/>
      <c r="S32" s="277">
        <f t="shared" si="9"/>
        <v>0</v>
      </c>
      <c r="T32" s="296" t="e">
        <f t="shared" si="10"/>
        <v>#N/A</v>
      </c>
      <c r="U32" s="296" t="e">
        <f t="shared" si="11"/>
        <v>#N/A</v>
      </c>
      <c r="V32" s="297" t="e">
        <f t="shared" si="12"/>
        <v>#N/A</v>
      </c>
      <c r="W32" s="297" t="e">
        <f t="shared" si="13"/>
        <v>#N/A</v>
      </c>
      <c r="X32" s="297" t="e">
        <f t="shared" si="14"/>
        <v>#N/A</v>
      </c>
      <c r="Y32" s="297" t="e">
        <f t="shared" si="15"/>
        <v>#N/A</v>
      </c>
      <c r="Z32" s="297" t="e">
        <f t="shared" si="16"/>
        <v>#N/A</v>
      </c>
      <c r="AA32" s="296" t="e">
        <f t="shared" si="17"/>
        <v>#N/A</v>
      </c>
    </row>
    <row r="33" spans="1:27" ht="15.75" hidden="1" customHeight="1">
      <c r="B33" s="33"/>
      <c r="C33" s="366"/>
      <c r="D33" s="279"/>
      <c r="E33" s="279"/>
      <c r="F33" s="278"/>
      <c r="G33" s="279"/>
      <c r="H33" s="396"/>
      <c r="I33" s="434"/>
      <c r="J33" s="434"/>
      <c r="K33" s="398"/>
      <c r="L33" s="276"/>
      <c r="M33" s="374"/>
      <c r="N33" s="370"/>
      <c r="O33" s="435"/>
      <c r="P33" s="437"/>
      <c r="Q33" s="347"/>
      <c r="S33" s="277">
        <f t="shared" si="9"/>
        <v>0</v>
      </c>
      <c r="T33" s="296" t="e">
        <f t="shared" si="10"/>
        <v>#N/A</v>
      </c>
      <c r="U33" s="296" t="e">
        <f t="shared" si="11"/>
        <v>#N/A</v>
      </c>
      <c r="V33" s="297" t="e">
        <f t="shared" si="12"/>
        <v>#N/A</v>
      </c>
      <c r="W33" s="297" t="e">
        <f t="shared" si="13"/>
        <v>#N/A</v>
      </c>
      <c r="X33" s="297" t="e">
        <f t="shared" si="14"/>
        <v>#N/A</v>
      </c>
      <c r="Y33" s="297" t="e">
        <f t="shared" si="15"/>
        <v>#N/A</v>
      </c>
      <c r="Z33" s="297" t="e">
        <f t="shared" si="16"/>
        <v>#N/A</v>
      </c>
      <c r="AA33" s="296" t="e">
        <f t="shared" si="17"/>
        <v>#N/A</v>
      </c>
    </row>
    <row r="34" spans="1:27" ht="15.75" customHeight="1" thickBot="1">
      <c r="B34" s="358"/>
      <c r="C34" s="358"/>
      <c r="D34" s="358"/>
      <c r="E34" s="358"/>
      <c r="F34" s="294"/>
      <c r="G34" s="294"/>
      <c r="H34" s="348"/>
      <c r="I34" s="500" t="s">
        <v>34</v>
      </c>
      <c r="J34" s="500"/>
      <c r="K34" s="500"/>
      <c r="L34" s="500"/>
      <c r="M34" s="500"/>
      <c r="N34" s="500"/>
      <c r="O34" s="1"/>
      <c r="P34" s="12"/>
      <c r="S34" s="277">
        <f t="shared" si="9"/>
        <v>0</v>
      </c>
      <c r="T34" s="296" t="e">
        <f t="shared" si="10"/>
        <v>#N/A</v>
      </c>
      <c r="U34" s="296" t="e">
        <f t="shared" si="11"/>
        <v>#N/A</v>
      </c>
      <c r="V34" s="297" t="e">
        <f t="shared" si="12"/>
        <v>#N/A</v>
      </c>
      <c r="W34" s="297" t="e">
        <f t="shared" si="13"/>
        <v>#N/A</v>
      </c>
      <c r="X34" s="297" t="e">
        <f t="shared" si="14"/>
        <v>#N/A</v>
      </c>
      <c r="Y34" s="297" t="e">
        <f t="shared" si="15"/>
        <v>#N/A</v>
      </c>
      <c r="Z34" s="297" t="e">
        <f t="shared" si="16"/>
        <v>#N/A</v>
      </c>
      <c r="AA34" s="296" t="e">
        <f t="shared" si="17"/>
        <v>#N/A</v>
      </c>
    </row>
    <row r="35" spans="1:27" ht="15" thickBot="1">
      <c r="B35" s="388" t="s">
        <v>145</v>
      </c>
      <c r="C35" s="388"/>
      <c r="D35" s="513" t="s">
        <v>35</v>
      </c>
      <c r="E35" s="514"/>
      <c r="F35" s="294"/>
      <c r="G35" s="294"/>
      <c r="H35" s="348"/>
      <c r="I35" s="24" t="s">
        <v>17</v>
      </c>
      <c r="J35" s="25" t="s">
        <v>36</v>
      </c>
      <c r="K35" s="26" t="s">
        <v>138</v>
      </c>
      <c r="L35" s="25" t="s">
        <v>37</v>
      </c>
      <c r="M35" s="25" t="s">
        <v>38</v>
      </c>
      <c r="N35" s="27" t="s">
        <v>39</v>
      </c>
      <c r="O35" s="294"/>
      <c r="P35" s="12"/>
      <c r="S35" s="277" t="str">
        <f t="shared" si="9"/>
        <v>BRAND</v>
      </c>
      <c r="T35" s="296" t="e">
        <f t="shared" si="10"/>
        <v>#N/A</v>
      </c>
      <c r="U35" s="296" t="e">
        <f t="shared" si="11"/>
        <v>#N/A</v>
      </c>
      <c r="V35" s="297" t="e">
        <f t="shared" si="12"/>
        <v>#N/A</v>
      </c>
      <c r="W35" s="297" t="e">
        <f t="shared" si="13"/>
        <v>#N/A</v>
      </c>
      <c r="X35" s="297" t="e">
        <f t="shared" si="14"/>
        <v>#N/A</v>
      </c>
      <c r="Y35" s="297" t="e">
        <f t="shared" si="15"/>
        <v>#N/A</v>
      </c>
      <c r="Z35" s="297" t="e">
        <f t="shared" si="16"/>
        <v>#N/A</v>
      </c>
      <c r="AA35" s="296" t="e">
        <f t="shared" si="17"/>
        <v>#N/A</v>
      </c>
    </row>
    <row r="36" spans="1:27" ht="15" customHeight="1">
      <c r="A36" s="28"/>
      <c r="B36" s="535" t="str">
        <f>I37</f>
        <v>STAG</v>
      </c>
      <c r="C36" s="362"/>
      <c r="D36" s="504"/>
      <c r="E36" s="493"/>
      <c r="F36" s="294"/>
      <c r="G36" s="294"/>
      <c r="H36" s="348"/>
      <c r="I36" s="29" t="s">
        <v>6</v>
      </c>
      <c r="J36" s="280">
        <f>AVERAGE(I16:I19)</f>
        <v>97.606904187421094</v>
      </c>
      <c r="K36" s="284">
        <f>COUNTA([23]Brewhouse!$A$341:$A$348)</f>
        <v>8</v>
      </c>
      <c r="L36" s="302">
        <f>AVERAGE([23]Brewhouse!$AU$341:$AU$346,[23]Brewhouse!$AU$348)</f>
        <v>97.51967149198201</v>
      </c>
      <c r="M36" s="302">
        <f>AVERAGE([23]Brewhouse!$AU$102:$AU$171,[23]Brewhouse!$AU$173:$AU$253,[23]Brewhouse!$AU$255:$AU$339,[23]Brewhouse!$AU$341:$AU$346,[23]Brewhouse!$AU$348)</f>
        <v>96.80931345733066</v>
      </c>
      <c r="N36" s="30">
        <v>98</v>
      </c>
      <c r="O36" s="11"/>
      <c r="P36" s="31"/>
      <c r="S36" s="277"/>
      <c r="T36" s="296"/>
      <c r="U36" s="296"/>
      <c r="V36" s="297"/>
      <c r="W36" s="297"/>
      <c r="X36" s="297"/>
      <c r="Y36" s="297"/>
      <c r="Z36" s="297"/>
      <c r="AA36" s="296"/>
    </row>
    <row r="37" spans="1:27" ht="15" customHeight="1">
      <c r="A37" s="28"/>
      <c r="B37" s="536"/>
      <c r="C37" s="349"/>
      <c r="D37" s="505"/>
      <c r="E37" s="488"/>
      <c r="F37" s="294"/>
      <c r="G37" s="294"/>
      <c r="H37" s="348"/>
      <c r="I37" s="33" t="s">
        <v>9</v>
      </c>
      <c r="J37" s="280"/>
      <c r="K37" s="284">
        <f>COUNTA([24]Brewhouse!$A$142:$A$149)</f>
        <v>8</v>
      </c>
      <c r="L37" s="302">
        <f>AVERAGE([24]Brewhouse!$AS$142:$AS$149)</f>
        <v>98.511344547748777</v>
      </c>
      <c r="M37" s="302">
        <f>AVERAGE([24]Brewhouse!$AS$15:$AS$64,[24]Brewhouse!$AS$66:$AS$103,[24]Brewhouse!$AS$105:$AS$140,[24]Brewhouse!$AS$142:$AS$149)</f>
        <v>96.81500140255207</v>
      </c>
      <c r="N37" s="30">
        <v>98</v>
      </c>
      <c r="O37" s="11"/>
      <c r="P37" s="31"/>
      <c r="S37" s="277"/>
      <c r="T37" s="296"/>
      <c r="U37" s="296"/>
      <c r="V37" s="297"/>
      <c r="W37" s="297"/>
      <c r="X37" s="297"/>
      <c r="Y37" s="297"/>
      <c r="Z37" s="297"/>
      <c r="AA37" s="296"/>
    </row>
    <row r="38" spans="1:27" ht="14.7" customHeight="1">
      <c r="A38" s="28"/>
      <c r="B38" s="536"/>
      <c r="C38" s="349"/>
      <c r="D38" s="504"/>
      <c r="E38" s="493"/>
      <c r="F38" s="294"/>
      <c r="G38" s="294"/>
      <c r="H38" s="348"/>
      <c r="I38" s="34" t="s">
        <v>12</v>
      </c>
      <c r="J38" s="280"/>
      <c r="K38" s="284">
        <f>COUNTA([22]Brewhouse!$A$37)</f>
        <v>1</v>
      </c>
      <c r="L38" s="302">
        <f>AVERAGE([22]Brewhouse!$AU$37)</f>
        <v>96.214667872117261</v>
      </c>
      <c r="M38" s="302">
        <f>AVERAGE([22]Brewhouse!$AU$4:$AU$7,[22]Brewhouse!$AU$9:$AU$22,[22]Brewhouse!$AU$24:$AU$35,[22]Brewhouse!$AU$37)</f>
        <v>96.767265202814471</v>
      </c>
      <c r="N38" s="30">
        <v>98</v>
      </c>
      <c r="O38" s="11"/>
      <c r="P38" s="31"/>
      <c r="S38" s="23"/>
      <c r="T38" s="1"/>
      <c r="U38" s="1"/>
      <c r="AA38" s="285"/>
    </row>
    <row r="39" spans="1:27" ht="14.7" customHeight="1">
      <c r="A39" s="28"/>
      <c r="B39" s="536"/>
      <c r="C39" s="349"/>
      <c r="D39" s="505"/>
      <c r="E39" s="488"/>
      <c r="F39" s="294"/>
      <c r="G39" s="294"/>
      <c r="H39" s="348"/>
      <c r="I39" s="22" t="s">
        <v>33</v>
      </c>
      <c r="J39" s="280"/>
      <c r="K39" s="284"/>
      <c r="L39" s="302"/>
      <c r="M39" s="302">
        <f>AVERAGE([25]Brewhouse!$AV$5:$AV$14,[25]Brewhouse!$AV$16:$AV$19,[25]Brewhouse!$AV$21:$AV$24)</f>
        <v>98.616016873478046</v>
      </c>
      <c r="N39" s="30">
        <v>98</v>
      </c>
      <c r="O39" s="11"/>
      <c r="P39" s="31"/>
      <c r="S39" s="23"/>
      <c r="T39" s="1"/>
      <c r="U39" s="1"/>
      <c r="AA39" s="285"/>
    </row>
    <row r="40" spans="1:27" ht="14.7" customHeight="1">
      <c r="A40" s="28"/>
      <c r="B40" s="536"/>
      <c r="C40" s="349"/>
      <c r="D40" s="504"/>
      <c r="E40" s="493"/>
      <c r="F40" s="436"/>
      <c r="G40" s="294"/>
      <c r="H40" s="348"/>
      <c r="I40" s="35" t="s">
        <v>29</v>
      </c>
      <c r="J40" s="280"/>
      <c r="K40" s="284"/>
      <c r="L40" s="302"/>
      <c r="M40" s="302"/>
      <c r="N40" s="30">
        <v>98</v>
      </c>
      <c r="O40" s="11"/>
      <c r="P40" s="31"/>
      <c r="S40" s="23"/>
    </row>
    <row r="41" spans="1:27" ht="14.7" customHeight="1">
      <c r="A41" s="28"/>
      <c r="B41" s="536"/>
      <c r="C41" s="349"/>
      <c r="D41" s="505"/>
      <c r="E41" s="488"/>
      <c r="F41" s="436"/>
      <c r="G41" s="294"/>
      <c r="H41" s="348"/>
      <c r="I41" s="36" t="s">
        <v>15</v>
      </c>
      <c r="J41" s="323"/>
      <c r="K41" s="284"/>
      <c r="L41" s="302"/>
      <c r="M41" s="302">
        <f>AVERAGE([26]Brewhouse!$AT$4:$AT$11)</f>
        <v>94.812616598822359</v>
      </c>
      <c r="N41" s="30">
        <v>98</v>
      </c>
      <c r="O41" s="11"/>
      <c r="P41" s="31"/>
      <c r="S41" s="23"/>
    </row>
    <row r="42" spans="1:27" ht="14.7" customHeight="1">
      <c r="A42" s="28"/>
      <c r="B42" s="536"/>
      <c r="C42" s="349"/>
      <c r="D42" s="504"/>
      <c r="E42" s="493"/>
      <c r="F42" s="436"/>
      <c r="G42" s="294"/>
      <c r="H42" s="348"/>
      <c r="I42" s="37" t="s">
        <v>16</v>
      </c>
      <c r="J42" s="323">
        <f>AVERAGE(I16:I19)</f>
        <v>97.606904187421094</v>
      </c>
      <c r="K42" s="284">
        <f>COUNTA([27]Brewhouse!$A$31:$A$34)</f>
        <v>4</v>
      </c>
      <c r="L42" s="302">
        <f>AVERAGE([27]Brewhouse!$AY$31:$AY$34)</f>
        <v>98.653228650224236</v>
      </c>
      <c r="M42" s="302">
        <f>AVERAGE([27]Brewhouse!$AY$6:$AY$13,[27]Brewhouse!$AY$15:$AY$20,[27]Brewhouse!$AY$22:$AY$29,[27]Brewhouse!$AY$31:$AY$34)</f>
        <v>96.120888038911147</v>
      </c>
      <c r="N42" s="30">
        <v>98</v>
      </c>
      <c r="O42" s="11"/>
      <c r="P42" s="31" t="s">
        <v>41</v>
      </c>
      <c r="S42" s="23"/>
      <c r="X42" s="275" t="s">
        <v>41</v>
      </c>
    </row>
    <row r="43" spans="1:27" ht="14.7" customHeight="1">
      <c r="A43" s="28"/>
      <c r="B43" s="536"/>
      <c r="C43" s="349"/>
      <c r="D43" s="505"/>
      <c r="E43" s="488"/>
      <c r="F43" s="294"/>
      <c r="G43" s="294"/>
      <c r="H43" s="348"/>
      <c r="I43" s="412" t="s">
        <v>158</v>
      </c>
      <c r="J43" s="326"/>
      <c r="K43" s="284"/>
      <c r="L43" s="305"/>
      <c r="M43" s="305">
        <f>AVERAGE([28]Brewhouse!$AU$5:$AU$8)</f>
        <v>91.006888337619571</v>
      </c>
      <c r="N43" s="30">
        <v>98</v>
      </c>
      <c r="O43" s="11"/>
      <c r="P43" s="31"/>
      <c r="S43" s="23"/>
    </row>
    <row r="44" spans="1:27" ht="14.7" customHeight="1">
      <c r="A44" s="28"/>
      <c r="B44" s="536"/>
      <c r="C44" s="349"/>
      <c r="D44" s="504"/>
      <c r="E44" s="493"/>
      <c r="F44" s="294"/>
      <c r="G44" s="294"/>
      <c r="H44" s="348"/>
      <c r="I44" s="411" t="s">
        <v>157</v>
      </c>
      <c r="J44" s="326"/>
      <c r="K44" s="284"/>
      <c r="L44" s="305"/>
      <c r="M44" s="305"/>
      <c r="N44" s="30">
        <v>98</v>
      </c>
      <c r="O44" s="11"/>
      <c r="P44" s="31"/>
      <c r="S44" s="23"/>
    </row>
    <row r="45" spans="1:27" ht="15" customHeight="1" thickBot="1">
      <c r="A45" s="28"/>
      <c r="B45" s="536"/>
      <c r="C45" s="349"/>
      <c r="D45" s="505"/>
      <c r="E45" s="488"/>
      <c r="F45" s="294"/>
      <c r="G45" s="294"/>
      <c r="H45" s="348"/>
      <c r="I45" s="407" t="s">
        <v>156</v>
      </c>
      <c r="J45" s="327"/>
      <c r="K45" s="408"/>
      <c r="L45" s="409"/>
      <c r="M45" s="409"/>
      <c r="N45" s="410">
        <v>98</v>
      </c>
      <c r="O45" s="11"/>
      <c r="P45" s="31"/>
      <c r="S45" s="23"/>
    </row>
    <row r="46" spans="1:27" ht="15" customHeight="1" thickBot="1">
      <c r="A46" s="28"/>
      <c r="B46" s="536"/>
      <c r="C46" s="349"/>
      <c r="D46" s="504"/>
      <c r="E46" s="493"/>
      <c r="F46" s="294"/>
      <c r="G46" s="294"/>
      <c r="H46" s="348"/>
      <c r="I46" s="1"/>
      <c r="J46" s="39"/>
      <c r="K46" s="405">
        <f>SUM(K36:K45)</f>
        <v>21</v>
      </c>
      <c r="L46" s="406">
        <f>((L36*K36)+(L37*K37)+(L38*K38)+(L39*K39)+(L40*K40)+(K43*L43)+(L41*K41)+(L42*K42)+(L45*K45))/(K46)</f>
        <v>98.051224323374299</v>
      </c>
      <c r="M46" s="406">
        <f>AVERAGE('[29]Jan 31st'!$L$65,'[30]Feb 28th'!$L$35,'[31]Mar. 31st'!$L$35,L46)</f>
        <v>97.054110198651898</v>
      </c>
      <c r="N46" s="40">
        <v>98</v>
      </c>
      <c r="O46" s="11"/>
      <c r="P46" s="31"/>
      <c r="S46" s="23"/>
    </row>
    <row r="47" spans="1:27" ht="15" thickBot="1">
      <c r="B47" s="537"/>
      <c r="C47" s="350"/>
      <c r="D47" s="505"/>
      <c r="E47" s="488"/>
      <c r="F47" s="294"/>
      <c r="G47" s="42"/>
      <c r="H47" s="41"/>
      <c r="I47" s="42"/>
      <c r="J47" s="42"/>
      <c r="K47" s="351"/>
      <c r="L47" s="348"/>
      <c r="M47" s="348"/>
      <c r="N47" s="11"/>
      <c r="O47" s="294"/>
      <c r="P47" s="12"/>
      <c r="S47" s="23"/>
    </row>
    <row r="48" spans="1:27" ht="15" thickBot="1">
      <c r="B48" s="547" t="str">
        <f>J52</f>
        <v>GUINN</v>
      </c>
      <c r="C48" s="362"/>
      <c r="D48" s="485"/>
      <c r="E48" s="486"/>
      <c r="F48" s="43"/>
      <c r="G48" s="41"/>
      <c r="H48" s="41"/>
      <c r="I48" s="42"/>
      <c r="J48" s="538" t="s">
        <v>129</v>
      </c>
      <c r="K48" s="538"/>
      <c r="L48" s="294"/>
      <c r="M48" s="294"/>
      <c r="N48" s="294"/>
      <c r="O48" s="294"/>
      <c r="P48" s="12"/>
      <c r="S48" s="23" t="s">
        <v>41</v>
      </c>
    </row>
    <row r="49" spans="2:57" ht="13.5" customHeight="1" thickBot="1">
      <c r="B49" s="548"/>
      <c r="C49" s="349"/>
      <c r="D49" s="487"/>
      <c r="E49" s="488"/>
      <c r="F49" s="43"/>
      <c r="G49" s="41"/>
      <c r="H49" s="41"/>
      <c r="I49" s="42"/>
      <c r="J49" s="292" t="s">
        <v>17</v>
      </c>
      <c r="K49" s="293" t="s">
        <v>147</v>
      </c>
      <c r="L49" s="490" t="s">
        <v>136</v>
      </c>
      <c r="M49" s="490"/>
      <c r="N49" s="491"/>
      <c r="O49" s="294"/>
      <c r="P49" s="12"/>
      <c r="S49" s="23"/>
    </row>
    <row r="50" spans="2:57" ht="15" customHeight="1" thickBot="1">
      <c r="B50" s="548"/>
      <c r="C50" s="349"/>
      <c r="D50" s="492"/>
      <c r="E50" s="493"/>
      <c r="F50" s="43"/>
      <c r="G50" s="41"/>
      <c r="H50" s="41"/>
      <c r="I50" s="42"/>
      <c r="J50" s="287" t="s">
        <v>6</v>
      </c>
      <c r="K50" s="324">
        <v>4</v>
      </c>
      <c r="L50" s="343" t="s">
        <v>37</v>
      </c>
      <c r="M50" s="307" t="s">
        <v>38</v>
      </c>
      <c r="N50" s="307" t="s">
        <v>84</v>
      </c>
      <c r="O50" s="294"/>
      <c r="P50" s="12"/>
      <c r="S50" s="23"/>
    </row>
    <row r="51" spans="2:57" ht="15.75" customHeight="1" thickBot="1">
      <c r="B51" s="548"/>
      <c r="C51" s="349"/>
      <c r="D51" s="487"/>
      <c r="E51" s="488"/>
      <c r="F51" s="43"/>
      <c r="G51" s="41"/>
      <c r="H51" s="41"/>
      <c r="I51" s="42"/>
      <c r="J51" s="345" t="s">
        <v>9</v>
      </c>
      <c r="K51" s="324"/>
      <c r="L51" s="344">
        <f>AVERAGE('Apr. 1st'!K49,'Apr. 8th  '!K60,'Apr. 3rd'!K49,'Apr. 4th'!K49,'Apr. 7th '!K50)</f>
        <v>5</v>
      </c>
      <c r="M51" s="325">
        <f>AVERAGE('[29]Jan 29th '!$M$70,'[30]Feb 28th'!$L$40,'[31]Mar. 31st'!$L$40,L51)</f>
        <v>6.203834209268992</v>
      </c>
      <c r="N51" s="433">
        <v>9.1999999999999993</v>
      </c>
      <c r="O51" s="294"/>
      <c r="P51" s="12"/>
      <c r="S51" s="23"/>
    </row>
    <row r="52" spans="2:57" ht="15" customHeight="1">
      <c r="B52" s="548"/>
      <c r="C52" s="349"/>
      <c r="D52" s="492"/>
      <c r="E52" s="493"/>
      <c r="F52" s="43"/>
      <c r="G52" s="41"/>
      <c r="H52" s="41"/>
      <c r="I52" s="42"/>
      <c r="J52" s="288" t="s">
        <v>40</v>
      </c>
      <c r="K52" s="324"/>
      <c r="L52" s="294"/>
      <c r="M52" s="294"/>
      <c r="N52" s="294"/>
      <c r="O52" s="294"/>
      <c r="P52" s="12"/>
      <c r="S52" s="23"/>
    </row>
    <row r="53" spans="2:57" ht="15" customHeight="1">
      <c r="B53" s="548"/>
      <c r="C53" s="349"/>
      <c r="D53" s="487"/>
      <c r="E53" s="488"/>
      <c r="F53" s="43"/>
      <c r="G53" s="41"/>
      <c r="H53" s="41"/>
      <c r="I53" s="42"/>
      <c r="J53" s="289" t="s">
        <v>33</v>
      </c>
      <c r="K53" s="324"/>
      <c r="L53" s="294"/>
      <c r="M53" s="294"/>
      <c r="N53" s="294"/>
      <c r="O53" s="294"/>
      <c r="P53" s="12"/>
      <c r="S53" s="23"/>
    </row>
    <row r="54" spans="2:57" ht="14.4">
      <c r="B54" s="548"/>
      <c r="C54" s="349"/>
      <c r="D54" s="492"/>
      <c r="E54" s="493"/>
      <c r="F54" s="43"/>
      <c r="G54" s="41"/>
      <c r="H54" s="41"/>
      <c r="I54" s="42"/>
      <c r="J54" s="290" t="s">
        <v>16</v>
      </c>
      <c r="K54" s="324">
        <v>3</v>
      </c>
      <c r="L54" s="294"/>
      <c r="M54" s="294"/>
      <c r="N54" s="294"/>
      <c r="O54" s="294"/>
      <c r="P54" s="12"/>
      <c r="S54" s="23"/>
      <c r="BD54" s="44"/>
      <c r="BE54" s="44"/>
    </row>
    <row r="55" spans="2:57" ht="14.4">
      <c r="B55" s="548"/>
      <c r="C55" s="349"/>
      <c r="D55" s="487"/>
      <c r="E55" s="488"/>
      <c r="F55" s="43"/>
      <c r="G55" s="41"/>
      <c r="H55" s="41"/>
      <c r="I55" s="42"/>
      <c r="J55" s="291" t="s">
        <v>15</v>
      </c>
      <c r="K55" s="324"/>
      <c r="L55" s="294"/>
      <c r="M55" s="294"/>
      <c r="N55" s="294"/>
      <c r="O55" s="294"/>
      <c r="P55" s="12"/>
      <c r="S55" s="23"/>
      <c r="BD55" s="44"/>
      <c r="BE55" s="44"/>
    </row>
    <row r="56" spans="2:57" ht="14.4">
      <c r="B56" s="548"/>
      <c r="C56" s="349"/>
      <c r="D56" s="494"/>
      <c r="E56" s="495"/>
      <c r="F56" s="43"/>
      <c r="G56" s="41"/>
      <c r="H56" s="41"/>
      <c r="I56" s="42"/>
      <c r="J56" s="291" t="s">
        <v>149</v>
      </c>
      <c r="K56" s="324"/>
      <c r="L56" s="294"/>
      <c r="M56" s="294"/>
      <c r="N56" s="294"/>
      <c r="O56" s="294"/>
      <c r="P56" s="12"/>
      <c r="S56" s="23"/>
      <c r="BD56" s="44"/>
      <c r="BE56" s="44"/>
    </row>
    <row r="57" spans="2:57" ht="15" thickBot="1">
      <c r="B57" s="549"/>
      <c r="C57" s="350"/>
      <c r="D57" s="496"/>
      <c r="E57" s="497"/>
      <c r="F57" s="43"/>
      <c r="G57" s="41"/>
      <c r="H57" s="41"/>
      <c r="I57" s="42"/>
      <c r="J57" s="291" t="s">
        <v>148</v>
      </c>
      <c r="K57" s="324"/>
      <c r="L57" s="294"/>
      <c r="M57" s="294"/>
      <c r="N57" s="294"/>
      <c r="O57" s="294"/>
      <c r="P57" s="12"/>
      <c r="S57" s="23"/>
      <c r="BD57" s="44"/>
      <c r="BE57" s="44"/>
    </row>
    <row r="58" spans="2:57" ht="17.7" customHeight="1" thickBot="1">
      <c r="B58" s="312" t="s">
        <v>139</v>
      </c>
      <c r="C58" s="313"/>
      <c r="D58" s="476" t="e">
        <f>AVERAGE(D36:E57)</f>
        <v>#DIV/0!</v>
      </c>
      <c r="E58" s="477"/>
      <c r="F58" s="43"/>
      <c r="G58" s="41"/>
      <c r="H58" s="41"/>
      <c r="I58" s="42"/>
      <c r="J58" s="295" t="s">
        <v>134</v>
      </c>
      <c r="K58" s="324"/>
      <c r="L58" s="294"/>
      <c r="M58" s="294"/>
      <c r="N58" s="294"/>
      <c r="O58" s="294"/>
      <c r="P58" s="12"/>
      <c r="S58" s="23"/>
      <c r="BD58" s="44"/>
      <c r="BE58" s="44"/>
    </row>
    <row r="59" spans="2:57" ht="17.7" customHeight="1">
      <c r="B59" s="363"/>
      <c r="C59" s="364"/>
      <c r="D59" s="365"/>
      <c r="E59" s="365"/>
      <c r="F59" s="43"/>
      <c r="G59" s="41"/>
      <c r="H59" s="41"/>
      <c r="I59" s="42"/>
      <c r="J59" s="295" t="s">
        <v>131</v>
      </c>
      <c r="K59" s="324"/>
      <c r="L59" s="294"/>
      <c r="M59" s="294"/>
      <c r="N59" s="294"/>
      <c r="O59" s="294"/>
      <c r="P59" s="12"/>
      <c r="S59" s="23"/>
      <c r="BD59" s="44"/>
      <c r="BE59" s="44"/>
    </row>
    <row r="60" spans="2:57" ht="15.75" customHeight="1">
      <c r="B60" s="45"/>
      <c r="C60" s="11"/>
      <c r="D60" s="11"/>
      <c r="E60" s="46"/>
      <c r="F60" s="23"/>
      <c r="G60" s="11"/>
      <c r="H60" s="41"/>
      <c r="I60" s="42"/>
      <c r="J60" s="346" t="s">
        <v>130</v>
      </c>
      <c r="K60" s="324">
        <f>SUM(K50:K59)</f>
        <v>7</v>
      </c>
      <c r="L60" s="294"/>
      <c r="M60" s="294"/>
      <c r="N60" s="294"/>
      <c r="O60" s="294"/>
      <c r="P60" s="12"/>
    </row>
    <row r="61" spans="2:57" ht="20.25" customHeight="1">
      <c r="B61" s="15" t="s">
        <v>42</v>
      </c>
      <c r="C61" s="1" t="s">
        <v>43</v>
      </c>
      <c r="D61" s="1"/>
      <c r="E61" s="1"/>
      <c r="I61" s="42"/>
      <c r="L61" s="294"/>
      <c r="P61" s="334"/>
    </row>
    <row r="62" spans="2:57" ht="15" customHeight="1" thickBo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  <c r="O62" s="48"/>
      <c r="P62" s="49"/>
      <c r="X62" s="275" t="s">
        <v>41</v>
      </c>
    </row>
    <row r="63" spans="2:57" ht="15" customHeight="1" thickBot="1">
      <c r="B63" s="466" t="s">
        <v>17</v>
      </c>
      <c r="C63" s="466" t="s">
        <v>44</v>
      </c>
      <c r="D63" s="478" t="s">
        <v>45</v>
      </c>
      <c r="E63" s="480" t="s">
        <v>46</v>
      </c>
      <c r="F63" s="474" t="s">
        <v>47</v>
      </c>
      <c r="G63" s="464" t="s">
        <v>48</v>
      </c>
      <c r="H63" s="466" t="s">
        <v>49</v>
      </c>
      <c r="I63" s="466" t="s">
        <v>50</v>
      </c>
      <c r="J63" s="458" t="s">
        <v>28</v>
      </c>
      <c r="K63" s="470" t="s">
        <v>51</v>
      </c>
      <c r="L63" s="472" t="s">
        <v>52</v>
      </c>
      <c r="M63" s="458" t="s">
        <v>53</v>
      </c>
      <c r="N63" s="13"/>
      <c r="O63" s="13"/>
      <c r="P63" s="50"/>
    </row>
    <row r="64" spans="2:57" ht="28.5" customHeight="1" thickTop="1" thickBot="1">
      <c r="B64" s="467"/>
      <c r="C64" s="467"/>
      <c r="D64" s="479"/>
      <c r="E64" s="481"/>
      <c r="F64" s="475"/>
      <c r="G64" s="465"/>
      <c r="H64" s="467"/>
      <c r="I64" s="467"/>
      <c r="J64" s="459"/>
      <c r="K64" s="471"/>
      <c r="L64" s="473"/>
      <c r="M64" s="459"/>
      <c r="N64" s="13"/>
      <c r="O64" s="13"/>
      <c r="P64" s="50"/>
      <c r="Q64" s="355"/>
      <c r="R64" s="355"/>
      <c r="S64" s="355"/>
      <c r="T64" s="355"/>
      <c r="U64" s="51">
        <v>43466</v>
      </c>
      <c r="V64" s="51">
        <v>43467</v>
      </c>
      <c r="W64" s="51">
        <v>43468</v>
      </c>
      <c r="X64" s="51">
        <v>43469</v>
      </c>
      <c r="Y64" s="51">
        <v>43470</v>
      </c>
      <c r="Z64" s="51">
        <v>43471</v>
      </c>
      <c r="AA64" s="51">
        <v>43472</v>
      </c>
      <c r="AB64" s="51">
        <v>43473</v>
      </c>
      <c r="AC64" s="51">
        <v>43474</v>
      </c>
      <c r="AD64" s="51">
        <v>43475</v>
      </c>
      <c r="AE64" s="51">
        <v>43476</v>
      </c>
      <c r="AF64" s="51">
        <v>43477</v>
      </c>
      <c r="AG64" s="51">
        <v>43478</v>
      </c>
      <c r="AH64" s="51">
        <v>43479</v>
      </c>
      <c r="AI64" s="51">
        <v>43480</v>
      </c>
      <c r="AJ64" s="51">
        <v>43481</v>
      </c>
      <c r="AK64" s="51">
        <v>43482</v>
      </c>
      <c r="AL64" s="51">
        <v>43483</v>
      </c>
      <c r="AM64" s="51">
        <v>43484</v>
      </c>
      <c r="AN64" s="51">
        <v>43485</v>
      </c>
      <c r="AO64" s="51">
        <v>43486</v>
      </c>
      <c r="AP64" s="51">
        <v>43487</v>
      </c>
      <c r="AQ64" s="51">
        <v>43488</v>
      </c>
      <c r="AR64" s="51">
        <v>43489</v>
      </c>
      <c r="AS64" s="51">
        <v>43490</v>
      </c>
      <c r="AT64" s="51">
        <v>43491</v>
      </c>
      <c r="AU64" s="51">
        <v>43492</v>
      </c>
      <c r="AV64" s="51">
        <v>43493</v>
      </c>
      <c r="AW64" s="51">
        <v>43494</v>
      </c>
      <c r="AX64" s="51">
        <v>43495</v>
      </c>
      <c r="AY64" s="51">
        <v>43496</v>
      </c>
    </row>
    <row r="65" spans="2:58" s="54" customFormat="1" ht="59.25" customHeight="1">
      <c r="B65" s="422" t="str">
        <f>B74</f>
        <v>STAG</v>
      </c>
      <c r="C65" s="283">
        <v>45755</v>
      </c>
      <c r="D65" s="377">
        <f>[32]April_2025!$K$13</f>
        <v>405.3</v>
      </c>
      <c r="E65" s="378"/>
      <c r="F65" s="379"/>
      <c r="G65" s="303">
        <f>[32]April_2025!$K$17</f>
        <v>399.6</v>
      </c>
      <c r="H65" s="320"/>
      <c r="I65" s="322"/>
      <c r="J65" s="360" t="s">
        <v>175</v>
      </c>
      <c r="K65" s="416">
        <f>[33]April_2025!$K$25</f>
        <v>0.70105263157894737</v>
      </c>
      <c r="L65" s="281">
        <f>(((D65+E65)-G65)/(D65+E65))*100</f>
        <v>1.4063656550703154</v>
      </c>
      <c r="M65" s="423" t="s">
        <v>174</v>
      </c>
      <c r="N65" s="13"/>
      <c r="O65" s="13"/>
      <c r="P65" s="50"/>
      <c r="T65" s="272" t="s">
        <v>54</v>
      </c>
      <c r="U65" s="279"/>
      <c r="V65" s="279"/>
      <c r="W65" s="279"/>
      <c r="X65" s="279"/>
      <c r="Y65" s="279"/>
      <c r="Z65" s="279"/>
      <c r="AA65" s="279"/>
      <c r="AB65" s="279"/>
      <c r="AC65" s="279"/>
      <c r="AD65" s="279"/>
      <c r="AE65" s="279"/>
      <c r="AF65" s="279"/>
      <c r="AG65" s="279"/>
      <c r="AH65" s="279"/>
      <c r="AI65" s="279"/>
      <c r="AJ65" s="279"/>
      <c r="AK65" s="279"/>
      <c r="AL65" s="279"/>
      <c r="AM65" s="279"/>
      <c r="AN65" s="279"/>
      <c r="AO65" s="279"/>
      <c r="AP65" s="279"/>
      <c r="AQ65" s="279"/>
      <c r="AR65" s="279"/>
      <c r="AS65" s="279"/>
      <c r="AT65" s="279"/>
      <c r="AU65" s="279"/>
      <c r="AV65" s="279"/>
      <c r="AW65" s="279"/>
      <c r="AX65" s="279"/>
    </row>
    <row r="66" spans="2:58" s="54" customFormat="1" ht="14.4" thickBot="1">
      <c r="B66" s="415"/>
      <c r="C66" s="283"/>
      <c r="D66" s="377"/>
      <c r="E66" s="378"/>
      <c r="F66" s="379"/>
      <c r="G66" s="303"/>
      <c r="H66" s="320"/>
      <c r="I66" s="322"/>
      <c r="J66" s="398"/>
      <c r="K66" s="286"/>
      <c r="L66" s="314"/>
      <c r="M66" s="423"/>
      <c r="N66" s="13"/>
      <c r="O66" s="13"/>
      <c r="P66" s="50"/>
      <c r="T66" s="272"/>
      <c r="U66" s="420"/>
      <c r="V66" s="420"/>
      <c r="W66" s="420"/>
      <c r="X66" s="420"/>
      <c r="Y66" s="420"/>
      <c r="Z66" s="420"/>
      <c r="AA66" s="420"/>
      <c r="AB66" s="420"/>
      <c r="AC66" s="420"/>
      <c r="AD66" s="420"/>
      <c r="AE66" s="420"/>
      <c r="AF66" s="420"/>
      <c r="AG66" s="420"/>
      <c r="AH66" s="420"/>
      <c r="AI66" s="420"/>
      <c r="AJ66" s="420"/>
      <c r="AK66" s="420"/>
      <c r="AL66" s="420"/>
      <c r="AM66" s="420"/>
      <c r="AN66" s="420"/>
      <c r="AO66" s="420"/>
      <c r="AP66" s="420"/>
      <c r="AQ66" s="420"/>
      <c r="AR66" s="420"/>
      <c r="AS66" s="420"/>
      <c r="AT66" s="420"/>
      <c r="AU66" s="420"/>
      <c r="AV66" s="420"/>
      <c r="AW66" s="420"/>
      <c r="AX66" s="420"/>
    </row>
    <row r="67" spans="2:58" s="54" customFormat="1" ht="59.25" customHeight="1">
      <c r="B67" s="438" t="str">
        <f>B75</f>
        <v>GUINN</v>
      </c>
      <c r="C67" s="283">
        <v>45755</v>
      </c>
      <c r="D67" s="377">
        <f>[32]April_2025!$K$23</f>
        <v>263.70000000000005</v>
      </c>
      <c r="E67" s="378"/>
      <c r="F67" s="379"/>
      <c r="G67" s="303">
        <f>[32]April_2025!$K$28</f>
        <v>240.5</v>
      </c>
      <c r="H67" s="320"/>
      <c r="I67" s="322"/>
      <c r="J67" s="360" t="s">
        <v>176</v>
      </c>
      <c r="K67" s="286">
        <f>[33]April_2025!$K$32</f>
        <v>0.42192982456140349</v>
      </c>
      <c r="L67" s="314">
        <f>(((D67+E67)-G67)/(D67+E67))*100</f>
        <v>8.7978763746681992</v>
      </c>
      <c r="M67" s="423" t="s">
        <v>169</v>
      </c>
      <c r="N67" s="13"/>
      <c r="O67" s="13"/>
      <c r="P67" s="50"/>
      <c r="T67" s="272"/>
      <c r="U67" s="420"/>
      <c r="V67" s="420"/>
      <c r="W67" s="420"/>
      <c r="X67" s="420"/>
      <c r="Y67" s="420"/>
      <c r="Z67" s="420"/>
      <c r="AA67" s="420"/>
      <c r="AB67" s="420"/>
      <c r="AC67" s="420"/>
      <c r="AD67" s="420"/>
      <c r="AE67" s="420"/>
      <c r="AF67" s="420"/>
      <c r="AG67" s="420"/>
      <c r="AH67" s="420"/>
      <c r="AI67" s="420"/>
      <c r="AJ67" s="420"/>
      <c r="AK67" s="420"/>
      <c r="AL67" s="420"/>
      <c r="AM67" s="420"/>
      <c r="AN67" s="420"/>
      <c r="AO67" s="420"/>
      <c r="AP67" s="420"/>
      <c r="AQ67" s="420"/>
      <c r="AR67" s="420"/>
      <c r="AS67" s="420"/>
      <c r="AT67" s="420"/>
      <c r="AU67" s="420"/>
      <c r="AV67" s="420"/>
      <c r="AW67" s="420"/>
      <c r="AX67" s="420"/>
    </row>
    <row r="68" spans="2:58" s="54" customFormat="1">
      <c r="B68" s="387"/>
      <c r="C68" s="283"/>
      <c r="D68" s="279"/>
      <c r="E68" s="279"/>
      <c r="F68" s="279"/>
      <c r="G68" s="279"/>
      <c r="H68" s="320"/>
      <c r="I68" s="322"/>
      <c r="J68" s="281"/>
      <c r="K68" s="417"/>
      <c r="L68" s="314"/>
      <c r="M68" s="425"/>
      <c r="N68" s="13"/>
      <c r="O68" s="13"/>
      <c r="P68" s="50"/>
      <c r="T68" s="272" t="s">
        <v>51</v>
      </c>
      <c r="U68" s="57" t="e">
        <f>[20]January_2019!D8</f>
        <v>#DIV/0!</v>
      </c>
      <c r="V68" s="57">
        <f>[20]January_2019!E8</f>
        <v>1.0319298245614037</v>
      </c>
      <c r="W68" s="57">
        <f>[20]January_2019!F8</f>
        <v>1.7789473684210526</v>
      </c>
      <c r="X68" s="57">
        <f>[20]January_2019!G8</f>
        <v>0.51929824561403504</v>
      </c>
      <c r="Y68" s="57" t="e">
        <f>[20]January_2019!H8</f>
        <v>#DIV/0!</v>
      </c>
      <c r="Z68" s="57" t="e">
        <f>[20]January_2019!I8</f>
        <v>#DIV/0!</v>
      </c>
      <c r="AA68" s="57">
        <f>[20]January_2019!J8</f>
        <v>1.365263157894737</v>
      </c>
      <c r="AB68" s="57" t="e">
        <f>[20]January_2019!K8</f>
        <v>#DIV/0!</v>
      </c>
      <c r="AC68" s="57">
        <f>[20]January_2019!L8</f>
        <v>1.0028070175438597</v>
      </c>
      <c r="AD68" s="57">
        <f>[20]January_2019!M8</f>
        <v>1.7828070175438597</v>
      </c>
      <c r="AE68" s="57" t="e">
        <f>[20]January_2019!N8</f>
        <v>#DIV/0!</v>
      </c>
      <c r="AF68" s="57" t="e">
        <f>[20]January_2019!O8</f>
        <v>#DIV/0!</v>
      </c>
      <c r="AG68" s="57">
        <f>[20]January_2019!P8</f>
        <v>0.19222222222222221</v>
      </c>
      <c r="AH68" s="57">
        <f>[20]January_2019!Q8</f>
        <v>0.52219298245614032</v>
      </c>
      <c r="AI68" s="57">
        <f>[20]January_2019!R8</f>
        <v>0.42912280701754385</v>
      </c>
      <c r="AJ68" s="57" t="e">
        <f>[20]January_2019!S8</f>
        <v>#DIV/0!</v>
      </c>
      <c r="AK68" s="57">
        <f>[20]January_2019!T8</f>
        <v>1.0340350877192983</v>
      </c>
      <c r="AL68" s="57">
        <f>[20]January_2019!U8</f>
        <v>0.98421052631578942</v>
      </c>
      <c r="AM68" s="57" t="e">
        <f>[20]January_2019!V8</f>
        <v>#DIV/0!</v>
      </c>
      <c r="AN68" s="57" t="e">
        <f>[20]January_2019!W8</f>
        <v>#DIV/0!</v>
      </c>
      <c r="AO68" s="57">
        <f>[20]January_2019!X8</f>
        <v>0.66052631578947374</v>
      </c>
      <c r="AP68" s="57">
        <f>[20]January_2019!Y8</f>
        <v>1.0375438596491227</v>
      </c>
      <c r="AQ68" s="57">
        <f>[20]January_2019!Z8</f>
        <v>0.90456140350877201</v>
      </c>
      <c r="AR68" s="57">
        <f>[20]January_2019!AA8</f>
        <v>1.0217543859649123</v>
      </c>
      <c r="AS68" s="57">
        <f>[20]January_2019!AB8</f>
        <v>0.65614035087719302</v>
      </c>
      <c r="AT68" s="57" t="e">
        <f>[20]January_2019!AC8</f>
        <v>#DIV/0!</v>
      </c>
      <c r="AU68" s="57" t="e">
        <f>[20]January_2019!AD8</f>
        <v>#DIV/0!</v>
      </c>
      <c r="AV68" s="57">
        <f>[20]January_2019!AE8</f>
        <v>1.7021052631578948</v>
      </c>
      <c r="AW68" s="57">
        <f>[20]January_2019!AF8</f>
        <v>0.60192982456140354</v>
      </c>
      <c r="AX68" s="57">
        <f>[20]January_2019!AG8</f>
        <v>1.4870175438596491</v>
      </c>
      <c r="AY68" s="277" t="e">
        <f>[20]January_2019!AH8</f>
        <v>#DIV/0!</v>
      </c>
      <c r="AZ68" s="277"/>
      <c r="BA68" s="277"/>
      <c r="BB68" s="277"/>
      <c r="BC68" s="277"/>
      <c r="BD68" s="277"/>
      <c r="BE68" s="277"/>
      <c r="BF68" s="277"/>
    </row>
    <row r="69" spans="2:58" ht="58.5" hidden="1" customHeight="1" thickBot="1">
      <c r="B69" s="426"/>
      <c r="C69" s="427"/>
      <c r="D69" s="428"/>
      <c r="E69" s="428"/>
      <c r="F69" s="428"/>
      <c r="G69" s="428"/>
      <c r="H69" s="429"/>
      <c r="I69" s="430"/>
      <c r="J69" s="390"/>
      <c r="K69" s="431"/>
      <c r="L69" s="432"/>
      <c r="M69" s="424"/>
      <c r="N69" s="13"/>
      <c r="O69" s="13"/>
      <c r="P69" s="56"/>
    </row>
    <row r="70" spans="2:58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6"/>
      <c r="P70" s="60"/>
    </row>
    <row r="71" spans="2:58" ht="14.4" thickBot="1">
      <c r="B71" s="460" t="s">
        <v>55</v>
      </c>
      <c r="C71" s="461"/>
      <c r="D71" s="461"/>
      <c r="E71" s="461"/>
      <c r="F71" s="462"/>
      <c r="G71" s="460" t="s">
        <v>56</v>
      </c>
      <c r="H71" s="461"/>
      <c r="I71" s="461"/>
      <c r="J71" s="462"/>
      <c r="K71" s="460" t="s">
        <v>51</v>
      </c>
      <c r="L71" s="461"/>
      <c r="M71" s="461"/>
      <c r="N71" s="463"/>
      <c r="O71" s="56"/>
      <c r="P71" s="50"/>
    </row>
    <row r="72" spans="2:58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 t="s">
        <v>36</v>
      </c>
      <c r="L72" s="62" t="s">
        <v>37</v>
      </c>
      <c r="M72" s="62" t="s">
        <v>38</v>
      </c>
      <c r="N72" s="63" t="s">
        <v>39</v>
      </c>
      <c r="O72" s="56"/>
      <c r="P72" s="64"/>
    </row>
    <row r="73" spans="2:58">
      <c r="B73" s="29" t="s">
        <v>6</v>
      </c>
      <c r="C73" s="65"/>
      <c r="D73" s="76">
        <v>7.9356199490463384</v>
      </c>
      <c r="E73" s="76">
        <v>7.1414012709842876</v>
      </c>
      <c r="F73" s="66">
        <v>4.8</v>
      </c>
      <c r="G73" s="65"/>
      <c r="H73" s="76">
        <v>14.7218626016108</v>
      </c>
      <c r="I73" s="76">
        <v>8.4516522801151801</v>
      </c>
      <c r="J73" s="66">
        <v>4.8</v>
      </c>
      <c r="K73" s="67"/>
      <c r="L73" s="194">
        <v>0.59185964912280709</v>
      </c>
      <c r="M73" s="194">
        <v>0.75842325590854476</v>
      </c>
      <c r="N73" s="68">
        <v>1</v>
      </c>
      <c r="O73" s="56"/>
      <c r="P73" s="69"/>
    </row>
    <row r="74" spans="2:58">
      <c r="B74" s="33" t="s">
        <v>9</v>
      </c>
      <c r="C74" s="65">
        <f>L65</f>
        <v>1.4063656550703154</v>
      </c>
      <c r="D74" s="76">
        <v>3.0399999999999916</v>
      </c>
      <c r="E74" s="76">
        <v>6.1450503324783652</v>
      </c>
      <c r="F74" s="66">
        <v>4.8</v>
      </c>
      <c r="G74" s="65">
        <f>[32]April_2025!$K$21</f>
        <v>1.4860051012294051</v>
      </c>
      <c r="H74" s="76">
        <v>3.3848422062629528</v>
      </c>
      <c r="I74" s="76">
        <v>7.1307630784690605</v>
      </c>
      <c r="J74" s="66">
        <v>4.8</v>
      </c>
      <c r="K74" s="67">
        <f>K65</f>
        <v>0.70105263157894737</v>
      </c>
      <c r="L74" s="194">
        <v>1.0315789473684212</v>
      </c>
      <c r="M74" s="194">
        <v>0.74532724485267055</v>
      </c>
      <c r="N74" s="68">
        <v>1</v>
      </c>
      <c r="P74" s="69"/>
    </row>
    <row r="75" spans="2:58">
      <c r="B75" s="34" t="s">
        <v>40</v>
      </c>
      <c r="C75" s="65">
        <f>L67</f>
        <v>8.7978763746681992</v>
      </c>
      <c r="D75" s="76">
        <v>10.826844642195047</v>
      </c>
      <c r="E75" s="76">
        <v>13.125604223990466</v>
      </c>
      <c r="F75" s="66">
        <v>5.5</v>
      </c>
      <c r="G75" s="65">
        <f>[32]April_2025!$K$32</f>
        <v>10.823247958374074</v>
      </c>
      <c r="H75" s="76">
        <v>10.823247958374074</v>
      </c>
      <c r="I75" s="76">
        <v>13.879185403587476</v>
      </c>
      <c r="J75" s="66">
        <v>5.5</v>
      </c>
      <c r="K75" s="67">
        <f>K67</f>
        <v>0.42192982456140349</v>
      </c>
      <c r="L75" s="194">
        <v>0.42192982456140349</v>
      </c>
      <c r="M75" s="194">
        <v>0.5124236387782205</v>
      </c>
      <c r="N75" s="68">
        <v>1</v>
      </c>
      <c r="P75" s="69"/>
    </row>
    <row r="76" spans="2:58">
      <c r="B76" s="22" t="s">
        <v>33</v>
      </c>
      <c r="C76" s="65"/>
      <c r="D76" s="76"/>
      <c r="E76" s="76">
        <v>3.9190537266638161</v>
      </c>
      <c r="F76" s="66">
        <v>3.3</v>
      </c>
      <c r="G76" s="65"/>
      <c r="H76" s="76"/>
      <c r="I76" s="76">
        <v>6.209437755460022</v>
      </c>
      <c r="J76" s="66">
        <v>3.3</v>
      </c>
      <c r="K76" s="67"/>
      <c r="L76" s="194"/>
      <c r="M76" s="194">
        <v>0.75184210526315787</v>
      </c>
      <c r="N76" s="68">
        <v>1</v>
      </c>
      <c r="P76" s="69"/>
    </row>
    <row r="77" spans="2:58">
      <c r="B77" s="35" t="s">
        <v>29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L77" s="194"/>
      <c r="M77" s="194"/>
      <c r="N77" s="68">
        <v>1</v>
      </c>
      <c r="P77" s="69"/>
    </row>
    <row r="78" spans="2:58">
      <c r="B78" s="36" t="s">
        <v>15</v>
      </c>
      <c r="C78" s="282"/>
      <c r="D78" s="76"/>
      <c r="E78" s="76">
        <v>8.7664670658682695</v>
      </c>
      <c r="F78" s="70">
        <f>[21]May_2022!$M$43</f>
        <v>3.4878406700073312</v>
      </c>
      <c r="G78" s="282"/>
      <c r="H78" s="76"/>
      <c r="I78" s="76">
        <v>10.607235567685406</v>
      </c>
      <c r="J78" s="66">
        <v>5.5</v>
      </c>
      <c r="K78" s="67"/>
      <c r="L78" s="194"/>
      <c r="M78" s="194">
        <v>0.66824561403508764</v>
      </c>
      <c r="N78" s="68">
        <v>1</v>
      </c>
      <c r="P78" s="69"/>
    </row>
    <row r="79" spans="2:58">
      <c r="B79" s="37" t="s">
        <v>16</v>
      </c>
      <c r="C79" s="65"/>
      <c r="D79" s="76"/>
      <c r="E79" s="76">
        <v>2.2765363128491556</v>
      </c>
      <c r="F79" s="66">
        <v>3.3</v>
      </c>
      <c r="G79" s="282"/>
      <c r="H79" s="76"/>
      <c r="I79" s="76">
        <v>4.6996399261015078</v>
      </c>
      <c r="J79" s="66">
        <v>3.3</v>
      </c>
      <c r="K79" s="67"/>
      <c r="L79" s="194"/>
      <c r="M79" s="194">
        <v>0.86251968503937015</v>
      </c>
      <c r="N79" s="71">
        <v>1</v>
      </c>
      <c r="P79" s="69"/>
    </row>
    <row r="80" spans="2:58" ht="14.4" thickBot="1">
      <c r="B80" s="38" t="s">
        <v>127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30" ht="14.4" thickBot="1">
      <c r="B81" s="418" t="s">
        <v>162</v>
      </c>
      <c r="C81" s="65"/>
      <c r="D81" s="76"/>
      <c r="E81" s="76">
        <v>4.8792508624938291</v>
      </c>
      <c r="F81" s="66">
        <v>4.8</v>
      </c>
      <c r="G81" s="282"/>
      <c r="H81" s="76"/>
      <c r="I81" s="76">
        <v>6.2003723782925313</v>
      </c>
      <c r="J81" s="66">
        <v>4.8</v>
      </c>
      <c r="K81" s="67"/>
      <c r="L81" s="194"/>
      <c r="M81" s="194">
        <v>0.33859649122807017</v>
      </c>
      <c r="N81" s="71">
        <v>1</v>
      </c>
      <c r="O81" s="74"/>
      <c r="P81" s="75"/>
    </row>
    <row r="82" spans="2:30">
      <c r="D82" s="76">
        <v>6.6059036079452262</v>
      </c>
      <c r="E82" s="76">
        <v>7.0178157391236837</v>
      </c>
      <c r="F82" s="341">
        <v>5.5</v>
      </c>
      <c r="H82" s="76">
        <v>10.480720791856527</v>
      </c>
      <c r="I82" s="76">
        <v>8.426503412094732</v>
      </c>
      <c r="J82" s="341">
        <v>5.5</v>
      </c>
      <c r="K82" s="67"/>
      <c r="L82" s="194">
        <v>0.68054824561403515</v>
      </c>
      <c r="M82" s="194">
        <v>0.72817853290183387</v>
      </c>
      <c r="N82" s="386">
        <v>1</v>
      </c>
    </row>
    <row r="86" spans="2:30">
      <c r="F86" s="315"/>
    </row>
    <row r="94" spans="2:30">
      <c r="AD94" s="275" t="s">
        <v>57</v>
      </c>
    </row>
  </sheetData>
  <mergeCells count="52">
    <mergeCell ref="M4:N4"/>
    <mergeCell ref="T1:U1"/>
    <mergeCell ref="V1:W1"/>
    <mergeCell ref="X1:Y1"/>
    <mergeCell ref="Z1:AA1"/>
    <mergeCell ref="B2:O2"/>
    <mergeCell ref="C5:D5"/>
    <mergeCell ref="B8:B9"/>
    <mergeCell ref="C8:C9"/>
    <mergeCell ref="D8:D9"/>
    <mergeCell ref="G8:G9"/>
    <mergeCell ref="Q8:Q9"/>
    <mergeCell ref="I34:N34"/>
    <mergeCell ref="D35:E35"/>
    <mergeCell ref="B36:B47"/>
    <mergeCell ref="D36:E37"/>
    <mergeCell ref="D38:E39"/>
    <mergeCell ref="D40:E41"/>
    <mergeCell ref="D42:E43"/>
    <mergeCell ref="D44:E45"/>
    <mergeCell ref="I8:I9"/>
    <mergeCell ref="J8:J9"/>
    <mergeCell ref="K8:K9"/>
    <mergeCell ref="L8:L9"/>
    <mergeCell ref="O8:O9"/>
    <mergeCell ref="P8:P9"/>
    <mergeCell ref="H8:H9"/>
    <mergeCell ref="D46:E47"/>
    <mergeCell ref="B48:B57"/>
    <mergeCell ref="D48:E49"/>
    <mergeCell ref="J48:K48"/>
    <mergeCell ref="L49:N49"/>
    <mergeCell ref="D50:E51"/>
    <mergeCell ref="D52:E53"/>
    <mergeCell ref="D54:E55"/>
    <mergeCell ref="D56:E57"/>
    <mergeCell ref="D58:E58"/>
    <mergeCell ref="B63:B64"/>
    <mergeCell ref="C63:C64"/>
    <mergeCell ref="D63:D64"/>
    <mergeCell ref="E63:E64"/>
    <mergeCell ref="M63:M64"/>
    <mergeCell ref="B71:F71"/>
    <mergeCell ref="G71:J71"/>
    <mergeCell ref="K71:N71"/>
    <mergeCell ref="G63:G64"/>
    <mergeCell ref="H63:H64"/>
    <mergeCell ref="I63:I64"/>
    <mergeCell ref="J63:J64"/>
    <mergeCell ref="K63:K64"/>
    <mergeCell ref="L63:L64"/>
    <mergeCell ref="F63:F64"/>
  </mergeCells>
  <conditionalFormatting sqref="B58:B59">
    <cfRule type="cellIs" dxfId="2227" priority="144" operator="notBetween">
      <formula>#REF!</formula>
      <formula>#REF!</formula>
    </cfRule>
  </conditionalFormatting>
  <conditionalFormatting sqref="C62">
    <cfRule type="cellIs" dxfId="2226" priority="175" stopIfTrue="1" operator="lessThan">
      <formula>96</formula>
    </cfRule>
    <cfRule type="cellIs" dxfId="2225" priority="176" stopIfTrue="1" operator="greaterThan">
      <formula>100</formula>
    </cfRule>
  </conditionalFormatting>
  <conditionalFormatting sqref="C73">
    <cfRule type="cellIs" dxfId="2224" priority="103" stopIfTrue="1" operator="greaterThan">
      <formula>$F73</formula>
    </cfRule>
  </conditionalFormatting>
  <conditionalFormatting sqref="C73:C74">
    <cfRule type="cellIs" dxfId="2223" priority="104" stopIfTrue="1" operator="lessThanOrEqual">
      <formula>0</formula>
    </cfRule>
  </conditionalFormatting>
  <conditionalFormatting sqref="C74">
    <cfRule type="cellIs" dxfId="2222" priority="179" stopIfTrue="1" operator="greaterThan">
      <formula>$F73</formula>
    </cfRule>
  </conditionalFormatting>
  <conditionalFormatting sqref="C75:C77">
    <cfRule type="cellIs" dxfId="2221" priority="124" stopIfTrue="1" operator="greaterThan">
      <formula>$F75</formula>
    </cfRule>
  </conditionalFormatting>
  <conditionalFormatting sqref="C75:C78">
    <cfRule type="cellIs" dxfId="2220" priority="128" stopIfTrue="1" operator="lessThanOrEqual">
      <formula>0</formula>
    </cfRule>
  </conditionalFormatting>
  <conditionalFormatting sqref="C78">
    <cfRule type="cellIs" dxfId="2219" priority="127" stopIfTrue="1" operator="greaterThan">
      <formula>$J78</formula>
    </cfRule>
  </conditionalFormatting>
  <conditionalFormatting sqref="C84:C88">
    <cfRule type="cellIs" dxfId="2218" priority="167" stopIfTrue="1" operator="lessThanOrEqual">
      <formula>0</formula>
    </cfRule>
  </conditionalFormatting>
  <conditionalFormatting sqref="C85:C88">
    <cfRule type="cellIs" dxfId="2217" priority="166" stopIfTrue="1" operator="greaterThan">
      <formula>$F$84</formula>
    </cfRule>
  </conditionalFormatting>
  <conditionalFormatting sqref="C90">
    <cfRule type="cellIs" dxfId="2216" priority="169" stopIfTrue="1" operator="lessThanOrEqual">
      <formula>0</formula>
    </cfRule>
    <cfRule type="cellIs" dxfId="2215" priority="168" stopIfTrue="1" operator="greaterThan">
      <formula>$F$84</formula>
    </cfRule>
  </conditionalFormatting>
  <conditionalFormatting sqref="C84:D84 D86:D92">
    <cfRule type="cellIs" dxfId="2214" priority="161" stopIfTrue="1" operator="greaterThan">
      <formula>4.5</formula>
    </cfRule>
  </conditionalFormatting>
  <conditionalFormatting sqref="D58:D59">
    <cfRule type="cellIs" dxfId="2213" priority="145" operator="notBetween">
      <formula>#REF!</formula>
      <formula>#REF!</formula>
    </cfRule>
  </conditionalFormatting>
  <conditionalFormatting sqref="D73:D80">
    <cfRule type="cellIs" dxfId="2212" priority="138" stopIfTrue="1" operator="lessThanOrEqual">
      <formula>0</formula>
    </cfRule>
  </conditionalFormatting>
  <conditionalFormatting sqref="D81">
    <cfRule type="cellIs" dxfId="2211" priority="137" stopIfTrue="1" operator="lessThanOrEqual">
      <formula>0</formula>
    </cfRule>
  </conditionalFormatting>
  <conditionalFormatting sqref="D84 D86:D92">
    <cfRule type="cellIs" dxfId="2210" priority="162" stopIfTrue="1" operator="lessThanOrEqual">
      <formula>0</formula>
    </cfRule>
  </conditionalFormatting>
  <conditionalFormatting sqref="D85">
    <cfRule type="cellIs" dxfId="2209" priority="153" stopIfTrue="1" operator="greaterThan">
      <formula>$F$84</formula>
    </cfRule>
    <cfRule type="cellIs" dxfId="2208" priority="154" stopIfTrue="1" operator="lessThanOrEqual">
      <formula>0</formula>
    </cfRule>
  </conditionalFormatting>
  <conditionalFormatting sqref="D73:E82">
    <cfRule type="cellIs" dxfId="2207" priority="100" stopIfTrue="1" operator="greaterThan">
      <formula>$F73</formula>
    </cfRule>
  </conditionalFormatting>
  <conditionalFormatting sqref="D82:E82">
    <cfRule type="cellIs" dxfId="2206" priority="101" stopIfTrue="1" operator="lessThanOrEqual">
      <formula>0</formula>
    </cfRule>
  </conditionalFormatting>
  <conditionalFormatting sqref="E14:E33">
    <cfRule type="cellIs" dxfId="2205" priority="12" operator="lessThan">
      <formula>48</formula>
    </cfRule>
  </conditionalFormatting>
  <conditionalFormatting sqref="E62">
    <cfRule type="cellIs" dxfId="2204" priority="155" stopIfTrue="1" operator="lessThan">
      <formula>96.8</formula>
    </cfRule>
    <cfRule type="cellIs" dxfId="2203" priority="156" stopIfTrue="1" operator="greaterThan">
      <formula>100</formula>
    </cfRule>
  </conditionalFormatting>
  <conditionalFormatting sqref="E73:E81">
    <cfRule type="cellIs" dxfId="2202" priority="132" stopIfTrue="1" operator="lessThanOrEqual">
      <formula>0</formula>
    </cfRule>
  </conditionalFormatting>
  <conditionalFormatting sqref="E84:E92">
    <cfRule type="cellIs" dxfId="2201" priority="148" stopIfTrue="1" operator="lessThanOrEqual">
      <formula>0</formula>
    </cfRule>
    <cfRule type="cellIs" dxfId="2200" priority="147" stopIfTrue="1" operator="greaterThan">
      <formula>4.5</formula>
    </cfRule>
  </conditionalFormatting>
  <conditionalFormatting sqref="E61:F62">
    <cfRule type="cellIs" dxfId="2199" priority="157" stopIfTrue="1" operator="lessThan">
      <formula>96.5</formula>
    </cfRule>
    <cfRule type="cellIs" dxfId="2198" priority="158" stopIfTrue="1" operator="greaterThan">
      <formula>100</formula>
    </cfRule>
  </conditionalFormatting>
  <conditionalFormatting sqref="E10:G13">
    <cfRule type="cellIs" dxfId="2197" priority="21" operator="lessThan">
      <formula>48</formula>
    </cfRule>
  </conditionalFormatting>
  <conditionalFormatting sqref="F14:F33">
    <cfRule type="cellIs" dxfId="2196" priority="13" operator="greaterThan">
      <formula>60</formula>
    </cfRule>
  </conditionalFormatting>
  <conditionalFormatting sqref="F62">
    <cfRule type="cellIs" dxfId="2195" priority="173" stopIfTrue="1" operator="lessThan">
      <formula>96.8</formula>
    </cfRule>
    <cfRule type="cellIs" dxfId="2194" priority="174" stopIfTrue="1" operator="greaterThan">
      <formula>100</formula>
    </cfRule>
  </conditionalFormatting>
  <conditionalFormatting sqref="F82">
    <cfRule type="cellIs" dxfId="2193" priority="134" stopIfTrue="1" operator="lessThanOrEqual">
      <formula>0</formula>
    </cfRule>
    <cfRule type="cellIs" dxfId="2192" priority="133" stopIfTrue="1" operator="greaterThan">
      <formula>$F82</formula>
    </cfRule>
  </conditionalFormatting>
  <conditionalFormatting sqref="G73:G74 C79:C81">
    <cfRule type="cellIs" dxfId="2191" priority="140" stopIfTrue="1" operator="lessThanOrEqual">
      <formula>0</formula>
    </cfRule>
    <cfRule type="cellIs" dxfId="2190" priority="139" stopIfTrue="1" operator="greaterThan">
      <formula>$F73</formula>
    </cfRule>
  </conditionalFormatting>
  <conditionalFormatting sqref="G73:G74">
    <cfRule type="cellIs" dxfId="2189" priority="106" stopIfTrue="1" operator="lessThanOrEqual">
      <formula>0</formula>
    </cfRule>
    <cfRule type="cellIs" dxfId="2188" priority="105" stopIfTrue="1" operator="greaterThan">
      <formula>$F73</formula>
    </cfRule>
  </conditionalFormatting>
  <conditionalFormatting sqref="G75">
    <cfRule type="cellIs" dxfId="2187" priority="178" stopIfTrue="1" operator="lessThanOrEqual">
      <formula>0</formula>
    </cfRule>
    <cfRule type="cellIs" dxfId="2186" priority="177" stopIfTrue="1" operator="greaterThan">
      <formula>$F74</formula>
    </cfRule>
  </conditionalFormatting>
  <conditionalFormatting sqref="G76">
    <cfRule type="cellIs" dxfId="2185" priority="135" stopIfTrue="1" operator="greaterThan">
      <formula>$F76</formula>
    </cfRule>
    <cfRule type="cellIs" dxfId="2184" priority="136" stopIfTrue="1" operator="lessThanOrEqual">
      <formula>0</formula>
    </cfRule>
  </conditionalFormatting>
  <conditionalFormatting sqref="G77:G81">
    <cfRule type="cellIs" dxfId="2183" priority="142" stopIfTrue="1" operator="lessThanOrEqual">
      <formula>0</formula>
    </cfRule>
    <cfRule type="cellIs" dxfId="2182" priority="141" stopIfTrue="1" operator="greaterThan">
      <formula>$J77</formula>
    </cfRule>
  </conditionalFormatting>
  <conditionalFormatting sqref="G86:G91 C89 C91">
    <cfRule type="cellIs" dxfId="2181" priority="170" stopIfTrue="1" operator="greaterThan">
      <formula>4.5</formula>
    </cfRule>
    <cfRule type="cellIs" dxfId="2180" priority="171" stopIfTrue="1" operator="lessThanOrEqual">
      <formula>0</formula>
    </cfRule>
  </conditionalFormatting>
  <conditionalFormatting sqref="G14:H33">
    <cfRule type="expression" dxfId="2179" priority="11">
      <formula>IF(+(IF(G14&lt;#REF!,0,IF(G14&gt;#REF!,0,1)))=0,1)</formula>
    </cfRule>
  </conditionalFormatting>
  <conditionalFormatting sqref="G85:H85">
    <cfRule type="cellIs" dxfId="2178" priority="151" stopIfTrue="1" operator="greaterThan">
      <formula>$F$84</formula>
    </cfRule>
    <cfRule type="cellIs" dxfId="2177" priority="152" stopIfTrue="1" operator="lessThanOrEqual">
      <formula>0</formula>
    </cfRule>
  </conditionalFormatting>
  <conditionalFormatting sqref="H10:H13">
    <cfRule type="expression" dxfId="2176" priority="14">
      <formula>IF(+(IF(H10&lt;#REF!,0,IF(H10&gt;#REF!,0,1)))=0,1)</formula>
    </cfRule>
  </conditionalFormatting>
  <conditionalFormatting sqref="H47:H60 G48:G59">
    <cfRule type="cellIs" dxfId="2175" priority="149" stopIfTrue="1" operator="greaterThan">
      <formula>0</formula>
    </cfRule>
  </conditionalFormatting>
  <conditionalFormatting sqref="H65:H66">
    <cfRule type="cellIs" dxfId="2174" priority="74" stopIfTrue="1" operator="greaterThan">
      <formula>$F$46</formula>
    </cfRule>
    <cfRule type="cellIs" dxfId="2173" priority="82" stopIfTrue="1" operator="greaterThan">
      <formula>$F$49</formula>
    </cfRule>
    <cfRule type="cellIs" dxfId="2172" priority="84" stopIfTrue="1" operator="greaterThan">
      <formula>$F$47</formula>
    </cfRule>
    <cfRule type="cellIs" dxfId="2171" priority="85" stopIfTrue="1" operator="lessThanOrEqual">
      <formula>0</formula>
    </cfRule>
    <cfRule type="cellIs" dxfId="2170" priority="83" stopIfTrue="1" operator="lessThanOrEqual">
      <formula>0</formula>
    </cfRule>
  </conditionalFormatting>
  <conditionalFormatting sqref="H65:H67">
    <cfRule type="cellIs" dxfId="2169" priority="59" stopIfTrue="1" operator="lessThanOrEqual">
      <formula>0</formula>
    </cfRule>
  </conditionalFormatting>
  <conditionalFormatting sqref="H67">
    <cfRule type="cellIs" dxfId="2168" priority="47" stopIfTrue="1" operator="lessThanOrEqual">
      <formula>0</formula>
    </cfRule>
    <cfRule type="cellIs" dxfId="2167" priority="48" stopIfTrue="1" operator="greaterThan">
      <formula>$F$46</formula>
    </cfRule>
    <cfRule type="cellIs" dxfId="2166" priority="57" stopIfTrue="1" operator="lessThanOrEqual">
      <formula>0</formula>
    </cfRule>
    <cfRule type="cellIs" dxfId="2165" priority="56" stopIfTrue="1" operator="greaterThan">
      <formula>$F$49</formula>
    </cfRule>
    <cfRule type="cellIs" dxfId="2164" priority="58" stopIfTrue="1" operator="greaterThan">
      <formula>$F$47</formula>
    </cfRule>
  </conditionalFormatting>
  <conditionalFormatting sqref="H68">
    <cfRule type="cellIs" dxfId="2163" priority="120" stopIfTrue="1" operator="greaterThan">
      <formula>$F$75</formula>
    </cfRule>
    <cfRule type="cellIs" dxfId="2162" priority="121" stopIfTrue="1" operator="lessThanOrEqual">
      <formula>0</formula>
    </cfRule>
    <cfRule type="cellIs" dxfId="2161" priority="122" stopIfTrue="1" operator="greaterThan">
      <formula>$F$73</formula>
    </cfRule>
    <cfRule type="cellIs" dxfId="2160" priority="123" stopIfTrue="1" operator="lessThanOrEqual">
      <formula>0</formula>
    </cfRule>
    <cfRule type="cellIs" dxfId="2159" priority="111" stopIfTrue="1" operator="lessThanOrEqual">
      <formula>0</formula>
    </cfRule>
    <cfRule type="cellIs" dxfId="2158" priority="112" stopIfTrue="1" operator="greaterThan">
      <formula>$F$72</formula>
    </cfRule>
  </conditionalFormatting>
  <conditionalFormatting sqref="H69">
    <cfRule type="cellIs" dxfId="2157" priority="71" stopIfTrue="1" operator="lessThanOrEqual">
      <formula>0</formula>
    </cfRule>
    <cfRule type="cellIs" dxfId="2156" priority="70" stopIfTrue="1" operator="greaterThan">
      <formula>$F$49</formula>
    </cfRule>
    <cfRule type="cellIs" dxfId="2155" priority="61" stopIfTrue="1" operator="lessThanOrEqual">
      <formula>0</formula>
    </cfRule>
    <cfRule type="cellIs" dxfId="2154" priority="62" stopIfTrue="1" operator="greaterThan">
      <formula>$F$46</formula>
    </cfRule>
    <cfRule type="cellIs" dxfId="2153" priority="73" stopIfTrue="1" operator="lessThanOrEqual">
      <formula>0</formula>
    </cfRule>
    <cfRule type="cellIs" dxfId="2152" priority="72" stopIfTrue="1" operator="greaterThan">
      <formula>$F$47</formula>
    </cfRule>
  </conditionalFormatting>
  <conditionalFormatting sqref="H73:H80">
    <cfRule type="cellIs" dxfId="2151" priority="126" stopIfTrue="1" operator="lessThanOrEqual">
      <formula>0</formula>
    </cfRule>
    <cfRule type="cellIs" dxfId="2150" priority="125" stopIfTrue="1" operator="greaterThan">
      <formula>$J73</formula>
    </cfRule>
  </conditionalFormatting>
  <conditionalFormatting sqref="H81">
    <cfRule type="cellIs" dxfId="2149" priority="129" operator="greaterThan">
      <formula>5.3</formula>
    </cfRule>
  </conditionalFormatting>
  <conditionalFormatting sqref="H84 H86:H92">
    <cfRule type="cellIs" dxfId="2148" priority="164" stopIfTrue="1" operator="lessThanOrEqual">
      <formula>0</formula>
    </cfRule>
    <cfRule type="cellIs" dxfId="2147" priority="163" stopIfTrue="1" operator="greaterThan">
      <formula>4.5</formula>
    </cfRule>
  </conditionalFormatting>
  <conditionalFormatting sqref="H65:I66">
    <cfRule type="cellIs" dxfId="2146" priority="75" stopIfTrue="1" operator="lessThanOrEqual">
      <formula>0</formula>
    </cfRule>
  </conditionalFormatting>
  <conditionalFormatting sqref="H65:I67">
    <cfRule type="cellIs" dxfId="2145" priority="46" stopIfTrue="1" operator="greaterThan">
      <formula>$F$48</formula>
    </cfRule>
  </conditionalFormatting>
  <conditionalFormatting sqref="H67:I67">
    <cfRule type="cellIs" dxfId="2144" priority="49" stopIfTrue="1" operator="lessThanOrEqual">
      <formula>0</formula>
    </cfRule>
  </conditionalFormatting>
  <conditionalFormatting sqref="H68:I68">
    <cfRule type="cellIs" dxfId="2143" priority="113" stopIfTrue="1" operator="lessThanOrEqual">
      <formula>0</formula>
    </cfRule>
    <cfRule type="cellIs" dxfId="2142" priority="110" stopIfTrue="1" operator="greaterThan">
      <formula>$F$74</formula>
    </cfRule>
  </conditionalFormatting>
  <conditionalFormatting sqref="H69:I69">
    <cfRule type="cellIs" dxfId="2141" priority="60" stopIfTrue="1" operator="greaterThan">
      <formula>$F$48</formula>
    </cfRule>
    <cfRule type="cellIs" dxfId="2140" priority="63" stopIfTrue="1" operator="lessThanOrEqual">
      <formula>0</formula>
    </cfRule>
  </conditionalFormatting>
  <conditionalFormatting sqref="H82:I82">
    <cfRule type="cellIs" dxfId="2139" priority="98" stopIfTrue="1" operator="greaterThan">
      <formula>$J82</formula>
    </cfRule>
    <cfRule type="cellIs" dxfId="2138" priority="99" stopIfTrue="1" operator="lessThanOrEqual">
      <formula>0</formula>
    </cfRule>
  </conditionalFormatting>
  <conditionalFormatting sqref="I65:I66">
    <cfRule type="cellIs" dxfId="2137" priority="76" stopIfTrue="1" operator="greaterThan">
      <formula>$F$46</formula>
    </cfRule>
    <cfRule type="cellIs" dxfId="2136" priority="77" stopIfTrue="1" operator="lessThanOrEqual">
      <formula>0</formula>
    </cfRule>
    <cfRule type="cellIs" dxfId="2135" priority="78" stopIfTrue="1" operator="greaterThan">
      <formula>$F$48</formula>
    </cfRule>
    <cfRule type="cellIs" dxfId="2134" priority="79" stopIfTrue="1" operator="lessThanOrEqual">
      <formula>0</formula>
    </cfRule>
    <cfRule type="cellIs" dxfId="2133" priority="80" stopIfTrue="1" operator="greaterThan">
      <formula>$F$46</formula>
    </cfRule>
    <cfRule type="cellIs" dxfId="2132" priority="81" stopIfTrue="1" operator="lessThanOrEqual">
      <formula>0</formula>
    </cfRule>
  </conditionalFormatting>
  <conditionalFormatting sqref="I67">
    <cfRule type="cellIs" dxfId="2131" priority="52" stopIfTrue="1" operator="greaterThan">
      <formula>$F$48</formula>
    </cfRule>
    <cfRule type="cellIs" dxfId="2130" priority="53" stopIfTrue="1" operator="lessThanOrEqual">
      <formula>0</formula>
    </cfRule>
    <cfRule type="cellIs" dxfId="2129" priority="54" stopIfTrue="1" operator="greaterThan">
      <formula>$F$46</formula>
    </cfRule>
    <cfRule type="cellIs" dxfId="2128" priority="55" stopIfTrue="1" operator="lessThanOrEqual">
      <formula>0</formula>
    </cfRule>
    <cfRule type="cellIs" dxfId="2127" priority="50" stopIfTrue="1" operator="greaterThan">
      <formula>$F$46</formula>
    </cfRule>
    <cfRule type="cellIs" dxfId="2126" priority="51" stopIfTrue="1" operator="lessThanOrEqual">
      <formula>0</formula>
    </cfRule>
  </conditionalFormatting>
  <conditionalFormatting sqref="I68">
    <cfRule type="cellIs" dxfId="2125" priority="115" stopIfTrue="1" operator="lessThanOrEqual">
      <formula>0</formula>
    </cfRule>
    <cfRule type="cellIs" dxfId="2124" priority="119" stopIfTrue="1" operator="lessThanOrEqual">
      <formula>0</formula>
    </cfRule>
    <cfRule type="cellIs" dxfId="2123" priority="118" stopIfTrue="1" operator="greaterThan">
      <formula>$F$72</formula>
    </cfRule>
    <cfRule type="cellIs" dxfId="2122" priority="117" stopIfTrue="1" operator="lessThanOrEqual">
      <formula>0</formula>
    </cfRule>
    <cfRule type="cellIs" dxfId="2121" priority="116" stopIfTrue="1" operator="greaterThan">
      <formula>$F$74</formula>
    </cfRule>
    <cfRule type="cellIs" dxfId="2120" priority="114" stopIfTrue="1" operator="greaterThan">
      <formula>$F$72</formula>
    </cfRule>
  </conditionalFormatting>
  <conditionalFormatting sqref="I69">
    <cfRule type="cellIs" dxfId="2119" priority="64" stopIfTrue="1" operator="greaterThan">
      <formula>$F$46</formula>
    </cfRule>
    <cfRule type="cellIs" dxfId="2118" priority="65" stopIfTrue="1" operator="lessThanOrEqual">
      <formula>0</formula>
    </cfRule>
    <cfRule type="cellIs" dxfId="2117" priority="66" stopIfTrue="1" operator="greaterThan">
      <formula>$F$48</formula>
    </cfRule>
    <cfRule type="cellIs" dxfId="2116" priority="67" stopIfTrue="1" operator="lessThanOrEqual">
      <formula>0</formula>
    </cfRule>
    <cfRule type="cellIs" dxfId="2115" priority="68" stopIfTrue="1" operator="greaterThan">
      <formula>$F$46</formula>
    </cfRule>
    <cfRule type="cellIs" dxfId="2114" priority="69" stopIfTrue="1" operator="lessThanOrEqual">
      <formula>0</formula>
    </cfRule>
  </conditionalFormatting>
  <conditionalFormatting sqref="I73:I81">
    <cfRule type="cellIs" dxfId="2113" priority="130" stopIfTrue="1" operator="greaterThan">
      <formula>$J73</formula>
    </cfRule>
    <cfRule type="cellIs" dxfId="2112" priority="131" stopIfTrue="1" operator="lessThanOrEqual">
      <formula>0</formula>
    </cfRule>
  </conditionalFormatting>
  <conditionalFormatting sqref="I84:I92">
    <cfRule type="cellIs" dxfId="2111" priority="160" stopIfTrue="1" operator="lessThanOrEqual">
      <formula>0</formula>
    </cfRule>
    <cfRule type="cellIs" dxfId="2110" priority="159" stopIfTrue="1" operator="greaterThan">
      <formula>4.5</formula>
    </cfRule>
  </conditionalFormatting>
  <conditionalFormatting sqref="I10:J33">
    <cfRule type="cellIs" dxfId="2109" priority="24" operator="lessThan">
      <formula>97.9</formula>
    </cfRule>
  </conditionalFormatting>
  <conditionalFormatting sqref="J36:J38">
    <cfRule type="cellIs" dxfId="2108" priority="89" stopIfTrue="1" operator="greaterThan">
      <formula>100</formula>
    </cfRule>
    <cfRule type="cellIs" dxfId="2107" priority="90" operator="lessThan">
      <formula>98</formula>
    </cfRule>
    <cfRule type="cellIs" dxfId="2106" priority="88" stopIfTrue="1" operator="lessThan">
      <formula>96.8</formula>
    </cfRule>
  </conditionalFormatting>
  <conditionalFormatting sqref="J36:J40">
    <cfRule type="cellIs" dxfId="2105" priority="87" operator="lessThan">
      <formula>97.4</formula>
    </cfRule>
  </conditionalFormatting>
  <conditionalFormatting sqref="J41">
    <cfRule type="cellIs" dxfId="2104" priority="91" operator="lessThan">
      <formula>98</formula>
    </cfRule>
  </conditionalFormatting>
  <conditionalFormatting sqref="J42:J44">
    <cfRule type="cellIs" dxfId="2103" priority="92" stopIfTrue="1" operator="lessThan">
      <formula>96.8</formula>
    </cfRule>
    <cfRule type="cellIs" dxfId="2102" priority="93" stopIfTrue="1" operator="greaterThan">
      <formula>100</formula>
    </cfRule>
  </conditionalFormatting>
  <conditionalFormatting sqref="J42:J45">
    <cfRule type="cellIs" dxfId="2101" priority="94" operator="lessThan">
      <formula>98</formula>
    </cfRule>
  </conditionalFormatting>
  <conditionalFormatting sqref="J82">
    <cfRule type="cellIs" dxfId="2100" priority="95" stopIfTrue="1" operator="greaterThan">
      <formula>$F82</formula>
    </cfRule>
    <cfRule type="cellIs" dxfId="2099" priority="96" stopIfTrue="1" operator="lessThanOrEqual">
      <formula>0</formula>
    </cfRule>
  </conditionalFormatting>
  <conditionalFormatting sqref="K10:K33">
    <cfRule type="cellIs" dxfId="2098" priority="22" operator="greaterThan">
      <formula>6.4</formula>
    </cfRule>
    <cfRule type="cellIs" dxfId="2097" priority="18" operator="lessThan">
      <formula>4</formula>
    </cfRule>
    <cfRule type="cellIs" dxfId="2096" priority="17" operator="greaterThan">
      <formula>6</formula>
    </cfRule>
  </conditionalFormatting>
  <conditionalFormatting sqref="K50:K59">
    <cfRule type="cellIs" dxfId="2095" priority="86" operator="notEqual">
      <formula>#REF!</formula>
    </cfRule>
  </conditionalFormatting>
  <conditionalFormatting sqref="K65:K69 K73:N76 L77:N77">
    <cfRule type="cellIs" dxfId="2094" priority="143" stopIfTrue="1" operator="lessThan">
      <formula>100%</formula>
    </cfRule>
  </conditionalFormatting>
  <conditionalFormatting sqref="K84:K89">
    <cfRule type="cellIs" dxfId="2093" priority="165" stopIfTrue="1" operator="lessThan">
      <formula>100%</formula>
    </cfRule>
  </conditionalFormatting>
  <conditionalFormatting sqref="K91:K92">
    <cfRule type="cellIs" dxfId="2092" priority="172" stopIfTrue="1" operator="lessThan">
      <formula>100%</formula>
    </cfRule>
  </conditionalFormatting>
  <conditionalFormatting sqref="K78:N82">
    <cfRule type="cellIs" dxfId="2091" priority="97" stopIfTrue="1" operator="lessThan">
      <formula>100%</formula>
    </cfRule>
  </conditionalFormatting>
  <conditionalFormatting sqref="L10:L33">
    <cfRule type="cellIs" dxfId="2090" priority="20" operator="greaterThan">
      <formula>65</formula>
    </cfRule>
    <cfRule type="cellIs" dxfId="2089" priority="19" operator="between">
      <formula>61</formula>
      <formula>65</formula>
    </cfRule>
  </conditionalFormatting>
  <conditionalFormatting sqref="L36:M47">
    <cfRule type="cellIs" dxfId="2088" priority="102" operator="lessThan">
      <formula>98</formula>
    </cfRule>
  </conditionalFormatting>
  <conditionalFormatting sqref="L51:N51">
    <cfRule type="cellIs" dxfId="2087" priority="107" operator="notEqual">
      <formula>#REF!</formula>
    </cfRule>
  </conditionalFormatting>
  <conditionalFormatting sqref="L84:N92">
    <cfRule type="cellIs" dxfId="2086" priority="150" stopIfTrue="1" operator="lessThan">
      <formula>100%</formula>
    </cfRule>
  </conditionalFormatting>
  <conditionalFormatting sqref="M10:M33">
    <cfRule type="expression" dxfId="2085" priority="15">
      <formula>IF(+(IF(M10&lt;V10,0,IF(M10&gt;W10,0,1)))=0,1)</formula>
    </cfRule>
  </conditionalFormatting>
  <conditionalFormatting sqref="M6:N6">
    <cfRule type="cellIs" dxfId="2084" priority="109" operator="greaterThanOrEqual">
      <formula>19</formula>
    </cfRule>
    <cfRule type="cellIs" dxfId="2083" priority="108" operator="greaterThanOrEqual">
      <formula>15</formula>
    </cfRule>
  </conditionalFormatting>
  <conditionalFormatting sqref="N10:N33">
    <cfRule type="expression" dxfId="2082" priority="16">
      <formula>IF(+(IF(N10&lt;X10,0,IF(N10&gt;Y10,0,1)))=0,1)</formula>
    </cfRule>
  </conditionalFormatting>
  <conditionalFormatting sqref="P6">
    <cfRule type="cellIs" dxfId="2081" priority="146" operator="greaterThanOrEqual">
      <formula>19</formula>
    </cfRule>
  </conditionalFormatting>
  <conditionalFormatting sqref="P22:P33">
    <cfRule type="cellIs" dxfId="2080" priority="42" operator="lessThan">
      <formula>98</formula>
    </cfRule>
  </conditionalFormatting>
  <dataValidations disablePrompts="1" count="1">
    <dataValidation type="list" allowBlank="1" showInputMessage="1" showErrorMessage="1" sqref="S8" xr:uid="{7E860A71-6F92-44F2-B0B1-B72BF3972BB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D3B9-397C-4DC9-9C10-25F7B902BEB2}">
  <sheetPr>
    <pageSetUpPr fitToPage="1"/>
  </sheetPr>
  <dimension ref="A1:BF84"/>
  <sheetViews>
    <sheetView topLeftCell="C31" zoomScale="80" zoomScaleNormal="80" workbookViewId="0">
      <selection activeCell="L41" sqref="L41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11" t="s">
        <v>0</v>
      </c>
      <c r="U1" s="511"/>
      <c r="V1" s="511" t="s">
        <v>1</v>
      </c>
      <c r="W1" s="511"/>
      <c r="X1" s="511" t="s">
        <v>2</v>
      </c>
      <c r="Y1" s="511"/>
      <c r="Z1" s="511" t="s">
        <v>124</v>
      </c>
      <c r="AA1" s="511"/>
    </row>
    <row r="2" spans="2:30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21">
        <v>45756</v>
      </c>
      <c r="J4" s="399" t="s">
        <v>166</v>
      </c>
      <c r="K4" s="399"/>
      <c r="L4" s="11"/>
      <c r="M4" s="533" t="s">
        <v>8</v>
      </c>
      <c r="N4" s="534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0" t="s">
        <v>165</v>
      </c>
      <c r="K6" s="401"/>
      <c r="L6" s="311" t="s">
        <v>14</v>
      </c>
      <c r="M6" s="340">
        <v>12</v>
      </c>
      <c r="N6" s="340">
        <v>10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2"/>
      <c r="K7" s="403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80" t="s">
        <v>155</v>
      </c>
      <c r="P8" s="472" t="s">
        <v>170</v>
      </c>
      <c r="Q8" s="49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20"/>
      <c r="P9" s="529"/>
      <c r="Q9" s="49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[23]Brewhouse!$A353</f>
        <v>CA249</v>
      </c>
      <c r="D10" s="279">
        <f>[23]Brewhouse!$AF353</f>
        <v>53.9</v>
      </c>
      <c r="E10" s="279">
        <f>[23]Brewhouse!$AI353</f>
        <v>50.6</v>
      </c>
      <c r="F10" s="278">
        <f>[23]Brewhouse!$V353</f>
        <v>61</v>
      </c>
      <c r="G10" s="279">
        <f>[23]Brewhouse!$AG353</f>
        <v>11.9</v>
      </c>
      <c r="H10" s="396">
        <v>11.9</v>
      </c>
      <c r="I10" s="368">
        <f>[23]Brewhouse!$AU353</f>
        <v>99.224854122831672</v>
      </c>
      <c r="J10" s="368">
        <f>[23]Brewhouse!$AV353</f>
        <v>100.45228258737295</v>
      </c>
      <c r="K10" s="281">
        <f>[23]Brewhouse!$Q353</f>
        <v>6.809269162210339</v>
      </c>
      <c r="L10" s="276">
        <f>[23]Brewhouse!$P353</f>
        <v>61</v>
      </c>
      <c r="M10" s="397">
        <f>[23]Brewhouse!$U353-[23]Brewhouse!$T353</f>
        <v>0.11388888888888887</v>
      </c>
      <c r="N10" s="370">
        <f>[23]Brewhouse!$Z353</f>
        <v>0.25277777777777777</v>
      </c>
      <c r="O10" s="371" t="str">
        <f>[23]Brewhouse!$AX353</f>
        <v>K.Benjamin</v>
      </c>
      <c r="P10" s="419"/>
      <c r="Q10" s="347"/>
      <c r="S10" s="277" t="str">
        <f t="shared" ref="S10:S25" si="0">B10</f>
        <v>CARIB</v>
      </c>
      <c r="T10" s="296">
        <f t="shared" ref="T10:T25" si="1">VLOOKUP($B10,$S$3:$Y$9,2,FALSE)</f>
        <v>11.6</v>
      </c>
      <c r="U10" s="296">
        <f t="shared" ref="U10:U25" si="2">VLOOKUP($B10,$S$3:$Y$9,3,FALSE)</f>
        <v>12</v>
      </c>
      <c r="V10" s="297">
        <f t="shared" ref="V10:V25" si="3">VLOOKUP($B10,$S$3:$Y$9,4,FALSE)</f>
        <v>0</v>
      </c>
      <c r="W10" s="297">
        <f t="shared" ref="W10:W25" si="4">VLOOKUP($B10,$S$3:$Y$9,5,FALSE)</f>
        <v>0.118055555555556</v>
      </c>
      <c r="X10" s="297">
        <f t="shared" ref="X10:X25" si="5">VLOOKUP($B10,$S$3:$Y$9,6,FALSE)</f>
        <v>0.22569444444444445</v>
      </c>
      <c r="Y10" s="297">
        <f t="shared" ref="Y10:Y25" si="6">VLOOKUP($B10,$S$3:$Y$9,7,FALSE)</f>
        <v>0.2638888888888889</v>
      </c>
      <c r="Z10" s="297">
        <f t="shared" ref="Z10:Z25" si="7">VLOOKUP($B10,$S$3:$AA$9,8,FALSE)</f>
        <v>0</v>
      </c>
      <c r="AA10" s="296">
        <f t="shared" ref="AA10:AA25" si="8">VLOOKUP($B10,$S$3:$AA$9,9,FALSE)</f>
        <v>60</v>
      </c>
    </row>
    <row r="11" spans="2:30" ht="15.75" customHeight="1">
      <c r="B11" s="29" t="s">
        <v>6</v>
      </c>
      <c r="C11" s="366" t="str">
        <f>[23]Brewhouse!$A354</f>
        <v>CA250</v>
      </c>
      <c r="D11" s="279">
        <f>[23]Brewhouse!$AF354</f>
        <v>54.5</v>
      </c>
      <c r="E11" s="279">
        <f>[23]Brewhouse!$AI354</f>
        <v>51.2</v>
      </c>
      <c r="F11" s="278">
        <f>[23]Brewhouse!$V354</f>
        <v>60</v>
      </c>
      <c r="G11" s="279">
        <f>[23]Brewhouse!$AG354</f>
        <v>11.8</v>
      </c>
      <c r="H11" s="396">
        <v>11.8</v>
      </c>
      <c r="I11" s="368">
        <f>[23]Brewhouse!$AU354</f>
        <v>99.637549112347273</v>
      </c>
      <c r="J11" s="368">
        <f>[23]Brewhouse!$AV354</f>
        <v>100.87001537764506</v>
      </c>
      <c r="K11" s="281">
        <f>[23]Brewhouse!$Q354</f>
        <v>6.3423423423423362</v>
      </c>
      <c r="L11" s="276">
        <f>[23]Brewhouse!$P354</f>
        <v>61</v>
      </c>
      <c r="M11" s="397">
        <f>[23]Brewhouse!$U354-[23]Brewhouse!$T354</f>
        <v>0.11527777777777776</v>
      </c>
      <c r="N11" s="370">
        <f>[23]Brewhouse!$Z354</f>
        <v>0.25416666666666665</v>
      </c>
      <c r="O11" s="371" t="str">
        <f>[23]Brewhouse!$AX354</f>
        <v>R. Regis</v>
      </c>
      <c r="P11" s="419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[23]Brewhouse!$A355</f>
        <v>CA251</v>
      </c>
      <c r="D12" s="279">
        <f>[23]Brewhouse!$AF355</f>
        <v>53.6</v>
      </c>
      <c r="E12" s="279">
        <f>[23]Brewhouse!$AI355</f>
        <v>50.2</v>
      </c>
      <c r="F12" s="278">
        <f>[23]Brewhouse!$V355</f>
        <v>63</v>
      </c>
      <c r="G12" s="279">
        <f>[23]Brewhouse!$AG355</f>
        <v>11.9</v>
      </c>
      <c r="H12" s="396">
        <v>11.9</v>
      </c>
      <c r="I12" s="368">
        <f>[23]Brewhouse!$AU355</f>
        <v>98.440467924232209</v>
      </c>
      <c r="J12" s="368">
        <f>[23]Brewhouse!$AV355</f>
        <v>99.658193396958936</v>
      </c>
      <c r="K12" s="281">
        <f>[23]Brewhouse!$Q355</f>
        <v>5.9498207885304542</v>
      </c>
      <c r="L12" s="276">
        <f>[23]Brewhouse!$P355</f>
        <v>61</v>
      </c>
      <c r="M12" s="397">
        <f>[23]Brewhouse!$U355-[23]Brewhouse!$T355</f>
        <v>0.11250000000000004</v>
      </c>
      <c r="N12" s="370">
        <f>[23]Brewhouse!$Z355</f>
        <v>0.26597222222222228</v>
      </c>
      <c r="O12" s="371" t="str">
        <f>[23]Brewhouse!$AX355</f>
        <v>R. Regis</v>
      </c>
      <c r="P12" s="437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[23]Brewhouse!$A356</f>
        <v>CA252</v>
      </c>
      <c r="D13" s="279">
        <f>[23]Brewhouse!$AF356</f>
        <v>54.6</v>
      </c>
      <c r="E13" s="279">
        <f>[23]Brewhouse!$AI356</f>
        <v>51.4</v>
      </c>
      <c r="F13" s="278">
        <f>[23]Brewhouse!$V356</f>
        <v>64</v>
      </c>
      <c r="G13" s="279">
        <f>[23]Brewhouse!$AG356</f>
        <v>11.7</v>
      </c>
      <c r="H13" s="396">
        <v>11.7</v>
      </c>
      <c r="I13" s="368">
        <f>[23]Brewhouse!$AU356</f>
        <v>99.13510971387187</v>
      </c>
      <c r="J13" s="368">
        <f>[23]Brewhouse!$AV356</f>
        <v>100.36136105703947</v>
      </c>
      <c r="K13" s="281">
        <f>[23]Brewhouse!$Q356</f>
        <v>6.0638297872340337</v>
      </c>
      <c r="L13" s="276">
        <f>[23]Brewhouse!$P356</f>
        <v>61</v>
      </c>
      <c r="M13" s="397">
        <f>[23]Brewhouse!$U356-[23]Brewhouse!$T356</f>
        <v>7.3611111111111072E-2</v>
      </c>
      <c r="N13" s="370">
        <f>[23]Brewhouse!$Z356</f>
        <v>0.25</v>
      </c>
      <c r="O13" s="371" t="str">
        <f>[23]Brewhouse!$AX356</f>
        <v>R. Regis</v>
      </c>
      <c r="P13" s="437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37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3"/>
      <c r="C15" s="366"/>
      <c r="D15" s="279"/>
      <c r="E15" s="279"/>
      <c r="F15" s="278"/>
      <c r="G15" s="279"/>
      <c r="H15" s="396"/>
      <c r="I15" s="434"/>
      <c r="J15" s="434"/>
      <c r="K15" s="398"/>
      <c r="L15" s="276"/>
      <c r="M15" s="374"/>
      <c r="N15" s="370"/>
      <c r="O15" s="435"/>
      <c r="P15" s="437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customHeight="1">
      <c r="B16" s="33"/>
      <c r="C16" s="366"/>
      <c r="D16" s="279"/>
      <c r="E16" s="279"/>
      <c r="F16" s="278"/>
      <c r="G16" s="279"/>
      <c r="H16" s="396"/>
      <c r="I16" s="434"/>
      <c r="J16" s="434"/>
      <c r="K16" s="398"/>
      <c r="L16" s="276"/>
      <c r="M16" s="374"/>
      <c r="N16" s="370"/>
      <c r="O16" s="435"/>
      <c r="P16" s="437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1:27" ht="15.75" customHeight="1">
      <c r="B17" s="33"/>
      <c r="C17" s="366"/>
      <c r="D17" s="279"/>
      <c r="E17" s="279"/>
      <c r="F17" s="278"/>
      <c r="G17" s="279"/>
      <c r="H17" s="396"/>
      <c r="I17" s="434"/>
      <c r="J17" s="434"/>
      <c r="K17" s="398"/>
      <c r="L17" s="276"/>
      <c r="M17" s="374"/>
      <c r="N17" s="370"/>
      <c r="O17" s="435"/>
      <c r="P17" s="437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75" customHeight="1">
      <c r="B18" s="33" t="s">
        <v>9</v>
      </c>
      <c r="C18" s="366" t="str">
        <f>[24]Brewhouse!$A150</f>
        <v>ST133</v>
      </c>
      <c r="D18" s="279">
        <f>[24]Brewhouse!$AD150</f>
        <v>52.2</v>
      </c>
      <c r="E18" s="279">
        <f>[24]Brewhouse!$AG150</f>
        <v>48.1</v>
      </c>
      <c r="F18" s="278">
        <f>[24]Brewhouse!$V150</f>
        <v>61</v>
      </c>
      <c r="G18" s="279">
        <f>[24]Brewhouse!$AE150</f>
        <v>12</v>
      </c>
      <c r="H18" s="396">
        <v>12</v>
      </c>
      <c r="I18" s="434">
        <f>[24]Brewhouse!$AS150</f>
        <v>96.687242116034184</v>
      </c>
      <c r="J18" s="434">
        <f>[24]Brewhouse!$AT150</f>
        <v>97.676192112075483</v>
      </c>
      <c r="K18" s="398">
        <f>[24]Brewhouse!$Q150</f>
        <v>8.1818181818181817</v>
      </c>
      <c r="L18" s="276">
        <f>[24]Brewhouse!$P150</f>
        <v>57</v>
      </c>
      <c r="M18" s="374">
        <f>[24]Brewhouse!$U150-[24]Brewhouse!$T150</f>
        <v>0.10972222222222217</v>
      </c>
      <c r="N18" s="370">
        <f>[24]Brewhouse!$AW150</f>
        <v>0.25416666666666665</v>
      </c>
      <c r="O18" s="435" t="str">
        <f>[24]Brewhouse!$AV150</f>
        <v>G. Mason</v>
      </c>
      <c r="P18" s="437"/>
      <c r="Q18" s="347"/>
      <c r="S18" s="277" t="str">
        <f t="shared" si="0"/>
        <v>STAG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</row>
    <row r="19" spans="1:27" ht="15.75" customHeight="1">
      <c r="B19" s="33" t="s">
        <v>9</v>
      </c>
      <c r="C19" s="366" t="str">
        <f>[24]Brewhouse!$A151</f>
        <v>ST134</v>
      </c>
      <c r="D19" s="279">
        <f>[24]Brewhouse!$AD151</f>
        <v>53.1</v>
      </c>
      <c r="E19" s="279">
        <f>[24]Brewhouse!$AG151</f>
        <v>49.6</v>
      </c>
      <c r="F19" s="278">
        <f>[24]Brewhouse!$V151</f>
        <v>56</v>
      </c>
      <c r="G19" s="279">
        <f>[24]Brewhouse!$AE151</f>
        <v>12</v>
      </c>
      <c r="H19" s="396"/>
      <c r="I19" s="434">
        <f>[24]Brewhouse!$AS151</f>
        <v>99.203898650029743</v>
      </c>
      <c r="J19" s="434">
        <f>[24]Brewhouse!$AT151</f>
        <v>100.21991960991036</v>
      </c>
      <c r="K19" s="398">
        <f>[24]Brewhouse!$Q151</f>
        <v>6.0885608856088638</v>
      </c>
      <c r="L19" s="276">
        <f>[24]Brewhouse!$P151</f>
        <v>58</v>
      </c>
      <c r="M19" s="374">
        <f>[24]Brewhouse!$U151-[24]Brewhouse!$T151</f>
        <v>0.10555555555555551</v>
      </c>
      <c r="N19" s="370">
        <f>[24]Brewhouse!$AW151</f>
        <v>0.24236111111111103</v>
      </c>
      <c r="O19" s="435" t="str">
        <f>[24]Brewhouse!$AV151</f>
        <v>G. Mason</v>
      </c>
      <c r="P19" s="437"/>
      <c r="Q19" s="347"/>
      <c r="S19" s="277" t="str">
        <f t="shared" si="0"/>
        <v>STAG</v>
      </c>
      <c r="T19" s="296">
        <f t="shared" si="1"/>
        <v>11.6</v>
      </c>
      <c r="U19" s="296">
        <f t="shared" si="2"/>
        <v>12</v>
      </c>
      <c r="V19" s="297">
        <f t="shared" si="3"/>
        <v>0</v>
      </c>
      <c r="W19" s="297">
        <f t="shared" si="4"/>
        <v>0.118055555555556</v>
      </c>
      <c r="X19" s="297">
        <f t="shared" si="5"/>
        <v>0.22569444444444445</v>
      </c>
      <c r="Y19" s="297">
        <f t="shared" si="6"/>
        <v>0.2638888888888889</v>
      </c>
      <c r="Z19" s="297">
        <f t="shared" si="7"/>
        <v>0</v>
      </c>
      <c r="AA19" s="296">
        <f t="shared" si="8"/>
        <v>60</v>
      </c>
    </row>
    <row r="20" spans="1:27" ht="15.75" customHeight="1">
      <c r="B20" s="33" t="s">
        <v>9</v>
      </c>
      <c r="C20" s="366" t="str">
        <f>[24]Brewhouse!$A152</f>
        <v>ST135</v>
      </c>
      <c r="D20" s="279">
        <f>[24]Brewhouse!$AD152</f>
        <v>52.9</v>
      </c>
      <c r="E20" s="279">
        <f>[24]Brewhouse!$AG152</f>
        <v>49.7</v>
      </c>
      <c r="F20" s="278">
        <f>[24]Brewhouse!$V152</f>
        <v>57</v>
      </c>
      <c r="G20" s="279">
        <f>[24]Brewhouse!$AE152</f>
        <v>12</v>
      </c>
      <c r="H20" s="396">
        <v>11.9</v>
      </c>
      <c r="I20" s="434">
        <f>[24]Brewhouse!$AS152</f>
        <v>99.653052105402068</v>
      </c>
      <c r="J20" s="434">
        <f>[24]Brewhouse!$AT152</f>
        <v>100.67300696695037</v>
      </c>
      <c r="K20" s="398">
        <f>[24]Brewhouse!$Q152</f>
        <v>5.7195571955719577</v>
      </c>
      <c r="L20" s="276">
        <f>[24]Brewhouse!$P152</f>
        <v>58</v>
      </c>
      <c r="M20" s="374">
        <f>[24]Brewhouse!$U152-[24]Brewhouse!$T152</f>
        <v>0.10486111111111107</v>
      </c>
      <c r="N20" s="370">
        <f>[24]Brewhouse!$AW152</f>
        <v>0.23958333333333326</v>
      </c>
      <c r="O20" s="435" t="str">
        <f>[24]Brewhouse!$AV152</f>
        <v>K. Benjamin</v>
      </c>
      <c r="P20" s="437"/>
      <c r="Q20" s="347"/>
      <c r="S20" s="277" t="str">
        <f t="shared" si="0"/>
        <v>STAG</v>
      </c>
      <c r="T20" s="296">
        <f t="shared" si="1"/>
        <v>11.6</v>
      </c>
      <c r="U20" s="296">
        <f t="shared" si="2"/>
        <v>12</v>
      </c>
      <c r="V20" s="297">
        <f t="shared" si="3"/>
        <v>0</v>
      </c>
      <c r="W20" s="297">
        <f t="shared" si="4"/>
        <v>0.118055555555556</v>
      </c>
      <c r="X20" s="297">
        <f t="shared" si="5"/>
        <v>0.22569444444444445</v>
      </c>
      <c r="Y20" s="297">
        <f t="shared" si="6"/>
        <v>0.2638888888888889</v>
      </c>
      <c r="Z20" s="297">
        <f t="shared" si="7"/>
        <v>0</v>
      </c>
      <c r="AA20" s="296">
        <f t="shared" si="8"/>
        <v>60</v>
      </c>
    </row>
    <row r="21" spans="1:27" ht="15.75" customHeight="1">
      <c r="B21" s="33" t="s">
        <v>9</v>
      </c>
      <c r="C21" s="366" t="str">
        <f>[24]Brewhouse!$A153</f>
        <v>ST136</v>
      </c>
      <c r="D21" s="279">
        <f>[24]Brewhouse!$AD153</f>
        <v>53.5</v>
      </c>
      <c r="E21" s="279">
        <f>[24]Brewhouse!$AG153</f>
        <v>50.4</v>
      </c>
      <c r="F21" s="278">
        <f>[24]Brewhouse!$V153</f>
        <v>65</v>
      </c>
      <c r="G21" s="279">
        <f>[24]Brewhouse!$AE153</f>
        <v>11.9</v>
      </c>
      <c r="H21" s="396">
        <v>11.8</v>
      </c>
      <c r="I21" s="434">
        <f>[24]Brewhouse!$AS153</f>
        <v>100.04618853247267</v>
      </c>
      <c r="J21" s="434">
        <f>[24]Brewhouse!$AT153</f>
        <v>101.07050200668787</v>
      </c>
      <c r="K21" s="398">
        <f>[24]Brewhouse!$Q153</f>
        <v>6.8265682656826616</v>
      </c>
      <c r="L21" s="276">
        <f>[24]Brewhouse!$P153</f>
        <v>57</v>
      </c>
      <c r="M21" s="374">
        <f>[24]Brewhouse!$U153-[24]Brewhouse!$T153</f>
        <v>0.12152777777777768</v>
      </c>
      <c r="N21" s="370">
        <f>[24]Brewhouse!$AW153</f>
        <v>0.26180555555555551</v>
      </c>
      <c r="O21" s="435" t="str">
        <f>[24]Brewhouse!$AV153</f>
        <v>K. Benjamin</v>
      </c>
      <c r="P21" s="437"/>
      <c r="Q21" s="347"/>
      <c r="S21" s="277" t="str">
        <f t="shared" si="0"/>
        <v>STAG</v>
      </c>
      <c r="T21" s="296">
        <f t="shared" si="1"/>
        <v>11.6</v>
      </c>
      <c r="U21" s="296">
        <f t="shared" si="2"/>
        <v>12</v>
      </c>
      <c r="V21" s="297">
        <f t="shared" si="3"/>
        <v>0</v>
      </c>
      <c r="W21" s="297">
        <f t="shared" si="4"/>
        <v>0.118055555555556</v>
      </c>
      <c r="X21" s="297">
        <f t="shared" si="5"/>
        <v>0.22569444444444445</v>
      </c>
      <c r="Y21" s="297">
        <f t="shared" si="6"/>
        <v>0.2638888888888889</v>
      </c>
      <c r="Z21" s="297">
        <f t="shared" si="7"/>
        <v>0</v>
      </c>
      <c r="AA21" s="296">
        <f t="shared" si="8"/>
        <v>60</v>
      </c>
    </row>
    <row r="22" spans="1:27" ht="15.75" customHeight="1">
      <c r="B22" s="33"/>
      <c r="C22" s="366"/>
      <c r="D22" s="279"/>
      <c r="E22" s="279"/>
      <c r="F22" s="278"/>
      <c r="G22" s="279"/>
      <c r="H22" s="396"/>
      <c r="I22" s="434"/>
      <c r="J22" s="434"/>
      <c r="K22" s="398"/>
      <c r="L22" s="276"/>
      <c r="M22" s="374"/>
      <c r="N22" s="370"/>
      <c r="O22" s="435"/>
      <c r="P22" s="437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>
      <c r="B23" s="33"/>
      <c r="C23" s="366"/>
      <c r="D23" s="279"/>
      <c r="E23" s="279"/>
      <c r="F23" s="278"/>
      <c r="G23" s="279"/>
      <c r="H23" s="396"/>
      <c r="I23" s="434"/>
      <c r="J23" s="434"/>
      <c r="K23" s="398"/>
      <c r="L23" s="276"/>
      <c r="M23" s="374"/>
      <c r="N23" s="370"/>
      <c r="O23" s="435"/>
      <c r="P23" s="437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00" t="s">
        <v>34</v>
      </c>
      <c r="J24" s="500"/>
      <c r="K24" s="500"/>
      <c r="L24" s="500"/>
      <c r="M24" s="500"/>
      <c r="N24" s="500"/>
      <c r="O24" s="1"/>
      <c r="P24" s="12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thickBot="1">
      <c r="B25" s="388" t="s">
        <v>145</v>
      </c>
      <c r="C25" s="388"/>
      <c r="D25" s="513" t="s">
        <v>35</v>
      </c>
      <c r="E25" s="514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S25" s="277" t="str">
        <f t="shared" si="0"/>
        <v>BRAND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1:27" ht="15" customHeight="1">
      <c r="A26" s="28"/>
      <c r="B26" s="539" t="str">
        <f>I26</f>
        <v>CARIB</v>
      </c>
      <c r="C26" s="362">
        <f>[23]Process!D312</f>
        <v>11.8</v>
      </c>
      <c r="D26" s="504">
        <v>11.94</v>
      </c>
      <c r="E26" s="493"/>
      <c r="F26" s="294"/>
      <c r="G26" s="294"/>
      <c r="H26" s="348"/>
      <c r="I26" s="29" t="s">
        <v>6</v>
      </c>
      <c r="J26" s="280">
        <f>AVERAGE(I10:I13)</f>
        <v>99.10949521832076</v>
      </c>
      <c r="K26" s="284">
        <f>COUNTA([23]Brewhouse!$A$341:$A$348)</f>
        <v>8</v>
      </c>
      <c r="L26" s="302">
        <f>AVERAGE([23]Brewhouse!$AU$341:$AU$346,[23]Brewhouse!$AU$348)</f>
        <v>97.51967149198201</v>
      </c>
      <c r="M26" s="302">
        <f>AVERAGE([23]Brewhouse!$AU$102:$AU$171,[23]Brewhouse!$AU$173:$AU$253,[23]Brewhouse!$AU$255:$AU$339,[23]Brewhouse!$AU$341:$AU$346,[23]Brewhouse!$AU$348)</f>
        <v>96.80931345733066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5" customHeight="1">
      <c r="A27" s="28"/>
      <c r="B27" s="540"/>
      <c r="C27" s="349">
        <f>[23]Process!D313</f>
        <v>11.8</v>
      </c>
      <c r="D27" s="505"/>
      <c r="E27" s="488"/>
      <c r="F27" s="294"/>
      <c r="G27" s="294"/>
      <c r="H27" s="348"/>
      <c r="I27" s="33" t="s">
        <v>9</v>
      </c>
      <c r="J27" s="280">
        <f>AVERAGE(I18:I21)</f>
        <v>98.897595350984673</v>
      </c>
      <c r="K27" s="284">
        <f>COUNTA([24]Brewhouse!$A$142:$A$153)</f>
        <v>12</v>
      </c>
      <c r="L27" s="302">
        <f>AVERAGE([24]Brewhouse!$AS$142:$AS$149)</f>
        <v>98.511344547748777</v>
      </c>
      <c r="M27" s="302">
        <f>AVERAGE([24]Brewhouse!$AS$15:$AS$64,[24]Brewhouse!$AS$66:$AS$103,[24]Brewhouse!$AS$105:$AS$140,[24]Brewhouse!$AS$142:$AS$149)</f>
        <v>96.81500140255207</v>
      </c>
      <c r="N27" s="30">
        <v>98</v>
      </c>
      <c r="O27" s="11"/>
      <c r="P27" s="31"/>
      <c r="S27" s="277"/>
      <c r="T27" s="296"/>
      <c r="U27" s="296"/>
      <c r="V27" s="297"/>
      <c r="W27" s="297"/>
      <c r="X27" s="297"/>
      <c r="Y27" s="297"/>
      <c r="Z27" s="297"/>
      <c r="AA27" s="296"/>
    </row>
    <row r="28" spans="1:27" ht="14.7" customHeight="1">
      <c r="A28" s="28"/>
      <c r="B28" s="540"/>
      <c r="C28" s="349">
        <f>[23]Process!D314</f>
        <v>11.89</v>
      </c>
      <c r="D28" s="504">
        <v>12.03</v>
      </c>
      <c r="E28" s="493"/>
      <c r="F28" s="294"/>
      <c r="G28" s="294"/>
      <c r="H28" s="348"/>
      <c r="I28" s="34" t="s">
        <v>12</v>
      </c>
      <c r="J28" s="280"/>
      <c r="K28" s="284">
        <f>COUNTA([22]Brewhouse!$A$37)</f>
        <v>1</v>
      </c>
      <c r="L28" s="302">
        <f>AVERAGE([22]Brewhouse!$AU$37)</f>
        <v>96.214667872117261</v>
      </c>
      <c r="M28" s="302">
        <f>AVERAGE([22]Brewhouse!$AU$4:$AU$7,[22]Brewhouse!$AU$9:$AU$22,[22]Brewhouse!$AU$24:$AU$35,[22]Brewhouse!$AU$37)</f>
        <v>96.767265202814471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40"/>
      <c r="C29" s="349">
        <f>[23]Process!D315</f>
        <v>12</v>
      </c>
      <c r="D29" s="505"/>
      <c r="E29" s="488"/>
      <c r="F29" s="294"/>
      <c r="G29" s="294"/>
      <c r="H29" s="348"/>
      <c r="I29" s="22" t="s">
        <v>33</v>
      </c>
      <c r="J29" s="280"/>
      <c r="K29" s="284"/>
      <c r="L29" s="302"/>
      <c r="M29" s="302">
        <f>AVERAGE([25]Brewhouse!$AV$5:$AV$14,[25]Brewhouse!$AV$16:$AV$19,[25]Brewhouse!$AV$21:$AV$24)</f>
        <v>98.616016873478046</v>
      </c>
      <c r="N29" s="30">
        <v>98</v>
      </c>
      <c r="O29" s="11"/>
      <c r="P29" s="31"/>
      <c r="S29" s="23"/>
      <c r="T29" s="1"/>
      <c r="U29" s="1"/>
      <c r="AA29" s="285"/>
    </row>
    <row r="30" spans="1:27" ht="14.7" customHeight="1">
      <c r="A30" s="28"/>
      <c r="B30" s="540"/>
      <c r="C30" s="349"/>
      <c r="D30" s="504"/>
      <c r="E30" s="493"/>
      <c r="F30" s="436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S30" s="23"/>
    </row>
    <row r="31" spans="1:27" ht="14.7" customHeight="1">
      <c r="A31" s="28"/>
      <c r="B31" s="540"/>
      <c r="C31" s="349"/>
      <c r="D31" s="505"/>
      <c r="E31" s="488"/>
      <c r="F31" s="436"/>
      <c r="G31" s="294"/>
      <c r="H31" s="348"/>
      <c r="I31" s="36" t="s">
        <v>15</v>
      </c>
      <c r="J31" s="323"/>
      <c r="K31" s="284"/>
      <c r="L31" s="302"/>
      <c r="M31" s="302">
        <f>AVERAGE([26]Brewhouse!$AT$4:$AT$11)</f>
        <v>94.812616598822359</v>
      </c>
      <c r="N31" s="30">
        <v>98</v>
      </c>
      <c r="O31" s="11"/>
      <c r="P31" s="31"/>
      <c r="S31" s="23"/>
    </row>
    <row r="32" spans="1:27" ht="14.7" customHeight="1">
      <c r="A32" s="28"/>
      <c r="B32" s="540"/>
      <c r="C32" s="349"/>
      <c r="D32" s="504"/>
      <c r="E32" s="493"/>
      <c r="F32" s="436"/>
      <c r="G32" s="294"/>
      <c r="H32" s="348"/>
      <c r="I32" s="37" t="s">
        <v>16</v>
      </c>
      <c r="J32" s="323"/>
      <c r="K32" s="284">
        <f>COUNTA([27]Brewhouse!$A$31:$A$34)</f>
        <v>4</v>
      </c>
      <c r="L32" s="302">
        <f>AVERAGE([27]Brewhouse!$AY$31:$AY$34)</f>
        <v>98.653228650224236</v>
      </c>
      <c r="M32" s="302">
        <f>AVERAGE([27]Brewhouse!$AY$6:$AY$13,[27]Brewhouse!$AY$15:$AY$20,[27]Brewhouse!$AY$22:$AY$29,[27]Brewhouse!$AY$31:$AY$34)</f>
        <v>96.120888038911147</v>
      </c>
      <c r="N32" s="30">
        <v>98</v>
      </c>
      <c r="O32" s="11"/>
      <c r="P32" s="31" t="s">
        <v>41</v>
      </c>
      <c r="S32" s="23"/>
      <c r="X32" s="275" t="s">
        <v>41</v>
      </c>
    </row>
    <row r="33" spans="1:57" ht="14.7" customHeight="1">
      <c r="A33" s="28"/>
      <c r="B33" s="540"/>
      <c r="C33" s="349"/>
      <c r="D33" s="505"/>
      <c r="E33" s="488"/>
      <c r="F33" s="294"/>
      <c r="G33" s="294"/>
      <c r="H33" s="348"/>
      <c r="I33" s="412" t="s">
        <v>158</v>
      </c>
      <c r="J33" s="326"/>
      <c r="K33" s="284"/>
      <c r="L33" s="305"/>
      <c r="M33" s="305">
        <f>AVERAGE([28]Brewhouse!$AU$5:$AU$8)</f>
        <v>91.006888337619571</v>
      </c>
      <c r="N33" s="30">
        <v>98</v>
      </c>
      <c r="O33" s="11"/>
      <c r="P33" s="31"/>
      <c r="S33" s="23"/>
    </row>
    <row r="34" spans="1:57" ht="14.7" customHeight="1">
      <c r="A34" s="28"/>
      <c r="B34" s="540"/>
      <c r="C34" s="349"/>
      <c r="D34" s="504"/>
      <c r="E34" s="493"/>
      <c r="F34" s="294"/>
      <c r="G34" s="294"/>
      <c r="H34" s="348"/>
      <c r="I34" s="411" t="s">
        <v>157</v>
      </c>
      <c r="J34" s="326"/>
      <c r="K34" s="284"/>
      <c r="L34" s="305"/>
      <c r="M34" s="305"/>
      <c r="N34" s="30">
        <v>98</v>
      </c>
      <c r="O34" s="11"/>
      <c r="P34" s="31"/>
      <c r="S34" s="23"/>
    </row>
    <row r="35" spans="1:57" ht="15" customHeight="1" thickBot="1">
      <c r="A35" s="28"/>
      <c r="B35" s="540"/>
      <c r="C35" s="349"/>
      <c r="D35" s="505"/>
      <c r="E35" s="488"/>
      <c r="F35" s="294"/>
      <c r="G35" s="294"/>
      <c r="H35" s="348"/>
      <c r="I35" s="407" t="s">
        <v>156</v>
      </c>
      <c r="J35" s="327"/>
      <c r="K35" s="408"/>
      <c r="L35" s="409"/>
      <c r="M35" s="409"/>
      <c r="N35" s="410">
        <v>98</v>
      </c>
      <c r="O35" s="11"/>
      <c r="P35" s="31"/>
      <c r="S35" s="23"/>
    </row>
    <row r="36" spans="1:57" ht="15" customHeight="1" thickBot="1">
      <c r="A36" s="28"/>
      <c r="B36" s="540"/>
      <c r="C36" s="349"/>
      <c r="D36" s="504"/>
      <c r="E36" s="493"/>
      <c r="F36" s="294"/>
      <c r="G36" s="294"/>
      <c r="H36" s="348"/>
      <c r="I36" s="1"/>
      <c r="J36" s="39"/>
      <c r="K36" s="405">
        <f>SUM(K26:K35)</f>
        <v>25</v>
      </c>
      <c r="L36" s="406">
        <f>((L26*K26)+(L27*K27)+(L28*K28)+(L29*K29)+(L30*K30)+(K33*L33)+(L31*K31)+(L32*K32)+(L35*K35))/(K36)</f>
        <v>98.124843559274225</v>
      </c>
      <c r="M36" s="406">
        <f>AVERAGE('[29]Jan 31st'!$L$65,'[30]Feb 28th'!$L$35,'[31]Mar. 31st'!$L$35,L36)</f>
        <v>97.072515007626876</v>
      </c>
      <c r="N36" s="40">
        <v>98</v>
      </c>
      <c r="O36" s="11"/>
      <c r="P36" s="31"/>
      <c r="S36" s="23"/>
    </row>
    <row r="37" spans="1:57" ht="15" thickBot="1">
      <c r="B37" s="553"/>
      <c r="C37" s="350"/>
      <c r="D37" s="505"/>
      <c r="E37" s="488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S37" s="23"/>
    </row>
    <row r="38" spans="1:57" ht="15" thickBot="1">
      <c r="B38" s="550" t="str">
        <f>I32</f>
        <v>STARMALT</v>
      </c>
      <c r="C38" s="362">
        <f>[27]Process!D30</f>
        <v>17.5</v>
      </c>
      <c r="D38" s="485">
        <v>16.899999999999999</v>
      </c>
      <c r="E38" s="486"/>
      <c r="F38" s="43"/>
      <c r="G38" s="41"/>
      <c r="H38" s="41"/>
      <c r="I38" s="42"/>
      <c r="J38" s="538" t="s">
        <v>129</v>
      </c>
      <c r="K38" s="538"/>
      <c r="L38" s="294"/>
      <c r="M38" s="294"/>
      <c r="N38" s="294"/>
      <c r="O38" s="294"/>
      <c r="P38" s="12"/>
      <c r="S38" s="23" t="s">
        <v>41</v>
      </c>
    </row>
    <row r="39" spans="1:57" ht="13.5" customHeight="1" thickBot="1">
      <c r="B39" s="551"/>
      <c r="C39" s="349">
        <f>[27]Process!D31</f>
        <v>17.399999999999999</v>
      </c>
      <c r="D39" s="487"/>
      <c r="E39" s="488"/>
      <c r="F39" s="43"/>
      <c r="G39" s="41"/>
      <c r="H39" s="41"/>
      <c r="I39" s="42"/>
      <c r="J39" s="292" t="s">
        <v>17</v>
      </c>
      <c r="K39" s="293" t="s">
        <v>147</v>
      </c>
      <c r="L39" s="490" t="s">
        <v>136</v>
      </c>
      <c r="M39" s="490"/>
      <c r="N39" s="491"/>
      <c r="O39" s="294"/>
      <c r="P39" s="12"/>
      <c r="S39" s="23"/>
    </row>
    <row r="40" spans="1:57" ht="15" customHeight="1" thickBot="1">
      <c r="B40" s="551"/>
      <c r="C40" s="349">
        <f>[27]Process!D32</f>
        <v>17.5</v>
      </c>
      <c r="D40" s="492">
        <v>16.940000000000001</v>
      </c>
      <c r="E40" s="493"/>
      <c r="F40" s="43"/>
      <c r="G40" s="41"/>
      <c r="H40" s="41"/>
      <c r="I40" s="42"/>
      <c r="J40" s="287" t="s">
        <v>6</v>
      </c>
      <c r="K40" s="324">
        <v>4</v>
      </c>
      <c r="L40" s="343" t="s">
        <v>37</v>
      </c>
      <c r="M40" s="307" t="s">
        <v>38</v>
      </c>
      <c r="N40" s="307" t="s">
        <v>84</v>
      </c>
      <c r="O40" s="294"/>
      <c r="P40" s="12"/>
      <c r="S40" s="23"/>
    </row>
    <row r="41" spans="1:57" ht="15.75" customHeight="1" thickBot="1">
      <c r="B41" s="551"/>
      <c r="C41" s="349">
        <f>[27]Process!D33</f>
        <v>17.5</v>
      </c>
      <c r="D41" s="487"/>
      <c r="E41" s="488"/>
      <c r="F41" s="43"/>
      <c r="G41" s="41"/>
      <c r="H41" s="41"/>
      <c r="I41" s="42"/>
      <c r="J41" s="345" t="s">
        <v>9</v>
      </c>
      <c r="K41" s="324">
        <v>4</v>
      </c>
      <c r="L41" s="344">
        <f>AVERAGE('Apr. 1st'!K49,'Apr. 9th   '!K50,'Apr. 3rd'!K49,'Apr. 4th'!K49,'Apr. 7th '!K50,'Apr. 8th  '!K60)</f>
        <v>5.5</v>
      </c>
      <c r="M41" s="325">
        <f>AVERAGE('[29]Jan 29th '!$M$70,'[30]Feb 28th'!$L$40,'[31]Mar. 31st'!$L$40,L41)</f>
        <v>6.328834209268992</v>
      </c>
      <c r="N41" s="433">
        <v>9.1999999999999993</v>
      </c>
      <c r="O41" s="294"/>
      <c r="P41" s="12"/>
      <c r="S41" s="23"/>
    </row>
    <row r="42" spans="1:57" ht="15" customHeight="1">
      <c r="B42" s="551"/>
      <c r="C42" s="349"/>
      <c r="D42" s="492"/>
      <c r="E42" s="493"/>
      <c r="F42" s="43"/>
      <c r="G42" s="41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  <c r="S42" s="23"/>
    </row>
    <row r="43" spans="1:57" ht="15" customHeight="1">
      <c r="B43" s="551"/>
      <c r="C43" s="349"/>
      <c r="D43" s="487"/>
      <c r="E43" s="488"/>
      <c r="F43" s="43"/>
      <c r="G43" s="41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  <c r="S43" s="23"/>
    </row>
    <row r="44" spans="1:57" ht="14.4">
      <c r="B44" s="551"/>
      <c r="C44" s="349"/>
      <c r="D44" s="492"/>
      <c r="E44" s="493"/>
      <c r="F44" s="43"/>
      <c r="G44" s="41"/>
      <c r="H44" s="41"/>
      <c r="I44" s="42"/>
      <c r="J44" s="290" t="s">
        <v>16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51"/>
      <c r="C45" s="349"/>
      <c r="D45" s="487"/>
      <c r="E45" s="488"/>
      <c r="F45" s="43"/>
      <c r="G45" s="41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4.4">
      <c r="B46" s="551"/>
      <c r="C46" s="349"/>
      <c r="D46" s="494"/>
      <c r="E46" s="495"/>
      <c r="F46" s="43"/>
      <c r="G46" s="41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5" thickBot="1">
      <c r="B47" s="552"/>
      <c r="C47" s="350"/>
      <c r="D47" s="496"/>
      <c r="E47" s="497"/>
      <c r="F47" s="43"/>
      <c r="G47" s="41"/>
      <c r="H47" s="41"/>
      <c r="I47" s="42"/>
      <c r="J47" s="291" t="s">
        <v>148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 thickBot="1">
      <c r="B48" s="312" t="s">
        <v>139</v>
      </c>
      <c r="C48" s="313"/>
      <c r="D48" s="476">
        <f>AVERAGE(D26:E47)</f>
        <v>14.452500000000001</v>
      </c>
      <c r="E48" s="477"/>
      <c r="F48" s="43"/>
      <c r="G48" s="41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7.7" customHeight="1">
      <c r="B49" s="363"/>
      <c r="C49" s="364"/>
      <c r="D49" s="365"/>
      <c r="E49" s="365"/>
      <c r="F49" s="43"/>
      <c r="G49" s="41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S49" s="23"/>
      <c r="BD49" s="44"/>
      <c r="BE49" s="44"/>
    </row>
    <row r="50" spans="2:58" ht="15.75" customHeight="1">
      <c r="B50" s="45"/>
      <c r="C50" s="11"/>
      <c r="D50" s="11"/>
      <c r="E50" s="46"/>
      <c r="F50" s="23"/>
      <c r="G50" s="11"/>
      <c r="H50" s="41"/>
      <c r="I50" s="42"/>
      <c r="J50" s="346" t="s">
        <v>130</v>
      </c>
      <c r="K50" s="324">
        <f>SUM(K40:K49)</f>
        <v>8</v>
      </c>
      <c r="L50" s="294"/>
      <c r="M50" s="294"/>
      <c r="N50" s="294"/>
      <c r="O50" s="294"/>
      <c r="P50" s="12"/>
    </row>
    <row r="51" spans="2:58" ht="20.25" customHeight="1">
      <c r="B51" s="15" t="s">
        <v>42</v>
      </c>
      <c r="C51" s="1" t="s">
        <v>43</v>
      </c>
      <c r="D51" s="1"/>
      <c r="E51" s="1"/>
      <c r="I51" s="42"/>
      <c r="L51" s="294"/>
      <c r="P51" s="334"/>
    </row>
    <row r="52" spans="2:58" ht="15" customHeight="1" thickBot="1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8"/>
      <c r="O52" s="48"/>
      <c r="P52" s="49"/>
      <c r="X52" s="275" t="s">
        <v>41</v>
      </c>
    </row>
    <row r="53" spans="2:58" ht="15" customHeight="1" thickBot="1">
      <c r="B53" s="466" t="s">
        <v>17</v>
      </c>
      <c r="C53" s="466" t="s">
        <v>44</v>
      </c>
      <c r="D53" s="478" t="s">
        <v>45</v>
      </c>
      <c r="E53" s="480" t="s">
        <v>46</v>
      </c>
      <c r="F53" s="474" t="s">
        <v>47</v>
      </c>
      <c r="G53" s="464" t="s">
        <v>48</v>
      </c>
      <c r="H53" s="466" t="s">
        <v>49</v>
      </c>
      <c r="I53" s="466" t="s">
        <v>50</v>
      </c>
      <c r="J53" s="458" t="s">
        <v>28</v>
      </c>
      <c r="K53" s="470" t="s">
        <v>51</v>
      </c>
      <c r="L53" s="472" t="s">
        <v>52</v>
      </c>
      <c r="M53" s="458" t="s">
        <v>53</v>
      </c>
      <c r="N53" s="13"/>
      <c r="O53" s="13"/>
      <c r="P53" s="50"/>
    </row>
    <row r="54" spans="2:58" ht="28.5" customHeight="1" thickTop="1" thickBot="1">
      <c r="B54" s="467"/>
      <c r="C54" s="467"/>
      <c r="D54" s="479"/>
      <c r="E54" s="481"/>
      <c r="F54" s="475"/>
      <c r="G54" s="465"/>
      <c r="H54" s="467"/>
      <c r="I54" s="467"/>
      <c r="J54" s="459"/>
      <c r="K54" s="471"/>
      <c r="L54" s="473"/>
      <c r="M54" s="459"/>
      <c r="N54" s="13"/>
      <c r="O54" s="13"/>
      <c r="P54" s="50"/>
      <c r="Q54" s="355"/>
      <c r="R54" s="355"/>
      <c r="S54" s="355"/>
      <c r="T54" s="355"/>
      <c r="U54" s="51">
        <v>43466</v>
      </c>
      <c r="V54" s="51">
        <v>43467</v>
      </c>
      <c r="W54" s="51">
        <v>43468</v>
      </c>
      <c r="X54" s="51">
        <v>43469</v>
      </c>
      <c r="Y54" s="51">
        <v>43470</v>
      </c>
      <c r="Z54" s="51">
        <v>43471</v>
      </c>
      <c r="AA54" s="51">
        <v>43472</v>
      </c>
      <c r="AB54" s="51">
        <v>43473</v>
      </c>
      <c r="AC54" s="51">
        <v>43474</v>
      </c>
      <c r="AD54" s="51">
        <v>43475</v>
      </c>
      <c r="AE54" s="51">
        <v>43476</v>
      </c>
      <c r="AF54" s="51">
        <v>43477</v>
      </c>
      <c r="AG54" s="51">
        <v>43478</v>
      </c>
      <c r="AH54" s="51">
        <v>43479</v>
      </c>
      <c r="AI54" s="51">
        <v>43480</v>
      </c>
      <c r="AJ54" s="51">
        <v>43481</v>
      </c>
      <c r="AK54" s="51">
        <v>43482</v>
      </c>
      <c r="AL54" s="51">
        <v>43483</v>
      </c>
      <c r="AM54" s="51">
        <v>43484</v>
      </c>
      <c r="AN54" s="51">
        <v>43485</v>
      </c>
      <c r="AO54" s="51">
        <v>43486</v>
      </c>
      <c r="AP54" s="51">
        <v>43487</v>
      </c>
      <c r="AQ54" s="51">
        <v>43488</v>
      </c>
      <c r="AR54" s="51">
        <v>43489</v>
      </c>
      <c r="AS54" s="51">
        <v>43490</v>
      </c>
      <c r="AT54" s="51">
        <v>43491</v>
      </c>
      <c r="AU54" s="51">
        <v>43492</v>
      </c>
      <c r="AV54" s="51">
        <v>43493</v>
      </c>
      <c r="AW54" s="51">
        <v>43494</v>
      </c>
      <c r="AX54" s="51">
        <v>43495</v>
      </c>
      <c r="AY54" s="51">
        <v>43496</v>
      </c>
    </row>
    <row r="55" spans="2:58" s="54" customFormat="1" ht="59.25" customHeight="1">
      <c r="B55" s="415" t="str">
        <f>B63</f>
        <v>CARIB</v>
      </c>
      <c r="C55" s="283">
        <v>45756</v>
      </c>
      <c r="D55" s="377">
        <f>[32]April_2025!$L$3</f>
        <v>208</v>
      </c>
      <c r="E55" s="378"/>
      <c r="F55" s="379"/>
      <c r="G55" s="303">
        <f>[32]April_2025!$L$7</f>
        <v>197.89999999999998</v>
      </c>
      <c r="H55" s="320"/>
      <c r="I55" s="322"/>
      <c r="J55" s="360" t="s">
        <v>179</v>
      </c>
      <c r="K55" s="416">
        <f>[33]April_2025!$L$18</f>
        <v>0.69438596491228066</v>
      </c>
      <c r="L55" s="281">
        <f>(((D55+E55)-G55)/(D55+E55))*100</f>
        <v>4.8557692307692424</v>
      </c>
      <c r="M55" s="423" t="s">
        <v>177</v>
      </c>
      <c r="N55" s="13"/>
      <c r="O55" s="13"/>
      <c r="P55" s="50"/>
      <c r="T55" s="272" t="s">
        <v>54</v>
      </c>
      <c r="U55" s="279"/>
      <c r="V55" s="279"/>
      <c r="W55" s="279"/>
      <c r="X55" s="279"/>
      <c r="Y55" s="279"/>
      <c r="Z55" s="279"/>
      <c r="AA55" s="279"/>
      <c r="AB55" s="279"/>
      <c r="AC55" s="279"/>
      <c r="AD55" s="279"/>
      <c r="AE55" s="279"/>
      <c r="AF55" s="279"/>
      <c r="AG55" s="279"/>
      <c r="AH55" s="279"/>
      <c r="AI55" s="279"/>
      <c r="AJ55" s="279"/>
      <c r="AK55" s="279"/>
      <c r="AL55" s="279"/>
      <c r="AM55" s="279"/>
      <c r="AN55" s="279"/>
      <c r="AO55" s="279"/>
      <c r="AP55" s="279"/>
      <c r="AQ55" s="279"/>
      <c r="AR55" s="279"/>
      <c r="AS55" s="279"/>
      <c r="AT55" s="279"/>
      <c r="AU55" s="279"/>
      <c r="AV55" s="279"/>
      <c r="AW55" s="279"/>
      <c r="AX55" s="279"/>
    </row>
    <row r="56" spans="2:58" s="54" customFormat="1" ht="14.4" thickBot="1">
      <c r="B56" s="415"/>
      <c r="C56" s="283"/>
      <c r="D56" s="377"/>
      <c r="E56" s="378"/>
      <c r="F56" s="379"/>
      <c r="G56" s="303"/>
      <c r="H56" s="320"/>
      <c r="I56" s="322"/>
      <c r="J56" s="398"/>
      <c r="K56" s="286"/>
      <c r="L56" s="314"/>
      <c r="M56" s="423"/>
      <c r="N56" s="13"/>
      <c r="O56" s="13"/>
      <c r="P56" s="50"/>
      <c r="T56" s="272"/>
      <c r="U56" s="420"/>
      <c r="V56" s="420"/>
      <c r="W56" s="420"/>
      <c r="X56" s="420"/>
      <c r="Y56" s="420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  <c r="AK56" s="420"/>
      <c r="AL56" s="420"/>
      <c r="AM56" s="420"/>
      <c r="AN56" s="420"/>
      <c r="AO56" s="420"/>
      <c r="AP56" s="420"/>
      <c r="AQ56" s="420"/>
      <c r="AR56" s="420"/>
      <c r="AS56" s="420"/>
      <c r="AT56" s="420"/>
      <c r="AU56" s="420"/>
      <c r="AV56" s="420"/>
      <c r="AW56" s="420"/>
      <c r="AX56" s="420"/>
    </row>
    <row r="57" spans="2:58" s="54" customFormat="1" ht="59.25" customHeight="1">
      <c r="B57" s="441" t="str">
        <f>J44</f>
        <v>STARMALT</v>
      </c>
      <c r="C57" s="283">
        <v>45756</v>
      </c>
      <c r="D57" s="377">
        <f>[32]April_2025!$L$55</f>
        <v>205.29999999999998</v>
      </c>
      <c r="E57" s="378"/>
      <c r="F57" s="379"/>
      <c r="G57" s="303">
        <f>[32]April_2025!$L$59</f>
        <v>204.5</v>
      </c>
      <c r="H57" s="320"/>
      <c r="I57" s="322"/>
      <c r="J57" s="360" t="s">
        <v>178</v>
      </c>
      <c r="K57" s="286">
        <f>[33]April_2025!$L$53</f>
        <v>0.71754385964912282</v>
      </c>
      <c r="L57" s="391">
        <f>(((D57+E57)-G57)/(D57+E57))*100</f>
        <v>0.38967364831952411</v>
      </c>
      <c r="M57" s="423" t="s">
        <v>174</v>
      </c>
      <c r="N57" s="13"/>
      <c r="O57" s="13"/>
      <c r="P57" s="50"/>
      <c r="T57" s="272"/>
      <c r="U57" s="420"/>
      <c r="V57" s="420"/>
      <c r="W57" s="420"/>
      <c r="X57" s="420"/>
      <c r="Y57" s="420"/>
      <c r="Z57" s="420"/>
      <c r="AA57" s="420"/>
      <c r="AB57" s="420"/>
      <c r="AC57" s="420"/>
      <c r="AD57" s="420"/>
      <c r="AE57" s="420"/>
      <c r="AF57" s="420"/>
      <c r="AG57" s="420"/>
      <c r="AH57" s="420"/>
      <c r="AI57" s="420"/>
      <c r="AJ57" s="420"/>
      <c r="AK57" s="420"/>
      <c r="AL57" s="420"/>
      <c r="AM57" s="420"/>
      <c r="AN57" s="420"/>
      <c r="AO57" s="420"/>
      <c r="AP57" s="420"/>
      <c r="AQ57" s="420"/>
      <c r="AR57" s="420"/>
      <c r="AS57" s="420"/>
      <c r="AT57" s="420"/>
      <c r="AU57" s="420"/>
      <c r="AV57" s="420"/>
      <c r="AW57" s="420"/>
      <c r="AX57" s="420"/>
    </row>
    <row r="58" spans="2:58" s="54" customFormat="1">
      <c r="B58" s="387"/>
      <c r="C58" s="283"/>
      <c r="D58" s="279"/>
      <c r="E58" s="279"/>
      <c r="F58" s="279"/>
      <c r="G58" s="279"/>
      <c r="H58" s="320"/>
      <c r="I58" s="322"/>
      <c r="J58" s="281"/>
      <c r="K58" s="417"/>
      <c r="L58" s="314"/>
      <c r="M58" s="425"/>
      <c r="N58" s="13"/>
      <c r="O58" s="13"/>
      <c r="P58" s="50"/>
      <c r="T58" s="272" t="s">
        <v>51</v>
      </c>
      <c r="U58" s="57" t="e">
        <f>[20]January_2019!D8</f>
        <v>#DIV/0!</v>
      </c>
      <c r="V58" s="57">
        <f>[20]January_2019!E8</f>
        <v>1.0319298245614037</v>
      </c>
      <c r="W58" s="57">
        <f>[20]January_2019!F8</f>
        <v>1.7789473684210526</v>
      </c>
      <c r="X58" s="57">
        <f>[20]January_2019!G8</f>
        <v>0.51929824561403504</v>
      </c>
      <c r="Y58" s="57" t="e">
        <f>[20]January_2019!H8</f>
        <v>#DIV/0!</v>
      </c>
      <c r="Z58" s="57" t="e">
        <f>[20]January_2019!I8</f>
        <v>#DIV/0!</v>
      </c>
      <c r="AA58" s="57">
        <f>[20]January_2019!J8</f>
        <v>1.365263157894737</v>
      </c>
      <c r="AB58" s="57" t="e">
        <f>[20]January_2019!K8</f>
        <v>#DIV/0!</v>
      </c>
      <c r="AC58" s="57">
        <f>[20]January_2019!L8</f>
        <v>1.0028070175438597</v>
      </c>
      <c r="AD58" s="57">
        <f>[20]January_2019!M8</f>
        <v>1.7828070175438597</v>
      </c>
      <c r="AE58" s="57" t="e">
        <f>[20]January_2019!N8</f>
        <v>#DIV/0!</v>
      </c>
      <c r="AF58" s="57" t="e">
        <f>[20]January_2019!O8</f>
        <v>#DIV/0!</v>
      </c>
      <c r="AG58" s="57">
        <f>[20]January_2019!P8</f>
        <v>0.19222222222222221</v>
      </c>
      <c r="AH58" s="57">
        <f>[20]January_2019!Q8</f>
        <v>0.52219298245614032</v>
      </c>
      <c r="AI58" s="57">
        <f>[20]January_2019!R8</f>
        <v>0.42912280701754385</v>
      </c>
      <c r="AJ58" s="57" t="e">
        <f>[20]January_2019!S8</f>
        <v>#DIV/0!</v>
      </c>
      <c r="AK58" s="57">
        <f>[20]January_2019!T8</f>
        <v>1.0340350877192983</v>
      </c>
      <c r="AL58" s="57">
        <f>[20]January_2019!U8</f>
        <v>0.98421052631578942</v>
      </c>
      <c r="AM58" s="57" t="e">
        <f>[20]January_2019!V8</f>
        <v>#DIV/0!</v>
      </c>
      <c r="AN58" s="57" t="e">
        <f>[20]January_2019!W8</f>
        <v>#DIV/0!</v>
      </c>
      <c r="AO58" s="57">
        <f>[20]January_2019!X8</f>
        <v>0.66052631578947374</v>
      </c>
      <c r="AP58" s="57">
        <f>[20]January_2019!Y8</f>
        <v>1.0375438596491227</v>
      </c>
      <c r="AQ58" s="57">
        <f>[20]January_2019!Z8</f>
        <v>0.90456140350877201</v>
      </c>
      <c r="AR58" s="57">
        <f>[20]January_2019!AA8</f>
        <v>1.0217543859649123</v>
      </c>
      <c r="AS58" s="57">
        <f>[20]January_2019!AB8</f>
        <v>0.65614035087719302</v>
      </c>
      <c r="AT58" s="57" t="e">
        <f>[20]January_2019!AC8</f>
        <v>#DIV/0!</v>
      </c>
      <c r="AU58" s="57" t="e">
        <f>[20]January_2019!AD8</f>
        <v>#DIV/0!</v>
      </c>
      <c r="AV58" s="57">
        <f>[20]January_2019!AE8</f>
        <v>1.7021052631578948</v>
      </c>
      <c r="AW58" s="57">
        <f>[20]January_2019!AF8</f>
        <v>0.60192982456140354</v>
      </c>
      <c r="AX58" s="57">
        <f>[20]January_2019!AG8</f>
        <v>1.4870175438596491</v>
      </c>
      <c r="AY58" s="277" t="e">
        <f>[20]January_2019!AH8</f>
        <v>#DIV/0!</v>
      </c>
      <c r="AZ58" s="277"/>
      <c r="BA58" s="277"/>
      <c r="BB58" s="277"/>
      <c r="BC58" s="277"/>
      <c r="BD58" s="277"/>
      <c r="BE58" s="277"/>
      <c r="BF58" s="277"/>
    </row>
    <row r="59" spans="2:58" ht="58.5" hidden="1" customHeight="1" thickBot="1">
      <c r="B59" s="426"/>
      <c r="C59" s="427"/>
      <c r="D59" s="428"/>
      <c r="E59" s="428"/>
      <c r="F59" s="428"/>
      <c r="G59" s="428"/>
      <c r="H59" s="429"/>
      <c r="I59" s="430"/>
      <c r="J59" s="390"/>
      <c r="K59" s="431"/>
      <c r="L59" s="432"/>
      <c r="M59" s="424"/>
      <c r="N59" s="13"/>
      <c r="O59" s="13"/>
      <c r="P59" s="56"/>
    </row>
    <row r="60" spans="2:58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6"/>
      <c r="P60" s="60"/>
    </row>
    <row r="61" spans="2:58" ht="14.4" thickBot="1">
      <c r="B61" s="460" t="s">
        <v>55</v>
      </c>
      <c r="C61" s="461"/>
      <c r="D61" s="461"/>
      <c r="E61" s="461"/>
      <c r="F61" s="462"/>
      <c r="G61" s="460" t="s">
        <v>56</v>
      </c>
      <c r="H61" s="461"/>
      <c r="I61" s="461"/>
      <c r="J61" s="462"/>
      <c r="K61" s="460" t="s">
        <v>51</v>
      </c>
      <c r="L61" s="461"/>
      <c r="M61" s="461"/>
      <c r="N61" s="463"/>
      <c r="O61" s="56"/>
      <c r="P61" s="50"/>
    </row>
    <row r="62" spans="2:58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8">
      <c r="B63" s="29" t="s">
        <v>6</v>
      </c>
      <c r="C63" s="65">
        <f>L55</f>
        <v>4.8557692307692424</v>
      </c>
      <c r="D63" s="76">
        <v>7.5171319009387672</v>
      </c>
      <c r="E63" s="76">
        <v>7.0885200168628666</v>
      </c>
      <c r="F63" s="66">
        <v>4.8</v>
      </c>
      <c r="G63" s="65">
        <f>[32]April_2025!$L$11</f>
        <v>3.7824257732597864</v>
      </c>
      <c r="H63" s="76">
        <v>6.8820267450350876</v>
      </c>
      <c r="I63" s="76">
        <v>7.6296668446429754</v>
      </c>
      <c r="J63" s="66">
        <v>4.8</v>
      </c>
      <c r="K63" s="67">
        <f>K55</f>
        <v>0.69438596491228066</v>
      </c>
      <c r="L63" s="194">
        <v>0.66596491228070187</v>
      </c>
      <c r="M63" s="194">
        <v>0.76460102259565865</v>
      </c>
      <c r="N63" s="68">
        <v>1</v>
      </c>
      <c r="O63" s="56"/>
      <c r="P63" s="69"/>
    </row>
    <row r="64" spans="2:58">
      <c r="B64" s="33" t="s">
        <v>9</v>
      </c>
      <c r="C64" s="65"/>
      <c r="D64" s="76">
        <v>3.0399999999999916</v>
      </c>
      <c r="E64" s="76">
        <v>6.1450503324783652</v>
      </c>
      <c r="F64" s="66">
        <v>4.8</v>
      </c>
      <c r="G64" s="65"/>
      <c r="H64" s="76">
        <v>3.3848422062629528</v>
      </c>
      <c r="I64" s="76">
        <v>7.1307630784690605</v>
      </c>
      <c r="J64" s="66">
        <v>4.8</v>
      </c>
      <c r="K64" s="67"/>
      <c r="L64" s="194">
        <v>1.0315789473684212</v>
      </c>
      <c r="M64" s="194">
        <v>0.74532724485267055</v>
      </c>
      <c r="N64" s="68">
        <v>1</v>
      </c>
      <c r="P64" s="69"/>
    </row>
    <row r="65" spans="2:16">
      <c r="B65" s="34" t="s">
        <v>40</v>
      </c>
      <c r="C65" s="65"/>
      <c r="D65" s="76">
        <v>10.826844642195047</v>
      </c>
      <c r="E65" s="76">
        <v>13.125604223990466</v>
      </c>
      <c r="F65" s="66">
        <v>5.5</v>
      </c>
      <c r="G65" s="65"/>
      <c r="H65" s="76">
        <v>10.823247958374074</v>
      </c>
      <c r="I65" s="76">
        <v>13.879185403587476</v>
      </c>
      <c r="J65" s="66">
        <v>5.5</v>
      </c>
      <c r="K65" s="67"/>
      <c r="L65" s="194">
        <v>0.42192982456140349</v>
      </c>
      <c r="M65" s="194">
        <v>0.5124236387782205</v>
      </c>
      <c r="N65" s="68">
        <v>1</v>
      </c>
      <c r="P65" s="69"/>
    </row>
    <row r="66" spans="2:16">
      <c r="B66" s="22" t="s">
        <v>33</v>
      </c>
      <c r="C66" s="65"/>
      <c r="D66" s="76"/>
      <c r="E66" s="76">
        <v>3.9190537266638161</v>
      </c>
      <c r="F66" s="66">
        <v>3.3</v>
      </c>
      <c r="G66" s="65"/>
      <c r="H66" s="76"/>
      <c r="I66" s="76">
        <v>6.209437755460022</v>
      </c>
      <c r="J66" s="66">
        <v>3.3</v>
      </c>
      <c r="K66" s="67"/>
      <c r="L66" s="194"/>
      <c r="M66" s="194">
        <v>0.75184210526315787</v>
      </c>
      <c r="N66" s="68">
        <v>1</v>
      </c>
      <c r="P66" s="69"/>
    </row>
    <row r="67" spans="2:16">
      <c r="B67" s="35" t="s">
        <v>29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L67" s="194"/>
      <c r="M67" s="194"/>
      <c r="N67" s="68">
        <v>1</v>
      </c>
      <c r="P67" s="69"/>
    </row>
    <row r="68" spans="2:16">
      <c r="B68" s="36" t="s">
        <v>15</v>
      </c>
      <c r="C68" s="282"/>
      <c r="D68" s="76"/>
      <c r="E68" s="76">
        <v>8.7664670658682695</v>
      </c>
      <c r="F68" s="70">
        <f>[21]May_2022!$M$43</f>
        <v>3.4878406700073312</v>
      </c>
      <c r="G68" s="282"/>
      <c r="H68" s="76"/>
      <c r="I68" s="76">
        <v>10.607235567685406</v>
      </c>
      <c r="J68" s="66">
        <v>5.5</v>
      </c>
      <c r="K68" s="67"/>
      <c r="L68" s="194"/>
      <c r="M68" s="194">
        <v>0.66824561403508764</v>
      </c>
      <c r="N68" s="68">
        <v>1</v>
      </c>
      <c r="P68" s="69"/>
    </row>
    <row r="69" spans="2:16">
      <c r="B69" s="37" t="s">
        <v>16</v>
      </c>
      <c r="C69" s="65">
        <f>L57</f>
        <v>0.38967364831952411</v>
      </c>
      <c r="D69" s="76">
        <v>0.39</v>
      </c>
      <c r="E69" s="76">
        <v>1.85607294041028</v>
      </c>
      <c r="F69" s="66">
        <v>3.3</v>
      </c>
      <c r="G69" s="282">
        <f>[32]April_2025!$L$63</f>
        <v>3.9053322254376623</v>
      </c>
      <c r="H69" s="76">
        <v>3.9053322254376623</v>
      </c>
      <c r="I69" s="76">
        <v>4.5764571827076486</v>
      </c>
      <c r="J69" s="66">
        <v>3.3</v>
      </c>
      <c r="K69" s="67">
        <f>K57</f>
        <v>0.71754385964912282</v>
      </c>
      <c r="L69" s="194">
        <v>0.71754385964912282</v>
      </c>
      <c r="M69" s="194">
        <v>0.83594855305466242</v>
      </c>
      <c r="N69" s="71">
        <v>1</v>
      </c>
      <c r="P69" s="69"/>
    </row>
    <row r="70" spans="2:16" ht="14.4" thickBot="1">
      <c r="B70" s="38" t="s">
        <v>127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4.4" thickBot="1">
      <c r="B71" s="418" t="s">
        <v>162</v>
      </c>
      <c r="C71" s="65"/>
      <c r="D71" s="76"/>
      <c r="E71" s="76">
        <v>4.8792508624938291</v>
      </c>
      <c r="F71" s="66">
        <v>4.8</v>
      </c>
      <c r="G71" s="282"/>
      <c r="H71" s="76"/>
      <c r="I71" s="76">
        <v>6.2003723782925313</v>
      </c>
      <c r="J71" s="66">
        <v>4.8</v>
      </c>
      <c r="K71" s="67"/>
      <c r="L71" s="194"/>
      <c r="M71" s="194">
        <v>0.33859649122807017</v>
      </c>
      <c r="N71" s="71">
        <v>1</v>
      </c>
      <c r="O71" s="74"/>
      <c r="P71" s="75"/>
    </row>
    <row r="72" spans="2:16">
      <c r="D72" s="76">
        <v>6.4665878291752383</v>
      </c>
      <c r="E72" s="76">
        <v>6.9124986911451467</v>
      </c>
      <c r="F72" s="341">
        <v>5.5</v>
      </c>
      <c r="H72" s="76">
        <v>6.1895784614339426</v>
      </c>
      <c r="I72" s="76">
        <v>7.972108210276696</v>
      </c>
      <c r="J72" s="341">
        <v>5.5</v>
      </c>
      <c r="K72" s="67"/>
      <c r="L72" s="194">
        <v>0.71984210526315795</v>
      </c>
      <c r="M72" s="194">
        <v>0.73153314880717013</v>
      </c>
      <c r="N72" s="386">
        <v>1</v>
      </c>
    </row>
    <row r="76" spans="2:16">
      <c r="F76" s="315"/>
    </row>
    <row r="84" spans="30:30">
      <c r="AD84" s="275" t="s">
        <v>57</v>
      </c>
    </row>
  </sheetData>
  <mergeCells count="52">
    <mergeCell ref="M53:M54"/>
    <mergeCell ref="B61:F61"/>
    <mergeCell ref="G61:J61"/>
    <mergeCell ref="K61:N61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V1:W1"/>
    <mergeCell ref="X1:Y1"/>
    <mergeCell ref="Z1:AA1"/>
    <mergeCell ref="B2:O2"/>
    <mergeCell ref="C5:D5"/>
    <mergeCell ref="M4:N4"/>
    <mergeCell ref="T1:U1"/>
  </mergeCells>
  <conditionalFormatting sqref="B48:B49">
    <cfRule type="cellIs" dxfId="2079" priority="125" operator="notBetween">
      <formula>#REF!</formula>
      <formula>#REF!</formula>
    </cfRule>
  </conditionalFormatting>
  <conditionalFormatting sqref="C52">
    <cfRule type="cellIs" dxfId="2078" priority="157" stopIfTrue="1" operator="greaterThan">
      <formula>100</formula>
    </cfRule>
    <cfRule type="cellIs" dxfId="2077" priority="156" stopIfTrue="1" operator="lessThan">
      <formula>96</formula>
    </cfRule>
  </conditionalFormatting>
  <conditionalFormatting sqref="C63">
    <cfRule type="cellIs" dxfId="2076" priority="84" stopIfTrue="1" operator="greaterThan">
      <formula>$F63</formula>
    </cfRule>
  </conditionalFormatting>
  <conditionalFormatting sqref="C63:C64">
    <cfRule type="cellIs" dxfId="2075" priority="85" stopIfTrue="1" operator="lessThanOrEqual">
      <formula>0</formula>
    </cfRule>
  </conditionalFormatting>
  <conditionalFormatting sqref="C64">
    <cfRule type="cellIs" dxfId="2074" priority="160" stopIfTrue="1" operator="greaterThan">
      <formula>$F63</formula>
    </cfRule>
  </conditionalFormatting>
  <conditionalFormatting sqref="C65:C67">
    <cfRule type="cellIs" dxfId="2073" priority="105" stopIfTrue="1" operator="greaterThan">
      <formula>$F65</formula>
    </cfRule>
  </conditionalFormatting>
  <conditionalFormatting sqref="C65:C68">
    <cfRule type="cellIs" dxfId="2072" priority="109" stopIfTrue="1" operator="lessThanOrEqual">
      <formula>0</formula>
    </cfRule>
  </conditionalFormatting>
  <conditionalFormatting sqref="C68">
    <cfRule type="cellIs" dxfId="2071" priority="108" stopIfTrue="1" operator="greaterThan">
      <formula>$J68</formula>
    </cfRule>
  </conditionalFormatting>
  <conditionalFormatting sqref="C74:C78">
    <cfRule type="cellIs" dxfId="2070" priority="148" stopIfTrue="1" operator="lessThanOrEqual">
      <formula>0</formula>
    </cfRule>
  </conditionalFormatting>
  <conditionalFormatting sqref="C75:C78">
    <cfRule type="cellIs" dxfId="2069" priority="147" stopIfTrue="1" operator="greaterThan">
      <formula>$F$74</formula>
    </cfRule>
  </conditionalFormatting>
  <conditionalFormatting sqref="C80">
    <cfRule type="cellIs" dxfId="2068" priority="150" stopIfTrue="1" operator="lessThanOrEqual">
      <formula>0</formula>
    </cfRule>
    <cfRule type="cellIs" dxfId="2067" priority="149" stopIfTrue="1" operator="greaterThan">
      <formula>$F$74</formula>
    </cfRule>
  </conditionalFormatting>
  <conditionalFormatting sqref="C74:D74 D76:D82">
    <cfRule type="cellIs" dxfId="2066" priority="142" stopIfTrue="1" operator="greaterThan">
      <formula>4.5</formula>
    </cfRule>
  </conditionalFormatting>
  <conditionalFormatting sqref="D48:D49">
    <cfRule type="cellIs" dxfId="2065" priority="126" operator="notBetween">
      <formula>#REF!</formula>
      <formula>#REF!</formula>
    </cfRule>
  </conditionalFormatting>
  <conditionalFormatting sqref="D63:D70">
    <cfRule type="cellIs" dxfId="2064" priority="119" stopIfTrue="1" operator="lessThanOrEqual">
      <formula>0</formula>
    </cfRule>
  </conditionalFormatting>
  <conditionalFormatting sqref="D71">
    <cfRule type="cellIs" dxfId="2063" priority="118" stopIfTrue="1" operator="lessThanOrEqual">
      <formula>0</formula>
    </cfRule>
  </conditionalFormatting>
  <conditionalFormatting sqref="D74 D76:D82">
    <cfRule type="cellIs" dxfId="2062" priority="143" stopIfTrue="1" operator="lessThanOrEqual">
      <formula>0</formula>
    </cfRule>
  </conditionalFormatting>
  <conditionalFormatting sqref="D75">
    <cfRule type="cellIs" dxfId="2061" priority="135" stopIfTrue="1" operator="lessThanOrEqual">
      <formula>0</formula>
    </cfRule>
    <cfRule type="cellIs" dxfId="2060" priority="134" stopIfTrue="1" operator="greaterThan">
      <formula>$F$74</formula>
    </cfRule>
  </conditionalFormatting>
  <conditionalFormatting sqref="D63:E72">
    <cfRule type="cellIs" dxfId="2059" priority="81" stopIfTrue="1" operator="greaterThan">
      <formula>$F63</formula>
    </cfRule>
  </conditionalFormatting>
  <conditionalFormatting sqref="D72:E72">
    <cfRule type="cellIs" dxfId="2058" priority="82" stopIfTrue="1" operator="lessThanOrEqual">
      <formula>0</formula>
    </cfRule>
  </conditionalFormatting>
  <conditionalFormatting sqref="E10:E23">
    <cfRule type="cellIs" dxfId="2057" priority="8" operator="lessThan">
      <formula>48</formula>
    </cfRule>
  </conditionalFormatting>
  <conditionalFormatting sqref="E52">
    <cfRule type="cellIs" dxfId="2056" priority="137" stopIfTrue="1" operator="greaterThan">
      <formula>100</formula>
    </cfRule>
    <cfRule type="cellIs" dxfId="2055" priority="136" stopIfTrue="1" operator="lessThan">
      <formula>96.8</formula>
    </cfRule>
  </conditionalFormatting>
  <conditionalFormatting sqref="E63:E71">
    <cfRule type="cellIs" dxfId="2054" priority="113" stopIfTrue="1" operator="lessThanOrEqual">
      <formula>0</formula>
    </cfRule>
  </conditionalFormatting>
  <conditionalFormatting sqref="E74:E82">
    <cfRule type="cellIs" dxfId="2053" priority="128" stopIfTrue="1" operator="greaterThan">
      <formula>4.5</formula>
    </cfRule>
    <cfRule type="cellIs" dxfId="2052" priority="129" stopIfTrue="1" operator="lessThanOrEqual">
      <formula>0</formula>
    </cfRule>
  </conditionalFormatting>
  <conditionalFormatting sqref="E51:F52">
    <cfRule type="cellIs" dxfId="2051" priority="139" stopIfTrue="1" operator="greaterThan">
      <formula>100</formula>
    </cfRule>
    <cfRule type="cellIs" dxfId="2050" priority="138" stopIfTrue="1" operator="lessThan">
      <formula>96.5</formula>
    </cfRule>
  </conditionalFormatting>
  <conditionalFormatting sqref="F10:F23">
    <cfRule type="cellIs" dxfId="2049" priority="10" operator="greaterThan">
      <formula>60</formula>
    </cfRule>
  </conditionalFormatting>
  <conditionalFormatting sqref="F52">
    <cfRule type="cellIs" dxfId="2048" priority="155" stopIfTrue="1" operator="greaterThan">
      <formula>100</formula>
    </cfRule>
    <cfRule type="cellIs" dxfId="2047" priority="154" stopIfTrue="1" operator="lessThan">
      <formula>96.8</formula>
    </cfRule>
  </conditionalFormatting>
  <conditionalFormatting sqref="F72">
    <cfRule type="cellIs" dxfId="2046" priority="114" stopIfTrue="1" operator="greaterThan">
      <formula>$F72</formula>
    </cfRule>
    <cfRule type="cellIs" dxfId="2045" priority="115" stopIfTrue="1" operator="lessThanOrEqual">
      <formula>0</formula>
    </cfRule>
  </conditionalFormatting>
  <conditionalFormatting sqref="G63:G64 C69:C71">
    <cfRule type="cellIs" dxfId="2044" priority="121" stopIfTrue="1" operator="lessThanOrEqual">
      <formula>0</formula>
    </cfRule>
    <cfRule type="cellIs" dxfId="2043" priority="120" stopIfTrue="1" operator="greaterThan">
      <formula>$F63</formula>
    </cfRule>
  </conditionalFormatting>
  <conditionalFormatting sqref="G63:G64">
    <cfRule type="cellIs" dxfId="2042" priority="86" stopIfTrue="1" operator="greaterThan">
      <formula>$F63</formula>
    </cfRule>
    <cfRule type="cellIs" dxfId="2041" priority="87" stopIfTrue="1" operator="lessThanOrEqual">
      <formula>0</formula>
    </cfRule>
  </conditionalFormatting>
  <conditionalFormatting sqref="G65">
    <cfRule type="cellIs" dxfId="2040" priority="158" stopIfTrue="1" operator="greaterThan">
      <formula>$F64</formula>
    </cfRule>
    <cfRule type="cellIs" dxfId="2039" priority="159" stopIfTrue="1" operator="lessThanOrEqual">
      <formula>0</formula>
    </cfRule>
  </conditionalFormatting>
  <conditionalFormatting sqref="G66">
    <cfRule type="cellIs" dxfId="2038" priority="116" stopIfTrue="1" operator="greaterThan">
      <formula>$F66</formula>
    </cfRule>
    <cfRule type="cellIs" dxfId="2037" priority="117" stopIfTrue="1" operator="lessThanOrEqual">
      <formula>0</formula>
    </cfRule>
  </conditionalFormatting>
  <conditionalFormatting sqref="G67:G71">
    <cfRule type="cellIs" dxfId="2036" priority="123" stopIfTrue="1" operator="lessThanOrEqual">
      <formula>0</formula>
    </cfRule>
    <cfRule type="cellIs" dxfId="2035" priority="122" stopIfTrue="1" operator="greaterThan">
      <formula>$J67</formula>
    </cfRule>
  </conditionalFormatting>
  <conditionalFormatting sqref="G76:G81 C79 C81">
    <cfRule type="cellIs" dxfId="2034" priority="151" stopIfTrue="1" operator="greaterThan">
      <formula>4.5</formula>
    </cfRule>
    <cfRule type="cellIs" dxfId="2033" priority="152" stopIfTrue="1" operator="lessThanOrEqual">
      <formula>0</formula>
    </cfRule>
  </conditionalFormatting>
  <conditionalFormatting sqref="G10:H23">
    <cfRule type="expression" dxfId="2032" priority="1">
      <formula>IF(+(IF(G10&lt;#REF!,0,IF(G10&gt;#REF!,0,1)))=0,1)</formula>
    </cfRule>
  </conditionalFormatting>
  <conditionalFormatting sqref="G75:H75">
    <cfRule type="cellIs" dxfId="2031" priority="133" stopIfTrue="1" operator="lessThanOrEqual">
      <formula>0</formula>
    </cfRule>
    <cfRule type="cellIs" dxfId="2030" priority="132" stopIfTrue="1" operator="greaterThan">
      <formula>$F$74</formula>
    </cfRule>
  </conditionalFormatting>
  <conditionalFormatting sqref="H37:H50 G38:G49">
    <cfRule type="cellIs" dxfId="2029" priority="130" stopIfTrue="1" operator="greaterThan">
      <formula>0</formula>
    </cfRule>
  </conditionalFormatting>
  <conditionalFormatting sqref="H55:H56">
    <cfRule type="cellIs" dxfId="2028" priority="65" stopIfTrue="1" operator="greaterThan">
      <formula>$F$37</formula>
    </cfRule>
    <cfRule type="cellIs" dxfId="2027" priority="55" stopIfTrue="1" operator="greaterThan">
      <formula>$F$36</formula>
    </cfRule>
    <cfRule type="cellIs" dxfId="2026" priority="63" stopIfTrue="1" operator="greaterThan">
      <formula>$F$39</formula>
    </cfRule>
    <cfRule type="cellIs" dxfId="2025" priority="66" stopIfTrue="1" operator="lessThanOrEqual">
      <formula>0</formula>
    </cfRule>
    <cfRule type="cellIs" dxfId="2024" priority="64" stopIfTrue="1" operator="lessThanOrEqual">
      <formula>0</formula>
    </cfRule>
  </conditionalFormatting>
  <conditionalFormatting sqref="H55:H57">
    <cfRule type="cellIs" dxfId="2023" priority="40" stopIfTrue="1" operator="lessThanOrEqual">
      <formula>0</formula>
    </cfRule>
  </conditionalFormatting>
  <conditionalFormatting sqref="H57">
    <cfRule type="cellIs" dxfId="2022" priority="39" stopIfTrue="1" operator="greaterThan">
      <formula>$F$37</formula>
    </cfRule>
    <cfRule type="cellIs" dxfId="2021" priority="29" stopIfTrue="1" operator="greaterThan">
      <formula>$F$36</formula>
    </cfRule>
    <cfRule type="cellIs" dxfId="2020" priority="28" stopIfTrue="1" operator="lessThanOrEqual">
      <formula>0</formula>
    </cfRule>
    <cfRule type="cellIs" dxfId="2019" priority="38" stopIfTrue="1" operator="lessThanOrEqual">
      <formula>0</formula>
    </cfRule>
    <cfRule type="cellIs" dxfId="2018" priority="37" stopIfTrue="1" operator="greaterThan">
      <formula>$F$39</formula>
    </cfRule>
  </conditionalFormatting>
  <conditionalFormatting sqref="H58">
    <cfRule type="cellIs" dxfId="2017" priority="92" stopIfTrue="1" operator="lessThanOrEqual">
      <formula>0</formula>
    </cfRule>
    <cfRule type="cellIs" dxfId="2016" priority="104" stopIfTrue="1" operator="lessThanOrEqual">
      <formula>0</formula>
    </cfRule>
    <cfRule type="cellIs" dxfId="2015" priority="102" stopIfTrue="1" operator="lessThanOrEqual">
      <formula>0</formula>
    </cfRule>
    <cfRule type="cellIs" dxfId="2014" priority="101" stopIfTrue="1" operator="greaterThan">
      <formula>$F$65</formula>
    </cfRule>
    <cfRule type="cellIs" dxfId="2013" priority="93" stopIfTrue="1" operator="greaterThan">
      <formula>$F$62</formula>
    </cfRule>
    <cfRule type="cellIs" dxfId="2012" priority="103" stopIfTrue="1" operator="greaterThan">
      <formula>$F$63</formula>
    </cfRule>
  </conditionalFormatting>
  <conditionalFormatting sqref="H59">
    <cfRule type="cellIs" dxfId="2011" priority="42" stopIfTrue="1" operator="lessThanOrEqual">
      <formula>0</formula>
    </cfRule>
    <cfRule type="cellIs" dxfId="2010" priority="43" stopIfTrue="1" operator="greaterThan">
      <formula>$F$36</formula>
    </cfRule>
    <cfRule type="cellIs" dxfId="2009" priority="52" stopIfTrue="1" operator="lessThanOrEqual">
      <formula>0</formula>
    </cfRule>
    <cfRule type="cellIs" dxfId="2008" priority="53" stopIfTrue="1" operator="greaterThan">
      <formula>$F$37</formula>
    </cfRule>
    <cfRule type="cellIs" dxfId="2007" priority="54" stopIfTrue="1" operator="lessThanOrEqual">
      <formula>0</formula>
    </cfRule>
    <cfRule type="cellIs" dxfId="2006" priority="51" stopIfTrue="1" operator="greaterThan">
      <formula>$F$39</formula>
    </cfRule>
  </conditionalFormatting>
  <conditionalFormatting sqref="H63:H70">
    <cfRule type="cellIs" dxfId="2005" priority="107" stopIfTrue="1" operator="lessThanOrEqual">
      <formula>0</formula>
    </cfRule>
    <cfRule type="cellIs" dxfId="2004" priority="106" stopIfTrue="1" operator="greaterThan">
      <formula>$J63</formula>
    </cfRule>
  </conditionalFormatting>
  <conditionalFormatting sqref="H71">
    <cfRule type="cellIs" dxfId="2003" priority="110" operator="greaterThan">
      <formula>5.3</formula>
    </cfRule>
  </conditionalFormatting>
  <conditionalFormatting sqref="H74 H76:H82">
    <cfRule type="cellIs" dxfId="2002" priority="145" stopIfTrue="1" operator="lessThanOrEqual">
      <formula>0</formula>
    </cfRule>
    <cfRule type="cellIs" dxfId="2001" priority="144" stopIfTrue="1" operator="greaterThan">
      <formula>4.5</formula>
    </cfRule>
  </conditionalFormatting>
  <conditionalFormatting sqref="H55:I56">
    <cfRule type="cellIs" dxfId="2000" priority="56" stopIfTrue="1" operator="lessThanOrEqual">
      <formula>0</formula>
    </cfRule>
  </conditionalFormatting>
  <conditionalFormatting sqref="H55:I57">
    <cfRule type="cellIs" dxfId="1999" priority="27" stopIfTrue="1" operator="greaterThan">
      <formula>$F$38</formula>
    </cfRule>
  </conditionalFormatting>
  <conditionalFormatting sqref="H57:I57">
    <cfRule type="cellIs" dxfId="1998" priority="30" stopIfTrue="1" operator="lessThanOrEqual">
      <formula>0</formula>
    </cfRule>
  </conditionalFormatting>
  <conditionalFormatting sqref="H58:I58">
    <cfRule type="cellIs" dxfId="1997" priority="91" stopIfTrue="1" operator="greaterThan">
      <formula>$F$64</formula>
    </cfRule>
    <cfRule type="cellIs" dxfId="1996" priority="94" stopIfTrue="1" operator="lessThanOrEqual">
      <formula>0</formula>
    </cfRule>
  </conditionalFormatting>
  <conditionalFormatting sqref="H59:I59">
    <cfRule type="cellIs" dxfId="1995" priority="41" stopIfTrue="1" operator="greaterThan">
      <formula>$F$38</formula>
    </cfRule>
    <cfRule type="cellIs" dxfId="1994" priority="44" stopIfTrue="1" operator="lessThanOrEqual">
      <formula>0</formula>
    </cfRule>
  </conditionalFormatting>
  <conditionalFormatting sqref="H72:I72">
    <cfRule type="cellIs" dxfId="1993" priority="80" stopIfTrue="1" operator="lessThanOrEqual">
      <formula>0</formula>
    </cfRule>
    <cfRule type="cellIs" dxfId="1992" priority="79" stopIfTrue="1" operator="greaterThan">
      <formula>$J72</formula>
    </cfRule>
  </conditionalFormatting>
  <conditionalFormatting sqref="I55:I56">
    <cfRule type="cellIs" dxfId="1991" priority="60" stopIfTrue="1" operator="lessThanOrEqual">
      <formula>0</formula>
    </cfRule>
    <cfRule type="cellIs" dxfId="1990" priority="59" stopIfTrue="1" operator="greaterThan">
      <formula>$F$38</formula>
    </cfRule>
    <cfRule type="cellIs" dxfId="1989" priority="58" stopIfTrue="1" operator="lessThanOrEqual">
      <formula>0</formula>
    </cfRule>
    <cfRule type="cellIs" dxfId="1988" priority="57" stopIfTrue="1" operator="greaterThan">
      <formula>$F$36</formula>
    </cfRule>
    <cfRule type="cellIs" dxfId="1987" priority="62" stopIfTrue="1" operator="lessThanOrEqual">
      <formula>0</formula>
    </cfRule>
    <cfRule type="cellIs" dxfId="1986" priority="61" stopIfTrue="1" operator="greaterThan">
      <formula>$F$36</formula>
    </cfRule>
  </conditionalFormatting>
  <conditionalFormatting sqref="I57">
    <cfRule type="cellIs" dxfId="1985" priority="31" stopIfTrue="1" operator="greaterThan">
      <formula>$F$36</formula>
    </cfRule>
    <cfRule type="cellIs" dxfId="1984" priority="32" stopIfTrue="1" operator="lessThanOrEqual">
      <formula>0</formula>
    </cfRule>
    <cfRule type="cellIs" dxfId="1983" priority="34" stopIfTrue="1" operator="lessThanOrEqual">
      <formula>0</formula>
    </cfRule>
    <cfRule type="cellIs" dxfId="1982" priority="35" stopIfTrue="1" operator="greaterThan">
      <formula>$F$36</formula>
    </cfRule>
    <cfRule type="cellIs" dxfId="1981" priority="36" stopIfTrue="1" operator="lessThanOrEqual">
      <formula>0</formula>
    </cfRule>
    <cfRule type="cellIs" dxfId="1980" priority="33" stopIfTrue="1" operator="greaterThan">
      <formula>$F$38</formula>
    </cfRule>
  </conditionalFormatting>
  <conditionalFormatting sqref="I58">
    <cfRule type="cellIs" dxfId="1979" priority="95" stopIfTrue="1" operator="greaterThan">
      <formula>$F$62</formula>
    </cfRule>
    <cfRule type="cellIs" dxfId="1978" priority="96" stopIfTrue="1" operator="lessThanOrEqual">
      <formula>0</formula>
    </cfRule>
    <cfRule type="cellIs" dxfId="1977" priority="97" stopIfTrue="1" operator="greaterThan">
      <formula>$F$64</formula>
    </cfRule>
    <cfRule type="cellIs" dxfId="1976" priority="98" stopIfTrue="1" operator="lessThanOrEqual">
      <formula>0</formula>
    </cfRule>
    <cfRule type="cellIs" dxfId="1975" priority="99" stopIfTrue="1" operator="greaterThan">
      <formula>$F$62</formula>
    </cfRule>
    <cfRule type="cellIs" dxfId="1974" priority="100" stopIfTrue="1" operator="lessThanOrEqual">
      <formula>0</formula>
    </cfRule>
  </conditionalFormatting>
  <conditionalFormatting sqref="I59">
    <cfRule type="cellIs" dxfId="1973" priority="49" stopIfTrue="1" operator="greaterThan">
      <formula>$F$36</formula>
    </cfRule>
    <cfRule type="cellIs" dxfId="1972" priority="48" stopIfTrue="1" operator="lessThanOrEqual">
      <formula>0</formula>
    </cfRule>
    <cfRule type="cellIs" dxfId="1971" priority="47" stopIfTrue="1" operator="greaterThan">
      <formula>$F$38</formula>
    </cfRule>
    <cfRule type="cellIs" dxfId="1970" priority="46" stopIfTrue="1" operator="lessThanOrEqual">
      <formula>0</formula>
    </cfRule>
    <cfRule type="cellIs" dxfId="1969" priority="45" stopIfTrue="1" operator="greaterThan">
      <formula>$F$36</formula>
    </cfRule>
    <cfRule type="cellIs" dxfId="1968" priority="50" stopIfTrue="1" operator="lessThanOrEqual">
      <formula>0</formula>
    </cfRule>
  </conditionalFormatting>
  <conditionalFormatting sqref="I63:I71">
    <cfRule type="cellIs" dxfId="1967" priority="112" stopIfTrue="1" operator="lessThanOrEqual">
      <formula>0</formula>
    </cfRule>
    <cfRule type="cellIs" dxfId="1966" priority="111" stopIfTrue="1" operator="greaterThan">
      <formula>$J63</formula>
    </cfRule>
  </conditionalFormatting>
  <conditionalFormatting sqref="I74:I82">
    <cfRule type="cellIs" dxfId="1965" priority="140" stopIfTrue="1" operator="greaterThan">
      <formula>4.5</formula>
    </cfRule>
    <cfRule type="cellIs" dxfId="1964" priority="141" stopIfTrue="1" operator="lessThanOrEqual">
      <formula>0</formula>
    </cfRule>
  </conditionalFormatting>
  <conditionalFormatting sqref="I10:J23">
    <cfRule type="cellIs" dxfId="1963" priority="11" operator="lessThan">
      <formula>97.9</formula>
    </cfRule>
  </conditionalFormatting>
  <conditionalFormatting sqref="J26:J28">
    <cfRule type="cellIs" dxfId="1962" priority="70" stopIfTrue="1" operator="greaterThan">
      <formula>100</formula>
    </cfRule>
    <cfRule type="cellIs" dxfId="1961" priority="69" stopIfTrue="1" operator="lessThan">
      <formula>96.8</formula>
    </cfRule>
    <cfRule type="cellIs" dxfId="1960" priority="71" operator="lessThan">
      <formula>98</formula>
    </cfRule>
  </conditionalFormatting>
  <conditionalFormatting sqref="J26:J30">
    <cfRule type="cellIs" dxfId="1959" priority="68" operator="lessThan">
      <formula>97.4</formula>
    </cfRule>
  </conditionalFormatting>
  <conditionalFormatting sqref="J31">
    <cfRule type="cellIs" dxfId="1958" priority="72" operator="lessThan">
      <formula>98</formula>
    </cfRule>
  </conditionalFormatting>
  <conditionalFormatting sqref="J32:J34">
    <cfRule type="cellIs" dxfId="1957" priority="74" stopIfTrue="1" operator="greaterThan">
      <formula>100</formula>
    </cfRule>
    <cfRule type="cellIs" dxfId="1956" priority="73" stopIfTrue="1" operator="lessThan">
      <formula>96.8</formula>
    </cfRule>
  </conditionalFormatting>
  <conditionalFormatting sqref="J32:J35">
    <cfRule type="cellIs" dxfId="1955" priority="75" operator="lessThan">
      <formula>98</formula>
    </cfRule>
  </conditionalFormatting>
  <conditionalFormatting sqref="J72">
    <cfRule type="cellIs" dxfId="1954" priority="77" stopIfTrue="1" operator="lessThanOrEqual">
      <formula>0</formula>
    </cfRule>
    <cfRule type="cellIs" dxfId="1953" priority="76" stopIfTrue="1" operator="greaterThan">
      <formula>$F72</formula>
    </cfRule>
  </conditionalFormatting>
  <conditionalFormatting sqref="K10:K23">
    <cfRule type="cellIs" dxfId="1952" priority="9" operator="greaterThan">
      <formula>6.4</formula>
    </cfRule>
    <cfRule type="cellIs" dxfId="1951" priority="5" operator="lessThan">
      <formula>4</formula>
    </cfRule>
    <cfRule type="cellIs" dxfId="1950" priority="4" operator="greaterThan">
      <formula>6</formula>
    </cfRule>
  </conditionalFormatting>
  <conditionalFormatting sqref="K40:K49">
    <cfRule type="cellIs" dxfId="1949" priority="67" operator="notEqual">
      <formula>#REF!</formula>
    </cfRule>
  </conditionalFormatting>
  <conditionalFormatting sqref="K55:K59 K63:N66 L67:N67">
    <cfRule type="cellIs" dxfId="1948" priority="124" stopIfTrue="1" operator="lessThan">
      <formula>100%</formula>
    </cfRule>
  </conditionalFormatting>
  <conditionalFormatting sqref="K74:K79">
    <cfRule type="cellIs" dxfId="1947" priority="146" stopIfTrue="1" operator="lessThan">
      <formula>100%</formula>
    </cfRule>
  </conditionalFormatting>
  <conditionalFormatting sqref="K81:K82">
    <cfRule type="cellIs" dxfId="1946" priority="153" stopIfTrue="1" operator="lessThan">
      <formula>100%</formula>
    </cfRule>
  </conditionalFormatting>
  <conditionalFormatting sqref="K68:N72">
    <cfRule type="cellIs" dxfId="1945" priority="78" stopIfTrue="1" operator="lessThan">
      <formula>100%</formula>
    </cfRule>
  </conditionalFormatting>
  <conditionalFormatting sqref="L10:L23">
    <cfRule type="cellIs" dxfId="1944" priority="7" operator="greaterThan">
      <formula>65</formula>
    </cfRule>
    <cfRule type="cellIs" dxfId="1943" priority="6" operator="between">
      <formula>61</formula>
      <formula>65</formula>
    </cfRule>
  </conditionalFormatting>
  <conditionalFormatting sqref="L26:M37">
    <cfRule type="cellIs" dxfId="1942" priority="83" operator="lessThan">
      <formula>98</formula>
    </cfRule>
  </conditionalFormatting>
  <conditionalFormatting sqref="L41:N41">
    <cfRule type="cellIs" dxfId="1941" priority="88" operator="notEqual">
      <formula>#REF!</formula>
    </cfRule>
  </conditionalFormatting>
  <conditionalFormatting sqref="L74:N82">
    <cfRule type="cellIs" dxfId="1940" priority="131" stopIfTrue="1" operator="lessThan">
      <formula>100%</formula>
    </cfRule>
  </conditionalFormatting>
  <conditionalFormatting sqref="M10:M23">
    <cfRule type="expression" dxfId="1939" priority="2">
      <formula>IF(+(IF(M10&lt;V10,0,IF(M10&gt;W10,0,1)))=0,1)</formula>
    </cfRule>
  </conditionalFormatting>
  <conditionalFormatting sqref="M6:N6">
    <cfRule type="cellIs" dxfId="1938" priority="89" operator="greaterThanOrEqual">
      <formula>15</formula>
    </cfRule>
    <cfRule type="cellIs" dxfId="1937" priority="90" operator="greaterThanOrEqual">
      <formula>19</formula>
    </cfRule>
  </conditionalFormatting>
  <conditionalFormatting sqref="N10:N23">
    <cfRule type="expression" dxfId="1936" priority="3">
      <formula>IF(+(IF(N10&lt;X10,0,IF(N10&gt;Y10,0,1)))=0,1)</formula>
    </cfRule>
  </conditionalFormatting>
  <conditionalFormatting sqref="P6">
    <cfRule type="cellIs" dxfId="1935" priority="127" operator="greaterThanOrEqual">
      <formula>19</formula>
    </cfRule>
  </conditionalFormatting>
  <conditionalFormatting sqref="P12:P23">
    <cfRule type="cellIs" dxfId="1934" priority="26" operator="lessThan">
      <formula>98</formula>
    </cfRule>
  </conditionalFormatting>
  <dataValidations count="1">
    <dataValidation type="list" allowBlank="1" showInputMessage="1" showErrorMessage="1" sqref="S8" xr:uid="{7ED519E2-4FA5-45AF-94F4-26C2DC166556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C6EC-D6FA-469B-8CD3-BE2AA60845AC}">
  <sheetPr>
    <pageSetUpPr fitToPage="1"/>
  </sheetPr>
  <dimension ref="A1:BE92"/>
  <sheetViews>
    <sheetView topLeftCell="A32" zoomScale="80" zoomScaleNormal="80" workbookViewId="0">
      <selection activeCell="C13" sqref="C13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26.66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45758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165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556" t="s">
        <v>181</v>
      </c>
      <c r="J8" s="480" t="s">
        <v>173</v>
      </c>
      <c r="K8" s="523" t="s">
        <v>23</v>
      </c>
      <c r="L8" s="525" t="s">
        <v>142</v>
      </c>
      <c r="M8" s="527" t="s">
        <v>24</v>
      </c>
      <c r="N8" s="359" t="s">
        <v>25</v>
      </c>
      <c r="O8" s="17" t="s">
        <v>26</v>
      </c>
      <c r="P8" s="474" t="s">
        <v>155</v>
      </c>
      <c r="Q8" s="554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29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57"/>
      <c r="J9" s="520"/>
      <c r="K9" s="524"/>
      <c r="L9" s="526"/>
      <c r="M9" s="528"/>
      <c r="N9" s="20" t="s">
        <v>32</v>
      </c>
      <c r="O9" s="21" t="s">
        <v>41</v>
      </c>
      <c r="P9" s="555"/>
      <c r="Q9" s="554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29" ht="15.75" customHeight="1">
      <c r="B10" s="33" t="s">
        <v>9</v>
      </c>
      <c r="C10" s="366" t="str">
        <f>[24]Brewhouse!$A154</f>
        <v>ST137</v>
      </c>
      <c r="D10" s="279">
        <f>[24]Brewhouse!$AD154</f>
        <v>55.7</v>
      </c>
      <c r="E10" s="279">
        <f>[24]Brewhouse!$AG154</f>
        <v>52.4</v>
      </c>
      <c r="F10" s="278">
        <f>[24]Brewhouse!$V154</f>
        <v>59</v>
      </c>
      <c r="G10" s="279">
        <f>[24]Brewhouse!$AE154</f>
        <v>11.8</v>
      </c>
      <c r="H10" s="279">
        <v>11.8</v>
      </c>
      <c r="I10" s="442">
        <f>[24]Brewhouse!AX154</f>
        <v>95.092421797949683</v>
      </c>
      <c r="J10" s="434">
        <f>[24]Brewhouse!$AS154</f>
        <v>103.48583389849561</v>
      </c>
      <c r="K10" s="434">
        <f>[24]Brewhouse!$AT154</f>
        <v>104.54432220351342</v>
      </c>
      <c r="L10" s="398">
        <f>[24]Brewhouse!$Q154</f>
        <v>6.0439560439560385</v>
      </c>
      <c r="M10" s="276">
        <f>[24]Brewhouse!$P154</f>
        <v>60</v>
      </c>
      <c r="N10" s="374">
        <f>[24]Brewhouse!$U154-[24]Brewhouse!$T154</f>
        <v>0.11527777777777776</v>
      </c>
      <c r="O10" s="370">
        <f>[24]Brewhouse!$AW154</f>
        <v>0.25347222222222221</v>
      </c>
      <c r="P10" s="435" t="str">
        <f>[24]Brewhouse!$AV154</f>
        <v>R. Regis</v>
      </c>
      <c r="Q10" s="443"/>
      <c r="S10" s="277" t="str">
        <f>B10</f>
        <v>STAG</v>
      </c>
      <c r="T10" s="296">
        <f t="shared" ref="T10:T23" si="0">VLOOKUP($B10,$R$3:$X$9,2,FALSE)</f>
        <v>11.6</v>
      </c>
      <c r="U10" s="296">
        <f t="shared" ref="U10:U23" si="1">VLOOKUP($B10,$R$3:$X$9,3,FALSE)</f>
        <v>12</v>
      </c>
      <c r="V10" s="297">
        <f t="shared" ref="V10:V23" si="2">VLOOKUP($B10,$R$3:$X$9,4,FALSE)</f>
        <v>0</v>
      </c>
      <c r="W10" s="297">
        <f t="shared" ref="W10:W23" si="3">VLOOKUP($B10,$R$3:$X$9,5,FALSE)</f>
        <v>0.118055555555556</v>
      </c>
      <c r="X10" s="297">
        <f t="shared" ref="X10:X23" si="4">VLOOKUP($B10,$R$3:$X$9,6,FALSE)</f>
        <v>0.22569444444444445</v>
      </c>
      <c r="Y10" s="297">
        <f t="shared" ref="Y10:Y23" si="5">VLOOKUP($B10,$R$3:$X$9,7,FALSE)</f>
        <v>0.2638888888888889</v>
      </c>
      <c r="Z10" s="297">
        <f t="shared" ref="Z10:Z23" si="6">VLOOKUP($B10,$R$3:$Z$9,8,FALSE)</f>
        <v>0</v>
      </c>
      <c r="AA10" s="296">
        <f t="shared" ref="AA10:AA23" si="7">VLOOKUP($B10,$R$3:$Z$9,9,FALSE)</f>
        <v>60</v>
      </c>
    </row>
    <row r="11" spans="2:29" ht="15.75" customHeight="1">
      <c r="B11" s="33" t="s">
        <v>9</v>
      </c>
      <c r="C11" s="366" t="str">
        <f>[24]Brewhouse!$A155</f>
        <v>ST138</v>
      </c>
      <c r="D11" s="279">
        <f>[24]Brewhouse!$AD155</f>
        <v>52.8</v>
      </c>
      <c r="E11" s="279">
        <f>[24]Brewhouse!$AG155</f>
        <v>49.5</v>
      </c>
      <c r="F11" s="278">
        <f>[24]Brewhouse!$V155</f>
        <v>62</v>
      </c>
      <c r="G11" s="279">
        <f>[24]Brewhouse!$AE155</f>
        <v>12</v>
      </c>
      <c r="H11" s="279">
        <v>11.8</v>
      </c>
      <c r="I11" s="442">
        <f>[24]Brewhouse!AX155</f>
        <v>0</v>
      </c>
      <c r="J11" s="434">
        <f>[24]Brewhouse!$AS155</f>
        <v>98.880284002650114</v>
      </c>
      <c r="K11" s="434">
        <f>[24]Brewhouse!$AT155</f>
        <v>99.893319872832194</v>
      </c>
      <c r="L11" s="398">
        <f>[24]Brewhouse!$Q155</f>
        <v>5.2919708029197059</v>
      </c>
      <c r="M11" s="276">
        <f>[24]Brewhouse!$P155</f>
        <v>61</v>
      </c>
      <c r="N11" s="374">
        <f>[24]Brewhouse!$U155-[24]Brewhouse!$T155</f>
        <v>0.11041666666666661</v>
      </c>
      <c r="O11" s="370">
        <f>[24]Brewhouse!$AW155</f>
        <v>0.25138888888888883</v>
      </c>
      <c r="P11" s="435" t="str">
        <f>[24]Brewhouse!$AV155</f>
        <v>R. Regis</v>
      </c>
      <c r="Q11" s="443"/>
      <c r="S11" s="277" t="str">
        <f>B11</f>
        <v>STAG</v>
      </c>
      <c r="T11" s="296">
        <f t="shared" si="0"/>
        <v>11.6</v>
      </c>
      <c r="U11" s="296">
        <f t="shared" si="1"/>
        <v>12</v>
      </c>
      <c r="V11" s="297">
        <f t="shared" si="2"/>
        <v>0</v>
      </c>
      <c r="W11" s="297">
        <f t="shared" si="3"/>
        <v>0.118055555555556</v>
      </c>
      <c r="X11" s="297">
        <f t="shared" si="4"/>
        <v>0.22569444444444445</v>
      </c>
      <c r="Y11" s="297">
        <f t="shared" si="5"/>
        <v>0.2638888888888889</v>
      </c>
      <c r="Z11" s="297">
        <f t="shared" si="6"/>
        <v>0</v>
      </c>
      <c r="AA11" s="296">
        <f t="shared" si="7"/>
        <v>60</v>
      </c>
    </row>
    <row r="12" spans="2:29" ht="15.75" customHeight="1">
      <c r="B12" s="33" t="s">
        <v>9</v>
      </c>
      <c r="C12" s="366" t="str">
        <f>[24]Brewhouse!$A156</f>
        <v>ST139</v>
      </c>
      <c r="D12" s="279">
        <f>[24]Brewhouse!$AD156</f>
        <v>53</v>
      </c>
      <c r="E12" s="279">
        <f>[24]Brewhouse!$AG156</f>
        <v>49.7</v>
      </c>
      <c r="F12" s="278">
        <f>[24]Brewhouse!$V156</f>
        <v>61</v>
      </c>
      <c r="G12" s="279">
        <f>[24]Brewhouse!$AE156</f>
        <v>11.8</v>
      </c>
      <c r="H12" s="279">
        <v>11.8</v>
      </c>
      <c r="I12" s="442">
        <f>[24]Brewhouse!AX156</f>
        <v>96.247922609442668</v>
      </c>
      <c r="J12" s="434">
        <f>[24]Brewhouse!$AS156</f>
        <v>97.662755281529215</v>
      </c>
      <c r="K12" s="434">
        <f>[24]Brewhouse!$AT156</f>
        <v>98.662992245156801</v>
      </c>
      <c r="L12" s="398">
        <f>[24]Brewhouse!$Q156</f>
        <v>4.5787545787545785</v>
      </c>
      <c r="M12" s="276">
        <f>[24]Brewhouse!$P156</f>
        <v>61</v>
      </c>
      <c r="N12" s="374">
        <f>[24]Brewhouse!$U156-[24]Brewhouse!$T156</f>
        <v>0.1069444444444444</v>
      </c>
      <c r="O12" s="370">
        <f>[24]Brewhouse!$AW156</f>
        <v>0.24444444444444435</v>
      </c>
      <c r="P12" s="435" t="str">
        <f>[24]Brewhouse!$AV156</f>
        <v>D. Gomaz</v>
      </c>
      <c r="Q12" s="443"/>
      <c r="S12" s="277" t="str">
        <f>B12</f>
        <v>STAG</v>
      </c>
      <c r="T12" s="296">
        <f t="shared" si="0"/>
        <v>11.6</v>
      </c>
      <c r="U12" s="296">
        <f t="shared" si="1"/>
        <v>12</v>
      </c>
      <c r="V12" s="297">
        <f t="shared" si="2"/>
        <v>0</v>
      </c>
      <c r="W12" s="297">
        <f t="shared" si="3"/>
        <v>0.118055555555556</v>
      </c>
      <c r="X12" s="297">
        <f t="shared" si="4"/>
        <v>0.22569444444444445</v>
      </c>
      <c r="Y12" s="297">
        <f t="shared" si="5"/>
        <v>0.2638888888888889</v>
      </c>
      <c r="Z12" s="297">
        <f t="shared" si="6"/>
        <v>0</v>
      </c>
      <c r="AA12" s="296">
        <f t="shared" si="7"/>
        <v>60</v>
      </c>
    </row>
    <row r="13" spans="2:29" ht="15.75" customHeight="1">
      <c r="B13" s="33" t="s">
        <v>9</v>
      </c>
      <c r="C13" s="366" t="str">
        <f>[24]Brewhouse!$A157</f>
        <v>ST140</v>
      </c>
      <c r="D13" s="279">
        <f>[24]Brewhouse!$AD157</f>
        <v>53.6</v>
      </c>
      <c r="E13" s="279">
        <f>[24]Brewhouse!$AG157</f>
        <v>50.6</v>
      </c>
      <c r="F13" s="278">
        <f>[24]Brewhouse!$V157</f>
        <v>64</v>
      </c>
      <c r="G13" s="279">
        <f>[24]Brewhouse!$AE157</f>
        <v>12</v>
      </c>
      <c r="H13" s="279">
        <v>11.8</v>
      </c>
      <c r="I13" s="442">
        <f>[24]Brewhouse!AX157</f>
        <v>99.463908868265705</v>
      </c>
      <c r="J13" s="434">
        <f>[24]Brewhouse!$AS157</f>
        <v>101.20397725184486</v>
      </c>
      <c r="K13" s="434">
        <f>[24]Brewhouse!$AT157</f>
        <v>102.24048250527147</v>
      </c>
      <c r="L13" s="398">
        <f>[24]Brewhouse!$Q157</f>
        <v>4.1818181818181772</v>
      </c>
      <c r="M13" s="276">
        <f>[24]Brewhouse!$P157</f>
        <v>62</v>
      </c>
      <c r="N13" s="374">
        <f>[24]Brewhouse!$U157-[24]Brewhouse!$T157</f>
        <v>0.10972222222222228</v>
      </c>
      <c r="O13" s="370">
        <f>[24]Brewhouse!$AW157</f>
        <v>0.28125</v>
      </c>
      <c r="P13" s="435" t="str">
        <f>[24]Brewhouse!$AV157</f>
        <v>D. Gomaz</v>
      </c>
      <c r="Q13" s="443"/>
      <c r="S13" s="277" t="str">
        <f>B13</f>
        <v>STAG</v>
      </c>
      <c r="T13" s="296">
        <f t="shared" si="0"/>
        <v>11.6</v>
      </c>
      <c r="U13" s="296">
        <f t="shared" si="1"/>
        <v>12</v>
      </c>
      <c r="V13" s="297">
        <f t="shared" si="2"/>
        <v>0</v>
      </c>
      <c r="W13" s="297">
        <f t="shared" si="3"/>
        <v>0.118055555555556</v>
      </c>
      <c r="X13" s="297">
        <f t="shared" si="4"/>
        <v>0.22569444444444445</v>
      </c>
      <c r="Y13" s="297">
        <f t="shared" si="5"/>
        <v>0.2638888888888889</v>
      </c>
      <c r="Z13" s="297">
        <f t="shared" si="6"/>
        <v>0</v>
      </c>
      <c r="AA13" s="296">
        <f t="shared" si="7"/>
        <v>60</v>
      </c>
    </row>
    <row r="14" spans="2:29" ht="15.75" customHeight="1">
      <c r="B14" s="33"/>
      <c r="C14" s="366"/>
      <c r="D14" s="279"/>
      <c r="E14" s="279"/>
      <c r="F14" s="278"/>
      <c r="G14" s="279"/>
      <c r="H14" s="279"/>
      <c r="I14" s="442"/>
      <c r="J14" s="434"/>
      <c r="K14" s="434"/>
      <c r="L14" s="398"/>
      <c r="M14" s="276"/>
      <c r="N14" s="374"/>
      <c r="O14" s="370"/>
      <c r="P14" s="435"/>
      <c r="Q14" s="443"/>
      <c r="S14" s="277">
        <f t="shared" ref="S14:S18" si="8">B14</f>
        <v>0</v>
      </c>
      <c r="T14" s="296" t="e">
        <f t="shared" si="0"/>
        <v>#N/A</v>
      </c>
      <c r="U14" s="296" t="e">
        <f t="shared" si="1"/>
        <v>#N/A</v>
      </c>
      <c r="V14" s="297" t="e">
        <f t="shared" si="2"/>
        <v>#N/A</v>
      </c>
      <c r="W14" s="297" t="e">
        <f t="shared" si="3"/>
        <v>#N/A</v>
      </c>
      <c r="X14" s="297" t="e">
        <f t="shared" si="4"/>
        <v>#N/A</v>
      </c>
      <c r="Y14" s="297" t="e">
        <f t="shared" si="5"/>
        <v>#N/A</v>
      </c>
      <c r="Z14" s="297" t="e">
        <f t="shared" si="6"/>
        <v>#N/A</v>
      </c>
      <c r="AA14" s="296" t="e">
        <f t="shared" si="7"/>
        <v>#N/A</v>
      </c>
    </row>
    <row r="15" spans="2:29" ht="15.75" customHeight="1">
      <c r="B15" s="33"/>
      <c r="C15" s="366"/>
      <c r="D15" s="279"/>
      <c r="E15" s="279"/>
      <c r="F15" s="278"/>
      <c r="G15" s="279"/>
      <c r="H15" s="279"/>
      <c r="I15" s="442"/>
      <c r="J15" s="434"/>
      <c r="K15" s="434"/>
      <c r="L15" s="398"/>
      <c r="M15" s="276"/>
      <c r="N15" s="374"/>
      <c r="O15" s="370"/>
      <c r="P15" s="435"/>
      <c r="Q15" s="443"/>
      <c r="S15" s="277">
        <f t="shared" si="8"/>
        <v>0</v>
      </c>
      <c r="T15" s="296" t="e">
        <f t="shared" si="0"/>
        <v>#N/A</v>
      </c>
      <c r="U15" s="296" t="e">
        <f t="shared" si="1"/>
        <v>#N/A</v>
      </c>
      <c r="V15" s="297" t="e">
        <f t="shared" si="2"/>
        <v>#N/A</v>
      </c>
      <c r="W15" s="297" t="e">
        <f t="shared" si="3"/>
        <v>#N/A</v>
      </c>
      <c r="X15" s="297" t="e">
        <f t="shared" si="4"/>
        <v>#N/A</v>
      </c>
      <c r="Y15" s="297" t="e">
        <f t="shared" si="5"/>
        <v>#N/A</v>
      </c>
      <c r="Z15" s="297" t="e">
        <f t="shared" si="6"/>
        <v>#N/A</v>
      </c>
      <c r="AA15" s="296" t="e">
        <f t="shared" si="7"/>
        <v>#N/A</v>
      </c>
    </row>
    <row r="16" spans="2:29" ht="15.75" customHeight="1">
      <c r="B16" s="29" t="s">
        <v>6</v>
      </c>
      <c r="C16" s="366" t="str">
        <f>[23]Brewhouse!$A357</f>
        <v>CA253</v>
      </c>
      <c r="D16" s="279">
        <f>[23]Brewhouse!$AF357</f>
        <v>53.1</v>
      </c>
      <c r="E16" s="279">
        <f>[23]Brewhouse!$AI357</f>
        <v>49.3</v>
      </c>
      <c r="F16" s="278">
        <f>[23]Brewhouse!$V357</f>
        <v>64</v>
      </c>
      <c r="G16" s="279">
        <f>[23]Brewhouse!$AG357</f>
        <v>11.8</v>
      </c>
      <c r="H16" s="279">
        <v>11.8</v>
      </c>
      <c r="I16" s="442">
        <f>[23]Brewhouse!AY357</f>
        <v>93.918730775991904</v>
      </c>
      <c r="J16" s="368">
        <f>[23]Brewhouse!$AU357</f>
        <v>95.843374606839177</v>
      </c>
      <c r="K16" s="368">
        <f>[23]Brewhouse!$AV357</f>
        <v>96.979702735902592</v>
      </c>
      <c r="L16" s="281">
        <f>[23]Brewhouse!$Q357</f>
        <v>5.7913669064748179</v>
      </c>
      <c r="M16" s="276">
        <f>[23]Brewhouse!$P357</f>
        <v>61</v>
      </c>
      <c r="N16" s="397">
        <f>[23]Brewhouse!$U357-[23]Brewhouse!$T357</f>
        <v>0.12430555555555545</v>
      </c>
      <c r="O16" s="370">
        <f>[23]Brewhouse!$Z357</f>
        <v>0.27083333333333326</v>
      </c>
      <c r="P16" s="371" t="str">
        <f>[23]Brewhouse!$AX357</f>
        <v>K.Benjamin</v>
      </c>
      <c r="Q16" s="443"/>
      <c r="S16" s="277" t="str">
        <f t="shared" si="8"/>
        <v>CARIB</v>
      </c>
      <c r="T16" s="296">
        <f t="shared" si="0"/>
        <v>11.6</v>
      </c>
      <c r="U16" s="296">
        <f t="shared" si="1"/>
        <v>12</v>
      </c>
      <c r="V16" s="297">
        <f t="shared" si="2"/>
        <v>0</v>
      </c>
      <c r="W16" s="297">
        <f t="shared" si="3"/>
        <v>0.118055555555556</v>
      </c>
      <c r="X16" s="297">
        <f t="shared" si="4"/>
        <v>0.22569444444444445</v>
      </c>
      <c r="Y16" s="297">
        <f t="shared" si="5"/>
        <v>0.2638888888888889</v>
      </c>
      <c r="Z16" s="297">
        <f t="shared" si="6"/>
        <v>0</v>
      </c>
      <c r="AA16" s="296">
        <f t="shared" si="7"/>
        <v>60</v>
      </c>
    </row>
    <row r="17" spans="2:27" ht="15.75" customHeight="1">
      <c r="B17" s="29" t="s">
        <v>6</v>
      </c>
      <c r="C17" s="366" t="str">
        <f>[23]Brewhouse!$A358</f>
        <v>CA254</v>
      </c>
      <c r="D17" s="279">
        <f>[23]Brewhouse!$AF358</f>
        <v>55</v>
      </c>
      <c r="E17" s="279">
        <f>[23]Brewhouse!$AI358</f>
        <v>51.4</v>
      </c>
      <c r="F17" s="278">
        <f>[23]Brewhouse!$V358</f>
        <v>54</v>
      </c>
      <c r="G17" s="279">
        <f>[23]Brewhouse!$AG358</f>
        <v>12</v>
      </c>
      <c r="H17" s="279">
        <v>12</v>
      </c>
      <c r="I17" s="442">
        <f>[23]Brewhouse!AY358</f>
        <v>99.598606827299463</v>
      </c>
      <c r="J17" s="368">
        <f>[23]Brewhouse!$AU358</f>
        <v>100.8345162679376</v>
      </c>
      <c r="K17" s="368">
        <f>[23]Brewhouse!$AV358</f>
        <v>102.0309362937182</v>
      </c>
      <c r="L17" s="281">
        <f>[23]Brewhouse!$Q358</f>
        <v>4.368231046931399</v>
      </c>
      <c r="M17" s="276">
        <f>[23]Brewhouse!$P358</f>
        <v>60</v>
      </c>
      <c r="N17" s="397">
        <f>[23]Brewhouse!$U358-[23]Brewhouse!$T358</f>
        <v>0.11111111111111116</v>
      </c>
      <c r="O17" s="370">
        <f>[23]Brewhouse!$Z358</f>
        <v>0.24861111111111123</v>
      </c>
      <c r="P17" s="371" t="str">
        <f>[23]Brewhouse!$AX358</f>
        <v>K.Benjamin</v>
      </c>
      <c r="Q17" s="443"/>
      <c r="S17" s="277" t="str">
        <f t="shared" si="8"/>
        <v>CARIB</v>
      </c>
      <c r="T17" s="296">
        <f t="shared" si="0"/>
        <v>11.6</v>
      </c>
      <c r="U17" s="296">
        <f t="shared" si="1"/>
        <v>12</v>
      </c>
      <c r="V17" s="297">
        <f t="shared" si="2"/>
        <v>0</v>
      </c>
      <c r="W17" s="297">
        <f t="shared" si="3"/>
        <v>0.118055555555556</v>
      </c>
      <c r="X17" s="297">
        <f t="shared" si="4"/>
        <v>0.22569444444444445</v>
      </c>
      <c r="Y17" s="297">
        <f t="shared" si="5"/>
        <v>0.2638888888888889</v>
      </c>
      <c r="Z17" s="297">
        <f t="shared" si="6"/>
        <v>0</v>
      </c>
      <c r="AA17" s="296">
        <f t="shared" si="7"/>
        <v>60</v>
      </c>
    </row>
    <row r="18" spans="2:27" ht="15.75" customHeight="1">
      <c r="B18" s="29"/>
      <c r="C18" s="366"/>
      <c r="D18" s="279"/>
      <c r="E18" s="279"/>
      <c r="F18" s="278"/>
      <c r="G18" s="279"/>
      <c r="H18" s="279"/>
      <c r="I18" s="442"/>
      <c r="J18" s="368"/>
      <c r="K18" s="368"/>
      <c r="L18" s="281"/>
      <c r="M18" s="276"/>
      <c r="N18" s="397"/>
      <c r="O18" s="370"/>
      <c r="P18" s="371"/>
      <c r="Q18" s="443"/>
      <c r="S18" s="277">
        <f t="shared" si="8"/>
        <v>0</v>
      </c>
      <c r="T18" s="296" t="e">
        <f t="shared" si="0"/>
        <v>#N/A</v>
      </c>
      <c r="U18" s="296" t="e">
        <f t="shared" si="1"/>
        <v>#N/A</v>
      </c>
      <c r="V18" s="297" t="e">
        <f t="shared" si="2"/>
        <v>#N/A</v>
      </c>
      <c r="W18" s="297" t="e">
        <f t="shared" si="3"/>
        <v>#N/A</v>
      </c>
      <c r="X18" s="297" t="e">
        <f t="shared" si="4"/>
        <v>#N/A</v>
      </c>
      <c r="Y18" s="297" t="e">
        <f t="shared" si="5"/>
        <v>#N/A</v>
      </c>
      <c r="Z18" s="297" t="e">
        <f t="shared" si="6"/>
        <v>#N/A</v>
      </c>
      <c r="AA18" s="296" t="e">
        <f t="shared" si="7"/>
        <v>#N/A</v>
      </c>
    </row>
    <row r="19" spans="2:27" ht="15.75" customHeight="1">
      <c r="B19" s="29"/>
      <c r="C19" s="366"/>
      <c r="D19" s="279"/>
      <c r="E19" s="279"/>
      <c r="F19" s="278"/>
      <c r="G19" s="279"/>
      <c r="H19" s="279"/>
      <c r="I19" s="442"/>
      <c r="J19" s="368"/>
      <c r="K19" s="368"/>
      <c r="L19" s="281"/>
      <c r="M19" s="276"/>
      <c r="N19" s="397"/>
      <c r="O19" s="370"/>
      <c r="P19" s="371"/>
      <c r="Q19" s="443"/>
      <c r="S19" s="277">
        <f>B19</f>
        <v>0</v>
      </c>
      <c r="T19" s="296" t="e">
        <f t="shared" si="0"/>
        <v>#N/A</v>
      </c>
      <c r="U19" s="296" t="e">
        <f t="shared" si="1"/>
        <v>#N/A</v>
      </c>
      <c r="V19" s="297" t="e">
        <f t="shared" si="2"/>
        <v>#N/A</v>
      </c>
      <c r="W19" s="297" t="e">
        <f t="shared" si="3"/>
        <v>#N/A</v>
      </c>
      <c r="X19" s="297" t="e">
        <f t="shared" si="4"/>
        <v>#N/A</v>
      </c>
      <c r="Y19" s="297" t="e">
        <f t="shared" si="5"/>
        <v>#N/A</v>
      </c>
      <c r="Z19" s="297" t="e">
        <f t="shared" si="6"/>
        <v>#N/A</v>
      </c>
      <c r="AA19" s="296" t="e">
        <f t="shared" si="7"/>
        <v>#N/A</v>
      </c>
    </row>
    <row r="20" spans="2:27" ht="15.75" hidden="1" customHeight="1">
      <c r="B20" s="29"/>
      <c r="C20" s="366"/>
      <c r="D20" s="279"/>
      <c r="E20" s="279"/>
      <c r="F20" s="278"/>
      <c r="G20" s="279"/>
      <c r="H20" s="279"/>
      <c r="I20" s="442"/>
      <c r="J20" s="368"/>
      <c r="K20" s="368"/>
      <c r="L20" s="281"/>
      <c r="M20" s="276"/>
      <c r="N20" s="397"/>
      <c r="O20" s="370"/>
      <c r="P20" s="371"/>
      <c r="Q20" s="443"/>
      <c r="S20" s="277">
        <f>B20</f>
        <v>0</v>
      </c>
      <c r="T20" s="296" t="e">
        <f t="shared" si="0"/>
        <v>#N/A</v>
      </c>
      <c r="U20" s="296" t="e">
        <f t="shared" si="1"/>
        <v>#N/A</v>
      </c>
      <c r="V20" s="297" t="e">
        <f t="shared" si="2"/>
        <v>#N/A</v>
      </c>
      <c r="W20" s="297" t="e">
        <f t="shared" si="3"/>
        <v>#N/A</v>
      </c>
      <c r="X20" s="297" t="e">
        <f t="shared" si="4"/>
        <v>#N/A</v>
      </c>
      <c r="Y20" s="297" t="e">
        <f t="shared" si="5"/>
        <v>#N/A</v>
      </c>
      <c r="Z20" s="297" t="e">
        <f t="shared" si="6"/>
        <v>#N/A</v>
      </c>
      <c r="AA20" s="296" t="e">
        <f t="shared" si="7"/>
        <v>#N/A</v>
      </c>
    </row>
    <row r="21" spans="2:27" ht="15.75" hidden="1" customHeight="1">
      <c r="B21" s="29"/>
      <c r="C21" s="366"/>
      <c r="D21" s="279"/>
      <c r="E21" s="279"/>
      <c r="F21" s="278"/>
      <c r="G21" s="279"/>
      <c r="H21" s="279"/>
      <c r="I21" s="442"/>
      <c r="J21" s="368"/>
      <c r="K21" s="368"/>
      <c r="L21" s="281"/>
      <c r="M21" s="276"/>
      <c r="N21" s="397"/>
      <c r="O21" s="370"/>
      <c r="P21" s="371"/>
      <c r="Q21" s="443"/>
      <c r="S21" s="277">
        <f>B21</f>
        <v>0</v>
      </c>
      <c r="T21" s="296" t="e">
        <f t="shared" si="0"/>
        <v>#N/A</v>
      </c>
      <c r="U21" s="296" t="e">
        <f t="shared" si="1"/>
        <v>#N/A</v>
      </c>
      <c r="V21" s="297" t="e">
        <f t="shared" si="2"/>
        <v>#N/A</v>
      </c>
      <c r="W21" s="297" t="e">
        <f t="shared" si="3"/>
        <v>#N/A</v>
      </c>
      <c r="X21" s="297" t="e">
        <f t="shared" si="4"/>
        <v>#N/A</v>
      </c>
      <c r="Y21" s="297" t="e">
        <f t="shared" si="5"/>
        <v>#N/A</v>
      </c>
      <c r="Z21" s="297" t="e">
        <f t="shared" si="6"/>
        <v>#N/A</v>
      </c>
      <c r="AA21" s="296" t="e">
        <f t="shared" si="7"/>
        <v>#N/A</v>
      </c>
    </row>
    <row r="22" spans="2:27" ht="15.75" hidden="1" customHeight="1">
      <c r="B22" s="29"/>
      <c r="C22" s="366"/>
      <c r="D22" s="279"/>
      <c r="E22" s="279"/>
      <c r="F22" s="278"/>
      <c r="G22" s="279"/>
      <c r="H22" s="279"/>
      <c r="I22" s="442"/>
      <c r="J22" s="368"/>
      <c r="K22" s="368"/>
      <c r="L22" s="281"/>
      <c r="M22" s="276"/>
      <c r="N22" s="397"/>
      <c r="O22" s="370"/>
      <c r="P22" s="371"/>
      <c r="Q22" s="443"/>
      <c r="S22" s="277">
        <f>B22</f>
        <v>0</v>
      </c>
      <c r="T22" s="296" t="e">
        <f t="shared" si="0"/>
        <v>#N/A</v>
      </c>
      <c r="U22" s="296" t="e">
        <f t="shared" si="1"/>
        <v>#N/A</v>
      </c>
      <c r="V22" s="297" t="e">
        <f t="shared" si="2"/>
        <v>#N/A</v>
      </c>
      <c r="W22" s="297" t="e">
        <f t="shared" si="3"/>
        <v>#N/A</v>
      </c>
      <c r="X22" s="297" t="e">
        <f t="shared" si="4"/>
        <v>#N/A</v>
      </c>
      <c r="Y22" s="297" t="e">
        <f t="shared" si="5"/>
        <v>#N/A</v>
      </c>
      <c r="Z22" s="297" t="e">
        <f t="shared" si="6"/>
        <v>#N/A</v>
      </c>
      <c r="AA22" s="296" t="e">
        <f t="shared" si="7"/>
        <v>#N/A</v>
      </c>
    </row>
    <row r="23" spans="2:27" ht="15.75" hidden="1" customHeight="1">
      <c r="B23" s="29"/>
      <c r="C23" s="366"/>
      <c r="D23" s="279"/>
      <c r="E23" s="279"/>
      <c r="F23" s="278"/>
      <c r="G23" s="279"/>
      <c r="H23" s="279"/>
      <c r="I23" s="442"/>
      <c r="J23" s="368"/>
      <c r="K23" s="368"/>
      <c r="L23" s="281"/>
      <c r="M23" s="276"/>
      <c r="N23" s="397"/>
      <c r="O23" s="370"/>
      <c r="P23" s="371"/>
      <c r="Q23" s="443"/>
      <c r="S23" s="277">
        <f>B23</f>
        <v>0</v>
      </c>
      <c r="T23" s="296" t="e">
        <f t="shared" si="0"/>
        <v>#N/A</v>
      </c>
      <c r="U23" s="296" t="e">
        <f t="shared" si="1"/>
        <v>#N/A</v>
      </c>
      <c r="V23" s="297" t="e">
        <f t="shared" si="2"/>
        <v>#N/A</v>
      </c>
      <c r="W23" s="297" t="e">
        <f t="shared" si="3"/>
        <v>#N/A</v>
      </c>
      <c r="X23" s="297" t="e">
        <f t="shared" si="4"/>
        <v>#N/A</v>
      </c>
      <c r="Y23" s="297" t="e">
        <f t="shared" si="5"/>
        <v>#N/A</v>
      </c>
      <c r="Z23" s="297" t="e">
        <f t="shared" si="6"/>
        <v>#N/A</v>
      </c>
      <c r="AA23" s="296" t="e">
        <f t="shared" si="7"/>
        <v>#N/A</v>
      </c>
    </row>
    <row r="24" spans="2:27" ht="15.75" hidden="1" customHeight="1">
      <c r="B24" s="33"/>
      <c r="C24" s="366"/>
      <c r="D24" s="279"/>
      <c r="E24" s="279"/>
      <c r="F24" s="278"/>
      <c r="G24" s="279"/>
      <c r="H24" s="396"/>
      <c r="I24" s="434"/>
      <c r="J24" s="434"/>
      <c r="K24" s="398"/>
      <c r="L24" s="276"/>
      <c r="M24" s="374"/>
      <c r="N24" s="370"/>
      <c r="O24" s="435"/>
      <c r="P24" s="437"/>
      <c r="R24" s="277">
        <f t="shared" ref="R24:R27" si="9">B24</f>
        <v>0</v>
      </c>
      <c r="S24" s="296" t="e">
        <f t="shared" ref="S24:S33" si="10">VLOOKUP($B24,$R$3:$X$9,2,FALSE)</f>
        <v>#N/A</v>
      </c>
      <c r="T24" s="296" t="e">
        <f t="shared" ref="T24:T33" si="11">VLOOKUP($B24,$R$3:$X$9,3,FALSE)</f>
        <v>#N/A</v>
      </c>
      <c r="U24" s="297" t="e">
        <f t="shared" ref="U24:U33" si="12">VLOOKUP($B24,$R$3:$X$9,4,FALSE)</f>
        <v>#N/A</v>
      </c>
      <c r="V24" s="297" t="e">
        <f t="shared" ref="V24:V33" si="13">VLOOKUP($B24,$R$3:$X$9,5,FALSE)</f>
        <v>#N/A</v>
      </c>
      <c r="W24" s="297" t="e">
        <f t="shared" ref="W24:W33" si="14">VLOOKUP($B24,$R$3:$X$9,6,FALSE)</f>
        <v>#N/A</v>
      </c>
      <c r="X24" s="297" t="e">
        <f t="shared" ref="X24:X33" si="15">VLOOKUP($B24,$R$3:$X$9,7,FALSE)</f>
        <v>#N/A</v>
      </c>
      <c r="Y24" s="297" t="e">
        <f t="shared" ref="Y24:Y33" si="16">VLOOKUP($B24,$R$3:$Z$9,8,FALSE)</f>
        <v>#N/A</v>
      </c>
      <c r="Z24" s="296" t="e">
        <f t="shared" ref="Z24:Z33" si="17">VLOOKUP($B24,$R$3:$Z$9,9,FALSE)</f>
        <v>#N/A</v>
      </c>
    </row>
    <row r="25" spans="2:27" ht="15.75" hidden="1" customHeight="1" thickBot="1">
      <c r="B25" s="33"/>
      <c r="C25" s="366"/>
      <c r="D25" s="279"/>
      <c r="E25" s="279"/>
      <c r="F25" s="278"/>
      <c r="G25" s="279"/>
      <c r="H25" s="396"/>
      <c r="I25" s="434"/>
      <c r="J25" s="434"/>
      <c r="K25" s="398"/>
      <c r="L25" s="276"/>
      <c r="M25" s="374"/>
      <c r="N25" s="370"/>
      <c r="O25" s="435"/>
      <c r="P25" s="437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2:27" ht="15.75" hidden="1" customHeight="1" thickBot="1">
      <c r="B26" s="33"/>
      <c r="C26" s="366"/>
      <c r="D26" s="279"/>
      <c r="E26" s="279"/>
      <c r="F26" s="278"/>
      <c r="G26" s="279"/>
      <c r="H26" s="396"/>
      <c r="I26" s="434"/>
      <c r="J26" s="434"/>
      <c r="K26" s="398"/>
      <c r="L26" s="276"/>
      <c r="M26" s="374"/>
      <c r="N26" s="370"/>
      <c r="O26" s="435"/>
      <c r="P26" s="437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2:27" ht="15.75" hidden="1" customHeight="1" thickBot="1">
      <c r="B27" s="33"/>
      <c r="C27" s="366"/>
      <c r="D27" s="279"/>
      <c r="E27" s="279"/>
      <c r="F27" s="278"/>
      <c r="G27" s="279"/>
      <c r="H27" s="396"/>
      <c r="I27" s="434"/>
      <c r="J27" s="434"/>
      <c r="K27" s="398"/>
      <c r="L27" s="276"/>
      <c r="M27" s="374"/>
      <c r="N27" s="370"/>
      <c r="O27" s="435"/>
      <c r="P27" s="437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2:27" ht="15.75" hidden="1" customHeight="1" thickBot="1">
      <c r="B28" s="33"/>
      <c r="C28" s="366"/>
      <c r="D28" s="279"/>
      <c r="E28" s="279"/>
      <c r="F28" s="278"/>
      <c r="G28" s="279"/>
      <c r="H28" s="396"/>
      <c r="I28" s="434"/>
      <c r="J28" s="434"/>
      <c r="K28" s="398"/>
      <c r="L28" s="276"/>
      <c r="M28" s="374"/>
      <c r="N28" s="370"/>
      <c r="O28" s="435"/>
      <c r="P28" s="437"/>
      <c r="R28" s="277">
        <f t="shared" ref="R28:R33" si="18">B28</f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2:27" ht="15.75" hidden="1" customHeight="1" thickBot="1">
      <c r="B29" s="33"/>
      <c r="C29" s="366"/>
      <c r="D29" s="279"/>
      <c r="E29" s="279"/>
      <c r="F29" s="278"/>
      <c r="G29" s="279"/>
      <c r="H29" s="396"/>
      <c r="I29" s="434"/>
      <c r="J29" s="434"/>
      <c r="K29" s="398"/>
      <c r="L29" s="276"/>
      <c r="M29" s="374"/>
      <c r="N29" s="370"/>
      <c r="O29" s="435"/>
      <c r="P29" s="437"/>
      <c r="R29" s="277">
        <f t="shared" si="18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2:27" ht="15.75" hidden="1" customHeight="1" thickBot="1">
      <c r="B30" s="33"/>
      <c r="C30" s="366"/>
      <c r="D30" s="279"/>
      <c r="E30" s="279"/>
      <c r="F30" s="278"/>
      <c r="G30" s="279"/>
      <c r="H30" s="396"/>
      <c r="I30" s="434"/>
      <c r="J30" s="434"/>
      <c r="K30" s="398"/>
      <c r="L30" s="276"/>
      <c r="M30" s="374"/>
      <c r="N30" s="370"/>
      <c r="O30" s="435"/>
      <c r="P30" s="437"/>
      <c r="R30" s="277">
        <f t="shared" si="18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2:27" ht="15.75" hidden="1" customHeight="1" thickBot="1">
      <c r="B31" s="33"/>
      <c r="C31" s="366"/>
      <c r="D31" s="279"/>
      <c r="E31" s="279"/>
      <c r="F31" s="278"/>
      <c r="G31" s="279"/>
      <c r="H31" s="396"/>
      <c r="I31" s="434"/>
      <c r="J31" s="434"/>
      <c r="K31" s="398"/>
      <c r="L31" s="276"/>
      <c r="M31" s="374"/>
      <c r="N31" s="370"/>
      <c r="O31" s="435"/>
      <c r="P31" s="437"/>
      <c r="R31" s="277">
        <f t="shared" si="18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2:27" ht="15.75" customHeight="1" thickBot="1">
      <c r="B32" s="358"/>
      <c r="C32" s="358"/>
      <c r="D32" s="358"/>
      <c r="E32" s="358"/>
      <c r="F32" s="294"/>
      <c r="G32" s="294"/>
      <c r="H32" s="348"/>
      <c r="I32" s="500" t="s">
        <v>34</v>
      </c>
      <c r="J32" s="500"/>
      <c r="K32" s="500"/>
      <c r="L32" s="500"/>
      <c r="M32" s="500"/>
      <c r="N32" s="500"/>
      <c r="O32" s="1"/>
      <c r="P32" s="12"/>
      <c r="R32" s="277">
        <f t="shared" si="18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26" ht="15" thickBot="1">
      <c r="B33" s="388" t="s">
        <v>145</v>
      </c>
      <c r="C33" s="388"/>
      <c r="D33" s="513" t="s">
        <v>35</v>
      </c>
      <c r="E33" s="514"/>
      <c r="F33" s="294"/>
      <c r="G33" s="294"/>
      <c r="H33" s="348"/>
      <c r="I33" s="24" t="s">
        <v>17</v>
      </c>
      <c r="J33" s="25" t="s">
        <v>36</v>
      </c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18"/>
        <v>BRAND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26" ht="15" customHeight="1">
      <c r="A34" s="28"/>
      <c r="B34" s="539"/>
      <c r="C34" s="362"/>
      <c r="D34" s="504"/>
      <c r="E34" s="493"/>
      <c r="F34" s="294"/>
      <c r="G34" s="294"/>
      <c r="H34" s="348"/>
      <c r="I34" s="29" t="s">
        <v>6</v>
      </c>
      <c r="J34" s="280">
        <f>AVERAGE(J16:J19)</f>
        <v>98.338945437388389</v>
      </c>
      <c r="K34" s="284">
        <f>COUNTA([23]Brewhouse!$A$341:$A$358)</f>
        <v>18</v>
      </c>
      <c r="L34" s="302">
        <f>AVERAGE([23]Brewhouse!$AU$341:$AU$346,[23]Brewhouse!$AU$348,[23]Brewhouse!$AU$349:$AU$358)</f>
        <v>98.010658173036362</v>
      </c>
      <c r="M34" s="302">
        <f>AVERAGE([23]Brewhouse!$AU$102:$AU$171,[23]Brewhouse!$AU$173:$AU$253,[23]Brewhouse!$AU$255:$AU$339,[23]Brewhouse!$AU$341:$AU$346,[23]Brewhouse!$AU$348,[23]Brewhouse!$AU$349:$AU$358)</f>
        <v>96.870382049917382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6" ht="15" customHeight="1">
      <c r="A35" s="28"/>
      <c r="B35" s="540"/>
      <c r="C35" s="349"/>
      <c r="D35" s="505"/>
      <c r="E35" s="488"/>
      <c r="F35" s="294"/>
      <c r="G35" s="294"/>
      <c r="H35" s="348"/>
      <c r="I35" s="33" t="s">
        <v>9</v>
      </c>
      <c r="J35" s="280">
        <f>AVERAGE(J10:J13)</f>
        <v>100.30821260862996</v>
      </c>
      <c r="K35" s="284">
        <f>COUNTA([24]Brewhouse!$A$142:$A$157)</f>
        <v>16</v>
      </c>
      <c r="L35" s="302">
        <f>AVERAGE([24]Brewhouse!$AS$142:$AS$157)</f>
        <v>99.057124263778036</v>
      </c>
      <c r="M35" s="302">
        <f>AVERAGE([24]Brewhouse!$AS$15:$AS$64,[24]Brewhouse!$AS$66:$AS$103,[24]Brewhouse!$AS$105:$AS$140,[24]Brewhouse!$AS$142:$AS$149)</f>
        <v>96.81500140255207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6" ht="14.7" customHeight="1">
      <c r="A36" s="28"/>
      <c r="B36" s="540"/>
      <c r="C36" s="349"/>
      <c r="D36" s="504"/>
      <c r="E36" s="493"/>
      <c r="F36" s="294"/>
      <c r="G36" s="294"/>
      <c r="H36" s="348"/>
      <c r="I36" s="34" t="s">
        <v>12</v>
      </c>
      <c r="J36" s="280"/>
      <c r="K36" s="284">
        <f>COUNTA([22]Brewhouse!$A$37)</f>
        <v>1</v>
      </c>
      <c r="L36" s="302">
        <f>AVERAGE([22]Brewhouse!$AU$37)</f>
        <v>96.214667872117261</v>
      </c>
      <c r="M36" s="302">
        <f>AVERAGE([22]Brewhouse!$AU$4:$AU$7,[22]Brewhouse!$AU$9:$AU$22,[22]Brewhouse!$AU$24:$AU$35,[22]Brewhouse!$AU$37)</f>
        <v>96.767265202814471</v>
      </c>
      <c r="N36" s="30">
        <v>98</v>
      </c>
      <c r="O36" s="11"/>
      <c r="P36" s="31"/>
      <c r="R36" s="23"/>
      <c r="S36" s="1"/>
      <c r="T36" s="1"/>
      <c r="Z36" s="285"/>
    </row>
    <row r="37" spans="1:26" ht="14.7" customHeight="1">
      <c r="A37" s="28"/>
      <c r="B37" s="540"/>
      <c r="C37" s="349"/>
      <c r="D37" s="505"/>
      <c r="E37" s="488"/>
      <c r="F37" s="294"/>
      <c r="G37" s="294"/>
      <c r="H37" s="348"/>
      <c r="I37" s="22" t="s">
        <v>33</v>
      </c>
      <c r="J37" s="280"/>
      <c r="K37" s="284"/>
      <c r="L37" s="302"/>
      <c r="M37" s="302">
        <f>AVERAGE([25]Brewhouse!$AV$5:$AV$14,[25]Brewhouse!$AV$16:$AV$19,[25]Brewhouse!$AV$21:$AV$24)</f>
        <v>98.616016873478046</v>
      </c>
      <c r="N37" s="30">
        <v>98</v>
      </c>
      <c r="O37" s="11"/>
      <c r="P37" s="31"/>
      <c r="R37" s="23"/>
      <c r="S37" s="1"/>
      <c r="T37" s="1"/>
      <c r="Z37" s="285"/>
    </row>
    <row r="38" spans="1:26" ht="14.7" customHeight="1">
      <c r="A38" s="28"/>
      <c r="B38" s="540"/>
      <c r="C38" s="349"/>
      <c r="D38" s="504"/>
      <c r="E38" s="493"/>
      <c r="F38" s="436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3"/>
    </row>
    <row r="39" spans="1:26" ht="14.7" customHeight="1">
      <c r="A39" s="28"/>
      <c r="B39" s="540"/>
      <c r="C39" s="349"/>
      <c r="D39" s="505"/>
      <c r="E39" s="488"/>
      <c r="F39" s="436"/>
      <c r="G39" s="294"/>
      <c r="H39" s="348"/>
      <c r="I39" s="36" t="s">
        <v>15</v>
      </c>
      <c r="J39" s="323"/>
      <c r="K39" s="284"/>
      <c r="L39" s="302"/>
      <c r="M39" s="302">
        <f>AVERAGE([26]Brewhouse!$AT$4:$AT$11)</f>
        <v>94.812616598822359</v>
      </c>
      <c r="N39" s="30">
        <v>98</v>
      </c>
      <c r="O39" s="11"/>
      <c r="P39" s="31"/>
      <c r="R39" s="23"/>
    </row>
    <row r="40" spans="1:26" ht="14.7" customHeight="1">
      <c r="A40" s="28"/>
      <c r="B40" s="540"/>
      <c r="C40" s="349"/>
      <c r="D40" s="504"/>
      <c r="E40" s="493"/>
      <c r="F40" s="436"/>
      <c r="G40" s="294"/>
      <c r="H40" s="348"/>
      <c r="I40" s="37" t="s">
        <v>16</v>
      </c>
      <c r="J40" s="323"/>
      <c r="K40" s="284">
        <f>COUNTA([27]Brewhouse!$A$31:$A$34)</f>
        <v>4</v>
      </c>
      <c r="L40" s="302">
        <f>AVERAGE([27]Brewhouse!$AY$31:$AY$34)</f>
        <v>98.653228650224236</v>
      </c>
      <c r="M40" s="302">
        <f>AVERAGE([27]Brewhouse!$AY$6:$AY$13,[27]Brewhouse!$AY$15:$AY$20,[27]Brewhouse!$AY$22:$AY$29,[27]Brewhouse!$AY$31:$AY$34)</f>
        <v>96.120888038911147</v>
      </c>
      <c r="N40" s="30">
        <v>98</v>
      </c>
      <c r="O40" s="11"/>
      <c r="P40" s="31" t="s">
        <v>41</v>
      </c>
      <c r="R40" s="23"/>
      <c r="W40" s="275" t="s">
        <v>41</v>
      </c>
    </row>
    <row r="41" spans="1:26" ht="14.7" customHeight="1">
      <c r="A41" s="28"/>
      <c r="B41" s="540"/>
      <c r="C41" s="349"/>
      <c r="D41" s="505"/>
      <c r="E41" s="488"/>
      <c r="F41" s="294"/>
      <c r="G41" s="294"/>
      <c r="H41" s="348"/>
      <c r="I41" s="412" t="s">
        <v>158</v>
      </c>
      <c r="J41" s="326"/>
      <c r="K41" s="284"/>
      <c r="L41" s="305"/>
      <c r="M41" s="305">
        <f>AVERAGE([28]Brewhouse!$AU$5:$AU$8)</f>
        <v>91.006888337619571</v>
      </c>
      <c r="N41" s="30">
        <v>98</v>
      </c>
      <c r="O41" s="11"/>
      <c r="P41" s="31"/>
      <c r="R41" s="23"/>
    </row>
    <row r="42" spans="1:26" ht="14.7" customHeight="1">
      <c r="A42" s="28"/>
      <c r="B42" s="540"/>
      <c r="C42" s="349"/>
      <c r="D42" s="504"/>
      <c r="E42" s="493"/>
      <c r="F42" s="294"/>
      <c r="G42" s="294"/>
      <c r="H42" s="348"/>
      <c r="I42" s="411" t="s">
        <v>157</v>
      </c>
      <c r="J42" s="326"/>
      <c r="K42" s="284"/>
      <c r="L42" s="305"/>
      <c r="M42" s="305"/>
      <c r="N42" s="30">
        <v>98</v>
      </c>
      <c r="O42" s="11"/>
      <c r="P42" s="31"/>
      <c r="R42" s="23"/>
    </row>
    <row r="43" spans="1:26" ht="15" customHeight="1" thickBot="1">
      <c r="A43" s="28"/>
      <c r="B43" s="540"/>
      <c r="C43" s="349"/>
      <c r="D43" s="505"/>
      <c r="E43" s="488"/>
      <c r="F43" s="294"/>
      <c r="G43" s="294"/>
      <c r="H43" s="348"/>
      <c r="I43" s="407" t="s">
        <v>156</v>
      </c>
      <c r="J43" s="327"/>
      <c r="K43" s="408"/>
      <c r="L43" s="409"/>
      <c r="M43" s="409"/>
      <c r="N43" s="410">
        <v>98</v>
      </c>
      <c r="O43" s="11"/>
      <c r="P43" s="31"/>
      <c r="R43" s="23"/>
    </row>
    <row r="44" spans="1:26" ht="15" customHeight="1" thickBot="1">
      <c r="A44" s="28"/>
      <c r="B44" s="540"/>
      <c r="C44" s="349"/>
      <c r="D44" s="504"/>
      <c r="E44" s="493"/>
      <c r="F44" s="294"/>
      <c r="G44" s="294"/>
      <c r="H44" s="348"/>
      <c r="I44" s="1"/>
      <c r="J44" s="39"/>
      <c r="K44" s="405">
        <f>SUM(K34:K43)</f>
        <v>39</v>
      </c>
      <c r="L44" s="406">
        <f>((L34*K34)+(L35*K35)+(L36*K36)+(L37*K37)+(L38*K38)+(K41*L41)+(L39*K39)+(L40*K40)+(L43*K43))/(K44)</f>
        <v>98.459831225849172</v>
      </c>
      <c r="M44" s="406">
        <f>AVERAGE('[29]Jan 31st'!$L$65,'[30]Feb 28th'!$L$35,'[31]Mar. 31st'!$L$35,L44)</f>
        <v>97.156261924270609</v>
      </c>
      <c r="N44" s="40">
        <v>98</v>
      </c>
      <c r="O44" s="11"/>
      <c r="P44" s="31"/>
      <c r="R44" s="23"/>
    </row>
    <row r="45" spans="1:26" ht="15" thickBot="1">
      <c r="B45" s="553"/>
      <c r="C45" s="350"/>
      <c r="D45" s="505"/>
      <c r="E45" s="488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3"/>
    </row>
    <row r="46" spans="1:26" ht="15" thickBot="1">
      <c r="B46" s="550"/>
      <c r="C46" s="362"/>
      <c r="D46" s="485"/>
      <c r="E46" s="486"/>
      <c r="F46" s="43"/>
      <c r="G46" s="41"/>
      <c r="H46" s="41"/>
      <c r="I46" s="42"/>
      <c r="J46" s="538" t="s">
        <v>129</v>
      </c>
      <c r="K46" s="538"/>
      <c r="L46" s="294"/>
      <c r="M46" s="294"/>
      <c r="N46" s="294"/>
      <c r="O46" s="294"/>
      <c r="P46" s="12"/>
      <c r="R46" s="23" t="s">
        <v>41</v>
      </c>
    </row>
    <row r="47" spans="1:26" ht="13.5" customHeight="1" thickBot="1">
      <c r="B47" s="551"/>
      <c r="C47" s="349"/>
      <c r="D47" s="487"/>
      <c r="E47" s="488"/>
      <c r="F47" s="43"/>
      <c r="G47" s="41"/>
      <c r="H47" s="41"/>
      <c r="I47" s="42"/>
      <c r="J47" s="292" t="s">
        <v>17</v>
      </c>
      <c r="K47" s="293" t="s">
        <v>147</v>
      </c>
      <c r="L47" s="490" t="s">
        <v>136</v>
      </c>
      <c r="M47" s="490"/>
      <c r="N47" s="491"/>
      <c r="O47" s="294"/>
      <c r="P47" s="12"/>
      <c r="R47" s="23"/>
    </row>
    <row r="48" spans="1:26" ht="15" customHeight="1" thickBot="1">
      <c r="B48" s="551"/>
      <c r="C48" s="349"/>
      <c r="D48" s="492"/>
      <c r="E48" s="493"/>
      <c r="F48" s="43"/>
      <c r="G48" s="41"/>
      <c r="H48" s="41"/>
      <c r="I48" s="42"/>
      <c r="J48" s="287" t="s">
        <v>6</v>
      </c>
      <c r="K48" s="324">
        <v>2</v>
      </c>
      <c r="L48" s="343" t="s">
        <v>37</v>
      </c>
      <c r="M48" s="307" t="s">
        <v>38</v>
      </c>
      <c r="N48" s="307" t="s">
        <v>84</v>
      </c>
      <c r="O48" s="294"/>
      <c r="P48" s="12"/>
      <c r="R48" s="23"/>
    </row>
    <row r="49" spans="2:56" ht="15.75" customHeight="1" thickBot="1">
      <c r="B49" s="551"/>
      <c r="C49" s="349"/>
      <c r="D49" s="487"/>
      <c r="E49" s="488"/>
      <c r="F49" s="43"/>
      <c r="G49" s="41"/>
      <c r="H49" s="41"/>
      <c r="I49" s="42"/>
      <c r="J49" s="345" t="s">
        <v>9</v>
      </c>
      <c r="K49" s="324">
        <v>4</v>
      </c>
      <c r="L49" s="344">
        <f>AVERAGE('Apr. 1st'!K49,'Apr. 10th '!K58,'Apr. 3rd'!K49,'Apr. 4th'!K49,'Apr. 7th '!K50,'Apr. 8th  '!K60,'Apr. 9th   '!K50)</f>
        <v>5.5714285714285712</v>
      </c>
      <c r="M49" s="325">
        <f>AVERAGE('[29]Jan 29th '!$M$70,'[30]Feb 28th'!$L$40,'[31]Mar. 31st'!$L$40,L49)</f>
        <v>6.3466913521261343</v>
      </c>
      <c r="N49" s="433">
        <v>9.1999999999999993</v>
      </c>
      <c r="O49" s="294"/>
      <c r="P49" s="12"/>
      <c r="R49" s="23"/>
    </row>
    <row r="50" spans="2:56" ht="15" customHeight="1">
      <c r="B50" s="551"/>
      <c r="C50" s="349"/>
      <c r="D50" s="492"/>
      <c r="E50" s="493"/>
      <c r="F50" s="43"/>
      <c r="G50" s="41"/>
      <c r="H50" s="41"/>
      <c r="I50" s="42"/>
      <c r="J50" s="288" t="s">
        <v>40</v>
      </c>
      <c r="K50" s="324"/>
      <c r="L50" s="294"/>
      <c r="M50" s="294"/>
      <c r="N50" s="294"/>
      <c r="O50" s="294"/>
      <c r="P50" s="12"/>
      <c r="R50" s="23"/>
    </row>
    <row r="51" spans="2:56" ht="15" customHeight="1">
      <c r="B51" s="551"/>
      <c r="C51" s="349"/>
      <c r="D51" s="487"/>
      <c r="E51" s="488"/>
      <c r="F51" s="43"/>
      <c r="G51" s="41"/>
      <c r="H51" s="41"/>
      <c r="I51" s="42"/>
      <c r="J51" s="289" t="s">
        <v>33</v>
      </c>
      <c r="K51" s="324"/>
      <c r="L51" s="294"/>
      <c r="M51" s="294"/>
      <c r="N51" s="294"/>
      <c r="O51" s="294"/>
      <c r="P51" s="12"/>
      <c r="R51" s="23"/>
    </row>
    <row r="52" spans="2:56" ht="14.4">
      <c r="B52" s="551"/>
      <c r="C52" s="349"/>
      <c r="D52" s="492"/>
      <c r="E52" s="493"/>
      <c r="F52" s="43"/>
      <c r="G52" s="41"/>
      <c r="H52" s="41"/>
      <c r="I52" s="42"/>
      <c r="J52" s="290" t="s">
        <v>16</v>
      </c>
      <c r="K52" s="324"/>
      <c r="L52" s="294"/>
      <c r="M52" s="294"/>
      <c r="N52" s="294"/>
      <c r="O52" s="294"/>
      <c r="P52" s="12"/>
      <c r="R52" s="23"/>
      <c r="BC52" s="44"/>
      <c r="BD52" s="44"/>
    </row>
    <row r="53" spans="2:56" ht="14.4">
      <c r="B53" s="551"/>
      <c r="C53" s="349"/>
      <c r="D53" s="487"/>
      <c r="E53" s="488"/>
      <c r="F53" s="43"/>
      <c r="G53" s="41"/>
      <c r="H53" s="41"/>
      <c r="I53" s="42"/>
      <c r="J53" s="291" t="s">
        <v>15</v>
      </c>
      <c r="K53" s="324"/>
      <c r="L53" s="294"/>
      <c r="M53" s="294"/>
      <c r="N53" s="294"/>
      <c r="O53" s="294"/>
      <c r="P53" s="12"/>
      <c r="R53" s="23"/>
      <c r="BC53" s="44"/>
      <c r="BD53" s="44"/>
    </row>
    <row r="54" spans="2:56" ht="14.4">
      <c r="B54" s="551"/>
      <c r="C54" s="349"/>
      <c r="D54" s="494"/>
      <c r="E54" s="495"/>
      <c r="F54" s="43"/>
      <c r="G54" s="41"/>
      <c r="H54" s="41"/>
      <c r="I54" s="42"/>
      <c r="J54" s="291" t="s">
        <v>149</v>
      </c>
      <c r="K54" s="324"/>
      <c r="L54" s="294"/>
      <c r="M54" s="294"/>
      <c r="N54" s="294"/>
      <c r="O54" s="294"/>
      <c r="P54" s="12"/>
      <c r="R54" s="23"/>
      <c r="BC54" s="44"/>
      <c r="BD54" s="44"/>
    </row>
    <row r="55" spans="2:56" ht="15" thickBot="1">
      <c r="B55" s="552"/>
      <c r="C55" s="350"/>
      <c r="D55" s="496"/>
      <c r="E55" s="497"/>
      <c r="F55" s="43"/>
      <c r="G55" s="41"/>
      <c r="H55" s="41"/>
      <c r="I55" s="42"/>
      <c r="J55" s="291" t="s">
        <v>148</v>
      </c>
      <c r="K55" s="324"/>
      <c r="L55" s="294"/>
      <c r="M55" s="294"/>
      <c r="N55" s="294"/>
      <c r="O55" s="294"/>
      <c r="P55" s="12"/>
      <c r="R55" s="23"/>
      <c r="BC55" s="44"/>
      <c r="BD55" s="44"/>
    </row>
    <row r="56" spans="2:56" ht="17.7" customHeight="1" thickBot="1">
      <c r="B56" s="312" t="s">
        <v>139</v>
      </c>
      <c r="C56" s="313"/>
      <c r="D56" s="476" t="e">
        <f>AVERAGE(D34:E55)</f>
        <v>#DIV/0!</v>
      </c>
      <c r="E56" s="477"/>
      <c r="F56" s="43"/>
      <c r="G56" s="41"/>
      <c r="H56" s="41"/>
      <c r="I56" s="42"/>
      <c r="J56" s="295" t="s">
        <v>134</v>
      </c>
      <c r="K56" s="324"/>
      <c r="L56" s="294"/>
      <c r="M56" s="294"/>
      <c r="N56" s="294"/>
      <c r="O56" s="294"/>
      <c r="P56" s="12"/>
      <c r="R56" s="23"/>
      <c r="BC56" s="44"/>
      <c r="BD56" s="44"/>
    </row>
    <row r="57" spans="2:56" ht="17.7" customHeight="1">
      <c r="B57" s="363"/>
      <c r="C57" s="364"/>
      <c r="D57" s="365"/>
      <c r="E57" s="365"/>
      <c r="F57" s="43"/>
      <c r="G57" s="41"/>
      <c r="H57" s="41"/>
      <c r="I57" s="42"/>
      <c r="J57" s="295" t="s">
        <v>131</v>
      </c>
      <c r="K57" s="324"/>
      <c r="L57" s="294"/>
      <c r="M57" s="294"/>
      <c r="N57" s="294"/>
      <c r="O57" s="294"/>
      <c r="P57" s="12"/>
      <c r="R57" s="23"/>
      <c r="BC57" s="44"/>
      <c r="BD57" s="44"/>
    </row>
    <row r="58" spans="2:56" ht="15.75" customHeight="1">
      <c r="B58" s="45"/>
      <c r="C58" s="11"/>
      <c r="D58" s="11"/>
      <c r="E58" s="46"/>
      <c r="F58" s="23"/>
      <c r="G58" s="11"/>
      <c r="H58" s="41"/>
      <c r="I58" s="42"/>
      <c r="J58" s="346" t="s">
        <v>130</v>
      </c>
      <c r="K58" s="324">
        <f>SUM(K48:K57)</f>
        <v>6</v>
      </c>
      <c r="L58" s="294"/>
      <c r="M58" s="294"/>
      <c r="N58" s="294"/>
      <c r="O58" s="294"/>
      <c r="P58" s="12"/>
    </row>
    <row r="59" spans="2:56" ht="20.25" customHeight="1">
      <c r="B59" s="15" t="s">
        <v>42</v>
      </c>
      <c r="C59" s="1" t="s">
        <v>43</v>
      </c>
      <c r="D59" s="1"/>
      <c r="E59" s="1"/>
      <c r="I59" s="42"/>
      <c r="L59" s="294"/>
      <c r="P59" s="334"/>
    </row>
    <row r="60" spans="2:56" ht="15" customHeight="1" thickBot="1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8"/>
      <c r="O60" s="48"/>
      <c r="P60" s="49"/>
      <c r="W60" s="275" t="s">
        <v>41</v>
      </c>
    </row>
    <row r="61" spans="2:56" ht="15" customHeight="1" thickBot="1">
      <c r="B61" s="466" t="s">
        <v>17</v>
      </c>
      <c r="C61" s="466" t="s">
        <v>44</v>
      </c>
      <c r="D61" s="478" t="s">
        <v>45</v>
      </c>
      <c r="E61" s="480" t="s">
        <v>46</v>
      </c>
      <c r="F61" s="474" t="s">
        <v>47</v>
      </c>
      <c r="G61" s="464" t="s">
        <v>48</v>
      </c>
      <c r="H61" s="466" t="s">
        <v>49</v>
      </c>
      <c r="I61" s="466" t="s">
        <v>50</v>
      </c>
      <c r="J61" s="458" t="s">
        <v>28</v>
      </c>
      <c r="K61" s="470" t="s">
        <v>51</v>
      </c>
      <c r="L61" s="472" t="s">
        <v>52</v>
      </c>
      <c r="M61" s="458" t="s">
        <v>53</v>
      </c>
      <c r="N61" s="13"/>
      <c r="O61" s="13"/>
      <c r="P61" s="50"/>
    </row>
    <row r="62" spans="2:56" ht="28.5" customHeight="1" thickTop="1" thickBot="1">
      <c r="B62" s="467"/>
      <c r="C62" s="467"/>
      <c r="D62" s="479"/>
      <c r="E62" s="481"/>
      <c r="F62" s="475"/>
      <c r="G62" s="465"/>
      <c r="H62" s="467"/>
      <c r="I62" s="467"/>
      <c r="J62" s="459"/>
      <c r="K62" s="471"/>
      <c r="L62" s="473"/>
      <c r="M62" s="459"/>
      <c r="N62" s="13"/>
      <c r="O62" s="13"/>
      <c r="P62" s="50"/>
      <c r="Q62" s="355"/>
      <c r="R62" s="355"/>
      <c r="S62" s="355"/>
      <c r="T62" s="51">
        <v>43466</v>
      </c>
      <c r="U62" s="51">
        <v>43467</v>
      </c>
      <c r="V62" s="51">
        <v>43468</v>
      </c>
      <c r="W62" s="51">
        <v>43469</v>
      </c>
      <c r="X62" s="51">
        <v>43470</v>
      </c>
      <c r="Y62" s="51">
        <v>43471</v>
      </c>
      <c r="Z62" s="51">
        <v>43472</v>
      </c>
      <c r="AA62" s="51">
        <v>43473</v>
      </c>
      <c r="AB62" s="51">
        <v>43474</v>
      </c>
      <c r="AC62" s="51">
        <v>43475</v>
      </c>
      <c r="AD62" s="51">
        <v>43476</v>
      </c>
      <c r="AE62" s="51">
        <v>43477</v>
      </c>
      <c r="AF62" s="51">
        <v>43478</v>
      </c>
      <c r="AG62" s="51">
        <v>43479</v>
      </c>
      <c r="AH62" s="51">
        <v>43480</v>
      </c>
      <c r="AI62" s="51">
        <v>43481</v>
      </c>
      <c r="AJ62" s="51">
        <v>43482</v>
      </c>
      <c r="AK62" s="51">
        <v>43483</v>
      </c>
      <c r="AL62" s="51">
        <v>43484</v>
      </c>
      <c r="AM62" s="51">
        <v>43485</v>
      </c>
      <c r="AN62" s="51">
        <v>43486</v>
      </c>
      <c r="AO62" s="51">
        <v>43487</v>
      </c>
      <c r="AP62" s="51">
        <v>43488</v>
      </c>
      <c r="AQ62" s="51">
        <v>43489</v>
      </c>
      <c r="AR62" s="51">
        <v>43490</v>
      </c>
      <c r="AS62" s="51">
        <v>43491</v>
      </c>
      <c r="AT62" s="51">
        <v>43492</v>
      </c>
      <c r="AU62" s="51">
        <v>43493</v>
      </c>
      <c r="AV62" s="51">
        <v>43494</v>
      </c>
      <c r="AW62" s="51">
        <v>43495</v>
      </c>
      <c r="AX62" s="51">
        <v>43496</v>
      </c>
    </row>
    <row r="63" spans="2:56" s="54" customFormat="1" ht="59.25" hidden="1" customHeight="1" thickTop="1" thickBot="1">
      <c r="B63" s="415" t="str">
        <f>B71</f>
        <v>CARIB</v>
      </c>
      <c r="C63" s="283">
        <v>45756</v>
      </c>
      <c r="D63" s="377"/>
      <c r="E63" s="378"/>
      <c r="F63" s="379"/>
      <c r="G63" s="303"/>
      <c r="H63" s="320"/>
      <c r="I63" s="322"/>
      <c r="J63" s="360" t="s">
        <v>179</v>
      </c>
      <c r="K63" s="416"/>
      <c r="L63" s="281" t="e">
        <f>(((D63+E63)-G63)/(D63+E63))*100</f>
        <v>#DIV/0!</v>
      </c>
      <c r="M63" s="423" t="s">
        <v>177</v>
      </c>
      <c r="N63" s="13"/>
      <c r="O63" s="13"/>
      <c r="P63" s="50"/>
      <c r="S63" s="272" t="s">
        <v>54</v>
      </c>
      <c r="T63" s="279"/>
      <c r="U63" s="279"/>
      <c r="V63" s="279"/>
      <c r="W63" s="279"/>
      <c r="X63" s="279"/>
      <c r="Y63" s="279"/>
      <c r="Z63" s="279"/>
      <c r="AA63" s="279"/>
      <c r="AB63" s="279"/>
      <c r="AC63" s="279"/>
      <c r="AD63" s="279"/>
      <c r="AE63" s="279"/>
      <c r="AF63" s="279"/>
      <c r="AG63" s="279"/>
      <c r="AH63" s="279"/>
      <c r="AI63" s="279"/>
      <c r="AJ63" s="279"/>
      <c r="AK63" s="279"/>
      <c r="AL63" s="279"/>
      <c r="AM63" s="279"/>
      <c r="AN63" s="279"/>
      <c r="AO63" s="279"/>
      <c r="AP63" s="279"/>
      <c r="AQ63" s="279"/>
      <c r="AR63" s="279"/>
      <c r="AS63" s="279"/>
      <c r="AT63" s="279"/>
      <c r="AU63" s="279"/>
      <c r="AV63" s="279"/>
      <c r="AW63" s="279"/>
    </row>
    <row r="64" spans="2:56" s="54" customFormat="1" hidden="1">
      <c r="B64" s="415"/>
      <c r="C64" s="283"/>
      <c r="D64" s="377"/>
      <c r="E64" s="378"/>
      <c r="F64" s="379"/>
      <c r="G64" s="303"/>
      <c r="H64" s="320"/>
      <c r="I64" s="322"/>
      <c r="J64" s="398"/>
      <c r="K64" s="286"/>
      <c r="L64" s="314"/>
      <c r="M64" s="423"/>
      <c r="N64" s="13"/>
      <c r="O64" s="13"/>
      <c r="P64" s="50"/>
      <c r="S64" s="272"/>
      <c r="T64" s="420"/>
      <c r="U64" s="420"/>
      <c r="V64" s="420"/>
      <c r="W64" s="420"/>
      <c r="X64" s="420"/>
      <c r="Y64" s="420"/>
      <c r="Z64" s="420"/>
      <c r="AA64" s="420"/>
      <c r="AB64" s="420"/>
      <c r="AC64" s="420"/>
      <c r="AD64" s="420"/>
      <c r="AE64" s="420"/>
      <c r="AF64" s="420"/>
      <c r="AG64" s="420"/>
      <c r="AH64" s="420"/>
      <c r="AI64" s="420"/>
      <c r="AJ64" s="420"/>
      <c r="AK64" s="420"/>
      <c r="AL64" s="420"/>
      <c r="AM64" s="420"/>
      <c r="AN64" s="420"/>
      <c r="AO64" s="420"/>
      <c r="AP64" s="420"/>
      <c r="AQ64" s="420"/>
      <c r="AR64" s="420"/>
      <c r="AS64" s="420"/>
      <c r="AT64" s="420"/>
      <c r="AU64" s="420"/>
      <c r="AV64" s="420"/>
      <c r="AW64" s="420"/>
    </row>
    <row r="65" spans="2:57" s="54" customFormat="1" ht="59.25" hidden="1" customHeight="1">
      <c r="B65" s="441" t="str">
        <f>J52</f>
        <v>STARMALT</v>
      </c>
      <c r="C65" s="283">
        <v>45756</v>
      </c>
      <c r="D65" s="377"/>
      <c r="E65" s="378"/>
      <c r="F65" s="379"/>
      <c r="G65" s="303"/>
      <c r="H65" s="320"/>
      <c r="I65" s="322"/>
      <c r="J65" s="360" t="s">
        <v>178</v>
      </c>
      <c r="K65" s="286"/>
      <c r="L65" s="391" t="e">
        <f>(((D65+E65)-G65)/(D65+E65))*100</f>
        <v>#DIV/0!</v>
      </c>
      <c r="M65" s="423" t="s">
        <v>174</v>
      </c>
      <c r="N65" s="13"/>
      <c r="O65" s="13"/>
      <c r="P65" s="50"/>
      <c r="S65" s="272"/>
      <c r="T65" s="420"/>
      <c r="U65" s="420"/>
      <c r="V65" s="420"/>
      <c r="W65" s="420"/>
      <c r="X65" s="420"/>
      <c r="Y65" s="420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  <c r="AK65" s="420"/>
      <c r="AL65" s="420"/>
      <c r="AM65" s="420"/>
      <c r="AN65" s="420"/>
      <c r="AO65" s="420"/>
      <c r="AP65" s="420"/>
      <c r="AQ65" s="420"/>
      <c r="AR65" s="420"/>
      <c r="AS65" s="420"/>
      <c r="AT65" s="420"/>
      <c r="AU65" s="420"/>
      <c r="AV65" s="420"/>
      <c r="AW65" s="420"/>
    </row>
    <row r="66" spans="2:57" s="54" customFormat="1">
      <c r="B66" s="387"/>
      <c r="C66" s="283"/>
      <c r="D66" s="279"/>
      <c r="E66" s="279"/>
      <c r="F66" s="279"/>
      <c r="G66" s="279"/>
      <c r="H66" s="320"/>
      <c r="I66" s="322"/>
      <c r="J66" s="281"/>
      <c r="K66" s="417"/>
      <c r="L66" s="314"/>
      <c r="M66" s="425"/>
      <c r="N66" s="13"/>
      <c r="O66" s="13"/>
      <c r="P66" s="50"/>
      <c r="S66" s="272" t="s">
        <v>51</v>
      </c>
      <c r="T66" s="57" t="e">
        <f>[20]January_2019!D8</f>
        <v>#DIV/0!</v>
      </c>
      <c r="U66" s="57">
        <f>[20]January_2019!E8</f>
        <v>1.0319298245614037</v>
      </c>
      <c r="V66" s="57">
        <f>[20]January_2019!F8</f>
        <v>1.7789473684210526</v>
      </c>
      <c r="W66" s="57">
        <f>[20]January_2019!G8</f>
        <v>0.51929824561403504</v>
      </c>
      <c r="X66" s="57" t="e">
        <f>[20]January_2019!H8</f>
        <v>#DIV/0!</v>
      </c>
      <c r="Y66" s="57" t="e">
        <f>[20]January_2019!I8</f>
        <v>#DIV/0!</v>
      </c>
      <c r="Z66" s="57">
        <f>[20]January_2019!J8</f>
        <v>1.365263157894737</v>
      </c>
      <c r="AA66" s="57" t="e">
        <f>[20]January_2019!K8</f>
        <v>#DIV/0!</v>
      </c>
      <c r="AB66" s="57">
        <f>[20]January_2019!L8</f>
        <v>1.0028070175438597</v>
      </c>
      <c r="AC66" s="57">
        <f>[20]January_2019!M8</f>
        <v>1.7828070175438597</v>
      </c>
      <c r="AD66" s="57" t="e">
        <f>[20]January_2019!N8</f>
        <v>#DIV/0!</v>
      </c>
      <c r="AE66" s="57" t="e">
        <f>[20]January_2019!O8</f>
        <v>#DIV/0!</v>
      </c>
      <c r="AF66" s="57">
        <f>[20]January_2019!P8</f>
        <v>0.19222222222222221</v>
      </c>
      <c r="AG66" s="57">
        <f>[20]January_2019!Q8</f>
        <v>0.52219298245614032</v>
      </c>
      <c r="AH66" s="57">
        <f>[20]January_2019!R8</f>
        <v>0.42912280701754385</v>
      </c>
      <c r="AI66" s="57" t="e">
        <f>[20]January_2019!S8</f>
        <v>#DIV/0!</v>
      </c>
      <c r="AJ66" s="57">
        <f>[20]January_2019!T8</f>
        <v>1.0340350877192983</v>
      </c>
      <c r="AK66" s="57">
        <f>[20]January_2019!U8</f>
        <v>0.98421052631578942</v>
      </c>
      <c r="AL66" s="57" t="e">
        <f>[20]January_2019!V8</f>
        <v>#DIV/0!</v>
      </c>
      <c r="AM66" s="57" t="e">
        <f>[20]January_2019!W8</f>
        <v>#DIV/0!</v>
      </c>
      <c r="AN66" s="57">
        <f>[20]January_2019!X8</f>
        <v>0.66052631578947374</v>
      </c>
      <c r="AO66" s="57">
        <f>[20]January_2019!Y8</f>
        <v>1.0375438596491227</v>
      </c>
      <c r="AP66" s="57">
        <f>[20]January_2019!Z8</f>
        <v>0.90456140350877201</v>
      </c>
      <c r="AQ66" s="57">
        <f>[20]January_2019!AA8</f>
        <v>1.0217543859649123</v>
      </c>
      <c r="AR66" s="57">
        <f>[20]January_2019!AB8</f>
        <v>0.65614035087719302</v>
      </c>
      <c r="AS66" s="57" t="e">
        <f>[20]January_2019!AC8</f>
        <v>#DIV/0!</v>
      </c>
      <c r="AT66" s="57" t="e">
        <f>[20]January_2019!AD8</f>
        <v>#DIV/0!</v>
      </c>
      <c r="AU66" s="57">
        <f>[20]January_2019!AE8</f>
        <v>1.7021052631578948</v>
      </c>
      <c r="AV66" s="57">
        <f>[20]January_2019!AF8</f>
        <v>0.60192982456140354</v>
      </c>
      <c r="AW66" s="57">
        <f>[20]January_2019!AG8</f>
        <v>1.4870175438596491</v>
      </c>
      <c r="AX66" s="277" t="e">
        <f>[20]January_2019!AH8</f>
        <v>#DIV/0!</v>
      </c>
      <c r="AY66" s="277"/>
      <c r="AZ66" s="277"/>
      <c r="BA66" s="277"/>
      <c r="BB66" s="277"/>
      <c r="BC66" s="277"/>
      <c r="BD66" s="277"/>
      <c r="BE66" s="277"/>
    </row>
    <row r="67" spans="2:57" ht="58.5" hidden="1" customHeight="1">
      <c r="B67" s="426"/>
      <c r="C67" s="427"/>
      <c r="D67" s="428"/>
      <c r="E67" s="428"/>
      <c r="F67" s="428"/>
      <c r="G67" s="428"/>
      <c r="H67" s="429"/>
      <c r="I67" s="430"/>
      <c r="J67" s="390"/>
      <c r="K67" s="431"/>
      <c r="L67" s="432"/>
      <c r="M67" s="424"/>
      <c r="N67" s="13"/>
      <c r="O67" s="13"/>
      <c r="P67" s="56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6"/>
      <c r="P68" s="60"/>
    </row>
    <row r="69" spans="2:57" ht="14.4" thickBot="1">
      <c r="B69" s="460" t="s">
        <v>55</v>
      </c>
      <c r="C69" s="461"/>
      <c r="D69" s="461"/>
      <c r="E69" s="461"/>
      <c r="F69" s="462"/>
      <c r="G69" s="460" t="s">
        <v>56</v>
      </c>
      <c r="H69" s="461"/>
      <c r="I69" s="461"/>
      <c r="J69" s="462"/>
      <c r="K69" s="460" t="s">
        <v>51</v>
      </c>
      <c r="L69" s="461"/>
      <c r="M69" s="461"/>
      <c r="N69" s="463"/>
      <c r="O69" s="56"/>
      <c r="P69" s="50"/>
    </row>
    <row r="70" spans="2:57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>
      <c r="B71" s="29" t="s">
        <v>6</v>
      </c>
      <c r="C71" s="65"/>
      <c r="D71" s="76">
        <v>7.5171319009387672</v>
      </c>
      <c r="E71" s="76">
        <v>7.0885200168628666</v>
      </c>
      <c r="F71" s="66">
        <v>4.8</v>
      </c>
      <c r="G71" s="65"/>
      <c r="H71" s="76">
        <v>6.8820267450350876</v>
      </c>
      <c r="I71" s="76">
        <v>7.6296668446429754</v>
      </c>
      <c r="J71" s="66">
        <v>4.8</v>
      </c>
      <c r="K71" s="67"/>
      <c r="L71" s="194">
        <v>0.66596491228070187</v>
      </c>
      <c r="M71" s="194">
        <v>0.76460102259565865</v>
      </c>
      <c r="N71" s="68">
        <v>1</v>
      </c>
      <c r="O71" s="56"/>
      <c r="P71" s="69"/>
    </row>
    <row r="72" spans="2:57">
      <c r="B72" s="33" t="s">
        <v>9</v>
      </c>
      <c r="C72" s="65"/>
      <c r="D72" s="76">
        <v>3.0399999999999916</v>
      </c>
      <c r="E72" s="76">
        <v>6.1450503324783652</v>
      </c>
      <c r="F72" s="66">
        <v>4.8</v>
      </c>
      <c r="G72" s="65"/>
      <c r="H72" s="76">
        <v>3.3848422062629528</v>
      </c>
      <c r="I72" s="76">
        <v>7.1307630784690605</v>
      </c>
      <c r="J72" s="66">
        <v>4.8</v>
      </c>
      <c r="K72" s="67"/>
      <c r="L72" s="194">
        <v>1.0315789473684212</v>
      </c>
      <c r="M72" s="194">
        <v>0.74532724485267055</v>
      </c>
      <c r="N72" s="68">
        <v>1</v>
      </c>
      <c r="P72" s="69"/>
    </row>
    <row r="73" spans="2:57">
      <c r="B73" s="34" t="s">
        <v>40</v>
      </c>
      <c r="C73" s="65"/>
      <c r="D73" s="76">
        <v>10.826844642195047</v>
      </c>
      <c r="E73" s="76">
        <v>13.125604223990466</v>
      </c>
      <c r="F73" s="66">
        <v>5.5</v>
      </c>
      <c r="G73" s="65"/>
      <c r="H73" s="76">
        <v>10.823247958374074</v>
      </c>
      <c r="I73" s="76">
        <v>13.879185403587476</v>
      </c>
      <c r="J73" s="66">
        <v>5.5</v>
      </c>
      <c r="K73" s="67"/>
      <c r="L73" s="194">
        <v>0.42192982456140349</v>
      </c>
      <c r="M73" s="194">
        <v>0.5124236387782205</v>
      </c>
      <c r="N73" s="68">
        <v>1</v>
      </c>
      <c r="P73" s="69"/>
    </row>
    <row r="74" spans="2:57">
      <c r="B74" s="22" t="s">
        <v>33</v>
      </c>
      <c r="C74" s="65"/>
      <c r="D74" s="76"/>
      <c r="E74" s="76">
        <v>3.9190537266638161</v>
      </c>
      <c r="F74" s="66">
        <v>3.3</v>
      </c>
      <c r="G74" s="65"/>
      <c r="H74" s="76"/>
      <c r="I74" s="76">
        <v>6.209437755460022</v>
      </c>
      <c r="J74" s="66">
        <v>3.3</v>
      </c>
      <c r="K74" s="67"/>
      <c r="L74" s="194"/>
      <c r="M74" s="194">
        <v>0.75184210526315787</v>
      </c>
      <c r="N74" s="68">
        <v>1</v>
      </c>
      <c r="P74" s="69"/>
    </row>
    <row r="75" spans="2:57">
      <c r="B75" s="35" t="s">
        <v>29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L75" s="194"/>
      <c r="M75" s="194"/>
      <c r="N75" s="68">
        <v>1</v>
      </c>
      <c r="P75" s="69"/>
    </row>
    <row r="76" spans="2:57">
      <c r="B76" s="36" t="s">
        <v>15</v>
      </c>
      <c r="C76" s="282"/>
      <c r="D76" s="76"/>
      <c r="E76" s="76">
        <v>8.7664670658682695</v>
      </c>
      <c r="F76" s="70">
        <f>[21]May_2022!$M$43</f>
        <v>3.4878406700073312</v>
      </c>
      <c r="G76" s="282"/>
      <c r="H76" s="76"/>
      <c r="I76" s="76">
        <v>10.607235567685406</v>
      </c>
      <c r="J76" s="66">
        <v>5.5</v>
      </c>
      <c r="K76" s="67"/>
      <c r="L76" s="194"/>
      <c r="M76" s="194">
        <v>0.66824561403508764</v>
      </c>
      <c r="N76" s="68">
        <v>1</v>
      </c>
      <c r="P76" s="69"/>
    </row>
    <row r="77" spans="2:57">
      <c r="B77" s="37" t="s">
        <v>16</v>
      </c>
      <c r="C77" s="65"/>
      <c r="D77" s="76">
        <v>0.39</v>
      </c>
      <c r="E77" s="76">
        <v>1.85607294041028</v>
      </c>
      <c r="F77" s="66">
        <v>3.3</v>
      </c>
      <c r="G77" s="282"/>
      <c r="H77" s="76">
        <v>3.9053322254376623</v>
      </c>
      <c r="I77" s="76">
        <v>4.5764571827076486</v>
      </c>
      <c r="J77" s="66">
        <v>3.3</v>
      </c>
      <c r="K77" s="67"/>
      <c r="L77" s="194">
        <v>0.71754385964912282</v>
      </c>
      <c r="M77" s="194">
        <v>0.83594855305466242</v>
      </c>
      <c r="N77" s="71">
        <v>1</v>
      </c>
      <c r="P77" s="69"/>
    </row>
    <row r="78" spans="2:57" ht="14.4" thickBot="1">
      <c r="B78" s="38" t="s">
        <v>127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4.4" thickBot="1">
      <c r="B79" s="418" t="s">
        <v>162</v>
      </c>
      <c r="C79" s="65"/>
      <c r="D79" s="76"/>
      <c r="E79" s="76">
        <v>4.8792508624938291</v>
      </c>
      <c r="F79" s="66">
        <v>4.8</v>
      </c>
      <c r="G79" s="282"/>
      <c r="H79" s="76"/>
      <c r="I79" s="76">
        <v>6.2003723782925313</v>
      </c>
      <c r="J79" s="66">
        <v>4.8</v>
      </c>
      <c r="K79" s="67"/>
      <c r="L79" s="194"/>
      <c r="M79" s="194">
        <v>0.33859649122807017</v>
      </c>
      <c r="N79" s="71">
        <v>1</v>
      </c>
      <c r="O79" s="74"/>
      <c r="P79" s="75"/>
    </row>
    <row r="80" spans="2:57">
      <c r="D80" s="76">
        <v>6.4665878291752383</v>
      </c>
      <c r="E80" s="76">
        <v>6.9124986911451467</v>
      </c>
      <c r="F80" s="341">
        <v>5.5</v>
      </c>
      <c r="H80" s="76">
        <v>6.1895784614339426</v>
      </c>
      <c r="I80" s="76">
        <v>7.972108210276696</v>
      </c>
      <c r="J80" s="341">
        <v>5.5</v>
      </c>
      <c r="K80" s="67"/>
      <c r="L80" s="194">
        <v>0.71984210526315795</v>
      </c>
      <c r="M80" s="194">
        <v>0.73153314880717013</v>
      </c>
      <c r="N80" s="386">
        <v>1</v>
      </c>
    </row>
    <row r="84" spans="6:29">
      <c r="F84" s="315"/>
    </row>
    <row r="92" spans="6:29">
      <c r="AC92" s="275" t="s">
        <v>57</v>
      </c>
    </row>
  </sheetData>
  <mergeCells count="52">
    <mergeCell ref="M4:N4"/>
    <mergeCell ref="S1:T1"/>
    <mergeCell ref="U1:V1"/>
    <mergeCell ref="W1:X1"/>
    <mergeCell ref="Y1:Z1"/>
    <mergeCell ref="B2:O2"/>
    <mergeCell ref="I8:I9"/>
    <mergeCell ref="C5:D5"/>
    <mergeCell ref="B8:B9"/>
    <mergeCell ref="C8:C9"/>
    <mergeCell ref="D8:D9"/>
    <mergeCell ref="G8:G9"/>
    <mergeCell ref="M61:M62"/>
    <mergeCell ref="Q8:Q9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J8:J9"/>
    <mergeCell ref="K8:K9"/>
    <mergeCell ref="L8:L9"/>
    <mergeCell ref="M8:M9"/>
    <mergeCell ref="P8:P9"/>
    <mergeCell ref="B46:B55"/>
    <mergeCell ref="D46:E47"/>
    <mergeCell ref="J46:K46"/>
    <mergeCell ref="L47:N47"/>
    <mergeCell ref="D48:E49"/>
    <mergeCell ref="D50:E51"/>
    <mergeCell ref="D52:E53"/>
    <mergeCell ref="D54:E55"/>
    <mergeCell ref="B69:F69"/>
    <mergeCell ref="G69:J69"/>
    <mergeCell ref="K69:N69"/>
    <mergeCell ref="H8:H9"/>
    <mergeCell ref="G61:G62"/>
    <mergeCell ref="H61:H62"/>
    <mergeCell ref="I61:I62"/>
    <mergeCell ref="J61:J62"/>
    <mergeCell ref="K61:K62"/>
    <mergeCell ref="L61:L62"/>
    <mergeCell ref="D56:E56"/>
    <mergeCell ref="B61:B62"/>
    <mergeCell ref="C61:C62"/>
    <mergeCell ref="D61:D62"/>
    <mergeCell ref="E61:E62"/>
    <mergeCell ref="F61:F62"/>
  </mergeCells>
  <conditionalFormatting sqref="B56:B57">
    <cfRule type="cellIs" dxfId="1933" priority="124" operator="notBetween">
      <formula>#REF!</formula>
      <formula>#REF!</formula>
    </cfRule>
  </conditionalFormatting>
  <conditionalFormatting sqref="C60">
    <cfRule type="cellIs" dxfId="1932" priority="156" stopIfTrue="1" operator="greaterThan">
      <formula>100</formula>
    </cfRule>
    <cfRule type="cellIs" dxfId="1931" priority="155" stopIfTrue="1" operator="lessThan">
      <formula>96</formula>
    </cfRule>
  </conditionalFormatting>
  <conditionalFormatting sqref="C71">
    <cfRule type="cellIs" dxfId="1930" priority="83" stopIfTrue="1" operator="greaterThan">
      <formula>$F71</formula>
    </cfRule>
  </conditionalFormatting>
  <conditionalFormatting sqref="C71:C72">
    <cfRule type="cellIs" dxfId="1929" priority="84" stopIfTrue="1" operator="lessThanOrEqual">
      <formula>0</formula>
    </cfRule>
  </conditionalFormatting>
  <conditionalFormatting sqref="C72">
    <cfRule type="cellIs" dxfId="1928" priority="159" stopIfTrue="1" operator="greaterThan">
      <formula>$F71</formula>
    </cfRule>
  </conditionalFormatting>
  <conditionalFormatting sqref="C73:C75">
    <cfRule type="cellIs" dxfId="1927" priority="104" stopIfTrue="1" operator="greaterThan">
      <formula>$F73</formula>
    </cfRule>
  </conditionalFormatting>
  <conditionalFormatting sqref="C73:C76">
    <cfRule type="cellIs" dxfId="1926" priority="108" stopIfTrue="1" operator="lessThanOrEqual">
      <formula>0</formula>
    </cfRule>
  </conditionalFormatting>
  <conditionalFormatting sqref="C76">
    <cfRule type="cellIs" dxfId="1925" priority="107" stopIfTrue="1" operator="greaterThan">
      <formula>$J76</formula>
    </cfRule>
  </conditionalFormatting>
  <conditionalFormatting sqref="C82:C86">
    <cfRule type="cellIs" dxfId="1924" priority="147" stopIfTrue="1" operator="lessThanOrEqual">
      <formula>0</formula>
    </cfRule>
  </conditionalFormatting>
  <conditionalFormatting sqref="C83:C86">
    <cfRule type="cellIs" dxfId="1923" priority="146" stopIfTrue="1" operator="greaterThan">
      <formula>$F$82</formula>
    </cfRule>
  </conditionalFormatting>
  <conditionalFormatting sqref="C88">
    <cfRule type="cellIs" dxfId="1922" priority="148" stopIfTrue="1" operator="greaterThan">
      <formula>$F$82</formula>
    </cfRule>
    <cfRule type="cellIs" dxfId="1921" priority="149" stopIfTrue="1" operator="lessThanOrEqual">
      <formula>0</formula>
    </cfRule>
  </conditionalFormatting>
  <conditionalFormatting sqref="C82:D82 D84:D90">
    <cfRule type="cellIs" dxfId="1920" priority="141" stopIfTrue="1" operator="greaterThan">
      <formula>4.5</formula>
    </cfRule>
  </conditionalFormatting>
  <conditionalFormatting sqref="D56:D57">
    <cfRule type="cellIs" dxfId="1919" priority="125" operator="notBetween">
      <formula>#REF!</formula>
      <formula>#REF!</formula>
    </cfRule>
  </conditionalFormatting>
  <conditionalFormatting sqref="D71:D78">
    <cfRule type="cellIs" dxfId="1918" priority="118" stopIfTrue="1" operator="lessThanOrEqual">
      <formula>0</formula>
    </cfRule>
  </conditionalFormatting>
  <conditionalFormatting sqref="D79">
    <cfRule type="cellIs" dxfId="1917" priority="117" stopIfTrue="1" operator="lessThanOrEqual">
      <formula>0</formula>
    </cfRule>
  </conditionalFormatting>
  <conditionalFormatting sqref="D82 D84:D90">
    <cfRule type="cellIs" dxfId="1916" priority="142" stopIfTrue="1" operator="lessThanOrEqual">
      <formula>0</formula>
    </cfRule>
  </conditionalFormatting>
  <conditionalFormatting sqref="D83">
    <cfRule type="cellIs" dxfId="1915" priority="134" stopIfTrue="1" operator="lessThanOrEqual">
      <formula>0</formula>
    </cfRule>
    <cfRule type="cellIs" dxfId="1914" priority="133" stopIfTrue="1" operator="greaterThan">
      <formula>$F$82</formula>
    </cfRule>
  </conditionalFormatting>
  <conditionalFormatting sqref="D71:E80">
    <cfRule type="cellIs" dxfId="1913" priority="80" stopIfTrue="1" operator="greaterThan">
      <formula>$F71</formula>
    </cfRule>
  </conditionalFormatting>
  <conditionalFormatting sqref="D80:E80">
    <cfRule type="cellIs" dxfId="1912" priority="81" stopIfTrue="1" operator="lessThanOrEqual">
      <formula>0</formula>
    </cfRule>
  </conditionalFormatting>
  <conditionalFormatting sqref="E10:E31">
    <cfRule type="cellIs" dxfId="1911" priority="21" operator="lessThan">
      <formula>48</formula>
    </cfRule>
  </conditionalFormatting>
  <conditionalFormatting sqref="E60">
    <cfRule type="cellIs" dxfId="1910" priority="135" stopIfTrue="1" operator="lessThan">
      <formula>96.8</formula>
    </cfRule>
    <cfRule type="cellIs" dxfId="1909" priority="136" stopIfTrue="1" operator="greaterThan">
      <formula>100</formula>
    </cfRule>
  </conditionalFormatting>
  <conditionalFormatting sqref="E71:E79">
    <cfRule type="cellIs" dxfId="1908" priority="112" stopIfTrue="1" operator="lessThanOrEqual">
      <formula>0</formula>
    </cfRule>
  </conditionalFormatting>
  <conditionalFormatting sqref="E82:E90">
    <cfRule type="cellIs" dxfId="1907" priority="128" stopIfTrue="1" operator="lessThanOrEqual">
      <formula>0</formula>
    </cfRule>
    <cfRule type="cellIs" dxfId="1906" priority="127" stopIfTrue="1" operator="greaterThan">
      <formula>4.5</formula>
    </cfRule>
  </conditionalFormatting>
  <conditionalFormatting sqref="E59:F60">
    <cfRule type="cellIs" dxfId="1905" priority="137" stopIfTrue="1" operator="lessThan">
      <formula>96.5</formula>
    </cfRule>
    <cfRule type="cellIs" dxfId="1904" priority="138" stopIfTrue="1" operator="greaterThan">
      <formula>100</formula>
    </cfRule>
  </conditionalFormatting>
  <conditionalFormatting sqref="F10:F31">
    <cfRule type="cellIs" dxfId="1903" priority="23" operator="greaterThan">
      <formula>60</formula>
    </cfRule>
  </conditionalFormatting>
  <conditionalFormatting sqref="F60">
    <cfRule type="cellIs" dxfId="1902" priority="153" stopIfTrue="1" operator="lessThan">
      <formula>96.8</formula>
    </cfRule>
    <cfRule type="cellIs" dxfId="1901" priority="154" stopIfTrue="1" operator="greaterThan">
      <formula>100</formula>
    </cfRule>
  </conditionalFormatting>
  <conditionalFormatting sqref="F80">
    <cfRule type="cellIs" dxfId="1900" priority="113" stopIfTrue="1" operator="greaterThan">
      <formula>$F80</formula>
    </cfRule>
    <cfRule type="cellIs" dxfId="1899" priority="114" stopIfTrue="1" operator="lessThanOrEqual">
      <formula>0</formula>
    </cfRule>
  </conditionalFormatting>
  <conditionalFormatting sqref="G71:G72 C77:C79">
    <cfRule type="cellIs" dxfId="1898" priority="120" stopIfTrue="1" operator="lessThanOrEqual">
      <formula>0</formula>
    </cfRule>
    <cfRule type="cellIs" dxfId="1897" priority="119" stopIfTrue="1" operator="greaterThan">
      <formula>$F71</formula>
    </cfRule>
  </conditionalFormatting>
  <conditionalFormatting sqref="G71:G72">
    <cfRule type="cellIs" dxfId="1896" priority="85" stopIfTrue="1" operator="greaterThan">
      <formula>$F71</formula>
    </cfRule>
    <cfRule type="cellIs" dxfId="1895" priority="86" stopIfTrue="1" operator="lessThanOrEqual">
      <formula>0</formula>
    </cfRule>
  </conditionalFormatting>
  <conditionalFormatting sqref="G73">
    <cfRule type="cellIs" dxfId="1894" priority="158" stopIfTrue="1" operator="lessThanOrEqual">
      <formula>0</formula>
    </cfRule>
    <cfRule type="cellIs" dxfId="1893" priority="157" stopIfTrue="1" operator="greaterThan">
      <formula>$F72</formula>
    </cfRule>
  </conditionalFormatting>
  <conditionalFormatting sqref="G74">
    <cfRule type="cellIs" dxfId="1892" priority="116" stopIfTrue="1" operator="lessThanOrEqual">
      <formula>0</formula>
    </cfRule>
    <cfRule type="cellIs" dxfId="1891" priority="115" stopIfTrue="1" operator="greaterThan">
      <formula>$F74</formula>
    </cfRule>
  </conditionalFormatting>
  <conditionalFormatting sqref="G75:G79">
    <cfRule type="cellIs" dxfId="1890" priority="121" stopIfTrue="1" operator="greaterThan">
      <formula>$J75</formula>
    </cfRule>
    <cfRule type="cellIs" dxfId="1889" priority="122" stopIfTrue="1" operator="lessThanOrEqual">
      <formula>0</formula>
    </cfRule>
  </conditionalFormatting>
  <conditionalFormatting sqref="G84:G89 C87 C89">
    <cfRule type="cellIs" dxfId="1888" priority="150" stopIfTrue="1" operator="greaterThan">
      <formula>4.5</formula>
    </cfRule>
    <cfRule type="cellIs" dxfId="1887" priority="151" stopIfTrue="1" operator="lessThanOrEqual">
      <formula>0</formula>
    </cfRule>
  </conditionalFormatting>
  <conditionalFormatting sqref="G10:H31">
    <cfRule type="expression" dxfId="1886" priority="14">
      <formula>IF(+(IF(G10&lt;#REF!,0,IF(G10&gt;#REF!,0,1)))=0,1)</formula>
    </cfRule>
  </conditionalFormatting>
  <conditionalFormatting sqref="G83:H83">
    <cfRule type="cellIs" dxfId="1885" priority="132" stopIfTrue="1" operator="lessThanOrEqual">
      <formula>0</formula>
    </cfRule>
    <cfRule type="cellIs" dxfId="1884" priority="131" stopIfTrue="1" operator="greaterThan">
      <formula>$F$82</formula>
    </cfRule>
  </conditionalFormatting>
  <conditionalFormatting sqref="H45:H58 G46:G57">
    <cfRule type="cellIs" dxfId="1883" priority="129" stopIfTrue="1" operator="greaterThan">
      <formula>0</formula>
    </cfRule>
  </conditionalFormatting>
  <conditionalFormatting sqref="H63:H64">
    <cfRule type="cellIs" dxfId="1882" priority="54" stopIfTrue="1" operator="greaterThan">
      <formula>$F$44</formula>
    </cfRule>
    <cfRule type="cellIs" dxfId="1881" priority="62" stopIfTrue="1" operator="greaterThan">
      <formula>$F$47</formula>
    </cfRule>
    <cfRule type="cellIs" dxfId="1880" priority="63" stopIfTrue="1" operator="lessThanOrEqual">
      <formula>0</formula>
    </cfRule>
    <cfRule type="cellIs" dxfId="1879" priority="64" stopIfTrue="1" operator="greaterThan">
      <formula>$F$45</formula>
    </cfRule>
    <cfRule type="cellIs" dxfId="1878" priority="65" stopIfTrue="1" operator="lessThanOrEqual">
      <formula>0</formula>
    </cfRule>
  </conditionalFormatting>
  <conditionalFormatting sqref="H63:H65">
    <cfRule type="cellIs" dxfId="1877" priority="39" stopIfTrue="1" operator="lessThanOrEqual">
      <formula>0</formula>
    </cfRule>
  </conditionalFormatting>
  <conditionalFormatting sqref="H65">
    <cfRule type="cellIs" dxfId="1876" priority="36" stopIfTrue="1" operator="greaterThan">
      <formula>$F$47</formula>
    </cfRule>
    <cfRule type="cellIs" dxfId="1875" priority="27" stopIfTrue="1" operator="lessThanOrEqual">
      <formula>0</formula>
    </cfRule>
    <cfRule type="cellIs" dxfId="1874" priority="28" stopIfTrue="1" operator="greaterThan">
      <formula>$F$44</formula>
    </cfRule>
    <cfRule type="cellIs" dxfId="1873" priority="37" stopIfTrue="1" operator="lessThanOrEqual">
      <formula>0</formula>
    </cfRule>
    <cfRule type="cellIs" dxfId="1872" priority="38" stopIfTrue="1" operator="greaterThan">
      <formula>$F$45</formula>
    </cfRule>
  </conditionalFormatting>
  <conditionalFormatting sqref="H66">
    <cfRule type="cellIs" dxfId="1871" priority="92" stopIfTrue="1" operator="greaterThan">
      <formula>$F$70</formula>
    </cfRule>
    <cfRule type="cellIs" dxfId="1870" priority="91" stopIfTrue="1" operator="lessThanOrEqual">
      <formula>0</formula>
    </cfRule>
    <cfRule type="cellIs" dxfId="1869" priority="102" stopIfTrue="1" operator="greaterThan">
      <formula>$F$71</formula>
    </cfRule>
    <cfRule type="cellIs" dxfId="1868" priority="103" stopIfTrue="1" operator="lessThanOrEqual">
      <formula>0</formula>
    </cfRule>
    <cfRule type="cellIs" dxfId="1867" priority="101" stopIfTrue="1" operator="lessThanOrEqual">
      <formula>0</formula>
    </cfRule>
    <cfRule type="cellIs" dxfId="1866" priority="100" stopIfTrue="1" operator="greaterThan">
      <formula>$F$73</formula>
    </cfRule>
  </conditionalFormatting>
  <conditionalFormatting sqref="H67">
    <cfRule type="cellIs" dxfId="1865" priority="52" stopIfTrue="1" operator="greaterThan">
      <formula>$F$45</formula>
    </cfRule>
    <cfRule type="cellIs" dxfId="1864" priority="51" stopIfTrue="1" operator="lessThanOrEqual">
      <formula>0</formula>
    </cfRule>
    <cfRule type="cellIs" dxfId="1863" priority="42" stopIfTrue="1" operator="greaterThan">
      <formula>$F$44</formula>
    </cfRule>
    <cfRule type="cellIs" dxfId="1862" priority="41" stopIfTrue="1" operator="lessThanOrEqual">
      <formula>0</formula>
    </cfRule>
    <cfRule type="cellIs" dxfId="1861" priority="50" stopIfTrue="1" operator="greaterThan">
      <formula>$F$47</formula>
    </cfRule>
    <cfRule type="cellIs" dxfId="1860" priority="53" stopIfTrue="1" operator="lessThanOrEqual">
      <formula>0</formula>
    </cfRule>
  </conditionalFormatting>
  <conditionalFormatting sqref="H71:H78">
    <cfRule type="cellIs" dxfId="1859" priority="106" stopIfTrue="1" operator="lessThanOrEqual">
      <formula>0</formula>
    </cfRule>
    <cfRule type="cellIs" dxfId="1858" priority="105" stopIfTrue="1" operator="greaterThan">
      <formula>$J71</formula>
    </cfRule>
  </conditionalFormatting>
  <conditionalFormatting sqref="H79">
    <cfRule type="cellIs" dxfId="1857" priority="109" operator="greaterThan">
      <formula>5.3</formula>
    </cfRule>
  </conditionalFormatting>
  <conditionalFormatting sqref="H82 H84:H90">
    <cfRule type="cellIs" dxfId="1856" priority="143" stopIfTrue="1" operator="greaterThan">
      <formula>4.5</formula>
    </cfRule>
    <cfRule type="cellIs" dxfId="1855" priority="144" stopIfTrue="1" operator="lessThanOrEqual">
      <formula>0</formula>
    </cfRule>
  </conditionalFormatting>
  <conditionalFormatting sqref="H63:I64">
    <cfRule type="cellIs" dxfId="1854" priority="55" stopIfTrue="1" operator="lessThanOrEqual">
      <formula>0</formula>
    </cfRule>
  </conditionalFormatting>
  <conditionalFormatting sqref="H63:I65">
    <cfRule type="cellIs" dxfId="1853" priority="26" stopIfTrue="1" operator="greaterThan">
      <formula>$F$46</formula>
    </cfRule>
  </conditionalFormatting>
  <conditionalFormatting sqref="H65:I65">
    <cfRule type="cellIs" dxfId="1852" priority="29" stopIfTrue="1" operator="lessThanOrEqual">
      <formula>0</formula>
    </cfRule>
  </conditionalFormatting>
  <conditionalFormatting sqref="H66:I66">
    <cfRule type="cellIs" dxfId="1851" priority="90" stopIfTrue="1" operator="greaterThan">
      <formula>$F$72</formula>
    </cfRule>
    <cfRule type="cellIs" dxfId="1850" priority="93" stopIfTrue="1" operator="lessThanOrEqual">
      <formula>0</formula>
    </cfRule>
  </conditionalFormatting>
  <conditionalFormatting sqref="H67:I67">
    <cfRule type="cellIs" dxfId="1849" priority="43" stopIfTrue="1" operator="lessThanOrEqual">
      <formula>0</formula>
    </cfRule>
    <cfRule type="cellIs" dxfId="1848" priority="40" stopIfTrue="1" operator="greaterThan">
      <formula>$F$46</formula>
    </cfRule>
  </conditionalFormatting>
  <conditionalFormatting sqref="H80:I80">
    <cfRule type="cellIs" dxfId="1847" priority="78" stopIfTrue="1" operator="greaterThan">
      <formula>$J80</formula>
    </cfRule>
    <cfRule type="cellIs" dxfId="1846" priority="79" stopIfTrue="1" operator="lessThanOrEqual">
      <formula>0</formula>
    </cfRule>
  </conditionalFormatting>
  <conditionalFormatting sqref="I63:I64">
    <cfRule type="cellIs" dxfId="1845" priority="60" stopIfTrue="1" operator="greaterThan">
      <formula>$F$44</formula>
    </cfRule>
    <cfRule type="cellIs" dxfId="1844" priority="59" stopIfTrue="1" operator="lessThanOrEqual">
      <formula>0</formula>
    </cfRule>
    <cfRule type="cellIs" dxfId="1843" priority="58" stopIfTrue="1" operator="greaterThan">
      <formula>$F$46</formula>
    </cfRule>
    <cfRule type="cellIs" dxfId="1842" priority="57" stopIfTrue="1" operator="lessThanOrEqual">
      <formula>0</formula>
    </cfRule>
    <cfRule type="cellIs" dxfId="1841" priority="56" stopIfTrue="1" operator="greaterThan">
      <formula>$F$44</formula>
    </cfRule>
    <cfRule type="cellIs" dxfId="1840" priority="61" stopIfTrue="1" operator="lessThanOrEqual">
      <formula>0</formula>
    </cfRule>
  </conditionalFormatting>
  <conditionalFormatting sqref="I65">
    <cfRule type="cellIs" dxfId="1839" priority="33" stopIfTrue="1" operator="lessThanOrEqual">
      <formula>0</formula>
    </cfRule>
    <cfRule type="cellIs" dxfId="1838" priority="34" stopIfTrue="1" operator="greaterThan">
      <formula>$F$44</formula>
    </cfRule>
    <cfRule type="cellIs" dxfId="1837" priority="35" stopIfTrue="1" operator="lessThanOrEqual">
      <formula>0</formula>
    </cfRule>
    <cfRule type="cellIs" dxfId="1836" priority="32" stopIfTrue="1" operator="greaterThan">
      <formula>$F$46</formula>
    </cfRule>
    <cfRule type="cellIs" dxfId="1835" priority="30" stopIfTrue="1" operator="greaterThan">
      <formula>$F$44</formula>
    </cfRule>
    <cfRule type="cellIs" dxfId="1834" priority="31" stopIfTrue="1" operator="lessThanOrEqual">
      <formula>0</formula>
    </cfRule>
  </conditionalFormatting>
  <conditionalFormatting sqref="I66">
    <cfRule type="cellIs" dxfId="1833" priority="99" stopIfTrue="1" operator="lessThanOrEqual">
      <formula>0</formula>
    </cfRule>
    <cfRule type="cellIs" dxfId="1832" priority="98" stopIfTrue="1" operator="greaterThan">
      <formula>$F$70</formula>
    </cfRule>
    <cfRule type="cellIs" dxfId="1831" priority="97" stopIfTrue="1" operator="lessThanOrEqual">
      <formula>0</formula>
    </cfRule>
    <cfRule type="cellIs" dxfId="1830" priority="94" stopIfTrue="1" operator="greaterThan">
      <formula>$F$70</formula>
    </cfRule>
    <cfRule type="cellIs" dxfId="1829" priority="95" stopIfTrue="1" operator="lessThanOrEqual">
      <formula>0</formula>
    </cfRule>
    <cfRule type="cellIs" dxfId="1828" priority="96" stopIfTrue="1" operator="greaterThan">
      <formula>$F$72</formula>
    </cfRule>
  </conditionalFormatting>
  <conditionalFormatting sqref="I67">
    <cfRule type="cellIs" dxfId="1827" priority="47" stopIfTrue="1" operator="lessThanOrEqual">
      <formula>0</formula>
    </cfRule>
    <cfRule type="cellIs" dxfId="1826" priority="46" stopIfTrue="1" operator="greaterThan">
      <formula>$F$46</formula>
    </cfRule>
    <cfRule type="cellIs" dxfId="1825" priority="45" stopIfTrue="1" operator="lessThanOrEqual">
      <formula>0</formula>
    </cfRule>
    <cfRule type="cellIs" dxfId="1824" priority="44" stopIfTrue="1" operator="greaterThan">
      <formula>$F$44</formula>
    </cfRule>
    <cfRule type="cellIs" dxfId="1823" priority="49" stopIfTrue="1" operator="lessThanOrEqual">
      <formula>0</formula>
    </cfRule>
    <cfRule type="cellIs" dxfId="1822" priority="48" stopIfTrue="1" operator="greaterThan">
      <formula>$F$44</formula>
    </cfRule>
  </conditionalFormatting>
  <conditionalFormatting sqref="I71:I79">
    <cfRule type="cellIs" dxfId="1821" priority="110" stopIfTrue="1" operator="greaterThan">
      <formula>$J71</formula>
    </cfRule>
    <cfRule type="cellIs" dxfId="1820" priority="111" stopIfTrue="1" operator="lessThanOrEqual">
      <formula>0</formula>
    </cfRule>
  </conditionalFormatting>
  <conditionalFormatting sqref="I82:I90">
    <cfRule type="cellIs" dxfId="1819" priority="140" stopIfTrue="1" operator="lessThanOrEqual">
      <formula>0</formula>
    </cfRule>
    <cfRule type="cellIs" dxfId="1818" priority="139" stopIfTrue="1" operator="greaterThan">
      <formula>4.5</formula>
    </cfRule>
  </conditionalFormatting>
  <conditionalFormatting sqref="I24:J31">
    <cfRule type="cellIs" dxfId="1817" priority="24" operator="lessThan">
      <formula>97.9</formula>
    </cfRule>
  </conditionalFormatting>
  <conditionalFormatting sqref="I10:K23">
    <cfRule type="cellIs" dxfId="1816" priority="1" operator="lessThan">
      <formula>97.9</formula>
    </cfRule>
  </conditionalFormatting>
  <conditionalFormatting sqref="J34:J36">
    <cfRule type="cellIs" dxfId="1815" priority="68" stopIfTrue="1" operator="lessThan">
      <formula>96.8</formula>
    </cfRule>
    <cfRule type="cellIs" dxfId="1814" priority="70" operator="lessThan">
      <formula>98</formula>
    </cfRule>
    <cfRule type="cellIs" dxfId="1813" priority="69" stopIfTrue="1" operator="greaterThan">
      <formula>100</formula>
    </cfRule>
  </conditionalFormatting>
  <conditionalFormatting sqref="J34:J38">
    <cfRule type="cellIs" dxfId="1812" priority="67" operator="lessThan">
      <formula>97.4</formula>
    </cfRule>
  </conditionalFormatting>
  <conditionalFormatting sqref="J40:J42">
    <cfRule type="cellIs" dxfId="1811" priority="72" stopIfTrue="1" operator="lessThan">
      <formula>96.8</formula>
    </cfRule>
    <cfRule type="cellIs" dxfId="1810" priority="73" stopIfTrue="1" operator="greaterThan">
      <formula>100</formula>
    </cfRule>
  </conditionalFormatting>
  <conditionalFormatting sqref="J40:J43">
    <cfRule type="cellIs" dxfId="1809" priority="74" operator="lessThan">
      <formula>98</formula>
    </cfRule>
  </conditionalFormatting>
  <conditionalFormatting sqref="J80">
    <cfRule type="cellIs" dxfId="1808" priority="76" stopIfTrue="1" operator="lessThanOrEqual">
      <formula>0</formula>
    </cfRule>
    <cfRule type="cellIs" dxfId="1807" priority="75" stopIfTrue="1" operator="greaterThan">
      <formula>$F80</formula>
    </cfRule>
  </conditionalFormatting>
  <conditionalFormatting sqref="K48:K57">
    <cfRule type="cellIs" dxfId="1806" priority="66" operator="notEqual">
      <formula>#REF!</formula>
    </cfRule>
  </conditionalFormatting>
  <conditionalFormatting sqref="K63:K67 K71:N74 L75:N75">
    <cfRule type="cellIs" dxfId="1805" priority="123" stopIfTrue="1" operator="lessThan">
      <formula>100%</formula>
    </cfRule>
  </conditionalFormatting>
  <conditionalFormatting sqref="K82:K87">
    <cfRule type="cellIs" dxfId="1804" priority="145" stopIfTrue="1" operator="lessThan">
      <formula>100%</formula>
    </cfRule>
  </conditionalFormatting>
  <conditionalFormatting sqref="K89:K90">
    <cfRule type="cellIs" dxfId="1803" priority="152" stopIfTrue="1" operator="lessThan">
      <formula>100%</formula>
    </cfRule>
  </conditionalFormatting>
  <conditionalFormatting sqref="K76:N80">
    <cfRule type="cellIs" dxfId="1802" priority="77" stopIfTrue="1" operator="lessThan">
      <formula>100%</formula>
    </cfRule>
  </conditionalFormatting>
  <conditionalFormatting sqref="L10:L23 K24:K31">
    <cfRule type="cellIs" dxfId="1801" priority="17" operator="greaterThan">
      <formula>6</formula>
    </cfRule>
    <cfRule type="cellIs" dxfId="1800" priority="18" operator="lessThan">
      <formula>4</formula>
    </cfRule>
    <cfRule type="cellIs" dxfId="1799" priority="22" operator="greaterThan">
      <formula>6.4</formula>
    </cfRule>
  </conditionalFormatting>
  <conditionalFormatting sqref="L34:M45">
    <cfRule type="cellIs" dxfId="1798" priority="82" operator="lessThan">
      <formula>98</formula>
    </cfRule>
  </conditionalFormatting>
  <conditionalFormatting sqref="L49:N49">
    <cfRule type="cellIs" dxfId="1797" priority="87" operator="notEqual">
      <formula>#REF!</formula>
    </cfRule>
  </conditionalFormatting>
  <conditionalFormatting sqref="L82:N90">
    <cfRule type="cellIs" dxfId="1796" priority="130" stopIfTrue="1" operator="lessThan">
      <formula>100%</formula>
    </cfRule>
  </conditionalFormatting>
  <conditionalFormatting sqref="M10:M23 L24:L31">
    <cfRule type="cellIs" dxfId="1795" priority="19" operator="between">
      <formula>61</formula>
      <formula>65</formula>
    </cfRule>
    <cfRule type="cellIs" dxfId="1794" priority="20" operator="greaterThan">
      <formula>65</formula>
    </cfRule>
  </conditionalFormatting>
  <conditionalFormatting sqref="M6:N6">
    <cfRule type="cellIs" dxfId="1793" priority="89" operator="greaterThanOrEqual">
      <formula>19</formula>
    </cfRule>
    <cfRule type="cellIs" dxfId="1792" priority="88" operator="greaterThanOrEqual">
      <formula>15</formula>
    </cfRule>
  </conditionalFormatting>
  <conditionalFormatting sqref="N10:N23 M24:M31">
    <cfRule type="expression" dxfId="1791" priority="15">
      <formula>IF(+(IF(M10&lt;U10,0,IF(M10&gt;V10,0,1)))=0,1)</formula>
    </cfRule>
  </conditionalFormatting>
  <conditionalFormatting sqref="O10:O23 N24:N31">
    <cfRule type="expression" dxfId="1790" priority="16">
      <formula>IF(+(IF(N10&lt;W10,0,IF(N10&gt;X10,0,1)))=0,1)</formula>
    </cfRule>
  </conditionalFormatting>
  <conditionalFormatting sqref="P6">
    <cfRule type="cellIs" dxfId="1789" priority="126" operator="greaterThanOrEqual">
      <formula>19</formula>
    </cfRule>
  </conditionalFormatting>
  <conditionalFormatting sqref="P24:P31 J39">
    <cfRule type="cellIs" dxfId="1788" priority="71" operator="lessThan">
      <formula>98</formula>
    </cfRule>
  </conditionalFormatting>
  <dataValidations disablePrompts="1" count="1">
    <dataValidation type="list" allowBlank="1" showInputMessage="1" showErrorMessage="1" sqref="S8" xr:uid="{50ED225D-64D3-49DE-AF37-42066C4CA4F2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C076-F89E-49D0-AD01-D3995CA96D7A}">
  <sheetPr>
    <pageSetUpPr fitToPage="1"/>
  </sheetPr>
  <dimension ref="A1:BE161"/>
  <sheetViews>
    <sheetView topLeftCell="A36" zoomScale="70" zoomScaleNormal="70" workbookViewId="0">
      <selection activeCell="L30" sqref="L30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30.109375" style="275" customWidth="1"/>
    <col min="9" max="9" width="26.109375" style="275" customWidth="1"/>
    <col min="10" max="10" width="31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26.66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45761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165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556" t="s">
        <v>181</v>
      </c>
      <c r="J8" s="480" t="s">
        <v>173</v>
      </c>
      <c r="K8" s="523" t="s">
        <v>23</v>
      </c>
      <c r="L8" s="525" t="s">
        <v>142</v>
      </c>
      <c r="M8" s="527" t="s">
        <v>24</v>
      </c>
      <c r="N8" s="359" t="s">
        <v>25</v>
      </c>
      <c r="O8" s="17" t="s">
        <v>26</v>
      </c>
      <c r="P8" s="474" t="s">
        <v>155</v>
      </c>
      <c r="Q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  <c r="AA8" s="13"/>
      <c r="AB8" s="19"/>
    </row>
    <row r="9" spans="2:29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57"/>
      <c r="J9" s="520"/>
      <c r="K9" s="524"/>
      <c r="L9" s="526"/>
      <c r="M9" s="528"/>
      <c r="N9" s="20" t="s">
        <v>32</v>
      </c>
      <c r="O9" s="21" t="s">
        <v>41</v>
      </c>
      <c r="P9" s="555"/>
      <c r="Q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  <c r="AA9" s="13"/>
      <c r="AB9" s="19"/>
    </row>
    <row r="10" spans="2:29" ht="15.75" hidden="1" customHeight="1">
      <c r="B10" s="33"/>
      <c r="C10" s="366"/>
      <c r="D10" s="279"/>
      <c r="E10" s="279"/>
      <c r="F10" s="278"/>
      <c r="G10" s="279"/>
      <c r="H10" s="279"/>
      <c r="I10" s="442"/>
      <c r="J10" s="434"/>
      <c r="K10" s="434"/>
      <c r="L10" s="398"/>
      <c r="M10" s="276"/>
      <c r="N10" s="374"/>
      <c r="O10" s="370"/>
      <c r="P10" s="435"/>
      <c r="Q10" s="443"/>
      <c r="S10" s="277">
        <f>B10</f>
        <v>0</v>
      </c>
      <c r="T10" s="296" t="e">
        <f t="shared" ref="T10:T102" si="0">VLOOKUP($B10,$R$3:$X$9,2,FALSE)</f>
        <v>#N/A</v>
      </c>
      <c r="U10" s="296" t="e">
        <f t="shared" ref="U10:U102" si="1">VLOOKUP($B10,$R$3:$X$9,3,FALSE)</f>
        <v>#N/A</v>
      </c>
      <c r="V10" s="297" t="e">
        <f t="shared" ref="V10:V102" si="2">VLOOKUP($B10,$R$3:$X$9,4,FALSE)</f>
        <v>#N/A</v>
      </c>
      <c r="W10" s="297" t="e">
        <f t="shared" ref="W10:W102" si="3">VLOOKUP($B10,$R$3:$X$9,5,FALSE)</f>
        <v>#N/A</v>
      </c>
      <c r="X10" s="297" t="e">
        <f t="shared" ref="X10:X102" si="4">VLOOKUP($B10,$R$3:$X$9,6,FALSE)</f>
        <v>#N/A</v>
      </c>
      <c r="Y10" s="297" t="e">
        <f t="shared" ref="Y10:Y102" si="5">VLOOKUP($B10,$R$3:$X$9,7,FALSE)</f>
        <v>#N/A</v>
      </c>
      <c r="Z10" s="297" t="e">
        <f t="shared" ref="Z10:Z102" si="6">VLOOKUP($B10,$R$3:$Z$9,8,FALSE)</f>
        <v>#N/A</v>
      </c>
      <c r="AA10" s="296" t="e">
        <f t="shared" ref="AA10:AA102" si="7">VLOOKUP($B10,$R$3:$Z$9,9,FALSE)</f>
        <v>#N/A</v>
      </c>
    </row>
    <row r="11" spans="2:29" ht="15.75" hidden="1" customHeight="1">
      <c r="B11" s="33"/>
      <c r="C11" s="366"/>
      <c r="D11" s="279"/>
      <c r="E11" s="279"/>
      <c r="F11" s="278"/>
      <c r="G11" s="279"/>
      <c r="H11" s="279"/>
      <c r="I11" s="442"/>
      <c r="J11" s="434"/>
      <c r="K11" s="434"/>
      <c r="L11" s="398"/>
      <c r="M11" s="276"/>
      <c r="N11" s="374"/>
      <c r="O11" s="370"/>
      <c r="P11" s="435"/>
      <c r="Q11" s="443"/>
      <c r="S11" s="277">
        <f>B11</f>
        <v>0</v>
      </c>
      <c r="T11" s="296" t="e">
        <f t="shared" si="0"/>
        <v>#N/A</v>
      </c>
      <c r="U11" s="296" t="e">
        <f t="shared" si="1"/>
        <v>#N/A</v>
      </c>
      <c r="V11" s="297" t="e">
        <f t="shared" si="2"/>
        <v>#N/A</v>
      </c>
      <c r="W11" s="297" t="e">
        <f t="shared" si="3"/>
        <v>#N/A</v>
      </c>
      <c r="X11" s="297" t="e">
        <f t="shared" si="4"/>
        <v>#N/A</v>
      </c>
      <c r="Y11" s="297" t="e">
        <f t="shared" si="5"/>
        <v>#N/A</v>
      </c>
      <c r="Z11" s="297" t="e">
        <f t="shared" si="6"/>
        <v>#N/A</v>
      </c>
      <c r="AA11" s="296" t="e">
        <f t="shared" si="7"/>
        <v>#N/A</v>
      </c>
    </row>
    <row r="12" spans="2:29" ht="15.75" hidden="1" customHeight="1">
      <c r="B12" s="33"/>
      <c r="C12" s="366"/>
      <c r="D12" s="279"/>
      <c r="E12" s="279"/>
      <c r="F12" s="278"/>
      <c r="G12" s="279"/>
      <c r="H12" s="279"/>
      <c r="I12" s="442"/>
      <c r="J12" s="434"/>
      <c r="K12" s="434"/>
      <c r="L12" s="398"/>
      <c r="M12" s="276"/>
      <c r="N12" s="374"/>
      <c r="O12" s="370"/>
      <c r="P12" s="435"/>
      <c r="Q12" s="443"/>
      <c r="S12" s="277">
        <f>B12</f>
        <v>0</v>
      </c>
      <c r="T12" s="296" t="e">
        <f t="shared" si="0"/>
        <v>#N/A</v>
      </c>
      <c r="U12" s="296" t="e">
        <f t="shared" si="1"/>
        <v>#N/A</v>
      </c>
      <c r="V12" s="297" t="e">
        <f t="shared" si="2"/>
        <v>#N/A</v>
      </c>
      <c r="W12" s="297" t="e">
        <f t="shared" si="3"/>
        <v>#N/A</v>
      </c>
      <c r="X12" s="297" t="e">
        <f t="shared" si="4"/>
        <v>#N/A</v>
      </c>
      <c r="Y12" s="297" t="e">
        <f t="shared" si="5"/>
        <v>#N/A</v>
      </c>
      <c r="Z12" s="297" t="e">
        <f t="shared" si="6"/>
        <v>#N/A</v>
      </c>
      <c r="AA12" s="296" t="e">
        <f t="shared" si="7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279"/>
      <c r="I13" s="442"/>
      <c r="J13" s="434"/>
      <c r="K13" s="434"/>
      <c r="L13" s="398"/>
      <c r="M13" s="276"/>
      <c r="N13" s="374"/>
      <c r="O13" s="370"/>
      <c r="P13" s="435"/>
      <c r="Q13" s="443"/>
      <c r="S13" s="277">
        <f t="shared" ref="S13:S16" si="8">B13</f>
        <v>0</v>
      </c>
      <c r="T13" s="296" t="e">
        <f t="shared" si="0"/>
        <v>#N/A</v>
      </c>
      <c r="U13" s="296" t="e">
        <f t="shared" si="1"/>
        <v>#N/A</v>
      </c>
      <c r="V13" s="297" t="e">
        <f t="shared" si="2"/>
        <v>#N/A</v>
      </c>
      <c r="W13" s="297" t="e">
        <f t="shared" si="3"/>
        <v>#N/A</v>
      </c>
      <c r="X13" s="297" t="e">
        <f t="shared" si="4"/>
        <v>#N/A</v>
      </c>
      <c r="Y13" s="297" t="e">
        <f t="shared" si="5"/>
        <v>#N/A</v>
      </c>
      <c r="Z13" s="297" t="e">
        <f t="shared" si="6"/>
        <v>#N/A</v>
      </c>
      <c r="AA13" s="296" t="e">
        <f t="shared" ref="AA13" si="9">VLOOKUP($B13,$R$3:$Z$9,9,FALSE)</f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279"/>
      <c r="I14" s="442"/>
      <c r="J14" s="434"/>
      <c r="K14" s="434"/>
      <c r="L14" s="398"/>
      <c r="M14" s="276"/>
      <c r="N14" s="374"/>
      <c r="O14" s="370"/>
      <c r="P14" s="435"/>
      <c r="Q14" s="443"/>
      <c r="S14" s="277">
        <f t="shared" si="8"/>
        <v>0</v>
      </c>
      <c r="T14" s="296" t="e">
        <f t="shared" si="0"/>
        <v>#N/A</v>
      </c>
      <c r="U14" s="296" t="e">
        <f t="shared" si="1"/>
        <v>#N/A</v>
      </c>
      <c r="V14" s="297" t="e">
        <f t="shared" si="2"/>
        <v>#N/A</v>
      </c>
      <c r="W14" s="297" t="e">
        <f t="shared" si="3"/>
        <v>#N/A</v>
      </c>
      <c r="X14" s="297" t="e">
        <f t="shared" si="4"/>
        <v>#N/A</v>
      </c>
      <c r="Y14" s="297" t="e">
        <f t="shared" si="5"/>
        <v>#N/A</v>
      </c>
      <c r="Z14" s="297" t="e">
        <f t="shared" si="6"/>
        <v>#N/A</v>
      </c>
      <c r="AA14" s="296" t="e">
        <f t="shared" si="7"/>
        <v>#N/A</v>
      </c>
    </row>
    <row r="15" spans="2:29" ht="15.75" hidden="1" customHeight="1">
      <c r="B15" s="33"/>
      <c r="C15" s="366"/>
      <c r="D15" s="279"/>
      <c r="E15" s="279"/>
      <c r="F15" s="278"/>
      <c r="G15" s="279"/>
      <c r="H15" s="279"/>
      <c r="I15" s="442"/>
      <c r="J15" s="434"/>
      <c r="K15" s="434"/>
      <c r="L15" s="398"/>
      <c r="M15" s="276"/>
      <c r="N15" s="374"/>
      <c r="O15" s="370"/>
      <c r="P15" s="435"/>
      <c r="Q15" s="443"/>
      <c r="S15" s="277">
        <f t="shared" si="8"/>
        <v>0</v>
      </c>
      <c r="T15" s="296" t="e">
        <f t="shared" si="0"/>
        <v>#N/A</v>
      </c>
      <c r="U15" s="296" t="e">
        <f t="shared" si="1"/>
        <v>#N/A</v>
      </c>
      <c r="V15" s="297" t="e">
        <f t="shared" si="2"/>
        <v>#N/A</v>
      </c>
      <c r="W15" s="297" t="e">
        <f t="shared" si="3"/>
        <v>#N/A</v>
      </c>
      <c r="X15" s="297" t="e">
        <f t="shared" si="4"/>
        <v>#N/A</v>
      </c>
      <c r="Y15" s="297" t="e">
        <f t="shared" si="5"/>
        <v>#N/A</v>
      </c>
      <c r="Z15" s="297" t="e">
        <f t="shared" si="6"/>
        <v>#N/A</v>
      </c>
      <c r="AA15" s="296" t="e">
        <f t="shared" si="7"/>
        <v>#N/A</v>
      </c>
    </row>
    <row r="16" spans="2:29" ht="15.75" hidden="1" customHeight="1">
      <c r="B16" s="29"/>
      <c r="C16" s="366"/>
      <c r="D16" s="279"/>
      <c r="E16" s="279"/>
      <c r="F16" s="278"/>
      <c r="G16" s="279"/>
      <c r="H16" s="279"/>
      <c r="I16" s="442"/>
      <c r="J16" s="368"/>
      <c r="K16" s="368"/>
      <c r="L16" s="281"/>
      <c r="M16" s="276"/>
      <c r="N16" s="397"/>
      <c r="O16" s="370"/>
      <c r="P16" s="371"/>
      <c r="Q16" s="443"/>
      <c r="S16" s="277">
        <f t="shared" si="8"/>
        <v>0</v>
      </c>
      <c r="T16" s="296" t="e">
        <f t="shared" si="0"/>
        <v>#N/A</v>
      </c>
      <c r="U16" s="296" t="e">
        <f t="shared" si="1"/>
        <v>#N/A</v>
      </c>
      <c r="V16" s="297" t="e">
        <f t="shared" si="2"/>
        <v>#N/A</v>
      </c>
      <c r="W16" s="297" t="e">
        <f t="shared" si="3"/>
        <v>#N/A</v>
      </c>
      <c r="X16" s="297" t="e">
        <f t="shared" si="4"/>
        <v>#N/A</v>
      </c>
      <c r="Y16" s="297" t="e">
        <f t="shared" si="5"/>
        <v>#N/A</v>
      </c>
      <c r="Z16" s="297" t="e">
        <f t="shared" si="6"/>
        <v>#N/A</v>
      </c>
      <c r="AA16" s="296" t="e">
        <f t="shared" si="7"/>
        <v>#N/A</v>
      </c>
    </row>
    <row r="17" spans="2:27" ht="15.75" customHeight="1">
      <c r="B17" s="445" t="s">
        <v>184</v>
      </c>
      <c r="C17" s="366"/>
      <c r="D17" s="279"/>
      <c r="E17" s="279"/>
      <c r="F17" s="278"/>
      <c r="G17" s="279"/>
      <c r="H17" s="279"/>
      <c r="I17" s="442"/>
      <c r="J17" s="368"/>
      <c r="K17" s="368"/>
      <c r="L17" s="281"/>
      <c r="M17" s="276"/>
      <c r="N17" s="397"/>
      <c r="O17" s="370"/>
      <c r="P17" s="371"/>
      <c r="Q17" s="443"/>
      <c r="S17" s="277" t="str">
        <f t="shared" ref="S17:S102" si="10">B17</f>
        <v>11th April 2025</v>
      </c>
      <c r="T17" s="296" t="e">
        <f t="shared" si="0"/>
        <v>#N/A</v>
      </c>
      <c r="U17" s="296" t="e">
        <f t="shared" si="1"/>
        <v>#N/A</v>
      </c>
      <c r="V17" s="297" t="e">
        <f t="shared" si="2"/>
        <v>#N/A</v>
      </c>
      <c r="W17" s="297" t="e">
        <f t="shared" si="3"/>
        <v>#N/A</v>
      </c>
      <c r="X17" s="297" t="e">
        <f t="shared" si="4"/>
        <v>#N/A</v>
      </c>
      <c r="Y17" s="297" t="e">
        <f t="shared" si="5"/>
        <v>#N/A</v>
      </c>
      <c r="Z17" s="297" t="e">
        <f t="shared" si="6"/>
        <v>#N/A</v>
      </c>
      <c r="AA17" s="296" t="e">
        <f t="shared" si="7"/>
        <v>#N/A</v>
      </c>
    </row>
    <row r="18" spans="2:27" ht="15.75" customHeight="1">
      <c r="B18" s="29" t="s">
        <v>6</v>
      </c>
      <c r="C18" s="366" t="str">
        <f>[23]Brewhouse!$A359</f>
        <v>CA255</v>
      </c>
      <c r="D18" s="279">
        <f>[23]Brewhouse!$AF359</f>
        <v>54.2</v>
      </c>
      <c r="E18" s="279">
        <f>[23]Brewhouse!$AI359</f>
        <v>50.8</v>
      </c>
      <c r="F18" s="278">
        <f>[23]Brewhouse!$V359</f>
        <v>59</v>
      </c>
      <c r="G18" s="279">
        <f>[23]Brewhouse!$AG359</f>
        <v>11.9</v>
      </c>
      <c r="H18" s="279">
        <v>11.8</v>
      </c>
      <c r="I18" s="442">
        <f>[23]Brewhouse!AY359</f>
        <v>97.630039356833947</v>
      </c>
      <c r="J18" s="368">
        <f>[23]Brewhouse!$AU359</f>
        <v>99.271537216316347</v>
      </c>
      <c r="K18" s="368">
        <f>[23]Brewhouse!$AV359</f>
        <v>100.44889854541175</v>
      </c>
      <c r="L18" s="281">
        <f>[23]Brewhouse!$Q359</f>
        <v>5.9819819819819831</v>
      </c>
      <c r="M18" s="276">
        <f>[23]Brewhouse!$P359</f>
        <v>61</v>
      </c>
      <c r="N18" s="397">
        <f>[23]Brewhouse!$U359-[23]Brewhouse!$T359</f>
        <v>0.10902777777777775</v>
      </c>
      <c r="O18" s="370">
        <f>[23]Brewhouse!$Z359</f>
        <v>0.25624999999999998</v>
      </c>
      <c r="P18" s="371" t="str">
        <f>[23]Brewhouse!$AX359</f>
        <v>K.Benjamin</v>
      </c>
      <c r="Q18" s="443"/>
      <c r="S18" s="277" t="str">
        <f t="shared" si="10"/>
        <v>CARIB</v>
      </c>
      <c r="T18" s="296">
        <f t="shared" si="0"/>
        <v>11.6</v>
      </c>
      <c r="U18" s="296">
        <f t="shared" si="1"/>
        <v>12</v>
      </c>
      <c r="V18" s="297">
        <f t="shared" si="2"/>
        <v>0</v>
      </c>
      <c r="W18" s="297">
        <f t="shared" si="3"/>
        <v>0.118055555555556</v>
      </c>
      <c r="X18" s="297">
        <f t="shared" si="4"/>
        <v>0.22569444444444445</v>
      </c>
      <c r="Y18" s="297">
        <f t="shared" si="5"/>
        <v>0.2638888888888889</v>
      </c>
      <c r="Z18" s="297">
        <f t="shared" si="6"/>
        <v>0</v>
      </c>
      <c r="AA18" s="296">
        <f t="shared" si="7"/>
        <v>60</v>
      </c>
    </row>
    <row r="19" spans="2:27" ht="15.75" customHeight="1">
      <c r="B19" s="29" t="s">
        <v>6</v>
      </c>
      <c r="C19" s="366" t="str">
        <f>[23]Brewhouse!$A360</f>
        <v>CA256</v>
      </c>
      <c r="D19" s="279">
        <f>[23]Brewhouse!$AF360</f>
        <v>53.5</v>
      </c>
      <c r="E19" s="279">
        <f>[23]Brewhouse!$AI360</f>
        <v>50.3</v>
      </c>
      <c r="F19" s="278">
        <f>[23]Brewhouse!$V360</f>
        <v>68</v>
      </c>
      <c r="G19" s="279">
        <f>[23]Brewhouse!$AG360</f>
        <v>11.8</v>
      </c>
      <c r="H19" s="279">
        <v>11.6</v>
      </c>
      <c r="I19" s="442">
        <f>[23]Brewhouse!AY360</f>
        <v>96.68836546933926</v>
      </c>
      <c r="J19" s="368">
        <f>[23]Brewhouse!$AU360</f>
        <v>98.251005719348782</v>
      </c>
      <c r="K19" s="368">
        <f>[23]Brewhouse!$AV360</f>
        <v>99.466121041331647</v>
      </c>
      <c r="L19" s="281">
        <f>[23]Brewhouse!$Q360</f>
        <v>6.2969588550983833</v>
      </c>
      <c r="M19" s="276">
        <f>[23]Brewhouse!$P360</f>
        <v>60</v>
      </c>
      <c r="N19" s="397">
        <f>[23]Brewhouse!$U360-[23]Brewhouse!$T360</f>
        <v>0.1111111111111111</v>
      </c>
      <c r="O19" s="370">
        <f>[23]Brewhouse!$Z360</f>
        <v>0.27708333333333335</v>
      </c>
      <c r="P19" s="371" t="str">
        <f>[23]Brewhouse!$AX360</f>
        <v>R. Regis</v>
      </c>
      <c r="Q19" s="443"/>
      <c r="S19" s="277" t="str">
        <f t="shared" ref="S19:S67" si="11">B19</f>
        <v>CARIB</v>
      </c>
      <c r="T19" s="296">
        <f t="shared" si="0"/>
        <v>11.6</v>
      </c>
      <c r="U19" s="296">
        <f t="shared" si="1"/>
        <v>12</v>
      </c>
      <c r="V19" s="297">
        <f t="shared" si="2"/>
        <v>0</v>
      </c>
      <c r="W19" s="297">
        <f t="shared" si="3"/>
        <v>0.118055555555556</v>
      </c>
      <c r="X19" s="297">
        <f t="shared" si="4"/>
        <v>0.22569444444444445</v>
      </c>
      <c r="Y19" s="297">
        <f t="shared" si="5"/>
        <v>0.2638888888888889</v>
      </c>
      <c r="Z19" s="297">
        <f t="shared" si="6"/>
        <v>0</v>
      </c>
      <c r="AA19" s="296">
        <f t="shared" si="7"/>
        <v>60</v>
      </c>
    </row>
    <row r="20" spans="2:27" ht="15.75" customHeight="1">
      <c r="B20" s="29" t="s">
        <v>6</v>
      </c>
      <c r="C20" s="366" t="str">
        <f>[23]Brewhouse!$A361</f>
        <v>CA257</v>
      </c>
      <c r="D20" s="279">
        <f>[23]Brewhouse!$AF361</f>
        <v>53.9</v>
      </c>
      <c r="E20" s="279">
        <f>[23]Brewhouse!$AI361</f>
        <v>50.5</v>
      </c>
      <c r="F20" s="278">
        <f>[23]Brewhouse!$V361</f>
        <v>56</v>
      </c>
      <c r="G20" s="279">
        <f>[23]Brewhouse!$AG361</f>
        <v>11.8</v>
      </c>
      <c r="H20" s="279">
        <v>11.7</v>
      </c>
      <c r="I20" s="442">
        <f>[23]Brewhouse!AY361</f>
        <v>96.782966626370893</v>
      </c>
      <c r="J20" s="368">
        <f>[23]Brewhouse!$AU361</f>
        <v>98.519246414669013</v>
      </c>
      <c r="K20" s="368">
        <f>[23]Brewhouse!$AV361</f>
        <v>99.737746240695031</v>
      </c>
      <c r="L20" s="281">
        <f>[23]Brewhouse!$Q361</f>
        <v>5.3736654804270509</v>
      </c>
      <c r="M20" s="276">
        <f>[23]Brewhouse!$P361</f>
        <v>60</v>
      </c>
      <c r="N20" s="397">
        <f>[23]Brewhouse!$U361-[23]Brewhouse!$T361</f>
        <v>0.11874999999999997</v>
      </c>
      <c r="O20" s="370">
        <f>[23]Brewhouse!$Z361</f>
        <v>0.27013888888888887</v>
      </c>
      <c r="P20" s="371" t="str">
        <f>[23]Brewhouse!$AX361</f>
        <v>G. Mason</v>
      </c>
      <c r="Q20" s="443"/>
      <c r="S20" s="277" t="str">
        <f t="shared" si="11"/>
        <v>CARIB</v>
      </c>
      <c r="T20" s="296">
        <f t="shared" si="0"/>
        <v>11.6</v>
      </c>
      <c r="U20" s="296">
        <f t="shared" si="1"/>
        <v>12</v>
      </c>
      <c r="V20" s="297">
        <f t="shared" si="2"/>
        <v>0</v>
      </c>
      <c r="W20" s="297">
        <f t="shared" si="3"/>
        <v>0.118055555555556</v>
      </c>
      <c r="X20" s="297">
        <f t="shared" si="4"/>
        <v>0.22569444444444445</v>
      </c>
      <c r="Y20" s="297">
        <f t="shared" si="5"/>
        <v>0.2638888888888889</v>
      </c>
      <c r="Z20" s="297">
        <f t="shared" si="6"/>
        <v>0</v>
      </c>
      <c r="AA20" s="296">
        <f t="shared" si="7"/>
        <v>60</v>
      </c>
    </row>
    <row r="21" spans="2:27" ht="15.75" customHeight="1">
      <c r="B21" s="29" t="s">
        <v>6</v>
      </c>
      <c r="C21" s="366" t="str">
        <f>[23]Brewhouse!$A362</f>
        <v>CA258</v>
      </c>
      <c r="D21" s="279">
        <f>[23]Brewhouse!$AF362</f>
        <v>54.1</v>
      </c>
      <c r="E21" s="279">
        <f>[23]Brewhouse!$AI362</f>
        <v>50.7</v>
      </c>
      <c r="F21" s="278">
        <f>[23]Brewhouse!$V362</f>
        <v>63</v>
      </c>
      <c r="G21" s="279">
        <f>[23]Brewhouse!$AG362</f>
        <v>11.9</v>
      </c>
      <c r="H21" s="367"/>
      <c r="I21" s="442">
        <f>[23]Brewhouse!AY362</f>
        <v>97.482468886400795</v>
      </c>
      <c r="J21" s="368">
        <f>[23]Brewhouse!$AU362</f>
        <v>99.544031672518045</v>
      </c>
      <c r="K21" s="368">
        <f>[23]Brewhouse!$AV362</f>
        <v>100.77534117421787</v>
      </c>
      <c r="L21" s="281">
        <f>[23]Brewhouse!$Q362</f>
        <v>4.848484848484846</v>
      </c>
      <c r="M21" s="276">
        <f>[23]Brewhouse!$P362</f>
        <v>62</v>
      </c>
      <c r="N21" s="397">
        <f>[23]Brewhouse!$U362-[23]Brewhouse!$T362</f>
        <v>0.10694444444444451</v>
      </c>
      <c r="O21" s="370">
        <f>[23]Brewhouse!$Z362</f>
        <v>0.24513888888888896</v>
      </c>
      <c r="P21" s="371" t="str">
        <f>[23]Brewhouse!$AX362</f>
        <v>G. Mason</v>
      </c>
      <c r="Q21" s="443"/>
      <c r="S21" s="277" t="str">
        <f t="shared" si="11"/>
        <v>CARIB</v>
      </c>
      <c r="T21" s="296">
        <f t="shared" si="0"/>
        <v>11.6</v>
      </c>
      <c r="U21" s="296">
        <f t="shared" si="1"/>
        <v>12</v>
      </c>
      <c r="V21" s="297">
        <f t="shared" si="2"/>
        <v>0</v>
      </c>
      <c r="W21" s="297">
        <f t="shared" si="3"/>
        <v>0.118055555555556</v>
      </c>
      <c r="X21" s="297">
        <f t="shared" si="4"/>
        <v>0.22569444444444445</v>
      </c>
      <c r="Y21" s="297">
        <f t="shared" si="5"/>
        <v>0.2638888888888889</v>
      </c>
      <c r="Z21" s="297">
        <f t="shared" si="6"/>
        <v>0</v>
      </c>
      <c r="AA21" s="296">
        <f t="shared" si="7"/>
        <v>60</v>
      </c>
    </row>
    <row r="22" spans="2:27" ht="15.75" customHeight="1">
      <c r="B22" s="29"/>
      <c r="C22" s="366"/>
      <c r="D22" s="279"/>
      <c r="E22" s="279"/>
      <c r="F22" s="278"/>
      <c r="G22" s="279"/>
      <c r="H22" s="279"/>
      <c r="I22" s="442"/>
      <c r="J22" s="368"/>
      <c r="K22" s="368"/>
      <c r="L22" s="281"/>
      <c r="M22" s="276"/>
      <c r="N22" s="397"/>
      <c r="O22" s="370"/>
      <c r="P22" s="371"/>
      <c r="Q22" s="443"/>
      <c r="S22" s="277">
        <f t="shared" si="11"/>
        <v>0</v>
      </c>
      <c r="T22" s="296" t="e">
        <f t="shared" si="0"/>
        <v>#N/A</v>
      </c>
      <c r="U22" s="296" t="e">
        <f t="shared" si="1"/>
        <v>#N/A</v>
      </c>
      <c r="V22" s="297" t="e">
        <f t="shared" si="2"/>
        <v>#N/A</v>
      </c>
      <c r="W22" s="297" t="e">
        <f t="shared" si="3"/>
        <v>#N/A</v>
      </c>
      <c r="X22" s="297" t="e">
        <f t="shared" si="4"/>
        <v>#N/A</v>
      </c>
      <c r="Y22" s="297" t="e">
        <f t="shared" si="5"/>
        <v>#N/A</v>
      </c>
      <c r="Z22" s="297" t="e">
        <f t="shared" si="6"/>
        <v>#N/A</v>
      </c>
      <c r="AA22" s="296" t="e">
        <f t="shared" si="7"/>
        <v>#N/A</v>
      </c>
    </row>
    <row r="23" spans="2:27" ht="15.75" customHeight="1">
      <c r="B23" s="445" t="s">
        <v>183</v>
      </c>
      <c r="C23" s="366"/>
      <c r="D23" s="279"/>
      <c r="E23" s="279"/>
      <c r="F23" s="278"/>
      <c r="G23" s="279"/>
      <c r="H23" s="279"/>
      <c r="I23" s="442"/>
      <c r="J23" s="368"/>
      <c r="K23" s="368"/>
      <c r="L23" s="281"/>
      <c r="M23" s="276"/>
      <c r="N23" s="397"/>
      <c r="O23" s="370"/>
      <c r="P23" s="371"/>
      <c r="Q23" s="443"/>
      <c r="S23" s="277" t="str">
        <f t="shared" si="11"/>
        <v>12th April 2025</v>
      </c>
      <c r="T23" s="296" t="e">
        <f t="shared" si="0"/>
        <v>#N/A</v>
      </c>
      <c r="U23" s="296" t="e">
        <f t="shared" si="1"/>
        <v>#N/A</v>
      </c>
      <c r="V23" s="297" t="e">
        <f t="shared" si="2"/>
        <v>#N/A</v>
      </c>
      <c r="W23" s="297" t="e">
        <f t="shared" si="3"/>
        <v>#N/A</v>
      </c>
      <c r="X23" s="297" t="e">
        <f t="shared" si="4"/>
        <v>#N/A</v>
      </c>
      <c r="Y23" s="297" t="e">
        <f t="shared" si="5"/>
        <v>#N/A</v>
      </c>
      <c r="Z23" s="297" t="e">
        <f t="shared" si="6"/>
        <v>#N/A</v>
      </c>
      <c r="AA23" s="296" t="e">
        <f t="shared" si="7"/>
        <v>#N/A</v>
      </c>
    </row>
    <row r="24" spans="2:27" ht="15.75" customHeight="1">
      <c r="B24" s="33" t="s">
        <v>9</v>
      </c>
      <c r="C24" s="366" t="str">
        <f>[24]Brewhouse!$A158</f>
        <v>ST141</v>
      </c>
      <c r="D24" s="279">
        <f>[24]Brewhouse!$AD158</f>
        <v>53.1</v>
      </c>
      <c r="E24" s="279">
        <f>[24]Brewhouse!$AG158</f>
        <v>49.4</v>
      </c>
      <c r="F24" s="278">
        <f>[24]Brewhouse!$V158</f>
        <v>46</v>
      </c>
      <c r="G24" s="279">
        <f>[24]Brewhouse!$AE158</f>
        <v>11.77</v>
      </c>
      <c r="H24" s="279">
        <v>11.7</v>
      </c>
      <c r="I24" s="442">
        <f>[24]Brewhouse!AX158</f>
        <v>96.081357699210344</v>
      </c>
      <c r="J24" s="434">
        <f>[24]Brewhouse!$AS158</f>
        <v>97.163133476785902</v>
      </c>
      <c r="K24" s="434">
        <f>[24]Brewhouse!$AT158</f>
        <v>98.312586274053672</v>
      </c>
      <c r="L24" s="398">
        <f>[24]Brewhouse!$Q158</f>
        <v>6.5298507462686564</v>
      </c>
      <c r="M24" s="276">
        <f>[24]Brewhouse!$P158</f>
        <v>61</v>
      </c>
      <c r="N24" s="374">
        <f>[24]Brewhouse!$U158-[24]Brewhouse!$T158</f>
        <v>0.10416666666666669</v>
      </c>
      <c r="O24" s="370">
        <f>[24]Brewhouse!$AW158</f>
        <v>0.24027777777777781</v>
      </c>
      <c r="P24" s="435" t="str">
        <f>[24]Brewhouse!$AV158</f>
        <v>K. Benjamin</v>
      </c>
      <c r="Q24" s="443"/>
      <c r="S24" s="277" t="str">
        <f t="shared" ref="S24" si="12">B24</f>
        <v>STAG</v>
      </c>
      <c r="T24" s="296">
        <f t="shared" si="0"/>
        <v>11.6</v>
      </c>
      <c r="U24" s="296">
        <f t="shared" si="1"/>
        <v>12</v>
      </c>
      <c r="V24" s="297">
        <f t="shared" si="2"/>
        <v>0</v>
      </c>
      <c r="W24" s="297">
        <f t="shared" si="3"/>
        <v>0.118055555555556</v>
      </c>
      <c r="X24" s="297">
        <f t="shared" si="4"/>
        <v>0.22569444444444445</v>
      </c>
      <c r="Y24" s="297">
        <f t="shared" si="5"/>
        <v>0.2638888888888889</v>
      </c>
      <c r="Z24" s="297">
        <f t="shared" si="6"/>
        <v>0</v>
      </c>
      <c r="AA24" s="296">
        <f t="shared" si="7"/>
        <v>60</v>
      </c>
    </row>
    <row r="25" spans="2:27" ht="15.75" customHeight="1">
      <c r="B25" s="33" t="s">
        <v>9</v>
      </c>
      <c r="C25" s="366" t="str">
        <f>[24]Brewhouse!$A159</f>
        <v>ST142</v>
      </c>
      <c r="D25" s="279">
        <f>[24]Brewhouse!$AD159</f>
        <v>52.9</v>
      </c>
      <c r="E25" s="279">
        <f>[24]Brewhouse!$AG159</f>
        <v>49.5</v>
      </c>
      <c r="F25" s="278">
        <f>[24]Brewhouse!$V159</f>
        <v>62</v>
      </c>
      <c r="G25" s="279">
        <f>[24]Brewhouse!$AE159</f>
        <v>12.13</v>
      </c>
      <c r="H25" s="279">
        <v>11.9</v>
      </c>
      <c r="I25" s="442">
        <f>[24]Brewhouse!AX159</f>
        <v>98.674107703862177</v>
      </c>
      <c r="J25" s="434">
        <f>[24]Brewhouse!$AS159</f>
        <v>99.680986353901574</v>
      </c>
      <c r="K25" s="434">
        <f>[24]Brewhouse!$AT159</f>
        <v>101.01976380286928</v>
      </c>
      <c r="L25" s="398">
        <f>[24]Brewhouse!$Q159</f>
        <v>5.8394160583941535</v>
      </c>
      <c r="M25" s="276">
        <f>[24]Brewhouse!$P159</f>
        <v>60</v>
      </c>
      <c r="N25" s="374">
        <f>[24]Brewhouse!$U159-[24]Brewhouse!$T159</f>
        <v>0.12847222222222232</v>
      </c>
      <c r="O25" s="370">
        <f>[24]Brewhouse!$AW159</f>
        <v>0.25833333333333336</v>
      </c>
      <c r="P25" s="435" t="str">
        <f>[24]Brewhouse!$AV159</f>
        <v>K. Benjamin</v>
      </c>
      <c r="Q25" s="443"/>
      <c r="S25" s="277" t="str">
        <f t="shared" si="11"/>
        <v>STAG</v>
      </c>
      <c r="T25" s="296">
        <f t="shared" si="0"/>
        <v>11.6</v>
      </c>
      <c r="U25" s="296">
        <f t="shared" si="1"/>
        <v>12</v>
      </c>
      <c r="V25" s="297">
        <f t="shared" si="2"/>
        <v>0</v>
      </c>
      <c r="W25" s="297">
        <f t="shared" si="3"/>
        <v>0.118055555555556</v>
      </c>
      <c r="X25" s="297">
        <f t="shared" si="4"/>
        <v>0.22569444444444445</v>
      </c>
      <c r="Y25" s="297">
        <f t="shared" si="5"/>
        <v>0.2638888888888889</v>
      </c>
      <c r="Z25" s="297">
        <f t="shared" si="6"/>
        <v>0</v>
      </c>
      <c r="AA25" s="296">
        <f t="shared" si="7"/>
        <v>60</v>
      </c>
    </row>
    <row r="26" spans="2:27" ht="15.75" customHeight="1">
      <c r="B26" s="33" t="s">
        <v>9</v>
      </c>
      <c r="C26" s="366" t="str">
        <f>[24]Brewhouse!$A160</f>
        <v>ST143</v>
      </c>
      <c r="D26" s="279">
        <f>[24]Brewhouse!$AD160</f>
        <v>54.2</v>
      </c>
      <c r="E26" s="279">
        <f>[24]Brewhouse!$AG160</f>
        <v>50.7</v>
      </c>
      <c r="F26" s="278">
        <f>[24]Brewhouse!$V160</f>
        <v>56</v>
      </c>
      <c r="G26" s="279">
        <f>[24]Brewhouse!$AE160</f>
        <v>11.86</v>
      </c>
      <c r="H26" s="279">
        <v>11.8</v>
      </c>
      <c r="I26" s="442">
        <f>[24]Brewhouse!AX160</f>
        <v>95.536015822823799</v>
      </c>
      <c r="J26" s="434">
        <f>[24]Brewhouse!$AS160</f>
        <v>100.32468935826775</v>
      </c>
      <c r="K26" s="434">
        <f>[24]Brewhouse!$AT160</f>
        <v>101.6721121376801</v>
      </c>
      <c r="L26" s="398">
        <f>[24]Brewhouse!$Q160</f>
        <v>6.4102564102564097</v>
      </c>
      <c r="M26" s="276">
        <f>[24]Brewhouse!$P160</f>
        <v>60</v>
      </c>
      <c r="N26" s="374">
        <f>[24]Brewhouse!$U160-[24]Brewhouse!$T160</f>
        <v>0.11875000000000002</v>
      </c>
      <c r="O26" s="370">
        <f>[24]Brewhouse!$AW160</f>
        <v>0.26458333333333328</v>
      </c>
      <c r="P26" s="435" t="str">
        <f>[24]Brewhouse!$AV160</f>
        <v>K. Benjamin</v>
      </c>
      <c r="Q26" s="443"/>
      <c r="S26" s="277" t="str">
        <f t="shared" si="11"/>
        <v>STAG</v>
      </c>
      <c r="T26" s="296">
        <f t="shared" si="0"/>
        <v>11.6</v>
      </c>
      <c r="U26" s="296">
        <f t="shared" si="1"/>
        <v>12</v>
      </c>
      <c r="V26" s="297">
        <f t="shared" si="2"/>
        <v>0</v>
      </c>
      <c r="W26" s="297">
        <f t="shared" si="3"/>
        <v>0.118055555555556</v>
      </c>
      <c r="X26" s="297">
        <f t="shared" si="4"/>
        <v>0.22569444444444445</v>
      </c>
      <c r="Y26" s="297">
        <f t="shared" si="5"/>
        <v>0.2638888888888889</v>
      </c>
      <c r="Z26" s="297">
        <f t="shared" si="6"/>
        <v>0</v>
      </c>
      <c r="AA26" s="296">
        <f t="shared" si="7"/>
        <v>60</v>
      </c>
    </row>
    <row r="27" spans="2:27" ht="15.75" customHeight="1">
      <c r="B27" s="33" t="s">
        <v>9</v>
      </c>
      <c r="C27" s="366" t="str">
        <f>[24]Brewhouse!$A161</f>
        <v>ST144</v>
      </c>
      <c r="D27" s="279">
        <f>[24]Brewhouse!$AD161</f>
        <v>54.4</v>
      </c>
      <c r="E27" s="279">
        <f>[24]Brewhouse!$AG161</f>
        <v>50.9</v>
      </c>
      <c r="F27" s="278">
        <f>[24]Brewhouse!$V161</f>
        <v>61</v>
      </c>
      <c r="G27" s="279">
        <f>[24]Brewhouse!$AE161</f>
        <v>11.7</v>
      </c>
      <c r="H27" s="279">
        <v>11.7</v>
      </c>
      <c r="I27" s="442">
        <f>[24]Brewhouse!AX161</f>
        <v>98.500325630498907</v>
      </c>
      <c r="J27" s="434">
        <f>[24]Brewhouse!$AS161</f>
        <v>99.06474164379361</v>
      </c>
      <c r="K27" s="434">
        <f>[24]Brewhouse!$AT161</f>
        <v>100.39480761635954</v>
      </c>
      <c r="L27" s="398">
        <f>[24]Brewhouse!$Q161</f>
        <v>6.3405797101449268</v>
      </c>
      <c r="M27" s="276">
        <f>[24]Brewhouse!$P161</f>
        <v>60</v>
      </c>
      <c r="N27" s="374">
        <f>[24]Brewhouse!$U161-[24]Brewhouse!$T161</f>
        <v>0.11111111111111105</v>
      </c>
      <c r="O27" s="370">
        <f>[24]Brewhouse!$AW161</f>
        <v>0.24375000000000002</v>
      </c>
      <c r="P27" s="435" t="str">
        <f>[24]Brewhouse!$AV161</f>
        <v>K. Benjamin</v>
      </c>
      <c r="Q27" s="443"/>
      <c r="S27" s="277" t="str">
        <f t="shared" si="11"/>
        <v>STAG</v>
      </c>
      <c r="T27" s="296">
        <f t="shared" si="0"/>
        <v>11.6</v>
      </c>
      <c r="U27" s="296">
        <f t="shared" si="1"/>
        <v>12</v>
      </c>
      <c r="V27" s="297">
        <f t="shared" si="2"/>
        <v>0</v>
      </c>
      <c r="W27" s="297">
        <f t="shared" si="3"/>
        <v>0.118055555555556</v>
      </c>
      <c r="X27" s="297">
        <f t="shared" si="4"/>
        <v>0.22569444444444445</v>
      </c>
      <c r="Y27" s="297">
        <f t="shared" si="5"/>
        <v>0.2638888888888889</v>
      </c>
      <c r="Z27" s="297">
        <f t="shared" si="6"/>
        <v>0</v>
      </c>
      <c r="AA27" s="296">
        <f t="shared" si="7"/>
        <v>60</v>
      </c>
    </row>
    <row r="28" spans="2:27" ht="15.75" customHeight="1">
      <c r="B28" s="33" t="s">
        <v>9</v>
      </c>
      <c r="C28" s="366" t="str">
        <f>[24]Brewhouse!$A162</f>
        <v>ST145</v>
      </c>
      <c r="D28" s="279">
        <f>[24]Brewhouse!$AD162</f>
        <v>53.8</v>
      </c>
      <c r="E28" s="279">
        <f>[24]Brewhouse!$AG162</f>
        <v>50.3</v>
      </c>
      <c r="F28" s="278">
        <f>[24]Brewhouse!$V162</f>
        <v>62</v>
      </c>
      <c r="G28" s="279">
        <f>[24]Brewhouse!$AE162</f>
        <v>11.68</v>
      </c>
      <c r="H28" s="279">
        <v>11.7</v>
      </c>
      <c r="I28" s="442">
        <f>[24]Brewhouse!AX162</f>
        <v>96.792237880247541</v>
      </c>
      <c r="J28" s="434">
        <f>[24]Brewhouse!$AS162</f>
        <v>98.019922797995775</v>
      </c>
      <c r="K28" s="434">
        <f>[24]Brewhouse!$AT162</f>
        <v>99.335529374925187</v>
      </c>
      <c r="L28" s="398">
        <f>[24]Brewhouse!$Q162</f>
        <v>3.8181818181818206</v>
      </c>
      <c r="M28" s="276">
        <f>[24]Brewhouse!$P162</f>
        <v>62</v>
      </c>
      <c r="N28" s="374">
        <f>[24]Brewhouse!$U162-[24]Brewhouse!$T162</f>
        <v>0.10902777777777783</v>
      </c>
      <c r="O28" s="370">
        <f>[24]Brewhouse!$AW162</f>
        <v>0.26527777777777783</v>
      </c>
      <c r="P28" s="435" t="str">
        <f>[24]Brewhouse!$AV162</f>
        <v>D. Gomaz</v>
      </c>
      <c r="Q28" s="443"/>
      <c r="S28" s="277" t="str">
        <f t="shared" si="11"/>
        <v>STAG</v>
      </c>
      <c r="T28" s="296">
        <f t="shared" si="0"/>
        <v>11.6</v>
      </c>
      <c r="U28" s="296">
        <f t="shared" si="1"/>
        <v>12</v>
      </c>
      <c r="V28" s="297">
        <f t="shared" si="2"/>
        <v>0</v>
      </c>
      <c r="W28" s="297">
        <f t="shared" si="3"/>
        <v>0.118055555555556</v>
      </c>
      <c r="X28" s="297">
        <f t="shared" si="4"/>
        <v>0.22569444444444445</v>
      </c>
      <c r="Y28" s="297">
        <f t="shared" si="5"/>
        <v>0.2638888888888889</v>
      </c>
      <c r="Z28" s="297">
        <f t="shared" si="6"/>
        <v>0</v>
      </c>
      <c r="AA28" s="296">
        <f t="shared" si="7"/>
        <v>60</v>
      </c>
    </row>
    <row r="29" spans="2:27" ht="15.75" customHeight="1">
      <c r="B29" s="33" t="s">
        <v>9</v>
      </c>
      <c r="C29" s="366" t="str">
        <f>[24]Brewhouse!$A163</f>
        <v>ST146</v>
      </c>
      <c r="D29" s="279">
        <f>[24]Brewhouse!$AD163</f>
        <v>54.3</v>
      </c>
      <c r="E29" s="279">
        <f>[24]Brewhouse!$AG163</f>
        <v>51.2</v>
      </c>
      <c r="F29" s="278">
        <f>[24]Brewhouse!$V163</f>
        <v>64</v>
      </c>
      <c r="G29" s="279">
        <f>[24]Brewhouse!$AE163</f>
        <v>11.71</v>
      </c>
      <c r="H29" s="279">
        <v>11.7</v>
      </c>
      <c r="I29" s="442">
        <f>[24]Brewhouse!AX163</f>
        <v>98.351202855165951</v>
      </c>
      <c r="J29" s="434">
        <f>[24]Brewhouse!$AS163</f>
        <v>99.773758394779009</v>
      </c>
      <c r="K29" s="434">
        <f>[24]Brewhouse!$AT163</f>
        <v>101.11290465201132</v>
      </c>
      <c r="L29" s="398">
        <f>[24]Brewhouse!$Q163</f>
        <v>5.0632911392405013</v>
      </c>
      <c r="M29" s="276">
        <f>[24]Brewhouse!$P163</f>
        <v>61</v>
      </c>
      <c r="N29" s="374">
        <f>[24]Brewhouse!$U163-[24]Brewhouse!$T163</f>
        <v>0.10972222222222228</v>
      </c>
      <c r="O29" s="370">
        <f>[24]Brewhouse!$AW163</f>
        <v>0.25763888888888886</v>
      </c>
      <c r="P29" s="435" t="str">
        <f>[24]Brewhouse!$AV163</f>
        <v>D. Gomaz</v>
      </c>
      <c r="Q29" s="443"/>
      <c r="S29" s="277" t="str">
        <f t="shared" si="11"/>
        <v>STAG</v>
      </c>
      <c r="T29" s="296">
        <f t="shared" si="0"/>
        <v>11.6</v>
      </c>
      <c r="U29" s="296">
        <f t="shared" si="1"/>
        <v>12</v>
      </c>
      <c r="V29" s="297">
        <f t="shared" si="2"/>
        <v>0</v>
      </c>
      <c r="W29" s="297">
        <f t="shared" si="3"/>
        <v>0.118055555555556</v>
      </c>
      <c r="X29" s="297">
        <f t="shared" si="4"/>
        <v>0.22569444444444445</v>
      </c>
      <c r="Y29" s="297">
        <f t="shared" si="5"/>
        <v>0.2638888888888889</v>
      </c>
      <c r="Z29" s="297">
        <f t="shared" si="6"/>
        <v>0</v>
      </c>
      <c r="AA29" s="296">
        <f t="shared" si="7"/>
        <v>60</v>
      </c>
    </row>
    <row r="30" spans="2:27" ht="15.75" customHeight="1">
      <c r="B30" s="33" t="s">
        <v>9</v>
      </c>
      <c r="C30" s="366" t="str">
        <f>[24]Brewhouse!$A164</f>
        <v>ST147</v>
      </c>
      <c r="D30" s="279">
        <f>[24]Brewhouse!$AD164</f>
        <v>53.4</v>
      </c>
      <c r="E30" s="279">
        <f>[24]Brewhouse!$AG164</f>
        <v>50.1</v>
      </c>
      <c r="F30" s="278">
        <f>[24]Brewhouse!$V164</f>
        <v>62</v>
      </c>
      <c r="G30" s="279">
        <f>[24]Brewhouse!$AE164</f>
        <v>11.69</v>
      </c>
      <c r="H30" s="279">
        <v>11.6</v>
      </c>
      <c r="I30" s="442">
        <f>[24]Brewhouse!AX164</f>
        <v>97.799671269167561</v>
      </c>
      <c r="J30" s="434">
        <f>[24]Brewhouse!$AS164</f>
        <v>97.507731951946184</v>
      </c>
      <c r="K30" s="434">
        <f>[24]Brewhouse!$AT164</f>
        <v>98.816893154805797</v>
      </c>
      <c r="L30" s="398">
        <f>[24]Brewhouse!$Q164</f>
        <v>5.2727272727272698</v>
      </c>
      <c r="M30" s="276">
        <f>[24]Brewhouse!$P164</f>
        <v>61</v>
      </c>
      <c r="N30" s="374">
        <f>[24]Brewhouse!$U164-[24]Brewhouse!$T164</f>
        <v>0.11111111111111116</v>
      </c>
      <c r="O30" s="370">
        <f>[24]Brewhouse!$AW164</f>
        <v>0.2465277777777779</v>
      </c>
      <c r="P30" s="435" t="str">
        <f>[24]Brewhouse!$AV164</f>
        <v>D. Gomaz</v>
      </c>
      <c r="Q30" s="443"/>
      <c r="S30" s="277" t="str">
        <f t="shared" si="11"/>
        <v>STAG</v>
      </c>
      <c r="T30" s="296">
        <f t="shared" si="0"/>
        <v>11.6</v>
      </c>
      <c r="U30" s="296">
        <f t="shared" si="1"/>
        <v>12</v>
      </c>
      <c r="V30" s="297">
        <f t="shared" si="2"/>
        <v>0</v>
      </c>
      <c r="W30" s="297">
        <f t="shared" si="3"/>
        <v>0.118055555555556</v>
      </c>
      <c r="X30" s="297">
        <f t="shared" si="4"/>
        <v>0.22569444444444445</v>
      </c>
      <c r="Y30" s="297">
        <f t="shared" si="5"/>
        <v>0.2638888888888889</v>
      </c>
      <c r="Z30" s="297">
        <f t="shared" si="6"/>
        <v>0</v>
      </c>
      <c r="AA30" s="296">
        <f t="shared" si="7"/>
        <v>60</v>
      </c>
    </row>
    <row r="31" spans="2:27" ht="15.75" customHeight="1">
      <c r="B31" s="33" t="s">
        <v>9</v>
      </c>
      <c r="C31" s="366" t="str">
        <f>[24]Brewhouse!$A165</f>
        <v>ST148</v>
      </c>
      <c r="D31" s="279">
        <f>[24]Brewhouse!$AD165</f>
        <v>53.4</v>
      </c>
      <c r="E31" s="279">
        <f>[24]Brewhouse!$AG165</f>
        <v>50.2</v>
      </c>
      <c r="F31" s="278">
        <f>[24]Brewhouse!$V165</f>
        <v>62</v>
      </c>
      <c r="G31" s="279">
        <f>[24]Brewhouse!$AE165</f>
        <v>11.8</v>
      </c>
      <c r="H31" s="279">
        <v>11.8</v>
      </c>
      <c r="I31" s="442"/>
      <c r="J31" s="434">
        <f>[24]Brewhouse!$AS165</f>
        <v>98.581120174708957</v>
      </c>
      <c r="K31" s="434">
        <f>[24]Brewhouse!$AT165</f>
        <v>99.904692934362231</v>
      </c>
      <c r="L31" s="398">
        <f>[24]Brewhouse!$Q165</f>
        <v>5.3211009174311901</v>
      </c>
      <c r="M31" s="276">
        <f>[24]Brewhouse!$P165</f>
        <v>61</v>
      </c>
      <c r="N31" s="374">
        <f>[24]Brewhouse!$U165-[24]Brewhouse!$T165</f>
        <v>0.10833333333333339</v>
      </c>
      <c r="O31" s="370">
        <f>[24]Brewhouse!$AW165</f>
        <v>0.23958333333333326</v>
      </c>
      <c r="P31" s="435" t="str">
        <f>[24]Brewhouse!$AV165</f>
        <v>D. Gomaz</v>
      </c>
      <c r="Q31" s="443"/>
      <c r="S31" s="277" t="str">
        <f t="shared" si="11"/>
        <v>STAG</v>
      </c>
      <c r="T31" s="296">
        <f t="shared" si="0"/>
        <v>11.6</v>
      </c>
      <c r="U31" s="296">
        <f t="shared" si="1"/>
        <v>12</v>
      </c>
      <c r="V31" s="297">
        <f t="shared" si="2"/>
        <v>0</v>
      </c>
      <c r="W31" s="297">
        <f t="shared" si="3"/>
        <v>0.118055555555556</v>
      </c>
      <c r="X31" s="297">
        <f t="shared" si="4"/>
        <v>0.22569444444444445</v>
      </c>
      <c r="Y31" s="297">
        <f t="shared" si="5"/>
        <v>0.2638888888888889</v>
      </c>
      <c r="Z31" s="297">
        <f t="shared" si="6"/>
        <v>0</v>
      </c>
      <c r="AA31" s="296">
        <f t="shared" si="7"/>
        <v>60</v>
      </c>
    </row>
    <row r="32" spans="2:27" ht="15.75" customHeight="1">
      <c r="B32" s="33"/>
      <c r="C32" s="366"/>
      <c r="D32" s="279"/>
      <c r="E32" s="279"/>
      <c r="F32" s="278"/>
      <c r="G32" s="279"/>
      <c r="H32" s="279"/>
      <c r="I32" s="442"/>
      <c r="J32" s="434"/>
      <c r="K32" s="434"/>
      <c r="L32" s="398"/>
      <c r="M32" s="276"/>
      <c r="N32" s="374"/>
      <c r="O32" s="370"/>
      <c r="P32" s="435"/>
      <c r="Q32" s="443"/>
      <c r="S32" s="277">
        <f t="shared" si="11"/>
        <v>0</v>
      </c>
      <c r="T32" s="296" t="e">
        <f t="shared" si="0"/>
        <v>#N/A</v>
      </c>
      <c r="U32" s="296" t="e">
        <f t="shared" si="1"/>
        <v>#N/A</v>
      </c>
      <c r="V32" s="297" t="e">
        <f t="shared" si="2"/>
        <v>#N/A</v>
      </c>
      <c r="W32" s="297" t="e">
        <f t="shared" si="3"/>
        <v>#N/A</v>
      </c>
      <c r="X32" s="297" t="e">
        <f t="shared" si="4"/>
        <v>#N/A</v>
      </c>
      <c r="Y32" s="297" t="e">
        <f t="shared" si="5"/>
        <v>#N/A</v>
      </c>
      <c r="Z32" s="297" t="e">
        <f t="shared" si="6"/>
        <v>#N/A</v>
      </c>
      <c r="AA32" s="296" t="e">
        <f t="shared" si="7"/>
        <v>#N/A</v>
      </c>
    </row>
    <row r="33" spans="2:27" ht="15.75" customHeight="1">
      <c r="B33" s="445" t="s">
        <v>182</v>
      </c>
      <c r="C33" s="366"/>
      <c r="D33" s="279"/>
      <c r="E33" s="279"/>
      <c r="F33" s="278"/>
      <c r="G33" s="279"/>
      <c r="H33" s="279"/>
      <c r="I33" s="442"/>
      <c r="J33" s="434"/>
      <c r="K33" s="434"/>
      <c r="L33" s="398"/>
      <c r="M33" s="276"/>
      <c r="N33" s="374"/>
      <c r="O33" s="370"/>
      <c r="P33" s="435"/>
      <c r="Q33" s="443"/>
      <c r="S33" s="277" t="str">
        <f t="shared" si="11"/>
        <v>13th April 2025</v>
      </c>
      <c r="T33" s="296" t="e">
        <f t="shared" si="0"/>
        <v>#N/A</v>
      </c>
      <c r="U33" s="296" t="e">
        <f t="shared" si="1"/>
        <v>#N/A</v>
      </c>
      <c r="V33" s="297" t="e">
        <f t="shared" si="2"/>
        <v>#N/A</v>
      </c>
      <c r="W33" s="297" t="e">
        <f t="shared" si="3"/>
        <v>#N/A</v>
      </c>
      <c r="X33" s="297" t="e">
        <f t="shared" si="4"/>
        <v>#N/A</v>
      </c>
      <c r="Y33" s="297" t="e">
        <f t="shared" si="5"/>
        <v>#N/A</v>
      </c>
      <c r="Z33" s="297" t="e">
        <f t="shared" si="6"/>
        <v>#N/A</v>
      </c>
      <c r="AA33" s="296" t="e">
        <f t="shared" si="7"/>
        <v>#N/A</v>
      </c>
    </row>
    <row r="34" spans="2:27" ht="15.75" customHeight="1">
      <c r="B34" s="29" t="s">
        <v>6</v>
      </c>
      <c r="C34" s="366" t="str">
        <f>[23]Brewhouse!$A363</f>
        <v>CA259</v>
      </c>
      <c r="D34" s="279">
        <f>[23]Brewhouse!$AF363</f>
        <v>53.4</v>
      </c>
      <c r="E34" s="279">
        <f>[23]Brewhouse!$AI363</f>
        <v>49.7</v>
      </c>
      <c r="F34" s="278">
        <f>[23]Brewhouse!$V363</f>
        <v>59</v>
      </c>
      <c r="G34" s="279">
        <f>[23]Brewhouse!$AG363</f>
        <v>11.9</v>
      </c>
      <c r="H34" s="279">
        <v>11.8</v>
      </c>
      <c r="I34" s="442">
        <f>[23]Brewhouse!AY363</f>
        <v>98.540134170577801</v>
      </c>
      <c r="J34" s="368">
        <f>[23]Brewhouse!$AU363</f>
        <v>96.768319863223013</v>
      </c>
      <c r="K34" s="368">
        <f>[23]Brewhouse!$AV363</f>
        <v>98.273823970609541</v>
      </c>
      <c r="L34" s="281">
        <f>[23]Brewhouse!$Q363</f>
        <v>7.4690265486725638</v>
      </c>
      <c r="M34" s="276">
        <f>[23]Brewhouse!$P363</f>
        <v>56</v>
      </c>
      <c r="N34" s="397">
        <f>[23]Brewhouse!$U363-[23]Brewhouse!$T363</f>
        <v>0.11527777777777776</v>
      </c>
      <c r="O34" s="370">
        <f>[23]Brewhouse!$Z363</f>
        <v>0.26527777777777778</v>
      </c>
      <c r="P34" s="371" t="str">
        <f>[23]Brewhouse!$AX363</f>
        <v>G. Mason</v>
      </c>
      <c r="Q34" s="443"/>
      <c r="S34" s="277" t="str">
        <f t="shared" si="11"/>
        <v>CARIB</v>
      </c>
      <c r="T34" s="296">
        <f t="shared" si="0"/>
        <v>11.6</v>
      </c>
      <c r="U34" s="296">
        <f t="shared" si="1"/>
        <v>12</v>
      </c>
      <c r="V34" s="297">
        <f t="shared" si="2"/>
        <v>0</v>
      </c>
      <c r="W34" s="297">
        <f t="shared" si="3"/>
        <v>0.118055555555556</v>
      </c>
      <c r="X34" s="297">
        <f t="shared" si="4"/>
        <v>0.22569444444444445</v>
      </c>
      <c r="Y34" s="297">
        <f t="shared" si="5"/>
        <v>0.2638888888888889</v>
      </c>
      <c r="Z34" s="297">
        <f t="shared" si="6"/>
        <v>0</v>
      </c>
      <c r="AA34" s="296">
        <f t="shared" si="7"/>
        <v>60</v>
      </c>
    </row>
    <row r="35" spans="2:27" ht="15.75" customHeight="1">
      <c r="B35" s="29" t="s">
        <v>6</v>
      </c>
      <c r="C35" s="366" t="str">
        <f>[23]Brewhouse!$A364</f>
        <v>CA260</v>
      </c>
      <c r="D35" s="279">
        <f>[23]Brewhouse!$AF364</f>
        <v>54.1</v>
      </c>
      <c r="E35" s="279">
        <f>[23]Brewhouse!$AI364</f>
        <v>50.5</v>
      </c>
      <c r="F35" s="278">
        <f>[23]Brewhouse!$V364</f>
        <v>58</v>
      </c>
      <c r="G35" s="279">
        <f>[23]Brewhouse!$AG364</f>
        <v>12</v>
      </c>
      <c r="H35" s="279">
        <v>11.8</v>
      </c>
      <c r="I35" s="442">
        <f>[23]Brewhouse!AY364</f>
        <v>99.680758306614138</v>
      </c>
      <c r="J35" s="368">
        <f>[23]Brewhouse!$AU364</f>
        <v>99.07258993276939</v>
      </c>
      <c r="K35" s="368">
        <f>[23]Brewhouse!$AV364</f>
        <v>100.61411219616258</v>
      </c>
      <c r="L35" s="281">
        <f>[23]Brewhouse!$Q364</f>
        <v>6.8336314847942763</v>
      </c>
      <c r="M35" s="276">
        <f>[23]Brewhouse!$P364</f>
        <v>57</v>
      </c>
      <c r="N35" s="397">
        <f>[23]Brewhouse!$U364-[23]Brewhouse!$T364</f>
        <v>0.10694444444444451</v>
      </c>
      <c r="O35" s="370">
        <f>[23]Brewhouse!$Z364</f>
        <v>0.25763888888888892</v>
      </c>
      <c r="P35" s="371" t="str">
        <f>[23]Brewhouse!$AX364</f>
        <v>G. Mason</v>
      </c>
      <c r="Q35" s="443"/>
      <c r="S35" s="277" t="str">
        <f t="shared" si="11"/>
        <v>CARIB</v>
      </c>
      <c r="T35" s="296">
        <f t="shared" si="0"/>
        <v>11.6</v>
      </c>
      <c r="U35" s="296">
        <f t="shared" si="1"/>
        <v>12</v>
      </c>
      <c r="V35" s="297">
        <f t="shared" si="2"/>
        <v>0</v>
      </c>
      <c r="W35" s="297">
        <f t="shared" si="3"/>
        <v>0.118055555555556</v>
      </c>
      <c r="X35" s="297">
        <f t="shared" si="4"/>
        <v>0.22569444444444445</v>
      </c>
      <c r="Y35" s="297">
        <f t="shared" si="5"/>
        <v>0.2638888888888889</v>
      </c>
      <c r="Z35" s="297">
        <f t="shared" si="6"/>
        <v>0</v>
      </c>
      <c r="AA35" s="296">
        <f t="shared" si="7"/>
        <v>60</v>
      </c>
    </row>
    <row r="36" spans="2:27" ht="15.75" customHeight="1">
      <c r="B36" s="29" t="s">
        <v>6</v>
      </c>
      <c r="C36" s="366" t="str">
        <f>[23]Brewhouse!$A365</f>
        <v>CA261</v>
      </c>
      <c r="D36" s="279">
        <f>[23]Brewhouse!$AF365</f>
        <v>54.1</v>
      </c>
      <c r="E36" s="279">
        <f>[23]Brewhouse!$AI365</f>
        <v>50.9</v>
      </c>
      <c r="F36" s="278">
        <f>[23]Brewhouse!$V365</f>
        <v>57</v>
      </c>
      <c r="G36" s="279">
        <f>[23]Brewhouse!$AG365</f>
        <v>12</v>
      </c>
      <c r="H36" s="279">
        <v>11.7</v>
      </c>
      <c r="I36" s="442">
        <f>[23]Brewhouse!AY365</f>
        <v>97.522741496197369</v>
      </c>
      <c r="J36" s="368">
        <f>[23]Brewhouse!$AU365</f>
        <v>99.857323318375492</v>
      </c>
      <c r="K36" s="368">
        <f>[23]Brewhouse!$AV365</f>
        <v>101.41105565910249</v>
      </c>
      <c r="L36" s="281">
        <f>[23]Brewhouse!$Q365</f>
        <v>6.7148014440433199</v>
      </c>
      <c r="M36" s="276">
        <f>[23]Brewhouse!$P365</f>
        <v>58</v>
      </c>
      <c r="N36" s="397">
        <f>[23]Brewhouse!$U365-[23]Brewhouse!$T365</f>
        <v>0.11458333333333337</v>
      </c>
      <c r="O36" s="370">
        <f>[23]Brewhouse!$Z365</f>
        <v>0.25347222222222221</v>
      </c>
      <c r="P36" s="371" t="str">
        <f>[23]Brewhouse!$AX365</f>
        <v>G. Mason</v>
      </c>
      <c r="Q36" s="443"/>
      <c r="S36" s="277" t="str">
        <f t="shared" si="11"/>
        <v>CARIB</v>
      </c>
      <c r="T36" s="296">
        <f t="shared" si="0"/>
        <v>11.6</v>
      </c>
      <c r="U36" s="296">
        <f t="shared" si="1"/>
        <v>12</v>
      </c>
      <c r="V36" s="297">
        <f t="shared" si="2"/>
        <v>0</v>
      </c>
      <c r="W36" s="297">
        <f t="shared" si="3"/>
        <v>0.118055555555556</v>
      </c>
      <c r="X36" s="297">
        <f t="shared" si="4"/>
        <v>0.22569444444444445</v>
      </c>
      <c r="Y36" s="297">
        <f t="shared" si="5"/>
        <v>0.2638888888888889</v>
      </c>
      <c r="Z36" s="297">
        <f t="shared" si="6"/>
        <v>0</v>
      </c>
      <c r="AA36" s="296">
        <f t="shared" si="7"/>
        <v>60</v>
      </c>
    </row>
    <row r="37" spans="2:27" ht="15.75" customHeight="1">
      <c r="B37" s="29" t="s">
        <v>6</v>
      </c>
      <c r="C37" s="366" t="str">
        <f>[23]Brewhouse!$A366</f>
        <v>CA262</v>
      </c>
      <c r="D37" s="279">
        <f>[23]Brewhouse!$AF366</f>
        <v>54.8</v>
      </c>
      <c r="E37" s="279">
        <f>[23]Brewhouse!$AI366</f>
        <v>51.2</v>
      </c>
      <c r="F37" s="278">
        <f>[23]Brewhouse!$V366</f>
        <v>60</v>
      </c>
      <c r="G37" s="279">
        <f>[23]Brewhouse!$AG366</f>
        <v>11.7</v>
      </c>
      <c r="H37" s="279">
        <v>11.9</v>
      </c>
      <c r="I37" s="442">
        <f>[23]Brewhouse!AY366</f>
        <v>96.472442621612032</v>
      </c>
      <c r="J37" s="368">
        <f>[23]Brewhouse!$AU366</f>
        <v>98.374607891386887</v>
      </c>
      <c r="K37" s="368">
        <f>[23]Brewhouse!$AV366</f>
        <v>99.970849924521829</v>
      </c>
      <c r="L37" s="281">
        <f>[23]Brewhouse!$Q366</f>
        <v>6.4758497316636809</v>
      </c>
      <c r="M37" s="276">
        <f>[23]Brewhouse!$P366</f>
        <v>57</v>
      </c>
      <c r="N37" s="397">
        <f>[23]Brewhouse!$U366-[23]Brewhouse!$T366</f>
        <v>0.10763888888888884</v>
      </c>
      <c r="O37" s="370">
        <f>[23]Brewhouse!$Z366</f>
        <v>0.24791666666666667</v>
      </c>
      <c r="P37" s="371" t="str">
        <f>[23]Brewhouse!$AX366</f>
        <v>G. Mason</v>
      </c>
      <c r="Q37" s="443"/>
      <c r="S37" s="277" t="str">
        <f t="shared" si="11"/>
        <v>CARIB</v>
      </c>
      <c r="T37" s="296">
        <f t="shared" si="0"/>
        <v>11.6</v>
      </c>
      <c r="U37" s="296">
        <f t="shared" si="1"/>
        <v>12</v>
      </c>
      <c r="V37" s="297">
        <f t="shared" si="2"/>
        <v>0</v>
      </c>
      <c r="W37" s="297">
        <f t="shared" si="3"/>
        <v>0.118055555555556</v>
      </c>
      <c r="X37" s="297">
        <f t="shared" si="4"/>
        <v>0.22569444444444445</v>
      </c>
      <c r="Y37" s="297">
        <f t="shared" si="5"/>
        <v>0.2638888888888889</v>
      </c>
      <c r="Z37" s="297">
        <f t="shared" si="6"/>
        <v>0</v>
      </c>
      <c r="AA37" s="296">
        <f t="shared" si="7"/>
        <v>60</v>
      </c>
    </row>
    <row r="38" spans="2:27" ht="15.75" customHeight="1">
      <c r="B38" s="29" t="s">
        <v>6</v>
      </c>
      <c r="C38" s="366" t="str">
        <f>[23]Brewhouse!$A367</f>
        <v>CA263</v>
      </c>
      <c r="D38" s="279">
        <f>[23]Brewhouse!$AF367</f>
        <v>54.4</v>
      </c>
      <c r="E38" s="279">
        <f>[23]Brewhouse!$AI367</f>
        <v>50.8</v>
      </c>
      <c r="F38" s="278">
        <f>[23]Brewhouse!$V367</f>
        <v>63</v>
      </c>
      <c r="G38" s="279">
        <f>[23]Brewhouse!$AG367</f>
        <v>11.9</v>
      </c>
      <c r="H38" s="279">
        <v>11.8</v>
      </c>
      <c r="I38" s="442">
        <f>[23]Brewhouse!AY367</f>
        <v>97.13824916592641</v>
      </c>
      <c r="J38" s="368">
        <f>[23]Brewhouse!$AU367</f>
        <v>99.488368097360109</v>
      </c>
      <c r="K38" s="368">
        <f>[23]Brewhouse!$AV367</f>
        <v>101.10052669336523</v>
      </c>
      <c r="L38" s="281">
        <f>[23]Brewhouse!$Q367</f>
        <v>5.581395348837205</v>
      </c>
      <c r="M38" s="276">
        <f>[23]Brewhouse!$P367</f>
        <v>57</v>
      </c>
      <c r="N38" s="397">
        <f>[23]Brewhouse!$U367-[23]Brewhouse!$T367</f>
        <v>0.10694444444444451</v>
      </c>
      <c r="O38" s="370">
        <f>[23]Brewhouse!$Z367</f>
        <v>0.25347222222222221</v>
      </c>
      <c r="P38" s="371" t="str">
        <f>[23]Brewhouse!$AX367</f>
        <v>R.Sookram</v>
      </c>
      <c r="Q38" s="443"/>
      <c r="S38" s="277" t="str">
        <f t="shared" si="11"/>
        <v>CARIB</v>
      </c>
      <c r="T38" s="296">
        <f t="shared" si="0"/>
        <v>11.6</v>
      </c>
      <c r="U38" s="296">
        <f t="shared" si="1"/>
        <v>12</v>
      </c>
      <c r="V38" s="297">
        <f t="shared" si="2"/>
        <v>0</v>
      </c>
      <c r="W38" s="297">
        <f t="shared" si="3"/>
        <v>0.118055555555556</v>
      </c>
      <c r="X38" s="297">
        <f t="shared" si="4"/>
        <v>0.22569444444444445</v>
      </c>
      <c r="Y38" s="297">
        <f t="shared" si="5"/>
        <v>0.2638888888888889</v>
      </c>
      <c r="Z38" s="297">
        <f t="shared" si="6"/>
        <v>0</v>
      </c>
      <c r="AA38" s="296">
        <f t="shared" si="7"/>
        <v>60</v>
      </c>
    </row>
    <row r="39" spans="2:27" ht="15.75" customHeight="1">
      <c r="B39" s="29" t="s">
        <v>6</v>
      </c>
      <c r="C39" s="366" t="str">
        <f>[23]Brewhouse!$A368</f>
        <v>CA264</v>
      </c>
      <c r="D39" s="279">
        <f>[23]Brewhouse!$AF368</f>
        <v>54.2</v>
      </c>
      <c r="E39" s="279">
        <f>[23]Brewhouse!$AI368</f>
        <v>50.8</v>
      </c>
      <c r="F39" s="278">
        <f>[23]Brewhouse!$V368</f>
        <v>63</v>
      </c>
      <c r="G39" s="279">
        <f>[23]Brewhouse!$AG368</f>
        <v>11.8</v>
      </c>
      <c r="H39" s="279">
        <v>11.8</v>
      </c>
      <c r="I39" s="442">
        <f>[23]Brewhouse!AY368</f>
        <v>97.196362646507723</v>
      </c>
      <c r="J39" s="368">
        <f>[23]Brewhouse!$AU368</f>
        <v>98.731758097232401</v>
      </c>
      <c r="K39" s="368">
        <f>[23]Brewhouse!$AV368</f>
        <v>100.33156574156735</v>
      </c>
      <c r="L39" s="281">
        <f>[23]Brewhouse!$Q368</f>
        <v>6.263345195729543</v>
      </c>
      <c r="M39" s="276">
        <f>[23]Brewhouse!$P368</f>
        <v>62</v>
      </c>
      <c r="N39" s="397">
        <f>[23]Brewhouse!$U368-[23]Brewhouse!$T368</f>
        <v>0.11319444444444438</v>
      </c>
      <c r="O39" s="370">
        <f>[23]Brewhouse!$Z368</f>
        <v>0.26458333333333328</v>
      </c>
      <c r="P39" s="371" t="str">
        <f>[23]Brewhouse!$AX368</f>
        <v>R.Sookram</v>
      </c>
      <c r="Q39" s="443"/>
      <c r="S39" s="277" t="str">
        <f t="shared" si="11"/>
        <v>CARIB</v>
      </c>
      <c r="T39" s="296">
        <f t="shared" si="0"/>
        <v>11.6</v>
      </c>
      <c r="U39" s="296">
        <f t="shared" si="1"/>
        <v>12</v>
      </c>
      <c r="V39" s="297">
        <f t="shared" si="2"/>
        <v>0</v>
      </c>
      <c r="W39" s="297">
        <f t="shared" si="3"/>
        <v>0.118055555555556</v>
      </c>
      <c r="X39" s="297">
        <f t="shared" si="4"/>
        <v>0.22569444444444445</v>
      </c>
      <c r="Y39" s="297">
        <f t="shared" si="5"/>
        <v>0.2638888888888889</v>
      </c>
      <c r="Z39" s="297">
        <f t="shared" si="6"/>
        <v>0</v>
      </c>
      <c r="AA39" s="296">
        <f t="shared" si="7"/>
        <v>60</v>
      </c>
    </row>
    <row r="40" spans="2:27" ht="15.75" customHeight="1">
      <c r="B40" s="29" t="s">
        <v>6</v>
      </c>
      <c r="C40" s="366" t="str">
        <f>[23]Brewhouse!$A369</f>
        <v>CA265</v>
      </c>
      <c r="D40" s="279">
        <f>[23]Brewhouse!$AF369</f>
        <v>54</v>
      </c>
      <c r="E40" s="279">
        <f>[23]Brewhouse!$AI369</f>
        <v>50.6</v>
      </c>
      <c r="F40" s="278">
        <f>[23]Brewhouse!$V369</f>
        <v>64</v>
      </c>
      <c r="G40" s="279">
        <f>[23]Brewhouse!$AG369</f>
        <v>12</v>
      </c>
      <c r="H40" s="367"/>
      <c r="I40" s="442">
        <f>[23]Brewhouse!AY369</f>
        <v>98.791343795091564</v>
      </c>
      <c r="J40" s="368">
        <f>[23]Brewhouse!$AU369</f>
        <v>100.21736158844494</v>
      </c>
      <c r="K40" s="368">
        <f>[23]Brewhouse!$AV369</f>
        <v>101.8432366934918</v>
      </c>
      <c r="L40" s="281">
        <f>[23]Brewhouse!$Q369</f>
        <v>5.0267379679144391</v>
      </c>
      <c r="M40" s="276">
        <f>[23]Brewhouse!$P369</f>
        <v>57</v>
      </c>
      <c r="N40" s="397">
        <f>[23]Brewhouse!$U369-[23]Brewhouse!$T369</f>
        <v>0.10763888888888895</v>
      </c>
      <c r="O40" s="370">
        <f>[23]Brewhouse!$Z369</f>
        <v>0.25833333333333341</v>
      </c>
      <c r="P40" s="371" t="str">
        <f>[23]Brewhouse!$AX369</f>
        <v>R.Sookram</v>
      </c>
      <c r="Q40" s="443"/>
      <c r="S40" s="277" t="str">
        <f t="shared" si="11"/>
        <v>CARIB</v>
      </c>
      <c r="T40" s="296">
        <f t="shared" si="0"/>
        <v>11.6</v>
      </c>
      <c r="U40" s="296">
        <f t="shared" si="1"/>
        <v>12</v>
      </c>
      <c r="V40" s="297">
        <f t="shared" si="2"/>
        <v>0</v>
      </c>
      <c r="W40" s="297">
        <f t="shared" si="3"/>
        <v>0.118055555555556</v>
      </c>
      <c r="X40" s="297">
        <f t="shared" si="4"/>
        <v>0.22569444444444445</v>
      </c>
      <c r="Y40" s="297">
        <f t="shared" si="5"/>
        <v>0.2638888888888889</v>
      </c>
      <c r="Z40" s="297">
        <f t="shared" si="6"/>
        <v>0</v>
      </c>
      <c r="AA40" s="296">
        <f t="shared" si="7"/>
        <v>60</v>
      </c>
    </row>
    <row r="41" spans="2:27" ht="15.75" customHeight="1">
      <c r="B41" s="29" t="s">
        <v>6</v>
      </c>
      <c r="C41" s="366" t="str">
        <f>[23]Brewhouse!$A370</f>
        <v>CA266</v>
      </c>
      <c r="D41" s="279">
        <f>[23]Brewhouse!$AF370</f>
        <v>55.1</v>
      </c>
      <c r="E41" s="279">
        <f>[23]Brewhouse!$AI370</f>
        <v>52.1</v>
      </c>
      <c r="F41" s="278">
        <f>[23]Brewhouse!$V370</f>
        <v>60</v>
      </c>
      <c r="G41" s="279">
        <f>[23]Brewhouse!$AG370</f>
        <v>12</v>
      </c>
      <c r="H41" s="367"/>
      <c r="I41" s="442">
        <f>[23]Brewhouse!AY370</f>
        <v>101.82163160596747</v>
      </c>
      <c r="J41" s="368">
        <f>[23]Brewhouse!$AU370</f>
        <v>103.18823199126446</v>
      </c>
      <c r="K41" s="368">
        <f>[23]Brewhouse!$AV370</f>
        <v>104.86230497491944</v>
      </c>
      <c r="L41" s="281">
        <f>[23]Brewhouse!$Q370</f>
        <v>5.5516014234875524</v>
      </c>
      <c r="M41" s="276">
        <f>[23]Brewhouse!$P370</f>
        <v>57</v>
      </c>
      <c r="N41" s="397">
        <f>[23]Brewhouse!$U370-[23]Brewhouse!$T370</f>
        <v>0.10833333333333339</v>
      </c>
      <c r="O41" s="370">
        <f>[23]Brewhouse!$Z370</f>
        <v>0.24444444444444446</v>
      </c>
      <c r="P41" s="371" t="str">
        <f>[23]Brewhouse!$AX370</f>
        <v>R.Sookram</v>
      </c>
      <c r="Q41" s="443"/>
      <c r="S41" s="277" t="str">
        <f t="shared" si="11"/>
        <v>CARIB</v>
      </c>
      <c r="T41" s="296">
        <f t="shared" si="0"/>
        <v>11.6</v>
      </c>
      <c r="U41" s="296">
        <f t="shared" si="1"/>
        <v>12</v>
      </c>
      <c r="V41" s="297">
        <f t="shared" si="2"/>
        <v>0</v>
      </c>
      <c r="W41" s="297">
        <f t="shared" si="3"/>
        <v>0.118055555555556</v>
      </c>
      <c r="X41" s="297">
        <f t="shared" si="4"/>
        <v>0.22569444444444445</v>
      </c>
      <c r="Y41" s="297">
        <f t="shared" si="5"/>
        <v>0.2638888888888889</v>
      </c>
      <c r="Z41" s="297">
        <f t="shared" si="6"/>
        <v>0</v>
      </c>
      <c r="AA41" s="296">
        <f t="shared" si="7"/>
        <v>60</v>
      </c>
    </row>
    <row r="42" spans="2:27" ht="15.75" customHeight="1">
      <c r="B42" s="29"/>
      <c r="C42" s="366"/>
      <c r="D42" s="279"/>
      <c r="E42" s="279"/>
      <c r="F42" s="278"/>
      <c r="G42" s="279"/>
      <c r="H42" s="279"/>
      <c r="I42" s="442"/>
      <c r="J42" s="368"/>
      <c r="K42" s="368"/>
      <c r="L42" s="281"/>
      <c r="M42" s="276"/>
      <c r="N42" s="397"/>
      <c r="O42" s="370"/>
      <c r="P42" s="371"/>
      <c r="Q42" s="443"/>
      <c r="S42" s="277">
        <f t="shared" si="11"/>
        <v>0</v>
      </c>
      <c r="T42" s="296" t="e">
        <f t="shared" si="0"/>
        <v>#N/A</v>
      </c>
      <c r="U42" s="296" t="e">
        <f t="shared" si="1"/>
        <v>#N/A</v>
      </c>
      <c r="V42" s="297" t="e">
        <f t="shared" si="2"/>
        <v>#N/A</v>
      </c>
      <c r="W42" s="297" t="e">
        <f t="shared" si="3"/>
        <v>#N/A</v>
      </c>
      <c r="X42" s="297" t="e">
        <f t="shared" si="4"/>
        <v>#N/A</v>
      </c>
      <c r="Y42" s="297" t="e">
        <f t="shared" si="5"/>
        <v>#N/A</v>
      </c>
      <c r="Z42" s="297" t="e">
        <f t="shared" si="6"/>
        <v>#N/A</v>
      </c>
      <c r="AA42" s="296" t="e">
        <f t="shared" si="7"/>
        <v>#N/A</v>
      </c>
    </row>
    <row r="43" spans="2:27" ht="15.75" hidden="1" customHeight="1">
      <c r="B43" s="29"/>
      <c r="C43" s="366"/>
      <c r="D43" s="279"/>
      <c r="E43" s="279"/>
      <c r="F43" s="278"/>
      <c r="G43" s="279"/>
      <c r="H43" s="279"/>
      <c r="I43" s="442"/>
      <c r="J43" s="368"/>
      <c r="K43" s="368"/>
      <c r="L43" s="281"/>
      <c r="M43" s="276"/>
      <c r="N43" s="397"/>
      <c r="O43" s="370"/>
      <c r="P43" s="371"/>
      <c r="Q43" s="443"/>
      <c r="S43" s="277">
        <f t="shared" si="11"/>
        <v>0</v>
      </c>
      <c r="T43" s="296" t="e">
        <f t="shared" si="0"/>
        <v>#N/A</v>
      </c>
      <c r="U43" s="296" t="e">
        <f t="shared" si="1"/>
        <v>#N/A</v>
      </c>
      <c r="V43" s="297" t="e">
        <f t="shared" si="2"/>
        <v>#N/A</v>
      </c>
      <c r="W43" s="297" t="e">
        <f t="shared" si="3"/>
        <v>#N/A</v>
      </c>
      <c r="X43" s="297" t="e">
        <f t="shared" si="4"/>
        <v>#N/A</v>
      </c>
      <c r="Y43" s="297" t="e">
        <f t="shared" si="5"/>
        <v>#N/A</v>
      </c>
      <c r="Z43" s="297" t="e">
        <f t="shared" si="6"/>
        <v>#N/A</v>
      </c>
      <c r="AA43" s="296" t="e">
        <f t="shared" si="7"/>
        <v>#N/A</v>
      </c>
    </row>
    <row r="44" spans="2:27" ht="15.75" hidden="1" customHeight="1">
      <c r="B44" s="29"/>
      <c r="C44" s="366"/>
      <c r="D44" s="279"/>
      <c r="E44" s="279"/>
      <c r="F44" s="278"/>
      <c r="G44" s="279"/>
      <c r="H44" s="279"/>
      <c r="I44" s="442"/>
      <c r="J44" s="368"/>
      <c r="K44" s="368"/>
      <c r="L44" s="281"/>
      <c r="M44" s="276"/>
      <c r="N44" s="397"/>
      <c r="O44" s="370"/>
      <c r="P44" s="371"/>
      <c r="Q44" s="443"/>
      <c r="S44" s="277">
        <f t="shared" si="11"/>
        <v>0</v>
      </c>
      <c r="T44" s="296" t="e">
        <f t="shared" si="0"/>
        <v>#N/A</v>
      </c>
      <c r="U44" s="296" t="e">
        <f t="shared" si="1"/>
        <v>#N/A</v>
      </c>
      <c r="V44" s="297" t="e">
        <f t="shared" si="2"/>
        <v>#N/A</v>
      </c>
      <c r="W44" s="297" t="e">
        <f t="shared" si="3"/>
        <v>#N/A</v>
      </c>
      <c r="X44" s="297" t="e">
        <f t="shared" si="4"/>
        <v>#N/A</v>
      </c>
      <c r="Y44" s="297" t="e">
        <f t="shared" si="5"/>
        <v>#N/A</v>
      </c>
      <c r="Z44" s="297" t="e">
        <f t="shared" si="6"/>
        <v>#N/A</v>
      </c>
      <c r="AA44" s="296" t="e">
        <f t="shared" si="7"/>
        <v>#N/A</v>
      </c>
    </row>
    <row r="45" spans="2:27" ht="15.75" hidden="1" customHeight="1">
      <c r="B45" s="29"/>
      <c r="C45" s="366"/>
      <c r="D45" s="279"/>
      <c r="E45" s="279"/>
      <c r="F45" s="278"/>
      <c r="G45" s="279"/>
      <c r="H45" s="279"/>
      <c r="I45" s="442"/>
      <c r="J45" s="368"/>
      <c r="K45" s="368"/>
      <c r="L45" s="281"/>
      <c r="M45" s="276"/>
      <c r="N45" s="397"/>
      <c r="O45" s="370"/>
      <c r="P45" s="371"/>
      <c r="Q45" s="443"/>
      <c r="S45" s="277">
        <f t="shared" si="11"/>
        <v>0</v>
      </c>
      <c r="T45" s="296" t="e">
        <f t="shared" si="0"/>
        <v>#N/A</v>
      </c>
      <c r="U45" s="296" t="e">
        <f t="shared" si="1"/>
        <v>#N/A</v>
      </c>
      <c r="V45" s="297" t="e">
        <f t="shared" si="2"/>
        <v>#N/A</v>
      </c>
      <c r="W45" s="297" t="e">
        <f t="shared" si="3"/>
        <v>#N/A</v>
      </c>
      <c r="X45" s="297" t="e">
        <f t="shared" si="4"/>
        <v>#N/A</v>
      </c>
      <c r="Y45" s="297" t="e">
        <f t="shared" si="5"/>
        <v>#N/A</v>
      </c>
      <c r="Z45" s="297" t="e">
        <f t="shared" si="6"/>
        <v>#N/A</v>
      </c>
      <c r="AA45" s="296" t="e">
        <f t="shared" si="7"/>
        <v>#N/A</v>
      </c>
    </row>
    <row r="46" spans="2:27" ht="15.75" hidden="1" customHeight="1">
      <c r="B46" s="33"/>
      <c r="C46" s="366"/>
      <c r="D46" s="279"/>
      <c r="E46" s="279"/>
      <c r="F46" s="278"/>
      <c r="G46" s="279"/>
      <c r="H46" s="279"/>
      <c r="I46" s="442"/>
      <c r="J46" s="434"/>
      <c r="K46" s="434"/>
      <c r="L46" s="398"/>
      <c r="M46" s="276"/>
      <c r="N46" s="374"/>
      <c r="O46" s="370"/>
      <c r="P46" s="435"/>
      <c r="Q46" s="443"/>
      <c r="S46" s="277">
        <f t="shared" si="11"/>
        <v>0</v>
      </c>
      <c r="T46" s="296" t="e">
        <f t="shared" si="0"/>
        <v>#N/A</v>
      </c>
      <c r="U46" s="296" t="e">
        <f t="shared" si="1"/>
        <v>#N/A</v>
      </c>
      <c r="V46" s="297" t="e">
        <f t="shared" si="2"/>
        <v>#N/A</v>
      </c>
      <c r="W46" s="297" t="e">
        <f t="shared" si="3"/>
        <v>#N/A</v>
      </c>
      <c r="X46" s="297" t="e">
        <f t="shared" si="4"/>
        <v>#N/A</v>
      </c>
      <c r="Y46" s="297" t="e">
        <f t="shared" si="5"/>
        <v>#N/A</v>
      </c>
      <c r="Z46" s="297" t="e">
        <f t="shared" si="6"/>
        <v>#N/A</v>
      </c>
      <c r="AA46" s="296" t="e">
        <f t="shared" si="7"/>
        <v>#N/A</v>
      </c>
    </row>
    <row r="47" spans="2:27" ht="15.75" hidden="1" customHeight="1">
      <c r="B47" s="33"/>
      <c r="C47" s="366"/>
      <c r="D47" s="279"/>
      <c r="E47" s="279"/>
      <c r="F47" s="278"/>
      <c r="G47" s="279"/>
      <c r="H47" s="279"/>
      <c r="I47" s="442"/>
      <c r="J47" s="434"/>
      <c r="K47" s="434"/>
      <c r="L47" s="398"/>
      <c r="M47" s="276"/>
      <c r="N47" s="374"/>
      <c r="O47" s="370"/>
      <c r="P47" s="435"/>
      <c r="Q47" s="443"/>
      <c r="S47" s="277">
        <f t="shared" si="11"/>
        <v>0</v>
      </c>
      <c r="T47" s="296" t="e">
        <f t="shared" si="0"/>
        <v>#N/A</v>
      </c>
      <c r="U47" s="296" t="e">
        <f t="shared" si="1"/>
        <v>#N/A</v>
      </c>
      <c r="V47" s="297" t="e">
        <f t="shared" si="2"/>
        <v>#N/A</v>
      </c>
      <c r="W47" s="297" t="e">
        <f t="shared" si="3"/>
        <v>#N/A</v>
      </c>
      <c r="X47" s="297" t="e">
        <f t="shared" si="4"/>
        <v>#N/A</v>
      </c>
      <c r="Y47" s="297" t="e">
        <f t="shared" si="5"/>
        <v>#N/A</v>
      </c>
      <c r="Z47" s="297" t="e">
        <f t="shared" si="6"/>
        <v>#N/A</v>
      </c>
      <c r="AA47" s="296" t="e">
        <f t="shared" si="7"/>
        <v>#N/A</v>
      </c>
    </row>
    <row r="48" spans="2:27" ht="15.75" hidden="1" customHeight="1">
      <c r="B48" s="29"/>
      <c r="C48" s="366"/>
      <c r="D48" s="279"/>
      <c r="E48" s="279"/>
      <c r="F48" s="278"/>
      <c r="G48" s="279"/>
      <c r="H48" s="279"/>
      <c r="I48" s="442"/>
      <c r="J48" s="368"/>
      <c r="K48" s="368"/>
      <c r="L48" s="281"/>
      <c r="M48" s="276"/>
      <c r="N48" s="397"/>
      <c r="O48" s="370"/>
      <c r="P48" s="371"/>
      <c r="Q48" s="443"/>
      <c r="S48" s="277">
        <f t="shared" si="11"/>
        <v>0</v>
      </c>
      <c r="T48" s="296" t="e">
        <f t="shared" si="0"/>
        <v>#N/A</v>
      </c>
      <c r="U48" s="296" t="e">
        <f t="shared" si="1"/>
        <v>#N/A</v>
      </c>
      <c r="V48" s="297" t="e">
        <f t="shared" si="2"/>
        <v>#N/A</v>
      </c>
      <c r="W48" s="297" t="e">
        <f t="shared" si="3"/>
        <v>#N/A</v>
      </c>
      <c r="X48" s="297" t="e">
        <f t="shared" si="4"/>
        <v>#N/A</v>
      </c>
      <c r="Y48" s="297" t="e">
        <f t="shared" si="5"/>
        <v>#N/A</v>
      </c>
      <c r="Z48" s="297" t="e">
        <f t="shared" si="6"/>
        <v>#N/A</v>
      </c>
      <c r="AA48" s="296" t="e">
        <f t="shared" si="7"/>
        <v>#N/A</v>
      </c>
    </row>
    <row r="49" spans="2:27" ht="15.75" hidden="1" customHeight="1">
      <c r="B49" s="29"/>
      <c r="C49" s="366"/>
      <c r="D49" s="279"/>
      <c r="E49" s="279"/>
      <c r="F49" s="278"/>
      <c r="G49" s="279"/>
      <c r="H49" s="279"/>
      <c r="I49" s="442"/>
      <c r="J49" s="368"/>
      <c r="K49" s="368"/>
      <c r="L49" s="281"/>
      <c r="M49" s="276"/>
      <c r="N49" s="397"/>
      <c r="O49" s="370"/>
      <c r="P49" s="371"/>
      <c r="Q49" s="443"/>
      <c r="S49" s="277">
        <f t="shared" si="11"/>
        <v>0</v>
      </c>
      <c r="T49" s="296" t="e">
        <f t="shared" si="0"/>
        <v>#N/A</v>
      </c>
      <c r="U49" s="296" t="e">
        <f t="shared" si="1"/>
        <v>#N/A</v>
      </c>
      <c r="V49" s="297" t="e">
        <f t="shared" si="2"/>
        <v>#N/A</v>
      </c>
      <c r="W49" s="297" t="e">
        <f t="shared" si="3"/>
        <v>#N/A</v>
      </c>
      <c r="X49" s="297" t="e">
        <f t="shared" si="4"/>
        <v>#N/A</v>
      </c>
      <c r="Y49" s="297" t="e">
        <f t="shared" si="5"/>
        <v>#N/A</v>
      </c>
      <c r="Z49" s="297" t="e">
        <f t="shared" si="6"/>
        <v>#N/A</v>
      </c>
      <c r="AA49" s="296" t="e">
        <f t="shared" si="7"/>
        <v>#N/A</v>
      </c>
    </row>
    <row r="50" spans="2:27" ht="15.75" hidden="1" customHeight="1">
      <c r="B50" s="29"/>
      <c r="C50" s="366"/>
      <c r="D50" s="279"/>
      <c r="E50" s="279"/>
      <c r="F50" s="278"/>
      <c r="G50" s="279"/>
      <c r="H50" s="279"/>
      <c r="I50" s="442"/>
      <c r="J50" s="368"/>
      <c r="K50" s="368"/>
      <c r="L50" s="281"/>
      <c r="M50" s="276"/>
      <c r="N50" s="397"/>
      <c r="O50" s="370"/>
      <c r="P50" s="371"/>
      <c r="Q50" s="443"/>
      <c r="S50" s="277">
        <f t="shared" si="11"/>
        <v>0</v>
      </c>
      <c r="T50" s="296" t="e">
        <f t="shared" si="0"/>
        <v>#N/A</v>
      </c>
      <c r="U50" s="296" t="e">
        <f t="shared" si="1"/>
        <v>#N/A</v>
      </c>
      <c r="V50" s="297" t="e">
        <f t="shared" si="2"/>
        <v>#N/A</v>
      </c>
      <c r="W50" s="297" t="e">
        <f t="shared" si="3"/>
        <v>#N/A</v>
      </c>
      <c r="X50" s="297" t="e">
        <f t="shared" si="4"/>
        <v>#N/A</v>
      </c>
      <c r="Y50" s="297" t="e">
        <f t="shared" si="5"/>
        <v>#N/A</v>
      </c>
      <c r="Z50" s="297" t="e">
        <f t="shared" si="6"/>
        <v>#N/A</v>
      </c>
      <c r="AA50" s="296" t="e">
        <f t="shared" si="7"/>
        <v>#N/A</v>
      </c>
    </row>
    <row r="51" spans="2:27" ht="15.75" hidden="1" customHeight="1">
      <c r="B51" s="29"/>
      <c r="C51" s="366"/>
      <c r="D51" s="279"/>
      <c r="E51" s="279"/>
      <c r="F51" s="278"/>
      <c r="G51" s="279"/>
      <c r="H51" s="279"/>
      <c r="I51" s="442"/>
      <c r="J51" s="368"/>
      <c r="K51" s="368"/>
      <c r="L51" s="281"/>
      <c r="M51" s="276"/>
      <c r="N51" s="397"/>
      <c r="O51" s="370"/>
      <c r="P51" s="371"/>
      <c r="Q51" s="443"/>
      <c r="S51" s="277">
        <f t="shared" si="11"/>
        <v>0</v>
      </c>
      <c r="T51" s="296" t="e">
        <f t="shared" si="0"/>
        <v>#N/A</v>
      </c>
      <c r="U51" s="296" t="e">
        <f t="shared" si="1"/>
        <v>#N/A</v>
      </c>
      <c r="V51" s="297" t="e">
        <f t="shared" si="2"/>
        <v>#N/A</v>
      </c>
      <c r="W51" s="297" t="e">
        <f t="shared" si="3"/>
        <v>#N/A</v>
      </c>
      <c r="X51" s="297" t="e">
        <f t="shared" si="4"/>
        <v>#N/A</v>
      </c>
      <c r="Y51" s="297" t="e">
        <f t="shared" si="5"/>
        <v>#N/A</v>
      </c>
      <c r="Z51" s="297" t="e">
        <f t="shared" si="6"/>
        <v>#N/A</v>
      </c>
      <c r="AA51" s="296" t="e">
        <f t="shared" si="7"/>
        <v>#N/A</v>
      </c>
    </row>
    <row r="52" spans="2:27" ht="15.75" hidden="1" customHeight="1">
      <c r="B52" s="29"/>
      <c r="C52" s="366"/>
      <c r="D52" s="279"/>
      <c r="E52" s="279"/>
      <c r="F52" s="278"/>
      <c r="G52" s="279"/>
      <c r="H52" s="279"/>
      <c r="I52" s="442"/>
      <c r="J52" s="368"/>
      <c r="K52" s="368"/>
      <c r="L52" s="281"/>
      <c r="M52" s="276"/>
      <c r="N52" s="397"/>
      <c r="O52" s="370"/>
      <c r="P52" s="371"/>
      <c r="Q52" s="443"/>
      <c r="S52" s="277">
        <f t="shared" si="11"/>
        <v>0</v>
      </c>
      <c r="T52" s="296" t="e">
        <f t="shared" si="0"/>
        <v>#N/A</v>
      </c>
      <c r="U52" s="296" t="e">
        <f t="shared" si="1"/>
        <v>#N/A</v>
      </c>
      <c r="V52" s="297" t="e">
        <f t="shared" si="2"/>
        <v>#N/A</v>
      </c>
      <c r="W52" s="297" t="e">
        <f t="shared" si="3"/>
        <v>#N/A</v>
      </c>
      <c r="X52" s="297" t="e">
        <f t="shared" si="4"/>
        <v>#N/A</v>
      </c>
      <c r="Y52" s="297" t="e">
        <f t="shared" si="5"/>
        <v>#N/A</v>
      </c>
      <c r="Z52" s="297" t="e">
        <f t="shared" si="6"/>
        <v>#N/A</v>
      </c>
      <c r="AA52" s="296" t="e">
        <f t="shared" si="7"/>
        <v>#N/A</v>
      </c>
    </row>
    <row r="53" spans="2:27" ht="15.75" hidden="1" customHeight="1">
      <c r="B53" s="29"/>
      <c r="C53" s="366"/>
      <c r="D53" s="279"/>
      <c r="E53" s="279"/>
      <c r="F53" s="278"/>
      <c r="G53" s="279"/>
      <c r="H53" s="279"/>
      <c r="I53" s="442"/>
      <c r="J53" s="368"/>
      <c r="K53" s="368"/>
      <c r="L53" s="281"/>
      <c r="M53" s="276"/>
      <c r="N53" s="397"/>
      <c r="O53" s="370"/>
      <c r="P53" s="371"/>
      <c r="Q53" s="443"/>
      <c r="S53" s="277">
        <f t="shared" si="11"/>
        <v>0</v>
      </c>
      <c r="T53" s="296" t="e">
        <f t="shared" si="0"/>
        <v>#N/A</v>
      </c>
      <c r="U53" s="296" t="e">
        <f t="shared" si="1"/>
        <v>#N/A</v>
      </c>
      <c r="V53" s="297" t="e">
        <f t="shared" si="2"/>
        <v>#N/A</v>
      </c>
      <c r="W53" s="297" t="e">
        <f t="shared" si="3"/>
        <v>#N/A</v>
      </c>
      <c r="X53" s="297" t="e">
        <f t="shared" si="4"/>
        <v>#N/A</v>
      </c>
      <c r="Y53" s="297" t="e">
        <f t="shared" si="5"/>
        <v>#N/A</v>
      </c>
      <c r="Z53" s="297" t="e">
        <f t="shared" si="6"/>
        <v>#N/A</v>
      </c>
      <c r="AA53" s="296" t="e">
        <f t="shared" si="7"/>
        <v>#N/A</v>
      </c>
    </row>
    <row r="54" spans="2:27" ht="15.75" hidden="1" customHeight="1">
      <c r="B54" s="29"/>
      <c r="C54" s="366"/>
      <c r="D54" s="279"/>
      <c r="E54" s="279"/>
      <c r="F54" s="278"/>
      <c r="G54" s="279"/>
      <c r="H54" s="279"/>
      <c r="I54" s="442"/>
      <c r="J54" s="368"/>
      <c r="K54" s="368"/>
      <c r="L54" s="281"/>
      <c r="M54" s="276"/>
      <c r="N54" s="397"/>
      <c r="O54" s="370"/>
      <c r="P54" s="371"/>
      <c r="Q54" s="443"/>
      <c r="S54" s="277">
        <f t="shared" si="11"/>
        <v>0</v>
      </c>
      <c r="T54" s="296" t="e">
        <f t="shared" si="0"/>
        <v>#N/A</v>
      </c>
      <c r="U54" s="296" t="e">
        <f t="shared" si="1"/>
        <v>#N/A</v>
      </c>
      <c r="V54" s="297" t="e">
        <f t="shared" si="2"/>
        <v>#N/A</v>
      </c>
      <c r="W54" s="297" t="e">
        <f t="shared" si="3"/>
        <v>#N/A</v>
      </c>
      <c r="X54" s="297" t="e">
        <f t="shared" si="4"/>
        <v>#N/A</v>
      </c>
      <c r="Y54" s="297" t="e">
        <f t="shared" si="5"/>
        <v>#N/A</v>
      </c>
      <c r="Z54" s="297" t="e">
        <f t="shared" si="6"/>
        <v>#N/A</v>
      </c>
      <c r="AA54" s="296" t="e">
        <f t="shared" si="7"/>
        <v>#N/A</v>
      </c>
    </row>
    <row r="55" spans="2:27" ht="15.75" hidden="1" customHeight="1">
      <c r="B55" s="29"/>
      <c r="C55" s="366"/>
      <c r="D55" s="279"/>
      <c r="E55" s="279"/>
      <c r="F55" s="278"/>
      <c r="G55" s="279"/>
      <c r="H55" s="279"/>
      <c r="I55" s="442"/>
      <c r="J55" s="368"/>
      <c r="K55" s="368"/>
      <c r="L55" s="281"/>
      <c r="M55" s="276"/>
      <c r="N55" s="397"/>
      <c r="O55" s="370"/>
      <c r="P55" s="371"/>
      <c r="Q55" s="443"/>
      <c r="S55" s="277">
        <f t="shared" si="11"/>
        <v>0</v>
      </c>
      <c r="T55" s="296" t="e">
        <f t="shared" si="0"/>
        <v>#N/A</v>
      </c>
      <c r="U55" s="296" t="e">
        <f t="shared" si="1"/>
        <v>#N/A</v>
      </c>
      <c r="V55" s="297" t="e">
        <f t="shared" si="2"/>
        <v>#N/A</v>
      </c>
      <c r="W55" s="297" t="e">
        <f t="shared" si="3"/>
        <v>#N/A</v>
      </c>
      <c r="X55" s="297" t="e">
        <f t="shared" si="4"/>
        <v>#N/A</v>
      </c>
      <c r="Y55" s="297" t="e">
        <f t="shared" si="5"/>
        <v>#N/A</v>
      </c>
      <c r="Z55" s="297" t="e">
        <f t="shared" si="6"/>
        <v>#N/A</v>
      </c>
      <c r="AA55" s="296" t="e">
        <f t="shared" si="7"/>
        <v>#N/A</v>
      </c>
    </row>
    <row r="56" spans="2:27" ht="15.75" hidden="1" customHeight="1">
      <c r="B56" s="29"/>
      <c r="C56" s="366"/>
      <c r="D56" s="279"/>
      <c r="E56" s="279"/>
      <c r="F56" s="278"/>
      <c r="G56" s="279"/>
      <c r="H56" s="279"/>
      <c r="I56" s="442"/>
      <c r="J56" s="368"/>
      <c r="K56" s="368"/>
      <c r="L56" s="281"/>
      <c r="M56" s="276"/>
      <c r="N56" s="397"/>
      <c r="O56" s="370"/>
      <c r="P56" s="371"/>
      <c r="Q56" s="443"/>
      <c r="S56" s="277">
        <f t="shared" si="11"/>
        <v>0</v>
      </c>
      <c r="T56" s="296" t="e">
        <f t="shared" si="0"/>
        <v>#N/A</v>
      </c>
      <c r="U56" s="296" t="e">
        <f t="shared" si="1"/>
        <v>#N/A</v>
      </c>
      <c r="V56" s="297" t="e">
        <f t="shared" si="2"/>
        <v>#N/A</v>
      </c>
      <c r="W56" s="297" t="e">
        <f t="shared" si="3"/>
        <v>#N/A</v>
      </c>
      <c r="X56" s="297" t="e">
        <f t="shared" si="4"/>
        <v>#N/A</v>
      </c>
      <c r="Y56" s="297" t="e">
        <f t="shared" si="5"/>
        <v>#N/A</v>
      </c>
      <c r="Z56" s="297" t="e">
        <f t="shared" si="6"/>
        <v>#N/A</v>
      </c>
      <c r="AA56" s="296" t="e">
        <f t="shared" si="7"/>
        <v>#N/A</v>
      </c>
    </row>
    <row r="57" spans="2:27" ht="15.75" hidden="1" customHeight="1">
      <c r="B57" s="29"/>
      <c r="C57" s="366"/>
      <c r="D57" s="279"/>
      <c r="E57" s="279"/>
      <c r="F57" s="278"/>
      <c r="G57" s="279"/>
      <c r="H57" s="279"/>
      <c r="I57" s="442"/>
      <c r="J57" s="368"/>
      <c r="K57" s="368"/>
      <c r="L57" s="281"/>
      <c r="M57" s="276"/>
      <c r="N57" s="397"/>
      <c r="O57" s="370"/>
      <c r="P57" s="371"/>
      <c r="Q57" s="443"/>
      <c r="S57" s="277">
        <f t="shared" si="11"/>
        <v>0</v>
      </c>
      <c r="T57" s="296" t="e">
        <f t="shared" si="0"/>
        <v>#N/A</v>
      </c>
      <c r="U57" s="296" t="e">
        <f t="shared" si="1"/>
        <v>#N/A</v>
      </c>
      <c r="V57" s="297" t="e">
        <f t="shared" si="2"/>
        <v>#N/A</v>
      </c>
      <c r="W57" s="297" t="e">
        <f t="shared" si="3"/>
        <v>#N/A</v>
      </c>
      <c r="X57" s="297" t="e">
        <f t="shared" si="4"/>
        <v>#N/A</v>
      </c>
      <c r="Y57" s="297" t="e">
        <f t="shared" si="5"/>
        <v>#N/A</v>
      </c>
      <c r="Z57" s="297" t="e">
        <f t="shared" si="6"/>
        <v>#N/A</v>
      </c>
      <c r="AA57" s="296" t="e">
        <f t="shared" si="7"/>
        <v>#N/A</v>
      </c>
    </row>
    <row r="58" spans="2:27" ht="15.75" hidden="1" customHeight="1">
      <c r="B58" s="29"/>
      <c r="C58" s="366"/>
      <c r="D58" s="279"/>
      <c r="E58" s="279"/>
      <c r="F58" s="278"/>
      <c r="G58" s="279"/>
      <c r="H58" s="279"/>
      <c r="I58" s="442"/>
      <c r="J58" s="368"/>
      <c r="K58" s="368"/>
      <c r="L58" s="281"/>
      <c r="M58" s="276"/>
      <c r="N58" s="397"/>
      <c r="O58" s="370"/>
      <c r="P58" s="371"/>
      <c r="Q58" s="443"/>
      <c r="S58" s="277">
        <f t="shared" si="11"/>
        <v>0</v>
      </c>
      <c r="T58" s="296" t="e">
        <f t="shared" si="0"/>
        <v>#N/A</v>
      </c>
      <c r="U58" s="296" t="e">
        <f t="shared" si="1"/>
        <v>#N/A</v>
      </c>
      <c r="V58" s="297" t="e">
        <f t="shared" si="2"/>
        <v>#N/A</v>
      </c>
      <c r="W58" s="297" t="e">
        <f t="shared" si="3"/>
        <v>#N/A</v>
      </c>
      <c r="X58" s="297" t="e">
        <f t="shared" si="4"/>
        <v>#N/A</v>
      </c>
      <c r="Y58" s="297" t="e">
        <f t="shared" si="5"/>
        <v>#N/A</v>
      </c>
      <c r="Z58" s="297" t="e">
        <f t="shared" si="6"/>
        <v>#N/A</v>
      </c>
      <c r="AA58" s="296" t="e">
        <f t="shared" si="7"/>
        <v>#N/A</v>
      </c>
    </row>
    <row r="59" spans="2:27" ht="15.75" hidden="1" customHeight="1">
      <c r="B59" s="29"/>
      <c r="C59" s="366"/>
      <c r="D59" s="279"/>
      <c r="E59" s="279"/>
      <c r="F59" s="278"/>
      <c r="G59" s="279"/>
      <c r="H59" s="279"/>
      <c r="I59" s="442"/>
      <c r="J59" s="368"/>
      <c r="K59" s="368"/>
      <c r="L59" s="281"/>
      <c r="M59" s="276"/>
      <c r="N59" s="397"/>
      <c r="O59" s="370"/>
      <c r="P59" s="371"/>
      <c r="Q59" s="443"/>
      <c r="S59" s="277">
        <f t="shared" si="11"/>
        <v>0</v>
      </c>
      <c r="T59" s="296" t="e">
        <f t="shared" si="0"/>
        <v>#N/A</v>
      </c>
      <c r="U59" s="296" t="e">
        <f t="shared" si="1"/>
        <v>#N/A</v>
      </c>
      <c r="V59" s="297" t="e">
        <f t="shared" si="2"/>
        <v>#N/A</v>
      </c>
      <c r="W59" s="297" t="e">
        <f t="shared" si="3"/>
        <v>#N/A</v>
      </c>
      <c r="X59" s="297" t="e">
        <f t="shared" si="4"/>
        <v>#N/A</v>
      </c>
      <c r="Y59" s="297" t="e">
        <f t="shared" si="5"/>
        <v>#N/A</v>
      </c>
      <c r="Z59" s="297" t="e">
        <f t="shared" si="6"/>
        <v>#N/A</v>
      </c>
      <c r="AA59" s="296" t="e">
        <f t="shared" si="7"/>
        <v>#N/A</v>
      </c>
    </row>
    <row r="60" spans="2:27" ht="15.75" hidden="1" customHeight="1">
      <c r="B60" s="29"/>
      <c r="C60" s="366"/>
      <c r="D60" s="279"/>
      <c r="E60" s="279"/>
      <c r="F60" s="278"/>
      <c r="G60" s="279"/>
      <c r="H60" s="279"/>
      <c r="I60" s="442"/>
      <c r="J60" s="368"/>
      <c r="K60" s="368"/>
      <c r="L60" s="281"/>
      <c r="M60" s="276"/>
      <c r="N60" s="397"/>
      <c r="O60" s="370"/>
      <c r="P60" s="371"/>
      <c r="Q60" s="443"/>
      <c r="S60" s="277">
        <f t="shared" si="11"/>
        <v>0</v>
      </c>
      <c r="T60" s="296" t="e">
        <f t="shared" si="0"/>
        <v>#N/A</v>
      </c>
      <c r="U60" s="296" t="e">
        <f t="shared" si="1"/>
        <v>#N/A</v>
      </c>
      <c r="V60" s="297" t="e">
        <f t="shared" si="2"/>
        <v>#N/A</v>
      </c>
      <c r="W60" s="297" t="e">
        <f t="shared" si="3"/>
        <v>#N/A</v>
      </c>
      <c r="X60" s="297" t="e">
        <f t="shared" si="4"/>
        <v>#N/A</v>
      </c>
      <c r="Y60" s="297" t="e">
        <f t="shared" si="5"/>
        <v>#N/A</v>
      </c>
      <c r="Z60" s="297" t="e">
        <f t="shared" si="6"/>
        <v>#N/A</v>
      </c>
      <c r="AA60" s="296" t="e">
        <f t="shared" si="7"/>
        <v>#N/A</v>
      </c>
    </row>
    <row r="61" spans="2:27" ht="15.75" hidden="1" customHeight="1">
      <c r="B61" s="29"/>
      <c r="C61" s="366"/>
      <c r="D61" s="279"/>
      <c r="E61" s="279"/>
      <c r="F61" s="278"/>
      <c r="G61" s="279"/>
      <c r="H61" s="279"/>
      <c r="I61" s="442"/>
      <c r="J61" s="368"/>
      <c r="K61" s="368"/>
      <c r="L61" s="281"/>
      <c r="M61" s="276"/>
      <c r="N61" s="397"/>
      <c r="O61" s="370"/>
      <c r="P61" s="371"/>
      <c r="Q61" s="443"/>
      <c r="S61" s="277">
        <f t="shared" si="11"/>
        <v>0</v>
      </c>
      <c r="T61" s="296" t="e">
        <f t="shared" si="0"/>
        <v>#N/A</v>
      </c>
      <c r="U61" s="296" t="e">
        <f t="shared" si="1"/>
        <v>#N/A</v>
      </c>
      <c r="V61" s="297" t="e">
        <f t="shared" si="2"/>
        <v>#N/A</v>
      </c>
      <c r="W61" s="297" t="e">
        <f t="shared" si="3"/>
        <v>#N/A</v>
      </c>
      <c r="X61" s="297" t="e">
        <f t="shared" si="4"/>
        <v>#N/A</v>
      </c>
      <c r="Y61" s="297" t="e">
        <f t="shared" si="5"/>
        <v>#N/A</v>
      </c>
      <c r="Z61" s="297" t="e">
        <f t="shared" si="6"/>
        <v>#N/A</v>
      </c>
      <c r="AA61" s="296" t="e">
        <f t="shared" si="7"/>
        <v>#N/A</v>
      </c>
    </row>
    <row r="62" spans="2:27" ht="15.75" hidden="1" customHeight="1">
      <c r="B62" s="29"/>
      <c r="C62" s="366"/>
      <c r="D62" s="279"/>
      <c r="E62" s="279"/>
      <c r="F62" s="278"/>
      <c r="G62" s="279"/>
      <c r="H62" s="279"/>
      <c r="I62" s="442"/>
      <c r="J62" s="368"/>
      <c r="K62" s="368"/>
      <c r="L62" s="281"/>
      <c r="M62" s="276"/>
      <c r="N62" s="397"/>
      <c r="O62" s="370"/>
      <c r="P62" s="371"/>
      <c r="Q62" s="443"/>
      <c r="S62" s="277">
        <f t="shared" si="11"/>
        <v>0</v>
      </c>
      <c r="T62" s="296" t="e">
        <f t="shared" si="0"/>
        <v>#N/A</v>
      </c>
      <c r="U62" s="296" t="e">
        <f t="shared" si="1"/>
        <v>#N/A</v>
      </c>
      <c r="V62" s="297" t="e">
        <f t="shared" si="2"/>
        <v>#N/A</v>
      </c>
      <c r="W62" s="297" t="e">
        <f t="shared" si="3"/>
        <v>#N/A</v>
      </c>
      <c r="X62" s="297" t="e">
        <f t="shared" si="4"/>
        <v>#N/A</v>
      </c>
      <c r="Y62" s="297" t="e">
        <f t="shared" si="5"/>
        <v>#N/A</v>
      </c>
      <c r="Z62" s="297" t="e">
        <f t="shared" si="6"/>
        <v>#N/A</v>
      </c>
      <c r="AA62" s="296" t="e">
        <f t="shared" si="7"/>
        <v>#N/A</v>
      </c>
    </row>
    <row r="63" spans="2:27" ht="15.75" hidden="1" customHeight="1">
      <c r="B63" s="29"/>
      <c r="C63" s="366"/>
      <c r="D63" s="279"/>
      <c r="E63" s="279"/>
      <c r="F63" s="278"/>
      <c r="G63" s="279"/>
      <c r="H63" s="279"/>
      <c r="I63" s="442"/>
      <c r="J63" s="368"/>
      <c r="K63" s="368"/>
      <c r="L63" s="281"/>
      <c r="M63" s="276"/>
      <c r="N63" s="397"/>
      <c r="O63" s="370"/>
      <c r="P63" s="371"/>
      <c r="Q63" s="443"/>
      <c r="S63" s="277">
        <f t="shared" si="11"/>
        <v>0</v>
      </c>
      <c r="T63" s="296" t="e">
        <f t="shared" si="0"/>
        <v>#N/A</v>
      </c>
      <c r="U63" s="296" t="e">
        <f t="shared" si="1"/>
        <v>#N/A</v>
      </c>
      <c r="V63" s="297" t="e">
        <f t="shared" si="2"/>
        <v>#N/A</v>
      </c>
      <c r="W63" s="297" t="e">
        <f t="shared" si="3"/>
        <v>#N/A</v>
      </c>
      <c r="X63" s="297" t="e">
        <f t="shared" si="4"/>
        <v>#N/A</v>
      </c>
      <c r="Y63" s="297" t="e">
        <f t="shared" si="5"/>
        <v>#N/A</v>
      </c>
      <c r="Z63" s="297" t="e">
        <f t="shared" si="6"/>
        <v>#N/A</v>
      </c>
      <c r="AA63" s="296" t="e">
        <f t="shared" si="7"/>
        <v>#N/A</v>
      </c>
    </row>
    <row r="64" spans="2:27" ht="15.75" hidden="1" customHeight="1">
      <c r="B64" s="29"/>
      <c r="C64" s="366"/>
      <c r="D64" s="279"/>
      <c r="E64" s="279"/>
      <c r="F64" s="278"/>
      <c r="G64" s="279"/>
      <c r="H64" s="279"/>
      <c r="I64" s="442"/>
      <c r="J64" s="368"/>
      <c r="K64" s="368"/>
      <c r="L64" s="281"/>
      <c r="M64" s="276"/>
      <c r="N64" s="397"/>
      <c r="O64" s="370"/>
      <c r="P64" s="371"/>
      <c r="Q64" s="443"/>
      <c r="S64" s="277">
        <f t="shared" si="11"/>
        <v>0</v>
      </c>
      <c r="T64" s="296" t="e">
        <f t="shared" si="0"/>
        <v>#N/A</v>
      </c>
      <c r="U64" s="296" t="e">
        <f t="shared" si="1"/>
        <v>#N/A</v>
      </c>
      <c r="V64" s="297" t="e">
        <f t="shared" si="2"/>
        <v>#N/A</v>
      </c>
      <c r="W64" s="297" t="e">
        <f t="shared" si="3"/>
        <v>#N/A</v>
      </c>
      <c r="X64" s="297" t="e">
        <f t="shared" si="4"/>
        <v>#N/A</v>
      </c>
      <c r="Y64" s="297" t="e">
        <f t="shared" si="5"/>
        <v>#N/A</v>
      </c>
      <c r="Z64" s="297" t="e">
        <f t="shared" si="6"/>
        <v>#N/A</v>
      </c>
      <c r="AA64" s="296" t="e">
        <f t="shared" si="7"/>
        <v>#N/A</v>
      </c>
    </row>
    <row r="65" spans="2:27" ht="15.75" hidden="1" customHeight="1">
      <c r="B65" s="29"/>
      <c r="C65" s="366"/>
      <c r="D65" s="279"/>
      <c r="E65" s="279"/>
      <c r="F65" s="278"/>
      <c r="G65" s="279"/>
      <c r="H65" s="279"/>
      <c r="I65" s="442"/>
      <c r="J65" s="368"/>
      <c r="K65" s="368"/>
      <c r="L65" s="281"/>
      <c r="M65" s="276"/>
      <c r="N65" s="397"/>
      <c r="O65" s="370"/>
      <c r="P65" s="371"/>
      <c r="Q65" s="443"/>
      <c r="S65" s="277">
        <f t="shared" si="11"/>
        <v>0</v>
      </c>
      <c r="T65" s="296" t="e">
        <f t="shared" si="0"/>
        <v>#N/A</v>
      </c>
      <c r="U65" s="296" t="e">
        <f t="shared" si="1"/>
        <v>#N/A</v>
      </c>
      <c r="V65" s="297" t="e">
        <f t="shared" si="2"/>
        <v>#N/A</v>
      </c>
      <c r="W65" s="297" t="e">
        <f t="shared" si="3"/>
        <v>#N/A</v>
      </c>
      <c r="X65" s="297" t="e">
        <f t="shared" si="4"/>
        <v>#N/A</v>
      </c>
      <c r="Y65" s="297" t="e">
        <f t="shared" si="5"/>
        <v>#N/A</v>
      </c>
      <c r="Z65" s="297" t="e">
        <f t="shared" si="6"/>
        <v>#N/A</v>
      </c>
      <c r="AA65" s="296" t="e">
        <f t="shared" si="7"/>
        <v>#N/A</v>
      </c>
    </row>
    <row r="66" spans="2:27" ht="15.75" hidden="1" customHeight="1">
      <c r="B66" s="29"/>
      <c r="C66" s="366"/>
      <c r="D66" s="279"/>
      <c r="E66" s="279"/>
      <c r="F66" s="278"/>
      <c r="G66" s="279"/>
      <c r="H66" s="279"/>
      <c r="I66" s="442"/>
      <c r="J66" s="368"/>
      <c r="K66" s="368"/>
      <c r="L66" s="281"/>
      <c r="M66" s="276"/>
      <c r="N66" s="397"/>
      <c r="O66" s="370"/>
      <c r="P66" s="371"/>
      <c r="Q66" s="443"/>
      <c r="S66" s="277">
        <f t="shared" si="11"/>
        <v>0</v>
      </c>
      <c r="T66" s="296" t="e">
        <f t="shared" si="0"/>
        <v>#N/A</v>
      </c>
      <c r="U66" s="296" t="e">
        <f t="shared" si="1"/>
        <v>#N/A</v>
      </c>
      <c r="V66" s="297" t="e">
        <f t="shared" si="2"/>
        <v>#N/A</v>
      </c>
      <c r="W66" s="297" t="e">
        <f t="shared" si="3"/>
        <v>#N/A</v>
      </c>
      <c r="X66" s="297" t="e">
        <f t="shared" si="4"/>
        <v>#N/A</v>
      </c>
      <c r="Y66" s="297" t="e">
        <f t="shared" si="5"/>
        <v>#N/A</v>
      </c>
      <c r="Z66" s="297" t="e">
        <f t="shared" si="6"/>
        <v>#N/A</v>
      </c>
      <c r="AA66" s="296" t="e">
        <f t="shared" si="7"/>
        <v>#N/A</v>
      </c>
    </row>
    <row r="67" spans="2:27" ht="15.75" hidden="1" customHeight="1">
      <c r="B67" s="29"/>
      <c r="C67" s="366"/>
      <c r="D67" s="279"/>
      <c r="E67" s="279"/>
      <c r="F67" s="278"/>
      <c r="G67" s="279"/>
      <c r="H67" s="279"/>
      <c r="I67" s="442"/>
      <c r="J67" s="368"/>
      <c r="K67" s="368"/>
      <c r="L67" s="281"/>
      <c r="M67" s="276"/>
      <c r="N67" s="397"/>
      <c r="O67" s="370"/>
      <c r="P67" s="371"/>
      <c r="Q67" s="443"/>
      <c r="S67" s="277">
        <f t="shared" si="11"/>
        <v>0</v>
      </c>
      <c r="T67" s="296" t="e">
        <f t="shared" si="0"/>
        <v>#N/A</v>
      </c>
      <c r="U67" s="296" t="e">
        <f t="shared" si="1"/>
        <v>#N/A</v>
      </c>
      <c r="V67" s="297" t="e">
        <f t="shared" si="2"/>
        <v>#N/A</v>
      </c>
      <c r="W67" s="297" t="e">
        <f t="shared" si="3"/>
        <v>#N/A</v>
      </c>
      <c r="X67" s="297" t="e">
        <f t="shared" si="4"/>
        <v>#N/A</v>
      </c>
      <c r="Y67" s="297" t="e">
        <f t="shared" si="5"/>
        <v>#N/A</v>
      </c>
      <c r="Z67" s="297" t="e">
        <f t="shared" si="6"/>
        <v>#N/A</v>
      </c>
      <c r="AA67" s="296" t="e">
        <f t="shared" si="7"/>
        <v>#N/A</v>
      </c>
    </row>
    <row r="68" spans="2:27" ht="15.75" hidden="1" customHeight="1">
      <c r="B68" s="29"/>
      <c r="C68" s="366"/>
      <c r="D68" s="279"/>
      <c r="E68" s="279"/>
      <c r="F68" s="278"/>
      <c r="G68" s="279"/>
      <c r="H68" s="279"/>
      <c r="I68" s="442"/>
      <c r="J68" s="368"/>
      <c r="K68" s="368"/>
      <c r="L68" s="281"/>
      <c r="M68" s="276"/>
      <c r="N68" s="397"/>
      <c r="O68" s="370"/>
      <c r="P68" s="371"/>
      <c r="Q68" s="443"/>
      <c r="S68" s="277">
        <f t="shared" ref="S68:S87" si="13">B68</f>
        <v>0</v>
      </c>
      <c r="T68" s="296" t="e">
        <f t="shared" si="0"/>
        <v>#N/A</v>
      </c>
      <c r="U68" s="296" t="e">
        <f t="shared" si="1"/>
        <v>#N/A</v>
      </c>
      <c r="V68" s="297" t="e">
        <f t="shared" si="2"/>
        <v>#N/A</v>
      </c>
      <c r="W68" s="297" t="e">
        <f t="shared" si="3"/>
        <v>#N/A</v>
      </c>
      <c r="X68" s="297" t="e">
        <f t="shared" si="4"/>
        <v>#N/A</v>
      </c>
      <c r="Y68" s="297" t="e">
        <f t="shared" si="5"/>
        <v>#N/A</v>
      </c>
      <c r="Z68" s="297" t="e">
        <f t="shared" si="6"/>
        <v>#N/A</v>
      </c>
      <c r="AA68" s="296" t="e">
        <f t="shared" si="7"/>
        <v>#N/A</v>
      </c>
    </row>
    <row r="69" spans="2:27" ht="15.75" hidden="1" customHeight="1">
      <c r="B69" s="29"/>
      <c r="C69" s="366"/>
      <c r="D69" s="279"/>
      <c r="E69" s="279"/>
      <c r="F69" s="278"/>
      <c r="G69" s="279"/>
      <c r="H69" s="279"/>
      <c r="I69" s="442"/>
      <c r="J69" s="368"/>
      <c r="K69" s="368"/>
      <c r="L69" s="281"/>
      <c r="M69" s="276"/>
      <c r="N69" s="397"/>
      <c r="O69" s="370"/>
      <c r="P69" s="371"/>
      <c r="Q69" s="443"/>
      <c r="S69" s="277">
        <f t="shared" si="13"/>
        <v>0</v>
      </c>
      <c r="T69" s="296" t="e">
        <f t="shared" si="0"/>
        <v>#N/A</v>
      </c>
      <c r="U69" s="296" t="e">
        <f t="shared" si="1"/>
        <v>#N/A</v>
      </c>
      <c r="V69" s="297" t="e">
        <f t="shared" si="2"/>
        <v>#N/A</v>
      </c>
      <c r="W69" s="297" t="e">
        <f t="shared" si="3"/>
        <v>#N/A</v>
      </c>
      <c r="X69" s="297" t="e">
        <f t="shared" si="4"/>
        <v>#N/A</v>
      </c>
      <c r="Y69" s="297" t="e">
        <f t="shared" si="5"/>
        <v>#N/A</v>
      </c>
      <c r="Z69" s="297" t="e">
        <f t="shared" si="6"/>
        <v>#N/A</v>
      </c>
      <c r="AA69" s="296" t="e">
        <f t="shared" si="7"/>
        <v>#N/A</v>
      </c>
    </row>
    <row r="70" spans="2:27" ht="15.75" hidden="1" customHeight="1">
      <c r="B70" s="29"/>
      <c r="C70" s="366"/>
      <c r="D70" s="279"/>
      <c r="E70" s="279"/>
      <c r="F70" s="278"/>
      <c r="G70" s="279"/>
      <c r="H70" s="279"/>
      <c r="I70" s="442"/>
      <c r="J70" s="368"/>
      <c r="K70" s="368"/>
      <c r="L70" s="281"/>
      <c r="M70" s="276"/>
      <c r="N70" s="397"/>
      <c r="O70" s="370"/>
      <c r="P70" s="371"/>
      <c r="Q70" s="443"/>
      <c r="S70" s="277">
        <f t="shared" si="13"/>
        <v>0</v>
      </c>
      <c r="T70" s="296" t="e">
        <f t="shared" si="0"/>
        <v>#N/A</v>
      </c>
      <c r="U70" s="296" t="e">
        <f t="shared" si="1"/>
        <v>#N/A</v>
      </c>
      <c r="V70" s="297" t="e">
        <f t="shared" si="2"/>
        <v>#N/A</v>
      </c>
      <c r="W70" s="297" t="e">
        <f t="shared" si="3"/>
        <v>#N/A</v>
      </c>
      <c r="X70" s="297" t="e">
        <f t="shared" si="4"/>
        <v>#N/A</v>
      </c>
      <c r="Y70" s="297" t="e">
        <f t="shared" si="5"/>
        <v>#N/A</v>
      </c>
      <c r="Z70" s="297" t="e">
        <f t="shared" si="6"/>
        <v>#N/A</v>
      </c>
      <c r="AA70" s="296" t="e">
        <f t="shared" si="7"/>
        <v>#N/A</v>
      </c>
    </row>
    <row r="71" spans="2:27" ht="15.75" hidden="1" customHeight="1">
      <c r="B71" s="29"/>
      <c r="C71" s="366"/>
      <c r="D71" s="279"/>
      <c r="E71" s="279"/>
      <c r="F71" s="278"/>
      <c r="G71" s="279"/>
      <c r="H71" s="279"/>
      <c r="I71" s="442"/>
      <c r="J71" s="368"/>
      <c r="K71" s="368"/>
      <c r="L71" s="281"/>
      <c r="M71" s="276"/>
      <c r="N71" s="397"/>
      <c r="O71" s="370"/>
      <c r="P71" s="371"/>
      <c r="Q71" s="443"/>
      <c r="S71" s="277">
        <f t="shared" si="13"/>
        <v>0</v>
      </c>
      <c r="T71" s="296" t="e">
        <f t="shared" si="0"/>
        <v>#N/A</v>
      </c>
      <c r="U71" s="296" t="e">
        <f t="shared" si="1"/>
        <v>#N/A</v>
      </c>
      <c r="V71" s="297" t="e">
        <f t="shared" si="2"/>
        <v>#N/A</v>
      </c>
      <c r="W71" s="297" t="e">
        <f t="shared" si="3"/>
        <v>#N/A</v>
      </c>
      <c r="X71" s="297" t="e">
        <f t="shared" si="4"/>
        <v>#N/A</v>
      </c>
      <c r="Y71" s="297" t="e">
        <f t="shared" si="5"/>
        <v>#N/A</v>
      </c>
      <c r="Z71" s="297" t="e">
        <f t="shared" si="6"/>
        <v>#N/A</v>
      </c>
      <c r="AA71" s="296" t="e">
        <f t="shared" si="7"/>
        <v>#N/A</v>
      </c>
    </row>
    <row r="72" spans="2:27" ht="15.75" hidden="1" customHeight="1">
      <c r="B72" s="29"/>
      <c r="C72" s="366"/>
      <c r="D72" s="279"/>
      <c r="E72" s="279"/>
      <c r="F72" s="278"/>
      <c r="G72" s="279"/>
      <c r="H72" s="279"/>
      <c r="I72" s="442"/>
      <c r="J72" s="368"/>
      <c r="K72" s="368"/>
      <c r="L72" s="281"/>
      <c r="M72" s="276"/>
      <c r="N72" s="397"/>
      <c r="O72" s="370"/>
      <c r="P72" s="371"/>
      <c r="Q72" s="443"/>
      <c r="S72" s="277">
        <f t="shared" si="13"/>
        <v>0</v>
      </c>
      <c r="T72" s="296" t="e">
        <f t="shared" si="0"/>
        <v>#N/A</v>
      </c>
      <c r="U72" s="296" t="e">
        <f t="shared" si="1"/>
        <v>#N/A</v>
      </c>
      <c r="V72" s="297" t="e">
        <f t="shared" si="2"/>
        <v>#N/A</v>
      </c>
      <c r="W72" s="297" t="e">
        <f t="shared" si="3"/>
        <v>#N/A</v>
      </c>
      <c r="X72" s="297" t="e">
        <f t="shared" si="4"/>
        <v>#N/A</v>
      </c>
      <c r="Y72" s="297" t="e">
        <f t="shared" si="5"/>
        <v>#N/A</v>
      </c>
      <c r="Z72" s="297" t="e">
        <f t="shared" si="6"/>
        <v>#N/A</v>
      </c>
      <c r="AA72" s="296" t="e">
        <f t="shared" si="7"/>
        <v>#N/A</v>
      </c>
    </row>
    <row r="73" spans="2:27" ht="15.75" hidden="1" customHeight="1">
      <c r="B73" s="29"/>
      <c r="C73" s="366"/>
      <c r="D73" s="279"/>
      <c r="E73" s="279"/>
      <c r="F73" s="278"/>
      <c r="G73" s="279"/>
      <c r="H73" s="279"/>
      <c r="I73" s="442"/>
      <c r="J73" s="368"/>
      <c r="K73" s="368"/>
      <c r="L73" s="281"/>
      <c r="M73" s="276"/>
      <c r="N73" s="397"/>
      <c r="O73" s="370"/>
      <c r="P73" s="371"/>
      <c r="Q73" s="443"/>
      <c r="S73" s="277">
        <f t="shared" si="13"/>
        <v>0</v>
      </c>
      <c r="T73" s="296" t="e">
        <f t="shared" si="0"/>
        <v>#N/A</v>
      </c>
      <c r="U73" s="296" t="e">
        <f t="shared" si="1"/>
        <v>#N/A</v>
      </c>
      <c r="V73" s="297" t="e">
        <f t="shared" si="2"/>
        <v>#N/A</v>
      </c>
      <c r="W73" s="297" t="e">
        <f t="shared" si="3"/>
        <v>#N/A</v>
      </c>
      <c r="X73" s="297" t="e">
        <f t="shared" si="4"/>
        <v>#N/A</v>
      </c>
      <c r="Y73" s="297" t="e">
        <f t="shared" si="5"/>
        <v>#N/A</v>
      </c>
      <c r="Z73" s="297" t="e">
        <f t="shared" si="6"/>
        <v>#N/A</v>
      </c>
      <c r="AA73" s="296" t="e">
        <f t="shared" si="7"/>
        <v>#N/A</v>
      </c>
    </row>
    <row r="74" spans="2:27" ht="15.75" hidden="1" customHeight="1">
      <c r="B74" s="29"/>
      <c r="C74" s="366"/>
      <c r="D74" s="279"/>
      <c r="E74" s="279"/>
      <c r="F74" s="278"/>
      <c r="G74" s="279"/>
      <c r="H74" s="279"/>
      <c r="I74" s="442"/>
      <c r="J74" s="368"/>
      <c r="K74" s="368"/>
      <c r="L74" s="281"/>
      <c r="M74" s="276"/>
      <c r="N74" s="397"/>
      <c r="O74" s="370"/>
      <c r="P74" s="371"/>
      <c r="Q74" s="443"/>
      <c r="S74" s="277">
        <f t="shared" si="13"/>
        <v>0</v>
      </c>
      <c r="T74" s="296" t="e">
        <f t="shared" si="0"/>
        <v>#N/A</v>
      </c>
      <c r="U74" s="296" t="e">
        <f t="shared" si="1"/>
        <v>#N/A</v>
      </c>
      <c r="V74" s="297" t="e">
        <f t="shared" si="2"/>
        <v>#N/A</v>
      </c>
      <c r="W74" s="297" t="e">
        <f t="shared" si="3"/>
        <v>#N/A</v>
      </c>
      <c r="X74" s="297" t="e">
        <f t="shared" si="4"/>
        <v>#N/A</v>
      </c>
      <c r="Y74" s="297" t="e">
        <f t="shared" si="5"/>
        <v>#N/A</v>
      </c>
      <c r="Z74" s="297" t="e">
        <f t="shared" si="6"/>
        <v>#N/A</v>
      </c>
      <c r="AA74" s="296" t="e">
        <f t="shared" si="7"/>
        <v>#N/A</v>
      </c>
    </row>
    <row r="75" spans="2:27" ht="15.75" hidden="1" customHeight="1">
      <c r="B75" s="29"/>
      <c r="C75" s="366"/>
      <c r="D75" s="279"/>
      <c r="E75" s="279"/>
      <c r="F75" s="278"/>
      <c r="G75" s="279"/>
      <c r="H75" s="279"/>
      <c r="I75" s="442"/>
      <c r="J75" s="368"/>
      <c r="K75" s="368"/>
      <c r="L75" s="281"/>
      <c r="M75" s="276"/>
      <c r="N75" s="397"/>
      <c r="O75" s="370"/>
      <c r="P75" s="371"/>
      <c r="Q75" s="443"/>
      <c r="S75" s="277">
        <f t="shared" si="13"/>
        <v>0</v>
      </c>
      <c r="T75" s="296" t="e">
        <f t="shared" si="0"/>
        <v>#N/A</v>
      </c>
      <c r="U75" s="296" t="e">
        <f t="shared" si="1"/>
        <v>#N/A</v>
      </c>
      <c r="V75" s="297" t="e">
        <f t="shared" si="2"/>
        <v>#N/A</v>
      </c>
      <c r="W75" s="297" t="e">
        <f t="shared" si="3"/>
        <v>#N/A</v>
      </c>
      <c r="X75" s="297" t="e">
        <f t="shared" si="4"/>
        <v>#N/A</v>
      </c>
      <c r="Y75" s="297" t="e">
        <f t="shared" si="5"/>
        <v>#N/A</v>
      </c>
      <c r="Z75" s="297" t="e">
        <f t="shared" si="6"/>
        <v>#N/A</v>
      </c>
      <c r="AA75" s="296" t="e">
        <f t="shared" si="7"/>
        <v>#N/A</v>
      </c>
    </row>
    <row r="76" spans="2:27" ht="15.75" hidden="1" customHeight="1">
      <c r="B76" s="29"/>
      <c r="C76" s="366"/>
      <c r="D76" s="279"/>
      <c r="E76" s="279"/>
      <c r="F76" s="278"/>
      <c r="G76" s="279"/>
      <c r="H76" s="279"/>
      <c r="I76" s="442"/>
      <c r="J76" s="368"/>
      <c r="K76" s="368"/>
      <c r="L76" s="281"/>
      <c r="M76" s="276"/>
      <c r="N76" s="397"/>
      <c r="O76" s="370"/>
      <c r="P76" s="371"/>
      <c r="Q76" s="443"/>
      <c r="S76" s="277">
        <f t="shared" si="13"/>
        <v>0</v>
      </c>
      <c r="T76" s="296" t="e">
        <f t="shared" si="0"/>
        <v>#N/A</v>
      </c>
      <c r="U76" s="296" t="e">
        <f t="shared" si="1"/>
        <v>#N/A</v>
      </c>
      <c r="V76" s="297" t="e">
        <f t="shared" si="2"/>
        <v>#N/A</v>
      </c>
      <c r="W76" s="297" t="e">
        <f t="shared" si="3"/>
        <v>#N/A</v>
      </c>
      <c r="X76" s="297" t="e">
        <f t="shared" si="4"/>
        <v>#N/A</v>
      </c>
      <c r="Y76" s="297" t="e">
        <f t="shared" si="5"/>
        <v>#N/A</v>
      </c>
      <c r="Z76" s="297" t="e">
        <f t="shared" si="6"/>
        <v>#N/A</v>
      </c>
      <c r="AA76" s="296" t="e">
        <f t="shared" si="7"/>
        <v>#N/A</v>
      </c>
    </row>
    <row r="77" spans="2:27" ht="15.75" hidden="1" customHeight="1">
      <c r="B77" s="29"/>
      <c r="C77" s="366"/>
      <c r="D77" s="279"/>
      <c r="E77" s="279"/>
      <c r="F77" s="278"/>
      <c r="G77" s="279"/>
      <c r="H77" s="279"/>
      <c r="I77" s="442"/>
      <c r="J77" s="368"/>
      <c r="K77" s="368"/>
      <c r="L77" s="281"/>
      <c r="M77" s="276"/>
      <c r="N77" s="397"/>
      <c r="O77" s="370"/>
      <c r="P77" s="371"/>
      <c r="Q77" s="443"/>
      <c r="S77" s="277">
        <f t="shared" si="13"/>
        <v>0</v>
      </c>
      <c r="T77" s="296" t="e">
        <f t="shared" si="0"/>
        <v>#N/A</v>
      </c>
      <c r="U77" s="296" t="e">
        <f t="shared" si="1"/>
        <v>#N/A</v>
      </c>
      <c r="V77" s="297" t="e">
        <f t="shared" si="2"/>
        <v>#N/A</v>
      </c>
      <c r="W77" s="297" t="e">
        <f t="shared" si="3"/>
        <v>#N/A</v>
      </c>
      <c r="X77" s="297" t="e">
        <f t="shared" si="4"/>
        <v>#N/A</v>
      </c>
      <c r="Y77" s="297" t="e">
        <f t="shared" si="5"/>
        <v>#N/A</v>
      </c>
      <c r="Z77" s="297" t="e">
        <f t="shared" si="6"/>
        <v>#N/A</v>
      </c>
      <c r="AA77" s="296" t="e">
        <f t="shared" si="7"/>
        <v>#N/A</v>
      </c>
    </row>
    <row r="78" spans="2:27" ht="15.75" hidden="1" customHeight="1">
      <c r="B78" s="29"/>
      <c r="C78" s="366"/>
      <c r="D78" s="279"/>
      <c r="E78" s="279"/>
      <c r="F78" s="278"/>
      <c r="G78" s="279"/>
      <c r="H78" s="279"/>
      <c r="I78" s="442"/>
      <c r="J78" s="368"/>
      <c r="K78" s="368"/>
      <c r="L78" s="281"/>
      <c r="M78" s="276"/>
      <c r="N78" s="397"/>
      <c r="O78" s="370"/>
      <c r="P78" s="371"/>
      <c r="Q78" s="443"/>
      <c r="S78" s="277">
        <f t="shared" si="13"/>
        <v>0</v>
      </c>
      <c r="T78" s="296" t="e">
        <f t="shared" si="0"/>
        <v>#N/A</v>
      </c>
      <c r="U78" s="296" t="e">
        <f t="shared" si="1"/>
        <v>#N/A</v>
      </c>
      <c r="V78" s="297" t="e">
        <f t="shared" si="2"/>
        <v>#N/A</v>
      </c>
      <c r="W78" s="297" t="e">
        <f t="shared" si="3"/>
        <v>#N/A</v>
      </c>
      <c r="X78" s="297" t="e">
        <f t="shared" si="4"/>
        <v>#N/A</v>
      </c>
      <c r="Y78" s="297" t="e">
        <f t="shared" si="5"/>
        <v>#N/A</v>
      </c>
      <c r="Z78" s="297" t="e">
        <f t="shared" si="6"/>
        <v>#N/A</v>
      </c>
      <c r="AA78" s="296" t="e">
        <f t="shared" si="7"/>
        <v>#N/A</v>
      </c>
    </row>
    <row r="79" spans="2:27" ht="15.75" hidden="1" customHeight="1">
      <c r="B79" s="29"/>
      <c r="C79" s="366"/>
      <c r="D79" s="279"/>
      <c r="E79" s="279"/>
      <c r="F79" s="278"/>
      <c r="G79" s="279"/>
      <c r="H79" s="279"/>
      <c r="I79" s="442"/>
      <c r="J79" s="368"/>
      <c r="K79" s="368"/>
      <c r="L79" s="281"/>
      <c r="M79" s="276"/>
      <c r="N79" s="397"/>
      <c r="O79" s="370"/>
      <c r="P79" s="371"/>
      <c r="Q79" s="443"/>
      <c r="S79" s="277">
        <f t="shared" si="13"/>
        <v>0</v>
      </c>
      <c r="T79" s="296" t="e">
        <f t="shared" si="0"/>
        <v>#N/A</v>
      </c>
      <c r="U79" s="296" t="e">
        <f t="shared" si="1"/>
        <v>#N/A</v>
      </c>
      <c r="V79" s="297" t="e">
        <f t="shared" si="2"/>
        <v>#N/A</v>
      </c>
      <c r="W79" s="297" t="e">
        <f t="shared" si="3"/>
        <v>#N/A</v>
      </c>
      <c r="X79" s="297" t="e">
        <f t="shared" si="4"/>
        <v>#N/A</v>
      </c>
      <c r="Y79" s="297" t="e">
        <f t="shared" si="5"/>
        <v>#N/A</v>
      </c>
      <c r="Z79" s="297" t="e">
        <f t="shared" si="6"/>
        <v>#N/A</v>
      </c>
      <c r="AA79" s="296" t="e">
        <f t="shared" si="7"/>
        <v>#N/A</v>
      </c>
    </row>
    <row r="80" spans="2:27" ht="15.75" hidden="1" customHeight="1">
      <c r="B80" s="29"/>
      <c r="C80" s="366"/>
      <c r="D80" s="279"/>
      <c r="E80" s="279"/>
      <c r="F80" s="278"/>
      <c r="G80" s="279"/>
      <c r="H80" s="279"/>
      <c r="I80" s="442"/>
      <c r="J80" s="368"/>
      <c r="K80" s="368"/>
      <c r="L80" s="281"/>
      <c r="M80" s="276"/>
      <c r="N80" s="397"/>
      <c r="O80" s="370"/>
      <c r="P80" s="371"/>
      <c r="Q80" s="443"/>
      <c r="S80" s="277">
        <f t="shared" si="13"/>
        <v>0</v>
      </c>
      <c r="T80" s="296" t="e">
        <f t="shared" si="0"/>
        <v>#N/A</v>
      </c>
      <c r="U80" s="296" t="e">
        <f t="shared" si="1"/>
        <v>#N/A</v>
      </c>
      <c r="V80" s="297" t="e">
        <f t="shared" si="2"/>
        <v>#N/A</v>
      </c>
      <c r="W80" s="297" t="e">
        <f t="shared" si="3"/>
        <v>#N/A</v>
      </c>
      <c r="X80" s="297" t="e">
        <f t="shared" si="4"/>
        <v>#N/A</v>
      </c>
      <c r="Y80" s="297" t="e">
        <f t="shared" si="5"/>
        <v>#N/A</v>
      </c>
      <c r="Z80" s="297" t="e">
        <f t="shared" si="6"/>
        <v>#N/A</v>
      </c>
      <c r="AA80" s="296" t="e">
        <f t="shared" si="7"/>
        <v>#N/A</v>
      </c>
    </row>
    <row r="81" spans="2:27" ht="15.75" hidden="1" customHeight="1">
      <c r="B81" s="29"/>
      <c r="C81" s="366"/>
      <c r="D81" s="279"/>
      <c r="E81" s="279"/>
      <c r="F81" s="278"/>
      <c r="G81" s="279"/>
      <c r="H81" s="279"/>
      <c r="I81" s="442"/>
      <c r="J81" s="368"/>
      <c r="K81" s="368"/>
      <c r="L81" s="281"/>
      <c r="M81" s="276"/>
      <c r="N81" s="397"/>
      <c r="O81" s="370"/>
      <c r="P81" s="371"/>
      <c r="Q81" s="443"/>
      <c r="S81" s="277">
        <f t="shared" si="13"/>
        <v>0</v>
      </c>
      <c r="T81" s="296" t="e">
        <f t="shared" si="0"/>
        <v>#N/A</v>
      </c>
      <c r="U81" s="296" t="e">
        <f t="shared" si="1"/>
        <v>#N/A</v>
      </c>
      <c r="V81" s="297" t="e">
        <f t="shared" si="2"/>
        <v>#N/A</v>
      </c>
      <c r="W81" s="297" t="e">
        <f t="shared" si="3"/>
        <v>#N/A</v>
      </c>
      <c r="X81" s="297" t="e">
        <f t="shared" si="4"/>
        <v>#N/A</v>
      </c>
      <c r="Y81" s="297" t="e">
        <f t="shared" si="5"/>
        <v>#N/A</v>
      </c>
      <c r="Z81" s="297" t="e">
        <f t="shared" si="6"/>
        <v>#N/A</v>
      </c>
      <c r="AA81" s="296" t="e">
        <f t="shared" si="7"/>
        <v>#N/A</v>
      </c>
    </row>
    <row r="82" spans="2:27" ht="15.75" hidden="1" customHeight="1">
      <c r="B82" s="29"/>
      <c r="C82" s="366"/>
      <c r="D82" s="279"/>
      <c r="E82" s="279"/>
      <c r="F82" s="278"/>
      <c r="G82" s="279"/>
      <c r="H82" s="279"/>
      <c r="I82" s="442"/>
      <c r="J82" s="368"/>
      <c r="K82" s="368"/>
      <c r="L82" s="281"/>
      <c r="M82" s="276"/>
      <c r="N82" s="397"/>
      <c r="O82" s="370"/>
      <c r="P82" s="371"/>
      <c r="Q82" s="443"/>
      <c r="S82" s="277">
        <f t="shared" si="13"/>
        <v>0</v>
      </c>
      <c r="T82" s="296" t="e">
        <f t="shared" si="0"/>
        <v>#N/A</v>
      </c>
      <c r="U82" s="296" t="e">
        <f t="shared" si="1"/>
        <v>#N/A</v>
      </c>
      <c r="V82" s="297" t="e">
        <f t="shared" si="2"/>
        <v>#N/A</v>
      </c>
      <c r="W82" s="297" t="e">
        <f t="shared" si="3"/>
        <v>#N/A</v>
      </c>
      <c r="X82" s="297" t="e">
        <f t="shared" si="4"/>
        <v>#N/A</v>
      </c>
      <c r="Y82" s="297" t="e">
        <f t="shared" si="5"/>
        <v>#N/A</v>
      </c>
      <c r="Z82" s="297" t="e">
        <f t="shared" si="6"/>
        <v>#N/A</v>
      </c>
      <c r="AA82" s="296" t="e">
        <f t="shared" si="7"/>
        <v>#N/A</v>
      </c>
    </row>
    <row r="83" spans="2:27" ht="15.75" hidden="1" customHeight="1">
      <c r="B83" s="29"/>
      <c r="C83" s="366"/>
      <c r="D83" s="279"/>
      <c r="E83" s="279"/>
      <c r="F83" s="278"/>
      <c r="G83" s="279"/>
      <c r="H83" s="279"/>
      <c r="I83" s="442"/>
      <c r="J83" s="368"/>
      <c r="K83" s="368"/>
      <c r="L83" s="281"/>
      <c r="M83" s="276"/>
      <c r="N83" s="397"/>
      <c r="O83" s="370"/>
      <c r="P83" s="371"/>
      <c r="Q83" s="443"/>
      <c r="S83" s="277">
        <f t="shared" si="13"/>
        <v>0</v>
      </c>
      <c r="T83" s="296" t="e">
        <f t="shared" si="0"/>
        <v>#N/A</v>
      </c>
      <c r="U83" s="296" t="e">
        <f t="shared" si="1"/>
        <v>#N/A</v>
      </c>
      <c r="V83" s="297" t="e">
        <f t="shared" si="2"/>
        <v>#N/A</v>
      </c>
      <c r="W83" s="297" t="e">
        <f t="shared" si="3"/>
        <v>#N/A</v>
      </c>
      <c r="X83" s="297" t="e">
        <f t="shared" si="4"/>
        <v>#N/A</v>
      </c>
      <c r="Y83" s="297" t="e">
        <f t="shared" si="5"/>
        <v>#N/A</v>
      </c>
      <c r="Z83" s="297" t="e">
        <f t="shared" si="6"/>
        <v>#N/A</v>
      </c>
      <c r="AA83" s="296" t="e">
        <f t="shared" si="7"/>
        <v>#N/A</v>
      </c>
    </row>
    <row r="84" spans="2:27" ht="15.75" hidden="1" customHeight="1">
      <c r="B84" s="29"/>
      <c r="C84" s="366"/>
      <c r="D84" s="279"/>
      <c r="E84" s="279"/>
      <c r="F84" s="278"/>
      <c r="G84" s="279"/>
      <c r="H84" s="279"/>
      <c r="I84" s="442"/>
      <c r="J84" s="368"/>
      <c r="K84" s="368"/>
      <c r="L84" s="281"/>
      <c r="M84" s="276"/>
      <c r="N84" s="397"/>
      <c r="O84" s="370"/>
      <c r="P84" s="371"/>
      <c r="Q84" s="443"/>
      <c r="S84" s="277">
        <f t="shared" si="13"/>
        <v>0</v>
      </c>
      <c r="T84" s="296" t="e">
        <f t="shared" si="0"/>
        <v>#N/A</v>
      </c>
      <c r="U84" s="296" t="e">
        <f t="shared" si="1"/>
        <v>#N/A</v>
      </c>
      <c r="V84" s="297" t="e">
        <f t="shared" si="2"/>
        <v>#N/A</v>
      </c>
      <c r="W84" s="297" t="e">
        <f t="shared" si="3"/>
        <v>#N/A</v>
      </c>
      <c r="X84" s="297" t="e">
        <f t="shared" si="4"/>
        <v>#N/A</v>
      </c>
      <c r="Y84" s="297" t="e">
        <f t="shared" si="5"/>
        <v>#N/A</v>
      </c>
      <c r="Z84" s="297" t="e">
        <f t="shared" si="6"/>
        <v>#N/A</v>
      </c>
      <c r="AA84" s="296" t="e">
        <f t="shared" si="7"/>
        <v>#N/A</v>
      </c>
    </row>
    <row r="85" spans="2:27" ht="15.75" hidden="1" customHeight="1">
      <c r="B85" s="29"/>
      <c r="C85" s="366"/>
      <c r="D85" s="279"/>
      <c r="E85" s="279"/>
      <c r="F85" s="278"/>
      <c r="G85" s="279"/>
      <c r="H85" s="279"/>
      <c r="I85" s="442"/>
      <c r="J85" s="368"/>
      <c r="K85" s="368"/>
      <c r="L85" s="281"/>
      <c r="M85" s="276"/>
      <c r="N85" s="397"/>
      <c r="O85" s="370"/>
      <c r="P85" s="371"/>
      <c r="Q85" s="443"/>
      <c r="S85" s="277">
        <f t="shared" si="13"/>
        <v>0</v>
      </c>
      <c r="T85" s="296" t="e">
        <f t="shared" si="0"/>
        <v>#N/A</v>
      </c>
      <c r="U85" s="296" t="e">
        <f t="shared" si="1"/>
        <v>#N/A</v>
      </c>
      <c r="V85" s="297" t="e">
        <f t="shared" si="2"/>
        <v>#N/A</v>
      </c>
      <c r="W85" s="297" t="e">
        <f t="shared" si="3"/>
        <v>#N/A</v>
      </c>
      <c r="X85" s="297" t="e">
        <f t="shared" si="4"/>
        <v>#N/A</v>
      </c>
      <c r="Y85" s="297" t="e">
        <f t="shared" si="5"/>
        <v>#N/A</v>
      </c>
      <c r="Z85" s="297" t="e">
        <f t="shared" si="6"/>
        <v>#N/A</v>
      </c>
      <c r="AA85" s="296" t="e">
        <f t="shared" si="7"/>
        <v>#N/A</v>
      </c>
    </row>
    <row r="86" spans="2:27" ht="15.75" hidden="1" customHeight="1">
      <c r="B86" s="29"/>
      <c r="C86" s="366"/>
      <c r="D86" s="279"/>
      <c r="E86" s="279"/>
      <c r="F86" s="278"/>
      <c r="G86" s="279"/>
      <c r="H86" s="279"/>
      <c r="I86" s="442"/>
      <c r="J86" s="368"/>
      <c r="K86" s="368"/>
      <c r="L86" s="281"/>
      <c r="M86" s="444"/>
      <c r="N86" s="397"/>
      <c r="O86" s="370"/>
      <c r="P86" s="371"/>
      <c r="Q86" s="443"/>
      <c r="S86" s="277">
        <f t="shared" si="13"/>
        <v>0</v>
      </c>
      <c r="T86" s="296" t="e">
        <f t="shared" si="0"/>
        <v>#N/A</v>
      </c>
      <c r="U86" s="296" t="e">
        <f t="shared" si="1"/>
        <v>#N/A</v>
      </c>
      <c r="V86" s="297" t="e">
        <f t="shared" si="2"/>
        <v>#N/A</v>
      </c>
      <c r="W86" s="297" t="e">
        <f t="shared" si="3"/>
        <v>#N/A</v>
      </c>
      <c r="X86" s="297" t="e">
        <f t="shared" si="4"/>
        <v>#N/A</v>
      </c>
      <c r="Y86" s="297" t="e">
        <f t="shared" si="5"/>
        <v>#N/A</v>
      </c>
      <c r="Z86" s="297" t="e">
        <f t="shared" si="6"/>
        <v>#N/A</v>
      </c>
      <c r="AA86" s="296" t="e">
        <f t="shared" si="7"/>
        <v>#N/A</v>
      </c>
    </row>
    <row r="87" spans="2:27" ht="15.75" hidden="1" customHeight="1">
      <c r="B87" s="29"/>
      <c r="C87" s="366"/>
      <c r="D87" s="279"/>
      <c r="E87" s="279"/>
      <c r="F87" s="278"/>
      <c r="G87" s="279"/>
      <c r="H87" s="279"/>
      <c r="I87" s="442"/>
      <c r="J87" s="368"/>
      <c r="K87" s="368"/>
      <c r="L87" s="281"/>
      <c r="M87" s="444"/>
      <c r="N87" s="397"/>
      <c r="O87" s="370"/>
      <c r="P87" s="371"/>
      <c r="Q87" s="443"/>
      <c r="S87" s="277">
        <f t="shared" si="13"/>
        <v>0</v>
      </c>
      <c r="T87" s="296" t="e">
        <f t="shared" si="0"/>
        <v>#N/A</v>
      </c>
      <c r="U87" s="296" t="e">
        <f t="shared" si="1"/>
        <v>#N/A</v>
      </c>
      <c r="V87" s="297" t="e">
        <f t="shared" si="2"/>
        <v>#N/A</v>
      </c>
      <c r="W87" s="297" t="e">
        <f t="shared" si="3"/>
        <v>#N/A</v>
      </c>
      <c r="X87" s="297" t="e">
        <f t="shared" si="4"/>
        <v>#N/A</v>
      </c>
      <c r="Y87" s="297" t="e">
        <f t="shared" si="5"/>
        <v>#N/A</v>
      </c>
      <c r="Z87" s="297" t="e">
        <f t="shared" si="6"/>
        <v>#N/A</v>
      </c>
      <c r="AA87" s="296" t="e">
        <f t="shared" si="7"/>
        <v>#N/A</v>
      </c>
    </row>
    <row r="88" spans="2:27" ht="15.75" hidden="1" customHeight="1">
      <c r="B88" s="29"/>
      <c r="C88" s="366"/>
      <c r="D88" s="279"/>
      <c r="E88" s="279"/>
      <c r="F88" s="278"/>
      <c r="G88" s="279"/>
      <c r="H88" s="279"/>
      <c r="I88" s="442"/>
      <c r="J88" s="368"/>
      <c r="K88" s="368"/>
      <c r="L88" s="281"/>
      <c r="M88" s="444"/>
      <c r="N88" s="397"/>
      <c r="O88" s="370"/>
      <c r="P88" s="371"/>
      <c r="Q88" s="443"/>
      <c r="S88" s="277">
        <f t="shared" ref="S88:S99" si="14">B88</f>
        <v>0</v>
      </c>
      <c r="T88" s="296" t="e">
        <f t="shared" si="0"/>
        <v>#N/A</v>
      </c>
      <c r="U88" s="296" t="e">
        <f t="shared" si="1"/>
        <v>#N/A</v>
      </c>
      <c r="V88" s="297" t="e">
        <f t="shared" si="2"/>
        <v>#N/A</v>
      </c>
      <c r="W88" s="297" t="e">
        <f t="shared" si="3"/>
        <v>#N/A</v>
      </c>
      <c r="X88" s="297" t="e">
        <f t="shared" si="4"/>
        <v>#N/A</v>
      </c>
      <c r="Y88" s="297" t="e">
        <f t="shared" si="5"/>
        <v>#N/A</v>
      </c>
      <c r="Z88" s="297" t="e">
        <f t="shared" si="6"/>
        <v>#N/A</v>
      </c>
      <c r="AA88" s="296" t="e">
        <f t="shared" si="7"/>
        <v>#N/A</v>
      </c>
    </row>
    <row r="89" spans="2:27" ht="15.75" hidden="1" customHeight="1">
      <c r="B89" s="29"/>
      <c r="C89" s="366"/>
      <c r="D89" s="279"/>
      <c r="E89" s="279"/>
      <c r="F89" s="278"/>
      <c r="G89" s="279"/>
      <c r="H89" s="279"/>
      <c r="I89" s="442"/>
      <c r="J89" s="368"/>
      <c r="K89" s="368"/>
      <c r="L89" s="281"/>
      <c r="M89" s="444"/>
      <c r="N89" s="397"/>
      <c r="O89" s="370"/>
      <c r="P89" s="371"/>
      <c r="Q89" s="443"/>
      <c r="S89" s="277">
        <f t="shared" si="14"/>
        <v>0</v>
      </c>
      <c r="T89" s="296" t="e">
        <f t="shared" si="0"/>
        <v>#N/A</v>
      </c>
      <c r="U89" s="296" t="e">
        <f t="shared" si="1"/>
        <v>#N/A</v>
      </c>
      <c r="V89" s="297" t="e">
        <f t="shared" si="2"/>
        <v>#N/A</v>
      </c>
      <c r="W89" s="297" t="e">
        <f t="shared" si="3"/>
        <v>#N/A</v>
      </c>
      <c r="X89" s="297" t="e">
        <f t="shared" si="4"/>
        <v>#N/A</v>
      </c>
      <c r="Y89" s="297" t="e">
        <f t="shared" si="5"/>
        <v>#N/A</v>
      </c>
      <c r="Z89" s="297" t="e">
        <f t="shared" si="6"/>
        <v>#N/A</v>
      </c>
      <c r="AA89" s="296" t="e">
        <f t="shared" si="7"/>
        <v>#N/A</v>
      </c>
    </row>
    <row r="90" spans="2:27" ht="15.75" hidden="1" customHeight="1">
      <c r="B90" s="29"/>
      <c r="C90" s="366"/>
      <c r="D90" s="279"/>
      <c r="E90" s="279"/>
      <c r="F90" s="278"/>
      <c r="G90" s="279"/>
      <c r="H90" s="279"/>
      <c r="I90" s="442"/>
      <c r="J90" s="368"/>
      <c r="K90" s="368"/>
      <c r="L90" s="281"/>
      <c r="M90" s="444"/>
      <c r="N90" s="397"/>
      <c r="O90" s="370"/>
      <c r="P90" s="371"/>
      <c r="Q90" s="443"/>
      <c r="S90" s="277">
        <f t="shared" si="14"/>
        <v>0</v>
      </c>
      <c r="T90" s="296" t="e">
        <f t="shared" si="0"/>
        <v>#N/A</v>
      </c>
      <c r="U90" s="296" t="e">
        <f t="shared" si="1"/>
        <v>#N/A</v>
      </c>
      <c r="V90" s="297" t="e">
        <f t="shared" si="2"/>
        <v>#N/A</v>
      </c>
      <c r="W90" s="297" t="e">
        <f t="shared" si="3"/>
        <v>#N/A</v>
      </c>
      <c r="X90" s="297" t="e">
        <f t="shared" si="4"/>
        <v>#N/A</v>
      </c>
      <c r="Y90" s="297" t="e">
        <f t="shared" si="5"/>
        <v>#N/A</v>
      </c>
      <c r="Z90" s="297" t="e">
        <f t="shared" si="6"/>
        <v>#N/A</v>
      </c>
      <c r="AA90" s="296" t="e">
        <f t="shared" si="7"/>
        <v>#N/A</v>
      </c>
    </row>
    <row r="91" spans="2:27" ht="15.75" hidden="1" customHeight="1">
      <c r="B91" s="29"/>
      <c r="C91" s="366"/>
      <c r="D91" s="279"/>
      <c r="E91" s="279"/>
      <c r="F91" s="278"/>
      <c r="G91" s="279"/>
      <c r="H91" s="279"/>
      <c r="I91" s="442"/>
      <c r="J91" s="368"/>
      <c r="K91" s="368"/>
      <c r="L91" s="281"/>
      <c r="M91" s="444"/>
      <c r="N91" s="397"/>
      <c r="O91" s="370"/>
      <c r="P91" s="371"/>
      <c r="Q91" s="443"/>
      <c r="S91" s="277">
        <f t="shared" si="14"/>
        <v>0</v>
      </c>
      <c r="T91" s="296" t="e">
        <f t="shared" si="0"/>
        <v>#N/A</v>
      </c>
      <c r="U91" s="296" t="e">
        <f t="shared" si="1"/>
        <v>#N/A</v>
      </c>
      <c r="V91" s="297" t="e">
        <f t="shared" si="2"/>
        <v>#N/A</v>
      </c>
      <c r="W91" s="297" t="e">
        <f t="shared" si="3"/>
        <v>#N/A</v>
      </c>
      <c r="X91" s="297" t="e">
        <f t="shared" si="4"/>
        <v>#N/A</v>
      </c>
      <c r="Y91" s="297" t="e">
        <f t="shared" si="5"/>
        <v>#N/A</v>
      </c>
      <c r="Z91" s="297" t="e">
        <f t="shared" si="6"/>
        <v>#N/A</v>
      </c>
      <c r="AA91" s="296" t="e">
        <f t="shared" si="7"/>
        <v>#N/A</v>
      </c>
    </row>
    <row r="92" spans="2:27" ht="15.75" hidden="1" customHeight="1">
      <c r="B92" s="29"/>
      <c r="C92" s="366"/>
      <c r="D92" s="279"/>
      <c r="E92" s="279"/>
      <c r="F92" s="278"/>
      <c r="G92" s="279"/>
      <c r="H92" s="279"/>
      <c r="I92" s="442"/>
      <c r="J92" s="368"/>
      <c r="K92" s="368"/>
      <c r="L92" s="281"/>
      <c r="M92" s="444"/>
      <c r="N92" s="397"/>
      <c r="O92" s="370"/>
      <c r="P92" s="371"/>
      <c r="Q92" s="443"/>
      <c r="S92" s="277">
        <f t="shared" si="14"/>
        <v>0</v>
      </c>
      <c r="T92" s="296" t="e">
        <f t="shared" si="0"/>
        <v>#N/A</v>
      </c>
      <c r="U92" s="296" t="e">
        <f t="shared" si="1"/>
        <v>#N/A</v>
      </c>
      <c r="V92" s="297" t="e">
        <f t="shared" si="2"/>
        <v>#N/A</v>
      </c>
      <c r="W92" s="297" t="e">
        <f t="shared" si="3"/>
        <v>#N/A</v>
      </c>
      <c r="X92" s="297" t="e">
        <f t="shared" si="4"/>
        <v>#N/A</v>
      </c>
      <c r="Y92" s="297" t="e">
        <f t="shared" si="5"/>
        <v>#N/A</v>
      </c>
      <c r="Z92" s="297" t="e">
        <f t="shared" si="6"/>
        <v>#N/A</v>
      </c>
      <c r="AA92" s="296" t="e">
        <f t="shared" si="7"/>
        <v>#N/A</v>
      </c>
    </row>
    <row r="93" spans="2:27" ht="15.75" hidden="1" customHeight="1">
      <c r="B93" s="29"/>
      <c r="C93" s="366"/>
      <c r="D93" s="279"/>
      <c r="E93" s="279"/>
      <c r="F93" s="278"/>
      <c r="G93" s="279"/>
      <c r="H93" s="279"/>
      <c r="I93" s="442"/>
      <c r="J93" s="368"/>
      <c r="K93" s="368"/>
      <c r="L93" s="281"/>
      <c r="M93" s="444"/>
      <c r="N93" s="397"/>
      <c r="O93" s="370"/>
      <c r="P93" s="371"/>
      <c r="Q93" s="443"/>
      <c r="S93" s="277">
        <f t="shared" si="14"/>
        <v>0</v>
      </c>
      <c r="T93" s="296" t="e">
        <f t="shared" si="0"/>
        <v>#N/A</v>
      </c>
      <c r="U93" s="296" t="e">
        <f t="shared" si="1"/>
        <v>#N/A</v>
      </c>
      <c r="V93" s="297" t="e">
        <f t="shared" si="2"/>
        <v>#N/A</v>
      </c>
      <c r="W93" s="297" t="e">
        <f t="shared" si="3"/>
        <v>#N/A</v>
      </c>
      <c r="X93" s="297" t="e">
        <f t="shared" si="4"/>
        <v>#N/A</v>
      </c>
      <c r="Y93" s="297" t="e">
        <f t="shared" si="5"/>
        <v>#N/A</v>
      </c>
      <c r="Z93" s="297" t="e">
        <f t="shared" si="6"/>
        <v>#N/A</v>
      </c>
      <c r="AA93" s="296" t="e">
        <f t="shared" si="7"/>
        <v>#N/A</v>
      </c>
    </row>
    <row r="94" spans="2:27" ht="15.75" hidden="1" customHeight="1">
      <c r="B94" s="29"/>
      <c r="C94" s="366"/>
      <c r="D94" s="279"/>
      <c r="E94" s="279"/>
      <c r="F94" s="278"/>
      <c r="G94" s="279"/>
      <c r="H94" s="279"/>
      <c r="I94" s="442"/>
      <c r="J94" s="368"/>
      <c r="K94" s="368"/>
      <c r="L94" s="281"/>
      <c r="M94" s="444"/>
      <c r="N94" s="397"/>
      <c r="O94" s="370"/>
      <c r="P94" s="371"/>
      <c r="Q94" s="443"/>
      <c r="S94" s="277">
        <f t="shared" si="14"/>
        <v>0</v>
      </c>
      <c r="T94" s="296" t="e">
        <f t="shared" si="0"/>
        <v>#N/A</v>
      </c>
      <c r="U94" s="296" t="e">
        <f t="shared" si="1"/>
        <v>#N/A</v>
      </c>
      <c r="V94" s="297" t="e">
        <f t="shared" si="2"/>
        <v>#N/A</v>
      </c>
      <c r="W94" s="297" t="e">
        <f t="shared" si="3"/>
        <v>#N/A</v>
      </c>
      <c r="X94" s="297" t="e">
        <f t="shared" si="4"/>
        <v>#N/A</v>
      </c>
      <c r="Y94" s="297" t="e">
        <f t="shared" si="5"/>
        <v>#N/A</v>
      </c>
      <c r="Z94" s="297" t="e">
        <f t="shared" si="6"/>
        <v>#N/A</v>
      </c>
      <c r="AA94" s="296" t="e">
        <f t="shared" si="7"/>
        <v>#N/A</v>
      </c>
    </row>
    <row r="95" spans="2:27" ht="15.75" hidden="1" customHeight="1">
      <c r="B95" s="29"/>
      <c r="C95" s="366"/>
      <c r="D95" s="279"/>
      <c r="E95" s="279"/>
      <c r="F95" s="278"/>
      <c r="G95" s="279"/>
      <c r="H95" s="279"/>
      <c r="I95" s="442"/>
      <c r="J95" s="368"/>
      <c r="K95" s="368"/>
      <c r="L95" s="281"/>
      <c r="M95" s="444"/>
      <c r="N95" s="397"/>
      <c r="O95" s="370"/>
      <c r="P95" s="371"/>
      <c r="Q95" s="443"/>
      <c r="S95" s="277">
        <f t="shared" si="14"/>
        <v>0</v>
      </c>
      <c r="T95" s="296" t="e">
        <f t="shared" si="0"/>
        <v>#N/A</v>
      </c>
      <c r="U95" s="296" t="e">
        <f t="shared" si="1"/>
        <v>#N/A</v>
      </c>
      <c r="V95" s="297" t="e">
        <f t="shared" si="2"/>
        <v>#N/A</v>
      </c>
      <c r="W95" s="297" t="e">
        <f t="shared" si="3"/>
        <v>#N/A</v>
      </c>
      <c r="X95" s="297" t="e">
        <f t="shared" si="4"/>
        <v>#N/A</v>
      </c>
      <c r="Y95" s="297" t="e">
        <f t="shared" si="5"/>
        <v>#N/A</v>
      </c>
      <c r="Z95" s="297" t="e">
        <f t="shared" si="6"/>
        <v>#N/A</v>
      </c>
      <c r="AA95" s="296" t="e">
        <f t="shared" si="7"/>
        <v>#N/A</v>
      </c>
    </row>
    <row r="96" spans="2:27" ht="15.75" hidden="1" customHeight="1">
      <c r="B96" s="33"/>
      <c r="C96" s="366"/>
      <c r="D96" s="279"/>
      <c r="E96" s="279"/>
      <c r="F96" s="278"/>
      <c r="G96" s="279"/>
      <c r="H96" s="279"/>
      <c r="I96" s="434"/>
      <c r="J96" s="434"/>
      <c r="K96" s="398"/>
      <c r="L96" s="276"/>
      <c r="M96" s="374"/>
      <c r="N96" s="397"/>
      <c r="O96" s="370"/>
      <c r="P96" s="371"/>
      <c r="Q96" s="443"/>
      <c r="S96" s="277">
        <f t="shared" si="14"/>
        <v>0</v>
      </c>
      <c r="T96" s="296" t="e">
        <f t="shared" si="0"/>
        <v>#N/A</v>
      </c>
      <c r="U96" s="296" t="e">
        <f t="shared" si="1"/>
        <v>#N/A</v>
      </c>
      <c r="V96" s="297" t="e">
        <f t="shared" si="2"/>
        <v>#N/A</v>
      </c>
      <c r="W96" s="297" t="e">
        <f t="shared" si="3"/>
        <v>#N/A</v>
      </c>
      <c r="X96" s="297" t="e">
        <f t="shared" si="4"/>
        <v>#N/A</v>
      </c>
      <c r="Y96" s="297" t="e">
        <f t="shared" si="5"/>
        <v>#N/A</v>
      </c>
      <c r="Z96" s="297" t="e">
        <f t="shared" si="6"/>
        <v>#N/A</v>
      </c>
      <c r="AA96" s="296" t="e">
        <f t="shared" si="7"/>
        <v>#N/A</v>
      </c>
    </row>
    <row r="97" spans="1:27" ht="15.75" hidden="1" customHeight="1">
      <c r="B97" s="33"/>
      <c r="C97" s="366"/>
      <c r="D97" s="279"/>
      <c r="E97" s="279"/>
      <c r="F97" s="278"/>
      <c r="G97" s="279"/>
      <c r="H97" s="279"/>
      <c r="I97" s="434"/>
      <c r="J97" s="434"/>
      <c r="K97" s="398"/>
      <c r="L97" s="276"/>
      <c r="M97" s="374"/>
      <c r="N97" s="397"/>
      <c r="O97" s="370"/>
      <c r="P97" s="371"/>
      <c r="Q97" s="443"/>
      <c r="S97" s="277">
        <f t="shared" si="14"/>
        <v>0</v>
      </c>
      <c r="T97" s="296" t="e">
        <f t="shared" si="0"/>
        <v>#N/A</v>
      </c>
      <c r="U97" s="296" t="e">
        <f t="shared" si="1"/>
        <v>#N/A</v>
      </c>
      <c r="V97" s="297" t="e">
        <f t="shared" si="2"/>
        <v>#N/A</v>
      </c>
      <c r="W97" s="297" t="e">
        <f t="shared" si="3"/>
        <v>#N/A</v>
      </c>
      <c r="X97" s="297" t="e">
        <f t="shared" si="4"/>
        <v>#N/A</v>
      </c>
      <c r="Y97" s="297" t="e">
        <f t="shared" si="5"/>
        <v>#N/A</v>
      </c>
      <c r="Z97" s="297" t="e">
        <f t="shared" si="6"/>
        <v>#N/A</v>
      </c>
      <c r="AA97" s="296" t="e">
        <f t="shared" si="7"/>
        <v>#N/A</v>
      </c>
    </row>
    <row r="98" spans="1:27" ht="15.75" hidden="1" customHeight="1">
      <c r="B98" s="33"/>
      <c r="C98" s="366"/>
      <c r="D98" s="279"/>
      <c r="E98" s="279"/>
      <c r="F98" s="278"/>
      <c r="G98" s="279"/>
      <c r="H98" s="279"/>
      <c r="I98" s="434"/>
      <c r="J98" s="434"/>
      <c r="K98" s="398"/>
      <c r="L98" s="276"/>
      <c r="M98" s="374"/>
      <c r="N98" s="397"/>
      <c r="O98" s="370"/>
      <c r="P98" s="371"/>
      <c r="Q98" s="443"/>
      <c r="S98" s="277">
        <f t="shared" si="14"/>
        <v>0</v>
      </c>
      <c r="T98" s="296" t="e">
        <f t="shared" si="0"/>
        <v>#N/A</v>
      </c>
      <c r="U98" s="296" t="e">
        <f t="shared" si="1"/>
        <v>#N/A</v>
      </c>
      <c r="V98" s="297" t="e">
        <f t="shared" si="2"/>
        <v>#N/A</v>
      </c>
      <c r="W98" s="297" t="e">
        <f t="shared" si="3"/>
        <v>#N/A</v>
      </c>
      <c r="X98" s="297" t="e">
        <f t="shared" si="4"/>
        <v>#N/A</v>
      </c>
      <c r="Y98" s="297" t="e">
        <f t="shared" si="5"/>
        <v>#N/A</v>
      </c>
      <c r="Z98" s="297" t="e">
        <f t="shared" si="6"/>
        <v>#N/A</v>
      </c>
      <c r="AA98" s="296" t="e">
        <f t="shared" si="7"/>
        <v>#N/A</v>
      </c>
    </row>
    <row r="99" spans="1:27" ht="15.75" hidden="1" customHeight="1">
      <c r="B99" s="33"/>
      <c r="C99" s="366"/>
      <c r="D99" s="279"/>
      <c r="E99" s="279"/>
      <c r="F99" s="278"/>
      <c r="G99" s="279"/>
      <c r="H99" s="279"/>
      <c r="I99" s="434"/>
      <c r="J99" s="434"/>
      <c r="K99" s="398"/>
      <c r="L99" s="276"/>
      <c r="M99" s="374"/>
      <c r="N99" s="397"/>
      <c r="O99" s="370"/>
      <c r="P99" s="371"/>
      <c r="Q99" s="443"/>
      <c r="S99" s="277">
        <f t="shared" si="14"/>
        <v>0</v>
      </c>
      <c r="T99" s="296" t="e">
        <f t="shared" si="0"/>
        <v>#N/A</v>
      </c>
      <c r="U99" s="296" t="e">
        <f t="shared" si="1"/>
        <v>#N/A</v>
      </c>
      <c r="V99" s="297" t="e">
        <f t="shared" si="2"/>
        <v>#N/A</v>
      </c>
      <c r="W99" s="297" t="e">
        <f t="shared" si="3"/>
        <v>#N/A</v>
      </c>
      <c r="X99" s="297" t="e">
        <f t="shared" si="4"/>
        <v>#N/A</v>
      </c>
      <c r="Y99" s="297" t="e">
        <f t="shared" si="5"/>
        <v>#N/A</v>
      </c>
      <c r="Z99" s="297" t="e">
        <f t="shared" si="6"/>
        <v>#N/A</v>
      </c>
      <c r="AA99" s="296" t="e">
        <f t="shared" si="7"/>
        <v>#N/A</v>
      </c>
    </row>
    <row r="100" spans="1:27" ht="15.75" hidden="1" customHeight="1">
      <c r="B100" s="33"/>
      <c r="C100" s="366"/>
      <c r="D100" s="279"/>
      <c r="E100" s="279"/>
      <c r="F100" s="278"/>
      <c r="G100" s="279"/>
      <c r="H100" s="279"/>
      <c r="I100" s="434"/>
      <c r="J100" s="434"/>
      <c r="K100" s="398"/>
      <c r="L100" s="276"/>
      <c r="M100" s="374"/>
      <c r="N100" s="397"/>
      <c r="O100" s="370"/>
      <c r="P100" s="371"/>
      <c r="Q100" s="443"/>
      <c r="S100" s="277">
        <f t="shared" si="10"/>
        <v>0</v>
      </c>
      <c r="T100" s="296" t="e">
        <f t="shared" si="0"/>
        <v>#N/A</v>
      </c>
      <c r="U100" s="296" t="e">
        <f t="shared" si="1"/>
        <v>#N/A</v>
      </c>
      <c r="V100" s="297" t="e">
        <f t="shared" si="2"/>
        <v>#N/A</v>
      </c>
      <c r="W100" s="297" t="e">
        <f t="shared" si="3"/>
        <v>#N/A</v>
      </c>
      <c r="X100" s="297" t="e">
        <f t="shared" si="4"/>
        <v>#N/A</v>
      </c>
      <c r="Y100" s="297" t="e">
        <f t="shared" si="5"/>
        <v>#N/A</v>
      </c>
      <c r="Z100" s="297" t="e">
        <f t="shared" si="6"/>
        <v>#N/A</v>
      </c>
      <c r="AA100" s="296" t="e">
        <f t="shared" si="7"/>
        <v>#N/A</v>
      </c>
    </row>
    <row r="101" spans="1:27" ht="15.75" customHeight="1" thickBot="1">
      <c r="B101" s="358"/>
      <c r="C101" s="358"/>
      <c r="D101" s="358"/>
      <c r="E101" s="358"/>
      <c r="F101" s="294"/>
      <c r="G101" s="294"/>
      <c r="H101" s="348"/>
      <c r="I101" s="500" t="s">
        <v>34</v>
      </c>
      <c r="J101" s="500"/>
      <c r="K101" s="500"/>
      <c r="L101" s="500"/>
      <c r="M101" s="500"/>
      <c r="N101" s="500"/>
      <c r="O101" s="1"/>
      <c r="P101" s="12"/>
      <c r="S101" s="277">
        <f t="shared" si="10"/>
        <v>0</v>
      </c>
      <c r="T101" s="296" t="e">
        <f t="shared" si="0"/>
        <v>#N/A</v>
      </c>
      <c r="U101" s="296" t="e">
        <f t="shared" si="1"/>
        <v>#N/A</v>
      </c>
      <c r="V101" s="297" t="e">
        <f t="shared" si="2"/>
        <v>#N/A</v>
      </c>
      <c r="W101" s="297" t="e">
        <f t="shared" si="3"/>
        <v>#N/A</v>
      </c>
      <c r="X101" s="297" t="e">
        <f t="shared" si="4"/>
        <v>#N/A</v>
      </c>
      <c r="Y101" s="297" t="e">
        <f t="shared" si="5"/>
        <v>#N/A</v>
      </c>
      <c r="Z101" s="297" t="e">
        <f t="shared" si="6"/>
        <v>#N/A</v>
      </c>
      <c r="AA101" s="296" t="e">
        <f t="shared" si="7"/>
        <v>#N/A</v>
      </c>
    </row>
    <row r="102" spans="1:27" ht="15" thickBot="1">
      <c r="B102" s="388" t="s">
        <v>145</v>
      </c>
      <c r="C102" s="388"/>
      <c r="D102" s="513" t="s">
        <v>35</v>
      </c>
      <c r="E102" s="514"/>
      <c r="F102" s="294"/>
      <c r="G102" s="294"/>
      <c r="H102" s="348"/>
      <c r="I102" s="24" t="s">
        <v>17</v>
      </c>
      <c r="J102" s="25" t="s">
        <v>36</v>
      </c>
      <c r="K102" s="26" t="s">
        <v>138</v>
      </c>
      <c r="L102" s="25" t="s">
        <v>37</v>
      </c>
      <c r="M102" s="25" t="s">
        <v>38</v>
      </c>
      <c r="N102" s="27" t="s">
        <v>39</v>
      </c>
      <c r="O102" s="294"/>
      <c r="P102" s="12"/>
      <c r="S102" s="277" t="str">
        <f t="shared" si="10"/>
        <v>BRAND</v>
      </c>
      <c r="T102" s="296" t="e">
        <f t="shared" si="0"/>
        <v>#N/A</v>
      </c>
      <c r="U102" s="296" t="e">
        <f t="shared" si="1"/>
        <v>#N/A</v>
      </c>
      <c r="V102" s="297" t="e">
        <f t="shared" si="2"/>
        <v>#N/A</v>
      </c>
      <c r="W102" s="297" t="e">
        <f t="shared" si="3"/>
        <v>#N/A</v>
      </c>
      <c r="X102" s="297" t="e">
        <f t="shared" si="4"/>
        <v>#N/A</v>
      </c>
      <c r="Y102" s="297" t="e">
        <f t="shared" si="5"/>
        <v>#N/A</v>
      </c>
      <c r="Z102" s="297" t="e">
        <f t="shared" si="6"/>
        <v>#N/A</v>
      </c>
      <c r="AA102" s="296" t="e">
        <f t="shared" si="7"/>
        <v>#N/A</v>
      </c>
    </row>
    <row r="103" spans="1:27" ht="15" customHeight="1">
      <c r="A103" s="28"/>
      <c r="B103" s="539" t="str">
        <f>I103</f>
        <v>CARIB</v>
      </c>
      <c r="C103" s="362">
        <f>[23]Process!D320</f>
        <v>11.7</v>
      </c>
      <c r="D103" s="504">
        <v>11.78</v>
      </c>
      <c r="E103" s="493"/>
      <c r="F103" s="294"/>
      <c r="G103" s="294"/>
      <c r="H103" s="348"/>
      <c r="I103" s="29" t="s">
        <v>6</v>
      </c>
      <c r="J103" s="280">
        <f>AVERAGE(J18:J21,J34:J41)</f>
        <v>99.273698483575728</v>
      </c>
      <c r="K103" s="284">
        <f>COUNTA([23]Brewhouse!$A$341:$A$370)</f>
        <v>30</v>
      </c>
      <c r="L103" s="302">
        <f>AVERAGE([23]Brewhouse!$AU$341:$AU$346,[23]Brewhouse!$AU$348,[23]Brewhouse!$AU$349:$AU$370)</f>
        <v>98.533295542914729</v>
      </c>
      <c r="M103" s="302">
        <f>AVERAGE([23]Brewhouse!$AU$102:$AU$171,[23]Brewhouse!$AU$173:$AU$253,[23]Brewhouse!$AU$255:$AU$339,[23]Brewhouse!$AU$341:$AU$346,[23]Brewhouse!$AU$348,[23]Brewhouse!$AU$349:$AU$370)</f>
        <v>96.979211473328334</v>
      </c>
      <c r="N103" s="30">
        <v>98</v>
      </c>
      <c r="O103" s="11"/>
      <c r="P103" s="31"/>
      <c r="R103" s="277"/>
      <c r="S103" s="296"/>
      <c r="T103" s="296"/>
      <c r="U103" s="297"/>
      <c r="V103" s="297"/>
      <c r="W103" s="297"/>
      <c r="X103" s="297"/>
      <c r="Y103" s="297"/>
      <c r="Z103" s="296"/>
    </row>
    <row r="104" spans="1:27" ht="15" customHeight="1">
      <c r="A104" s="28"/>
      <c r="B104" s="540"/>
      <c r="C104" s="349">
        <f>[23]Process!D321</f>
        <v>11.9</v>
      </c>
      <c r="D104" s="505"/>
      <c r="E104" s="488"/>
      <c r="F104" s="294"/>
      <c r="G104" s="294"/>
      <c r="H104" s="348"/>
      <c r="I104" s="33" t="s">
        <v>9</v>
      </c>
      <c r="J104" s="280">
        <f>AVERAGE(J24:J31)</f>
        <v>98.764510519022352</v>
      </c>
      <c r="K104" s="284">
        <f>COUNTA([24]Brewhouse!$A$142:$A$165)</f>
        <v>24</v>
      </c>
      <c r="L104" s="302">
        <f>AVERAGE([24]Brewhouse!$AS$142:$AS$165)</f>
        <v>98.959586348859446</v>
      </c>
      <c r="M104" s="302">
        <f>AVERAGE([24]Brewhouse!$AS$15:$AS$64,[24]Brewhouse!$AS$66:$AS$103,[24]Brewhouse!$AS$105:$AS$140,[24]Brewhouse!$AS$142:$AS$165)</f>
        <v>97.071077710321021</v>
      </c>
      <c r="N104" s="30">
        <v>98</v>
      </c>
      <c r="O104" s="11"/>
      <c r="P104" s="31"/>
      <c r="R104" s="277"/>
      <c r="S104" s="296"/>
      <c r="T104" s="296"/>
      <c r="U104" s="297"/>
      <c r="V104" s="297"/>
      <c r="W104" s="297"/>
      <c r="X104" s="297"/>
      <c r="Y104" s="297"/>
      <c r="Z104" s="296"/>
    </row>
    <row r="105" spans="1:27" ht="14.7" customHeight="1">
      <c r="A105" s="28"/>
      <c r="B105" s="540"/>
      <c r="C105" s="349">
        <f>[23]Process!D322</f>
        <v>11.94</v>
      </c>
      <c r="D105" s="504">
        <v>11.71</v>
      </c>
      <c r="E105" s="493"/>
      <c r="F105" s="294"/>
      <c r="G105" s="294"/>
      <c r="H105" s="348"/>
      <c r="I105" s="34" t="s">
        <v>12</v>
      </c>
      <c r="J105" s="280"/>
      <c r="K105" s="284">
        <f>COUNTA([22]Brewhouse!$A$37)</f>
        <v>1</v>
      </c>
      <c r="L105" s="302">
        <f>AVERAGE([22]Brewhouse!$AU$37)</f>
        <v>96.214667872117261</v>
      </c>
      <c r="M105" s="302">
        <f>AVERAGE([22]Brewhouse!$AU$4:$AU$7,[22]Brewhouse!$AU$9:$AU$22,[22]Brewhouse!$AU$24:$AU$35,[22]Brewhouse!$AU$37)</f>
        <v>96.767265202814471</v>
      </c>
      <c r="N105" s="30">
        <v>98</v>
      </c>
      <c r="O105" s="11"/>
      <c r="P105" s="31"/>
      <c r="R105" s="23"/>
      <c r="S105" s="1"/>
      <c r="T105" s="1"/>
      <c r="Z105" s="285"/>
    </row>
    <row r="106" spans="1:27" ht="14.7" customHeight="1">
      <c r="A106" s="28"/>
      <c r="B106" s="540"/>
      <c r="C106" s="349">
        <f>[23]Process!D323</f>
        <v>11.94</v>
      </c>
      <c r="D106" s="505"/>
      <c r="E106" s="488"/>
      <c r="F106" s="294"/>
      <c r="G106" s="294"/>
      <c r="H106" s="348"/>
      <c r="I106" s="22" t="s">
        <v>33</v>
      </c>
      <c r="J106" s="280"/>
      <c r="K106" s="284"/>
      <c r="L106" s="302"/>
      <c r="M106" s="302">
        <f>AVERAGE([25]Brewhouse!$AV$5:$AV$14,[25]Brewhouse!$AV$16:$AV$19,[25]Brewhouse!$AV$21:$AV$24)</f>
        <v>98.616016873478046</v>
      </c>
      <c r="N106" s="30">
        <v>98</v>
      </c>
      <c r="O106" s="11"/>
      <c r="P106" s="31"/>
      <c r="R106" s="23"/>
      <c r="S106" s="1"/>
      <c r="T106" s="1"/>
      <c r="Z106" s="285"/>
    </row>
    <row r="107" spans="1:27" ht="14.7" customHeight="1">
      <c r="A107" s="28"/>
      <c r="B107" s="540"/>
      <c r="C107" s="349">
        <f>[23]Process!D328</f>
        <v>11.9</v>
      </c>
      <c r="D107" s="504">
        <v>11.71</v>
      </c>
      <c r="E107" s="493"/>
      <c r="F107" s="436"/>
      <c r="G107" s="294"/>
      <c r="H107" s="348"/>
      <c r="I107" s="35" t="s">
        <v>29</v>
      </c>
      <c r="J107" s="280"/>
      <c r="K107" s="284"/>
      <c r="L107" s="302"/>
      <c r="M107" s="302"/>
      <c r="N107" s="30">
        <v>98</v>
      </c>
      <c r="O107" s="11"/>
      <c r="P107" s="31"/>
      <c r="R107" s="23"/>
    </row>
    <row r="108" spans="1:27" ht="14.7" customHeight="1">
      <c r="A108" s="28"/>
      <c r="B108" s="540"/>
      <c r="C108" s="349">
        <f>[23]Process!D329</f>
        <v>11.9</v>
      </c>
      <c r="D108" s="505"/>
      <c r="E108" s="488"/>
      <c r="F108" s="436"/>
      <c r="G108" s="294"/>
      <c r="H108" s="348"/>
      <c r="I108" s="36" t="s">
        <v>15</v>
      </c>
      <c r="J108" s="323"/>
      <c r="K108" s="284"/>
      <c r="L108" s="302"/>
      <c r="M108" s="302">
        <f>AVERAGE([26]Brewhouse!$AT$4:$AT$11)</f>
        <v>94.812616598822359</v>
      </c>
      <c r="N108" s="30">
        <v>98</v>
      </c>
      <c r="O108" s="11"/>
      <c r="P108" s="31"/>
      <c r="R108" s="23"/>
    </row>
    <row r="109" spans="1:27" ht="14.7" customHeight="1">
      <c r="A109" s="28"/>
      <c r="B109" s="540"/>
      <c r="C109" s="349"/>
      <c r="D109" s="504"/>
      <c r="E109" s="493"/>
      <c r="F109" s="436"/>
      <c r="G109" s="294"/>
      <c r="H109" s="348"/>
      <c r="I109" s="37" t="s">
        <v>16</v>
      </c>
      <c r="J109" s="323"/>
      <c r="K109" s="284">
        <f>COUNTA([27]Brewhouse!$A$31:$A$34)</f>
        <v>4</v>
      </c>
      <c r="L109" s="302">
        <f>AVERAGE([27]Brewhouse!$AY$31:$AY$34)</f>
        <v>98.653228650224236</v>
      </c>
      <c r="M109" s="302">
        <f>AVERAGE([27]Brewhouse!$AY$6:$AY$13,[27]Brewhouse!$AY$15:$AY$20,[27]Brewhouse!$AY$22:$AY$29,[27]Brewhouse!$AY$31:$AY$34)</f>
        <v>96.120888038911147</v>
      </c>
      <c r="N109" s="30">
        <v>98</v>
      </c>
      <c r="O109" s="11"/>
      <c r="P109" s="31" t="s">
        <v>41</v>
      </c>
      <c r="R109" s="23"/>
      <c r="W109" s="275" t="s">
        <v>41</v>
      </c>
    </row>
    <row r="110" spans="1:27" ht="14.7" customHeight="1">
      <c r="A110" s="28"/>
      <c r="B110" s="540"/>
      <c r="C110" s="349"/>
      <c r="D110" s="505"/>
      <c r="E110" s="488"/>
      <c r="F110" s="294"/>
      <c r="G110" s="294"/>
      <c r="H110" s="348"/>
      <c r="I110" s="412" t="s">
        <v>158</v>
      </c>
      <c r="J110" s="326"/>
      <c r="K110" s="284"/>
      <c r="L110" s="305"/>
      <c r="M110" s="305">
        <f>AVERAGE([28]Brewhouse!$AU$5:$AU$8)</f>
        <v>91.006888337619571</v>
      </c>
      <c r="N110" s="30">
        <v>98</v>
      </c>
      <c r="O110" s="11"/>
      <c r="P110" s="31"/>
      <c r="R110" s="23"/>
    </row>
    <row r="111" spans="1:27" ht="14.7" customHeight="1">
      <c r="A111" s="28"/>
      <c r="B111" s="540"/>
      <c r="C111" s="349"/>
      <c r="D111" s="504"/>
      <c r="E111" s="493"/>
      <c r="F111" s="294"/>
      <c r="G111" s="294"/>
      <c r="H111" s="348"/>
      <c r="I111" s="411" t="s">
        <v>157</v>
      </c>
      <c r="J111" s="326"/>
      <c r="K111" s="284"/>
      <c r="L111" s="305"/>
      <c r="M111" s="305"/>
      <c r="N111" s="30">
        <v>98</v>
      </c>
      <c r="O111" s="11"/>
      <c r="P111" s="31"/>
      <c r="R111" s="23"/>
    </row>
    <row r="112" spans="1:27" ht="15" customHeight="1" thickBot="1">
      <c r="A112" s="28"/>
      <c r="B112" s="540"/>
      <c r="C112" s="349"/>
      <c r="D112" s="505"/>
      <c r="E112" s="488"/>
      <c r="F112" s="294"/>
      <c r="G112" s="294"/>
      <c r="H112" s="348"/>
      <c r="I112" s="407" t="s">
        <v>156</v>
      </c>
      <c r="J112" s="327"/>
      <c r="K112" s="408"/>
      <c r="L112" s="409"/>
      <c r="M112" s="409"/>
      <c r="N112" s="410">
        <v>98</v>
      </c>
      <c r="O112" s="11"/>
      <c r="P112" s="31"/>
      <c r="R112" s="23"/>
    </row>
    <row r="113" spans="1:56" ht="15" customHeight="1" thickBot="1">
      <c r="A113" s="28"/>
      <c r="B113" s="540"/>
      <c r="C113" s="349"/>
      <c r="D113" s="504"/>
      <c r="E113" s="493"/>
      <c r="F113" s="294"/>
      <c r="G113" s="294"/>
      <c r="H113" s="348"/>
      <c r="I113" s="1"/>
      <c r="J113" s="39"/>
      <c r="K113" s="405">
        <f>SUM(K103:K112)</f>
        <v>59</v>
      </c>
      <c r="L113" s="406">
        <f>((L103*K103)+(L104*K104)+(L105*K105)+(L106*K106)+(L107*K107)+(K110*L110)+(L108*K108)+(L109*K109)+(L112*K112))/(K113)</f>
        <v>98.675534256492938</v>
      </c>
      <c r="M113" s="406">
        <f>AVERAGE('[29]Jan 31st'!$L$65,'[30]Feb 28th'!$L$35,'[31]Mar. 31st'!$L$35,L113)</f>
        <v>97.210187681931558</v>
      </c>
      <c r="N113" s="40">
        <v>98</v>
      </c>
      <c r="O113" s="11"/>
      <c r="P113" s="31"/>
      <c r="R113" s="23"/>
    </row>
    <row r="114" spans="1:56" ht="15" thickBot="1">
      <c r="B114" s="553"/>
      <c r="C114" s="350"/>
      <c r="D114" s="505"/>
      <c r="E114" s="488"/>
      <c r="F114" s="294"/>
      <c r="G114" s="42"/>
      <c r="H114" s="41"/>
      <c r="I114" s="42"/>
      <c r="J114" s="42"/>
      <c r="K114" s="351"/>
      <c r="L114" s="348"/>
      <c r="M114" s="348"/>
      <c r="N114" s="11"/>
      <c r="O114" s="294"/>
      <c r="P114" s="12"/>
      <c r="R114" s="23"/>
    </row>
    <row r="115" spans="1:56" ht="15" thickBot="1">
      <c r="B115" s="550"/>
      <c r="C115" s="362"/>
      <c r="D115" s="485"/>
      <c r="E115" s="486"/>
      <c r="F115" s="43"/>
      <c r="G115" s="41"/>
      <c r="H115" s="41"/>
      <c r="I115" s="42"/>
      <c r="J115" s="538" t="s">
        <v>129</v>
      </c>
      <c r="K115" s="538"/>
      <c r="L115" s="294"/>
      <c r="M115" s="294"/>
      <c r="N115" s="294"/>
      <c r="O115" s="294"/>
      <c r="P115" s="12"/>
      <c r="R115" s="23" t="s">
        <v>41</v>
      </c>
    </row>
    <row r="116" spans="1:56" ht="13.5" customHeight="1" thickBot="1">
      <c r="B116" s="551"/>
      <c r="C116" s="349"/>
      <c r="D116" s="487"/>
      <c r="E116" s="488"/>
      <c r="F116" s="43"/>
      <c r="G116" s="41"/>
      <c r="H116" s="292" t="s">
        <v>17</v>
      </c>
      <c r="I116" s="293" t="s">
        <v>185</v>
      </c>
      <c r="J116" s="293" t="s">
        <v>186</v>
      </c>
      <c r="K116" s="293" t="s">
        <v>187</v>
      </c>
      <c r="L116" s="490" t="s">
        <v>136</v>
      </c>
      <c r="M116" s="490"/>
      <c r="N116" s="491"/>
      <c r="O116" s="294"/>
      <c r="P116" s="12"/>
      <c r="R116" s="23"/>
    </row>
    <row r="117" spans="1:56" ht="15" customHeight="1" thickBot="1">
      <c r="B117" s="551"/>
      <c r="C117" s="349"/>
      <c r="D117" s="492"/>
      <c r="E117" s="493"/>
      <c r="F117" s="43"/>
      <c r="G117" s="41"/>
      <c r="H117" s="287" t="s">
        <v>6</v>
      </c>
      <c r="I117" s="324">
        <f>COUNTA(B18:B21)</f>
        <v>4</v>
      </c>
      <c r="J117" s="324"/>
      <c r="K117" s="324">
        <f>COUNTA(B34:B41)</f>
        <v>8</v>
      </c>
      <c r="L117" s="343" t="s">
        <v>37</v>
      </c>
      <c r="M117" s="307" t="s">
        <v>38</v>
      </c>
      <c r="N117" s="307" t="s">
        <v>84</v>
      </c>
      <c r="O117" s="294"/>
      <c r="P117" s="12"/>
      <c r="R117" s="23"/>
    </row>
    <row r="118" spans="1:56" ht="15.75" customHeight="1" thickBot="1">
      <c r="B118" s="551"/>
      <c r="C118" s="349"/>
      <c r="D118" s="487"/>
      <c r="E118" s="488"/>
      <c r="F118" s="43"/>
      <c r="G118" s="41"/>
      <c r="H118" s="345" t="s">
        <v>9</v>
      </c>
      <c r="I118" s="324"/>
      <c r="J118" s="324">
        <f>COUNTA(B24:B31)</f>
        <v>8</v>
      </c>
      <c r="K118" s="324"/>
      <c r="L118" s="344">
        <f>AVERAGE('Apr. 1st'!K49,'Apr. 11-12-13th'!K127,'Apr. 3rd'!K49,'Apr. 4th'!K49,'Apr. 7th '!K50,'Apr. 8th  '!K60,'Apr. 9th   '!K50,'Apr. 10th '!K58,I127,J127)</f>
        <v>5.9</v>
      </c>
      <c r="M118" s="325">
        <f>AVERAGE('[29]Jan 29th '!$M$70,'[30]Feb 28th'!$L$40,'[31]Mar. 31st'!$L$40,L118)</f>
        <v>6.4288342092689916</v>
      </c>
      <c r="N118" s="433">
        <v>9.1999999999999993</v>
      </c>
      <c r="O118" s="294"/>
      <c r="P118" s="12"/>
      <c r="R118" s="23"/>
    </row>
    <row r="119" spans="1:56" ht="15" customHeight="1">
      <c r="B119" s="551"/>
      <c r="C119" s="349"/>
      <c r="D119" s="492"/>
      <c r="E119" s="493"/>
      <c r="F119" s="43"/>
      <c r="G119" s="41"/>
      <c r="H119" s="288" t="s">
        <v>40</v>
      </c>
      <c r="I119" s="324"/>
      <c r="J119" s="324"/>
      <c r="K119" s="324"/>
      <c r="L119" s="294"/>
      <c r="M119" s="294"/>
      <c r="N119" s="294"/>
      <c r="O119" s="294"/>
      <c r="P119" s="12"/>
      <c r="R119" s="23"/>
    </row>
    <row r="120" spans="1:56" ht="15" customHeight="1">
      <c r="B120" s="551"/>
      <c r="C120" s="349"/>
      <c r="D120" s="487"/>
      <c r="E120" s="488"/>
      <c r="F120" s="43"/>
      <c r="G120" s="41"/>
      <c r="H120" s="289" t="s">
        <v>33</v>
      </c>
      <c r="I120" s="324"/>
      <c r="J120" s="324"/>
      <c r="K120" s="324"/>
      <c r="L120" s="294"/>
      <c r="M120" s="294"/>
      <c r="N120" s="294"/>
      <c r="O120" s="294"/>
      <c r="P120" s="12"/>
      <c r="R120" s="23"/>
    </row>
    <row r="121" spans="1:56" ht="14.4">
      <c r="B121" s="551"/>
      <c r="C121" s="349"/>
      <c r="D121" s="492"/>
      <c r="E121" s="493"/>
      <c r="F121" s="43"/>
      <c r="G121" s="41"/>
      <c r="H121" s="290" t="s">
        <v>16</v>
      </c>
      <c r="I121" s="324"/>
      <c r="J121" s="324"/>
      <c r="K121" s="324"/>
      <c r="L121" s="294"/>
      <c r="M121" s="294"/>
      <c r="N121" s="294"/>
      <c r="O121" s="294"/>
      <c r="P121" s="12"/>
      <c r="R121" s="23"/>
      <c r="BC121" s="44"/>
      <c r="BD121" s="44"/>
    </row>
    <row r="122" spans="1:56" ht="14.4">
      <c r="B122" s="551"/>
      <c r="C122" s="349"/>
      <c r="D122" s="487"/>
      <c r="E122" s="488"/>
      <c r="F122" s="43"/>
      <c r="G122" s="41"/>
      <c r="H122" s="291" t="s">
        <v>15</v>
      </c>
      <c r="I122" s="324"/>
      <c r="J122" s="324"/>
      <c r="K122" s="324"/>
      <c r="L122" s="294"/>
      <c r="M122" s="294"/>
      <c r="N122" s="294"/>
      <c r="O122" s="294"/>
      <c r="P122" s="12"/>
      <c r="R122" s="23"/>
      <c r="BC122" s="44"/>
      <c r="BD122" s="44"/>
    </row>
    <row r="123" spans="1:56" ht="14.4">
      <c r="B123" s="551"/>
      <c r="C123" s="349"/>
      <c r="D123" s="494"/>
      <c r="E123" s="495"/>
      <c r="F123" s="43"/>
      <c r="G123" s="41"/>
      <c r="H123" s="291" t="s">
        <v>149</v>
      </c>
      <c r="I123" s="324"/>
      <c r="J123" s="324"/>
      <c r="K123" s="324"/>
      <c r="L123" s="294"/>
      <c r="M123" s="294"/>
      <c r="N123" s="294"/>
      <c r="O123" s="294"/>
      <c r="P123" s="12"/>
      <c r="R123" s="23"/>
      <c r="BC123" s="44"/>
      <c r="BD123" s="44"/>
    </row>
    <row r="124" spans="1:56" ht="15" thickBot="1">
      <c r="B124" s="552"/>
      <c r="C124" s="350"/>
      <c r="D124" s="496"/>
      <c r="E124" s="497"/>
      <c r="F124" s="43"/>
      <c r="G124" s="41"/>
      <c r="H124" s="291" t="s">
        <v>148</v>
      </c>
      <c r="I124" s="324"/>
      <c r="J124" s="324"/>
      <c r="K124" s="324"/>
      <c r="L124" s="294"/>
      <c r="M124" s="294"/>
      <c r="N124" s="294"/>
      <c r="O124" s="294"/>
      <c r="P124" s="12"/>
      <c r="R124" s="23"/>
      <c r="BC124" s="44"/>
      <c r="BD124" s="44"/>
    </row>
    <row r="125" spans="1:56" ht="17.7" customHeight="1" thickBot="1">
      <c r="B125" s="312" t="s">
        <v>139</v>
      </c>
      <c r="C125" s="313"/>
      <c r="D125" s="476">
        <f>AVERAGE(D103:E124)</f>
        <v>11.733333333333334</v>
      </c>
      <c r="E125" s="477"/>
      <c r="F125" s="43"/>
      <c r="G125" s="41"/>
      <c r="H125" s="295" t="s">
        <v>134</v>
      </c>
      <c r="I125" s="324"/>
      <c r="J125" s="324"/>
      <c r="K125" s="324"/>
      <c r="L125" s="294"/>
      <c r="M125" s="294"/>
      <c r="N125" s="294"/>
      <c r="O125" s="294"/>
      <c r="P125" s="12"/>
      <c r="R125" s="23"/>
      <c r="BC125" s="44"/>
      <c r="BD125" s="44"/>
    </row>
    <row r="126" spans="1:56" ht="17.7" customHeight="1">
      <c r="B126" s="363"/>
      <c r="C126" s="364"/>
      <c r="D126" s="365"/>
      <c r="E126" s="365"/>
      <c r="F126" s="43"/>
      <c r="G126" s="41"/>
      <c r="H126" s="295" t="s">
        <v>131</v>
      </c>
      <c r="I126" s="324"/>
      <c r="J126" s="324"/>
      <c r="K126" s="324"/>
      <c r="L126" s="294"/>
      <c r="M126" s="294"/>
      <c r="N126" s="294"/>
      <c r="O126" s="294"/>
      <c r="P126" s="12"/>
      <c r="R126" s="23"/>
      <c r="BC126" s="44"/>
      <c r="BD126" s="44"/>
    </row>
    <row r="127" spans="1:56" ht="15.75" customHeight="1">
      <c r="B127" s="45"/>
      <c r="C127" s="11"/>
      <c r="D127" s="11"/>
      <c r="E127" s="46"/>
      <c r="F127" s="23"/>
      <c r="G127" s="11"/>
      <c r="H127" s="346" t="s">
        <v>130</v>
      </c>
      <c r="I127" s="324">
        <f t="shared" ref="I127:J127" si="15">SUM(I117:I126)</f>
        <v>4</v>
      </c>
      <c r="J127" s="324">
        <f t="shared" si="15"/>
        <v>8</v>
      </c>
      <c r="K127" s="324">
        <f>SUM(K117:K126)</f>
        <v>8</v>
      </c>
      <c r="L127" s="294"/>
      <c r="M127" s="294"/>
      <c r="N127" s="294"/>
      <c r="O127" s="294"/>
      <c r="P127" s="12"/>
    </row>
    <row r="128" spans="1:56" ht="20.25" customHeight="1">
      <c r="B128" s="15" t="s">
        <v>42</v>
      </c>
      <c r="C128" s="1" t="s">
        <v>43</v>
      </c>
      <c r="D128" s="1"/>
      <c r="E128" s="1"/>
      <c r="I128" s="42"/>
      <c r="L128" s="294"/>
      <c r="P128" s="334"/>
    </row>
    <row r="129" spans="2:57" ht="15" customHeight="1" thickBot="1"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8"/>
      <c r="O129" s="48"/>
      <c r="P129" s="49"/>
      <c r="W129" s="275" t="s">
        <v>41</v>
      </c>
    </row>
    <row r="130" spans="2:57" ht="15" customHeight="1" thickBot="1">
      <c r="B130" s="466" t="s">
        <v>17</v>
      </c>
      <c r="C130" s="466" t="s">
        <v>44</v>
      </c>
      <c r="D130" s="478" t="s">
        <v>45</v>
      </c>
      <c r="E130" s="480" t="s">
        <v>46</v>
      </c>
      <c r="F130" s="474" t="s">
        <v>47</v>
      </c>
      <c r="G130" s="464" t="s">
        <v>48</v>
      </c>
      <c r="H130" s="466" t="s">
        <v>49</v>
      </c>
      <c r="I130" s="466" t="s">
        <v>50</v>
      </c>
      <c r="J130" s="458" t="s">
        <v>28</v>
      </c>
      <c r="K130" s="470" t="s">
        <v>51</v>
      </c>
      <c r="L130" s="472" t="s">
        <v>52</v>
      </c>
      <c r="M130" s="458" t="s">
        <v>53</v>
      </c>
      <c r="N130" s="13"/>
      <c r="O130" s="13"/>
      <c r="P130" s="50"/>
    </row>
    <row r="131" spans="2:57" ht="28.5" customHeight="1" thickTop="1" thickBot="1">
      <c r="B131" s="467"/>
      <c r="C131" s="467"/>
      <c r="D131" s="479"/>
      <c r="E131" s="481"/>
      <c r="F131" s="475"/>
      <c r="G131" s="465"/>
      <c r="H131" s="467"/>
      <c r="I131" s="467"/>
      <c r="J131" s="459"/>
      <c r="K131" s="471"/>
      <c r="L131" s="473"/>
      <c r="M131" s="459"/>
      <c r="N131" s="13"/>
      <c r="O131" s="13"/>
      <c r="P131" s="50"/>
      <c r="Q131" s="355"/>
      <c r="R131" s="355"/>
      <c r="S131" s="355"/>
      <c r="T131" s="51">
        <v>43466</v>
      </c>
      <c r="U131" s="51">
        <v>43467</v>
      </c>
      <c r="V131" s="51">
        <v>43468</v>
      </c>
      <c r="W131" s="51">
        <v>43469</v>
      </c>
      <c r="X131" s="51">
        <v>43470</v>
      </c>
      <c r="Y131" s="51">
        <v>43471</v>
      </c>
      <c r="Z131" s="51">
        <v>43472</v>
      </c>
      <c r="AA131" s="51">
        <v>43473</v>
      </c>
      <c r="AB131" s="51">
        <v>43474</v>
      </c>
      <c r="AC131" s="51">
        <v>43475</v>
      </c>
      <c r="AD131" s="51">
        <v>43476</v>
      </c>
      <c r="AE131" s="51">
        <v>43477</v>
      </c>
      <c r="AF131" s="51">
        <v>43478</v>
      </c>
      <c r="AG131" s="51">
        <v>43479</v>
      </c>
      <c r="AH131" s="51">
        <v>43480</v>
      </c>
      <c r="AI131" s="51">
        <v>43481</v>
      </c>
      <c r="AJ131" s="51">
        <v>43482</v>
      </c>
      <c r="AK131" s="51">
        <v>43483</v>
      </c>
      <c r="AL131" s="51">
        <v>43484</v>
      </c>
      <c r="AM131" s="51">
        <v>43485</v>
      </c>
      <c r="AN131" s="51">
        <v>43486</v>
      </c>
      <c r="AO131" s="51">
        <v>43487</v>
      </c>
      <c r="AP131" s="51">
        <v>43488</v>
      </c>
      <c r="AQ131" s="51">
        <v>43489</v>
      </c>
      <c r="AR131" s="51">
        <v>43490</v>
      </c>
      <c r="AS131" s="51">
        <v>43491</v>
      </c>
      <c r="AT131" s="51">
        <v>43492</v>
      </c>
      <c r="AU131" s="51">
        <v>43493</v>
      </c>
      <c r="AV131" s="51">
        <v>43494</v>
      </c>
      <c r="AW131" s="51">
        <v>43495</v>
      </c>
      <c r="AX131" s="51">
        <v>43496</v>
      </c>
    </row>
    <row r="132" spans="2:57" s="54" customFormat="1" ht="59.25" customHeight="1">
      <c r="B132" s="415" t="str">
        <f>B140</f>
        <v>CARIB</v>
      </c>
      <c r="C132" s="283">
        <v>45758</v>
      </c>
      <c r="D132" s="377">
        <f>[32]April_2025!$N$3</f>
        <v>297.90000000000003</v>
      </c>
      <c r="E132" s="378"/>
      <c r="F132" s="379">
        <f>[34]CARIB!$L$40+[34]CARIB!$L$42+[34]CARIB!$L$48</f>
        <v>287.5</v>
      </c>
      <c r="G132" s="303">
        <f>[32]April_2025!$N$7</f>
        <v>288.3</v>
      </c>
      <c r="H132" s="320">
        <f>(D132-F132)/D132*100</f>
        <v>3.4911043974488196</v>
      </c>
      <c r="I132" s="322">
        <f>((F132+E132)-G132)/(F132+E132)*100</f>
        <v>-0.27826086956522134</v>
      </c>
      <c r="J132" s="360" t="s">
        <v>188</v>
      </c>
      <c r="K132" s="416">
        <f>[33]April_2025!$N$18</f>
        <v>1.0115789473684211</v>
      </c>
      <c r="L132" s="281">
        <f>(((D132+E132)-G132)/(D132+E132))*100</f>
        <v>3.2225579053373683</v>
      </c>
      <c r="M132" s="423" t="s">
        <v>174</v>
      </c>
      <c r="N132" s="13"/>
      <c r="O132" s="13"/>
      <c r="P132" s="50"/>
      <c r="S132" s="272" t="s">
        <v>54</v>
      </c>
      <c r="T132" s="279"/>
      <c r="U132" s="279"/>
      <c r="V132" s="279"/>
      <c r="W132" s="279"/>
      <c r="X132" s="279"/>
      <c r="Y132" s="279"/>
      <c r="Z132" s="279"/>
      <c r="AA132" s="279"/>
      <c r="AB132" s="279"/>
      <c r="AC132" s="279"/>
      <c r="AD132" s="279"/>
      <c r="AE132" s="279"/>
      <c r="AF132" s="279"/>
      <c r="AG132" s="279"/>
      <c r="AH132" s="279"/>
      <c r="AI132" s="279"/>
      <c r="AJ132" s="279"/>
      <c r="AK132" s="279"/>
      <c r="AL132" s="279"/>
      <c r="AM132" s="279"/>
      <c r="AN132" s="279"/>
      <c r="AO132" s="279"/>
      <c r="AP132" s="279"/>
      <c r="AQ132" s="279"/>
      <c r="AR132" s="279"/>
      <c r="AS132" s="279"/>
      <c r="AT132" s="279"/>
      <c r="AU132" s="279"/>
      <c r="AV132" s="279"/>
      <c r="AW132" s="279"/>
    </row>
    <row r="133" spans="2:57" s="54" customFormat="1">
      <c r="B133" s="415"/>
      <c r="C133" s="283"/>
      <c r="D133" s="377"/>
      <c r="E133" s="378"/>
      <c r="F133" s="379"/>
      <c r="G133" s="303"/>
      <c r="H133" s="320"/>
      <c r="I133" s="322"/>
      <c r="J133" s="398"/>
      <c r="K133" s="286"/>
      <c r="L133" s="314"/>
      <c r="M133" s="423"/>
      <c r="N133" s="13"/>
      <c r="O133" s="13"/>
      <c r="P133" s="50"/>
      <c r="S133" s="272"/>
      <c r="T133" s="420"/>
      <c r="U133" s="420"/>
      <c r="V133" s="420"/>
      <c r="W133" s="420"/>
      <c r="X133" s="420"/>
      <c r="Y133" s="420"/>
      <c r="Z133" s="420"/>
      <c r="AA133" s="420"/>
      <c r="AB133" s="420"/>
      <c r="AC133" s="420"/>
      <c r="AD133" s="420"/>
      <c r="AE133" s="420"/>
      <c r="AF133" s="420"/>
      <c r="AG133" s="420"/>
      <c r="AH133" s="420"/>
      <c r="AI133" s="420"/>
      <c r="AJ133" s="420"/>
      <c r="AK133" s="420"/>
      <c r="AL133" s="420"/>
      <c r="AM133" s="420"/>
      <c r="AN133" s="420"/>
      <c r="AO133" s="420"/>
      <c r="AP133" s="420"/>
      <c r="AQ133" s="420"/>
      <c r="AR133" s="420"/>
      <c r="AS133" s="420"/>
      <c r="AT133" s="420"/>
      <c r="AU133" s="420"/>
      <c r="AV133" s="420"/>
      <c r="AW133" s="420"/>
    </row>
    <row r="134" spans="2:57" s="54" customFormat="1" ht="59.25" hidden="1" customHeight="1">
      <c r="B134" s="441">
        <f>J121</f>
        <v>0</v>
      </c>
      <c r="C134" s="283">
        <v>45756</v>
      </c>
      <c r="D134" s="377"/>
      <c r="E134" s="378"/>
      <c r="F134" s="379"/>
      <c r="G134" s="303"/>
      <c r="H134" s="320"/>
      <c r="I134" s="322"/>
      <c r="J134" s="360" t="s">
        <v>178</v>
      </c>
      <c r="K134" s="286"/>
      <c r="L134" s="391" t="e">
        <f>(((D134+E134)-G134)/(D134+E134))*100</f>
        <v>#DIV/0!</v>
      </c>
      <c r="M134" s="423" t="s">
        <v>174</v>
      </c>
      <c r="N134" s="13"/>
      <c r="O134" s="13"/>
      <c r="P134" s="50"/>
      <c r="S134" s="272"/>
      <c r="T134" s="420"/>
      <c r="U134" s="420"/>
      <c r="V134" s="420"/>
      <c r="W134" s="420"/>
      <c r="X134" s="420"/>
      <c r="Y134" s="420"/>
      <c r="Z134" s="420"/>
      <c r="AA134" s="420"/>
      <c r="AB134" s="420"/>
      <c r="AC134" s="420"/>
      <c r="AD134" s="420"/>
      <c r="AE134" s="420"/>
      <c r="AF134" s="420"/>
      <c r="AG134" s="420"/>
      <c r="AH134" s="420"/>
      <c r="AI134" s="420"/>
      <c r="AJ134" s="420"/>
      <c r="AK134" s="420"/>
      <c r="AL134" s="420"/>
      <c r="AM134" s="420"/>
      <c r="AN134" s="420"/>
      <c r="AO134" s="420"/>
      <c r="AP134" s="420"/>
      <c r="AQ134" s="420"/>
      <c r="AR134" s="420"/>
      <c r="AS134" s="420"/>
      <c r="AT134" s="420"/>
      <c r="AU134" s="420"/>
      <c r="AV134" s="420"/>
      <c r="AW134" s="420"/>
    </row>
    <row r="135" spans="2:57" s="54" customFormat="1">
      <c r="B135" s="387"/>
      <c r="C135" s="283"/>
      <c r="D135" s="279"/>
      <c r="E135" s="279"/>
      <c r="F135" s="279"/>
      <c r="G135" s="279"/>
      <c r="H135" s="320"/>
      <c r="I135" s="322"/>
      <c r="J135" s="281"/>
      <c r="K135" s="417"/>
      <c r="L135" s="314"/>
      <c r="M135" s="425"/>
      <c r="N135" s="13"/>
      <c r="O135" s="13"/>
      <c r="P135" s="50"/>
      <c r="S135" s="272" t="s">
        <v>51</v>
      </c>
      <c r="T135" s="57" t="e">
        <f>[20]January_2019!D8</f>
        <v>#DIV/0!</v>
      </c>
      <c r="U135" s="57">
        <f>[20]January_2019!E8</f>
        <v>1.0319298245614037</v>
      </c>
      <c r="V135" s="57">
        <f>[20]January_2019!F8</f>
        <v>1.7789473684210526</v>
      </c>
      <c r="W135" s="57">
        <f>[20]January_2019!G8</f>
        <v>0.51929824561403504</v>
      </c>
      <c r="X135" s="57" t="e">
        <f>[20]January_2019!H8</f>
        <v>#DIV/0!</v>
      </c>
      <c r="Y135" s="57" t="e">
        <f>[20]January_2019!I8</f>
        <v>#DIV/0!</v>
      </c>
      <c r="Z135" s="57">
        <f>[20]January_2019!J8</f>
        <v>1.365263157894737</v>
      </c>
      <c r="AA135" s="57" t="e">
        <f>[20]January_2019!K8</f>
        <v>#DIV/0!</v>
      </c>
      <c r="AB135" s="57">
        <f>[20]January_2019!L8</f>
        <v>1.0028070175438597</v>
      </c>
      <c r="AC135" s="57">
        <f>[20]January_2019!M8</f>
        <v>1.7828070175438597</v>
      </c>
      <c r="AD135" s="57" t="e">
        <f>[20]January_2019!N8</f>
        <v>#DIV/0!</v>
      </c>
      <c r="AE135" s="57" t="e">
        <f>[20]January_2019!O8</f>
        <v>#DIV/0!</v>
      </c>
      <c r="AF135" s="57">
        <f>[20]January_2019!P8</f>
        <v>0.19222222222222221</v>
      </c>
      <c r="AG135" s="57">
        <f>[20]January_2019!Q8</f>
        <v>0.52219298245614032</v>
      </c>
      <c r="AH135" s="57">
        <f>[20]January_2019!R8</f>
        <v>0.42912280701754385</v>
      </c>
      <c r="AI135" s="57" t="e">
        <f>[20]January_2019!S8</f>
        <v>#DIV/0!</v>
      </c>
      <c r="AJ135" s="57">
        <f>[20]January_2019!T8</f>
        <v>1.0340350877192983</v>
      </c>
      <c r="AK135" s="57">
        <f>[20]January_2019!U8</f>
        <v>0.98421052631578942</v>
      </c>
      <c r="AL135" s="57" t="e">
        <f>[20]January_2019!V8</f>
        <v>#DIV/0!</v>
      </c>
      <c r="AM135" s="57" t="e">
        <f>[20]January_2019!W8</f>
        <v>#DIV/0!</v>
      </c>
      <c r="AN135" s="57">
        <f>[20]January_2019!X8</f>
        <v>0.66052631578947374</v>
      </c>
      <c r="AO135" s="57">
        <f>[20]January_2019!Y8</f>
        <v>1.0375438596491227</v>
      </c>
      <c r="AP135" s="57">
        <f>[20]January_2019!Z8</f>
        <v>0.90456140350877201</v>
      </c>
      <c r="AQ135" s="57">
        <f>[20]January_2019!AA8</f>
        <v>1.0217543859649123</v>
      </c>
      <c r="AR135" s="57">
        <f>[20]January_2019!AB8</f>
        <v>0.65614035087719302</v>
      </c>
      <c r="AS135" s="57" t="e">
        <f>[20]January_2019!AC8</f>
        <v>#DIV/0!</v>
      </c>
      <c r="AT135" s="57" t="e">
        <f>[20]January_2019!AD8</f>
        <v>#DIV/0!</v>
      </c>
      <c r="AU135" s="57">
        <f>[20]January_2019!AE8</f>
        <v>1.7021052631578948</v>
      </c>
      <c r="AV135" s="57">
        <f>[20]January_2019!AF8</f>
        <v>0.60192982456140354</v>
      </c>
      <c r="AW135" s="57">
        <f>[20]January_2019!AG8</f>
        <v>1.4870175438596491</v>
      </c>
      <c r="AX135" s="277" t="e">
        <f>[20]January_2019!AH8</f>
        <v>#DIV/0!</v>
      </c>
      <c r="AY135" s="277"/>
      <c r="AZ135" s="277"/>
      <c r="BA135" s="277"/>
      <c r="BB135" s="277"/>
      <c r="BC135" s="277"/>
      <c r="BD135" s="277"/>
      <c r="BE135" s="277"/>
    </row>
    <row r="136" spans="2:57" ht="58.5" hidden="1" customHeight="1" thickBot="1">
      <c r="B136" s="426"/>
      <c r="C136" s="427"/>
      <c r="D136" s="428"/>
      <c r="E136" s="428"/>
      <c r="F136" s="428"/>
      <c r="G136" s="428"/>
      <c r="H136" s="429"/>
      <c r="I136" s="430"/>
      <c r="J136" s="390"/>
      <c r="K136" s="431"/>
      <c r="L136" s="432"/>
      <c r="M136" s="424"/>
      <c r="N136" s="13"/>
      <c r="O136" s="13"/>
      <c r="P136" s="56"/>
    </row>
    <row r="137" spans="2:57" ht="18" customHeight="1" thickBot="1">
      <c r="B137" s="59"/>
      <c r="C137" s="30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6"/>
      <c r="P137" s="60"/>
    </row>
    <row r="138" spans="2:57" ht="14.4" thickBot="1">
      <c r="B138" s="460" t="s">
        <v>55</v>
      </c>
      <c r="C138" s="461"/>
      <c r="D138" s="461"/>
      <c r="E138" s="461"/>
      <c r="F138" s="462"/>
      <c r="G138" s="460" t="s">
        <v>56</v>
      </c>
      <c r="H138" s="461"/>
      <c r="I138" s="461"/>
      <c r="J138" s="462"/>
      <c r="K138" s="460" t="s">
        <v>51</v>
      </c>
      <c r="L138" s="461"/>
      <c r="M138" s="461"/>
      <c r="N138" s="463"/>
      <c r="O138" s="56"/>
      <c r="P138" s="50"/>
    </row>
    <row r="139" spans="2:57">
      <c r="B139" s="61" t="s">
        <v>17</v>
      </c>
      <c r="C139" s="62" t="s">
        <v>36</v>
      </c>
      <c r="D139" s="62" t="s">
        <v>37</v>
      </c>
      <c r="E139" s="62" t="s">
        <v>38</v>
      </c>
      <c r="F139" s="63" t="s">
        <v>39</v>
      </c>
      <c r="G139" s="62" t="s">
        <v>36</v>
      </c>
      <c r="H139" s="62" t="s">
        <v>37</v>
      </c>
      <c r="I139" s="62" t="s">
        <v>38</v>
      </c>
      <c r="J139" s="63" t="s">
        <v>39</v>
      </c>
      <c r="K139" s="62"/>
      <c r="L139" s="62" t="s">
        <v>37</v>
      </c>
      <c r="M139" s="62" t="s">
        <v>38</v>
      </c>
      <c r="N139" s="63" t="s">
        <v>39</v>
      </c>
      <c r="O139" s="56"/>
      <c r="P139" s="64"/>
    </row>
    <row r="140" spans="2:57">
      <c r="B140" s="29" t="s">
        <v>6</v>
      </c>
      <c r="C140" s="65">
        <f>L132</f>
        <v>3.2225579053373683</v>
      </c>
      <c r="D140" s="76">
        <v>7.2276572591009041</v>
      </c>
      <c r="E140" s="76">
        <v>7.0452742065897507</v>
      </c>
      <c r="F140" s="66">
        <v>4.8</v>
      </c>
      <c r="G140" s="65">
        <f>[32]April_2025!$N$11</f>
        <v>4.4692882382798906</v>
      </c>
      <c r="H140" s="76">
        <v>6.8938627127220053</v>
      </c>
      <c r="I140" s="76">
        <v>7.6145021346569601</v>
      </c>
      <c r="J140" s="66">
        <v>4.8</v>
      </c>
      <c r="K140" s="67">
        <f>K132</f>
        <v>1.0115789473684211</v>
      </c>
      <c r="L140" s="194">
        <v>0.71157894736842109</v>
      </c>
      <c r="M140" s="194">
        <v>0.76939686999896295</v>
      </c>
      <c r="N140" s="68">
        <v>1</v>
      </c>
      <c r="O140" s="56"/>
      <c r="P140" s="69"/>
    </row>
    <row r="141" spans="2:57">
      <c r="B141" s="33" t="s">
        <v>9</v>
      </c>
      <c r="C141" s="65"/>
      <c r="D141" s="76">
        <v>3.0399999999999916</v>
      </c>
      <c r="E141" s="76">
        <v>6.1450503324783652</v>
      </c>
      <c r="F141" s="66">
        <v>4.8</v>
      </c>
      <c r="G141" s="65"/>
      <c r="H141" s="76">
        <v>3.3848422062629528</v>
      </c>
      <c r="I141" s="76">
        <v>7.1307630784690605</v>
      </c>
      <c r="J141" s="66">
        <v>4.8</v>
      </c>
      <c r="K141" s="67"/>
      <c r="L141" s="194">
        <v>1.0315789473684212</v>
      </c>
      <c r="M141" s="194">
        <v>0.74532724485267055</v>
      </c>
      <c r="N141" s="68">
        <v>1</v>
      </c>
      <c r="P141" s="69"/>
    </row>
    <row r="142" spans="2:57">
      <c r="B142" s="34" t="s">
        <v>40</v>
      </c>
      <c r="C142" s="65"/>
      <c r="D142" s="76">
        <v>10.826844642195047</v>
      </c>
      <c r="E142" s="76">
        <v>13.125604223990466</v>
      </c>
      <c r="F142" s="66">
        <v>5.5</v>
      </c>
      <c r="G142" s="65"/>
      <c r="H142" s="76">
        <v>10.823247958374074</v>
      </c>
      <c r="I142" s="76">
        <v>13.879185403587476</v>
      </c>
      <c r="J142" s="66">
        <v>5.5</v>
      </c>
      <c r="K142" s="67"/>
      <c r="L142" s="194">
        <v>0.42192982456140349</v>
      </c>
      <c r="M142" s="194">
        <v>0.5124236387782205</v>
      </c>
      <c r="N142" s="68">
        <v>1</v>
      </c>
      <c r="P142" s="69"/>
    </row>
    <row r="143" spans="2:57">
      <c r="B143" s="22" t="s">
        <v>33</v>
      </c>
      <c r="C143" s="65"/>
      <c r="D143" s="76"/>
      <c r="E143" s="76">
        <v>3.9190537266638161</v>
      </c>
      <c r="F143" s="66">
        <v>3.3</v>
      </c>
      <c r="G143" s="65"/>
      <c r="H143" s="76"/>
      <c r="I143" s="76">
        <v>6.209437755460022</v>
      </c>
      <c r="J143" s="66">
        <v>3.3</v>
      </c>
      <c r="K143" s="67"/>
      <c r="L143" s="194"/>
      <c r="M143" s="194">
        <v>0.75184210526315787</v>
      </c>
      <c r="N143" s="68">
        <v>1</v>
      </c>
      <c r="P143" s="69"/>
    </row>
    <row r="144" spans="2:57">
      <c r="B144" s="35" t="s">
        <v>29</v>
      </c>
      <c r="C144" s="65"/>
      <c r="D144" s="76"/>
      <c r="E144" s="76"/>
      <c r="F144" s="66">
        <v>3.3</v>
      </c>
      <c r="G144" s="282"/>
      <c r="H144" s="76"/>
      <c r="I144" s="76"/>
      <c r="J144" s="66">
        <v>3</v>
      </c>
      <c r="L144" s="194"/>
      <c r="M144" s="194"/>
      <c r="N144" s="68">
        <v>1</v>
      </c>
      <c r="P144" s="69"/>
    </row>
    <row r="145" spans="2:16">
      <c r="B145" s="36" t="s">
        <v>15</v>
      </c>
      <c r="C145" s="282"/>
      <c r="D145" s="76"/>
      <c r="E145" s="76">
        <v>8.7664670658682695</v>
      </c>
      <c r="F145" s="70">
        <f>[21]May_2022!$M$43</f>
        <v>3.4878406700073312</v>
      </c>
      <c r="G145" s="282"/>
      <c r="H145" s="76"/>
      <c r="I145" s="76">
        <v>10.607235567685406</v>
      </c>
      <c r="J145" s="66">
        <v>5.5</v>
      </c>
      <c r="K145" s="67"/>
      <c r="L145" s="194"/>
      <c r="M145" s="194">
        <v>0.66824561403508764</v>
      </c>
      <c r="N145" s="68">
        <v>1</v>
      </c>
      <c r="P145" s="69"/>
    </row>
    <row r="146" spans="2:16">
      <c r="B146" s="37" t="s">
        <v>16</v>
      </c>
      <c r="C146" s="65"/>
      <c r="D146" s="76">
        <v>0.38967364831952411</v>
      </c>
      <c r="E146" s="76">
        <v>1.85607294041028</v>
      </c>
      <c r="F146" s="66">
        <v>3.3</v>
      </c>
      <c r="G146" s="282"/>
      <c r="H146" s="76">
        <v>3.9053322254376623</v>
      </c>
      <c r="I146" s="76">
        <v>4.5764571827076486</v>
      </c>
      <c r="J146" s="66">
        <v>3.3</v>
      </c>
      <c r="K146" s="67"/>
      <c r="L146" s="194">
        <v>0.71754385964912282</v>
      </c>
      <c r="M146" s="194">
        <v>0.83594855305466242</v>
      </c>
      <c r="N146" s="71">
        <v>1</v>
      </c>
      <c r="P146" s="69"/>
    </row>
    <row r="147" spans="2:16" ht="14.4" thickBot="1">
      <c r="B147" s="38" t="s">
        <v>127</v>
      </c>
      <c r="C147" s="65"/>
      <c r="D147" s="76"/>
      <c r="E147" s="76"/>
      <c r="F147" s="66">
        <v>7.5</v>
      </c>
      <c r="G147" s="282"/>
      <c r="H147" s="76"/>
      <c r="I147" s="76"/>
      <c r="J147" s="66">
        <v>7.5</v>
      </c>
      <c r="K147" s="67"/>
      <c r="L147" s="194"/>
      <c r="M147" s="194"/>
      <c r="N147" s="71">
        <v>1</v>
      </c>
      <c r="P147" s="69"/>
    </row>
    <row r="148" spans="2:16" ht="14.4" thickBot="1">
      <c r="B148" s="418" t="s">
        <v>162</v>
      </c>
      <c r="C148" s="65"/>
      <c r="D148" s="76"/>
      <c r="E148" s="76">
        <v>4.8792508624938291</v>
      </c>
      <c r="F148" s="66">
        <v>4.8</v>
      </c>
      <c r="G148" s="282"/>
      <c r="H148" s="76"/>
      <c r="I148" s="76">
        <v>6.2003723782925313</v>
      </c>
      <c r="J148" s="66">
        <v>4.8</v>
      </c>
      <c r="K148" s="67"/>
      <c r="L148" s="194"/>
      <c r="M148" s="194">
        <v>0.33859649122807017</v>
      </c>
      <c r="N148" s="71">
        <v>1</v>
      </c>
      <c r="O148" s="74"/>
      <c r="P148" s="75"/>
    </row>
    <row r="149" spans="2:16">
      <c r="D149" s="76">
        <v>5.996784514323684</v>
      </c>
      <c r="E149" s="76">
        <v>6.8925293764473778</v>
      </c>
      <c r="F149" s="341">
        <v>5.5</v>
      </c>
      <c r="H149" s="76">
        <v>6.2575274023104654</v>
      </c>
      <c r="I149" s="76">
        <v>7.9608035226273275</v>
      </c>
      <c r="J149" s="341">
        <v>5.5</v>
      </c>
      <c r="K149" s="67"/>
      <c r="L149" s="194">
        <v>0.74397129186602884</v>
      </c>
      <c r="M149" s="194">
        <v>0.73436063864450951</v>
      </c>
      <c r="N149" s="386">
        <v>1</v>
      </c>
    </row>
    <row r="153" spans="2:16">
      <c r="F153" s="315"/>
    </row>
    <row r="161" spans="29:29">
      <c r="AC161" s="275" t="s">
        <v>57</v>
      </c>
    </row>
  </sheetData>
  <mergeCells count="52">
    <mergeCell ref="M130:M131"/>
    <mergeCell ref="B138:F138"/>
    <mergeCell ref="G138:J138"/>
    <mergeCell ref="K138:N138"/>
    <mergeCell ref="G130:G131"/>
    <mergeCell ref="H130:H131"/>
    <mergeCell ref="I130:I131"/>
    <mergeCell ref="J130:J131"/>
    <mergeCell ref="K130:K131"/>
    <mergeCell ref="L130:L131"/>
    <mergeCell ref="F130:F131"/>
    <mergeCell ref="D125:E125"/>
    <mergeCell ref="B130:B131"/>
    <mergeCell ref="C130:C131"/>
    <mergeCell ref="D130:D131"/>
    <mergeCell ref="E130:E131"/>
    <mergeCell ref="I101:N101"/>
    <mergeCell ref="D102:E102"/>
    <mergeCell ref="B103:B114"/>
    <mergeCell ref="D103:E104"/>
    <mergeCell ref="D105:E106"/>
    <mergeCell ref="D107:E108"/>
    <mergeCell ref="D109:E110"/>
    <mergeCell ref="D111:E112"/>
    <mergeCell ref="D113:E114"/>
    <mergeCell ref="B115:B124"/>
    <mergeCell ref="D115:E116"/>
    <mergeCell ref="J115:K115"/>
    <mergeCell ref="L116:N116"/>
    <mergeCell ref="D117:E118"/>
    <mergeCell ref="D119:E120"/>
    <mergeCell ref="D121:E122"/>
    <mergeCell ref="D123:E124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M8:M9"/>
    <mergeCell ref="P8:P9"/>
    <mergeCell ref="H8:H9"/>
    <mergeCell ref="U1:V1"/>
    <mergeCell ref="W1:X1"/>
    <mergeCell ref="Y1:Z1"/>
    <mergeCell ref="B2:O2"/>
    <mergeCell ref="C5:D5"/>
    <mergeCell ref="M4:N4"/>
    <mergeCell ref="S1:T1"/>
  </mergeCells>
  <conditionalFormatting sqref="B125:B126">
    <cfRule type="cellIs" dxfId="1787" priority="147" operator="notBetween">
      <formula>#REF!</formula>
      <formula>#REF!</formula>
    </cfRule>
  </conditionalFormatting>
  <conditionalFormatting sqref="C129">
    <cfRule type="cellIs" dxfId="1786" priority="179" stopIfTrue="1" operator="greaterThan">
      <formula>100</formula>
    </cfRule>
    <cfRule type="cellIs" dxfId="1785" priority="178" stopIfTrue="1" operator="lessThan">
      <formula>96</formula>
    </cfRule>
  </conditionalFormatting>
  <conditionalFormatting sqref="C140">
    <cfRule type="cellIs" dxfId="1784" priority="106" stopIfTrue="1" operator="greaterThan">
      <formula>$F140</formula>
    </cfRule>
  </conditionalFormatting>
  <conditionalFormatting sqref="C140:C141">
    <cfRule type="cellIs" dxfId="1783" priority="107" stopIfTrue="1" operator="lessThanOrEqual">
      <formula>0</formula>
    </cfRule>
  </conditionalFormatting>
  <conditionalFormatting sqref="C141">
    <cfRule type="cellIs" dxfId="1782" priority="182" stopIfTrue="1" operator="greaterThan">
      <formula>$F140</formula>
    </cfRule>
  </conditionalFormatting>
  <conditionalFormatting sqref="C142:C144">
    <cfRule type="cellIs" dxfId="1781" priority="127" stopIfTrue="1" operator="greaterThan">
      <formula>$F142</formula>
    </cfRule>
  </conditionalFormatting>
  <conditionalFormatting sqref="C142:C145">
    <cfRule type="cellIs" dxfId="1780" priority="131" stopIfTrue="1" operator="lessThanOrEqual">
      <formula>0</formula>
    </cfRule>
  </conditionalFormatting>
  <conditionalFormatting sqref="C145">
    <cfRule type="cellIs" dxfId="1779" priority="130" stopIfTrue="1" operator="greaterThan">
      <formula>$J145</formula>
    </cfRule>
  </conditionalFormatting>
  <conditionalFormatting sqref="C151:C155">
    <cfRule type="cellIs" dxfId="1778" priority="170" stopIfTrue="1" operator="lessThanOrEqual">
      <formula>0</formula>
    </cfRule>
  </conditionalFormatting>
  <conditionalFormatting sqref="C152:C155">
    <cfRule type="cellIs" dxfId="1777" priority="169" stopIfTrue="1" operator="greaterThan">
      <formula>$F$151</formula>
    </cfRule>
  </conditionalFormatting>
  <conditionalFormatting sqref="C157">
    <cfRule type="cellIs" dxfId="1776" priority="172" stopIfTrue="1" operator="lessThanOrEqual">
      <formula>0</formula>
    </cfRule>
    <cfRule type="cellIs" dxfId="1775" priority="171" stopIfTrue="1" operator="greaterThan">
      <formula>$F$151</formula>
    </cfRule>
  </conditionalFormatting>
  <conditionalFormatting sqref="C151:D151 D153:D159">
    <cfRule type="cellIs" dxfId="1774" priority="164" stopIfTrue="1" operator="greaterThan">
      <formula>4.5</formula>
    </cfRule>
  </conditionalFormatting>
  <conditionalFormatting sqref="D125:D126">
    <cfRule type="cellIs" dxfId="1773" priority="148" operator="notBetween">
      <formula>#REF!</formula>
      <formula>#REF!</formula>
    </cfRule>
  </conditionalFormatting>
  <conditionalFormatting sqref="D140:D147">
    <cfRule type="cellIs" dxfId="1772" priority="141" stopIfTrue="1" operator="lessThanOrEqual">
      <formula>0</formula>
    </cfRule>
  </conditionalFormatting>
  <conditionalFormatting sqref="D148">
    <cfRule type="cellIs" dxfId="1771" priority="140" stopIfTrue="1" operator="lessThanOrEqual">
      <formula>0</formula>
    </cfRule>
  </conditionalFormatting>
  <conditionalFormatting sqref="D151 D153:D159">
    <cfRule type="cellIs" dxfId="1770" priority="165" stopIfTrue="1" operator="lessThanOrEqual">
      <formula>0</formula>
    </cfRule>
  </conditionalFormatting>
  <conditionalFormatting sqref="D152">
    <cfRule type="cellIs" dxfId="1769" priority="157" stopIfTrue="1" operator="lessThanOrEqual">
      <formula>0</formula>
    </cfRule>
    <cfRule type="cellIs" dxfId="1768" priority="156" stopIfTrue="1" operator="greaterThan">
      <formula>$F$151</formula>
    </cfRule>
  </conditionalFormatting>
  <conditionalFormatting sqref="D140:E149">
    <cfRule type="cellIs" dxfId="1767" priority="103" stopIfTrue="1" operator="greaterThan">
      <formula>$F140</formula>
    </cfRule>
  </conditionalFormatting>
  <conditionalFormatting sqref="D149:E149">
    <cfRule type="cellIs" dxfId="1766" priority="104" stopIfTrue="1" operator="lessThanOrEqual">
      <formula>0</formula>
    </cfRule>
  </conditionalFormatting>
  <conditionalFormatting sqref="E10:E100">
    <cfRule type="cellIs" dxfId="1765" priority="34" operator="lessThan">
      <formula>48</formula>
    </cfRule>
  </conditionalFormatting>
  <conditionalFormatting sqref="E129">
    <cfRule type="cellIs" dxfId="1764" priority="159" stopIfTrue="1" operator="greaterThan">
      <formula>100</formula>
    </cfRule>
    <cfRule type="cellIs" dxfId="1763" priority="158" stopIfTrue="1" operator="lessThan">
      <formula>96.8</formula>
    </cfRule>
  </conditionalFormatting>
  <conditionalFormatting sqref="E140:E148">
    <cfRule type="cellIs" dxfId="1762" priority="135" stopIfTrue="1" operator="lessThanOrEqual">
      <formula>0</formula>
    </cfRule>
  </conditionalFormatting>
  <conditionalFormatting sqref="E151:E159">
    <cfRule type="cellIs" dxfId="1761" priority="151" stopIfTrue="1" operator="lessThanOrEqual">
      <formula>0</formula>
    </cfRule>
    <cfRule type="cellIs" dxfId="1760" priority="150" stopIfTrue="1" operator="greaterThan">
      <formula>4.5</formula>
    </cfRule>
  </conditionalFormatting>
  <conditionalFormatting sqref="E128:F129">
    <cfRule type="cellIs" dxfId="1759" priority="161" stopIfTrue="1" operator="greaterThan">
      <formula>100</formula>
    </cfRule>
    <cfRule type="cellIs" dxfId="1758" priority="160" stopIfTrue="1" operator="lessThan">
      <formula>96.5</formula>
    </cfRule>
  </conditionalFormatting>
  <conditionalFormatting sqref="F10:F100">
    <cfRule type="cellIs" dxfId="1757" priority="36" operator="greaterThan">
      <formula>60</formula>
    </cfRule>
  </conditionalFormatting>
  <conditionalFormatting sqref="F129">
    <cfRule type="cellIs" dxfId="1756" priority="177" stopIfTrue="1" operator="greaterThan">
      <formula>100</formula>
    </cfRule>
    <cfRule type="cellIs" dxfId="1755" priority="176" stopIfTrue="1" operator="lessThan">
      <formula>96.8</formula>
    </cfRule>
  </conditionalFormatting>
  <conditionalFormatting sqref="F149">
    <cfRule type="cellIs" dxfId="1754" priority="137" stopIfTrue="1" operator="lessThanOrEqual">
      <formula>0</formula>
    </cfRule>
    <cfRule type="cellIs" dxfId="1753" priority="136" stopIfTrue="1" operator="greaterThan">
      <formula>$F149</formula>
    </cfRule>
  </conditionalFormatting>
  <conditionalFormatting sqref="G140:G141 C146:C148">
    <cfRule type="cellIs" dxfId="1752" priority="142" stopIfTrue="1" operator="greaterThan">
      <formula>$F140</formula>
    </cfRule>
    <cfRule type="cellIs" dxfId="1751" priority="143" stopIfTrue="1" operator="lessThanOrEqual">
      <formula>0</formula>
    </cfRule>
  </conditionalFormatting>
  <conditionalFormatting sqref="G140:G141">
    <cfRule type="cellIs" dxfId="1750" priority="109" stopIfTrue="1" operator="lessThanOrEqual">
      <formula>0</formula>
    </cfRule>
    <cfRule type="cellIs" dxfId="1749" priority="108" stopIfTrue="1" operator="greaterThan">
      <formula>$F140</formula>
    </cfRule>
  </conditionalFormatting>
  <conditionalFormatting sqref="G142">
    <cfRule type="cellIs" dxfId="1748" priority="180" stopIfTrue="1" operator="greaterThan">
      <formula>$F141</formula>
    </cfRule>
    <cfRule type="cellIs" dxfId="1747" priority="181" stopIfTrue="1" operator="lessThanOrEqual">
      <formula>0</formula>
    </cfRule>
  </conditionalFormatting>
  <conditionalFormatting sqref="G143">
    <cfRule type="cellIs" dxfId="1746" priority="138" stopIfTrue="1" operator="greaterThan">
      <formula>$F143</formula>
    </cfRule>
    <cfRule type="cellIs" dxfId="1745" priority="139" stopIfTrue="1" operator="lessThanOrEqual">
      <formula>0</formula>
    </cfRule>
  </conditionalFormatting>
  <conditionalFormatting sqref="G144:G148">
    <cfRule type="cellIs" dxfId="1744" priority="145" stopIfTrue="1" operator="lessThanOrEqual">
      <formula>0</formula>
    </cfRule>
    <cfRule type="cellIs" dxfId="1743" priority="144" stopIfTrue="1" operator="greaterThan">
      <formula>$J144</formula>
    </cfRule>
  </conditionalFormatting>
  <conditionalFormatting sqref="G153:G158 C156 C158">
    <cfRule type="cellIs" dxfId="1742" priority="174" stopIfTrue="1" operator="lessThanOrEqual">
      <formula>0</formula>
    </cfRule>
    <cfRule type="cellIs" dxfId="1741" priority="173" stopIfTrue="1" operator="greaterThan">
      <formula>4.5</formula>
    </cfRule>
  </conditionalFormatting>
  <conditionalFormatting sqref="G10:H100">
    <cfRule type="expression" dxfId="1740" priority="27">
      <formula>IF(+(IF(G10&lt;#REF!,0,IF(G10&gt;#REF!,0,1)))=0,1)</formula>
    </cfRule>
  </conditionalFormatting>
  <conditionalFormatting sqref="G152:H152">
    <cfRule type="cellIs" dxfId="1739" priority="155" stopIfTrue="1" operator="lessThanOrEqual">
      <formula>0</formula>
    </cfRule>
    <cfRule type="cellIs" dxfId="1738" priority="154" stopIfTrue="1" operator="greaterThan">
      <formula>$F$151</formula>
    </cfRule>
  </conditionalFormatting>
  <conditionalFormatting sqref="H114:H115 G115:G126">
    <cfRule type="cellIs" dxfId="1737" priority="152" stopIfTrue="1" operator="greaterThan">
      <formula>0</formula>
    </cfRule>
  </conditionalFormatting>
  <conditionalFormatting sqref="H132">
    <cfRule type="cellIs" dxfId="1736" priority="11" stopIfTrue="1" operator="greaterThan">
      <formula>$F$38</formula>
    </cfRule>
    <cfRule type="cellIs" dxfId="1735" priority="12" stopIfTrue="1" operator="lessThanOrEqual">
      <formula>0</formula>
    </cfRule>
    <cfRule type="cellIs" dxfId="1734" priority="13" stopIfTrue="1" operator="greaterThan">
      <formula>$F$36</formula>
    </cfRule>
    <cfRule type="cellIs" dxfId="1733" priority="14" stopIfTrue="1" operator="lessThanOrEqual">
      <formula>0</formula>
    </cfRule>
    <cfRule type="cellIs" dxfId="1732" priority="2" stopIfTrue="1" operator="lessThanOrEqual">
      <formula>0</formula>
    </cfRule>
    <cfRule type="cellIs" dxfId="1731" priority="3" stopIfTrue="1" operator="greaterThan">
      <formula>$F$35</formula>
    </cfRule>
  </conditionalFormatting>
  <conditionalFormatting sqref="H133">
    <cfRule type="cellIs" dxfId="1730" priority="86" stopIfTrue="1" operator="lessThanOrEqual">
      <formula>0</formula>
    </cfRule>
    <cfRule type="cellIs" dxfId="1729" priority="77" stopIfTrue="1" operator="greaterThan">
      <formula>$F$113</formula>
    </cfRule>
    <cfRule type="cellIs" dxfId="1728" priority="85" stopIfTrue="1" operator="greaterThan">
      <formula>$F$116</formula>
    </cfRule>
    <cfRule type="cellIs" dxfId="1727" priority="87" stopIfTrue="1" operator="greaterThan">
      <formula>$F$114</formula>
    </cfRule>
    <cfRule type="cellIs" dxfId="1726" priority="88" stopIfTrue="1" operator="lessThanOrEqual">
      <formula>0</formula>
    </cfRule>
  </conditionalFormatting>
  <conditionalFormatting sqref="H133:H134">
    <cfRule type="cellIs" dxfId="1725" priority="62" stopIfTrue="1" operator="lessThanOrEqual">
      <formula>0</formula>
    </cfRule>
  </conditionalFormatting>
  <conditionalFormatting sqref="H134">
    <cfRule type="cellIs" dxfId="1724" priority="59" stopIfTrue="1" operator="greaterThan">
      <formula>$F$116</formula>
    </cfRule>
    <cfRule type="cellIs" dxfId="1723" priority="60" stopIfTrue="1" operator="lessThanOrEqual">
      <formula>0</formula>
    </cfRule>
    <cfRule type="cellIs" dxfId="1722" priority="61" stopIfTrue="1" operator="greaterThan">
      <formula>$F$114</formula>
    </cfRule>
    <cfRule type="cellIs" dxfId="1721" priority="50" stopIfTrue="1" operator="lessThanOrEqual">
      <formula>0</formula>
    </cfRule>
    <cfRule type="cellIs" dxfId="1720" priority="51" stopIfTrue="1" operator="greaterThan">
      <formula>$F$113</formula>
    </cfRule>
  </conditionalFormatting>
  <conditionalFormatting sqref="H135">
    <cfRule type="cellIs" dxfId="1719" priority="124" stopIfTrue="1" operator="lessThanOrEqual">
      <formula>0</formula>
    </cfRule>
    <cfRule type="cellIs" dxfId="1718" priority="126" stopIfTrue="1" operator="lessThanOrEqual">
      <formula>0</formula>
    </cfRule>
    <cfRule type="cellIs" dxfId="1717" priority="125" stopIfTrue="1" operator="greaterThan">
      <formula>$F$140</formula>
    </cfRule>
    <cfRule type="cellIs" dxfId="1716" priority="123" stopIfTrue="1" operator="greaterThan">
      <formula>$F$142</formula>
    </cfRule>
    <cfRule type="cellIs" dxfId="1715" priority="115" stopIfTrue="1" operator="greaterThan">
      <formula>$F$139</formula>
    </cfRule>
    <cfRule type="cellIs" dxfId="1714" priority="114" stopIfTrue="1" operator="lessThanOrEqual">
      <formula>0</formula>
    </cfRule>
  </conditionalFormatting>
  <conditionalFormatting sqref="H136">
    <cfRule type="cellIs" dxfId="1713" priority="75" stopIfTrue="1" operator="greaterThan">
      <formula>$F$114</formula>
    </cfRule>
    <cfRule type="cellIs" dxfId="1712" priority="76" stopIfTrue="1" operator="lessThanOrEqual">
      <formula>0</formula>
    </cfRule>
    <cfRule type="cellIs" dxfId="1711" priority="65" stopIfTrue="1" operator="greaterThan">
      <formula>$F$113</formula>
    </cfRule>
    <cfRule type="cellIs" dxfId="1710" priority="64" stopIfTrue="1" operator="lessThanOrEqual">
      <formula>0</formula>
    </cfRule>
    <cfRule type="cellIs" dxfId="1709" priority="74" stopIfTrue="1" operator="lessThanOrEqual">
      <formula>0</formula>
    </cfRule>
    <cfRule type="cellIs" dxfId="1708" priority="73" stopIfTrue="1" operator="greaterThan">
      <formula>$F$116</formula>
    </cfRule>
  </conditionalFormatting>
  <conditionalFormatting sqref="H140:H147">
    <cfRule type="cellIs" dxfId="1707" priority="128" stopIfTrue="1" operator="greaterThan">
      <formula>$J140</formula>
    </cfRule>
    <cfRule type="cellIs" dxfId="1706" priority="129" stopIfTrue="1" operator="lessThanOrEqual">
      <formula>0</formula>
    </cfRule>
  </conditionalFormatting>
  <conditionalFormatting sqref="H148">
    <cfRule type="cellIs" dxfId="1705" priority="132" operator="greaterThan">
      <formula>5.3</formula>
    </cfRule>
  </conditionalFormatting>
  <conditionalFormatting sqref="H151 H153:H159">
    <cfRule type="cellIs" dxfId="1704" priority="167" stopIfTrue="1" operator="lessThanOrEqual">
      <formula>0</formula>
    </cfRule>
    <cfRule type="cellIs" dxfId="1703" priority="166" stopIfTrue="1" operator="greaterThan">
      <formula>4.5</formula>
    </cfRule>
  </conditionalFormatting>
  <conditionalFormatting sqref="H132:I132">
    <cfRule type="cellIs" dxfId="1702" priority="1" stopIfTrue="1" operator="greaterThan">
      <formula>$F$37</formula>
    </cfRule>
    <cfRule type="cellIs" dxfId="1701" priority="4" stopIfTrue="1" operator="lessThanOrEqual">
      <formula>0</formula>
    </cfRule>
  </conditionalFormatting>
  <conditionalFormatting sqref="H133:I133">
    <cfRule type="cellIs" dxfId="1700" priority="78" stopIfTrue="1" operator="lessThanOrEqual">
      <formula>0</formula>
    </cfRule>
  </conditionalFormatting>
  <conditionalFormatting sqref="H133:I134">
    <cfRule type="cellIs" dxfId="1699" priority="49" stopIfTrue="1" operator="greaterThan">
      <formula>$F$115</formula>
    </cfRule>
  </conditionalFormatting>
  <conditionalFormatting sqref="H134:I134">
    <cfRule type="cellIs" dxfId="1698" priority="52" stopIfTrue="1" operator="lessThanOrEqual">
      <formula>0</formula>
    </cfRule>
  </conditionalFormatting>
  <conditionalFormatting sqref="H135:I135">
    <cfRule type="cellIs" dxfId="1697" priority="113" stopIfTrue="1" operator="greaterThan">
      <formula>$F$141</formula>
    </cfRule>
    <cfRule type="cellIs" dxfId="1696" priority="116" stopIfTrue="1" operator="lessThanOrEqual">
      <formula>0</formula>
    </cfRule>
  </conditionalFormatting>
  <conditionalFormatting sqref="H136:I136">
    <cfRule type="cellIs" dxfId="1695" priority="66" stopIfTrue="1" operator="lessThanOrEqual">
      <formula>0</formula>
    </cfRule>
    <cfRule type="cellIs" dxfId="1694" priority="63" stopIfTrue="1" operator="greaterThan">
      <formula>$F$115</formula>
    </cfRule>
  </conditionalFormatting>
  <conditionalFormatting sqref="H149:I149">
    <cfRule type="cellIs" dxfId="1693" priority="102" stopIfTrue="1" operator="lessThanOrEqual">
      <formula>0</formula>
    </cfRule>
    <cfRule type="cellIs" dxfId="1692" priority="101" stopIfTrue="1" operator="greaterThan">
      <formula>$J149</formula>
    </cfRule>
  </conditionalFormatting>
  <conditionalFormatting sqref="I132">
    <cfRule type="cellIs" dxfId="1691" priority="10" stopIfTrue="1" operator="lessThanOrEqual">
      <formula>0</formula>
    </cfRule>
    <cfRule type="cellIs" dxfId="1690" priority="9" stopIfTrue="1" operator="greaterThan">
      <formula>$F$35</formula>
    </cfRule>
    <cfRule type="cellIs" dxfId="1689" priority="8" stopIfTrue="1" operator="lessThanOrEqual">
      <formula>0</formula>
    </cfRule>
    <cfRule type="cellIs" dxfId="1688" priority="6" stopIfTrue="1" operator="lessThanOrEqual">
      <formula>0</formula>
    </cfRule>
    <cfRule type="cellIs" dxfId="1687" priority="5" stopIfTrue="1" operator="greaterThan">
      <formula>$F$35</formula>
    </cfRule>
    <cfRule type="cellIs" dxfId="1686" priority="7" stopIfTrue="1" operator="greaterThan">
      <formula>$F$37</formula>
    </cfRule>
  </conditionalFormatting>
  <conditionalFormatting sqref="I133">
    <cfRule type="cellIs" dxfId="1685" priority="79" stopIfTrue="1" operator="greaterThan">
      <formula>$F$113</formula>
    </cfRule>
    <cfRule type="cellIs" dxfId="1684" priority="81" stopIfTrue="1" operator="greaterThan">
      <formula>$F$115</formula>
    </cfRule>
    <cfRule type="cellIs" dxfId="1683" priority="82" stopIfTrue="1" operator="lessThanOrEqual">
      <formula>0</formula>
    </cfRule>
    <cfRule type="cellIs" dxfId="1682" priority="80" stopIfTrue="1" operator="lessThanOrEqual">
      <formula>0</formula>
    </cfRule>
    <cfRule type="cellIs" dxfId="1681" priority="84" stopIfTrue="1" operator="lessThanOrEqual">
      <formula>0</formula>
    </cfRule>
    <cfRule type="cellIs" dxfId="1680" priority="83" stopIfTrue="1" operator="greaterThan">
      <formula>$F$113</formula>
    </cfRule>
  </conditionalFormatting>
  <conditionalFormatting sqref="I134">
    <cfRule type="cellIs" dxfId="1679" priority="53" stopIfTrue="1" operator="greaterThan">
      <formula>$F$113</formula>
    </cfRule>
    <cfRule type="cellIs" dxfId="1678" priority="54" stopIfTrue="1" operator="lessThanOrEqual">
      <formula>0</formula>
    </cfRule>
    <cfRule type="cellIs" dxfId="1677" priority="55" stopIfTrue="1" operator="greaterThan">
      <formula>$F$115</formula>
    </cfRule>
    <cfRule type="cellIs" dxfId="1676" priority="56" stopIfTrue="1" operator="lessThanOrEqual">
      <formula>0</formula>
    </cfRule>
    <cfRule type="cellIs" dxfId="1675" priority="58" stopIfTrue="1" operator="lessThanOrEqual">
      <formula>0</formula>
    </cfRule>
    <cfRule type="cellIs" dxfId="1674" priority="57" stopIfTrue="1" operator="greaterThan">
      <formula>$F$113</formula>
    </cfRule>
  </conditionalFormatting>
  <conditionalFormatting sqref="I135">
    <cfRule type="cellIs" dxfId="1673" priority="118" stopIfTrue="1" operator="lessThanOrEqual">
      <formula>0</formula>
    </cfRule>
    <cfRule type="cellIs" dxfId="1672" priority="117" stopIfTrue="1" operator="greaterThan">
      <formula>$F$139</formula>
    </cfRule>
    <cfRule type="cellIs" dxfId="1671" priority="120" stopIfTrue="1" operator="lessThanOrEqual">
      <formula>0</formula>
    </cfRule>
    <cfRule type="cellIs" dxfId="1670" priority="119" stopIfTrue="1" operator="greaterThan">
      <formula>$F$141</formula>
    </cfRule>
    <cfRule type="cellIs" dxfId="1669" priority="121" stopIfTrue="1" operator="greaterThan">
      <formula>$F$139</formula>
    </cfRule>
    <cfRule type="cellIs" dxfId="1668" priority="122" stopIfTrue="1" operator="lessThanOrEqual">
      <formula>0</formula>
    </cfRule>
  </conditionalFormatting>
  <conditionalFormatting sqref="I136">
    <cfRule type="cellIs" dxfId="1667" priority="72" stopIfTrue="1" operator="lessThanOrEqual">
      <formula>0</formula>
    </cfRule>
    <cfRule type="cellIs" dxfId="1666" priority="69" stopIfTrue="1" operator="greaterThan">
      <formula>$F$115</formula>
    </cfRule>
    <cfRule type="cellIs" dxfId="1665" priority="71" stopIfTrue="1" operator="greaterThan">
      <formula>$F$113</formula>
    </cfRule>
    <cfRule type="cellIs" dxfId="1664" priority="70" stopIfTrue="1" operator="lessThanOrEqual">
      <formula>0</formula>
    </cfRule>
    <cfRule type="cellIs" dxfId="1663" priority="68" stopIfTrue="1" operator="lessThanOrEqual">
      <formula>0</formula>
    </cfRule>
    <cfRule type="cellIs" dxfId="1662" priority="67" stopIfTrue="1" operator="greaterThan">
      <formula>$F$113</formula>
    </cfRule>
  </conditionalFormatting>
  <conditionalFormatting sqref="I140:I148">
    <cfRule type="cellIs" dxfId="1661" priority="133" stopIfTrue="1" operator="greaterThan">
      <formula>$J140</formula>
    </cfRule>
    <cfRule type="cellIs" dxfId="1660" priority="134" stopIfTrue="1" operator="lessThanOrEqual">
      <formula>0</formula>
    </cfRule>
  </conditionalFormatting>
  <conditionalFormatting sqref="I151:I159">
    <cfRule type="cellIs" dxfId="1659" priority="163" stopIfTrue="1" operator="lessThanOrEqual">
      <formula>0</formula>
    </cfRule>
    <cfRule type="cellIs" dxfId="1658" priority="162" stopIfTrue="1" operator="greaterThan">
      <formula>4.5</formula>
    </cfRule>
  </conditionalFormatting>
  <conditionalFormatting sqref="I96:J100">
    <cfRule type="cellIs" dxfId="1657" priority="48" operator="lessThan">
      <formula>97.9</formula>
    </cfRule>
  </conditionalFormatting>
  <conditionalFormatting sqref="I10:K95">
    <cfRule type="cellIs" dxfId="1656" priority="26" operator="lessThan">
      <formula>97.9</formula>
    </cfRule>
  </conditionalFormatting>
  <conditionalFormatting sqref="I117:K126">
    <cfRule type="cellIs" dxfId="1655" priority="89" operator="notEqual">
      <formula>#REF!</formula>
    </cfRule>
  </conditionalFormatting>
  <conditionalFormatting sqref="J103:J105">
    <cfRule type="cellIs" dxfId="1654" priority="93" operator="lessThan">
      <formula>98</formula>
    </cfRule>
    <cfRule type="cellIs" dxfId="1653" priority="91" stopIfTrue="1" operator="lessThan">
      <formula>96.8</formula>
    </cfRule>
    <cfRule type="cellIs" dxfId="1652" priority="92" stopIfTrue="1" operator="greaterThan">
      <formula>100</formula>
    </cfRule>
  </conditionalFormatting>
  <conditionalFormatting sqref="J103:J107">
    <cfRule type="cellIs" dxfId="1651" priority="90" operator="lessThan">
      <formula>97.4</formula>
    </cfRule>
  </conditionalFormatting>
  <conditionalFormatting sqref="J108">
    <cfRule type="cellIs" dxfId="1650" priority="94" operator="lessThan">
      <formula>98</formula>
    </cfRule>
  </conditionalFormatting>
  <conditionalFormatting sqref="J109:J111">
    <cfRule type="cellIs" dxfId="1649" priority="95" stopIfTrue="1" operator="lessThan">
      <formula>96.8</formula>
    </cfRule>
    <cfRule type="cellIs" dxfId="1648" priority="96" stopIfTrue="1" operator="greaterThan">
      <formula>100</formula>
    </cfRule>
  </conditionalFormatting>
  <conditionalFormatting sqref="J109:J112">
    <cfRule type="cellIs" dxfId="1647" priority="97" operator="lessThan">
      <formula>98</formula>
    </cfRule>
  </conditionalFormatting>
  <conditionalFormatting sqref="J149">
    <cfRule type="cellIs" dxfId="1646" priority="98" stopIfTrue="1" operator="greaterThan">
      <formula>$F149</formula>
    </cfRule>
    <cfRule type="cellIs" dxfId="1645" priority="99" stopIfTrue="1" operator="lessThanOrEqual">
      <formula>0</formula>
    </cfRule>
  </conditionalFormatting>
  <conditionalFormatting sqref="K96:K100">
    <cfRule type="cellIs" dxfId="1644" priority="41" operator="greaterThan">
      <formula>6</formula>
    </cfRule>
    <cfRule type="cellIs" dxfId="1643" priority="42" operator="lessThan">
      <formula>4</formula>
    </cfRule>
    <cfRule type="cellIs" dxfId="1642" priority="46" operator="greaterThan">
      <formula>6.4</formula>
    </cfRule>
  </conditionalFormatting>
  <conditionalFormatting sqref="K132:K136 K140:N143 L144:N144">
    <cfRule type="cellIs" dxfId="1641" priority="146" stopIfTrue="1" operator="lessThan">
      <formula>100%</formula>
    </cfRule>
  </conditionalFormatting>
  <conditionalFormatting sqref="K151:K156">
    <cfRule type="cellIs" dxfId="1640" priority="168" stopIfTrue="1" operator="lessThan">
      <formula>100%</formula>
    </cfRule>
  </conditionalFormatting>
  <conditionalFormatting sqref="K158:K159">
    <cfRule type="cellIs" dxfId="1639" priority="175" stopIfTrue="1" operator="lessThan">
      <formula>100%</formula>
    </cfRule>
  </conditionalFormatting>
  <conditionalFormatting sqref="K145:N149">
    <cfRule type="cellIs" dxfId="1638" priority="100" stopIfTrue="1" operator="lessThan">
      <formula>100%</formula>
    </cfRule>
  </conditionalFormatting>
  <conditionalFormatting sqref="L10:L95">
    <cfRule type="cellIs" dxfId="1637" priority="30" operator="greaterThan">
      <formula>6</formula>
    </cfRule>
    <cfRule type="cellIs" dxfId="1636" priority="31" operator="lessThan">
      <formula>4</formula>
    </cfRule>
    <cfRule type="cellIs" dxfId="1635" priority="35" operator="greaterThan">
      <formula>6.4</formula>
    </cfRule>
  </conditionalFormatting>
  <conditionalFormatting sqref="L96:L100">
    <cfRule type="cellIs" dxfId="1634" priority="43" operator="between">
      <formula>61</formula>
      <formula>65</formula>
    </cfRule>
    <cfRule type="cellIs" dxfId="1633" priority="44" operator="greaterThan">
      <formula>65</formula>
    </cfRule>
  </conditionalFormatting>
  <conditionalFormatting sqref="L103:M114">
    <cfRule type="cellIs" dxfId="1632" priority="105" operator="lessThan">
      <formula>98</formula>
    </cfRule>
  </conditionalFormatting>
  <conditionalFormatting sqref="L118:N118">
    <cfRule type="cellIs" dxfId="1631" priority="110" operator="notEqual">
      <formula>#REF!</formula>
    </cfRule>
  </conditionalFormatting>
  <conditionalFormatting sqref="L151:N159">
    <cfRule type="cellIs" dxfId="1630" priority="153" stopIfTrue="1" operator="lessThan">
      <formula>100%</formula>
    </cfRule>
  </conditionalFormatting>
  <conditionalFormatting sqref="M10:M95">
    <cfRule type="cellIs" dxfId="1629" priority="33" operator="greaterThan">
      <formula>65</formula>
    </cfRule>
    <cfRule type="cellIs" dxfId="1628" priority="32" operator="between">
      <formula>61</formula>
      <formula>65</formula>
    </cfRule>
  </conditionalFormatting>
  <conditionalFormatting sqref="M6:N6">
    <cfRule type="cellIs" dxfId="1627" priority="111" operator="greaterThanOrEqual">
      <formula>15</formula>
    </cfRule>
    <cfRule type="cellIs" dxfId="1626" priority="112" operator="greaterThanOrEqual">
      <formula>19</formula>
    </cfRule>
  </conditionalFormatting>
  <conditionalFormatting sqref="M96:N100">
    <cfRule type="expression" dxfId="1625" priority="39">
      <formula>IF(+(IF(M96&lt;U96,0,IF(M96&gt;V96,0,1)))=0,1)</formula>
    </cfRule>
  </conditionalFormatting>
  <conditionalFormatting sqref="N10:N95">
    <cfRule type="expression" dxfId="1624" priority="28">
      <formula>IF(+(IF(N10&lt;V10,0,IF(N10&gt;W10,0,1)))=0,1)</formula>
    </cfRule>
  </conditionalFormatting>
  <conditionalFormatting sqref="O10:O100">
    <cfRule type="expression" dxfId="1623" priority="29">
      <formula>IF(+(IF(O10&lt;X10,0,IF(O10&gt;Y10,0,1)))=0,1)</formula>
    </cfRule>
  </conditionalFormatting>
  <conditionalFormatting sqref="P6">
    <cfRule type="cellIs" dxfId="1622" priority="149" operator="greaterThanOrEqual">
      <formula>19</formula>
    </cfRule>
  </conditionalFormatting>
  <dataValidations disablePrompts="1" count="1">
    <dataValidation type="list" allowBlank="1" showInputMessage="1" showErrorMessage="1" sqref="R8" xr:uid="{E91F498F-47A5-4C08-BA9E-652B418129F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53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4D61-9806-4F4E-8BC2-C85CEEAC4DF9}">
  <sheetPr>
    <pageSetUpPr fitToPage="1"/>
  </sheetPr>
  <dimension ref="A1:BE161"/>
  <sheetViews>
    <sheetView topLeftCell="A13" zoomScale="60" zoomScaleNormal="60" workbookViewId="0">
      <selection activeCell="J134" sqref="J134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109375" style="275" customWidth="1"/>
    <col min="9" max="9" width="26.109375" style="275" customWidth="1"/>
    <col min="10" max="10" width="31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26.66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45762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189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  <c r="AA8" s="19"/>
    </row>
    <row r="9" spans="2:29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  <c r="AA9" s="19"/>
    </row>
    <row r="10" spans="2:29" ht="15.75" customHeight="1">
      <c r="B10" s="22" t="s">
        <v>33</v>
      </c>
      <c r="C10" s="366" t="str">
        <f>[25]Brewhouse!A26</f>
        <v>VM019</v>
      </c>
      <c r="D10" s="279">
        <f>[25]Brewhouse!AE26</f>
        <v>53.7</v>
      </c>
      <c r="E10" s="279">
        <f>[25]Brewhouse!AJ26</f>
        <v>48.2</v>
      </c>
      <c r="F10" s="278">
        <f>[25]Brewhouse!X26</f>
        <v>78</v>
      </c>
      <c r="G10" s="279">
        <f>[25]Brewhouse!AH26</f>
        <v>14.3</v>
      </c>
      <c r="H10" s="279">
        <v>14.3</v>
      </c>
      <c r="I10" s="368">
        <f>[25]Brewhouse!AV26</f>
        <v>97.882610792421659</v>
      </c>
      <c r="J10" s="368">
        <f>[25]Brewhouse!AW26</f>
        <v>98.210403024717408</v>
      </c>
      <c r="K10" s="281">
        <f>[25]Brewhouse!S26</f>
        <v>7.3743016759776676</v>
      </c>
      <c r="L10" s="276">
        <f>[25]Brewhouse!R26</f>
        <v>73</v>
      </c>
      <c r="M10" s="374">
        <f>[25]Brewhouse!$W26-[25]Brewhouse!$V26</f>
        <v>0.14444444444444446</v>
      </c>
      <c r="N10" s="370">
        <f>[25]Brewhouse!AB26</f>
        <v>0.28888888888888892</v>
      </c>
      <c r="O10" s="371" t="str">
        <f>[25]Brewhouse!$AZ26</f>
        <v>R.Sookram</v>
      </c>
      <c r="P10" s="443"/>
      <c r="R10" s="277" t="str">
        <f>B10</f>
        <v>VITAMALT</v>
      </c>
      <c r="S10" s="296">
        <f t="shared" ref="S10:T102" si="0">VLOOKUP($B10,$R$3:$X$9,2,FALSE)</f>
        <v>14.4</v>
      </c>
      <c r="T10" s="296">
        <f t="shared" ref="T10:U102" si="1">VLOOKUP($B10,$R$3:$X$9,3,FALSE)</f>
        <v>14.6</v>
      </c>
      <c r="U10" s="297">
        <f t="shared" ref="U10:V102" si="2">VLOOKUP($B10,$R$3:$X$9,4,FALSE)</f>
        <v>0</v>
      </c>
      <c r="V10" s="297">
        <f t="shared" ref="V10:W102" si="3">VLOOKUP($B10,$R$3:$X$9,5,FALSE)</f>
        <v>0.13905092592592591</v>
      </c>
      <c r="W10" s="297">
        <f t="shared" ref="W10:X102" si="4">VLOOKUP($B10,$R$3:$X$9,6,FALSE)</f>
        <v>0.26041666666666669</v>
      </c>
      <c r="X10" s="297">
        <f t="shared" ref="X10:Y102" si="5">VLOOKUP($B10,$R$3:$X$9,7,FALSE)</f>
        <v>0.2951388888888889</v>
      </c>
      <c r="Y10" s="297">
        <f t="shared" ref="Y10:Z102" si="6">VLOOKUP($B10,$R$3:$Z$9,8,FALSE)</f>
        <v>0</v>
      </c>
      <c r="Z10" s="296">
        <f t="shared" ref="Z10:AA102" si="7">VLOOKUP($B10,$R$3:$Z$9,9,FALSE)</f>
        <v>75</v>
      </c>
    </row>
    <row r="11" spans="2:29" ht="15.75" customHeight="1">
      <c r="B11" s="22" t="s">
        <v>33</v>
      </c>
      <c r="C11" s="366" t="str">
        <f>[25]Brewhouse!A27</f>
        <v>VM020</v>
      </c>
      <c r="D11" s="279">
        <f>[25]Brewhouse!AE27</f>
        <v>52.4</v>
      </c>
      <c r="E11" s="279">
        <f>[25]Brewhouse!AJ27</f>
        <v>49.8</v>
      </c>
      <c r="F11" s="278">
        <f>[25]Brewhouse!X27</f>
        <v>88</v>
      </c>
      <c r="G11" s="279">
        <f>[25]Brewhouse!AH27</f>
        <v>14.5</v>
      </c>
      <c r="H11" s="279">
        <v>14.6</v>
      </c>
      <c r="I11" s="368">
        <f>[25]Brewhouse!AV27</f>
        <v>102.56353376807962</v>
      </c>
      <c r="J11" s="368">
        <f>[25]Brewhouse!AW27</f>
        <v>102.90845819547192</v>
      </c>
      <c r="K11" s="281">
        <f>[25]Brewhouse!S27</f>
        <v>6.4122137404580002</v>
      </c>
      <c r="L11" s="276">
        <f>[25]Brewhouse!R27</f>
        <v>78</v>
      </c>
      <c r="M11" s="374">
        <f>[25]Brewhouse!$W27-[25]Brewhouse!$V27</f>
        <v>0.16666666666666669</v>
      </c>
      <c r="N11" s="370">
        <f>[25]Brewhouse!AB27</f>
        <v>0.32847222222222228</v>
      </c>
      <c r="O11" s="371" t="str">
        <f>[25]Brewhouse!$AZ27</f>
        <v>K. Benjamin</v>
      </c>
      <c r="P11" s="443"/>
      <c r="R11" s="277" t="str">
        <f>B11</f>
        <v>VITAMALT</v>
      </c>
      <c r="S11" s="296">
        <f t="shared" si="0"/>
        <v>14.4</v>
      </c>
      <c r="T11" s="296">
        <f t="shared" si="1"/>
        <v>14.6</v>
      </c>
      <c r="U11" s="297">
        <f t="shared" si="2"/>
        <v>0</v>
      </c>
      <c r="V11" s="297">
        <f t="shared" si="3"/>
        <v>0.13905092592592591</v>
      </c>
      <c r="W11" s="297">
        <f t="shared" si="4"/>
        <v>0.26041666666666669</v>
      </c>
      <c r="X11" s="297">
        <f t="shared" si="5"/>
        <v>0.2951388888888889</v>
      </c>
      <c r="Y11" s="297">
        <f t="shared" si="6"/>
        <v>0</v>
      </c>
      <c r="Z11" s="296">
        <f t="shared" si="7"/>
        <v>75</v>
      </c>
    </row>
    <row r="12" spans="2:29" ht="15.75" customHeight="1">
      <c r="B12" s="22" t="s">
        <v>33</v>
      </c>
      <c r="C12" s="366" t="str">
        <f>[25]Brewhouse!A28</f>
        <v>VM021</v>
      </c>
      <c r="D12" s="279">
        <f>[25]Brewhouse!AE28</f>
        <v>52.9</v>
      </c>
      <c r="E12" s="279">
        <f>[25]Brewhouse!AJ28</f>
        <v>49.4</v>
      </c>
      <c r="F12" s="278">
        <f>[25]Brewhouse!X28</f>
        <v>88</v>
      </c>
      <c r="G12" s="279">
        <f>[25]Brewhouse!AH28</f>
        <v>14.4</v>
      </c>
      <c r="H12" s="279">
        <v>14.3</v>
      </c>
      <c r="I12" s="368">
        <f>[25]Brewhouse!AV28</f>
        <v>101.00969960355251</v>
      </c>
      <c r="J12" s="368">
        <f>[25]Brewhouse!AW28</f>
        <v>101.34939843721016</v>
      </c>
      <c r="K12" s="281">
        <f>[25]Brewhouse!S28</f>
        <v>5.9735349716446198</v>
      </c>
      <c r="L12" s="276">
        <f>[25]Brewhouse!R28</f>
        <v>61</v>
      </c>
      <c r="M12" s="374">
        <f>[25]Brewhouse!$W28-[25]Brewhouse!$V28</f>
        <v>0.16597222222222224</v>
      </c>
      <c r="N12" s="370">
        <f>[25]Brewhouse!AB28</f>
        <v>0.34930555555555559</v>
      </c>
      <c r="O12" s="371" t="str">
        <f>[25]Brewhouse!$AZ28</f>
        <v>K. Benjamin</v>
      </c>
      <c r="P12" s="443"/>
      <c r="R12" s="277" t="str">
        <f>B12</f>
        <v>VITAMALT</v>
      </c>
      <c r="S12" s="296">
        <f t="shared" si="0"/>
        <v>14.4</v>
      </c>
      <c r="T12" s="296">
        <f t="shared" si="1"/>
        <v>14.6</v>
      </c>
      <c r="U12" s="297">
        <f t="shared" si="2"/>
        <v>0</v>
      </c>
      <c r="V12" s="297">
        <f t="shared" si="3"/>
        <v>0.13905092592592591</v>
      </c>
      <c r="W12" s="297">
        <f t="shared" si="4"/>
        <v>0.26041666666666669</v>
      </c>
      <c r="X12" s="297">
        <f t="shared" si="5"/>
        <v>0.2951388888888889</v>
      </c>
      <c r="Y12" s="297">
        <f t="shared" si="6"/>
        <v>0</v>
      </c>
      <c r="Z12" s="296">
        <f t="shared" si="7"/>
        <v>75</v>
      </c>
    </row>
    <row r="13" spans="2:29" ht="15.75" customHeight="1">
      <c r="B13" s="22" t="s">
        <v>33</v>
      </c>
      <c r="C13" s="366" t="str">
        <f>[25]Brewhouse!A29</f>
        <v>VM022</v>
      </c>
      <c r="D13" s="279">
        <f>[25]Brewhouse!AE29</f>
        <v>52.7</v>
      </c>
      <c r="E13" s="279">
        <f>[25]Brewhouse!AJ29</f>
        <v>48.7</v>
      </c>
      <c r="F13" s="278">
        <f>[25]Brewhouse!X29</f>
        <v>88</v>
      </c>
      <c r="G13" s="279">
        <f>[25]Brewhouse!AH29</f>
        <v>14.3</v>
      </c>
      <c r="H13" s="279">
        <v>14.3</v>
      </c>
      <c r="I13" s="368">
        <f>[25]Brewhouse!AV29</f>
        <v>98.793275944001337</v>
      </c>
      <c r="J13" s="368">
        <f>[25]Brewhouse!AW29</f>
        <v>99.125520874370537</v>
      </c>
      <c r="K13" s="281">
        <f>[25]Brewhouse!S29</f>
        <v>4.2884250474383396</v>
      </c>
      <c r="L13" s="276">
        <f>[25]Brewhouse!R29</f>
        <v>63</v>
      </c>
      <c r="M13" s="374">
        <f>[25]Brewhouse!$W29-[25]Brewhouse!$V29</f>
        <v>0.15069444444444446</v>
      </c>
      <c r="N13" s="370">
        <f>[25]Brewhouse!AB29</f>
        <v>0.33541666666666664</v>
      </c>
      <c r="O13" s="371" t="str">
        <f>[25]Brewhouse!$AZ29</f>
        <v>R.Regis</v>
      </c>
      <c r="P13" s="443"/>
      <c r="R13" s="277" t="str">
        <f t="shared" ref="R13:R76" si="8">B13</f>
        <v>VITAMALT</v>
      </c>
      <c r="S13" s="296">
        <f t="shared" si="0"/>
        <v>14.4</v>
      </c>
      <c r="T13" s="296">
        <f t="shared" si="1"/>
        <v>14.6</v>
      </c>
      <c r="U13" s="297">
        <f t="shared" si="2"/>
        <v>0</v>
      </c>
      <c r="V13" s="297">
        <f t="shared" si="3"/>
        <v>0.13905092592592591</v>
      </c>
      <c r="W13" s="297">
        <f t="shared" si="4"/>
        <v>0.26041666666666669</v>
      </c>
      <c r="X13" s="297">
        <f t="shared" si="5"/>
        <v>0.2951388888888889</v>
      </c>
      <c r="Y13" s="297">
        <f t="shared" si="6"/>
        <v>0</v>
      </c>
      <c r="Z13" s="296">
        <f t="shared" si="7"/>
        <v>75</v>
      </c>
    </row>
    <row r="14" spans="2:29" ht="15.75" customHeight="1">
      <c r="B14" s="22" t="s">
        <v>33</v>
      </c>
      <c r="C14" s="366" t="str">
        <f>[25]Brewhouse!A30</f>
        <v>VM023</v>
      </c>
      <c r="D14" s="279">
        <f>[25]Brewhouse!AE30</f>
        <v>53.3</v>
      </c>
      <c r="E14" s="279">
        <f>[25]Brewhouse!AJ30</f>
        <v>48.4</v>
      </c>
      <c r="F14" s="278">
        <f>[25]Brewhouse!X30</f>
        <v>87</v>
      </c>
      <c r="G14" s="279">
        <f>[25]Brewhouse!AH30</f>
        <v>14.4</v>
      </c>
      <c r="H14" s="279">
        <v>14.4</v>
      </c>
      <c r="I14" s="368">
        <f>[25]Brewhouse!AV30</f>
        <v>99.174984669941196</v>
      </c>
      <c r="J14" s="368">
        <f>[25]Brewhouse!AW30</f>
        <v>99.505693437710235</v>
      </c>
      <c r="K14" s="281">
        <f>[25]Brewhouse!S30</f>
        <v>5.5534709193245666</v>
      </c>
      <c r="L14" s="276">
        <f>[25]Brewhouse!R30</f>
        <v>60</v>
      </c>
      <c r="M14" s="374">
        <f>[25]Brewhouse!$W30-[25]Brewhouse!$V30</f>
        <v>0.14583333333333337</v>
      </c>
      <c r="N14" s="370">
        <f>[25]Brewhouse!AB30</f>
        <v>0.33333333333333337</v>
      </c>
      <c r="O14" s="371" t="str">
        <f>[25]Brewhouse!$AZ30</f>
        <v>R.Regis</v>
      </c>
      <c r="P14" s="443"/>
      <c r="R14" s="277" t="str">
        <f t="shared" si="8"/>
        <v>VITAMALT</v>
      </c>
      <c r="S14" s="296">
        <f t="shared" si="0"/>
        <v>14.4</v>
      </c>
      <c r="T14" s="296">
        <f t="shared" si="1"/>
        <v>14.6</v>
      </c>
      <c r="U14" s="297">
        <f t="shared" si="2"/>
        <v>0</v>
      </c>
      <c r="V14" s="297">
        <f t="shared" si="3"/>
        <v>0.13905092592592591</v>
      </c>
      <c r="W14" s="297">
        <f t="shared" si="4"/>
        <v>0.26041666666666669</v>
      </c>
      <c r="X14" s="297">
        <f t="shared" si="5"/>
        <v>0.2951388888888889</v>
      </c>
      <c r="Y14" s="297">
        <f t="shared" si="6"/>
        <v>0</v>
      </c>
      <c r="Z14" s="296">
        <f t="shared" si="7"/>
        <v>75</v>
      </c>
    </row>
    <row r="15" spans="2:29" ht="15.75" customHeight="1">
      <c r="B15" s="22" t="s">
        <v>33</v>
      </c>
      <c r="C15" s="366" t="str">
        <f>[25]Brewhouse!A31</f>
        <v>VM024</v>
      </c>
      <c r="D15" s="279">
        <f>[25]Brewhouse!AE31</f>
        <v>53.3</v>
      </c>
      <c r="E15" s="279">
        <f>[25]Brewhouse!AJ31</f>
        <v>49.5</v>
      </c>
      <c r="F15" s="278">
        <f>[25]Brewhouse!X31</f>
        <v>88</v>
      </c>
      <c r="G15" s="279">
        <f>[25]Brewhouse!AH31</f>
        <v>14.2</v>
      </c>
      <c r="H15" s="279">
        <v>14.2</v>
      </c>
      <c r="I15" s="368">
        <f>[25]Brewhouse!AV31</f>
        <v>99.790314392337137</v>
      </c>
      <c r="J15" s="368">
        <f>[25]Brewhouse!AW31</f>
        <v>100.12449519985083</v>
      </c>
      <c r="K15" s="281">
        <f>[25]Brewhouse!S31</f>
        <v>4.4277673545966216</v>
      </c>
      <c r="L15" s="276">
        <f>[25]Brewhouse!R31</f>
        <v>60</v>
      </c>
      <c r="M15" s="374">
        <f>[25]Brewhouse!$W31-[25]Brewhouse!$V31</f>
        <v>0.13888888888888884</v>
      </c>
      <c r="N15" s="370">
        <f>[25]Brewhouse!AB31</f>
        <v>0.26944444444444438</v>
      </c>
      <c r="O15" s="371" t="str">
        <f>[25]Brewhouse!$AZ31</f>
        <v>R.Regis</v>
      </c>
      <c r="P15" s="443"/>
      <c r="R15" s="277" t="str">
        <f t="shared" si="8"/>
        <v>VITAMALT</v>
      </c>
      <c r="S15" s="296">
        <f t="shared" si="0"/>
        <v>14.4</v>
      </c>
      <c r="T15" s="296">
        <f t="shared" si="1"/>
        <v>14.6</v>
      </c>
      <c r="U15" s="297">
        <f t="shared" si="2"/>
        <v>0</v>
      </c>
      <c r="V15" s="297">
        <f t="shared" si="3"/>
        <v>0.13905092592592591</v>
      </c>
      <c r="W15" s="297">
        <f t="shared" si="4"/>
        <v>0.26041666666666669</v>
      </c>
      <c r="X15" s="297">
        <f t="shared" si="5"/>
        <v>0.2951388888888889</v>
      </c>
      <c r="Y15" s="297">
        <f t="shared" si="6"/>
        <v>0</v>
      </c>
      <c r="Z15" s="296">
        <f t="shared" si="7"/>
        <v>75</v>
      </c>
    </row>
    <row r="16" spans="2:29" ht="15.75" customHeight="1">
      <c r="B16" s="22" t="s">
        <v>33</v>
      </c>
      <c r="C16" s="366" t="str">
        <f>[25]Brewhouse!A32</f>
        <v>VM025</v>
      </c>
      <c r="D16" s="279">
        <f>[25]Brewhouse!AE32</f>
        <v>52.8</v>
      </c>
      <c r="E16" s="279">
        <f>[25]Brewhouse!AJ32</f>
        <v>48.6</v>
      </c>
      <c r="F16" s="278">
        <f>[25]Brewhouse!X32</f>
        <v>85</v>
      </c>
      <c r="G16" s="279">
        <f>[25]Brewhouse!AH32</f>
        <v>14.2</v>
      </c>
      <c r="H16" s="279">
        <v>14.2</v>
      </c>
      <c r="I16" s="368">
        <f>[25]Brewhouse!AV32</f>
        <v>98.079903538511672</v>
      </c>
      <c r="J16" s="368">
        <f>[25]Brewhouse!AW32</f>
        <v>98.406960650242766</v>
      </c>
      <c r="K16" s="281">
        <f>[25]Brewhouse!S32</f>
        <v>4.2803030303030134</v>
      </c>
      <c r="L16" s="276">
        <f>[25]Brewhouse!R32</f>
        <v>57</v>
      </c>
      <c r="M16" s="374">
        <f>[25]Brewhouse!$W32-[25]Brewhouse!$V32</f>
        <v>0.12916666666666665</v>
      </c>
      <c r="N16" s="370">
        <f>[25]Brewhouse!AB32</f>
        <v>0.26944444444444449</v>
      </c>
      <c r="O16" s="371" t="str">
        <f>[25]Brewhouse!$AZ32</f>
        <v>D. Gomez</v>
      </c>
      <c r="P16" s="443"/>
      <c r="R16" s="277" t="str">
        <f t="shared" si="8"/>
        <v>VITAMALT</v>
      </c>
      <c r="S16" s="296">
        <f t="shared" si="0"/>
        <v>14.4</v>
      </c>
      <c r="T16" s="296">
        <f t="shared" si="1"/>
        <v>14.6</v>
      </c>
      <c r="U16" s="297">
        <f t="shared" si="2"/>
        <v>0</v>
      </c>
      <c r="V16" s="297">
        <f t="shared" si="3"/>
        <v>0.13905092592592591</v>
      </c>
      <c r="W16" s="297">
        <f t="shared" si="4"/>
        <v>0.26041666666666669</v>
      </c>
      <c r="X16" s="297">
        <f t="shared" si="5"/>
        <v>0.2951388888888889</v>
      </c>
      <c r="Y16" s="297">
        <f t="shared" si="6"/>
        <v>0</v>
      </c>
      <c r="Z16" s="296">
        <f t="shared" si="7"/>
        <v>75</v>
      </c>
    </row>
    <row r="17" spans="2:26" ht="15.75" customHeight="1">
      <c r="B17" s="22" t="s">
        <v>33</v>
      </c>
      <c r="C17" s="366" t="str">
        <f>[25]Brewhouse!A33</f>
        <v>VM026</v>
      </c>
      <c r="D17" s="279">
        <f>[25]Brewhouse!AE33</f>
        <v>53.2</v>
      </c>
      <c r="E17" s="279">
        <f>[25]Brewhouse!AJ33</f>
        <v>49.4</v>
      </c>
      <c r="F17" s="278">
        <f>[25]Brewhouse!X33</f>
        <v>89</v>
      </c>
      <c r="G17" s="279">
        <f>[25]Brewhouse!AH33</f>
        <v>14.2</v>
      </c>
      <c r="H17" s="279">
        <v>14.2</v>
      </c>
      <c r="I17" s="368">
        <f>[25]Brewhouse!AV33</f>
        <v>99.588717797605156</v>
      </c>
      <c r="J17" s="368">
        <f>[25]Brewhouse!AW33</f>
        <v>99.922223492376389</v>
      </c>
      <c r="K17" s="281">
        <f>[25]Brewhouse!S33</f>
        <v>3.8721804511278233</v>
      </c>
      <c r="L17" s="276">
        <f>[25]Brewhouse!R33</f>
        <v>61</v>
      </c>
      <c r="M17" s="374">
        <f>[25]Brewhouse!$W33-[25]Brewhouse!$V33</f>
        <v>0.13472222222222219</v>
      </c>
      <c r="N17" s="370">
        <f>[25]Brewhouse!AB33</f>
        <v>0.26458333333333328</v>
      </c>
      <c r="O17" s="371" t="str">
        <f>[25]Brewhouse!$AZ33</f>
        <v>D. Gomez</v>
      </c>
      <c r="P17" s="443"/>
      <c r="R17" s="277" t="str">
        <f t="shared" si="8"/>
        <v>VITAMALT</v>
      </c>
      <c r="S17" s="296">
        <f t="shared" si="0"/>
        <v>14.4</v>
      </c>
      <c r="T17" s="296">
        <f t="shared" si="1"/>
        <v>14.6</v>
      </c>
      <c r="U17" s="297">
        <f t="shared" si="2"/>
        <v>0</v>
      </c>
      <c r="V17" s="297">
        <f t="shared" si="3"/>
        <v>0.13905092592592591</v>
      </c>
      <c r="W17" s="297">
        <f t="shared" si="4"/>
        <v>0.26041666666666669</v>
      </c>
      <c r="X17" s="297">
        <f t="shared" si="5"/>
        <v>0.2951388888888889</v>
      </c>
      <c r="Y17" s="297">
        <f t="shared" si="6"/>
        <v>0</v>
      </c>
      <c r="Z17" s="296">
        <f t="shared" si="7"/>
        <v>75</v>
      </c>
    </row>
    <row r="18" spans="2:26" ht="15.75" customHeight="1">
      <c r="B18" s="22"/>
      <c r="C18" s="366"/>
      <c r="D18" s="279"/>
      <c r="E18" s="279"/>
      <c r="F18" s="278"/>
      <c r="G18" s="279"/>
      <c r="H18" s="279"/>
      <c r="I18" s="368"/>
      <c r="J18" s="368"/>
      <c r="K18" s="281"/>
      <c r="L18" s="276"/>
      <c r="M18" s="374"/>
      <c r="N18" s="370"/>
      <c r="O18" s="371"/>
      <c r="P18" s="443"/>
      <c r="R18" s="277">
        <f t="shared" si="8"/>
        <v>0</v>
      </c>
      <c r="S18" s="296" t="e">
        <f t="shared" si="0"/>
        <v>#N/A</v>
      </c>
      <c r="T18" s="296" t="e">
        <f t="shared" si="1"/>
        <v>#N/A</v>
      </c>
      <c r="U18" s="297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6" t="e">
        <f t="shared" si="7"/>
        <v>#N/A</v>
      </c>
    </row>
    <row r="19" spans="2:26" ht="15.75" hidden="1" customHeight="1">
      <c r="B19" s="22"/>
      <c r="C19" s="366"/>
      <c r="D19" s="279"/>
      <c r="E19" s="279"/>
      <c r="F19" s="278"/>
      <c r="G19" s="279"/>
      <c r="H19" s="279"/>
      <c r="I19" s="368"/>
      <c r="J19" s="368"/>
      <c r="K19" s="281"/>
      <c r="L19" s="276"/>
      <c r="M19" s="374"/>
      <c r="N19" s="370"/>
      <c r="O19" s="371"/>
      <c r="P19" s="443"/>
      <c r="R19" s="277">
        <f t="shared" si="8"/>
        <v>0</v>
      </c>
      <c r="S19" s="296" t="e">
        <f t="shared" si="0"/>
        <v>#N/A</v>
      </c>
      <c r="T19" s="296" t="e">
        <f t="shared" si="1"/>
        <v>#N/A</v>
      </c>
      <c r="U19" s="297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6" t="e">
        <f t="shared" si="7"/>
        <v>#N/A</v>
      </c>
    </row>
    <row r="20" spans="2:26" ht="15.75" hidden="1" customHeight="1">
      <c r="B20" s="22"/>
      <c r="C20" s="366"/>
      <c r="D20" s="279"/>
      <c r="E20" s="279"/>
      <c r="F20" s="278"/>
      <c r="G20" s="279"/>
      <c r="H20" s="279"/>
      <c r="I20" s="368"/>
      <c r="J20" s="368"/>
      <c r="K20" s="281"/>
      <c r="L20" s="276"/>
      <c r="M20" s="374"/>
      <c r="N20" s="370"/>
      <c r="O20" s="371"/>
      <c r="P20" s="443"/>
      <c r="R20" s="277">
        <f t="shared" si="8"/>
        <v>0</v>
      </c>
      <c r="S20" s="296" t="e">
        <f t="shared" si="0"/>
        <v>#N/A</v>
      </c>
      <c r="T20" s="296" t="e">
        <f t="shared" si="1"/>
        <v>#N/A</v>
      </c>
      <c r="U20" s="297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6" t="e">
        <f t="shared" si="7"/>
        <v>#N/A</v>
      </c>
    </row>
    <row r="21" spans="2:26" ht="15.75" hidden="1" customHeight="1">
      <c r="B21" s="22"/>
      <c r="C21" s="366"/>
      <c r="D21" s="279"/>
      <c r="E21" s="279"/>
      <c r="F21" s="278"/>
      <c r="G21" s="279"/>
      <c r="H21" s="279"/>
      <c r="I21" s="368"/>
      <c r="J21" s="368"/>
      <c r="K21" s="281"/>
      <c r="L21" s="276"/>
      <c r="M21" s="374"/>
      <c r="N21" s="370"/>
      <c r="O21" s="371"/>
      <c r="P21" s="443"/>
      <c r="R21" s="277">
        <f t="shared" si="8"/>
        <v>0</v>
      </c>
      <c r="S21" s="296" t="e">
        <f t="shared" si="0"/>
        <v>#N/A</v>
      </c>
      <c r="T21" s="296" t="e">
        <f t="shared" si="1"/>
        <v>#N/A</v>
      </c>
      <c r="U21" s="297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6" t="e">
        <f t="shared" si="7"/>
        <v>#N/A</v>
      </c>
    </row>
    <row r="22" spans="2:26" ht="15.75" hidden="1" customHeight="1">
      <c r="B22" s="22"/>
      <c r="C22" s="366"/>
      <c r="D22" s="279"/>
      <c r="E22" s="279"/>
      <c r="F22" s="278"/>
      <c r="G22" s="279"/>
      <c r="H22" s="279"/>
      <c r="I22" s="368"/>
      <c r="J22" s="368"/>
      <c r="K22" s="281"/>
      <c r="L22" s="276"/>
      <c r="M22" s="374"/>
      <c r="N22" s="370"/>
      <c r="O22" s="371"/>
      <c r="P22" s="443"/>
      <c r="R22" s="277">
        <f t="shared" si="8"/>
        <v>0</v>
      </c>
      <c r="S22" s="296" t="e">
        <f t="shared" si="0"/>
        <v>#N/A</v>
      </c>
      <c r="T22" s="296" t="e">
        <f t="shared" si="1"/>
        <v>#N/A</v>
      </c>
      <c r="U22" s="297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6" t="e">
        <f t="shared" si="7"/>
        <v>#N/A</v>
      </c>
    </row>
    <row r="23" spans="2:26" ht="15.75" hidden="1" customHeight="1">
      <c r="B23" s="445"/>
      <c r="C23" s="366"/>
      <c r="D23" s="279"/>
      <c r="E23" s="279"/>
      <c r="F23" s="278"/>
      <c r="G23" s="279"/>
      <c r="H23" s="279"/>
      <c r="I23" s="368"/>
      <c r="J23" s="368"/>
      <c r="K23" s="281"/>
      <c r="L23" s="276"/>
      <c r="M23" s="397"/>
      <c r="N23" s="370"/>
      <c r="O23" s="371"/>
      <c r="P23" s="443"/>
      <c r="R23" s="277">
        <f t="shared" si="8"/>
        <v>0</v>
      </c>
      <c r="S23" s="296" t="e">
        <f t="shared" si="0"/>
        <v>#N/A</v>
      </c>
      <c r="T23" s="296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6" t="e">
        <f t="shared" si="7"/>
        <v>#N/A</v>
      </c>
    </row>
    <row r="24" spans="2:26" ht="15.75" hidden="1" customHeight="1">
      <c r="B24" s="33"/>
      <c r="C24" s="366"/>
      <c r="D24" s="279"/>
      <c r="E24" s="279"/>
      <c r="F24" s="278"/>
      <c r="G24" s="279"/>
      <c r="H24" s="279"/>
      <c r="I24" s="434"/>
      <c r="J24" s="434"/>
      <c r="K24" s="398"/>
      <c r="L24" s="276"/>
      <c r="M24" s="374"/>
      <c r="N24" s="370"/>
      <c r="O24" s="435"/>
      <c r="P24" s="443"/>
      <c r="R24" s="277">
        <f t="shared" si="8"/>
        <v>0</v>
      </c>
      <c r="S24" s="296" t="e">
        <f t="shared" si="0"/>
        <v>#N/A</v>
      </c>
      <c r="T24" s="296" t="e">
        <f t="shared" si="1"/>
        <v>#N/A</v>
      </c>
      <c r="U24" s="297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6" t="e">
        <f t="shared" si="7"/>
        <v>#N/A</v>
      </c>
    </row>
    <row r="25" spans="2:26" ht="15.75" hidden="1" customHeight="1">
      <c r="B25" s="33"/>
      <c r="C25" s="366"/>
      <c r="D25" s="279"/>
      <c r="E25" s="279"/>
      <c r="F25" s="278"/>
      <c r="G25" s="279"/>
      <c r="H25" s="279"/>
      <c r="I25" s="434"/>
      <c r="J25" s="434"/>
      <c r="K25" s="398"/>
      <c r="L25" s="276"/>
      <c r="M25" s="374"/>
      <c r="N25" s="370"/>
      <c r="O25" s="435"/>
      <c r="P25" s="443"/>
      <c r="R25" s="277">
        <f t="shared" si="8"/>
        <v>0</v>
      </c>
      <c r="S25" s="296" t="e">
        <f t="shared" si="0"/>
        <v>#N/A</v>
      </c>
      <c r="T25" s="296" t="e">
        <f t="shared" si="1"/>
        <v>#N/A</v>
      </c>
      <c r="U25" s="297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6" t="e">
        <f t="shared" si="7"/>
        <v>#N/A</v>
      </c>
    </row>
    <row r="26" spans="2:26" ht="15.75" hidden="1" customHeight="1">
      <c r="B26" s="33"/>
      <c r="C26" s="366"/>
      <c r="D26" s="279"/>
      <c r="E26" s="279"/>
      <c r="F26" s="278"/>
      <c r="G26" s="279"/>
      <c r="H26" s="279"/>
      <c r="I26" s="434"/>
      <c r="J26" s="434"/>
      <c r="K26" s="398"/>
      <c r="L26" s="276"/>
      <c r="M26" s="374"/>
      <c r="N26" s="370"/>
      <c r="O26" s="435"/>
      <c r="P26" s="443"/>
      <c r="R26" s="277">
        <f t="shared" si="8"/>
        <v>0</v>
      </c>
      <c r="S26" s="296" t="e">
        <f t="shared" si="0"/>
        <v>#N/A</v>
      </c>
      <c r="T26" s="296" t="e">
        <f t="shared" si="1"/>
        <v>#N/A</v>
      </c>
      <c r="U26" s="297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6" t="e">
        <f t="shared" si="7"/>
        <v>#N/A</v>
      </c>
    </row>
    <row r="27" spans="2:26" ht="15.75" hidden="1" customHeight="1">
      <c r="B27" s="33"/>
      <c r="C27" s="366"/>
      <c r="D27" s="279"/>
      <c r="E27" s="279"/>
      <c r="F27" s="278"/>
      <c r="G27" s="279"/>
      <c r="H27" s="279"/>
      <c r="I27" s="434"/>
      <c r="J27" s="434"/>
      <c r="K27" s="398"/>
      <c r="L27" s="276"/>
      <c r="M27" s="374"/>
      <c r="N27" s="370"/>
      <c r="O27" s="435"/>
      <c r="P27" s="443"/>
      <c r="R27" s="277">
        <f t="shared" si="8"/>
        <v>0</v>
      </c>
      <c r="S27" s="296" t="e">
        <f t="shared" si="0"/>
        <v>#N/A</v>
      </c>
      <c r="T27" s="296" t="e">
        <f t="shared" si="1"/>
        <v>#N/A</v>
      </c>
      <c r="U27" s="297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6" t="e">
        <f t="shared" si="7"/>
        <v>#N/A</v>
      </c>
    </row>
    <row r="28" spans="2:26" ht="15.75" hidden="1" customHeight="1">
      <c r="B28" s="33"/>
      <c r="C28" s="366"/>
      <c r="D28" s="279"/>
      <c r="E28" s="279"/>
      <c r="F28" s="278"/>
      <c r="G28" s="279"/>
      <c r="H28" s="279"/>
      <c r="I28" s="434"/>
      <c r="J28" s="434"/>
      <c r="K28" s="398"/>
      <c r="L28" s="276"/>
      <c r="M28" s="374"/>
      <c r="N28" s="370"/>
      <c r="O28" s="435"/>
      <c r="P28" s="443"/>
      <c r="R28" s="277">
        <f t="shared" si="8"/>
        <v>0</v>
      </c>
      <c r="S28" s="296" t="e">
        <f t="shared" si="0"/>
        <v>#N/A</v>
      </c>
      <c r="T28" s="296" t="e">
        <f t="shared" si="1"/>
        <v>#N/A</v>
      </c>
      <c r="U28" s="297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6" t="e">
        <f t="shared" si="7"/>
        <v>#N/A</v>
      </c>
    </row>
    <row r="29" spans="2:26" ht="15.75" hidden="1" customHeight="1">
      <c r="B29" s="33"/>
      <c r="C29" s="366"/>
      <c r="D29" s="279"/>
      <c r="E29" s="279"/>
      <c r="F29" s="278"/>
      <c r="G29" s="279"/>
      <c r="H29" s="279"/>
      <c r="I29" s="434"/>
      <c r="J29" s="434"/>
      <c r="K29" s="398"/>
      <c r="L29" s="276"/>
      <c r="M29" s="374"/>
      <c r="N29" s="370"/>
      <c r="O29" s="435"/>
      <c r="P29" s="443"/>
      <c r="R29" s="277">
        <f t="shared" si="8"/>
        <v>0</v>
      </c>
      <c r="S29" s="296" t="e">
        <f t="shared" si="0"/>
        <v>#N/A</v>
      </c>
      <c r="T29" s="296" t="e">
        <f t="shared" si="1"/>
        <v>#N/A</v>
      </c>
      <c r="U29" s="297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6" t="e">
        <f t="shared" si="7"/>
        <v>#N/A</v>
      </c>
    </row>
    <row r="30" spans="2:26" ht="15.75" hidden="1" customHeight="1">
      <c r="B30" s="33"/>
      <c r="C30" s="366"/>
      <c r="D30" s="279"/>
      <c r="E30" s="279"/>
      <c r="F30" s="278"/>
      <c r="G30" s="279"/>
      <c r="H30" s="279"/>
      <c r="I30" s="434"/>
      <c r="J30" s="434"/>
      <c r="K30" s="398"/>
      <c r="L30" s="276"/>
      <c r="M30" s="374"/>
      <c r="N30" s="370"/>
      <c r="O30" s="435"/>
      <c r="P30" s="443"/>
      <c r="R30" s="277">
        <f t="shared" si="8"/>
        <v>0</v>
      </c>
      <c r="S30" s="296" t="e">
        <f t="shared" si="0"/>
        <v>#N/A</v>
      </c>
      <c r="T30" s="296" t="e">
        <f t="shared" si="1"/>
        <v>#N/A</v>
      </c>
      <c r="U30" s="297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6" t="e">
        <f t="shared" si="7"/>
        <v>#N/A</v>
      </c>
    </row>
    <row r="31" spans="2:26" ht="15.75" hidden="1" customHeight="1">
      <c r="B31" s="33"/>
      <c r="C31" s="366"/>
      <c r="D31" s="279"/>
      <c r="E31" s="279"/>
      <c r="F31" s="278"/>
      <c r="G31" s="279"/>
      <c r="H31" s="279"/>
      <c r="I31" s="434"/>
      <c r="J31" s="434"/>
      <c r="K31" s="398"/>
      <c r="L31" s="276"/>
      <c r="M31" s="374"/>
      <c r="N31" s="370"/>
      <c r="O31" s="435"/>
      <c r="P31" s="443"/>
      <c r="R31" s="277">
        <f t="shared" si="8"/>
        <v>0</v>
      </c>
      <c r="S31" s="296" t="e">
        <f t="shared" si="0"/>
        <v>#N/A</v>
      </c>
      <c r="T31" s="296" t="e">
        <f t="shared" si="1"/>
        <v>#N/A</v>
      </c>
      <c r="U31" s="297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6" t="e">
        <f t="shared" si="7"/>
        <v>#N/A</v>
      </c>
    </row>
    <row r="32" spans="2:26" ht="15.75" hidden="1" customHeight="1">
      <c r="B32" s="33"/>
      <c r="C32" s="366"/>
      <c r="D32" s="279"/>
      <c r="E32" s="279"/>
      <c r="F32" s="278"/>
      <c r="G32" s="279"/>
      <c r="H32" s="279"/>
      <c r="I32" s="434"/>
      <c r="J32" s="434"/>
      <c r="K32" s="398"/>
      <c r="L32" s="276"/>
      <c r="M32" s="374"/>
      <c r="N32" s="370"/>
      <c r="O32" s="435"/>
      <c r="P32" s="443"/>
      <c r="R32" s="277">
        <f t="shared" si="8"/>
        <v>0</v>
      </c>
      <c r="S32" s="296" t="e">
        <f t="shared" si="0"/>
        <v>#N/A</v>
      </c>
      <c r="T32" s="296" t="e">
        <f t="shared" si="1"/>
        <v>#N/A</v>
      </c>
      <c r="U32" s="297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6" t="e">
        <f t="shared" si="7"/>
        <v>#N/A</v>
      </c>
    </row>
    <row r="33" spans="2:26" ht="15.75" hidden="1" customHeight="1">
      <c r="B33" s="445"/>
      <c r="C33" s="366"/>
      <c r="D33" s="279"/>
      <c r="E33" s="279"/>
      <c r="F33" s="278"/>
      <c r="G33" s="279"/>
      <c r="H33" s="279"/>
      <c r="I33" s="434"/>
      <c r="J33" s="434"/>
      <c r="K33" s="398"/>
      <c r="L33" s="276"/>
      <c r="M33" s="374"/>
      <c r="N33" s="370"/>
      <c r="O33" s="435"/>
      <c r="P33" s="443"/>
      <c r="R33" s="277">
        <f t="shared" si="8"/>
        <v>0</v>
      </c>
      <c r="S33" s="296" t="e">
        <f t="shared" si="0"/>
        <v>#N/A</v>
      </c>
      <c r="T33" s="296" t="e">
        <f t="shared" si="1"/>
        <v>#N/A</v>
      </c>
      <c r="U33" s="297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6" t="e">
        <f t="shared" si="7"/>
        <v>#N/A</v>
      </c>
    </row>
    <row r="34" spans="2:26" ht="15.75" hidden="1" customHeight="1">
      <c r="B34" s="29"/>
      <c r="C34" s="366"/>
      <c r="D34" s="279"/>
      <c r="E34" s="279"/>
      <c r="F34" s="278"/>
      <c r="G34" s="279"/>
      <c r="H34" s="279"/>
      <c r="I34" s="368"/>
      <c r="J34" s="368"/>
      <c r="K34" s="281"/>
      <c r="L34" s="276"/>
      <c r="M34" s="397"/>
      <c r="N34" s="370"/>
      <c r="O34" s="371"/>
      <c r="P34" s="443"/>
      <c r="R34" s="277">
        <f t="shared" si="8"/>
        <v>0</v>
      </c>
      <c r="S34" s="296" t="e">
        <f t="shared" si="0"/>
        <v>#N/A</v>
      </c>
      <c r="T34" s="296" t="e">
        <f t="shared" si="1"/>
        <v>#N/A</v>
      </c>
      <c r="U34" s="297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6" t="e">
        <f t="shared" si="7"/>
        <v>#N/A</v>
      </c>
    </row>
    <row r="35" spans="2:26" ht="15.75" hidden="1" customHeight="1">
      <c r="B35" s="29"/>
      <c r="C35" s="366"/>
      <c r="D35" s="279"/>
      <c r="E35" s="279"/>
      <c r="F35" s="278"/>
      <c r="G35" s="279"/>
      <c r="H35" s="279"/>
      <c r="I35" s="368"/>
      <c r="J35" s="368"/>
      <c r="K35" s="281"/>
      <c r="L35" s="276"/>
      <c r="M35" s="397"/>
      <c r="N35" s="370"/>
      <c r="O35" s="371"/>
      <c r="P35" s="443"/>
      <c r="R35" s="277">
        <f t="shared" si="8"/>
        <v>0</v>
      </c>
      <c r="S35" s="296" t="e">
        <f t="shared" si="0"/>
        <v>#N/A</v>
      </c>
      <c r="T35" s="296" t="e">
        <f t="shared" si="1"/>
        <v>#N/A</v>
      </c>
      <c r="U35" s="297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6" t="e">
        <f t="shared" si="7"/>
        <v>#N/A</v>
      </c>
    </row>
    <row r="36" spans="2:26" ht="15.75" hidden="1" customHeight="1">
      <c r="B36" s="29"/>
      <c r="C36" s="366"/>
      <c r="D36" s="279"/>
      <c r="E36" s="279"/>
      <c r="F36" s="278"/>
      <c r="G36" s="279"/>
      <c r="H36" s="279"/>
      <c r="I36" s="368"/>
      <c r="J36" s="368"/>
      <c r="K36" s="281"/>
      <c r="L36" s="276"/>
      <c r="M36" s="397"/>
      <c r="N36" s="370"/>
      <c r="O36" s="371"/>
      <c r="P36" s="443"/>
      <c r="R36" s="277">
        <f t="shared" si="8"/>
        <v>0</v>
      </c>
      <c r="S36" s="296" t="e">
        <f t="shared" si="0"/>
        <v>#N/A</v>
      </c>
      <c r="T36" s="296" t="e">
        <f t="shared" si="1"/>
        <v>#N/A</v>
      </c>
      <c r="U36" s="297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6" t="e">
        <f t="shared" si="7"/>
        <v>#N/A</v>
      </c>
    </row>
    <row r="37" spans="2:26" ht="15.75" hidden="1" customHeight="1">
      <c r="B37" s="29"/>
      <c r="C37" s="366"/>
      <c r="D37" s="279"/>
      <c r="E37" s="279"/>
      <c r="F37" s="278"/>
      <c r="G37" s="279"/>
      <c r="H37" s="279"/>
      <c r="I37" s="368"/>
      <c r="J37" s="368"/>
      <c r="K37" s="281"/>
      <c r="L37" s="276"/>
      <c r="M37" s="397"/>
      <c r="N37" s="370"/>
      <c r="O37" s="371"/>
      <c r="P37" s="443"/>
      <c r="R37" s="277">
        <f t="shared" si="8"/>
        <v>0</v>
      </c>
      <c r="S37" s="296" t="e">
        <f t="shared" si="0"/>
        <v>#N/A</v>
      </c>
      <c r="T37" s="296" t="e">
        <f t="shared" si="1"/>
        <v>#N/A</v>
      </c>
      <c r="U37" s="297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6" t="e">
        <f t="shared" si="7"/>
        <v>#N/A</v>
      </c>
    </row>
    <row r="38" spans="2:26" ht="15.75" hidden="1" customHeight="1">
      <c r="B38" s="29"/>
      <c r="C38" s="366"/>
      <c r="D38" s="279"/>
      <c r="E38" s="279"/>
      <c r="F38" s="278"/>
      <c r="G38" s="279"/>
      <c r="H38" s="279"/>
      <c r="I38" s="368"/>
      <c r="J38" s="368"/>
      <c r="K38" s="281"/>
      <c r="L38" s="276"/>
      <c r="M38" s="397"/>
      <c r="N38" s="370"/>
      <c r="O38" s="371"/>
      <c r="P38" s="443"/>
      <c r="R38" s="277">
        <f t="shared" si="8"/>
        <v>0</v>
      </c>
      <c r="S38" s="296" t="e">
        <f t="shared" si="0"/>
        <v>#N/A</v>
      </c>
      <c r="T38" s="296" t="e">
        <f t="shared" si="1"/>
        <v>#N/A</v>
      </c>
      <c r="U38" s="297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6" t="e">
        <f t="shared" si="7"/>
        <v>#N/A</v>
      </c>
    </row>
    <row r="39" spans="2:26" ht="15.75" hidden="1" customHeight="1">
      <c r="B39" s="29"/>
      <c r="C39" s="366"/>
      <c r="D39" s="279"/>
      <c r="E39" s="279"/>
      <c r="F39" s="278"/>
      <c r="G39" s="279"/>
      <c r="H39" s="279"/>
      <c r="I39" s="368"/>
      <c r="J39" s="368"/>
      <c r="K39" s="281"/>
      <c r="L39" s="276"/>
      <c r="M39" s="397"/>
      <c r="N39" s="370"/>
      <c r="O39" s="371"/>
      <c r="P39" s="443"/>
      <c r="R39" s="277">
        <f t="shared" si="8"/>
        <v>0</v>
      </c>
      <c r="S39" s="296" t="e">
        <f t="shared" si="0"/>
        <v>#N/A</v>
      </c>
      <c r="T39" s="296" t="e">
        <f t="shared" si="1"/>
        <v>#N/A</v>
      </c>
      <c r="U39" s="297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6" t="e">
        <f t="shared" si="7"/>
        <v>#N/A</v>
      </c>
    </row>
    <row r="40" spans="2:26" ht="15.75" hidden="1" customHeight="1">
      <c r="B40" s="29"/>
      <c r="C40" s="366"/>
      <c r="D40" s="279"/>
      <c r="E40" s="279"/>
      <c r="F40" s="278"/>
      <c r="G40" s="279"/>
      <c r="H40" s="367"/>
      <c r="I40" s="368"/>
      <c r="J40" s="368"/>
      <c r="K40" s="281"/>
      <c r="L40" s="276"/>
      <c r="M40" s="397"/>
      <c r="N40" s="370"/>
      <c r="O40" s="371"/>
      <c r="P40" s="443"/>
      <c r="R40" s="277">
        <f t="shared" si="8"/>
        <v>0</v>
      </c>
      <c r="S40" s="296" t="e">
        <f t="shared" si="0"/>
        <v>#N/A</v>
      </c>
      <c r="T40" s="296" t="e">
        <f t="shared" si="1"/>
        <v>#N/A</v>
      </c>
      <c r="U40" s="297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6" t="e">
        <f t="shared" si="7"/>
        <v>#N/A</v>
      </c>
    </row>
    <row r="41" spans="2:26" ht="15.75" hidden="1" customHeight="1">
      <c r="B41" s="29"/>
      <c r="C41" s="366"/>
      <c r="D41" s="279"/>
      <c r="E41" s="279"/>
      <c r="F41" s="278"/>
      <c r="G41" s="279"/>
      <c r="H41" s="367"/>
      <c r="I41" s="368"/>
      <c r="J41" s="368"/>
      <c r="K41" s="281"/>
      <c r="L41" s="276"/>
      <c r="M41" s="397"/>
      <c r="N41" s="370"/>
      <c r="O41" s="371"/>
      <c r="P41" s="443"/>
      <c r="R41" s="277">
        <f t="shared" si="8"/>
        <v>0</v>
      </c>
      <c r="S41" s="296" t="e">
        <f t="shared" si="0"/>
        <v>#N/A</v>
      </c>
      <c r="T41" s="296" t="e">
        <f t="shared" si="1"/>
        <v>#N/A</v>
      </c>
      <c r="U41" s="297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6" t="e">
        <f t="shared" si="7"/>
        <v>#N/A</v>
      </c>
    </row>
    <row r="42" spans="2:26" ht="15.75" hidden="1" customHeight="1">
      <c r="B42" s="29"/>
      <c r="C42" s="366"/>
      <c r="D42" s="279"/>
      <c r="E42" s="279"/>
      <c r="F42" s="278"/>
      <c r="G42" s="279"/>
      <c r="H42" s="279"/>
      <c r="I42" s="368"/>
      <c r="J42" s="368"/>
      <c r="K42" s="281"/>
      <c r="L42" s="276"/>
      <c r="M42" s="397"/>
      <c r="N42" s="370"/>
      <c r="O42" s="371"/>
      <c r="P42" s="443"/>
      <c r="R42" s="277">
        <f t="shared" si="8"/>
        <v>0</v>
      </c>
      <c r="S42" s="296" t="e">
        <f t="shared" si="0"/>
        <v>#N/A</v>
      </c>
      <c r="T42" s="296" t="e">
        <f t="shared" si="1"/>
        <v>#N/A</v>
      </c>
      <c r="U42" s="297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6" t="e">
        <f t="shared" si="7"/>
        <v>#N/A</v>
      </c>
    </row>
    <row r="43" spans="2:26" ht="15.75" hidden="1" customHeight="1">
      <c r="B43" s="29"/>
      <c r="C43" s="366"/>
      <c r="D43" s="279"/>
      <c r="E43" s="279"/>
      <c r="F43" s="278"/>
      <c r="G43" s="279"/>
      <c r="H43" s="279"/>
      <c r="I43" s="368"/>
      <c r="J43" s="368"/>
      <c r="K43" s="281"/>
      <c r="L43" s="276"/>
      <c r="M43" s="397"/>
      <c r="N43" s="370"/>
      <c r="O43" s="371"/>
      <c r="P43" s="443"/>
      <c r="R43" s="277">
        <f t="shared" si="8"/>
        <v>0</v>
      </c>
      <c r="S43" s="296" t="e">
        <f t="shared" si="0"/>
        <v>#N/A</v>
      </c>
      <c r="T43" s="296" t="e">
        <f t="shared" si="1"/>
        <v>#N/A</v>
      </c>
      <c r="U43" s="297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6" t="e">
        <f t="shared" si="7"/>
        <v>#N/A</v>
      </c>
    </row>
    <row r="44" spans="2:26" ht="15.75" hidden="1" customHeight="1">
      <c r="B44" s="29"/>
      <c r="C44" s="366"/>
      <c r="D44" s="279"/>
      <c r="E44" s="279"/>
      <c r="F44" s="278"/>
      <c r="G44" s="279"/>
      <c r="H44" s="279"/>
      <c r="I44" s="368"/>
      <c r="J44" s="368"/>
      <c r="K44" s="281"/>
      <c r="L44" s="276"/>
      <c r="M44" s="397"/>
      <c r="N44" s="370"/>
      <c r="O44" s="371"/>
      <c r="P44" s="443"/>
      <c r="R44" s="277">
        <f t="shared" si="8"/>
        <v>0</v>
      </c>
      <c r="S44" s="296" t="e">
        <f t="shared" si="0"/>
        <v>#N/A</v>
      </c>
      <c r="T44" s="296" t="e">
        <f t="shared" si="1"/>
        <v>#N/A</v>
      </c>
      <c r="U44" s="297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6" t="e">
        <f t="shared" si="7"/>
        <v>#N/A</v>
      </c>
    </row>
    <row r="45" spans="2:26" ht="15.75" hidden="1" customHeight="1">
      <c r="B45" s="29"/>
      <c r="C45" s="366"/>
      <c r="D45" s="279"/>
      <c r="E45" s="279"/>
      <c r="F45" s="278"/>
      <c r="G45" s="279"/>
      <c r="H45" s="279"/>
      <c r="I45" s="368"/>
      <c r="J45" s="368"/>
      <c r="K45" s="281"/>
      <c r="L45" s="276"/>
      <c r="M45" s="397"/>
      <c r="N45" s="370"/>
      <c r="O45" s="371"/>
      <c r="P45" s="443"/>
      <c r="R45" s="277">
        <f t="shared" si="8"/>
        <v>0</v>
      </c>
      <c r="S45" s="296" t="e">
        <f t="shared" si="0"/>
        <v>#N/A</v>
      </c>
      <c r="T45" s="296" t="e">
        <f t="shared" si="1"/>
        <v>#N/A</v>
      </c>
      <c r="U45" s="297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6" t="e">
        <f t="shared" si="7"/>
        <v>#N/A</v>
      </c>
    </row>
    <row r="46" spans="2:26" ht="15.75" hidden="1" customHeight="1">
      <c r="B46" s="33"/>
      <c r="C46" s="366"/>
      <c r="D46" s="279"/>
      <c r="E46" s="279"/>
      <c r="F46" s="278"/>
      <c r="G46" s="279"/>
      <c r="H46" s="279"/>
      <c r="I46" s="434"/>
      <c r="J46" s="434"/>
      <c r="K46" s="398"/>
      <c r="L46" s="276"/>
      <c r="M46" s="374"/>
      <c r="N46" s="370"/>
      <c r="O46" s="435"/>
      <c r="P46" s="443"/>
      <c r="R46" s="277">
        <f t="shared" si="8"/>
        <v>0</v>
      </c>
      <c r="S46" s="296" t="e">
        <f t="shared" si="0"/>
        <v>#N/A</v>
      </c>
      <c r="T46" s="296" t="e">
        <f t="shared" si="1"/>
        <v>#N/A</v>
      </c>
      <c r="U46" s="297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6" t="e">
        <f t="shared" si="7"/>
        <v>#N/A</v>
      </c>
    </row>
    <row r="47" spans="2:26" ht="15.75" hidden="1" customHeight="1">
      <c r="B47" s="33"/>
      <c r="C47" s="366"/>
      <c r="D47" s="279"/>
      <c r="E47" s="279"/>
      <c r="F47" s="278"/>
      <c r="G47" s="279"/>
      <c r="H47" s="279"/>
      <c r="I47" s="434"/>
      <c r="J47" s="434"/>
      <c r="K47" s="398"/>
      <c r="L47" s="276"/>
      <c r="M47" s="374"/>
      <c r="N47" s="370"/>
      <c r="O47" s="435"/>
      <c r="P47" s="443"/>
      <c r="R47" s="277">
        <f t="shared" si="8"/>
        <v>0</v>
      </c>
      <c r="S47" s="296" t="e">
        <f t="shared" si="0"/>
        <v>#N/A</v>
      </c>
      <c r="T47" s="296" t="e">
        <f t="shared" si="1"/>
        <v>#N/A</v>
      </c>
      <c r="U47" s="297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6" t="e">
        <f t="shared" si="7"/>
        <v>#N/A</v>
      </c>
    </row>
    <row r="48" spans="2:26" ht="15.75" hidden="1" customHeight="1">
      <c r="B48" s="29"/>
      <c r="C48" s="366"/>
      <c r="D48" s="279"/>
      <c r="E48" s="279"/>
      <c r="F48" s="278"/>
      <c r="G48" s="279"/>
      <c r="H48" s="279"/>
      <c r="I48" s="368"/>
      <c r="J48" s="368"/>
      <c r="K48" s="281"/>
      <c r="L48" s="276"/>
      <c r="M48" s="397"/>
      <c r="N48" s="370"/>
      <c r="O48" s="371"/>
      <c r="P48" s="443"/>
      <c r="R48" s="277">
        <f t="shared" si="8"/>
        <v>0</v>
      </c>
      <c r="S48" s="296" t="e">
        <f t="shared" si="0"/>
        <v>#N/A</v>
      </c>
      <c r="T48" s="296" t="e">
        <f t="shared" si="1"/>
        <v>#N/A</v>
      </c>
      <c r="U48" s="297" t="e">
        <f t="shared" si="2"/>
        <v>#N/A</v>
      </c>
      <c r="V48" s="297" t="e">
        <f t="shared" si="3"/>
        <v>#N/A</v>
      </c>
      <c r="W48" s="297" t="e">
        <f t="shared" si="4"/>
        <v>#N/A</v>
      </c>
      <c r="X48" s="297" t="e">
        <f t="shared" si="5"/>
        <v>#N/A</v>
      </c>
      <c r="Y48" s="297" t="e">
        <f t="shared" si="6"/>
        <v>#N/A</v>
      </c>
      <c r="Z48" s="296" t="e">
        <f t="shared" si="7"/>
        <v>#N/A</v>
      </c>
    </row>
    <row r="49" spans="2:26" ht="15.75" hidden="1" customHeight="1">
      <c r="B49" s="29"/>
      <c r="C49" s="366"/>
      <c r="D49" s="279"/>
      <c r="E49" s="279"/>
      <c r="F49" s="278"/>
      <c r="G49" s="279"/>
      <c r="H49" s="279"/>
      <c r="I49" s="368"/>
      <c r="J49" s="368"/>
      <c r="K49" s="281"/>
      <c r="L49" s="276"/>
      <c r="M49" s="397"/>
      <c r="N49" s="370"/>
      <c r="O49" s="371"/>
      <c r="P49" s="443"/>
      <c r="R49" s="277">
        <f t="shared" si="8"/>
        <v>0</v>
      </c>
      <c r="S49" s="296" t="e">
        <f t="shared" si="0"/>
        <v>#N/A</v>
      </c>
      <c r="T49" s="296" t="e">
        <f t="shared" si="1"/>
        <v>#N/A</v>
      </c>
      <c r="U49" s="297" t="e">
        <f t="shared" si="2"/>
        <v>#N/A</v>
      </c>
      <c r="V49" s="297" t="e">
        <f t="shared" si="3"/>
        <v>#N/A</v>
      </c>
      <c r="W49" s="297" t="e">
        <f t="shared" si="4"/>
        <v>#N/A</v>
      </c>
      <c r="X49" s="297" t="e">
        <f t="shared" si="5"/>
        <v>#N/A</v>
      </c>
      <c r="Y49" s="297" t="e">
        <f t="shared" si="6"/>
        <v>#N/A</v>
      </c>
      <c r="Z49" s="296" t="e">
        <f t="shared" si="7"/>
        <v>#N/A</v>
      </c>
    </row>
    <row r="50" spans="2:26" ht="15.75" hidden="1" customHeight="1">
      <c r="B50" s="29"/>
      <c r="C50" s="366"/>
      <c r="D50" s="279"/>
      <c r="E50" s="279"/>
      <c r="F50" s="278"/>
      <c r="G50" s="279"/>
      <c r="H50" s="279"/>
      <c r="I50" s="368"/>
      <c r="J50" s="368"/>
      <c r="K50" s="281"/>
      <c r="L50" s="276"/>
      <c r="M50" s="397"/>
      <c r="N50" s="370"/>
      <c r="O50" s="371"/>
      <c r="P50" s="443"/>
      <c r="R50" s="277">
        <f t="shared" si="8"/>
        <v>0</v>
      </c>
      <c r="S50" s="296" t="e">
        <f t="shared" si="0"/>
        <v>#N/A</v>
      </c>
      <c r="T50" s="296" t="e">
        <f t="shared" si="1"/>
        <v>#N/A</v>
      </c>
      <c r="U50" s="297" t="e">
        <f t="shared" si="2"/>
        <v>#N/A</v>
      </c>
      <c r="V50" s="297" t="e">
        <f t="shared" si="3"/>
        <v>#N/A</v>
      </c>
      <c r="W50" s="297" t="e">
        <f t="shared" si="4"/>
        <v>#N/A</v>
      </c>
      <c r="X50" s="297" t="e">
        <f t="shared" si="5"/>
        <v>#N/A</v>
      </c>
      <c r="Y50" s="297" t="e">
        <f t="shared" si="6"/>
        <v>#N/A</v>
      </c>
      <c r="Z50" s="296" t="e">
        <f t="shared" si="7"/>
        <v>#N/A</v>
      </c>
    </row>
    <row r="51" spans="2:26" ht="15.75" hidden="1" customHeight="1">
      <c r="B51" s="29"/>
      <c r="C51" s="366"/>
      <c r="D51" s="279"/>
      <c r="E51" s="279"/>
      <c r="F51" s="278"/>
      <c r="G51" s="279"/>
      <c r="H51" s="279"/>
      <c r="I51" s="368"/>
      <c r="J51" s="368"/>
      <c r="K51" s="281"/>
      <c r="L51" s="276"/>
      <c r="M51" s="397"/>
      <c r="N51" s="370"/>
      <c r="O51" s="371"/>
      <c r="P51" s="443"/>
      <c r="R51" s="277">
        <f t="shared" si="8"/>
        <v>0</v>
      </c>
      <c r="S51" s="296" t="e">
        <f t="shared" si="0"/>
        <v>#N/A</v>
      </c>
      <c r="T51" s="296" t="e">
        <f t="shared" si="1"/>
        <v>#N/A</v>
      </c>
      <c r="U51" s="297" t="e">
        <f t="shared" si="2"/>
        <v>#N/A</v>
      </c>
      <c r="V51" s="297" t="e">
        <f t="shared" si="3"/>
        <v>#N/A</v>
      </c>
      <c r="W51" s="297" t="e">
        <f t="shared" si="4"/>
        <v>#N/A</v>
      </c>
      <c r="X51" s="297" t="e">
        <f t="shared" si="5"/>
        <v>#N/A</v>
      </c>
      <c r="Y51" s="297" t="e">
        <f t="shared" si="6"/>
        <v>#N/A</v>
      </c>
      <c r="Z51" s="296" t="e">
        <f t="shared" si="7"/>
        <v>#N/A</v>
      </c>
    </row>
    <row r="52" spans="2:26" ht="15.75" hidden="1" customHeight="1">
      <c r="B52" s="29"/>
      <c r="C52" s="366"/>
      <c r="D52" s="279"/>
      <c r="E52" s="279"/>
      <c r="F52" s="278"/>
      <c r="G52" s="279"/>
      <c r="H52" s="279"/>
      <c r="I52" s="368"/>
      <c r="J52" s="368"/>
      <c r="K52" s="281"/>
      <c r="L52" s="276"/>
      <c r="M52" s="397"/>
      <c r="N52" s="370"/>
      <c r="O52" s="371"/>
      <c r="P52" s="443"/>
      <c r="R52" s="277">
        <f t="shared" si="8"/>
        <v>0</v>
      </c>
      <c r="S52" s="296" t="e">
        <f t="shared" si="0"/>
        <v>#N/A</v>
      </c>
      <c r="T52" s="296" t="e">
        <f t="shared" si="1"/>
        <v>#N/A</v>
      </c>
      <c r="U52" s="297" t="e">
        <f t="shared" si="2"/>
        <v>#N/A</v>
      </c>
      <c r="V52" s="297" t="e">
        <f t="shared" si="3"/>
        <v>#N/A</v>
      </c>
      <c r="W52" s="297" t="e">
        <f t="shared" si="4"/>
        <v>#N/A</v>
      </c>
      <c r="X52" s="297" t="e">
        <f t="shared" si="5"/>
        <v>#N/A</v>
      </c>
      <c r="Y52" s="297" t="e">
        <f t="shared" si="6"/>
        <v>#N/A</v>
      </c>
      <c r="Z52" s="296" t="e">
        <f t="shared" si="7"/>
        <v>#N/A</v>
      </c>
    </row>
    <row r="53" spans="2:26" ht="15.75" hidden="1" customHeight="1">
      <c r="B53" s="29"/>
      <c r="C53" s="366"/>
      <c r="D53" s="279"/>
      <c r="E53" s="279"/>
      <c r="F53" s="278"/>
      <c r="G53" s="279"/>
      <c r="H53" s="279"/>
      <c r="I53" s="368"/>
      <c r="J53" s="368"/>
      <c r="K53" s="281"/>
      <c r="L53" s="276"/>
      <c r="M53" s="397"/>
      <c r="N53" s="370"/>
      <c r="O53" s="371"/>
      <c r="P53" s="443"/>
      <c r="R53" s="277">
        <f t="shared" si="8"/>
        <v>0</v>
      </c>
      <c r="S53" s="296" t="e">
        <f t="shared" si="0"/>
        <v>#N/A</v>
      </c>
      <c r="T53" s="296" t="e">
        <f t="shared" si="1"/>
        <v>#N/A</v>
      </c>
      <c r="U53" s="297" t="e">
        <f t="shared" si="2"/>
        <v>#N/A</v>
      </c>
      <c r="V53" s="297" t="e">
        <f t="shared" si="3"/>
        <v>#N/A</v>
      </c>
      <c r="W53" s="297" t="e">
        <f t="shared" si="4"/>
        <v>#N/A</v>
      </c>
      <c r="X53" s="297" t="e">
        <f t="shared" si="5"/>
        <v>#N/A</v>
      </c>
      <c r="Y53" s="297" t="e">
        <f t="shared" si="6"/>
        <v>#N/A</v>
      </c>
      <c r="Z53" s="296" t="e">
        <f t="shared" si="7"/>
        <v>#N/A</v>
      </c>
    </row>
    <row r="54" spans="2:26" ht="15.75" hidden="1" customHeight="1">
      <c r="B54" s="29"/>
      <c r="C54" s="366"/>
      <c r="D54" s="279"/>
      <c r="E54" s="279"/>
      <c r="F54" s="278"/>
      <c r="G54" s="279"/>
      <c r="H54" s="279"/>
      <c r="I54" s="368"/>
      <c r="J54" s="368"/>
      <c r="K54" s="281"/>
      <c r="L54" s="276"/>
      <c r="M54" s="397"/>
      <c r="N54" s="370"/>
      <c r="O54" s="371"/>
      <c r="P54" s="443"/>
      <c r="R54" s="277">
        <f t="shared" si="8"/>
        <v>0</v>
      </c>
      <c r="S54" s="296" t="e">
        <f t="shared" si="0"/>
        <v>#N/A</v>
      </c>
      <c r="T54" s="296" t="e">
        <f t="shared" si="1"/>
        <v>#N/A</v>
      </c>
      <c r="U54" s="297" t="e">
        <f t="shared" si="2"/>
        <v>#N/A</v>
      </c>
      <c r="V54" s="297" t="e">
        <f t="shared" si="3"/>
        <v>#N/A</v>
      </c>
      <c r="W54" s="297" t="e">
        <f t="shared" si="4"/>
        <v>#N/A</v>
      </c>
      <c r="X54" s="297" t="e">
        <f t="shared" si="5"/>
        <v>#N/A</v>
      </c>
      <c r="Y54" s="297" t="e">
        <f t="shared" si="6"/>
        <v>#N/A</v>
      </c>
      <c r="Z54" s="296" t="e">
        <f t="shared" si="7"/>
        <v>#N/A</v>
      </c>
    </row>
    <row r="55" spans="2:26" ht="15.75" hidden="1" customHeight="1">
      <c r="B55" s="29"/>
      <c r="C55" s="366"/>
      <c r="D55" s="279"/>
      <c r="E55" s="279"/>
      <c r="F55" s="278"/>
      <c r="G55" s="279"/>
      <c r="H55" s="279"/>
      <c r="I55" s="368"/>
      <c r="J55" s="368"/>
      <c r="K55" s="281"/>
      <c r="L55" s="276"/>
      <c r="M55" s="397"/>
      <c r="N55" s="370"/>
      <c r="O55" s="371"/>
      <c r="P55" s="443"/>
      <c r="R55" s="277">
        <f t="shared" si="8"/>
        <v>0</v>
      </c>
      <c r="S55" s="296" t="e">
        <f t="shared" si="0"/>
        <v>#N/A</v>
      </c>
      <c r="T55" s="296" t="e">
        <f t="shared" si="1"/>
        <v>#N/A</v>
      </c>
      <c r="U55" s="297" t="e">
        <f t="shared" si="2"/>
        <v>#N/A</v>
      </c>
      <c r="V55" s="297" t="e">
        <f t="shared" si="3"/>
        <v>#N/A</v>
      </c>
      <c r="W55" s="297" t="e">
        <f t="shared" si="4"/>
        <v>#N/A</v>
      </c>
      <c r="X55" s="297" t="e">
        <f t="shared" si="5"/>
        <v>#N/A</v>
      </c>
      <c r="Y55" s="297" t="e">
        <f t="shared" si="6"/>
        <v>#N/A</v>
      </c>
      <c r="Z55" s="296" t="e">
        <f t="shared" si="7"/>
        <v>#N/A</v>
      </c>
    </row>
    <row r="56" spans="2:26" ht="15.75" hidden="1" customHeight="1">
      <c r="B56" s="29"/>
      <c r="C56" s="366"/>
      <c r="D56" s="279"/>
      <c r="E56" s="279"/>
      <c r="F56" s="278"/>
      <c r="G56" s="279"/>
      <c r="H56" s="279"/>
      <c r="I56" s="368"/>
      <c r="J56" s="368"/>
      <c r="K56" s="281"/>
      <c r="L56" s="276"/>
      <c r="M56" s="397"/>
      <c r="N56" s="370"/>
      <c r="O56" s="371"/>
      <c r="P56" s="443"/>
      <c r="R56" s="277">
        <f t="shared" si="8"/>
        <v>0</v>
      </c>
      <c r="S56" s="296" t="e">
        <f t="shared" si="0"/>
        <v>#N/A</v>
      </c>
      <c r="T56" s="296" t="e">
        <f t="shared" si="1"/>
        <v>#N/A</v>
      </c>
      <c r="U56" s="297" t="e">
        <f t="shared" si="2"/>
        <v>#N/A</v>
      </c>
      <c r="V56" s="297" t="e">
        <f t="shared" si="3"/>
        <v>#N/A</v>
      </c>
      <c r="W56" s="297" t="e">
        <f t="shared" si="4"/>
        <v>#N/A</v>
      </c>
      <c r="X56" s="297" t="e">
        <f t="shared" si="5"/>
        <v>#N/A</v>
      </c>
      <c r="Y56" s="297" t="e">
        <f t="shared" si="6"/>
        <v>#N/A</v>
      </c>
      <c r="Z56" s="296" t="e">
        <f t="shared" si="7"/>
        <v>#N/A</v>
      </c>
    </row>
    <row r="57" spans="2:26" ht="15.75" hidden="1" customHeight="1">
      <c r="B57" s="29"/>
      <c r="C57" s="366"/>
      <c r="D57" s="279"/>
      <c r="E57" s="279"/>
      <c r="F57" s="278"/>
      <c r="G57" s="279"/>
      <c r="H57" s="279"/>
      <c r="I57" s="368"/>
      <c r="J57" s="368"/>
      <c r="K57" s="281"/>
      <c r="L57" s="276"/>
      <c r="M57" s="397"/>
      <c r="N57" s="370"/>
      <c r="O57" s="371"/>
      <c r="P57" s="443"/>
      <c r="R57" s="277">
        <f t="shared" si="8"/>
        <v>0</v>
      </c>
      <c r="S57" s="296" t="e">
        <f t="shared" si="0"/>
        <v>#N/A</v>
      </c>
      <c r="T57" s="296" t="e">
        <f t="shared" si="1"/>
        <v>#N/A</v>
      </c>
      <c r="U57" s="297" t="e">
        <f t="shared" si="2"/>
        <v>#N/A</v>
      </c>
      <c r="V57" s="297" t="e">
        <f t="shared" si="3"/>
        <v>#N/A</v>
      </c>
      <c r="W57" s="297" t="e">
        <f t="shared" si="4"/>
        <v>#N/A</v>
      </c>
      <c r="X57" s="297" t="e">
        <f t="shared" si="5"/>
        <v>#N/A</v>
      </c>
      <c r="Y57" s="297" t="e">
        <f t="shared" si="6"/>
        <v>#N/A</v>
      </c>
      <c r="Z57" s="296" t="e">
        <f t="shared" si="7"/>
        <v>#N/A</v>
      </c>
    </row>
    <row r="58" spans="2:26" ht="15.75" hidden="1" customHeight="1">
      <c r="B58" s="29"/>
      <c r="C58" s="366"/>
      <c r="D58" s="279"/>
      <c r="E58" s="279"/>
      <c r="F58" s="278"/>
      <c r="G58" s="279"/>
      <c r="H58" s="279"/>
      <c r="I58" s="368"/>
      <c r="J58" s="368"/>
      <c r="K58" s="281"/>
      <c r="L58" s="276"/>
      <c r="M58" s="397"/>
      <c r="N58" s="370"/>
      <c r="O58" s="371"/>
      <c r="P58" s="443"/>
      <c r="R58" s="277">
        <f t="shared" si="8"/>
        <v>0</v>
      </c>
      <c r="S58" s="296" t="e">
        <f t="shared" si="0"/>
        <v>#N/A</v>
      </c>
      <c r="T58" s="296" t="e">
        <f t="shared" si="1"/>
        <v>#N/A</v>
      </c>
      <c r="U58" s="297" t="e">
        <f t="shared" si="2"/>
        <v>#N/A</v>
      </c>
      <c r="V58" s="297" t="e">
        <f t="shared" si="3"/>
        <v>#N/A</v>
      </c>
      <c r="W58" s="297" t="e">
        <f t="shared" si="4"/>
        <v>#N/A</v>
      </c>
      <c r="X58" s="297" t="e">
        <f t="shared" si="5"/>
        <v>#N/A</v>
      </c>
      <c r="Y58" s="297" t="e">
        <f t="shared" si="6"/>
        <v>#N/A</v>
      </c>
      <c r="Z58" s="296" t="e">
        <f t="shared" si="7"/>
        <v>#N/A</v>
      </c>
    </row>
    <row r="59" spans="2:26" ht="15.75" hidden="1" customHeight="1">
      <c r="B59" s="29"/>
      <c r="C59" s="366"/>
      <c r="D59" s="279"/>
      <c r="E59" s="279"/>
      <c r="F59" s="278"/>
      <c r="G59" s="279"/>
      <c r="H59" s="279"/>
      <c r="I59" s="368"/>
      <c r="J59" s="368"/>
      <c r="K59" s="281"/>
      <c r="L59" s="276"/>
      <c r="M59" s="397"/>
      <c r="N59" s="370"/>
      <c r="O59" s="371"/>
      <c r="P59" s="443"/>
      <c r="R59" s="277">
        <f t="shared" si="8"/>
        <v>0</v>
      </c>
      <c r="S59" s="296" t="e">
        <f t="shared" si="0"/>
        <v>#N/A</v>
      </c>
      <c r="T59" s="296" t="e">
        <f t="shared" si="1"/>
        <v>#N/A</v>
      </c>
      <c r="U59" s="297" t="e">
        <f t="shared" si="2"/>
        <v>#N/A</v>
      </c>
      <c r="V59" s="297" t="e">
        <f t="shared" si="3"/>
        <v>#N/A</v>
      </c>
      <c r="W59" s="297" t="e">
        <f t="shared" si="4"/>
        <v>#N/A</v>
      </c>
      <c r="X59" s="297" t="e">
        <f t="shared" si="5"/>
        <v>#N/A</v>
      </c>
      <c r="Y59" s="297" t="e">
        <f t="shared" si="6"/>
        <v>#N/A</v>
      </c>
      <c r="Z59" s="296" t="e">
        <f t="shared" si="7"/>
        <v>#N/A</v>
      </c>
    </row>
    <row r="60" spans="2:26" ht="15.75" hidden="1" customHeight="1">
      <c r="B60" s="29"/>
      <c r="C60" s="366"/>
      <c r="D60" s="279"/>
      <c r="E60" s="279"/>
      <c r="F60" s="278"/>
      <c r="G60" s="279"/>
      <c r="H60" s="279"/>
      <c r="I60" s="368"/>
      <c r="J60" s="368"/>
      <c r="K60" s="281"/>
      <c r="L60" s="276"/>
      <c r="M60" s="397"/>
      <c r="N60" s="370"/>
      <c r="O60" s="371"/>
      <c r="P60" s="443"/>
      <c r="R60" s="277">
        <f t="shared" si="8"/>
        <v>0</v>
      </c>
      <c r="S60" s="296" t="e">
        <f t="shared" si="0"/>
        <v>#N/A</v>
      </c>
      <c r="T60" s="296" t="e">
        <f t="shared" si="1"/>
        <v>#N/A</v>
      </c>
      <c r="U60" s="297" t="e">
        <f t="shared" si="2"/>
        <v>#N/A</v>
      </c>
      <c r="V60" s="297" t="e">
        <f t="shared" si="3"/>
        <v>#N/A</v>
      </c>
      <c r="W60" s="297" t="e">
        <f t="shared" si="4"/>
        <v>#N/A</v>
      </c>
      <c r="X60" s="297" t="e">
        <f t="shared" si="5"/>
        <v>#N/A</v>
      </c>
      <c r="Y60" s="297" t="e">
        <f t="shared" si="6"/>
        <v>#N/A</v>
      </c>
      <c r="Z60" s="296" t="e">
        <f t="shared" si="7"/>
        <v>#N/A</v>
      </c>
    </row>
    <row r="61" spans="2:26" ht="15.75" hidden="1" customHeight="1">
      <c r="B61" s="29"/>
      <c r="C61" s="366"/>
      <c r="D61" s="279"/>
      <c r="E61" s="279"/>
      <c r="F61" s="278"/>
      <c r="G61" s="279"/>
      <c r="H61" s="279"/>
      <c r="I61" s="368"/>
      <c r="J61" s="368"/>
      <c r="K61" s="281"/>
      <c r="L61" s="276"/>
      <c r="M61" s="397"/>
      <c r="N61" s="370"/>
      <c r="O61" s="371"/>
      <c r="P61" s="443"/>
      <c r="R61" s="277">
        <f t="shared" si="8"/>
        <v>0</v>
      </c>
      <c r="S61" s="296" t="e">
        <f t="shared" si="0"/>
        <v>#N/A</v>
      </c>
      <c r="T61" s="296" t="e">
        <f t="shared" si="1"/>
        <v>#N/A</v>
      </c>
      <c r="U61" s="297" t="e">
        <f t="shared" si="2"/>
        <v>#N/A</v>
      </c>
      <c r="V61" s="297" t="e">
        <f t="shared" si="3"/>
        <v>#N/A</v>
      </c>
      <c r="W61" s="297" t="e">
        <f t="shared" si="4"/>
        <v>#N/A</v>
      </c>
      <c r="X61" s="297" t="e">
        <f t="shared" si="5"/>
        <v>#N/A</v>
      </c>
      <c r="Y61" s="297" t="e">
        <f t="shared" si="6"/>
        <v>#N/A</v>
      </c>
      <c r="Z61" s="296" t="e">
        <f t="shared" si="7"/>
        <v>#N/A</v>
      </c>
    </row>
    <row r="62" spans="2:26" ht="15.75" hidden="1" customHeight="1">
      <c r="B62" s="29"/>
      <c r="C62" s="366"/>
      <c r="D62" s="279"/>
      <c r="E62" s="279"/>
      <c r="F62" s="278"/>
      <c r="G62" s="279"/>
      <c r="H62" s="279"/>
      <c r="I62" s="368"/>
      <c r="J62" s="368"/>
      <c r="K62" s="281"/>
      <c r="L62" s="276"/>
      <c r="M62" s="397"/>
      <c r="N62" s="370"/>
      <c r="O62" s="371"/>
      <c r="P62" s="443"/>
      <c r="R62" s="277">
        <f t="shared" si="8"/>
        <v>0</v>
      </c>
      <c r="S62" s="296" t="e">
        <f t="shared" si="0"/>
        <v>#N/A</v>
      </c>
      <c r="T62" s="296" t="e">
        <f t="shared" si="1"/>
        <v>#N/A</v>
      </c>
      <c r="U62" s="297" t="e">
        <f t="shared" si="2"/>
        <v>#N/A</v>
      </c>
      <c r="V62" s="297" t="e">
        <f t="shared" si="3"/>
        <v>#N/A</v>
      </c>
      <c r="W62" s="297" t="e">
        <f t="shared" si="4"/>
        <v>#N/A</v>
      </c>
      <c r="X62" s="297" t="e">
        <f t="shared" si="5"/>
        <v>#N/A</v>
      </c>
      <c r="Y62" s="297" t="e">
        <f t="shared" si="6"/>
        <v>#N/A</v>
      </c>
      <c r="Z62" s="296" t="e">
        <f t="shared" si="7"/>
        <v>#N/A</v>
      </c>
    </row>
    <row r="63" spans="2:26" ht="15.75" hidden="1" customHeight="1">
      <c r="B63" s="29"/>
      <c r="C63" s="366"/>
      <c r="D63" s="279"/>
      <c r="E63" s="279"/>
      <c r="F63" s="278"/>
      <c r="G63" s="279"/>
      <c r="H63" s="279"/>
      <c r="I63" s="368"/>
      <c r="J63" s="368"/>
      <c r="K63" s="281"/>
      <c r="L63" s="276"/>
      <c r="M63" s="397"/>
      <c r="N63" s="370"/>
      <c r="O63" s="371"/>
      <c r="P63" s="443"/>
      <c r="R63" s="277">
        <f t="shared" si="8"/>
        <v>0</v>
      </c>
      <c r="S63" s="296" t="e">
        <f t="shared" si="0"/>
        <v>#N/A</v>
      </c>
      <c r="T63" s="296" t="e">
        <f t="shared" si="1"/>
        <v>#N/A</v>
      </c>
      <c r="U63" s="297" t="e">
        <f t="shared" si="2"/>
        <v>#N/A</v>
      </c>
      <c r="V63" s="297" t="e">
        <f t="shared" si="3"/>
        <v>#N/A</v>
      </c>
      <c r="W63" s="297" t="e">
        <f t="shared" si="4"/>
        <v>#N/A</v>
      </c>
      <c r="X63" s="297" t="e">
        <f t="shared" si="5"/>
        <v>#N/A</v>
      </c>
      <c r="Y63" s="297" t="e">
        <f t="shared" si="6"/>
        <v>#N/A</v>
      </c>
      <c r="Z63" s="296" t="e">
        <f t="shared" si="7"/>
        <v>#N/A</v>
      </c>
    </row>
    <row r="64" spans="2:26" ht="15.75" hidden="1" customHeight="1">
      <c r="B64" s="29"/>
      <c r="C64" s="366"/>
      <c r="D64" s="279"/>
      <c r="E64" s="279"/>
      <c r="F64" s="278"/>
      <c r="G64" s="279"/>
      <c r="H64" s="279"/>
      <c r="I64" s="368"/>
      <c r="J64" s="368"/>
      <c r="K64" s="281"/>
      <c r="L64" s="276"/>
      <c r="M64" s="397"/>
      <c r="N64" s="370"/>
      <c r="O64" s="371"/>
      <c r="P64" s="443"/>
      <c r="R64" s="277">
        <f t="shared" si="8"/>
        <v>0</v>
      </c>
      <c r="S64" s="296" t="e">
        <f t="shared" si="0"/>
        <v>#N/A</v>
      </c>
      <c r="T64" s="296" t="e">
        <f t="shared" si="1"/>
        <v>#N/A</v>
      </c>
      <c r="U64" s="297" t="e">
        <f t="shared" si="2"/>
        <v>#N/A</v>
      </c>
      <c r="V64" s="297" t="e">
        <f t="shared" si="3"/>
        <v>#N/A</v>
      </c>
      <c r="W64" s="297" t="e">
        <f t="shared" si="4"/>
        <v>#N/A</v>
      </c>
      <c r="X64" s="297" t="e">
        <f t="shared" si="5"/>
        <v>#N/A</v>
      </c>
      <c r="Y64" s="297" t="e">
        <f t="shared" si="6"/>
        <v>#N/A</v>
      </c>
      <c r="Z64" s="296" t="e">
        <f t="shared" si="7"/>
        <v>#N/A</v>
      </c>
    </row>
    <row r="65" spans="2:26" ht="15.75" hidden="1" customHeight="1">
      <c r="B65" s="29"/>
      <c r="C65" s="366"/>
      <c r="D65" s="279"/>
      <c r="E65" s="279"/>
      <c r="F65" s="278"/>
      <c r="G65" s="279"/>
      <c r="H65" s="279"/>
      <c r="I65" s="368"/>
      <c r="J65" s="368"/>
      <c r="K65" s="281"/>
      <c r="L65" s="276"/>
      <c r="M65" s="397"/>
      <c r="N65" s="370"/>
      <c r="O65" s="371"/>
      <c r="P65" s="443"/>
      <c r="R65" s="277">
        <f t="shared" si="8"/>
        <v>0</v>
      </c>
      <c r="S65" s="296" t="e">
        <f t="shared" si="0"/>
        <v>#N/A</v>
      </c>
      <c r="T65" s="296" t="e">
        <f t="shared" si="1"/>
        <v>#N/A</v>
      </c>
      <c r="U65" s="297" t="e">
        <f t="shared" si="2"/>
        <v>#N/A</v>
      </c>
      <c r="V65" s="297" t="e">
        <f t="shared" si="3"/>
        <v>#N/A</v>
      </c>
      <c r="W65" s="297" t="e">
        <f t="shared" si="4"/>
        <v>#N/A</v>
      </c>
      <c r="X65" s="297" t="e">
        <f t="shared" si="5"/>
        <v>#N/A</v>
      </c>
      <c r="Y65" s="297" t="e">
        <f t="shared" si="6"/>
        <v>#N/A</v>
      </c>
      <c r="Z65" s="296" t="e">
        <f t="shared" si="7"/>
        <v>#N/A</v>
      </c>
    </row>
    <row r="66" spans="2:26" ht="15.75" hidden="1" customHeight="1">
      <c r="B66" s="29"/>
      <c r="C66" s="366"/>
      <c r="D66" s="279"/>
      <c r="E66" s="279"/>
      <c r="F66" s="278"/>
      <c r="G66" s="279"/>
      <c r="H66" s="279"/>
      <c r="I66" s="368"/>
      <c r="J66" s="368"/>
      <c r="K66" s="281"/>
      <c r="L66" s="276"/>
      <c r="M66" s="397"/>
      <c r="N66" s="370"/>
      <c r="O66" s="371"/>
      <c r="P66" s="443"/>
      <c r="R66" s="277">
        <f t="shared" si="8"/>
        <v>0</v>
      </c>
      <c r="S66" s="296" t="e">
        <f t="shared" si="0"/>
        <v>#N/A</v>
      </c>
      <c r="T66" s="296" t="e">
        <f t="shared" si="1"/>
        <v>#N/A</v>
      </c>
      <c r="U66" s="297" t="e">
        <f t="shared" si="2"/>
        <v>#N/A</v>
      </c>
      <c r="V66" s="297" t="e">
        <f t="shared" si="3"/>
        <v>#N/A</v>
      </c>
      <c r="W66" s="297" t="e">
        <f t="shared" si="4"/>
        <v>#N/A</v>
      </c>
      <c r="X66" s="297" t="e">
        <f t="shared" si="5"/>
        <v>#N/A</v>
      </c>
      <c r="Y66" s="297" t="e">
        <f t="shared" si="6"/>
        <v>#N/A</v>
      </c>
      <c r="Z66" s="296" t="e">
        <f t="shared" si="7"/>
        <v>#N/A</v>
      </c>
    </row>
    <row r="67" spans="2:26" ht="15.75" hidden="1" customHeight="1">
      <c r="B67" s="29"/>
      <c r="C67" s="366"/>
      <c r="D67" s="279"/>
      <c r="E67" s="279"/>
      <c r="F67" s="278"/>
      <c r="G67" s="279"/>
      <c r="H67" s="279"/>
      <c r="I67" s="368"/>
      <c r="J67" s="368"/>
      <c r="K67" s="281"/>
      <c r="L67" s="276"/>
      <c r="M67" s="397"/>
      <c r="N67" s="370"/>
      <c r="O67" s="371"/>
      <c r="P67" s="443"/>
      <c r="R67" s="277">
        <f t="shared" si="8"/>
        <v>0</v>
      </c>
      <c r="S67" s="296" t="e">
        <f t="shared" si="0"/>
        <v>#N/A</v>
      </c>
      <c r="T67" s="296" t="e">
        <f t="shared" si="1"/>
        <v>#N/A</v>
      </c>
      <c r="U67" s="297" t="e">
        <f t="shared" si="2"/>
        <v>#N/A</v>
      </c>
      <c r="V67" s="297" t="e">
        <f t="shared" si="3"/>
        <v>#N/A</v>
      </c>
      <c r="W67" s="297" t="e">
        <f t="shared" si="4"/>
        <v>#N/A</v>
      </c>
      <c r="X67" s="297" t="e">
        <f t="shared" si="5"/>
        <v>#N/A</v>
      </c>
      <c r="Y67" s="297" t="e">
        <f t="shared" si="6"/>
        <v>#N/A</v>
      </c>
      <c r="Z67" s="296" t="e">
        <f t="shared" si="7"/>
        <v>#N/A</v>
      </c>
    </row>
    <row r="68" spans="2:26" ht="15.75" hidden="1" customHeight="1">
      <c r="B68" s="29"/>
      <c r="C68" s="366"/>
      <c r="D68" s="279"/>
      <c r="E68" s="279"/>
      <c r="F68" s="278"/>
      <c r="G68" s="279"/>
      <c r="H68" s="279"/>
      <c r="I68" s="368"/>
      <c r="J68" s="368"/>
      <c r="K68" s="281"/>
      <c r="L68" s="276"/>
      <c r="M68" s="397"/>
      <c r="N68" s="370"/>
      <c r="O68" s="371"/>
      <c r="P68" s="443"/>
      <c r="R68" s="277">
        <f t="shared" si="8"/>
        <v>0</v>
      </c>
      <c r="S68" s="296" t="e">
        <f t="shared" si="0"/>
        <v>#N/A</v>
      </c>
      <c r="T68" s="296" t="e">
        <f t="shared" si="1"/>
        <v>#N/A</v>
      </c>
      <c r="U68" s="297" t="e">
        <f t="shared" si="2"/>
        <v>#N/A</v>
      </c>
      <c r="V68" s="297" t="e">
        <f t="shared" si="3"/>
        <v>#N/A</v>
      </c>
      <c r="W68" s="297" t="e">
        <f t="shared" si="4"/>
        <v>#N/A</v>
      </c>
      <c r="X68" s="297" t="e">
        <f t="shared" si="5"/>
        <v>#N/A</v>
      </c>
      <c r="Y68" s="297" t="e">
        <f t="shared" si="6"/>
        <v>#N/A</v>
      </c>
      <c r="Z68" s="296" t="e">
        <f t="shared" si="7"/>
        <v>#N/A</v>
      </c>
    </row>
    <row r="69" spans="2:26" ht="15.75" hidden="1" customHeight="1">
      <c r="B69" s="29"/>
      <c r="C69" s="366"/>
      <c r="D69" s="279"/>
      <c r="E69" s="279"/>
      <c r="F69" s="278"/>
      <c r="G69" s="279"/>
      <c r="H69" s="279"/>
      <c r="I69" s="368"/>
      <c r="J69" s="368"/>
      <c r="K69" s="281"/>
      <c r="L69" s="276"/>
      <c r="M69" s="397"/>
      <c r="N69" s="370"/>
      <c r="O69" s="371"/>
      <c r="P69" s="443"/>
      <c r="R69" s="277">
        <f t="shared" si="8"/>
        <v>0</v>
      </c>
      <c r="S69" s="296" t="e">
        <f t="shared" si="0"/>
        <v>#N/A</v>
      </c>
      <c r="T69" s="296" t="e">
        <f t="shared" si="1"/>
        <v>#N/A</v>
      </c>
      <c r="U69" s="297" t="e">
        <f t="shared" si="2"/>
        <v>#N/A</v>
      </c>
      <c r="V69" s="297" t="e">
        <f t="shared" si="3"/>
        <v>#N/A</v>
      </c>
      <c r="W69" s="297" t="e">
        <f t="shared" si="4"/>
        <v>#N/A</v>
      </c>
      <c r="X69" s="297" t="e">
        <f t="shared" si="5"/>
        <v>#N/A</v>
      </c>
      <c r="Y69" s="297" t="e">
        <f t="shared" si="6"/>
        <v>#N/A</v>
      </c>
      <c r="Z69" s="296" t="e">
        <f t="shared" si="7"/>
        <v>#N/A</v>
      </c>
    </row>
    <row r="70" spans="2:26" ht="15.75" hidden="1" customHeight="1">
      <c r="B70" s="29"/>
      <c r="C70" s="366"/>
      <c r="D70" s="279"/>
      <c r="E70" s="279"/>
      <c r="F70" s="278"/>
      <c r="G70" s="279"/>
      <c r="H70" s="279"/>
      <c r="I70" s="368"/>
      <c r="J70" s="368"/>
      <c r="K70" s="281"/>
      <c r="L70" s="276"/>
      <c r="M70" s="397"/>
      <c r="N70" s="370"/>
      <c r="O70" s="371"/>
      <c r="P70" s="443"/>
      <c r="R70" s="277">
        <f t="shared" si="8"/>
        <v>0</v>
      </c>
      <c r="S70" s="296" t="e">
        <f t="shared" si="0"/>
        <v>#N/A</v>
      </c>
      <c r="T70" s="296" t="e">
        <f t="shared" si="1"/>
        <v>#N/A</v>
      </c>
      <c r="U70" s="297" t="e">
        <f t="shared" si="2"/>
        <v>#N/A</v>
      </c>
      <c r="V70" s="297" t="e">
        <f t="shared" si="3"/>
        <v>#N/A</v>
      </c>
      <c r="W70" s="297" t="e">
        <f t="shared" si="4"/>
        <v>#N/A</v>
      </c>
      <c r="X70" s="297" t="e">
        <f t="shared" si="5"/>
        <v>#N/A</v>
      </c>
      <c r="Y70" s="297" t="e">
        <f t="shared" si="6"/>
        <v>#N/A</v>
      </c>
      <c r="Z70" s="296" t="e">
        <f t="shared" si="7"/>
        <v>#N/A</v>
      </c>
    </row>
    <row r="71" spans="2:26" ht="15.75" hidden="1" customHeight="1">
      <c r="B71" s="29"/>
      <c r="C71" s="366"/>
      <c r="D71" s="279"/>
      <c r="E71" s="279"/>
      <c r="F71" s="278"/>
      <c r="G71" s="279"/>
      <c r="H71" s="279"/>
      <c r="I71" s="368"/>
      <c r="J71" s="368"/>
      <c r="K71" s="281"/>
      <c r="L71" s="276"/>
      <c r="M71" s="397"/>
      <c r="N71" s="370"/>
      <c r="O71" s="371"/>
      <c r="P71" s="443"/>
      <c r="R71" s="277">
        <f t="shared" si="8"/>
        <v>0</v>
      </c>
      <c r="S71" s="296" t="e">
        <f t="shared" si="0"/>
        <v>#N/A</v>
      </c>
      <c r="T71" s="296" t="e">
        <f t="shared" si="1"/>
        <v>#N/A</v>
      </c>
      <c r="U71" s="297" t="e">
        <f t="shared" si="2"/>
        <v>#N/A</v>
      </c>
      <c r="V71" s="297" t="e">
        <f t="shared" si="3"/>
        <v>#N/A</v>
      </c>
      <c r="W71" s="297" t="e">
        <f t="shared" si="4"/>
        <v>#N/A</v>
      </c>
      <c r="X71" s="297" t="e">
        <f t="shared" si="5"/>
        <v>#N/A</v>
      </c>
      <c r="Y71" s="297" t="e">
        <f t="shared" si="6"/>
        <v>#N/A</v>
      </c>
      <c r="Z71" s="296" t="e">
        <f t="shared" si="7"/>
        <v>#N/A</v>
      </c>
    </row>
    <row r="72" spans="2:26" ht="15.75" hidden="1" customHeight="1">
      <c r="B72" s="29"/>
      <c r="C72" s="366"/>
      <c r="D72" s="279"/>
      <c r="E72" s="279"/>
      <c r="F72" s="278"/>
      <c r="G72" s="279"/>
      <c r="H72" s="279"/>
      <c r="I72" s="368"/>
      <c r="J72" s="368"/>
      <c r="K72" s="281"/>
      <c r="L72" s="276"/>
      <c r="M72" s="397"/>
      <c r="N72" s="370"/>
      <c r="O72" s="371"/>
      <c r="P72" s="443"/>
      <c r="R72" s="277">
        <f t="shared" si="8"/>
        <v>0</v>
      </c>
      <c r="S72" s="296" t="e">
        <f t="shared" si="0"/>
        <v>#N/A</v>
      </c>
      <c r="T72" s="296" t="e">
        <f t="shared" si="1"/>
        <v>#N/A</v>
      </c>
      <c r="U72" s="297" t="e">
        <f t="shared" si="2"/>
        <v>#N/A</v>
      </c>
      <c r="V72" s="297" t="e">
        <f t="shared" si="3"/>
        <v>#N/A</v>
      </c>
      <c r="W72" s="297" t="e">
        <f t="shared" si="4"/>
        <v>#N/A</v>
      </c>
      <c r="X72" s="297" t="e">
        <f t="shared" si="5"/>
        <v>#N/A</v>
      </c>
      <c r="Y72" s="297" t="e">
        <f t="shared" si="6"/>
        <v>#N/A</v>
      </c>
      <c r="Z72" s="296" t="e">
        <f t="shared" si="7"/>
        <v>#N/A</v>
      </c>
    </row>
    <row r="73" spans="2:26" ht="15.75" hidden="1" customHeight="1">
      <c r="B73" s="29"/>
      <c r="C73" s="366"/>
      <c r="D73" s="279"/>
      <c r="E73" s="279"/>
      <c r="F73" s="278"/>
      <c r="G73" s="279"/>
      <c r="H73" s="279"/>
      <c r="I73" s="368"/>
      <c r="J73" s="368"/>
      <c r="K73" s="281"/>
      <c r="L73" s="276"/>
      <c r="M73" s="397"/>
      <c r="N73" s="370"/>
      <c r="O73" s="371"/>
      <c r="P73" s="443"/>
      <c r="R73" s="277">
        <f t="shared" si="8"/>
        <v>0</v>
      </c>
      <c r="S73" s="296" t="e">
        <f t="shared" si="0"/>
        <v>#N/A</v>
      </c>
      <c r="T73" s="296" t="e">
        <f t="shared" si="1"/>
        <v>#N/A</v>
      </c>
      <c r="U73" s="297" t="e">
        <f t="shared" si="2"/>
        <v>#N/A</v>
      </c>
      <c r="V73" s="297" t="e">
        <f t="shared" si="3"/>
        <v>#N/A</v>
      </c>
      <c r="W73" s="297" t="e">
        <f t="shared" si="4"/>
        <v>#N/A</v>
      </c>
      <c r="X73" s="297" t="e">
        <f t="shared" si="5"/>
        <v>#N/A</v>
      </c>
      <c r="Y73" s="297" t="e">
        <f t="shared" si="6"/>
        <v>#N/A</v>
      </c>
      <c r="Z73" s="296" t="e">
        <f t="shared" si="7"/>
        <v>#N/A</v>
      </c>
    </row>
    <row r="74" spans="2:26" ht="15.75" hidden="1" customHeight="1">
      <c r="B74" s="29"/>
      <c r="C74" s="366"/>
      <c r="D74" s="279"/>
      <c r="E74" s="279"/>
      <c r="F74" s="278"/>
      <c r="G74" s="279"/>
      <c r="H74" s="279"/>
      <c r="I74" s="368"/>
      <c r="J74" s="368"/>
      <c r="K74" s="281"/>
      <c r="L74" s="276"/>
      <c r="M74" s="397"/>
      <c r="N74" s="370"/>
      <c r="O74" s="371"/>
      <c r="P74" s="443"/>
      <c r="R74" s="277">
        <f t="shared" si="8"/>
        <v>0</v>
      </c>
      <c r="S74" s="296" t="e">
        <f t="shared" si="0"/>
        <v>#N/A</v>
      </c>
      <c r="T74" s="296" t="e">
        <f t="shared" si="1"/>
        <v>#N/A</v>
      </c>
      <c r="U74" s="297" t="e">
        <f t="shared" si="2"/>
        <v>#N/A</v>
      </c>
      <c r="V74" s="297" t="e">
        <f t="shared" si="3"/>
        <v>#N/A</v>
      </c>
      <c r="W74" s="297" t="e">
        <f t="shared" si="4"/>
        <v>#N/A</v>
      </c>
      <c r="X74" s="297" t="e">
        <f t="shared" si="5"/>
        <v>#N/A</v>
      </c>
      <c r="Y74" s="297" t="e">
        <f t="shared" si="6"/>
        <v>#N/A</v>
      </c>
      <c r="Z74" s="296" t="e">
        <f t="shared" si="7"/>
        <v>#N/A</v>
      </c>
    </row>
    <row r="75" spans="2:26" ht="15.75" hidden="1" customHeight="1">
      <c r="B75" s="29"/>
      <c r="C75" s="366"/>
      <c r="D75" s="279"/>
      <c r="E75" s="279"/>
      <c r="F75" s="278"/>
      <c r="G75" s="279"/>
      <c r="H75" s="279"/>
      <c r="I75" s="368"/>
      <c r="J75" s="368"/>
      <c r="K75" s="281"/>
      <c r="L75" s="276"/>
      <c r="M75" s="397"/>
      <c r="N75" s="370"/>
      <c r="O75" s="371"/>
      <c r="P75" s="443"/>
      <c r="R75" s="277">
        <f t="shared" si="8"/>
        <v>0</v>
      </c>
      <c r="S75" s="296" t="e">
        <f t="shared" si="0"/>
        <v>#N/A</v>
      </c>
      <c r="T75" s="296" t="e">
        <f t="shared" si="1"/>
        <v>#N/A</v>
      </c>
      <c r="U75" s="297" t="e">
        <f t="shared" si="2"/>
        <v>#N/A</v>
      </c>
      <c r="V75" s="297" t="e">
        <f t="shared" si="3"/>
        <v>#N/A</v>
      </c>
      <c r="W75" s="297" t="e">
        <f t="shared" si="4"/>
        <v>#N/A</v>
      </c>
      <c r="X75" s="297" t="e">
        <f t="shared" si="5"/>
        <v>#N/A</v>
      </c>
      <c r="Y75" s="297" t="e">
        <f t="shared" si="6"/>
        <v>#N/A</v>
      </c>
      <c r="Z75" s="296" t="e">
        <f t="shared" si="7"/>
        <v>#N/A</v>
      </c>
    </row>
    <row r="76" spans="2:26" ht="15.75" hidden="1" customHeight="1">
      <c r="B76" s="29"/>
      <c r="C76" s="366"/>
      <c r="D76" s="279"/>
      <c r="E76" s="279"/>
      <c r="F76" s="278"/>
      <c r="G76" s="279"/>
      <c r="H76" s="279"/>
      <c r="I76" s="368"/>
      <c r="J76" s="368"/>
      <c r="K76" s="281"/>
      <c r="L76" s="276"/>
      <c r="M76" s="397"/>
      <c r="N76" s="370"/>
      <c r="O76" s="371"/>
      <c r="P76" s="443"/>
      <c r="R76" s="277">
        <f t="shared" si="8"/>
        <v>0</v>
      </c>
      <c r="S76" s="296" t="e">
        <f t="shared" si="0"/>
        <v>#N/A</v>
      </c>
      <c r="T76" s="296" t="e">
        <f t="shared" si="1"/>
        <v>#N/A</v>
      </c>
      <c r="U76" s="297" t="e">
        <f t="shared" si="2"/>
        <v>#N/A</v>
      </c>
      <c r="V76" s="297" t="e">
        <f t="shared" si="3"/>
        <v>#N/A</v>
      </c>
      <c r="W76" s="297" t="e">
        <f t="shared" si="4"/>
        <v>#N/A</v>
      </c>
      <c r="X76" s="297" t="e">
        <f t="shared" si="5"/>
        <v>#N/A</v>
      </c>
      <c r="Y76" s="297" t="e">
        <f t="shared" si="6"/>
        <v>#N/A</v>
      </c>
      <c r="Z76" s="296" t="e">
        <f t="shared" si="7"/>
        <v>#N/A</v>
      </c>
    </row>
    <row r="77" spans="2:26" ht="15.75" hidden="1" customHeight="1">
      <c r="B77" s="29"/>
      <c r="C77" s="366"/>
      <c r="D77" s="279"/>
      <c r="E77" s="279"/>
      <c r="F77" s="278"/>
      <c r="G77" s="279"/>
      <c r="H77" s="279"/>
      <c r="I77" s="368"/>
      <c r="J77" s="368"/>
      <c r="K77" s="281"/>
      <c r="L77" s="276"/>
      <c r="M77" s="397"/>
      <c r="N77" s="370"/>
      <c r="O77" s="371"/>
      <c r="P77" s="443"/>
      <c r="R77" s="277">
        <f t="shared" ref="R77:R100" si="9">B77</f>
        <v>0</v>
      </c>
      <c r="S77" s="296" t="e">
        <f t="shared" si="0"/>
        <v>#N/A</v>
      </c>
      <c r="T77" s="296" t="e">
        <f t="shared" si="1"/>
        <v>#N/A</v>
      </c>
      <c r="U77" s="297" t="e">
        <f t="shared" si="2"/>
        <v>#N/A</v>
      </c>
      <c r="V77" s="297" t="e">
        <f t="shared" si="3"/>
        <v>#N/A</v>
      </c>
      <c r="W77" s="297" t="e">
        <f t="shared" si="4"/>
        <v>#N/A</v>
      </c>
      <c r="X77" s="297" t="e">
        <f t="shared" si="5"/>
        <v>#N/A</v>
      </c>
      <c r="Y77" s="297" t="e">
        <f t="shared" si="6"/>
        <v>#N/A</v>
      </c>
      <c r="Z77" s="296" t="e">
        <f t="shared" si="7"/>
        <v>#N/A</v>
      </c>
    </row>
    <row r="78" spans="2:26" ht="15.75" hidden="1" customHeight="1">
      <c r="B78" s="29"/>
      <c r="C78" s="366"/>
      <c r="D78" s="279"/>
      <c r="E78" s="279"/>
      <c r="F78" s="278"/>
      <c r="G78" s="279"/>
      <c r="H78" s="279"/>
      <c r="I78" s="368"/>
      <c r="J78" s="368"/>
      <c r="K78" s="281"/>
      <c r="L78" s="276"/>
      <c r="M78" s="397"/>
      <c r="N78" s="370"/>
      <c r="O78" s="371"/>
      <c r="P78" s="443"/>
      <c r="R78" s="277">
        <f t="shared" si="9"/>
        <v>0</v>
      </c>
      <c r="S78" s="296" t="e">
        <f t="shared" si="0"/>
        <v>#N/A</v>
      </c>
      <c r="T78" s="296" t="e">
        <f t="shared" si="1"/>
        <v>#N/A</v>
      </c>
      <c r="U78" s="297" t="e">
        <f t="shared" si="2"/>
        <v>#N/A</v>
      </c>
      <c r="V78" s="297" t="e">
        <f t="shared" si="3"/>
        <v>#N/A</v>
      </c>
      <c r="W78" s="297" t="e">
        <f t="shared" si="4"/>
        <v>#N/A</v>
      </c>
      <c r="X78" s="297" t="e">
        <f t="shared" si="5"/>
        <v>#N/A</v>
      </c>
      <c r="Y78" s="297" t="e">
        <f t="shared" si="6"/>
        <v>#N/A</v>
      </c>
      <c r="Z78" s="296" t="e">
        <f t="shared" si="7"/>
        <v>#N/A</v>
      </c>
    </row>
    <row r="79" spans="2:26" ht="15.75" hidden="1" customHeight="1">
      <c r="B79" s="29"/>
      <c r="C79" s="366"/>
      <c r="D79" s="279"/>
      <c r="E79" s="279"/>
      <c r="F79" s="278"/>
      <c r="G79" s="279"/>
      <c r="H79" s="279"/>
      <c r="I79" s="368"/>
      <c r="J79" s="368"/>
      <c r="K79" s="281"/>
      <c r="L79" s="276"/>
      <c r="M79" s="397"/>
      <c r="N79" s="370"/>
      <c r="O79" s="371"/>
      <c r="P79" s="443"/>
      <c r="R79" s="277">
        <f t="shared" si="9"/>
        <v>0</v>
      </c>
      <c r="S79" s="296" t="e">
        <f t="shared" si="0"/>
        <v>#N/A</v>
      </c>
      <c r="T79" s="296" t="e">
        <f t="shared" si="1"/>
        <v>#N/A</v>
      </c>
      <c r="U79" s="297" t="e">
        <f t="shared" si="2"/>
        <v>#N/A</v>
      </c>
      <c r="V79" s="297" t="e">
        <f t="shared" si="3"/>
        <v>#N/A</v>
      </c>
      <c r="W79" s="297" t="e">
        <f t="shared" si="4"/>
        <v>#N/A</v>
      </c>
      <c r="X79" s="297" t="e">
        <f t="shared" si="5"/>
        <v>#N/A</v>
      </c>
      <c r="Y79" s="297" t="e">
        <f t="shared" si="6"/>
        <v>#N/A</v>
      </c>
      <c r="Z79" s="296" t="e">
        <f t="shared" si="7"/>
        <v>#N/A</v>
      </c>
    </row>
    <row r="80" spans="2:26" ht="15.75" hidden="1" customHeight="1">
      <c r="B80" s="29"/>
      <c r="C80" s="366"/>
      <c r="D80" s="279"/>
      <c r="E80" s="279"/>
      <c r="F80" s="278"/>
      <c r="G80" s="279"/>
      <c r="H80" s="279"/>
      <c r="I80" s="368"/>
      <c r="J80" s="368"/>
      <c r="K80" s="281"/>
      <c r="L80" s="276"/>
      <c r="M80" s="397"/>
      <c r="N80" s="370"/>
      <c r="O80" s="371"/>
      <c r="P80" s="443"/>
      <c r="R80" s="277">
        <f t="shared" si="9"/>
        <v>0</v>
      </c>
      <c r="S80" s="296" t="e">
        <f t="shared" si="0"/>
        <v>#N/A</v>
      </c>
      <c r="T80" s="296" t="e">
        <f t="shared" si="1"/>
        <v>#N/A</v>
      </c>
      <c r="U80" s="297" t="e">
        <f t="shared" si="2"/>
        <v>#N/A</v>
      </c>
      <c r="V80" s="297" t="e">
        <f t="shared" si="3"/>
        <v>#N/A</v>
      </c>
      <c r="W80" s="297" t="e">
        <f t="shared" si="4"/>
        <v>#N/A</v>
      </c>
      <c r="X80" s="297" t="e">
        <f t="shared" si="5"/>
        <v>#N/A</v>
      </c>
      <c r="Y80" s="297" t="e">
        <f t="shared" si="6"/>
        <v>#N/A</v>
      </c>
      <c r="Z80" s="296" t="e">
        <f t="shared" si="7"/>
        <v>#N/A</v>
      </c>
    </row>
    <row r="81" spans="2:26" ht="15.75" hidden="1" customHeight="1">
      <c r="B81" s="29"/>
      <c r="C81" s="366"/>
      <c r="D81" s="279"/>
      <c r="E81" s="279"/>
      <c r="F81" s="278"/>
      <c r="G81" s="279"/>
      <c r="H81" s="279"/>
      <c r="I81" s="368"/>
      <c r="J81" s="368"/>
      <c r="K81" s="281"/>
      <c r="L81" s="276"/>
      <c r="M81" s="397"/>
      <c r="N81" s="370"/>
      <c r="O81" s="371"/>
      <c r="P81" s="443"/>
      <c r="R81" s="277">
        <f t="shared" si="9"/>
        <v>0</v>
      </c>
      <c r="S81" s="296" t="e">
        <f t="shared" si="0"/>
        <v>#N/A</v>
      </c>
      <c r="T81" s="296" t="e">
        <f t="shared" si="1"/>
        <v>#N/A</v>
      </c>
      <c r="U81" s="297" t="e">
        <f t="shared" si="2"/>
        <v>#N/A</v>
      </c>
      <c r="V81" s="297" t="e">
        <f t="shared" si="3"/>
        <v>#N/A</v>
      </c>
      <c r="W81" s="297" t="e">
        <f t="shared" si="4"/>
        <v>#N/A</v>
      </c>
      <c r="X81" s="297" t="e">
        <f t="shared" si="5"/>
        <v>#N/A</v>
      </c>
      <c r="Y81" s="297" t="e">
        <f t="shared" si="6"/>
        <v>#N/A</v>
      </c>
      <c r="Z81" s="296" t="e">
        <f t="shared" si="7"/>
        <v>#N/A</v>
      </c>
    </row>
    <row r="82" spans="2:26" ht="15.75" hidden="1" customHeight="1">
      <c r="B82" s="29"/>
      <c r="C82" s="366"/>
      <c r="D82" s="279"/>
      <c r="E82" s="279"/>
      <c r="F82" s="278"/>
      <c r="G82" s="279"/>
      <c r="H82" s="279"/>
      <c r="I82" s="368"/>
      <c r="J82" s="368"/>
      <c r="K82" s="281"/>
      <c r="L82" s="276"/>
      <c r="M82" s="397"/>
      <c r="N82" s="370"/>
      <c r="O82" s="371"/>
      <c r="P82" s="443"/>
      <c r="R82" s="277">
        <f t="shared" si="9"/>
        <v>0</v>
      </c>
      <c r="S82" s="296" t="e">
        <f t="shared" si="0"/>
        <v>#N/A</v>
      </c>
      <c r="T82" s="296" t="e">
        <f t="shared" si="1"/>
        <v>#N/A</v>
      </c>
      <c r="U82" s="297" t="e">
        <f t="shared" si="2"/>
        <v>#N/A</v>
      </c>
      <c r="V82" s="297" t="e">
        <f t="shared" si="3"/>
        <v>#N/A</v>
      </c>
      <c r="W82" s="297" t="e">
        <f t="shared" si="4"/>
        <v>#N/A</v>
      </c>
      <c r="X82" s="297" t="e">
        <f t="shared" si="5"/>
        <v>#N/A</v>
      </c>
      <c r="Y82" s="297" t="e">
        <f t="shared" si="6"/>
        <v>#N/A</v>
      </c>
      <c r="Z82" s="296" t="e">
        <f t="shared" si="7"/>
        <v>#N/A</v>
      </c>
    </row>
    <row r="83" spans="2:26" ht="15.75" hidden="1" customHeight="1">
      <c r="B83" s="29"/>
      <c r="C83" s="366"/>
      <c r="D83" s="279"/>
      <c r="E83" s="279"/>
      <c r="F83" s="278"/>
      <c r="G83" s="279"/>
      <c r="H83" s="279"/>
      <c r="I83" s="368"/>
      <c r="J83" s="368"/>
      <c r="K83" s="281"/>
      <c r="L83" s="276"/>
      <c r="M83" s="397"/>
      <c r="N83" s="370"/>
      <c r="O83" s="371"/>
      <c r="P83" s="443"/>
      <c r="R83" s="277">
        <f t="shared" si="9"/>
        <v>0</v>
      </c>
      <c r="S83" s="296" t="e">
        <f t="shared" si="0"/>
        <v>#N/A</v>
      </c>
      <c r="T83" s="296" t="e">
        <f t="shared" si="1"/>
        <v>#N/A</v>
      </c>
      <c r="U83" s="297" t="e">
        <f t="shared" si="2"/>
        <v>#N/A</v>
      </c>
      <c r="V83" s="297" t="e">
        <f t="shared" si="3"/>
        <v>#N/A</v>
      </c>
      <c r="W83" s="297" t="e">
        <f t="shared" si="4"/>
        <v>#N/A</v>
      </c>
      <c r="X83" s="297" t="e">
        <f t="shared" si="5"/>
        <v>#N/A</v>
      </c>
      <c r="Y83" s="297" t="e">
        <f t="shared" si="6"/>
        <v>#N/A</v>
      </c>
      <c r="Z83" s="296" t="e">
        <f t="shared" si="7"/>
        <v>#N/A</v>
      </c>
    </row>
    <row r="84" spans="2:26" ht="15.75" hidden="1" customHeight="1">
      <c r="B84" s="29"/>
      <c r="C84" s="366"/>
      <c r="D84" s="279"/>
      <c r="E84" s="279"/>
      <c r="F84" s="278"/>
      <c r="G84" s="279"/>
      <c r="H84" s="279"/>
      <c r="I84" s="368"/>
      <c r="J84" s="368"/>
      <c r="K84" s="281"/>
      <c r="L84" s="276"/>
      <c r="M84" s="397"/>
      <c r="N84" s="370"/>
      <c r="O84" s="371"/>
      <c r="P84" s="443"/>
      <c r="R84" s="277">
        <f t="shared" si="9"/>
        <v>0</v>
      </c>
      <c r="S84" s="296" t="e">
        <f t="shared" si="0"/>
        <v>#N/A</v>
      </c>
      <c r="T84" s="296" t="e">
        <f t="shared" si="1"/>
        <v>#N/A</v>
      </c>
      <c r="U84" s="297" t="e">
        <f t="shared" si="2"/>
        <v>#N/A</v>
      </c>
      <c r="V84" s="297" t="e">
        <f t="shared" si="3"/>
        <v>#N/A</v>
      </c>
      <c r="W84" s="297" t="e">
        <f t="shared" si="4"/>
        <v>#N/A</v>
      </c>
      <c r="X84" s="297" t="e">
        <f t="shared" si="5"/>
        <v>#N/A</v>
      </c>
      <c r="Y84" s="297" t="e">
        <f t="shared" si="6"/>
        <v>#N/A</v>
      </c>
      <c r="Z84" s="296" t="e">
        <f t="shared" si="7"/>
        <v>#N/A</v>
      </c>
    </row>
    <row r="85" spans="2:26" ht="15.75" hidden="1" customHeight="1">
      <c r="B85" s="29"/>
      <c r="C85" s="366"/>
      <c r="D85" s="279"/>
      <c r="E85" s="279"/>
      <c r="F85" s="278"/>
      <c r="G85" s="279"/>
      <c r="H85" s="279"/>
      <c r="I85" s="368"/>
      <c r="J85" s="368"/>
      <c r="K85" s="281"/>
      <c r="L85" s="276"/>
      <c r="M85" s="397"/>
      <c r="N85" s="370"/>
      <c r="O85" s="371"/>
      <c r="P85" s="443"/>
      <c r="R85" s="277">
        <f t="shared" si="9"/>
        <v>0</v>
      </c>
      <c r="S85" s="296" t="e">
        <f t="shared" si="0"/>
        <v>#N/A</v>
      </c>
      <c r="T85" s="296" t="e">
        <f t="shared" si="1"/>
        <v>#N/A</v>
      </c>
      <c r="U85" s="297" t="e">
        <f t="shared" si="2"/>
        <v>#N/A</v>
      </c>
      <c r="V85" s="297" t="e">
        <f t="shared" si="3"/>
        <v>#N/A</v>
      </c>
      <c r="W85" s="297" t="e">
        <f t="shared" si="4"/>
        <v>#N/A</v>
      </c>
      <c r="X85" s="297" t="e">
        <f t="shared" si="5"/>
        <v>#N/A</v>
      </c>
      <c r="Y85" s="297" t="e">
        <f t="shared" si="6"/>
        <v>#N/A</v>
      </c>
      <c r="Z85" s="296" t="e">
        <f t="shared" si="7"/>
        <v>#N/A</v>
      </c>
    </row>
    <row r="86" spans="2:26" ht="15.75" hidden="1" customHeight="1">
      <c r="B86" s="29"/>
      <c r="C86" s="366"/>
      <c r="D86" s="279"/>
      <c r="E86" s="279"/>
      <c r="F86" s="278"/>
      <c r="G86" s="279"/>
      <c r="H86" s="279"/>
      <c r="I86" s="368"/>
      <c r="J86" s="368"/>
      <c r="K86" s="281"/>
      <c r="L86" s="444"/>
      <c r="M86" s="397"/>
      <c r="N86" s="370"/>
      <c r="O86" s="371"/>
      <c r="P86" s="443"/>
      <c r="R86" s="277">
        <f t="shared" si="9"/>
        <v>0</v>
      </c>
      <c r="S86" s="296" t="e">
        <f t="shared" si="0"/>
        <v>#N/A</v>
      </c>
      <c r="T86" s="296" t="e">
        <f t="shared" si="1"/>
        <v>#N/A</v>
      </c>
      <c r="U86" s="297" t="e">
        <f t="shared" si="2"/>
        <v>#N/A</v>
      </c>
      <c r="V86" s="297" t="e">
        <f t="shared" si="3"/>
        <v>#N/A</v>
      </c>
      <c r="W86" s="297" t="e">
        <f t="shared" si="4"/>
        <v>#N/A</v>
      </c>
      <c r="X86" s="297" t="e">
        <f t="shared" si="5"/>
        <v>#N/A</v>
      </c>
      <c r="Y86" s="297" t="e">
        <f t="shared" si="6"/>
        <v>#N/A</v>
      </c>
      <c r="Z86" s="296" t="e">
        <f t="shared" si="7"/>
        <v>#N/A</v>
      </c>
    </row>
    <row r="87" spans="2:26" ht="15.75" hidden="1" customHeight="1">
      <c r="B87" s="29"/>
      <c r="C87" s="366"/>
      <c r="D87" s="279"/>
      <c r="E87" s="279"/>
      <c r="F87" s="278"/>
      <c r="G87" s="279"/>
      <c r="H87" s="279"/>
      <c r="I87" s="368"/>
      <c r="J87" s="368"/>
      <c r="K87" s="281"/>
      <c r="L87" s="444"/>
      <c r="M87" s="397"/>
      <c r="N87" s="370"/>
      <c r="O87" s="371"/>
      <c r="P87" s="443"/>
      <c r="R87" s="277">
        <f t="shared" si="9"/>
        <v>0</v>
      </c>
      <c r="S87" s="296" t="e">
        <f t="shared" si="0"/>
        <v>#N/A</v>
      </c>
      <c r="T87" s="296" t="e">
        <f t="shared" si="1"/>
        <v>#N/A</v>
      </c>
      <c r="U87" s="297" t="e">
        <f t="shared" si="2"/>
        <v>#N/A</v>
      </c>
      <c r="V87" s="297" t="e">
        <f t="shared" si="3"/>
        <v>#N/A</v>
      </c>
      <c r="W87" s="297" t="e">
        <f t="shared" si="4"/>
        <v>#N/A</v>
      </c>
      <c r="X87" s="297" t="e">
        <f t="shared" si="5"/>
        <v>#N/A</v>
      </c>
      <c r="Y87" s="297" t="e">
        <f t="shared" si="6"/>
        <v>#N/A</v>
      </c>
      <c r="Z87" s="296" t="e">
        <f t="shared" si="7"/>
        <v>#N/A</v>
      </c>
    </row>
    <row r="88" spans="2:26" ht="15.75" hidden="1" customHeight="1">
      <c r="B88" s="29"/>
      <c r="C88" s="366"/>
      <c r="D88" s="279"/>
      <c r="E88" s="279"/>
      <c r="F88" s="278"/>
      <c r="G88" s="279"/>
      <c r="H88" s="279"/>
      <c r="I88" s="368"/>
      <c r="J88" s="368"/>
      <c r="K88" s="281"/>
      <c r="L88" s="444"/>
      <c r="M88" s="397"/>
      <c r="N88" s="370"/>
      <c r="O88" s="371"/>
      <c r="P88" s="443"/>
      <c r="R88" s="277">
        <f t="shared" si="9"/>
        <v>0</v>
      </c>
      <c r="S88" s="296" t="e">
        <f t="shared" si="0"/>
        <v>#N/A</v>
      </c>
      <c r="T88" s="296" t="e">
        <f t="shared" si="1"/>
        <v>#N/A</v>
      </c>
      <c r="U88" s="297" t="e">
        <f t="shared" si="2"/>
        <v>#N/A</v>
      </c>
      <c r="V88" s="297" t="e">
        <f t="shared" si="3"/>
        <v>#N/A</v>
      </c>
      <c r="W88" s="297" t="e">
        <f t="shared" si="4"/>
        <v>#N/A</v>
      </c>
      <c r="X88" s="297" t="e">
        <f t="shared" si="5"/>
        <v>#N/A</v>
      </c>
      <c r="Y88" s="297" t="e">
        <f t="shared" si="6"/>
        <v>#N/A</v>
      </c>
      <c r="Z88" s="296" t="e">
        <f t="shared" si="7"/>
        <v>#N/A</v>
      </c>
    </row>
    <row r="89" spans="2:26" ht="15.75" hidden="1" customHeight="1">
      <c r="B89" s="29"/>
      <c r="C89" s="366"/>
      <c r="D89" s="279"/>
      <c r="E89" s="279"/>
      <c r="F89" s="278"/>
      <c r="G89" s="279"/>
      <c r="H89" s="279"/>
      <c r="I89" s="368"/>
      <c r="J89" s="368"/>
      <c r="K89" s="281"/>
      <c r="L89" s="444"/>
      <c r="M89" s="397"/>
      <c r="N89" s="370"/>
      <c r="O89" s="371"/>
      <c r="P89" s="443"/>
      <c r="R89" s="277">
        <f t="shared" si="9"/>
        <v>0</v>
      </c>
      <c r="S89" s="296" t="e">
        <f t="shared" si="0"/>
        <v>#N/A</v>
      </c>
      <c r="T89" s="296" t="e">
        <f t="shared" si="1"/>
        <v>#N/A</v>
      </c>
      <c r="U89" s="297" t="e">
        <f t="shared" si="2"/>
        <v>#N/A</v>
      </c>
      <c r="V89" s="297" t="e">
        <f t="shared" si="3"/>
        <v>#N/A</v>
      </c>
      <c r="W89" s="297" t="e">
        <f t="shared" si="4"/>
        <v>#N/A</v>
      </c>
      <c r="X89" s="297" t="e">
        <f t="shared" si="5"/>
        <v>#N/A</v>
      </c>
      <c r="Y89" s="297" t="e">
        <f t="shared" si="6"/>
        <v>#N/A</v>
      </c>
      <c r="Z89" s="296" t="e">
        <f t="shared" si="7"/>
        <v>#N/A</v>
      </c>
    </row>
    <row r="90" spans="2:26" ht="15.75" hidden="1" customHeight="1">
      <c r="B90" s="29"/>
      <c r="C90" s="366"/>
      <c r="D90" s="279"/>
      <c r="E90" s="279"/>
      <c r="F90" s="278"/>
      <c r="G90" s="279"/>
      <c r="H90" s="279"/>
      <c r="I90" s="368"/>
      <c r="J90" s="368"/>
      <c r="K90" s="281"/>
      <c r="L90" s="444"/>
      <c r="M90" s="397"/>
      <c r="N90" s="370"/>
      <c r="O90" s="371"/>
      <c r="P90" s="443"/>
      <c r="R90" s="277">
        <f t="shared" si="9"/>
        <v>0</v>
      </c>
      <c r="S90" s="296" t="e">
        <f t="shared" si="0"/>
        <v>#N/A</v>
      </c>
      <c r="T90" s="296" t="e">
        <f t="shared" si="1"/>
        <v>#N/A</v>
      </c>
      <c r="U90" s="297" t="e">
        <f t="shared" si="2"/>
        <v>#N/A</v>
      </c>
      <c r="V90" s="297" t="e">
        <f t="shared" si="3"/>
        <v>#N/A</v>
      </c>
      <c r="W90" s="297" t="e">
        <f t="shared" si="4"/>
        <v>#N/A</v>
      </c>
      <c r="X90" s="297" t="e">
        <f t="shared" si="5"/>
        <v>#N/A</v>
      </c>
      <c r="Y90" s="297" t="e">
        <f t="shared" si="6"/>
        <v>#N/A</v>
      </c>
      <c r="Z90" s="296" t="e">
        <f t="shared" si="7"/>
        <v>#N/A</v>
      </c>
    </row>
    <row r="91" spans="2:26" ht="15.75" hidden="1" customHeight="1">
      <c r="B91" s="29"/>
      <c r="C91" s="366"/>
      <c r="D91" s="279"/>
      <c r="E91" s="279"/>
      <c r="F91" s="278"/>
      <c r="G91" s="279"/>
      <c r="H91" s="279"/>
      <c r="I91" s="368"/>
      <c r="J91" s="368"/>
      <c r="K91" s="281"/>
      <c r="L91" s="444"/>
      <c r="M91" s="397"/>
      <c r="N91" s="370"/>
      <c r="O91" s="371"/>
      <c r="P91" s="443"/>
      <c r="R91" s="277">
        <f t="shared" si="9"/>
        <v>0</v>
      </c>
      <c r="S91" s="296" t="e">
        <f t="shared" si="0"/>
        <v>#N/A</v>
      </c>
      <c r="T91" s="296" t="e">
        <f t="shared" si="1"/>
        <v>#N/A</v>
      </c>
      <c r="U91" s="297" t="e">
        <f t="shared" si="2"/>
        <v>#N/A</v>
      </c>
      <c r="V91" s="297" t="e">
        <f t="shared" si="3"/>
        <v>#N/A</v>
      </c>
      <c r="W91" s="297" t="e">
        <f t="shared" si="4"/>
        <v>#N/A</v>
      </c>
      <c r="X91" s="297" t="e">
        <f t="shared" si="5"/>
        <v>#N/A</v>
      </c>
      <c r="Y91" s="297" t="e">
        <f t="shared" si="6"/>
        <v>#N/A</v>
      </c>
      <c r="Z91" s="296" t="e">
        <f t="shared" si="7"/>
        <v>#N/A</v>
      </c>
    </row>
    <row r="92" spans="2:26" ht="15.75" hidden="1" customHeight="1">
      <c r="B92" s="29"/>
      <c r="C92" s="366"/>
      <c r="D92" s="279"/>
      <c r="E92" s="279"/>
      <c r="F92" s="278"/>
      <c r="G92" s="279"/>
      <c r="H92" s="279"/>
      <c r="I92" s="368"/>
      <c r="J92" s="368"/>
      <c r="K92" s="281"/>
      <c r="L92" s="444"/>
      <c r="M92" s="397"/>
      <c r="N92" s="370"/>
      <c r="O92" s="371"/>
      <c r="P92" s="443"/>
      <c r="R92" s="277">
        <f t="shared" si="9"/>
        <v>0</v>
      </c>
      <c r="S92" s="296" t="e">
        <f t="shared" si="0"/>
        <v>#N/A</v>
      </c>
      <c r="T92" s="296" t="e">
        <f t="shared" si="1"/>
        <v>#N/A</v>
      </c>
      <c r="U92" s="297" t="e">
        <f t="shared" si="2"/>
        <v>#N/A</v>
      </c>
      <c r="V92" s="297" t="e">
        <f t="shared" si="3"/>
        <v>#N/A</v>
      </c>
      <c r="W92" s="297" t="e">
        <f t="shared" si="4"/>
        <v>#N/A</v>
      </c>
      <c r="X92" s="297" t="e">
        <f t="shared" si="5"/>
        <v>#N/A</v>
      </c>
      <c r="Y92" s="297" t="e">
        <f t="shared" si="6"/>
        <v>#N/A</v>
      </c>
      <c r="Z92" s="296" t="e">
        <f t="shared" si="7"/>
        <v>#N/A</v>
      </c>
    </row>
    <row r="93" spans="2:26" ht="15.75" hidden="1" customHeight="1">
      <c r="B93" s="29"/>
      <c r="C93" s="366"/>
      <c r="D93" s="279"/>
      <c r="E93" s="279"/>
      <c r="F93" s="278"/>
      <c r="G93" s="279"/>
      <c r="H93" s="279"/>
      <c r="I93" s="368"/>
      <c r="J93" s="368"/>
      <c r="K93" s="281"/>
      <c r="L93" s="444"/>
      <c r="M93" s="397"/>
      <c r="N93" s="370"/>
      <c r="O93" s="371"/>
      <c r="P93" s="443"/>
      <c r="R93" s="277">
        <f t="shared" si="9"/>
        <v>0</v>
      </c>
      <c r="S93" s="296" t="e">
        <f t="shared" si="0"/>
        <v>#N/A</v>
      </c>
      <c r="T93" s="296" t="e">
        <f t="shared" si="1"/>
        <v>#N/A</v>
      </c>
      <c r="U93" s="297" t="e">
        <f t="shared" si="2"/>
        <v>#N/A</v>
      </c>
      <c r="V93" s="297" t="e">
        <f t="shared" si="3"/>
        <v>#N/A</v>
      </c>
      <c r="W93" s="297" t="e">
        <f t="shared" si="4"/>
        <v>#N/A</v>
      </c>
      <c r="X93" s="297" t="e">
        <f t="shared" si="5"/>
        <v>#N/A</v>
      </c>
      <c r="Y93" s="297" t="e">
        <f t="shared" si="6"/>
        <v>#N/A</v>
      </c>
      <c r="Z93" s="296" t="e">
        <f t="shared" si="7"/>
        <v>#N/A</v>
      </c>
    </row>
    <row r="94" spans="2:26" ht="15.75" hidden="1" customHeight="1">
      <c r="B94" s="29"/>
      <c r="C94" s="366"/>
      <c r="D94" s="279"/>
      <c r="E94" s="279"/>
      <c r="F94" s="278"/>
      <c r="G94" s="279"/>
      <c r="H94" s="279"/>
      <c r="I94" s="368"/>
      <c r="J94" s="368"/>
      <c r="K94" s="281"/>
      <c r="L94" s="444"/>
      <c r="M94" s="397"/>
      <c r="N94" s="370"/>
      <c r="O94" s="371"/>
      <c r="P94" s="443"/>
      <c r="R94" s="277">
        <f t="shared" si="9"/>
        <v>0</v>
      </c>
      <c r="S94" s="296" t="e">
        <f t="shared" si="0"/>
        <v>#N/A</v>
      </c>
      <c r="T94" s="296" t="e">
        <f t="shared" si="1"/>
        <v>#N/A</v>
      </c>
      <c r="U94" s="297" t="e">
        <f t="shared" si="2"/>
        <v>#N/A</v>
      </c>
      <c r="V94" s="297" t="e">
        <f t="shared" si="3"/>
        <v>#N/A</v>
      </c>
      <c r="W94" s="297" t="e">
        <f t="shared" si="4"/>
        <v>#N/A</v>
      </c>
      <c r="X94" s="297" t="e">
        <f t="shared" si="5"/>
        <v>#N/A</v>
      </c>
      <c r="Y94" s="297" t="e">
        <f t="shared" si="6"/>
        <v>#N/A</v>
      </c>
      <c r="Z94" s="296" t="e">
        <f t="shared" si="7"/>
        <v>#N/A</v>
      </c>
    </row>
    <row r="95" spans="2:26" ht="15.75" hidden="1" customHeight="1">
      <c r="B95" s="29"/>
      <c r="C95" s="366"/>
      <c r="D95" s="279"/>
      <c r="E95" s="279"/>
      <c r="F95" s="278"/>
      <c r="G95" s="279"/>
      <c r="H95" s="279"/>
      <c r="I95" s="368"/>
      <c r="J95" s="368"/>
      <c r="K95" s="281"/>
      <c r="L95" s="444"/>
      <c r="M95" s="397"/>
      <c r="N95" s="370"/>
      <c r="O95" s="371"/>
      <c r="P95" s="443"/>
      <c r="R95" s="277">
        <f t="shared" si="9"/>
        <v>0</v>
      </c>
      <c r="S95" s="296" t="e">
        <f t="shared" si="0"/>
        <v>#N/A</v>
      </c>
      <c r="T95" s="296" t="e">
        <f t="shared" si="1"/>
        <v>#N/A</v>
      </c>
      <c r="U95" s="297" t="e">
        <f t="shared" si="2"/>
        <v>#N/A</v>
      </c>
      <c r="V95" s="297" t="e">
        <f t="shared" si="3"/>
        <v>#N/A</v>
      </c>
      <c r="W95" s="297" t="e">
        <f t="shared" si="4"/>
        <v>#N/A</v>
      </c>
      <c r="X95" s="297" t="e">
        <f t="shared" si="5"/>
        <v>#N/A</v>
      </c>
      <c r="Y95" s="297" t="e">
        <f t="shared" si="6"/>
        <v>#N/A</v>
      </c>
      <c r="Z95" s="296" t="e">
        <f t="shared" si="7"/>
        <v>#N/A</v>
      </c>
    </row>
    <row r="96" spans="2:26" ht="15.75" hidden="1" customHeight="1">
      <c r="B96" s="33"/>
      <c r="C96" s="366"/>
      <c r="D96" s="279"/>
      <c r="E96" s="279"/>
      <c r="F96" s="278"/>
      <c r="G96" s="279"/>
      <c r="H96" s="279"/>
      <c r="I96" s="434"/>
      <c r="J96" s="398"/>
      <c r="K96" s="276"/>
      <c r="L96" s="374"/>
      <c r="M96" s="397"/>
      <c r="N96" s="370"/>
      <c r="O96" s="371"/>
      <c r="P96" s="443"/>
      <c r="R96" s="277">
        <f t="shared" si="9"/>
        <v>0</v>
      </c>
      <c r="S96" s="296" t="e">
        <f t="shared" si="0"/>
        <v>#N/A</v>
      </c>
      <c r="T96" s="296" t="e">
        <f t="shared" si="1"/>
        <v>#N/A</v>
      </c>
      <c r="U96" s="297" t="e">
        <f t="shared" si="2"/>
        <v>#N/A</v>
      </c>
      <c r="V96" s="297" t="e">
        <f t="shared" si="3"/>
        <v>#N/A</v>
      </c>
      <c r="W96" s="297" t="e">
        <f t="shared" si="4"/>
        <v>#N/A</v>
      </c>
      <c r="X96" s="297" t="e">
        <f t="shared" si="5"/>
        <v>#N/A</v>
      </c>
      <c r="Y96" s="297" t="e">
        <f t="shared" si="6"/>
        <v>#N/A</v>
      </c>
      <c r="Z96" s="296" t="e">
        <f t="shared" si="7"/>
        <v>#N/A</v>
      </c>
    </row>
    <row r="97" spans="1:27" ht="15.75" hidden="1" customHeight="1">
      <c r="B97" s="33"/>
      <c r="C97" s="366"/>
      <c r="D97" s="279"/>
      <c r="E97" s="279"/>
      <c r="F97" s="278"/>
      <c r="G97" s="279"/>
      <c r="H97" s="279"/>
      <c r="I97" s="434"/>
      <c r="J97" s="398"/>
      <c r="K97" s="276"/>
      <c r="L97" s="374"/>
      <c r="M97" s="397"/>
      <c r="N97" s="370"/>
      <c r="O97" s="371"/>
      <c r="P97" s="443"/>
      <c r="R97" s="277">
        <f t="shared" si="9"/>
        <v>0</v>
      </c>
      <c r="S97" s="296" t="e">
        <f t="shared" si="0"/>
        <v>#N/A</v>
      </c>
      <c r="T97" s="296" t="e">
        <f t="shared" si="1"/>
        <v>#N/A</v>
      </c>
      <c r="U97" s="297" t="e">
        <f t="shared" si="2"/>
        <v>#N/A</v>
      </c>
      <c r="V97" s="297" t="e">
        <f t="shared" si="3"/>
        <v>#N/A</v>
      </c>
      <c r="W97" s="297" t="e">
        <f t="shared" si="4"/>
        <v>#N/A</v>
      </c>
      <c r="X97" s="297" t="e">
        <f t="shared" si="5"/>
        <v>#N/A</v>
      </c>
      <c r="Y97" s="297" t="e">
        <f t="shared" si="6"/>
        <v>#N/A</v>
      </c>
      <c r="Z97" s="296" t="e">
        <f t="shared" si="7"/>
        <v>#N/A</v>
      </c>
    </row>
    <row r="98" spans="1:27" ht="15.75" hidden="1" customHeight="1">
      <c r="B98" s="33"/>
      <c r="C98" s="366"/>
      <c r="D98" s="279"/>
      <c r="E98" s="279"/>
      <c r="F98" s="278"/>
      <c r="G98" s="279"/>
      <c r="H98" s="279"/>
      <c r="I98" s="434"/>
      <c r="J98" s="398"/>
      <c r="K98" s="276"/>
      <c r="L98" s="374"/>
      <c r="M98" s="397"/>
      <c r="N98" s="370"/>
      <c r="O98" s="371"/>
      <c r="P98" s="443"/>
      <c r="R98" s="277">
        <f t="shared" si="9"/>
        <v>0</v>
      </c>
      <c r="S98" s="296" t="e">
        <f t="shared" si="0"/>
        <v>#N/A</v>
      </c>
      <c r="T98" s="296" t="e">
        <f t="shared" si="1"/>
        <v>#N/A</v>
      </c>
      <c r="U98" s="297" t="e">
        <f t="shared" si="2"/>
        <v>#N/A</v>
      </c>
      <c r="V98" s="297" t="e">
        <f t="shared" si="3"/>
        <v>#N/A</v>
      </c>
      <c r="W98" s="297" t="e">
        <f t="shared" si="4"/>
        <v>#N/A</v>
      </c>
      <c r="X98" s="297" t="e">
        <f t="shared" si="5"/>
        <v>#N/A</v>
      </c>
      <c r="Y98" s="297" t="e">
        <f t="shared" si="6"/>
        <v>#N/A</v>
      </c>
      <c r="Z98" s="296" t="e">
        <f t="shared" si="7"/>
        <v>#N/A</v>
      </c>
    </row>
    <row r="99" spans="1:27" ht="15.75" hidden="1" customHeight="1">
      <c r="B99" s="33"/>
      <c r="C99" s="366"/>
      <c r="D99" s="279"/>
      <c r="E99" s="279"/>
      <c r="F99" s="278"/>
      <c r="G99" s="279"/>
      <c r="H99" s="279"/>
      <c r="I99" s="434"/>
      <c r="J99" s="398"/>
      <c r="K99" s="276"/>
      <c r="L99" s="374"/>
      <c r="M99" s="397"/>
      <c r="N99" s="370"/>
      <c r="O99" s="371"/>
      <c r="P99" s="443"/>
      <c r="R99" s="277">
        <f t="shared" si="9"/>
        <v>0</v>
      </c>
      <c r="S99" s="296" t="e">
        <f t="shared" si="0"/>
        <v>#N/A</v>
      </c>
      <c r="T99" s="296" t="e">
        <f t="shared" si="1"/>
        <v>#N/A</v>
      </c>
      <c r="U99" s="297" t="e">
        <f t="shared" si="2"/>
        <v>#N/A</v>
      </c>
      <c r="V99" s="297" t="e">
        <f t="shared" si="3"/>
        <v>#N/A</v>
      </c>
      <c r="W99" s="297" t="e">
        <f t="shared" si="4"/>
        <v>#N/A</v>
      </c>
      <c r="X99" s="297" t="e">
        <f t="shared" si="5"/>
        <v>#N/A</v>
      </c>
      <c r="Y99" s="297" t="e">
        <f t="shared" si="6"/>
        <v>#N/A</v>
      </c>
      <c r="Z99" s="296" t="e">
        <f t="shared" si="7"/>
        <v>#N/A</v>
      </c>
    </row>
    <row r="100" spans="1:27" ht="15.75" hidden="1" customHeight="1">
      <c r="B100" s="33"/>
      <c r="C100" s="366"/>
      <c r="D100" s="279"/>
      <c r="E100" s="279"/>
      <c r="F100" s="278"/>
      <c r="G100" s="279"/>
      <c r="H100" s="279"/>
      <c r="I100" s="434"/>
      <c r="J100" s="398"/>
      <c r="K100" s="276"/>
      <c r="L100" s="374"/>
      <c r="M100" s="397"/>
      <c r="N100" s="370"/>
      <c r="O100" s="371"/>
      <c r="P100" s="443"/>
      <c r="R100" s="277">
        <f t="shared" si="9"/>
        <v>0</v>
      </c>
      <c r="S100" s="296" t="e">
        <f t="shared" si="0"/>
        <v>#N/A</v>
      </c>
      <c r="T100" s="296" t="e">
        <f t="shared" si="1"/>
        <v>#N/A</v>
      </c>
      <c r="U100" s="297" t="e">
        <f t="shared" si="2"/>
        <v>#N/A</v>
      </c>
      <c r="V100" s="297" t="e">
        <f t="shared" si="3"/>
        <v>#N/A</v>
      </c>
      <c r="W100" s="297" t="e">
        <f t="shared" si="4"/>
        <v>#N/A</v>
      </c>
      <c r="X100" s="297" t="e">
        <f t="shared" si="5"/>
        <v>#N/A</v>
      </c>
      <c r="Y100" s="297" t="e">
        <f t="shared" si="6"/>
        <v>#N/A</v>
      </c>
      <c r="Z100" s="296" t="e">
        <f t="shared" si="7"/>
        <v>#N/A</v>
      </c>
    </row>
    <row r="101" spans="1:27" ht="15.75" customHeight="1" thickBot="1">
      <c r="B101" s="358"/>
      <c r="C101" s="358"/>
      <c r="D101" s="358"/>
      <c r="E101" s="358"/>
      <c r="F101" s="294"/>
      <c r="G101" s="294"/>
      <c r="H101" s="348"/>
      <c r="I101" s="500" t="s">
        <v>34</v>
      </c>
      <c r="J101" s="500"/>
      <c r="K101" s="500"/>
      <c r="L101" s="500"/>
      <c r="M101" s="500"/>
      <c r="N101" s="500"/>
      <c r="O101" s="1"/>
      <c r="P101" s="12"/>
      <c r="S101" s="277">
        <f t="shared" ref="S101:S102" si="10">B101</f>
        <v>0</v>
      </c>
      <c r="T101" s="296" t="e">
        <f t="shared" si="0"/>
        <v>#N/A</v>
      </c>
      <c r="U101" s="296" t="e">
        <f t="shared" si="1"/>
        <v>#N/A</v>
      </c>
      <c r="V101" s="297" t="e">
        <f t="shared" si="2"/>
        <v>#N/A</v>
      </c>
      <c r="W101" s="297" t="e">
        <f t="shared" si="3"/>
        <v>#N/A</v>
      </c>
      <c r="X101" s="297" t="e">
        <f t="shared" si="4"/>
        <v>#N/A</v>
      </c>
      <c r="Y101" s="297" t="e">
        <f t="shared" si="5"/>
        <v>#N/A</v>
      </c>
      <c r="Z101" s="297" t="e">
        <f t="shared" si="6"/>
        <v>#N/A</v>
      </c>
      <c r="AA101" s="296" t="e">
        <f t="shared" si="7"/>
        <v>#N/A</v>
      </c>
    </row>
    <row r="102" spans="1:27" ht="15" thickBot="1">
      <c r="B102" s="388" t="s">
        <v>145</v>
      </c>
      <c r="C102" s="388"/>
      <c r="D102" s="513" t="s">
        <v>35</v>
      </c>
      <c r="E102" s="514"/>
      <c r="F102" s="294"/>
      <c r="G102" s="294"/>
      <c r="H102" s="348"/>
      <c r="I102" s="24" t="s">
        <v>17</v>
      </c>
      <c r="J102" s="25" t="s">
        <v>36</v>
      </c>
      <c r="K102" s="26" t="s">
        <v>138</v>
      </c>
      <c r="L102" s="25" t="s">
        <v>37</v>
      </c>
      <c r="M102" s="25" t="s">
        <v>38</v>
      </c>
      <c r="N102" s="27" t="s">
        <v>39</v>
      </c>
      <c r="O102" s="294"/>
      <c r="P102" s="12"/>
      <c r="S102" s="277" t="str">
        <f t="shared" si="10"/>
        <v>BRAND</v>
      </c>
      <c r="T102" s="296" t="e">
        <f t="shared" si="0"/>
        <v>#N/A</v>
      </c>
      <c r="U102" s="296" t="e">
        <f t="shared" si="1"/>
        <v>#N/A</v>
      </c>
      <c r="V102" s="297" t="e">
        <f t="shared" si="2"/>
        <v>#N/A</v>
      </c>
      <c r="W102" s="297" t="e">
        <f t="shared" si="3"/>
        <v>#N/A</v>
      </c>
      <c r="X102" s="297" t="e">
        <f t="shared" si="4"/>
        <v>#N/A</v>
      </c>
      <c r="Y102" s="297" t="e">
        <f t="shared" si="5"/>
        <v>#N/A</v>
      </c>
      <c r="Z102" s="297" t="e">
        <f t="shared" si="6"/>
        <v>#N/A</v>
      </c>
      <c r="AA102" s="296" t="e">
        <f t="shared" si="7"/>
        <v>#N/A</v>
      </c>
    </row>
    <row r="103" spans="1:27" ht="15" customHeight="1">
      <c r="A103" s="28"/>
      <c r="B103" s="535" t="str">
        <f>I104</f>
        <v>STAG</v>
      </c>
      <c r="C103" s="362">
        <f>[24]Process!D137</f>
        <v>11.8</v>
      </c>
      <c r="D103" s="504">
        <v>12.16</v>
      </c>
      <c r="E103" s="493"/>
      <c r="F103" s="294"/>
      <c r="G103" s="294"/>
      <c r="H103" s="348"/>
      <c r="I103" s="29" t="s">
        <v>6</v>
      </c>
      <c r="J103" s="280"/>
      <c r="K103" s="284">
        <f>COUNTA([23]Brewhouse!$A$341:$A$370)</f>
        <v>30</v>
      </c>
      <c r="L103" s="302">
        <f>AVERAGE([23]Brewhouse!$AU$341:$AU$346,[23]Brewhouse!$AU$348,[23]Brewhouse!$AU$349:$AU$370)</f>
        <v>98.533295542914729</v>
      </c>
      <c r="M103" s="302">
        <f>AVERAGE([23]Brewhouse!$AU$102:$AU$171,[23]Brewhouse!$AU$173:$AU$253,[23]Brewhouse!$AU$255:$AU$339,[23]Brewhouse!$AU$341:$AU$346,[23]Brewhouse!$AU$348,[23]Brewhouse!$AU$349:$AU$370)</f>
        <v>96.979211473328334</v>
      </c>
      <c r="N103" s="30">
        <v>98</v>
      </c>
      <c r="O103" s="11"/>
      <c r="P103" s="31"/>
      <c r="R103" s="277"/>
      <c r="S103" s="296"/>
      <c r="T103" s="296"/>
      <c r="U103" s="297"/>
      <c r="V103" s="297"/>
      <c r="W103" s="297"/>
      <c r="X103" s="297"/>
      <c r="Y103" s="297"/>
      <c r="Z103" s="296"/>
    </row>
    <row r="104" spans="1:27" ht="15" customHeight="1">
      <c r="A104" s="28"/>
      <c r="B104" s="536"/>
      <c r="C104" s="349">
        <f>[24]Process!D138</f>
        <v>11.7</v>
      </c>
      <c r="D104" s="505"/>
      <c r="E104" s="488"/>
      <c r="F104" s="294"/>
      <c r="G104" s="294"/>
      <c r="H104" s="348"/>
      <c r="I104" s="33" t="s">
        <v>9</v>
      </c>
      <c r="J104" s="280"/>
      <c r="K104" s="284">
        <f>COUNTA([24]Brewhouse!$A$142:$A$165)</f>
        <v>24</v>
      </c>
      <c r="L104" s="302">
        <f>AVERAGE([24]Brewhouse!$AS$142:$AS$165)</f>
        <v>98.959586348859446</v>
      </c>
      <c r="M104" s="302">
        <f>AVERAGE([24]Brewhouse!$AS$15:$AS$64,[24]Brewhouse!$AS$66:$AS$103,[24]Brewhouse!$AS$105:$AS$140,[24]Brewhouse!$AS$142:$AS$165)</f>
        <v>97.071077710321021</v>
      </c>
      <c r="N104" s="30">
        <v>98</v>
      </c>
      <c r="O104" s="11"/>
      <c r="P104" s="31"/>
      <c r="R104" s="277"/>
      <c r="S104" s="296"/>
      <c r="T104" s="296"/>
      <c r="U104" s="297"/>
      <c r="V104" s="297"/>
      <c r="W104" s="297"/>
      <c r="X104" s="297"/>
      <c r="Y104" s="297"/>
      <c r="Z104" s="296"/>
    </row>
    <row r="105" spans="1:27" ht="14.7" customHeight="1">
      <c r="A105" s="28"/>
      <c r="B105" s="536"/>
      <c r="C105" s="349">
        <f>[24]Process!D139</f>
        <v>11.8</v>
      </c>
      <c r="D105" s="504">
        <v>12.11</v>
      </c>
      <c r="E105" s="493"/>
      <c r="F105" s="294"/>
      <c r="G105" s="294"/>
      <c r="H105" s="348"/>
      <c r="I105" s="34" t="s">
        <v>12</v>
      </c>
      <c r="J105" s="280"/>
      <c r="K105" s="284">
        <f>COUNTA([22]Brewhouse!$A$37)</f>
        <v>1</v>
      </c>
      <c r="L105" s="302">
        <f>AVERAGE([22]Brewhouse!$AU$37)</f>
        <v>96.214667872117261</v>
      </c>
      <c r="M105" s="302">
        <f>AVERAGE([22]Brewhouse!$AU$4:$AU$7,[22]Brewhouse!$AU$9:$AU$22,[22]Brewhouse!$AU$24:$AU$35,[22]Brewhouse!$AU$37)</f>
        <v>96.767265202814471</v>
      </c>
      <c r="N105" s="30">
        <v>98</v>
      </c>
      <c r="O105" s="11"/>
      <c r="P105" s="31"/>
      <c r="R105" s="23"/>
      <c r="S105" s="1"/>
      <c r="T105" s="1"/>
      <c r="Z105" s="285"/>
    </row>
    <row r="106" spans="1:27" ht="14.7" customHeight="1">
      <c r="A106" s="28"/>
      <c r="B106" s="536"/>
      <c r="C106" s="349">
        <f>[24]Process!D140</f>
        <v>11.8</v>
      </c>
      <c r="D106" s="505"/>
      <c r="E106" s="488"/>
      <c r="F106" s="294"/>
      <c r="G106" s="294"/>
      <c r="H106" s="348"/>
      <c r="I106" s="22" t="s">
        <v>33</v>
      </c>
      <c r="J106" s="280">
        <f>AVERAGE(I10:I17)</f>
        <v>99.61038006330628</v>
      </c>
      <c r="K106" s="284">
        <f>COUNTA([25]Brewhouse!$A$26:$A$33)</f>
        <v>8</v>
      </c>
      <c r="L106" s="302">
        <f>AVERAGE([25]Brewhouse!$AV$26:$AV$33)</f>
        <v>99.61038006330628</v>
      </c>
      <c r="M106" s="302">
        <f>AVERAGE([25]Brewhouse!$AV$5:$AV$14,[25]Brewhouse!$AV$16:$AV$19,[25]Brewhouse!$AV$21:$AV$24,[25]Brewhouse!$AV$26:$AV$33)</f>
        <v>98.921974778040592</v>
      </c>
      <c r="N106" s="30">
        <v>98</v>
      </c>
      <c r="O106" s="11"/>
      <c r="P106" s="31"/>
      <c r="R106" s="23"/>
      <c r="S106" s="1"/>
      <c r="T106" s="1"/>
      <c r="Z106" s="285"/>
    </row>
    <row r="107" spans="1:27" ht="14.7" customHeight="1">
      <c r="A107" s="28"/>
      <c r="B107" s="536"/>
      <c r="C107" s="349"/>
      <c r="D107" s="504"/>
      <c r="E107" s="493"/>
      <c r="F107" s="436"/>
      <c r="G107" s="294"/>
      <c r="H107" s="348"/>
      <c r="I107" s="35" t="s">
        <v>29</v>
      </c>
      <c r="J107" s="280"/>
      <c r="K107" s="284"/>
      <c r="L107" s="302"/>
      <c r="M107" s="302"/>
      <c r="N107" s="30">
        <v>98</v>
      </c>
      <c r="O107" s="11"/>
      <c r="P107" s="31"/>
      <c r="R107" s="23"/>
    </row>
    <row r="108" spans="1:27" ht="14.7" customHeight="1">
      <c r="A108" s="28"/>
      <c r="B108" s="536"/>
      <c r="C108" s="349"/>
      <c r="D108" s="505"/>
      <c r="E108" s="488"/>
      <c r="F108" s="436"/>
      <c r="G108" s="294"/>
      <c r="H108" s="348"/>
      <c r="I108" s="36" t="s">
        <v>15</v>
      </c>
      <c r="J108" s="323"/>
      <c r="K108" s="284"/>
      <c r="L108" s="302"/>
      <c r="M108" s="302">
        <f>AVERAGE([26]Brewhouse!$AT$4:$AT$11)</f>
        <v>94.812616598822359</v>
      </c>
      <c r="N108" s="30">
        <v>98</v>
      </c>
      <c r="O108" s="11"/>
      <c r="P108" s="31"/>
      <c r="R108" s="23"/>
    </row>
    <row r="109" spans="1:27" ht="14.7" customHeight="1">
      <c r="A109" s="28"/>
      <c r="B109" s="536"/>
      <c r="C109" s="349"/>
      <c r="D109" s="504"/>
      <c r="E109" s="493"/>
      <c r="F109" s="436"/>
      <c r="G109" s="294"/>
      <c r="H109" s="348"/>
      <c r="I109" s="37" t="s">
        <v>16</v>
      </c>
      <c r="J109" s="323"/>
      <c r="K109" s="284">
        <f>COUNTA([27]Brewhouse!$A$31:$A$34)</f>
        <v>4</v>
      </c>
      <c r="L109" s="302">
        <f>AVERAGE([27]Brewhouse!$AY$31:$AY$34)</f>
        <v>98.653228650224236</v>
      </c>
      <c r="M109" s="302">
        <f>AVERAGE([27]Brewhouse!$AY$6:$AY$13,[27]Brewhouse!$AY$15:$AY$20,[27]Brewhouse!$AY$22:$AY$29,[27]Brewhouse!$AY$31:$AY$34)</f>
        <v>96.120888038911147</v>
      </c>
      <c r="N109" s="30">
        <v>98</v>
      </c>
      <c r="O109" s="11"/>
      <c r="P109" s="31" t="s">
        <v>41</v>
      </c>
      <c r="R109" s="23"/>
      <c r="W109" s="275" t="s">
        <v>41</v>
      </c>
    </row>
    <row r="110" spans="1:27" ht="14.7" customHeight="1">
      <c r="A110" s="28"/>
      <c r="B110" s="536"/>
      <c r="C110" s="349"/>
      <c r="D110" s="505"/>
      <c r="E110" s="488"/>
      <c r="F110" s="294"/>
      <c r="G110" s="294"/>
      <c r="H110" s="348"/>
      <c r="I110" s="412" t="s">
        <v>158</v>
      </c>
      <c r="J110" s="326"/>
      <c r="K110" s="284"/>
      <c r="L110" s="305"/>
      <c r="M110" s="305">
        <f>AVERAGE([28]Brewhouse!$AU$5:$AU$8)</f>
        <v>91.006888337619571</v>
      </c>
      <c r="N110" s="30">
        <v>98</v>
      </c>
      <c r="O110" s="11"/>
      <c r="P110" s="31"/>
      <c r="R110" s="23"/>
    </row>
    <row r="111" spans="1:27" ht="14.7" customHeight="1">
      <c r="A111" s="28"/>
      <c r="B111" s="536"/>
      <c r="C111" s="349"/>
      <c r="D111" s="504"/>
      <c r="E111" s="493"/>
      <c r="F111" s="294"/>
      <c r="G111" s="294"/>
      <c r="H111" s="348"/>
      <c r="I111" s="411" t="s">
        <v>157</v>
      </c>
      <c r="J111" s="326"/>
      <c r="K111" s="284"/>
      <c r="L111" s="305"/>
      <c r="M111" s="305"/>
      <c r="N111" s="30">
        <v>98</v>
      </c>
      <c r="O111" s="11"/>
      <c r="P111" s="31"/>
      <c r="R111" s="23"/>
    </row>
    <row r="112" spans="1:27" ht="15" customHeight="1" thickBot="1">
      <c r="A112" s="28"/>
      <c r="B112" s="536"/>
      <c r="C112" s="349"/>
      <c r="D112" s="505"/>
      <c r="E112" s="488"/>
      <c r="F112" s="294"/>
      <c r="G112" s="294"/>
      <c r="H112" s="348"/>
      <c r="I112" s="407" t="s">
        <v>156</v>
      </c>
      <c r="J112" s="327"/>
      <c r="K112" s="408"/>
      <c r="L112" s="409"/>
      <c r="M112" s="409"/>
      <c r="N112" s="410">
        <v>98</v>
      </c>
      <c r="O112" s="11"/>
      <c r="P112" s="31"/>
      <c r="R112" s="23"/>
    </row>
    <row r="113" spans="1:56" ht="15" customHeight="1" thickBot="1">
      <c r="A113" s="28"/>
      <c r="B113" s="536"/>
      <c r="C113" s="349"/>
      <c r="D113" s="504"/>
      <c r="E113" s="493"/>
      <c r="F113" s="294"/>
      <c r="G113" s="294"/>
      <c r="H113" s="348"/>
      <c r="I113" s="1"/>
      <c r="J113" s="39"/>
      <c r="K113" s="405">
        <f>SUM(K103:K112)</f>
        <v>67</v>
      </c>
      <c r="L113" s="406">
        <f>((L103*K103)+(L104*K104)+(L105*K105)+(L106*K106)+(L107*K107)+(K110*L110)+(L108*K108)+(L109*K109)+(L112*K112))/(K113)</f>
        <v>98.787157636410939</v>
      </c>
      <c r="M113" s="406">
        <f>AVERAGE('[29]Jan 31st'!$L$65,'[30]Feb 28th'!$L$35,'[31]Mar. 31st'!$L$35,L113)</f>
        <v>97.238093526911058</v>
      </c>
      <c r="N113" s="40">
        <v>98</v>
      </c>
      <c r="O113" s="11"/>
      <c r="P113" s="31"/>
      <c r="R113" s="23"/>
    </row>
    <row r="114" spans="1:56" ht="15" thickBot="1">
      <c r="B114" s="537"/>
      <c r="C114" s="350"/>
      <c r="D114" s="505"/>
      <c r="E114" s="488"/>
      <c r="F114" s="294"/>
      <c r="G114" s="42"/>
      <c r="H114" s="41"/>
      <c r="I114" s="42"/>
      <c r="J114" s="42"/>
      <c r="K114" s="351"/>
      <c r="L114" s="348"/>
      <c r="M114" s="348"/>
      <c r="N114" s="11"/>
      <c r="O114" s="294"/>
      <c r="P114" s="12"/>
      <c r="R114" s="23"/>
    </row>
    <row r="115" spans="1:56" ht="15" thickBot="1">
      <c r="B115" s="558" t="str">
        <f>I103</f>
        <v>CARIB</v>
      </c>
      <c r="C115" s="362">
        <f>[23]Process!D332</f>
        <v>11.7</v>
      </c>
      <c r="D115" s="485">
        <v>11.85</v>
      </c>
      <c r="E115" s="486"/>
      <c r="F115" s="43"/>
      <c r="G115" s="41"/>
      <c r="H115" s="41"/>
      <c r="I115" s="42"/>
      <c r="J115" s="538" t="s">
        <v>129</v>
      </c>
      <c r="K115" s="538"/>
      <c r="L115" s="294"/>
      <c r="M115" s="294"/>
      <c r="N115" s="294"/>
      <c r="O115" s="294"/>
      <c r="P115" s="12"/>
      <c r="R115" s="23" t="s">
        <v>41</v>
      </c>
    </row>
    <row r="116" spans="1:56" ht="13.5" customHeight="1" thickBot="1">
      <c r="B116" s="540"/>
      <c r="C116" s="349">
        <f>[23]Process!D333</f>
        <v>11.9</v>
      </c>
      <c r="D116" s="487"/>
      <c r="E116" s="488"/>
      <c r="F116" s="43"/>
      <c r="G116" s="41"/>
      <c r="H116" s="41"/>
      <c r="I116" s="42"/>
      <c r="J116" s="292" t="s">
        <v>17</v>
      </c>
      <c r="K116" s="293" t="s">
        <v>147</v>
      </c>
      <c r="L116" s="490" t="s">
        <v>136</v>
      </c>
      <c r="M116" s="490"/>
      <c r="N116" s="491"/>
      <c r="O116" s="294"/>
      <c r="P116" s="12"/>
      <c r="R116" s="23"/>
    </row>
    <row r="117" spans="1:56" ht="15" customHeight="1" thickBot="1">
      <c r="B117" s="540"/>
      <c r="C117" s="349">
        <f>[23]Process!D334</f>
        <v>11.8</v>
      </c>
      <c r="D117" s="492">
        <v>12.06</v>
      </c>
      <c r="E117" s="493"/>
      <c r="F117" s="43"/>
      <c r="G117" s="41"/>
      <c r="H117" s="41"/>
      <c r="I117" s="42"/>
      <c r="J117" s="287" t="s">
        <v>6</v>
      </c>
      <c r="K117" s="324"/>
      <c r="L117" s="343" t="s">
        <v>37</v>
      </c>
      <c r="M117" s="307" t="s">
        <v>38</v>
      </c>
      <c r="N117" s="307" t="s">
        <v>84</v>
      </c>
      <c r="O117" s="294"/>
      <c r="P117" s="12"/>
      <c r="R117" s="23"/>
    </row>
    <row r="118" spans="1:56" ht="15.75" customHeight="1" thickBot="1">
      <c r="B118" s="540"/>
      <c r="C118" s="349">
        <f>[23]Process!D335</f>
        <v>12</v>
      </c>
      <c r="D118" s="487"/>
      <c r="E118" s="488"/>
      <c r="F118" s="43"/>
      <c r="G118" s="41"/>
      <c r="H118" s="41"/>
      <c r="I118" s="42"/>
      <c r="J118" s="345" t="s">
        <v>9</v>
      </c>
      <c r="K118" s="324"/>
      <c r="L118" s="344">
        <f>AVERAGE('Apr. 1st'!K49,'Apr. 14th'!K127,'Apr. 3rd'!K49,'Apr. 4th'!K49,'Apr. 7th '!K50,'Apr. 8th  '!K60,'Apr. 9th   '!K50,'Apr. 10th '!K58,'Apr. 11-12-13th'!I127,'Apr. 11-12-13th'!J127,'Apr. 11-12-13th'!K127)</f>
        <v>6.0909090909090908</v>
      </c>
      <c r="M118" s="325">
        <f>AVERAGE('[29]Jan 29th '!$M$70,'[30]Feb 28th'!$L$40,'[31]Mar. 31st'!$L$40,L118)</f>
        <v>6.4765614819962645</v>
      </c>
      <c r="N118" s="433">
        <v>9.1999999999999993</v>
      </c>
      <c r="O118" s="294"/>
      <c r="P118" s="12"/>
      <c r="R118" s="23"/>
    </row>
    <row r="119" spans="1:56" ht="15" customHeight="1">
      <c r="B119" s="540"/>
      <c r="C119" s="349">
        <f>[23]Process!D336</f>
        <v>12</v>
      </c>
      <c r="D119" s="492">
        <v>11.97</v>
      </c>
      <c r="E119" s="493"/>
      <c r="F119" s="43"/>
      <c r="G119" s="41"/>
      <c r="H119" s="41"/>
      <c r="I119" s="42"/>
      <c r="J119" s="288" t="s">
        <v>40</v>
      </c>
      <c r="K119" s="324"/>
      <c r="L119" s="294"/>
      <c r="M119" s="294"/>
      <c r="N119" s="294"/>
      <c r="O119" s="294"/>
      <c r="P119" s="12"/>
      <c r="R119" s="23"/>
    </row>
    <row r="120" spans="1:56" ht="15" customHeight="1">
      <c r="B120" s="540"/>
      <c r="C120" s="349">
        <f>[23]Process!D337</f>
        <v>11.9</v>
      </c>
      <c r="D120" s="487"/>
      <c r="E120" s="488"/>
      <c r="F120" s="43"/>
      <c r="G120" s="41"/>
      <c r="H120" s="41"/>
      <c r="I120" s="42"/>
      <c r="J120" s="289" t="s">
        <v>33</v>
      </c>
      <c r="K120" s="324">
        <v>8</v>
      </c>
      <c r="L120" s="294"/>
      <c r="M120" s="294"/>
      <c r="N120" s="294"/>
      <c r="O120" s="294"/>
      <c r="P120" s="12"/>
      <c r="R120" s="23"/>
    </row>
    <row r="121" spans="1:56" ht="14.4">
      <c r="B121" s="540"/>
      <c r="C121" s="349">
        <f>[23]Process!D338</f>
        <v>11.8</v>
      </c>
      <c r="D121" s="492">
        <v>12.14</v>
      </c>
      <c r="E121" s="493"/>
      <c r="F121" s="43"/>
      <c r="G121" s="41"/>
      <c r="H121" s="41"/>
      <c r="I121" s="42"/>
      <c r="J121" s="290" t="s">
        <v>16</v>
      </c>
      <c r="K121" s="324"/>
      <c r="L121" s="294"/>
      <c r="M121" s="294"/>
      <c r="N121" s="294"/>
      <c r="O121" s="294"/>
      <c r="P121" s="12"/>
      <c r="R121" s="23"/>
      <c r="BC121" s="44"/>
      <c r="BD121" s="44"/>
    </row>
    <row r="122" spans="1:56" ht="14.4">
      <c r="B122" s="540"/>
      <c r="C122" s="349">
        <f>[23]Process!D339</f>
        <v>11.61</v>
      </c>
      <c r="D122" s="487"/>
      <c r="E122" s="488"/>
      <c r="F122" s="43"/>
      <c r="G122" s="41"/>
      <c r="H122" s="41"/>
      <c r="I122" s="42"/>
      <c r="J122" s="291" t="s">
        <v>15</v>
      </c>
      <c r="K122" s="324"/>
      <c r="L122" s="294"/>
      <c r="M122" s="294"/>
      <c r="N122" s="294"/>
      <c r="O122" s="294"/>
      <c r="P122" s="12"/>
      <c r="R122" s="23"/>
      <c r="BC122" s="44"/>
      <c r="BD122" s="44"/>
    </row>
    <row r="123" spans="1:56" ht="14.4">
      <c r="B123" s="540"/>
      <c r="C123" s="349"/>
      <c r="D123" s="494"/>
      <c r="E123" s="495"/>
      <c r="F123" s="43"/>
      <c r="G123" s="41"/>
      <c r="H123" s="41"/>
      <c r="I123" s="42"/>
      <c r="J123" s="291" t="s">
        <v>149</v>
      </c>
      <c r="K123" s="324"/>
      <c r="L123" s="294"/>
      <c r="M123" s="294"/>
      <c r="N123" s="294"/>
      <c r="O123" s="294"/>
      <c r="P123" s="12"/>
      <c r="R123" s="23"/>
      <c r="BC123" s="44"/>
      <c r="BD123" s="44"/>
    </row>
    <row r="124" spans="1:56" ht="15" thickBot="1">
      <c r="B124" s="553"/>
      <c r="C124" s="350"/>
      <c r="D124" s="496"/>
      <c r="E124" s="497"/>
      <c r="F124" s="43"/>
      <c r="G124" s="41"/>
      <c r="H124" s="41"/>
      <c r="I124" s="42"/>
      <c r="J124" s="291" t="s">
        <v>148</v>
      </c>
      <c r="K124" s="324"/>
      <c r="L124" s="294"/>
      <c r="M124" s="294"/>
      <c r="N124" s="294"/>
      <c r="O124" s="294"/>
      <c r="P124" s="12"/>
      <c r="R124" s="23"/>
      <c r="BC124" s="44"/>
      <c r="BD124" s="44"/>
    </row>
    <row r="125" spans="1:56" ht="17.7" customHeight="1" thickBot="1">
      <c r="B125" s="312" t="s">
        <v>139</v>
      </c>
      <c r="C125" s="313"/>
      <c r="D125" s="476">
        <f>AVERAGE(D103:E124)</f>
        <v>12.048333333333332</v>
      </c>
      <c r="E125" s="477"/>
      <c r="F125" s="43"/>
      <c r="G125" s="41"/>
      <c r="H125" s="41"/>
      <c r="I125" s="42"/>
      <c r="J125" s="295" t="s">
        <v>134</v>
      </c>
      <c r="K125" s="324"/>
      <c r="L125" s="294"/>
      <c r="M125" s="294"/>
      <c r="N125" s="294"/>
      <c r="O125" s="294"/>
      <c r="P125" s="12"/>
      <c r="R125" s="23"/>
      <c r="BC125" s="44"/>
      <c r="BD125" s="44"/>
    </row>
    <row r="126" spans="1:56" ht="17.7" customHeight="1">
      <c r="B126" s="363"/>
      <c r="C126" s="364"/>
      <c r="D126" s="365"/>
      <c r="E126" s="365"/>
      <c r="F126" s="43"/>
      <c r="G126" s="41"/>
      <c r="H126" s="41"/>
      <c r="I126" s="42"/>
      <c r="J126" s="295" t="s">
        <v>131</v>
      </c>
      <c r="K126" s="324"/>
      <c r="L126" s="294"/>
      <c r="M126" s="294"/>
      <c r="N126" s="294"/>
      <c r="O126" s="294"/>
      <c r="P126" s="12"/>
      <c r="R126" s="23"/>
      <c r="BC126" s="44"/>
      <c r="BD126" s="44"/>
    </row>
    <row r="127" spans="1:56" ht="15.75" customHeight="1">
      <c r="B127" s="45"/>
      <c r="C127" s="11"/>
      <c r="D127" s="11"/>
      <c r="E127" s="46"/>
      <c r="F127" s="23"/>
      <c r="G127" s="11"/>
      <c r="H127" s="41"/>
      <c r="I127" s="42"/>
      <c r="J127" s="346" t="s">
        <v>130</v>
      </c>
      <c r="K127" s="324">
        <f>SUM(K117:K126)</f>
        <v>8</v>
      </c>
      <c r="L127" s="294"/>
      <c r="M127" s="294"/>
      <c r="N127" s="294"/>
      <c r="O127" s="294"/>
      <c r="P127" s="12"/>
    </row>
    <row r="128" spans="1:56" ht="20.25" customHeight="1">
      <c r="B128" s="15" t="s">
        <v>42</v>
      </c>
      <c r="C128" s="1" t="s">
        <v>43</v>
      </c>
      <c r="D128" s="1"/>
      <c r="E128" s="1"/>
      <c r="H128" s="41"/>
      <c r="I128" s="42"/>
      <c r="L128" s="294"/>
      <c r="P128" s="334"/>
    </row>
    <row r="129" spans="2:57" ht="15" customHeight="1" thickBot="1"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8"/>
      <c r="O129" s="48"/>
      <c r="P129" s="49"/>
      <c r="W129" s="275" t="s">
        <v>41</v>
      </c>
    </row>
    <row r="130" spans="2:57" ht="15" customHeight="1" thickBot="1">
      <c r="B130" s="466" t="s">
        <v>17</v>
      </c>
      <c r="C130" s="466" t="s">
        <v>44</v>
      </c>
      <c r="D130" s="478" t="s">
        <v>45</v>
      </c>
      <c r="E130" s="480" t="s">
        <v>46</v>
      </c>
      <c r="F130" s="474" t="s">
        <v>47</v>
      </c>
      <c r="G130" s="464" t="s">
        <v>48</v>
      </c>
      <c r="H130" s="466" t="s">
        <v>49</v>
      </c>
      <c r="I130" s="466" t="s">
        <v>50</v>
      </c>
      <c r="J130" s="458" t="s">
        <v>28</v>
      </c>
      <c r="K130" s="470" t="s">
        <v>51</v>
      </c>
      <c r="L130" s="472" t="s">
        <v>52</v>
      </c>
      <c r="M130" s="458" t="s">
        <v>53</v>
      </c>
      <c r="N130" s="13"/>
      <c r="O130" s="13"/>
      <c r="P130" s="50"/>
    </row>
    <row r="131" spans="2:57" ht="28.5" customHeight="1" thickTop="1" thickBot="1">
      <c r="B131" s="467"/>
      <c r="C131" s="467"/>
      <c r="D131" s="479"/>
      <c r="E131" s="481"/>
      <c r="F131" s="475"/>
      <c r="G131" s="465"/>
      <c r="H131" s="467"/>
      <c r="I131" s="467"/>
      <c r="J131" s="459"/>
      <c r="K131" s="471"/>
      <c r="L131" s="473"/>
      <c r="M131" s="459"/>
      <c r="N131" s="13"/>
      <c r="O131" s="13"/>
      <c r="P131" s="50"/>
      <c r="Q131" s="355"/>
      <c r="R131" s="355"/>
      <c r="S131" s="355"/>
      <c r="T131" s="51">
        <v>43466</v>
      </c>
      <c r="U131" s="51">
        <v>43467</v>
      </c>
      <c r="V131" s="51">
        <v>43468</v>
      </c>
      <c r="W131" s="51">
        <v>43469</v>
      </c>
      <c r="X131" s="51">
        <v>43470</v>
      </c>
      <c r="Y131" s="51">
        <v>43471</v>
      </c>
      <c r="Z131" s="51">
        <v>43472</v>
      </c>
      <c r="AA131" s="51">
        <v>43473</v>
      </c>
      <c r="AB131" s="51">
        <v>43474</v>
      </c>
      <c r="AC131" s="51">
        <v>43475</v>
      </c>
      <c r="AD131" s="51">
        <v>43476</v>
      </c>
      <c r="AE131" s="51">
        <v>43477</v>
      </c>
      <c r="AF131" s="51">
        <v>43478</v>
      </c>
      <c r="AG131" s="51">
        <v>43479</v>
      </c>
      <c r="AH131" s="51">
        <v>43480</v>
      </c>
      <c r="AI131" s="51">
        <v>43481</v>
      </c>
      <c r="AJ131" s="51">
        <v>43482</v>
      </c>
      <c r="AK131" s="51">
        <v>43483</v>
      </c>
      <c r="AL131" s="51">
        <v>43484</v>
      </c>
      <c r="AM131" s="51">
        <v>43485</v>
      </c>
      <c r="AN131" s="51">
        <v>43486</v>
      </c>
      <c r="AO131" s="51">
        <v>43487</v>
      </c>
      <c r="AP131" s="51">
        <v>43488</v>
      </c>
      <c r="AQ131" s="51">
        <v>43489</v>
      </c>
      <c r="AR131" s="51">
        <v>43490</v>
      </c>
      <c r="AS131" s="51">
        <v>43491</v>
      </c>
      <c r="AT131" s="51">
        <v>43492</v>
      </c>
      <c r="AU131" s="51">
        <v>43493</v>
      </c>
      <c r="AV131" s="51">
        <v>43494</v>
      </c>
      <c r="AW131" s="51">
        <v>43495</v>
      </c>
      <c r="AX131" s="51">
        <v>43496</v>
      </c>
    </row>
    <row r="132" spans="2:57" s="54" customFormat="1" ht="59.25" customHeight="1">
      <c r="B132" s="447" t="str">
        <f>B141</f>
        <v>STAG</v>
      </c>
      <c r="C132" s="283">
        <v>45761</v>
      </c>
      <c r="D132" s="377">
        <f>[32]April_2025!$Q$13</f>
        <v>196.6</v>
      </c>
      <c r="E132" s="378"/>
      <c r="F132" s="379">
        <f>[34]STAG!$L$22+[34]STAG!$L$24</f>
        <v>193.4</v>
      </c>
      <c r="G132" s="303">
        <f>[32]April_2025!$Q$17</f>
        <v>187</v>
      </c>
      <c r="H132" s="320">
        <f>(D132-F132)/D132*100</f>
        <v>1.6276703967446535</v>
      </c>
      <c r="I132" s="322">
        <f>((F132+E132)-G132)/(F132+E132)*100</f>
        <v>3.3092037228541913</v>
      </c>
      <c r="J132" s="360" t="s">
        <v>188</v>
      </c>
      <c r="K132" s="416">
        <f>[33]April_2025!$Q$25</f>
        <v>0.65614035087719302</v>
      </c>
      <c r="L132" s="314">
        <f>(((D132+E132)-G132)/(D132+E132))*100</f>
        <v>4.883011190233975</v>
      </c>
      <c r="M132" s="423" t="s">
        <v>169</v>
      </c>
      <c r="N132" s="13"/>
      <c r="O132" s="13"/>
      <c r="P132" s="50"/>
      <c r="S132" s="272" t="s">
        <v>54</v>
      </c>
      <c r="T132" s="279"/>
      <c r="U132" s="279"/>
      <c r="V132" s="279"/>
      <c r="W132" s="279"/>
      <c r="X132" s="279"/>
      <c r="Y132" s="279"/>
      <c r="Z132" s="279"/>
      <c r="AA132" s="279"/>
      <c r="AB132" s="279"/>
      <c r="AC132" s="279"/>
      <c r="AD132" s="279"/>
      <c r="AE132" s="279"/>
      <c r="AF132" s="279"/>
      <c r="AG132" s="279"/>
      <c r="AH132" s="279"/>
      <c r="AI132" s="279"/>
      <c r="AJ132" s="279"/>
      <c r="AK132" s="279"/>
      <c r="AL132" s="279"/>
      <c r="AM132" s="279"/>
      <c r="AN132" s="279"/>
      <c r="AO132" s="279"/>
      <c r="AP132" s="279"/>
      <c r="AQ132" s="279"/>
      <c r="AR132" s="279"/>
      <c r="AS132" s="279"/>
      <c r="AT132" s="279"/>
      <c r="AU132" s="279"/>
      <c r="AV132" s="279"/>
      <c r="AW132" s="279"/>
    </row>
    <row r="133" spans="2:57" s="54" customFormat="1" ht="14.4" thickBot="1">
      <c r="B133" s="415"/>
      <c r="C133" s="283"/>
      <c r="D133" s="377"/>
      <c r="E133" s="378"/>
      <c r="F133" s="379"/>
      <c r="G133" s="303"/>
      <c r="H133" s="320"/>
      <c r="I133" s="322"/>
      <c r="J133" s="398"/>
      <c r="K133" s="286"/>
      <c r="L133" s="314"/>
      <c r="M133" s="423"/>
      <c r="N133" s="13"/>
      <c r="O133" s="13"/>
      <c r="P133" s="50"/>
      <c r="S133" s="272"/>
      <c r="T133" s="420"/>
      <c r="U133" s="420"/>
      <c r="V133" s="420"/>
      <c r="W133" s="420"/>
      <c r="X133" s="420"/>
      <c r="Y133" s="420"/>
      <c r="Z133" s="420"/>
      <c r="AA133" s="420"/>
      <c r="AB133" s="420"/>
      <c r="AC133" s="420"/>
      <c r="AD133" s="420"/>
      <c r="AE133" s="420"/>
      <c r="AF133" s="420"/>
      <c r="AG133" s="420"/>
      <c r="AH133" s="420"/>
      <c r="AI133" s="420"/>
      <c r="AJ133" s="420"/>
      <c r="AK133" s="420"/>
      <c r="AL133" s="420"/>
      <c r="AM133" s="420"/>
      <c r="AN133" s="420"/>
      <c r="AO133" s="420"/>
      <c r="AP133" s="420"/>
      <c r="AQ133" s="420"/>
      <c r="AR133" s="420"/>
      <c r="AS133" s="420"/>
      <c r="AT133" s="420"/>
      <c r="AU133" s="420"/>
      <c r="AV133" s="420"/>
      <c r="AW133" s="420"/>
    </row>
    <row r="134" spans="2:57" s="54" customFormat="1" ht="59.25" customHeight="1">
      <c r="B134" s="415" t="str">
        <f>B140</f>
        <v>CARIB</v>
      </c>
      <c r="C134" s="283">
        <v>45761</v>
      </c>
      <c r="D134" s="377">
        <f>[32]April_2025!$Q$3</f>
        <v>412.40000000000003</v>
      </c>
      <c r="E134" s="378"/>
      <c r="F134" s="379">
        <f>[34]CARIB!$L$52</f>
        <v>397.5</v>
      </c>
      <c r="G134" s="303">
        <f>[32]April_2025!$Q$7</f>
        <v>389.4</v>
      </c>
      <c r="H134" s="320">
        <f>(D134-F134)/D134*100</f>
        <v>3.6129970902036934</v>
      </c>
      <c r="I134" s="322">
        <f>((F134+E134)-G134)/(F134+E134)*100</f>
        <v>2.0377358490566095</v>
      </c>
      <c r="J134" s="360" t="s">
        <v>176</v>
      </c>
      <c r="K134" s="286">
        <f>[33]April_2025!$Q$18</f>
        <v>0.68315789473684208</v>
      </c>
      <c r="L134" s="314">
        <f>(((D134+E134)-G134)/(D134+E134))*100</f>
        <v>5.5771096023278499</v>
      </c>
      <c r="M134" s="423" t="s">
        <v>164</v>
      </c>
      <c r="N134" s="13"/>
      <c r="O134" s="13"/>
      <c r="P134" s="50"/>
      <c r="S134" s="272"/>
      <c r="T134" s="420"/>
      <c r="U134" s="420"/>
      <c r="V134" s="420"/>
      <c r="W134" s="420"/>
      <c r="X134" s="420"/>
      <c r="Y134" s="420"/>
      <c r="Z134" s="420"/>
      <c r="AA134" s="420"/>
      <c r="AB134" s="420"/>
      <c r="AC134" s="420"/>
      <c r="AD134" s="420"/>
      <c r="AE134" s="420"/>
      <c r="AF134" s="420"/>
      <c r="AG134" s="420"/>
      <c r="AH134" s="420"/>
      <c r="AI134" s="420"/>
      <c r="AJ134" s="420"/>
      <c r="AK134" s="420"/>
      <c r="AL134" s="420"/>
      <c r="AM134" s="420"/>
      <c r="AN134" s="420"/>
      <c r="AO134" s="420"/>
      <c r="AP134" s="420"/>
      <c r="AQ134" s="420"/>
      <c r="AR134" s="420"/>
      <c r="AS134" s="420"/>
      <c r="AT134" s="420"/>
      <c r="AU134" s="420"/>
      <c r="AV134" s="420"/>
      <c r="AW134" s="420"/>
    </row>
    <row r="135" spans="2:57" s="54" customFormat="1">
      <c r="B135" s="387"/>
      <c r="C135" s="283"/>
      <c r="D135" s="279"/>
      <c r="E135" s="279"/>
      <c r="F135" s="279"/>
      <c r="G135" s="279"/>
      <c r="H135" s="320"/>
      <c r="I135" s="322"/>
      <c r="J135" s="281"/>
      <c r="K135" s="417"/>
      <c r="L135" s="314"/>
      <c r="M135" s="425"/>
      <c r="N135" s="13"/>
      <c r="O135" s="13"/>
      <c r="P135" s="50"/>
      <c r="S135" s="272" t="s">
        <v>51</v>
      </c>
      <c r="T135" s="57" t="e">
        <f>[20]January_2019!D8</f>
        <v>#DIV/0!</v>
      </c>
      <c r="U135" s="57">
        <f>[20]January_2019!E8</f>
        <v>1.0319298245614037</v>
      </c>
      <c r="V135" s="57">
        <f>[20]January_2019!F8</f>
        <v>1.7789473684210526</v>
      </c>
      <c r="W135" s="57">
        <f>[20]January_2019!G8</f>
        <v>0.51929824561403504</v>
      </c>
      <c r="X135" s="57" t="e">
        <f>[20]January_2019!H8</f>
        <v>#DIV/0!</v>
      </c>
      <c r="Y135" s="57" t="e">
        <f>[20]January_2019!I8</f>
        <v>#DIV/0!</v>
      </c>
      <c r="Z135" s="57">
        <f>[20]January_2019!J8</f>
        <v>1.365263157894737</v>
      </c>
      <c r="AA135" s="57" t="e">
        <f>[20]January_2019!K8</f>
        <v>#DIV/0!</v>
      </c>
      <c r="AB135" s="57">
        <f>[20]January_2019!L8</f>
        <v>1.0028070175438597</v>
      </c>
      <c r="AC135" s="57">
        <f>[20]January_2019!M8</f>
        <v>1.7828070175438597</v>
      </c>
      <c r="AD135" s="57" t="e">
        <f>[20]January_2019!N8</f>
        <v>#DIV/0!</v>
      </c>
      <c r="AE135" s="57" t="e">
        <f>[20]January_2019!O8</f>
        <v>#DIV/0!</v>
      </c>
      <c r="AF135" s="57">
        <f>[20]January_2019!P8</f>
        <v>0.19222222222222221</v>
      </c>
      <c r="AG135" s="57">
        <f>[20]January_2019!Q8</f>
        <v>0.52219298245614032</v>
      </c>
      <c r="AH135" s="57">
        <f>[20]January_2019!R8</f>
        <v>0.42912280701754385</v>
      </c>
      <c r="AI135" s="57" t="e">
        <f>[20]January_2019!S8</f>
        <v>#DIV/0!</v>
      </c>
      <c r="AJ135" s="57">
        <f>[20]January_2019!T8</f>
        <v>1.0340350877192983</v>
      </c>
      <c r="AK135" s="57">
        <f>[20]January_2019!U8</f>
        <v>0.98421052631578942</v>
      </c>
      <c r="AL135" s="57" t="e">
        <f>[20]January_2019!V8</f>
        <v>#DIV/0!</v>
      </c>
      <c r="AM135" s="57" t="e">
        <f>[20]January_2019!W8</f>
        <v>#DIV/0!</v>
      </c>
      <c r="AN135" s="57">
        <f>[20]January_2019!X8</f>
        <v>0.66052631578947374</v>
      </c>
      <c r="AO135" s="57">
        <f>[20]January_2019!Y8</f>
        <v>1.0375438596491227</v>
      </c>
      <c r="AP135" s="57">
        <f>[20]January_2019!Z8</f>
        <v>0.90456140350877201</v>
      </c>
      <c r="AQ135" s="57">
        <f>[20]January_2019!AA8</f>
        <v>1.0217543859649123</v>
      </c>
      <c r="AR135" s="57">
        <f>[20]January_2019!AB8</f>
        <v>0.65614035087719302</v>
      </c>
      <c r="AS135" s="57" t="e">
        <f>[20]January_2019!AC8</f>
        <v>#DIV/0!</v>
      </c>
      <c r="AT135" s="57" t="e">
        <f>[20]January_2019!AD8</f>
        <v>#DIV/0!</v>
      </c>
      <c r="AU135" s="57">
        <f>[20]January_2019!AE8</f>
        <v>1.7021052631578948</v>
      </c>
      <c r="AV135" s="57">
        <f>[20]January_2019!AF8</f>
        <v>0.60192982456140354</v>
      </c>
      <c r="AW135" s="57">
        <f>[20]January_2019!AG8</f>
        <v>1.4870175438596491</v>
      </c>
      <c r="AX135" s="277" t="e">
        <f>[20]January_2019!AH8</f>
        <v>#DIV/0!</v>
      </c>
      <c r="AY135" s="277"/>
      <c r="AZ135" s="277"/>
      <c r="BA135" s="277"/>
      <c r="BB135" s="277"/>
      <c r="BC135" s="277"/>
      <c r="BD135" s="277"/>
      <c r="BE135" s="277"/>
    </row>
    <row r="136" spans="2:57" ht="58.5" hidden="1" customHeight="1" thickBot="1">
      <c r="B136" s="426"/>
      <c r="C136" s="427"/>
      <c r="D136" s="428"/>
      <c r="E136" s="428"/>
      <c r="F136" s="428"/>
      <c r="G136" s="428"/>
      <c r="H136" s="429"/>
      <c r="I136" s="430"/>
      <c r="J136" s="390"/>
      <c r="K136" s="431"/>
      <c r="L136" s="432"/>
      <c r="M136" s="424"/>
      <c r="N136" s="13"/>
      <c r="O136" s="13"/>
      <c r="P136" s="56"/>
    </row>
    <row r="137" spans="2:57" ht="18" customHeight="1" thickBot="1">
      <c r="B137" s="59"/>
      <c r="C137" s="30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6"/>
      <c r="P137" s="60"/>
    </row>
    <row r="138" spans="2:57" ht="14.4" thickBot="1">
      <c r="B138" s="460" t="s">
        <v>55</v>
      </c>
      <c r="C138" s="461"/>
      <c r="D138" s="461"/>
      <c r="E138" s="461"/>
      <c r="F138" s="462"/>
      <c r="G138" s="460" t="s">
        <v>56</v>
      </c>
      <c r="H138" s="461"/>
      <c r="I138" s="461"/>
      <c r="J138" s="462"/>
      <c r="K138" s="460" t="s">
        <v>51</v>
      </c>
      <c r="L138" s="461"/>
      <c r="M138" s="461"/>
      <c r="N138" s="463"/>
      <c r="O138" s="56"/>
      <c r="P138" s="50"/>
    </row>
    <row r="139" spans="2:57">
      <c r="B139" s="61" t="s">
        <v>17</v>
      </c>
      <c r="C139" s="62" t="s">
        <v>36</v>
      </c>
      <c r="D139" s="62" t="s">
        <v>37</v>
      </c>
      <c r="E139" s="62" t="s">
        <v>38</v>
      </c>
      <c r="F139" s="63" t="s">
        <v>39</v>
      </c>
      <c r="G139" s="62" t="s">
        <v>36</v>
      </c>
      <c r="H139" s="62" t="s">
        <v>37</v>
      </c>
      <c r="I139" s="62" t="s">
        <v>38</v>
      </c>
      <c r="J139" s="63" t="s">
        <v>39</v>
      </c>
      <c r="K139" s="62"/>
      <c r="L139" s="62" t="s">
        <v>37</v>
      </c>
      <c r="M139" s="62" t="s">
        <v>38</v>
      </c>
      <c r="N139" s="63" t="s">
        <v>39</v>
      </c>
      <c r="O139" s="56"/>
      <c r="P139" s="64"/>
    </row>
    <row r="140" spans="2:57">
      <c r="B140" s="29" t="s">
        <v>6</v>
      </c>
      <c r="C140" s="65">
        <f>L134</f>
        <v>5.5771096023278499</v>
      </c>
      <c r="D140" s="76">
        <v>6.595052927681186</v>
      </c>
      <c r="E140" s="76">
        <v>6.9070400919192352</v>
      </c>
      <c r="F140" s="66">
        <v>4.8</v>
      </c>
      <c r="G140" s="65">
        <f>[32]April_2025!$Q$11</f>
        <v>3.975428908990934</v>
      </c>
      <c r="H140" s="76">
        <v>6.0338603794026158</v>
      </c>
      <c r="I140" s="76">
        <v>7.4528211478232294</v>
      </c>
      <c r="J140" s="66">
        <v>4.8</v>
      </c>
      <c r="K140" s="67">
        <f>K134</f>
        <v>0.68315789473684208</v>
      </c>
      <c r="L140" s="194">
        <v>0.71026315789473693</v>
      </c>
      <c r="M140" s="194">
        <v>0.76794308009794132</v>
      </c>
      <c r="N140" s="68">
        <v>1</v>
      </c>
      <c r="O140" s="56"/>
      <c r="P140" s="69"/>
    </row>
    <row r="141" spans="2:57">
      <c r="B141" s="33" t="s">
        <v>9</v>
      </c>
      <c r="C141" s="65">
        <f>L132</f>
        <v>4.883011190233975</v>
      </c>
      <c r="D141" s="76">
        <v>3.3990684768605646</v>
      </c>
      <c r="E141" s="76">
        <v>6.0934553008673209</v>
      </c>
      <c r="F141" s="66">
        <v>4.8</v>
      </c>
      <c r="G141" s="65">
        <f>[32]April_2025!$Q$21</f>
        <v>1.7947972678389668</v>
      </c>
      <c r="H141" s="76">
        <v>3.0755620742673759</v>
      </c>
      <c r="I141" s="76">
        <v>6.9753297091759698</v>
      </c>
      <c r="J141" s="66">
        <v>4.8</v>
      </c>
      <c r="K141" s="67">
        <f>K132</f>
        <v>0.65614035087719302</v>
      </c>
      <c r="L141" s="194">
        <v>0.9064327485380117</v>
      </c>
      <c r="M141" s="194">
        <v>0.74152600836341909</v>
      </c>
      <c r="N141" s="68">
        <v>1</v>
      </c>
      <c r="P141" s="69"/>
    </row>
    <row r="142" spans="2:57">
      <c r="B142" s="34" t="s">
        <v>40</v>
      </c>
      <c r="C142" s="65"/>
      <c r="D142" s="76">
        <v>10.826844642195047</v>
      </c>
      <c r="E142" s="76">
        <v>13.125604223990466</v>
      </c>
      <c r="F142" s="66">
        <v>5.5</v>
      </c>
      <c r="G142" s="65"/>
      <c r="H142" s="76">
        <v>10.823247958374074</v>
      </c>
      <c r="I142" s="76">
        <v>13.879185403587476</v>
      </c>
      <c r="J142" s="66">
        <v>5.5</v>
      </c>
      <c r="K142" s="67"/>
      <c r="L142" s="194">
        <v>0.42192982456140349</v>
      </c>
      <c r="M142" s="194">
        <v>0.5124236387782205</v>
      </c>
      <c r="N142" s="68">
        <v>1</v>
      </c>
      <c r="P142" s="69"/>
    </row>
    <row r="143" spans="2:57">
      <c r="B143" s="22" t="s">
        <v>33</v>
      </c>
      <c r="C143" s="65"/>
      <c r="D143" s="76"/>
      <c r="E143" s="76">
        <v>3.9190537266638161</v>
      </c>
      <c r="F143" s="66">
        <v>3.3</v>
      </c>
      <c r="G143" s="65"/>
      <c r="H143" s="76"/>
      <c r="I143" s="76">
        <v>6.209437755460022</v>
      </c>
      <c r="J143" s="66">
        <v>3.3</v>
      </c>
      <c r="K143" s="67"/>
      <c r="L143" s="194"/>
      <c r="M143" s="194">
        <v>0.75184210526315787</v>
      </c>
      <c r="N143" s="68">
        <v>1</v>
      </c>
      <c r="P143" s="69"/>
    </row>
    <row r="144" spans="2:57">
      <c r="B144" s="35" t="s">
        <v>29</v>
      </c>
      <c r="C144" s="65"/>
      <c r="D144" s="76"/>
      <c r="E144" s="76"/>
      <c r="F144" s="66">
        <v>3.3</v>
      </c>
      <c r="G144" s="282"/>
      <c r="H144" s="76"/>
      <c r="I144" s="76"/>
      <c r="J144" s="66">
        <v>3</v>
      </c>
      <c r="L144" s="194"/>
      <c r="M144" s="194"/>
      <c r="N144" s="68">
        <v>1</v>
      </c>
      <c r="P144" s="69"/>
    </row>
    <row r="145" spans="2:16">
      <c r="B145" s="36" t="s">
        <v>15</v>
      </c>
      <c r="C145" s="282"/>
      <c r="D145" s="76"/>
      <c r="E145" s="76">
        <v>8.7664670658682695</v>
      </c>
      <c r="F145" s="70">
        <f>[21]May_2022!$M$43</f>
        <v>3.4878406700073312</v>
      </c>
      <c r="G145" s="282"/>
      <c r="H145" s="76"/>
      <c r="I145" s="76">
        <v>10.607235567685406</v>
      </c>
      <c r="J145" s="66">
        <v>5.5</v>
      </c>
      <c r="K145" s="67"/>
      <c r="L145" s="194"/>
      <c r="M145" s="194">
        <v>0.66824561403508764</v>
      </c>
      <c r="N145" s="68">
        <v>1</v>
      </c>
      <c r="P145" s="69"/>
    </row>
    <row r="146" spans="2:16">
      <c r="B146" s="37" t="s">
        <v>16</v>
      </c>
      <c r="C146" s="65"/>
      <c r="D146" s="76">
        <v>0.38967364831952411</v>
      </c>
      <c r="E146" s="76">
        <v>1.85607294041028</v>
      </c>
      <c r="F146" s="66">
        <v>3.3</v>
      </c>
      <c r="G146" s="282"/>
      <c r="H146" s="76">
        <v>3.9053322254376623</v>
      </c>
      <c r="I146" s="76">
        <v>4.5764571827076486</v>
      </c>
      <c r="J146" s="66">
        <v>3.3</v>
      </c>
      <c r="K146" s="67"/>
      <c r="L146" s="194">
        <v>0.71754385964912282</v>
      </c>
      <c r="M146" s="194">
        <v>0.83594855305466242</v>
      </c>
      <c r="N146" s="71">
        <v>1</v>
      </c>
      <c r="P146" s="69"/>
    </row>
    <row r="147" spans="2:16" ht="14.4" thickBot="1">
      <c r="B147" s="38" t="s">
        <v>127</v>
      </c>
      <c r="C147" s="65"/>
      <c r="D147" s="76"/>
      <c r="E147" s="76"/>
      <c r="F147" s="66">
        <v>7.5</v>
      </c>
      <c r="G147" s="282"/>
      <c r="H147" s="76"/>
      <c r="I147" s="76"/>
      <c r="J147" s="66">
        <v>7.5</v>
      </c>
      <c r="K147" s="67"/>
      <c r="L147" s="194"/>
      <c r="M147" s="194"/>
      <c r="N147" s="71">
        <v>1</v>
      </c>
      <c r="P147" s="69"/>
    </row>
    <row r="148" spans="2:16" ht="14.4" thickBot="1">
      <c r="B148" s="418" t="s">
        <v>162</v>
      </c>
      <c r="C148" s="65"/>
      <c r="D148" s="76"/>
      <c r="E148" s="76">
        <v>4.8792508624938291</v>
      </c>
      <c r="F148" s="66">
        <v>4.8</v>
      </c>
      <c r="G148" s="282"/>
      <c r="H148" s="76"/>
      <c r="I148" s="76">
        <v>6.2003723782925313</v>
      </c>
      <c r="J148" s="66">
        <v>4.8</v>
      </c>
      <c r="K148" s="67"/>
      <c r="L148" s="194">
        <v>0</v>
      </c>
      <c r="M148" s="194">
        <v>0.33859649122807017</v>
      </c>
      <c r="N148" s="71">
        <v>1</v>
      </c>
      <c r="O148" s="74"/>
      <c r="P148" s="75"/>
    </row>
    <row r="149" spans="2:16">
      <c r="D149" s="76">
        <v>5.692481795186791</v>
      </c>
      <c r="E149" s="76">
        <v>6.8000552715213454</v>
      </c>
      <c r="F149" s="341">
        <v>5.5</v>
      </c>
      <c r="H149" s="76">
        <v>5.6179149150137695</v>
      </c>
      <c r="I149" s="76">
        <v>7.831206625792249</v>
      </c>
      <c r="J149" s="341">
        <v>5.5</v>
      </c>
      <c r="K149" s="67"/>
      <c r="L149" s="194">
        <v>0.73391363022941969</v>
      </c>
      <c r="M149" s="194">
        <v>0.73314489704851149</v>
      </c>
      <c r="N149" s="386">
        <v>1</v>
      </c>
    </row>
    <row r="153" spans="2:16">
      <c r="F153" s="315"/>
    </row>
    <row r="161" spans="29:29">
      <c r="AC161" s="275" t="s">
        <v>57</v>
      </c>
    </row>
  </sheetData>
  <mergeCells count="51">
    <mergeCell ref="M130:M131"/>
    <mergeCell ref="B138:F138"/>
    <mergeCell ref="G138:J138"/>
    <mergeCell ref="K138:N138"/>
    <mergeCell ref="G130:G131"/>
    <mergeCell ref="H130:H131"/>
    <mergeCell ref="I130:I131"/>
    <mergeCell ref="J130:J131"/>
    <mergeCell ref="K130:K131"/>
    <mergeCell ref="L130:L131"/>
    <mergeCell ref="F130:F131"/>
    <mergeCell ref="D125:E125"/>
    <mergeCell ref="B130:B131"/>
    <mergeCell ref="C130:C131"/>
    <mergeCell ref="D130:D131"/>
    <mergeCell ref="E130:E131"/>
    <mergeCell ref="B115:B124"/>
    <mergeCell ref="D115:E116"/>
    <mergeCell ref="J115:K115"/>
    <mergeCell ref="L116:N116"/>
    <mergeCell ref="D117:E118"/>
    <mergeCell ref="D119:E120"/>
    <mergeCell ref="D121:E122"/>
    <mergeCell ref="D123:E124"/>
    <mergeCell ref="P8:P9"/>
    <mergeCell ref="I101:N101"/>
    <mergeCell ref="D102:E102"/>
    <mergeCell ref="B103:B114"/>
    <mergeCell ref="D103:E104"/>
    <mergeCell ref="D105:E106"/>
    <mergeCell ref="D107:E108"/>
    <mergeCell ref="D109:E110"/>
    <mergeCell ref="D111:E112"/>
    <mergeCell ref="D113:E114"/>
    <mergeCell ref="I8:I9"/>
    <mergeCell ref="J8:J9"/>
    <mergeCell ref="K8:K9"/>
    <mergeCell ref="L8:L9"/>
    <mergeCell ref="O8:O9"/>
    <mergeCell ref="H8:H9"/>
    <mergeCell ref="C5:D5"/>
    <mergeCell ref="B8:B9"/>
    <mergeCell ref="C8:C9"/>
    <mergeCell ref="D8:D9"/>
    <mergeCell ref="G8:G9"/>
    <mergeCell ref="M4:N4"/>
    <mergeCell ref="S1:T1"/>
    <mergeCell ref="U1:V1"/>
    <mergeCell ref="W1:X1"/>
    <mergeCell ref="Y1:Z1"/>
    <mergeCell ref="B2:O2"/>
  </mergeCells>
  <conditionalFormatting sqref="B125:B126">
    <cfRule type="cellIs" dxfId="1621" priority="159" operator="notBetween">
      <formula>#REF!</formula>
      <formula>#REF!</formula>
    </cfRule>
  </conditionalFormatting>
  <conditionalFormatting sqref="C129">
    <cfRule type="cellIs" dxfId="1620" priority="190" stopIfTrue="1" operator="lessThan">
      <formula>96</formula>
    </cfRule>
    <cfRule type="cellIs" dxfId="1619" priority="191" stopIfTrue="1" operator="greaterThan">
      <formula>100</formula>
    </cfRule>
  </conditionalFormatting>
  <conditionalFormatting sqref="C140">
    <cfRule type="cellIs" dxfId="1618" priority="118" stopIfTrue="1" operator="greaterThan">
      <formula>$F140</formula>
    </cfRule>
  </conditionalFormatting>
  <conditionalFormatting sqref="C140:C141">
    <cfRule type="cellIs" dxfId="1617" priority="119" stopIfTrue="1" operator="lessThanOrEqual">
      <formula>0</formula>
    </cfRule>
  </conditionalFormatting>
  <conditionalFormatting sqref="C141">
    <cfRule type="cellIs" dxfId="1616" priority="194" stopIfTrue="1" operator="greaterThan">
      <formula>$F140</formula>
    </cfRule>
  </conditionalFormatting>
  <conditionalFormatting sqref="C142:C144">
    <cfRule type="cellIs" dxfId="1615" priority="139" stopIfTrue="1" operator="greaterThan">
      <formula>$F142</formula>
    </cfRule>
  </conditionalFormatting>
  <conditionalFormatting sqref="C142:C145">
    <cfRule type="cellIs" dxfId="1614" priority="143" stopIfTrue="1" operator="lessThanOrEqual">
      <formula>0</formula>
    </cfRule>
  </conditionalFormatting>
  <conditionalFormatting sqref="C145">
    <cfRule type="cellIs" dxfId="1613" priority="142" stopIfTrue="1" operator="greaterThan">
      <formula>$J145</formula>
    </cfRule>
  </conditionalFormatting>
  <conditionalFormatting sqref="C151:C155">
    <cfRule type="cellIs" dxfId="1612" priority="182" stopIfTrue="1" operator="lessThanOrEqual">
      <formula>0</formula>
    </cfRule>
  </conditionalFormatting>
  <conditionalFormatting sqref="C152:C155">
    <cfRule type="cellIs" dxfId="1611" priority="181" stopIfTrue="1" operator="greaterThan">
      <formula>$F$151</formula>
    </cfRule>
  </conditionalFormatting>
  <conditionalFormatting sqref="C157">
    <cfRule type="cellIs" dxfId="1610" priority="183" stopIfTrue="1" operator="greaterThan">
      <formula>$F$151</formula>
    </cfRule>
    <cfRule type="cellIs" dxfId="1609" priority="184" stopIfTrue="1" operator="lessThanOrEqual">
      <formula>0</formula>
    </cfRule>
  </conditionalFormatting>
  <conditionalFormatting sqref="C151:D151 D153:D159">
    <cfRule type="cellIs" dxfId="1608" priority="176" stopIfTrue="1" operator="greaterThan">
      <formula>4.5</formula>
    </cfRule>
  </conditionalFormatting>
  <conditionalFormatting sqref="D125:D126">
    <cfRule type="cellIs" dxfId="1607" priority="160" operator="notBetween">
      <formula>#REF!</formula>
      <formula>#REF!</formula>
    </cfRule>
  </conditionalFormatting>
  <conditionalFormatting sqref="D140:D147">
    <cfRule type="cellIs" dxfId="1606" priority="153" stopIfTrue="1" operator="lessThanOrEqual">
      <formula>0</formula>
    </cfRule>
  </conditionalFormatting>
  <conditionalFormatting sqref="D148">
    <cfRule type="cellIs" dxfId="1605" priority="152" stopIfTrue="1" operator="lessThanOrEqual">
      <formula>0</formula>
    </cfRule>
  </conditionalFormatting>
  <conditionalFormatting sqref="D151 D153:D159">
    <cfRule type="cellIs" dxfId="1604" priority="177" stopIfTrue="1" operator="lessThanOrEqual">
      <formula>0</formula>
    </cfRule>
  </conditionalFormatting>
  <conditionalFormatting sqref="D152">
    <cfRule type="cellIs" dxfId="1603" priority="168" stopIfTrue="1" operator="greaterThan">
      <formula>$F$151</formula>
    </cfRule>
    <cfRule type="cellIs" dxfId="1602" priority="169" stopIfTrue="1" operator="lessThanOrEqual">
      <formula>0</formula>
    </cfRule>
  </conditionalFormatting>
  <conditionalFormatting sqref="D140:E149">
    <cfRule type="cellIs" dxfId="1601" priority="115" stopIfTrue="1" operator="greaterThan">
      <formula>$F140</formula>
    </cfRule>
  </conditionalFormatting>
  <conditionalFormatting sqref="D149:E149">
    <cfRule type="cellIs" dxfId="1600" priority="116" stopIfTrue="1" operator="lessThanOrEqual">
      <formula>0</formula>
    </cfRule>
  </conditionalFormatting>
  <conditionalFormatting sqref="E10:E100">
    <cfRule type="cellIs" dxfId="1599" priority="25" operator="lessThan">
      <formula>48</formula>
    </cfRule>
  </conditionalFormatting>
  <conditionalFormatting sqref="E129">
    <cfRule type="cellIs" dxfId="1598" priority="171" stopIfTrue="1" operator="greaterThan">
      <formula>100</formula>
    </cfRule>
    <cfRule type="cellIs" dxfId="1597" priority="170" stopIfTrue="1" operator="lessThan">
      <formula>96.8</formula>
    </cfRule>
  </conditionalFormatting>
  <conditionalFormatting sqref="E140:E148">
    <cfRule type="cellIs" dxfId="1596" priority="147" stopIfTrue="1" operator="lessThanOrEqual">
      <formula>0</formula>
    </cfRule>
  </conditionalFormatting>
  <conditionalFormatting sqref="E151:E159">
    <cfRule type="cellIs" dxfId="1595" priority="163" stopIfTrue="1" operator="lessThanOrEqual">
      <formula>0</formula>
    </cfRule>
    <cfRule type="cellIs" dxfId="1594" priority="162" stopIfTrue="1" operator="greaterThan">
      <formula>4.5</formula>
    </cfRule>
  </conditionalFormatting>
  <conditionalFormatting sqref="E128:F129">
    <cfRule type="cellIs" dxfId="1593" priority="172" stopIfTrue="1" operator="lessThan">
      <formula>96.5</formula>
    </cfRule>
    <cfRule type="cellIs" dxfId="1592" priority="173" stopIfTrue="1" operator="greaterThan">
      <formula>100</formula>
    </cfRule>
  </conditionalFormatting>
  <conditionalFormatting sqref="F10:F100">
    <cfRule type="cellIs" dxfId="1591" priority="27" operator="greaterThan">
      <formula>60</formula>
    </cfRule>
  </conditionalFormatting>
  <conditionalFormatting sqref="F129">
    <cfRule type="cellIs" dxfId="1590" priority="188" stopIfTrue="1" operator="lessThan">
      <formula>96.8</formula>
    </cfRule>
    <cfRule type="cellIs" dxfId="1589" priority="189" stopIfTrue="1" operator="greaterThan">
      <formula>100</formula>
    </cfRule>
  </conditionalFormatting>
  <conditionalFormatting sqref="F149">
    <cfRule type="cellIs" dxfId="1588" priority="148" stopIfTrue="1" operator="greaterThan">
      <formula>$F149</formula>
    </cfRule>
    <cfRule type="cellIs" dxfId="1587" priority="149" stopIfTrue="1" operator="lessThanOrEqual">
      <formula>0</formula>
    </cfRule>
  </conditionalFormatting>
  <conditionalFormatting sqref="G140:G141 C146:C148">
    <cfRule type="cellIs" dxfId="1586" priority="154" stopIfTrue="1" operator="greaterThan">
      <formula>$F140</formula>
    </cfRule>
    <cfRule type="cellIs" dxfId="1585" priority="155" stopIfTrue="1" operator="lessThanOrEqual">
      <formula>0</formula>
    </cfRule>
  </conditionalFormatting>
  <conditionalFormatting sqref="G140:G141">
    <cfRule type="cellIs" dxfId="1584" priority="120" stopIfTrue="1" operator="greaterThan">
      <formula>$F140</formula>
    </cfRule>
    <cfRule type="cellIs" dxfId="1583" priority="121" stopIfTrue="1" operator="lessThanOrEqual">
      <formula>0</formula>
    </cfRule>
  </conditionalFormatting>
  <conditionalFormatting sqref="G142">
    <cfRule type="cellIs" dxfId="1582" priority="193" stopIfTrue="1" operator="lessThanOrEqual">
      <formula>0</formula>
    </cfRule>
    <cfRule type="cellIs" dxfId="1581" priority="192" stopIfTrue="1" operator="greaterThan">
      <formula>$F141</formula>
    </cfRule>
  </conditionalFormatting>
  <conditionalFormatting sqref="G143">
    <cfRule type="cellIs" dxfId="1580" priority="150" stopIfTrue="1" operator="greaterThan">
      <formula>$F143</formula>
    </cfRule>
    <cfRule type="cellIs" dxfId="1579" priority="151" stopIfTrue="1" operator="lessThanOrEqual">
      <formula>0</formula>
    </cfRule>
  </conditionalFormatting>
  <conditionalFormatting sqref="G144:G148">
    <cfRule type="cellIs" dxfId="1578" priority="157" stopIfTrue="1" operator="lessThanOrEqual">
      <formula>0</formula>
    </cfRule>
    <cfRule type="cellIs" dxfId="1577" priority="156" stopIfTrue="1" operator="greaterThan">
      <formula>$J144</formula>
    </cfRule>
  </conditionalFormatting>
  <conditionalFormatting sqref="G153:G158 C156 C158">
    <cfRule type="cellIs" dxfId="1576" priority="185" stopIfTrue="1" operator="greaterThan">
      <formula>4.5</formula>
    </cfRule>
    <cfRule type="cellIs" dxfId="1575" priority="186" stopIfTrue="1" operator="lessThanOrEqual">
      <formula>0</formula>
    </cfRule>
  </conditionalFormatting>
  <conditionalFormatting sqref="G10:H17">
    <cfRule type="expression" dxfId="1574" priority="1">
      <formula>IF(+(IF(G10&lt;$S$10,0,IF(G10&gt;$T$10,0,1)))=0,1)</formula>
    </cfRule>
  </conditionalFormatting>
  <conditionalFormatting sqref="G18:H100">
    <cfRule type="expression" dxfId="1573" priority="19">
      <formula>IF(+(IF(G18&lt;#REF!,0,IF(G18&gt;#REF!,0,1)))=0,1)</formula>
    </cfRule>
  </conditionalFormatting>
  <conditionalFormatting sqref="G152:H152">
    <cfRule type="cellIs" dxfId="1572" priority="167" stopIfTrue="1" operator="lessThanOrEqual">
      <formula>0</formula>
    </cfRule>
    <cfRule type="cellIs" dxfId="1571" priority="166" stopIfTrue="1" operator="greaterThan">
      <formula>$F$151</formula>
    </cfRule>
  </conditionalFormatting>
  <conditionalFormatting sqref="H114:H128 G115:G126">
    <cfRule type="cellIs" dxfId="1570" priority="164" stopIfTrue="1" operator="greaterThan">
      <formula>0</formula>
    </cfRule>
  </conditionalFormatting>
  <conditionalFormatting sqref="H132">
    <cfRule type="cellIs" dxfId="1569" priority="42" stopIfTrue="1" operator="lessThanOrEqual">
      <formula>0</formula>
    </cfRule>
    <cfRule type="cellIs" dxfId="1568" priority="31" stopIfTrue="1" operator="greaterThan">
      <formula>$F$35</formula>
    </cfRule>
    <cfRule type="cellIs" dxfId="1567" priority="30" stopIfTrue="1" operator="lessThanOrEqual">
      <formula>0</formula>
    </cfRule>
    <cfRule type="cellIs" dxfId="1566" priority="39" stopIfTrue="1" operator="greaterThan">
      <formula>$F$38</formula>
    </cfRule>
    <cfRule type="cellIs" dxfId="1565" priority="40" stopIfTrue="1" operator="lessThanOrEqual">
      <formula>0</formula>
    </cfRule>
    <cfRule type="cellIs" dxfId="1564" priority="41" stopIfTrue="1" operator="greaterThan">
      <formula>$F$36</formula>
    </cfRule>
  </conditionalFormatting>
  <conditionalFormatting sqref="H133">
    <cfRule type="cellIs" dxfId="1563" priority="97" stopIfTrue="1" operator="greaterThan">
      <formula>$F$116</formula>
    </cfRule>
    <cfRule type="cellIs" dxfId="1562" priority="89" stopIfTrue="1" operator="greaterThan">
      <formula>$F$113</formula>
    </cfRule>
    <cfRule type="cellIs" dxfId="1561" priority="99" stopIfTrue="1" operator="greaterThan">
      <formula>$F$114</formula>
    </cfRule>
    <cfRule type="cellIs" dxfId="1560" priority="100" stopIfTrue="1" operator="lessThanOrEqual">
      <formula>0</formula>
    </cfRule>
    <cfRule type="cellIs" dxfId="1559" priority="98" stopIfTrue="1" operator="lessThanOrEqual">
      <formula>0</formula>
    </cfRule>
    <cfRule type="cellIs" dxfId="1558" priority="74" stopIfTrue="1" operator="lessThanOrEqual">
      <formula>0</formula>
    </cfRule>
  </conditionalFormatting>
  <conditionalFormatting sqref="H134">
    <cfRule type="cellIs" dxfId="1557" priority="5" stopIfTrue="1" operator="lessThanOrEqual">
      <formula>0</formula>
    </cfRule>
    <cfRule type="cellIs" dxfId="1556" priority="6" stopIfTrue="1" operator="greaterThan">
      <formula>$F$35</formula>
    </cfRule>
    <cfRule type="cellIs" dxfId="1555" priority="14" stopIfTrue="1" operator="greaterThan">
      <formula>$F$38</formula>
    </cfRule>
    <cfRule type="cellIs" dxfId="1554" priority="15" stopIfTrue="1" operator="lessThanOrEqual">
      <formula>0</formula>
    </cfRule>
    <cfRule type="cellIs" dxfId="1553" priority="16" stopIfTrue="1" operator="greaterThan">
      <formula>$F$36</formula>
    </cfRule>
    <cfRule type="cellIs" dxfId="1552" priority="17" stopIfTrue="1" operator="lessThanOrEqual">
      <formula>0</formula>
    </cfRule>
  </conditionalFormatting>
  <conditionalFormatting sqref="H135">
    <cfRule type="cellIs" dxfId="1551" priority="137" stopIfTrue="1" operator="greaterThan">
      <formula>$F$140</formula>
    </cfRule>
    <cfRule type="cellIs" dxfId="1550" priority="138" stopIfTrue="1" operator="lessThanOrEqual">
      <formula>0</formula>
    </cfRule>
    <cfRule type="cellIs" dxfId="1549" priority="126" stopIfTrue="1" operator="lessThanOrEqual">
      <formula>0</formula>
    </cfRule>
    <cfRule type="cellIs" dxfId="1548" priority="127" stopIfTrue="1" operator="greaterThan">
      <formula>$F$139</formula>
    </cfRule>
    <cfRule type="cellIs" dxfId="1547" priority="135" stopIfTrue="1" operator="greaterThan">
      <formula>$F$142</formula>
    </cfRule>
    <cfRule type="cellIs" dxfId="1546" priority="136" stopIfTrue="1" operator="lessThanOrEqual">
      <formula>0</formula>
    </cfRule>
  </conditionalFormatting>
  <conditionalFormatting sqref="H136">
    <cfRule type="cellIs" dxfId="1545" priority="85" stopIfTrue="1" operator="greaterThan">
      <formula>$F$116</formula>
    </cfRule>
    <cfRule type="cellIs" dxfId="1544" priority="86" stopIfTrue="1" operator="lessThanOrEqual">
      <formula>0</formula>
    </cfRule>
    <cfRule type="cellIs" dxfId="1543" priority="87" stopIfTrue="1" operator="greaterThan">
      <formula>$F$114</formula>
    </cfRule>
    <cfRule type="cellIs" dxfId="1542" priority="88" stopIfTrue="1" operator="lessThanOrEqual">
      <formula>0</formula>
    </cfRule>
    <cfRule type="cellIs" dxfId="1541" priority="77" stopIfTrue="1" operator="greaterThan">
      <formula>$F$113</formula>
    </cfRule>
    <cfRule type="cellIs" dxfId="1540" priority="76" stopIfTrue="1" operator="lessThanOrEqual">
      <formula>0</formula>
    </cfRule>
  </conditionalFormatting>
  <conditionalFormatting sqref="H140:H147">
    <cfRule type="cellIs" dxfId="1539" priority="141" stopIfTrue="1" operator="lessThanOrEqual">
      <formula>0</formula>
    </cfRule>
    <cfRule type="cellIs" dxfId="1538" priority="140" stopIfTrue="1" operator="greaterThan">
      <formula>$J140</formula>
    </cfRule>
  </conditionalFormatting>
  <conditionalFormatting sqref="H148">
    <cfRule type="cellIs" dxfId="1537" priority="144" operator="greaterThan">
      <formula>5.3</formula>
    </cfRule>
  </conditionalFormatting>
  <conditionalFormatting sqref="H151 H153:H159">
    <cfRule type="cellIs" dxfId="1536" priority="179" stopIfTrue="1" operator="lessThanOrEqual">
      <formula>0</formula>
    </cfRule>
    <cfRule type="cellIs" dxfId="1535" priority="178" stopIfTrue="1" operator="greaterThan">
      <formula>4.5</formula>
    </cfRule>
  </conditionalFormatting>
  <conditionalFormatting sqref="H132:I132">
    <cfRule type="cellIs" dxfId="1534" priority="32" stopIfTrue="1" operator="lessThanOrEqual">
      <formula>0</formula>
    </cfRule>
    <cfRule type="cellIs" dxfId="1533" priority="29" stopIfTrue="1" operator="greaterThan">
      <formula>$F$37</formula>
    </cfRule>
  </conditionalFormatting>
  <conditionalFormatting sqref="H133:I133">
    <cfRule type="cellIs" dxfId="1532" priority="61" stopIfTrue="1" operator="greaterThan">
      <formula>$F$115</formula>
    </cfRule>
    <cfRule type="cellIs" dxfId="1531" priority="90" stopIfTrue="1" operator="lessThanOrEqual">
      <formula>0</formula>
    </cfRule>
  </conditionalFormatting>
  <conditionalFormatting sqref="H134:I134">
    <cfRule type="cellIs" dxfId="1530" priority="4" stopIfTrue="1" operator="greaterThan">
      <formula>$F$37</formula>
    </cfRule>
    <cfRule type="cellIs" dxfId="1529" priority="7" stopIfTrue="1" operator="lessThanOrEqual">
      <formula>0</formula>
    </cfRule>
  </conditionalFormatting>
  <conditionalFormatting sqref="H135:I135">
    <cfRule type="cellIs" dxfId="1528" priority="128" stopIfTrue="1" operator="lessThanOrEqual">
      <formula>0</formula>
    </cfRule>
    <cfRule type="cellIs" dxfId="1527" priority="125" stopIfTrue="1" operator="greaterThan">
      <formula>$F$141</formula>
    </cfRule>
  </conditionalFormatting>
  <conditionalFormatting sqref="H136:I136">
    <cfRule type="cellIs" dxfId="1526" priority="75" stopIfTrue="1" operator="greaterThan">
      <formula>$F$115</formula>
    </cfRule>
    <cfRule type="cellIs" dxfId="1525" priority="78" stopIfTrue="1" operator="lessThanOrEqual">
      <formula>0</formula>
    </cfRule>
  </conditionalFormatting>
  <conditionalFormatting sqref="H149:I149">
    <cfRule type="cellIs" dxfId="1524" priority="113" stopIfTrue="1" operator="greaterThan">
      <formula>$J149</formula>
    </cfRule>
    <cfRule type="cellIs" dxfId="1523" priority="114" stopIfTrue="1" operator="lessThanOrEqual">
      <formula>0</formula>
    </cfRule>
  </conditionalFormatting>
  <conditionalFormatting sqref="I96:I100">
    <cfRule type="cellIs" dxfId="1522" priority="60" operator="lessThan">
      <formula>97.9</formula>
    </cfRule>
  </conditionalFormatting>
  <conditionalFormatting sqref="I132">
    <cfRule type="cellIs" dxfId="1521" priority="38" stopIfTrue="1" operator="lessThanOrEqual">
      <formula>0</formula>
    </cfRule>
    <cfRule type="cellIs" dxfId="1520" priority="37" stopIfTrue="1" operator="greaterThan">
      <formula>$F$35</formula>
    </cfRule>
    <cfRule type="cellIs" dxfId="1519" priority="36" stopIfTrue="1" operator="lessThanOrEqual">
      <formula>0</formula>
    </cfRule>
    <cfRule type="cellIs" dxfId="1518" priority="35" stopIfTrue="1" operator="greaterThan">
      <formula>$F$37</formula>
    </cfRule>
    <cfRule type="cellIs" dxfId="1517" priority="34" stopIfTrue="1" operator="lessThanOrEqual">
      <formula>0</formula>
    </cfRule>
    <cfRule type="cellIs" dxfId="1516" priority="33" stopIfTrue="1" operator="greaterThan">
      <formula>$F$35</formula>
    </cfRule>
  </conditionalFormatting>
  <conditionalFormatting sqref="I133">
    <cfRule type="cellIs" dxfId="1515" priority="91" stopIfTrue="1" operator="greaterThan">
      <formula>$F$113</formula>
    </cfRule>
    <cfRule type="cellIs" dxfId="1514" priority="92" stopIfTrue="1" operator="lessThanOrEqual">
      <formula>0</formula>
    </cfRule>
    <cfRule type="cellIs" dxfId="1513" priority="93" stopIfTrue="1" operator="greaterThan">
      <formula>$F$115</formula>
    </cfRule>
    <cfRule type="cellIs" dxfId="1512" priority="96" stopIfTrue="1" operator="lessThanOrEqual">
      <formula>0</formula>
    </cfRule>
    <cfRule type="cellIs" dxfId="1511" priority="95" stopIfTrue="1" operator="greaterThan">
      <formula>$F$113</formula>
    </cfRule>
    <cfRule type="cellIs" dxfId="1510" priority="94" stopIfTrue="1" operator="lessThanOrEqual">
      <formula>0</formula>
    </cfRule>
  </conditionalFormatting>
  <conditionalFormatting sqref="I134">
    <cfRule type="cellIs" dxfId="1509" priority="13" stopIfTrue="1" operator="lessThanOrEqual">
      <formula>0</formula>
    </cfRule>
    <cfRule type="cellIs" dxfId="1508" priority="11" stopIfTrue="1" operator="lessThanOrEqual">
      <formula>0</formula>
    </cfRule>
    <cfRule type="cellIs" dxfId="1507" priority="10" stopIfTrue="1" operator="greaterThan">
      <formula>$F$37</formula>
    </cfRule>
    <cfRule type="cellIs" dxfId="1506" priority="9" stopIfTrue="1" operator="lessThanOrEqual">
      <formula>0</formula>
    </cfRule>
    <cfRule type="cellIs" dxfId="1505" priority="8" stopIfTrue="1" operator="greaterThan">
      <formula>$F$35</formula>
    </cfRule>
    <cfRule type="cellIs" dxfId="1504" priority="12" stopIfTrue="1" operator="greaterThan">
      <formula>$F$35</formula>
    </cfRule>
  </conditionalFormatting>
  <conditionalFormatting sqref="I135">
    <cfRule type="cellIs" dxfId="1503" priority="132" stopIfTrue="1" operator="lessThanOrEqual">
      <formula>0</formula>
    </cfRule>
    <cfRule type="cellIs" dxfId="1502" priority="133" stopIfTrue="1" operator="greaterThan">
      <formula>$F$139</formula>
    </cfRule>
    <cfRule type="cellIs" dxfId="1501" priority="134" stopIfTrue="1" operator="lessThanOrEqual">
      <formula>0</formula>
    </cfRule>
    <cfRule type="cellIs" dxfId="1500" priority="131" stopIfTrue="1" operator="greaterThan">
      <formula>$F$141</formula>
    </cfRule>
    <cfRule type="cellIs" dxfId="1499" priority="129" stopIfTrue="1" operator="greaterThan">
      <formula>$F$139</formula>
    </cfRule>
    <cfRule type="cellIs" dxfId="1498" priority="130" stopIfTrue="1" operator="lessThanOrEqual">
      <formula>0</formula>
    </cfRule>
  </conditionalFormatting>
  <conditionalFormatting sqref="I136">
    <cfRule type="cellIs" dxfId="1497" priority="83" stopIfTrue="1" operator="greaterThan">
      <formula>$F$113</formula>
    </cfRule>
    <cfRule type="cellIs" dxfId="1496" priority="82" stopIfTrue="1" operator="lessThanOrEqual">
      <formula>0</formula>
    </cfRule>
    <cfRule type="cellIs" dxfId="1495" priority="79" stopIfTrue="1" operator="greaterThan">
      <formula>$F$113</formula>
    </cfRule>
    <cfRule type="cellIs" dxfId="1494" priority="80" stopIfTrue="1" operator="lessThanOrEqual">
      <formula>0</formula>
    </cfRule>
    <cfRule type="cellIs" dxfId="1493" priority="81" stopIfTrue="1" operator="greaterThan">
      <formula>$F$115</formula>
    </cfRule>
    <cfRule type="cellIs" dxfId="1492" priority="84" stopIfTrue="1" operator="lessThanOrEqual">
      <formula>0</formula>
    </cfRule>
  </conditionalFormatting>
  <conditionalFormatting sqref="I140:I148">
    <cfRule type="cellIs" dxfId="1491" priority="146" stopIfTrue="1" operator="lessThanOrEqual">
      <formula>0</formula>
    </cfRule>
    <cfRule type="cellIs" dxfId="1490" priority="145" stopIfTrue="1" operator="greaterThan">
      <formula>$J140</formula>
    </cfRule>
  </conditionalFormatting>
  <conditionalFormatting sqref="I151:I159">
    <cfRule type="cellIs" dxfId="1489" priority="174" stopIfTrue="1" operator="greaterThan">
      <formula>4.5</formula>
    </cfRule>
    <cfRule type="cellIs" dxfId="1488" priority="175" stopIfTrue="1" operator="lessThanOrEqual">
      <formula>0</formula>
    </cfRule>
  </conditionalFormatting>
  <conditionalFormatting sqref="I10:J95">
    <cfRule type="cellIs" dxfId="1487" priority="28" operator="lessThan">
      <formula>97.9</formula>
    </cfRule>
  </conditionalFormatting>
  <conditionalFormatting sqref="J96:J100">
    <cfRule type="cellIs" dxfId="1486" priority="55" operator="greaterThan">
      <formula>6</formula>
    </cfRule>
    <cfRule type="cellIs" dxfId="1485" priority="56" operator="lessThan">
      <formula>4</formula>
    </cfRule>
    <cfRule type="cellIs" dxfId="1484" priority="59" operator="greaterThan">
      <formula>6.4</formula>
    </cfRule>
  </conditionalFormatting>
  <conditionalFormatting sqref="J103:J105">
    <cfRule type="cellIs" dxfId="1483" priority="103" stopIfTrue="1" operator="lessThan">
      <formula>96.8</formula>
    </cfRule>
    <cfRule type="cellIs" dxfId="1482" priority="105" operator="lessThan">
      <formula>98</formula>
    </cfRule>
    <cfRule type="cellIs" dxfId="1481" priority="104" stopIfTrue="1" operator="greaterThan">
      <formula>100</formula>
    </cfRule>
  </conditionalFormatting>
  <conditionalFormatting sqref="J103:J107">
    <cfRule type="cellIs" dxfId="1480" priority="102" operator="lessThan">
      <formula>97.4</formula>
    </cfRule>
  </conditionalFormatting>
  <conditionalFormatting sqref="J108">
    <cfRule type="cellIs" dxfId="1479" priority="106" operator="lessThan">
      <formula>98</formula>
    </cfRule>
  </conditionalFormatting>
  <conditionalFormatting sqref="J109:J111">
    <cfRule type="cellIs" dxfId="1478" priority="108" stopIfTrue="1" operator="greaterThan">
      <formula>100</formula>
    </cfRule>
    <cfRule type="cellIs" dxfId="1477" priority="107" stopIfTrue="1" operator="lessThan">
      <formula>96.8</formula>
    </cfRule>
  </conditionalFormatting>
  <conditionalFormatting sqref="J109:J112">
    <cfRule type="cellIs" dxfId="1476" priority="109" operator="lessThan">
      <formula>98</formula>
    </cfRule>
  </conditionalFormatting>
  <conditionalFormatting sqref="J149">
    <cfRule type="cellIs" dxfId="1475" priority="111" stopIfTrue="1" operator="lessThanOrEqual">
      <formula>0</formula>
    </cfRule>
    <cfRule type="cellIs" dxfId="1474" priority="110" stopIfTrue="1" operator="greaterThan">
      <formula>$F149</formula>
    </cfRule>
  </conditionalFormatting>
  <conditionalFormatting sqref="K10:K95">
    <cfRule type="cellIs" dxfId="1473" priority="22" operator="lessThan">
      <formula>4</formula>
    </cfRule>
    <cfRule type="cellIs" dxfId="1472" priority="21" operator="greaterThan">
      <formula>6</formula>
    </cfRule>
    <cfRule type="cellIs" dxfId="1471" priority="26" operator="greaterThan">
      <formula>6.4</formula>
    </cfRule>
  </conditionalFormatting>
  <conditionalFormatting sqref="K96:K100">
    <cfRule type="cellIs" dxfId="1470" priority="57" operator="between">
      <formula>61</formula>
      <formula>65</formula>
    </cfRule>
    <cfRule type="cellIs" dxfId="1469" priority="58" operator="greaterThan">
      <formula>65</formula>
    </cfRule>
  </conditionalFormatting>
  <conditionalFormatting sqref="K117:K126">
    <cfRule type="cellIs" dxfId="1468" priority="101" operator="notEqual">
      <formula>#REF!</formula>
    </cfRule>
  </conditionalFormatting>
  <conditionalFormatting sqref="K132:K136 K140:N143 L144:N144">
    <cfRule type="cellIs" dxfId="1467" priority="158" stopIfTrue="1" operator="lessThan">
      <formula>100%</formula>
    </cfRule>
  </conditionalFormatting>
  <conditionalFormatting sqref="K151:K156">
    <cfRule type="cellIs" dxfId="1466" priority="180" stopIfTrue="1" operator="lessThan">
      <formula>100%</formula>
    </cfRule>
  </conditionalFormatting>
  <conditionalFormatting sqref="K158:K159">
    <cfRule type="cellIs" dxfId="1465" priority="187" stopIfTrue="1" operator="lessThan">
      <formula>100%</formula>
    </cfRule>
  </conditionalFormatting>
  <conditionalFormatting sqref="K145:N149">
    <cfRule type="cellIs" dxfId="1464" priority="112" stopIfTrue="1" operator="lessThan">
      <formula>100%</formula>
    </cfRule>
  </conditionalFormatting>
  <conditionalFormatting sqref="L10:L95">
    <cfRule type="cellIs" dxfId="1463" priority="24" operator="greaterThan">
      <formula>65</formula>
    </cfRule>
    <cfRule type="cellIs" dxfId="1462" priority="23" operator="between">
      <formula>61</formula>
      <formula>65</formula>
    </cfRule>
  </conditionalFormatting>
  <conditionalFormatting sqref="L96:M100">
    <cfRule type="expression" dxfId="1461" priority="54">
      <formula>IF(+(IF(L96&lt;T96,0,IF(L96&gt;U96,0,1)))=0,1)</formula>
    </cfRule>
  </conditionalFormatting>
  <conditionalFormatting sqref="L103:M114">
    <cfRule type="cellIs" dxfId="1460" priority="117" operator="lessThan">
      <formula>98</formula>
    </cfRule>
  </conditionalFormatting>
  <conditionalFormatting sqref="L118:N118">
    <cfRule type="cellIs" dxfId="1459" priority="122" operator="notEqual">
      <formula>#REF!</formula>
    </cfRule>
  </conditionalFormatting>
  <conditionalFormatting sqref="L151:N159">
    <cfRule type="cellIs" dxfId="1458" priority="165" stopIfTrue="1" operator="lessThan">
      <formula>100%</formula>
    </cfRule>
  </conditionalFormatting>
  <conditionalFormatting sqref="M10:M95">
    <cfRule type="expression" dxfId="1457" priority="18">
      <formula>IF(+(IF(M10&lt;U10,0,IF(M10&gt;V10,0,1)))=0,1)</formula>
    </cfRule>
  </conditionalFormatting>
  <conditionalFormatting sqref="M6:N6">
    <cfRule type="cellIs" dxfId="1456" priority="124" operator="greaterThanOrEqual">
      <formula>19</formula>
    </cfRule>
    <cfRule type="cellIs" dxfId="1455" priority="123" operator="greaterThanOrEqual">
      <formula>15</formula>
    </cfRule>
  </conditionalFormatting>
  <conditionalFormatting sqref="N10:N22">
    <cfRule type="expression" dxfId="1454" priority="20">
      <formula>IF(+(IF(N10&lt;X10,0,IF(N10&gt;Y10,0,1)))=0,1)</formula>
    </cfRule>
  </conditionalFormatting>
  <conditionalFormatting sqref="N23:N100">
    <cfRule type="expression" dxfId="1453" priority="46">
      <formula>IF(+(IF(N23&lt;W23,0,IF(N23&gt;X23,0,1)))=0,1)</formula>
    </cfRule>
  </conditionalFormatting>
  <conditionalFormatting sqref="P6">
    <cfRule type="cellIs" dxfId="1452" priority="161" operator="greaterThanOrEqual">
      <formula>19</formula>
    </cfRule>
  </conditionalFormatting>
  <dataValidations disablePrompts="1" count="1">
    <dataValidation type="list" allowBlank="1" showInputMessage="1" showErrorMessage="1" sqref="R8" xr:uid="{17626059-EBD2-4E68-A77A-2607A65BA87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53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46F9-F6C5-45FA-BA21-F2E040C41606}">
  <sheetPr>
    <pageSetUpPr fitToPage="1"/>
  </sheetPr>
  <dimension ref="A1:BE103"/>
  <sheetViews>
    <sheetView topLeftCell="A18" zoomScale="70" zoomScaleNormal="70" workbookViewId="0">
      <selection activeCell="I37" sqref="I37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109375" style="275" customWidth="1"/>
    <col min="9" max="9" width="26.109375" style="275" customWidth="1"/>
    <col min="10" max="10" width="31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26.66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45763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189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556" t="s">
        <v>181</v>
      </c>
      <c r="J8" s="480" t="s">
        <v>173</v>
      </c>
      <c r="K8" s="523" t="s">
        <v>23</v>
      </c>
      <c r="L8" s="525" t="s">
        <v>142</v>
      </c>
      <c r="M8" s="527" t="s">
        <v>24</v>
      </c>
      <c r="N8" s="359" t="s">
        <v>25</v>
      </c>
      <c r="O8" s="17" t="s">
        <v>26</v>
      </c>
      <c r="P8" s="474" t="s">
        <v>155</v>
      </c>
      <c r="Q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  <c r="AA8" s="13"/>
    </row>
    <row r="9" spans="2:29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57"/>
      <c r="J9" s="520"/>
      <c r="K9" s="524"/>
      <c r="L9" s="526"/>
      <c r="M9" s="528"/>
      <c r="N9" s="20" t="s">
        <v>32</v>
      </c>
      <c r="O9" s="21" t="s">
        <v>41</v>
      </c>
      <c r="P9" s="555"/>
      <c r="Q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  <c r="AA9" s="13"/>
    </row>
    <row r="10" spans="2:29" ht="15.75" customHeight="1">
      <c r="B10" s="29" t="s">
        <v>6</v>
      </c>
      <c r="C10" s="366" t="str">
        <f>[23]Brewhouse!$A371</f>
        <v>CA267</v>
      </c>
      <c r="D10" s="279">
        <f>[23]Brewhouse!$AF371</f>
        <v>54.2</v>
      </c>
      <c r="E10" s="279">
        <f>[23]Brewhouse!$AI371</f>
        <v>49.4</v>
      </c>
      <c r="F10" s="278">
        <f>[23]Brewhouse!$V371</f>
        <v>52</v>
      </c>
      <c r="G10" s="279">
        <f>[23]Brewhouse!$AG371</f>
        <v>12</v>
      </c>
      <c r="H10" s="279">
        <v>11.8</v>
      </c>
      <c r="I10" s="442">
        <f>[23]Brewhouse!AY371</f>
        <v>99.710717302967566</v>
      </c>
      <c r="J10" s="368">
        <f>[23]Brewhouse!$AU371</f>
        <v>100.97805319324719</v>
      </c>
      <c r="K10" s="368">
        <f>[23]Brewhouse!$AV371</f>
        <v>102.6139405638538</v>
      </c>
      <c r="L10" s="281">
        <f>[23]Brewhouse!$Q371</f>
        <v>7.5357142857142829</v>
      </c>
      <c r="M10" s="276">
        <f>[23]Brewhouse!$P371</f>
        <v>57</v>
      </c>
      <c r="N10" s="397">
        <f>[23]Brewhouse!$U371-[23]Brewhouse!$T371</f>
        <v>0.10347222222222219</v>
      </c>
      <c r="O10" s="370">
        <f>[23]Brewhouse!$Z371</f>
        <v>0.24583333333333329</v>
      </c>
      <c r="P10" s="371" t="str">
        <f>[23]Brewhouse!$AX371</f>
        <v>G. Mason</v>
      </c>
      <c r="Q10" s="443"/>
      <c r="S10" s="277" t="str">
        <f>B10</f>
        <v>CARIB</v>
      </c>
      <c r="T10" s="296">
        <f t="shared" ref="T10:T102" si="0">VLOOKUP($B10,$R$3:$X$9,2,FALSE)</f>
        <v>11.6</v>
      </c>
      <c r="U10" s="296">
        <f t="shared" ref="U10:U102" si="1">VLOOKUP($B10,$R$3:$X$9,3,FALSE)</f>
        <v>12</v>
      </c>
      <c r="V10" s="297">
        <f t="shared" ref="V10:V102" si="2">VLOOKUP($B10,$R$3:$X$9,4,FALSE)</f>
        <v>0</v>
      </c>
      <c r="W10" s="297">
        <f t="shared" ref="W10:W102" si="3">VLOOKUP($B10,$R$3:$X$9,5,FALSE)</f>
        <v>0.118055555555556</v>
      </c>
      <c r="X10" s="297">
        <f t="shared" ref="X10:X102" si="4">VLOOKUP($B10,$R$3:$X$9,6,FALSE)</f>
        <v>0.22569444444444445</v>
      </c>
      <c r="Y10" s="297">
        <f t="shared" ref="Y10:Y102" si="5">VLOOKUP($B10,$R$3:$X$9,7,FALSE)</f>
        <v>0.2638888888888889</v>
      </c>
      <c r="Z10" s="297">
        <f t="shared" ref="Z10:Z102" si="6">VLOOKUP($B10,$R$3:$Z$9,8,FALSE)</f>
        <v>0</v>
      </c>
      <c r="AA10" s="296">
        <f t="shared" ref="AA10:AA102" si="7">VLOOKUP($B10,$R$3:$Z$9,9,FALSE)</f>
        <v>60</v>
      </c>
    </row>
    <row r="11" spans="2:29" ht="15.75" customHeight="1">
      <c r="B11" s="29" t="s">
        <v>6</v>
      </c>
      <c r="C11" s="366" t="str">
        <f>[23]Brewhouse!$A372</f>
        <v>CA268</v>
      </c>
      <c r="D11" s="279">
        <f>[23]Brewhouse!$AF372</f>
        <v>54.5</v>
      </c>
      <c r="E11" s="279">
        <f>[23]Brewhouse!$AI372</f>
        <v>51</v>
      </c>
      <c r="F11" s="278">
        <f>[23]Brewhouse!$V372</f>
        <v>59</v>
      </c>
      <c r="G11" s="279">
        <f>[23]Brewhouse!$AG372</f>
        <v>11.8</v>
      </c>
      <c r="H11" s="279">
        <v>11.9</v>
      </c>
      <c r="I11" s="442">
        <f>[23]Brewhouse!AY372</f>
        <v>98.325749742471345</v>
      </c>
      <c r="J11" s="368">
        <f>[23]Brewhouse!$AU372</f>
        <v>99.240317373165226</v>
      </c>
      <c r="K11" s="368">
        <f>[23]Brewhouse!$AV372</f>
        <v>100.85034141367622</v>
      </c>
      <c r="L11" s="281">
        <f>[23]Brewhouse!$Q372</f>
        <v>8.546099290780143</v>
      </c>
      <c r="M11" s="276">
        <f>[23]Brewhouse!$P372</f>
        <v>61</v>
      </c>
      <c r="N11" s="397">
        <f>[23]Brewhouse!$U372-[23]Brewhouse!$T372</f>
        <v>0.1159722222222222</v>
      </c>
      <c r="O11" s="370">
        <f>[23]Brewhouse!$Z372</f>
        <v>0.24930555555555553</v>
      </c>
      <c r="P11" s="371" t="str">
        <f>[23]Brewhouse!$AX372</f>
        <v>K.Benjamin</v>
      </c>
      <c r="Q11" s="443"/>
      <c r="S11" s="277" t="str">
        <f>B11</f>
        <v>CARIB</v>
      </c>
      <c r="T11" s="296">
        <f t="shared" si="0"/>
        <v>11.6</v>
      </c>
      <c r="U11" s="296">
        <f t="shared" si="1"/>
        <v>12</v>
      </c>
      <c r="V11" s="297">
        <f t="shared" si="2"/>
        <v>0</v>
      </c>
      <c r="W11" s="297">
        <f t="shared" si="3"/>
        <v>0.118055555555556</v>
      </c>
      <c r="X11" s="297">
        <f t="shared" si="4"/>
        <v>0.22569444444444445</v>
      </c>
      <c r="Y11" s="297">
        <f t="shared" si="5"/>
        <v>0.2638888888888889</v>
      </c>
      <c r="Z11" s="297">
        <f t="shared" si="6"/>
        <v>0</v>
      </c>
      <c r="AA11" s="296">
        <f t="shared" si="7"/>
        <v>60</v>
      </c>
    </row>
    <row r="12" spans="2:29" ht="15.75" customHeight="1">
      <c r="B12" s="29" t="s">
        <v>6</v>
      </c>
      <c r="C12" s="366" t="str">
        <f>[23]Brewhouse!$A373</f>
        <v>CA269</v>
      </c>
      <c r="D12" s="279">
        <f>[23]Brewhouse!$AF373</f>
        <v>54.1</v>
      </c>
      <c r="E12" s="279">
        <f>[23]Brewhouse!$AI373</f>
        <v>50.5</v>
      </c>
      <c r="F12" s="278">
        <f>[23]Brewhouse!$V373</f>
        <v>57</v>
      </c>
      <c r="G12" s="279">
        <f>[23]Brewhouse!$AG373</f>
        <v>12.03</v>
      </c>
      <c r="H12" s="279">
        <v>11.8</v>
      </c>
      <c r="I12" s="442">
        <f>[23]Brewhouse!AY373</f>
        <v>99.464741086397311</v>
      </c>
      <c r="J12" s="368">
        <f>[23]Brewhouse!$AU373</f>
        <v>100.01930356159028</v>
      </c>
      <c r="K12" s="368">
        <f>[23]Brewhouse!$AV373</f>
        <v>101.64196547472994</v>
      </c>
      <c r="L12" s="281">
        <f>[23]Brewhouse!$Q373</f>
        <v>6.9454545454545462</v>
      </c>
      <c r="M12" s="276">
        <f>[23]Brewhouse!$P373</f>
        <v>60</v>
      </c>
      <c r="N12" s="397">
        <f>[23]Brewhouse!$U373-[23]Brewhouse!$T373</f>
        <v>0.11319444444444438</v>
      </c>
      <c r="O12" s="370">
        <f>[23]Brewhouse!$Z373</f>
        <v>0.2541666666666666</v>
      </c>
      <c r="P12" s="371" t="str">
        <f>[23]Brewhouse!$AX373</f>
        <v>K.Benjamin</v>
      </c>
      <c r="Q12" s="443"/>
      <c r="S12" s="277" t="str">
        <f>B12</f>
        <v>CARIB</v>
      </c>
      <c r="T12" s="296">
        <f t="shared" si="0"/>
        <v>11.6</v>
      </c>
      <c r="U12" s="296">
        <f t="shared" si="1"/>
        <v>12</v>
      </c>
      <c r="V12" s="297">
        <f t="shared" si="2"/>
        <v>0</v>
      </c>
      <c r="W12" s="297">
        <f t="shared" si="3"/>
        <v>0.118055555555556</v>
      </c>
      <c r="X12" s="297">
        <f t="shared" si="4"/>
        <v>0.22569444444444445</v>
      </c>
      <c r="Y12" s="297">
        <f t="shared" si="5"/>
        <v>0.2638888888888889</v>
      </c>
      <c r="Z12" s="297">
        <f t="shared" si="6"/>
        <v>0</v>
      </c>
      <c r="AA12" s="296">
        <f t="shared" si="7"/>
        <v>60</v>
      </c>
    </row>
    <row r="13" spans="2:29" ht="15.75" customHeight="1">
      <c r="B13" s="29" t="s">
        <v>6</v>
      </c>
      <c r="C13" s="366" t="str">
        <f>[23]Brewhouse!$A374</f>
        <v>CA270</v>
      </c>
      <c r="D13" s="279">
        <f>[23]Brewhouse!$AF374</f>
        <v>54.6</v>
      </c>
      <c r="E13" s="279">
        <f>[23]Brewhouse!$AI374</f>
        <v>51</v>
      </c>
      <c r="F13" s="278">
        <f>[23]Brewhouse!$V374</f>
        <v>62</v>
      </c>
      <c r="G13" s="279">
        <f>[23]Brewhouse!$AG374</f>
        <v>11.81</v>
      </c>
      <c r="H13" s="279">
        <v>11.8</v>
      </c>
      <c r="I13" s="442">
        <f>[23]Brewhouse!AY374</f>
        <v>97.057052984353064</v>
      </c>
      <c r="J13" s="368">
        <f>[23]Brewhouse!$AU374</f>
        <v>99.117134605566818</v>
      </c>
      <c r="K13" s="368">
        <f>[23]Brewhouse!$AV374</f>
        <v>100.72524867872173</v>
      </c>
      <c r="L13" s="281">
        <f>[23]Brewhouse!$Q374</f>
        <v>7.0000000000000036</v>
      </c>
      <c r="M13" s="276">
        <f>[23]Brewhouse!$P374</f>
        <v>60</v>
      </c>
      <c r="N13" s="397">
        <f>[23]Brewhouse!$U374-[23]Brewhouse!$T374</f>
        <v>0.10972222222222228</v>
      </c>
      <c r="O13" s="370">
        <f>[23]Brewhouse!$Z374</f>
        <v>0.25833333333333336</v>
      </c>
      <c r="P13" s="371" t="str">
        <f>[23]Brewhouse!$AX374</f>
        <v>K.Benjamin</v>
      </c>
      <c r="Q13" s="443"/>
      <c r="S13" s="277" t="str">
        <f t="shared" ref="S13:S76" si="8">B13</f>
        <v>CARIB</v>
      </c>
      <c r="T13" s="296">
        <f t="shared" si="0"/>
        <v>11.6</v>
      </c>
      <c r="U13" s="296">
        <f t="shared" si="1"/>
        <v>12</v>
      </c>
      <c r="V13" s="297">
        <f t="shared" si="2"/>
        <v>0</v>
      </c>
      <c r="W13" s="297">
        <f t="shared" si="3"/>
        <v>0.118055555555556</v>
      </c>
      <c r="X13" s="297">
        <f t="shared" si="4"/>
        <v>0.22569444444444445</v>
      </c>
      <c r="Y13" s="297">
        <f t="shared" si="5"/>
        <v>0.2638888888888889</v>
      </c>
      <c r="Z13" s="297">
        <f t="shared" si="6"/>
        <v>0</v>
      </c>
      <c r="AA13" s="296">
        <f t="shared" si="7"/>
        <v>60</v>
      </c>
    </row>
    <row r="14" spans="2:29" ht="15.75" customHeight="1">
      <c r="B14" s="29" t="s">
        <v>6</v>
      </c>
      <c r="C14" s="366" t="str">
        <f>[23]Brewhouse!$A375</f>
        <v>CA271</v>
      </c>
      <c r="D14" s="279">
        <f>[23]Brewhouse!$AF375</f>
        <v>54.1</v>
      </c>
      <c r="E14" s="279">
        <f>[23]Brewhouse!$AI375</f>
        <v>50.7</v>
      </c>
      <c r="F14" s="278">
        <f>[23]Brewhouse!$V375</f>
        <v>58</v>
      </c>
      <c r="G14" s="279">
        <f>[23]Brewhouse!$AG375</f>
        <v>11.82</v>
      </c>
      <c r="H14" s="279">
        <v>11.9</v>
      </c>
      <c r="I14" s="442">
        <f>[23]Brewhouse!AY375</f>
        <v>97.057052984353064</v>
      </c>
      <c r="J14" s="368">
        <f>[23]Brewhouse!$AU375</f>
        <v>98.53409263729877</v>
      </c>
      <c r="K14" s="368">
        <f>[23]Brewhouse!$AV375</f>
        <v>100.13274721590572</v>
      </c>
      <c r="L14" s="281">
        <f>[23]Brewhouse!$Q375</f>
        <v>8.0427046263345243</v>
      </c>
      <c r="M14" s="276">
        <f>[23]Brewhouse!$P375</f>
        <v>61</v>
      </c>
      <c r="N14" s="397">
        <f>[23]Brewhouse!$U375-[23]Brewhouse!$T375</f>
        <v>0.1118055555555556</v>
      </c>
      <c r="O14" s="370">
        <f>[23]Brewhouse!$Z375</f>
        <v>0.26041666666666674</v>
      </c>
      <c r="P14" s="371" t="str">
        <f>[23]Brewhouse!$AX375</f>
        <v>R. Regis</v>
      </c>
      <c r="Q14" s="443"/>
      <c r="S14" s="277" t="str">
        <f t="shared" si="8"/>
        <v>CARIB</v>
      </c>
      <c r="T14" s="296">
        <f t="shared" si="0"/>
        <v>11.6</v>
      </c>
      <c r="U14" s="296">
        <f t="shared" si="1"/>
        <v>12</v>
      </c>
      <c r="V14" s="297">
        <f t="shared" si="2"/>
        <v>0</v>
      </c>
      <c r="W14" s="297">
        <f t="shared" si="3"/>
        <v>0.118055555555556</v>
      </c>
      <c r="X14" s="297">
        <f t="shared" si="4"/>
        <v>0.22569444444444445</v>
      </c>
      <c r="Y14" s="297">
        <f t="shared" si="5"/>
        <v>0.2638888888888889</v>
      </c>
      <c r="Z14" s="297">
        <f t="shared" si="6"/>
        <v>0</v>
      </c>
      <c r="AA14" s="296">
        <f t="shared" si="7"/>
        <v>60</v>
      </c>
    </row>
    <row r="15" spans="2:29" ht="15.75" customHeight="1">
      <c r="B15" s="29" t="s">
        <v>6</v>
      </c>
      <c r="C15" s="366" t="str">
        <f>[23]Brewhouse!$A376</f>
        <v>CA272</v>
      </c>
      <c r="D15" s="279">
        <f>[23]Brewhouse!$AF376</f>
        <v>54.2</v>
      </c>
      <c r="E15" s="279">
        <f>[23]Brewhouse!$AI376</f>
        <v>50.5</v>
      </c>
      <c r="F15" s="278">
        <f>[23]Brewhouse!$V376</f>
        <v>56</v>
      </c>
      <c r="G15" s="279">
        <f>[23]Brewhouse!$AG376</f>
        <v>11.83</v>
      </c>
      <c r="H15" s="279">
        <v>11.8</v>
      </c>
      <c r="I15" s="442">
        <f>[23]Brewhouse!AY376</f>
        <v>97.352805454499119</v>
      </c>
      <c r="J15" s="368">
        <f>[23]Brewhouse!$AU376</f>
        <v>98.267373085193</v>
      </c>
      <c r="K15" s="368">
        <f>[23]Brewhouse!$AV376</f>
        <v>99.861612576287229</v>
      </c>
      <c r="L15" s="281">
        <f>[23]Brewhouse!$Q376</f>
        <v>6.2745098039215739</v>
      </c>
      <c r="M15" s="276">
        <f>[23]Brewhouse!$P376</f>
        <v>61</v>
      </c>
      <c r="N15" s="397">
        <f>[23]Brewhouse!$U376-[23]Brewhouse!$T376</f>
        <v>0.10625000000000007</v>
      </c>
      <c r="O15" s="370">
        <f>[23]Brewhouse!$Z376</f>
        <v>0.24513888888888891</v>
      </c>
      <c r="P15" s="371" t="str">
        <f>[23]Brewhouse!$AX376</f>
        <v>R. Regis</v>
      </c>
      <c r="Q15" s="443"/>
      <c r="S15" s="277" t="str">
        <f t="shared" si="8"/>
        <v>CARIB</v>
      </c>
      <c r="T15" s="296">
        <f t="shared" si="0"/>
        <v>11.6</v>
      </c>
      <c r="U15" s="296">
        <f t="shared" si="1"/>
        <v>12</v>
      </c>
      <c r="V15" s="297">
        <f t="shared" si="2"/>
        <v>0</v>
      </c>
      <c r="W15" s="297">
        <f t="shared" si="3"/>
        <v>0.118055555555556</v>
      </c>
      <c r="X15" s="297">
        <f t="shared" si="4"/>
        <v>0.22569444444444445</v>
      </c>
      <c r="Y15" s="297">
        <f t="shared" si="5"/>
        <v>0.2638888888888889</v>
      </c>
      <c r="Z15" s="297">
        <f t="shared" si="6"/>
        <v>0</v>
      </c>
      <c r="AA15" s="296">
        <f t="shared" si="7"/>
        <v>60</v>
      </c>
    </row>
    <row r="16" spans="2:29" ht="15.75" customHeight="1">
      <c r="B16" s="29" t="s">
        <v>6</v>
      </c>
      <c r="C16" s="366" t="str">
        <f>[23]Brewhouse!$A377</f>
        <v>CA273</v>
      </c>
      <c r="D16" s="279">
        <f>[23]Brewhouse!$AF377</f>
        <v>54.9</v>
      </c>
      <c r="E16" s="279">
        <f>[23]Brewhouse!$AI377</f>
        <v>51.4</v>
      </c>
      <c r="F16" s="278">
        <f>[23]Brewhouse!$V377</f>
        <v>64</v>
      </c>
      <c r="G16" s="279">
        <f>[23]Brewhouse!$AG377</f>
        <v>11.77</v>
      </c>
      <c r="H16" s="367"/>
      <c r="I16" s="442">
        <f>[23]Brewhouse!AY377</f>
        <v>97.718526852542325</v>
      </c>
      <c r="J16" s="368">
        <f>[23]Brewhouse!$AU377</f>
        <v>99.400995056811297</v>
      </c>
      <c r="K16" s="368">
        <f>[23]Brewhouse!$AV377</f>
        <v>101.01406735984358</v>
      </c>
      <c r="L16" s="281">
        <f>[23]Brewhouse!$Q377</f>
        <v>9.1265597147950039</v>
      </c>
      <c r="M16" s="276">
        <f>[23]Brewhouse!$P377</f>
        <v>60</v>
      </c>
      <c r="N16" s="397">
        <f>[23]Brewhouse!$U377-[23]Brewhouse!$T377</f>
        <v>0.11249999999999993</v>
      </c>
      <c r="O16" s="370">
        <f>[23]Brewhouse!$Z377</f>
        <v>0.25555555555555554</v>
      </c>
      <c r="P16" s="371" t="str">
        <f>[23]Brewhouse!$AX377</f>
        <v>R. Regis</v>
      </c>
      <c r="Q16" s="443"/>
      <c r="S16" s="277" t="str">
        <f t="shared" si="8"/>
        <v>CARIB</v>
      </c>
      <c r="T16" s="296">
        <f t="shared" si="0"/>
        <v>11.6</v>
      </c>
      <c r="U16" s="296">
        <f t="shared" si="1"/>
        <v>12</v>
      </c>
      <c r="V16" s="297">
        <f t="shared" si="2"/>
        <v>0</v>
      </c>
      <c r="W16" s="297">
        <f t="shared" si="3"/>
        <v>0.118055555555556</v>
      </c>
      <c r="X16" s="297">
        <f t="shared" si="4"/>
        <v>0.22569444444444445</v>
      </c>
      <c r="Y16" s="297">
        <f t="shared" si="5"/>
        <v>0.2638888888888889</v>
      </c>
      <c r="Z16" s="297">
        <f t="shared" si="6"/>
        <v>0</v>
      </c>
      <c r="AA16" s="296">
        <f t="shared" si="7"/>
        <v>60</v>
      </c>
    </row>
    <row r="17" spans="1:27" ht="15.75" customHeight="1">
      <c r="B17" s="29" t="s">
        <v>6</v>
      </c>
      <c r="C17" s="366" t="str">
        <f>[23]Brewhouse!$A378</f>
        <v>CA274</v>
      </c>
      <c r="D17" s="279">
        <f>[23]Brewhouse!$AF378</f>
        <v>54.3</v>
      </c>
      <c r="E17" s="279">
        <f>[23]Brewhouse!$AI378</f>
        <v>50.8</v>
      </c>
      <c r="F17" s="278">
        <f>[23]Brewhouse!$V378</f>
        <v>62</v>
      </c>
      <c r="G17" s="279">
        <f>[23]Brewhouse!$AG378</f>
        <v>11.78</v>
      </c>
      <c r="H17" s="367"/>
      <c r="I17" s="442">
        <f>[23]Brewhouse!AY378</f>
        <v>97.853897857483503</v>
      </c>
      <c r="J17" s="368">
        <f>[23]Brewhouse!$AU378</f>
        <v>98.240672157315458</v>
      </c>
      <c r="K17" s="368">
        <f>[23]Brewhouse!$AV378</f>
        <v>99.834914822569132</v>
      </c>
      <c r="L17" s="281">
        <f>[23]Brewhouse!$Q378</f>
        <v>6.4758497316636809</v>
      </c>
      <c r="M17" s="276">
        <f>[23]Brewhouse!$P378</f>
        <v>56</v>
      </c>
      <c r="N17" s="397">
        <f>[23]Brewhouse!$U378-[23]Brewhouse!$T378</f>
        <v>0.10694444444444451</v>
      </c>
      <c r="O17" s="370">
        <f>[23]Brewhouse!$Z378</f>
        <v>0.24166666666666659</v>
      </c>
      <c r="P17" s="371" t="str">
        <f>[23]Brewhouse!$AX378</f>
        <v>G. Mason</v>
      </c>
      <c r="Q17" s="443"/>
      <c r="S17" s="277" t="str">
        <f t="shared" si="8"/>
        <v>CARIB</v>
      </c>
      <c r="T17" s="296">
        <f t="shared" si="0"/>
        <v>11.6</v>
      </c>
      <c r="U17" s="296">
        <f t="shared" si="1"/>
        <v>12</v>
      </c>
      <c r="V17" s="297">
        <f t="shared" si="2"/>
        <v>0</v>
      </c>
      <c r="W17" s="297">
        <f t="shared" si="3"/>
        <v>0.118055555555556</v>
      </c>
      <c r="X17" s="297">
        <f t="shared" si="4"/>
        <v>0.22569444444444445</v>
      </c>
      <c r="Y17" s="297">
        <f t="shared" si="5"/>
        <v>0.2638888888888889</v>
      </c>
      <c r="Z17" s="297">
        <f t="shared" si="6"/>
        <v>0</v>
      </c>
      <c r="AA17" s="296">
        <f t="shared" si="7"/>
        <v>60</v>
      </c>
    </row>
    <row r="18" spans="1:27" ht="15.75" customHeight="1">
      <c r="B18" s="29"/>
      <c r="C18" s="366"/>
      <c r="D18" s="279"/>
      <c r="E18" s="279"/>
      <c r="F18" s="278"/>
      <c r="G18" s="279"/>
      <c r="H18" s="279"/>
      <c r="I18" s="368"/>
      <c r="J18" s="368"/>
      <c r="K18" s="281"/>
      <c r="L18" s="444"/>
      <c r="M18" s="397"/>
      <c r="N18" s="397"/>
      <c r="O18" s="370"/>
      <c r="P18" s="443"/>
      <c r="Q18" s="443"/>
      <c r="S18" s="277">
        <f t="shared" si="8"/>
        <v>0</v>
      </c>
      <c r="T18" s="296" t="e">
        <f t="shared" si="0"/>
        <v>#N/A</v>
      </c>
      <c r="U18" s="296" t="e">
        <f t="shared" si="1"/>
        <v>#N/A</v>
      </c>
      <c r="V18" s="297" t="e">
        <f t="shared" si="2"/>
        <v>#N/A</v>
      </c>
      <c r="W18" s="297" t="e">
        <f t="shared" si="3"/>
        <v>#N/A</v>
      </c>
      <c r="X18" s="297" t="e">
        <f t="shared" si="4"/>
        <v>#N/A</v>
      </c>
      <c r="Y18" s="297" t="e">
        <f t="shared" si="5"/>
        <v>#N/A</v>
      </c>
      <c r="Z18" s="297" t="e">
        <f t="shared" si="6"/>
        <v>#N/A</v>
      </c>
      <c r="AA18" s="296" t="e">
        <f t="shared" si="7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279"/>
      <c r="I19" s="368"/>
      <c r="J19" s="368"/>
      <c r="K19" s="281"/>
      <c r="L19" s="444"/>
      <c r="M19" s="397"/>
      <c r="N19" s="397"/>
      <c r="O19" s="370"/>
      <c r="P19" s="443"/>
      <c r="Q19" s="443"/>
      <c r="S19" s="277">
        <f t="shared" si="8"/>
        <v>0</v>
      </c>
      <c r="T19" s="296" t="e">
        <f t="shared" si="0"/>
        <v>#N/A</v>
      </c>
      <c r="U19" s="296" t="e">
        <f t="shared" si="1"/>
        <v>#N/A</v>
      </c>
      <c r="V19" s="297" t="e">
        <f t="shared" si="2"/>
        <v>#N/A</v>
      </c>
      <c r="W19" s="297" t="e">
        <f t="shared" si="3"/>
        <v>#N/A</v>
      </c>
      <c r="X19" s="297" t="e">
        <f t="shared" si="4"/>
        <v>#N/A</v>
      </c>
      <c r="Y19" s="297" t="e">
        <f t="shared" si="5"/>
        <v>#N/A</v>
      </c>
      <c r="Z19" s="297" t="e">
        <f t="shared" si="6"/>
        <v>#N/A</v>
      </c>
      <c r="AA19" s="296" t="e">
        <f t="shared" si="7"/>
        <v>#N/A</v>
      </c>
    </row>
    <row r="20" spans="1:27" ht="15.75" hidden="1" customHeight="1">
      <c r="B20" s="29"/>
      <c r="C20" s="366"/>
      <c r="D20" s="279"/>
      <c r="E20" s="279"/>
      <c r="F20" s="278"/>
      <c r="G20" s="279"/>
      <c r="H20" s="279"/>
      <c r="I20" s="368"/>
      <c r="J20" s="368"/>
      <c r="K20" s="281"/>
      <c r="L20" s="444"/>
      <c r="M20" s="397"/>
      <c r="N20" s="370"/>
      <c r="O20" s="371"/>
      <c r="P20" s="443"/>
      <c r="S20" s="277">
        <f t="shared" si="8"/>
        <v>0</v>
      </c>
      <c r="T20" s="296" t="e">
        <f t="shared" si="0"/>
        <v>#N/A</v>
      </c>
      <c r="U20" s="296" t="e">
        <f t="shared" si="1"/>
        <v>#N/A</v>
      </c>
      <c r="V20" s="297" t="e">
        <f t="shared" si="2"/>
        <v>#N/A</v>
      </c>
      <c r="W20" s="297" t="e">
        <f t="shared" si="3"/>
        <v>#N/A</v>
      </c>
      <c r="X20" s="297" t="e">
        <f t="shared" si="4"/>
        <v>#N/A</v>
      </c>
      <c r="Y20" s="297" t="e">
        <f t="shared" si="5"/>
        <v>#N/A</v>
      </c>
      <c r="Z20" s="297" t="e">
        <f t="shared" si="6"/>
        <v>#N/A</v>
      </c>
      <c r="AA20" s="296" t="e">
        <f t="shared" si="7"/>
        <v>#N/A</v>
      </c>
    </row>
    <row r="21" spans="1:27" ht="15.75" hidden="1" customHeight="1">
      <c r="B21" s="29"/>
      <c r="C21" s="366"/>
      <c r="D21" s="279"/>
      <c r="E21" s="279"/>
      <c r="F21" s="278"/>
      <c r="G21" s="279"/>
      <c r="H21" s="279"/>
      <c r="I21" s="368"/>
      <c r="J21" s="368"/>
      <c r="K21" s="281"/>
      <c r="L21" s="444"/>
      <c r="M21" s="397"/>
      <c r="N21" s="370"/>
      <c r="O21" s="371"/>
      <c r="P21" s="443"/>
      <c r="S21" s="277">
        <f t="shared" si="8"/>
        <v>0</v>
      </c>
      <c r="T21" s="296" t="e">
        <f t="shared" si="0"/>
        <v>#N/A</v>
      </c>
      <c r="U21" s="296" t="e">
        <f t="shared" si="1"/>
        <v>#N/A</v>
      </c>
      <c r="V21" s="297" t="e">
        <f t="shared" si="2"/>
        <v>#N/A</v>
      </c>
      <c r="W21" s="297" t="e">
        <f t="shared" si="3"/>
        <v>#N/A</v>
      </c>
      <c r="X21" s="297" t="e">
        <f t="shared" si="4"/>
        <v>#N/A</v>
      </c>
      <c r="Y21" s="297" t="e">
        <f t="shared" si="5"/>
        <v>#N/A</v>
      </c>
      <c r="Z21" s="297" t="e">
        <f t="shared" si="6"/>
        <v>#N/A</v>
      </c>
      <c r="AA21" s="296" t="e">
        <f t="shared" si="7"/>
        <v>#N/A</v>
      </c>
    </row>
    <row r="22" spans="1:27" ht="15.75" hidden="1" customHeight="1">
      <c r="B22" s="29"/>
      <c r="C22" s="366"/>
      <c r="D22" s="279"/>
      <c r="E22" s="279"/>
      <c r="F22" s="278"/>
      <c r="G22" s="279"/>
      <c r="H22" s="279"/>
      <c r="I22" s="368"/>
      <c r="J22" s="368"/>
      <c r="K22" s="281"/>
      <c r="L22" s="444"/>
      <c r="M22" s="397"/>
      <c r="N22" s="370"/>
      <c r="O22" s="371"/>
      <c r="P22" s="443"/>
      <c r="S22" s="277">
        <f t="shared" si="8"/>
        <v>0</v>
      </c>
      <c r="T22" s="296" t="e">
        <f t="shared" si="0"/>
        <v>#N/A</v>
      </c>
      <c r="U22" s="296" t="e">
        <f t="shared" si="1"/>
        <v>#N/A</v>
      </c>
      <c r="V22" s="297" t="e">
        <f t="shared" si="2"/>
        <v>#N/A</v>
      </c>
      <c r="W22" s="297" t="e">
        <f t="shared" si="3"/>
        <v>#N/A</v>
      </c>
      <c r="X22" s="297" t="e">
        <f t="shared" si="4"/>
        <v>#N/A</v>
      </c>
      <c r="Y22" s="297" t="e">
        <f t="shared" si="5"/>
        <v>#N/A</v>
      </c>
      <c r="Z22" s="297" t="e">
        <f t="shared" si="6"/>
        <v>#N/A</v>
      </c>
      <c r="AA22" s="296" t="e">
        <f t="shared" si="7"/>
        <v>#N/A</v>
      </c>
    </row>
    <row r="23" spans="1:27" ht="15.75" hidden="1" customHeight="1">
      <c r="B23" s="29"/>
      <c r="C23" s="366"/>
      <c r="D23" s="279"/>
      <c r="E23" s="279"/>
      <c r="F23" s="278"/>
      <c r="G23" s="279"/>
      <c r="H23" s="279"/>
      <c r="I23" s="368"/>
      <c r="J23" s="368"/>
      <c r="K23" s="281"/>
      <c r="L23" s="444"/>
      <c r="M23" s="397"/>
      <c r="N23" s="370"/>
      <c r="O23" s="371"/>
      <c r="P23" s="443"/>
      <c r="S23" s="277">
        <f t="shared" si="8"/>
        <v>0</v>
      </c>
      <c r="T23" s="296" t="e">
        <f t="shared" si="0"/>
        <v>#N/A</v>
      </c>
      <c r="U23" s="296" t="e">
        <f t="shared" si="1"/>
        <v>#N/A</v>
      </c>
      <c r="V23" s="297" t="e">
        <f t="shared" si="2"/>
        <v>#N/A</v>
      </c>
      <c r="W23" s="297" t="e">
        <f t="shared" si="3"/>
        <v>#N/A</v>
      </c>
      <c r="X23" s="297" t="e">
        <f t="shared" si="4"/>
        <v>#N/A</v>
      </c>
      <c r="Y23" s="297" t="e">
        <f t="shared" si="5"/>
        <v>#N/A</v>
      </c>
      <c r="Z23" s="297" t="e">
        <f t="shared" si="6"/>
        <v>#N/A</v>
      </c>
      <c r="AA23" s="296" t="e">
        <f t="shared" si="7"/>
        <v>#N/A</v>
      </c>
    </row>
    <row r="24" spans="1:27" ht="15.75" hidden="1" customHeight="1">
      <c r="B24" s="33"/>
      <c r="C24" s="366"/>
      <c r="D24" s="279"/>
      <c r="E24" s="279"/>
      <c r="F24" s="278"/>
      <c r="G24" s="279"/>
      <c r="H24" s="279"/>
      <c r="I24" s="434"/>
      <c r="J24" s="398"/>
      <c r="K24" s="276"/>
      <c r="L24" s="374"/>
      <c r="M24" s="397"/>
      <c r="N24" s="370"/>
      <c r="O24" s="371"/>
      <c r="P24" s="443"/>
      <c r="S24" s="277">
        <f t="shared" si="8"/>
        <v>0</v>
      </c>
      <c r="T24" s="296" t="e">
        <f t="shared" si="0"/>
        <v>#N/A</v>
      </c>
      <c r="U24" s="296" t="e">
        <f t="shared" si="1"/>
        <v>#N/A</v>
      </c>
      <c r="V24" s="297" t="e">
        <f t="shared" si="2"/>
        <v>#N/A</v>
      </c>
      <c r="W24" s="297" t="e">
        <f t="shared" si="3"/>
        <v>#N/A</v>
      </c>
      <c r="X24" s="297" t="e">
        <f t="shared" si="4"/>
        <v>#N/A</v>
      </c>
      <c r="Y24" s="297" t="e">
        <f t="shared" si="5"/>
        <v>#N/A</v>
      </c>
      <c r="Z24" s="297" t="e">
        <f t="shared" si="6"/>
        <v>#N/A</v>
      </c>
      <c r="AA24" s="296" t="e">
        <f t="shared" si="7"/>
        <v>#N/A</v>
      </c>
    </row>
    <row r="25" spans="1:27" ht="15.75" hidden="1" customHeight="1">
      <c r="B25" s="33"/>
      <c r="C25" s="366"/>
      <c r="D25" s="279"/>
      <c r="E25" s="279"/>
      <c r="F25" s="278"/>
      <c r="G25" s="279"/>
      <c r="H25" s="279"/>
      <c r="I25" s="434"/>
      <c r="J25" s="398"/>
      <c r="K25" s="276"/>
      <c r="L25" s="374"/>
      <c r="M25" s="397"/>
      <c r="N25" s="370"/>
      <c r="O25" s="371"/>
      <c r="P25" s="443"/>
      <c r="S25" s="277">
        <f t="shared" si="8"/>
        <v>0</v>
      </c>
      <c r="T25" s="296" t="e">
        <f t="shared" si="0"/>
        <v>#N/A</v>
      </c>
      <c r="U25" s="296" t="e">
        <f t="shared" si="1"/>
        <v>#N/A</v>
      </c>
      <c r="V25" s="297" t="e">
        <f t="shared" si="2"/>
        <v>#N/A</v>
      </c>
      <c r="W25" s="297" t="e">
        <f t="shared" si="3"/>
        <v>#N/A</v>
      </c>
      <c r="X25" s="297" t="e">
        <f t="shared" si="4"/>
        <v>#N/A</v>
      </c>
      <c r="Y25" s="297" t="e">
        <f t="shared" si="5"/>
        <v>#N/A</v>
      </c>
      <c r="Z25" s="297" t="e">
        <f t="shared" si="6"/>
        <v>#N/A</v>
      </c>
      <c r="AA25" s="296" t="e">
        <f t="shared" si="7"/>
        <v>#N/A</v>
      </c>
    </row>
    <row r="26" spans="1:27" ht="15.75" hidden="1" customHeight="1">
      <c r="B26" s="33"/>
      <c r="C26" s="366"/>
      <c r="D26" s="279"/>
      <c r="E26" s="279"/>
      <c r="F26" s="278"/>
      <c r="G26" s="279"/>
      <c r="H26" s="279"/>
      <c r="I26" s="434"/>
      <c r="J26" s="398"/>
      <c r="K26" s="276"/>
      <c r="L26" s="374"/>
      <c r="M26" s="397"/>
      <c r="N26" s="370"/>
      <c r="O26" s="371"/>
      <c r="P26" s="443"/>
      <c r="S26" s="277">
        <f t="shared" si="8"/>
        <v>0</v>
      </c>
      <c r="T26" s="296" t="e">
        <f t="shared" si="0"/>
        <v>#N/A</v>
      </c>
      <c r="U26" s="296" t="e">
        <f t="shared" si="1"/>
        <v>#N/A</v>
      </c>
      <c r="V26" s="297" t="e">
        <f t="shared" si="2"/>
        <v>#N/A</v>
      </c>
      <c r="W26" s="297" t="e">
        <f t="shared" si="3"/>
        <v>#N/A</v>
      </c>
      <c r="X26" s="297" t="e">
        <f t="shared" si="4"/>
        <v>#N/A</v>
      </c>
      <c r="Y26" s="297" t="e">
        <f t="shared" si="5"/>
        <v>#N/A</v>
      </c>
      <c r="Z26" s="297" t="e">
        <f t="shared" si="6"/>
        <v>#N/A</v>
      </c>
      <c r="AA26" s="296" t="e">
        <f t="shared" si="7"/>
        <v>#N/A</v>
      </c>
    </row>
    <row r="27" spans="1:27" ht="15.75" hidden="1" customHeight="1">
      <c r="B27" s="33"/>
      <c r="C27" s="366"/>
      <c r="D27" s="279"/>
      <c r="E27" s="279"/>
      <c r="F27" s="278"/>
      <c r="G27" s="279"/>
      <c r="H27" s="279"/>
      <c r="I27" s="434"/>
      <c r="J27" s="398"/>
      <c r="K27" s="276"/>
      <c r="L27" s="374"/>
      <c r="M27" s="397"/>
      <c r="N27" s="370"/>
      <c r="O27" s="371"/>
      <c r="P27" s="443"/>
      <c r="S27" s="277">
        <f t="shared" si="8"/>
        <v>0</v>
      </c>
      <c r="T27" s="296" t="e">
        <f t="shared" si="0"/>
        <v>#N/A</v>
      </c>
      <c r="U27" s="296" t="e">
        <f t="shared" si="1"/>
        <v>#N/A</v>
      </c>
      <c r="V27" s="297" t="e">
        <f t="shared" si="2"/>
        <v>#N/A</v>
      </c>
      <c r="W27" s="297" t="e">
        <f t="shared" si="3"/>
        <v>#N/A</v>
      </c>
      <c r="X27" s="297" t="e">
        <f t="shared" si="4"/>
        <v>#N/A</v>
      </c>
      <c r="Y27" s="297" t="e">
        <f t="shared" si="5"/>
        <v>#N/A</v>
      </c>
      <c r="Z27" s="297" t="e">
        <f t="shared" si="6"/>
        <v>#N/A</v>
      </c>
      <c r="AA27" s="296" t="e">
        <f t="shared" si="7"/>
        <v>#N/A</v>
      </c>
    </row>
    <row r="28" spans="1:27" ht="15.75" hidden="1" customHeight="1">
      <c r="B28" s="33"/>
      <c r="C28" s="366"/>
      <c r="D28" s="279"/>
      <c r="E28" s="279"/>
      <c r="F28" s="278"/>
      <c r="G28" s="279"/>
      <c r="H28" s="279"/>
      <c r="I28" s="434"/>
      <c r="J28" s="398"/>
      <c r="K28" s="276"/>
      <c r="L28" s="374"/>
      <c r="M28" s="397"/>
      <c r="N28" s="370"/>
      <c r="O28" s="371"/>
      <c r="P28" s="443"/>
      <c r="S28" s="277">
        <f t="shared" si="8"/>
        <v>0</v>
      </c>
      <c r="T28" s="296" t="e">
        <f t="shared" si="0"/>
        <v>#N/A</v>
      </c>
      <c r="U28" s="296" t="e">
        <f t="shared" si="1"/>
        <v>#N/A</v>
      </c>
      <c r="V28" s="297" t="e">
        <f t="shared" si="2"/>
        <v>#N/A</v>
      </c>
      <c r="W28" s="297" t="e">
        <f t="shared" si="3"/>
        <v>#N/A</v>
      </c>
      <c r="X28" s="297" t="e">
        <f t="shared" si="4"/>
        <v>#N/A</v>
      </c>
      <c r="Y28" s="297" t="e">
        <f t="shared" si="5"/>
        <v>#N/A</v>
      </c>
      <c r="Z28" s="297" t="e">
        <f t="shared" si="6"/>
        <v>#N/A</v>
      </c>
      <c r="AA28" s="296" t="e">
        <f t="shared" si="7"/>
        <v>#N/A</v>
      </c>
    </row>
    <row r="29" spans="1:27" ht="15.75" customHeight="1" thickBot="1">
      <c r="B29" s="358"/>
      <c r="C29" s="358"/>
      <c r="D29" s="358"/>
      <c r="E29" s="358"/>
      <c r="F29" s="294"/>
      <c r="G29" s="294"/>
      <c r="H29" s="348"/>
      <c r="I29" s="500" t="s">
        <v>34</v>
      </c>
      <c r="J29" s="500"/>
      <c r="K29" s="500"/>
      <c r="L29" s="500"/>
      <c r="M29" s="500"/>
      <c r="N29" s="500"/>
      <c r="O29" s="1"/>
      <c r="P29" s="12"/>
      <c r="S29" s="277">
        <f t="shared" si="8"/>
        <v>0</v>
      </c>
      <c r="T29" s="296" t="e">
        <f t="shared" si="0"/>
        <v>#N/A</v>
      </c>
      <c r="U29" s="296" t="e">
        <f t="shared" si="1"/>
        <v>#N/A</v>
      </c>
      <c r="V29" s="297" t="e">
        <f t="shared" si="2"/>
        <v>#N/A</v>
      </c>
      <c r="W29" s="297" t="e">
        <f t="shared" si="3"/>
        <v>#N/A</v>
      </c>
      <c r="X29" s="297" t="e">
        <f t="shared" si="4"/>
        <v>#N/A</v>
      </c>
      <c r="Y29" s="297" t="e">
        <f t="shared" si="5"/>
        <v>#N/A</v>
      </c>
      <c r="Z29" s="297" t="e">
        <f t="shared" si="6"/>
        <v>#N/A</v>
      </c>
      <c r="AA29" s="296" t="e">
        <f t="shared" si="7"/>
        <v>#N/A</v>
      </c>
    </row>
    <row r="30" spans="1:27" ht="15" thickBot="1">
      <c r="B30" s="388" t="s">
        <v>145</v>
      </c>
      <c r="C30" s="388"/>
      <c r="D30" s="513" t="s">
        <v>35</v>
      </c>
      <c r="E30" s="514"/>
      <c r="F30" s="294"/>
      <c r="G30" s="294"/>
      <c r="H30" s="348"/>
      <c r="I30" s="24" t="s">
        <v>17</v>
      </c>
      <c r="J30" s="25" t="s">
        <v>36</v>
      </c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S30" s="277" t="str">
        <f t="shared" si="8"/>
        <v>BRAND</v>
      </c>
      <c r="T30" s="296" t="e">
        <f t="shared" si="0"/>
        <v>#N/A</v>
      </c>
      <c r="U30" s="296" t="e">
        <f t="shared" si="1"/>
        <v>#N/A</v>
      </c>
      <c r="V30" s="297" t="e">
        <f t="shared" si="2"/>
        <v>#N/A</v>
      </c>
      <c r="W30" s="297" t="e">
        <f t="shared" si="3"/>
        <v>#N/A</v>
      </c>
      <c r="X30" s="297" t="e">
        <f t="shared" si="4"/>
        <v>#N/A</v>
      </c>
      <c r="Y30" s="297" t="e">
        <f t="shared" si="5"/>
        <v>#N/A</v>
      </c>
      <c r="Z30" s="297" t="e">
        <f t="shared" si="6"/>
        <v>#N/A</v>
      </c>
      <c r="AA30" s="296" t="e">
        <f t="shared" si="7"/>
        <v>#N/A</v>
      </c>
    </row>
    <row r="31" spans="1:27" ht="15" customHeight="1">
      <c r="A31" s="28"/>
      <c r="B31" s="559" t="s">
        <v>33</v>
      </c>
      <c r="C31" s="362" cm="1">
        <f t="array" ref="C31:C38">[25]Process!$D$26:$D$33</f>
        <v>14.3</v>
      </c>
      <c r="D31" s="504">
        <v>16.53</v>
      </c>
      <c r="E31" s="493"/>
      <c r="F31" s="294"/>
      <c r="G31" s="294"/>
      <c r="H31" s="348"/>
      <c r="I31" s="29" t="s">
        <v>6</v>
      </c>
      <c r="J31" s="280">
        <f>AVERAGE(J10:J17)</f>
        <v>99.224742708773505</v>
      </c>
      <c r="K31" s="284">
        <f>COUNTA([23]Brewhouse!$A$341:$A$378)</f>
        <v>38</v>
      </c>
      <c r="L31" s="302">
        <f>AVERAGE([23]Brewhouse!$AU$341:$AU$346,[23]Brewhouse!$AU$348,[23]Brewhouse!$AU$349:$AU$378)</f>
        <v>98.68279763283013</v>
      </c>
      <c r="M31" s="302">
        <f>AVERAGE([23]Brewhouse!$AU$102:$AU$171,[23]Brewhouse!$AU$173:$AU$253,[23]Brewhouse!$AU$255:$AU$339,[23]Brewhouse!$AU$341:$AU$346,[23]Brewhouse!$AU$348,[23]Brewhouse!$AU$349:$AU$378)</f>
        <v>97.04501458645494</v>
      </c>
      <c r="N31" s="30">
        <v>98</v>
      </c>
      <c r="O31" s="11"/>
      <c r="P31" s="31"/>
      <c r="S31" s="277" t="str">
        <f t="shared" si="8"/>
        <v>VITAMALT</v>
      </c>
      <c r="T31" s="296">
        <f t="shared" si="0"/>
        <v>14.4</v>
      </c>
      <c r="U31" s="296">
        <f t="shared" si="1"/>
        <v>14.6</v>
      </c>
      <c r="V31" s="297">
        <f t="shared" si="2"/>
        <v>0</v>
      </c>
      <c r="W31" s="297">
        <f t="shared" si="3"/>
        <v>0.13905092592592591</v>
      </c>
      <c r="X31" s="297">
        <f t="shared" si="4"/>
        <v>0.26041666666666669</v>
      </c>
      <c r="Y31" s="297">
        <f t="shared" si="5"/>
        <v>0.2951388888888889</v>
      </c>
      <c r="Z31" s="297">
        <f t="shared" si="6"/>
        <v>0</v>
      </c>
      <c r="AA31" s="296">
        <f t="shared" si="7"/>
        <v>75</v>
      </c>
    </row>
    <row r="32" spans="1:27" ht="15" customHeight="1">
      <c r="A32" s="28"/>
      <c r="B32" s="536"/>
      <c r="C32" s="349">
        <v>14.5</v>
      </c>
      <c r="D32" s="505"/>
      <c r="E32" s="488"/>
      <c r="F32" s="294"/>
      <c r="G32" s="294"/>
      <c r="H32" s="348"/>
      <c r="I32" s="33" t="s">
        <v>9</v>
      </c>
      <c r="J32" s="280"/>
      <c r="K32" s="284">
        <f>COUNTA([24]Brewhouse!$A$142:$A$165)</f>
        <v>24</v>
      </c>
      <c r="L32" s="302">
        <f>AVERAGE([24]Brewhouse!$AS$142:$AS$165)</f>
        <v>98.959586348859446</v>
      </c>
      <c r="M32" s="302">
        <f>AVERAGE([24]Brewhouse!$AS$15:$AS$64,[24]Brewhouse!$AS$66:$AS$103,[24]Brewhouse!$AS$105:$AS$140,[24]Brewhouse!$AS$142:$AS$165)</f>
        <v>97.071077710321021</v>
      </c>
      <c r="N32" s="30">
        <v>98</v>
      </c>
      <c r="O32" s="11"/>
      <c r="P32" s="31"/>
      <c r="S32" s="277">
        <f t="shared" si="8"/>
        <v>0</v>
      </c>
      <c r="T32" s="296" t="e">
        <f t="shared" si="0"/>
        <v>#N/A</v>
      </c>
      <c r="U32" s="296" t="e">
        <f t="shared" si="1"/>
        <v>#N/A</v>
      </c>
      <c r="V32" s="297" t="e">
        <f t="shared" si="2"/>
        <v>#N/A</v>
      </c>
      <c r="W32" s="297" t="e">
        <f t="shared" si="3"/>
        <v>#N/A</v>
      </c>
      <c r="X32" s="297" t="e">
        <f t="shared" si="4"/>
        <v>#N/A</v>
      </c>
      <c r="Y32" s="297" t="e">
        <f t="shared" si="5"/>
        <v>#N/A</v>
      </c>
      <c r="Z32" s="297" t="e">
        <f t="shared" si="6"/>
        <v>#N/A</v>
      </c>
      <c r="AA32" s="296" t="e">
        <f t="shared" si="7"/>
        <v>#N/A</v>
      </c>
    </row>
    <row r="33" spans="1:27" ht="14.7" customHeight="1">
      <c r="A33" s="28"/>
      <c r="B33" s="536"/>
      <c r="C33" s="349">
        <v>14.4</v>
      </c>
      <c r="D33" s="504">
        <v>16.54</v>
      </c>
      <c r="E33" s="493"/>
      <c r="F33" s="294"/>
      <c r="G33" s="294"/>
      <c r="H33" s="348"/>
      <c r="I33" s="34" t="s">
        <v>12</v>
      </c>
      <c r="J33" s="280"/>
      <c r="K33" s="284">
        <f>COUNTA([22]Brewhouse!$A$37)</f>
        <v>1</v>
      </c>
      <c r="L33" s="302">
        <f>AVERAGE([22]Brewhouse!$AU$37)</f>
        <v>96.214667872117261</v>
      </c>
      <c r="M33" s="302">
        <f>AVERAGE([22]Brewhouse!$AU$4:$AU$7,[22]Brewhouse!$AU$9:$AU$22,[22]Brewhouse!$AU$24:$AU$35,[22]Brewhouse!$AU$37)</f>
        <v>96.767265202814471</v>
      </c>
      <c r="N33" s="30">
        <v>98</v>
      </c>
      <c r="O33" s="11"/>
      <c r="P33" s="31"/>
      <c r="S33" s="277">
        <f t="shared" si="8"/>
        <v>0</v>
      </c>
      <c r="T33" s="296" t="e">
        <f t="shared" si="0"/>
        <v>#N/A</v>
      </c>
      <c r="U33" s="296" t="e">
        <f t="shared" si="1"/>
        <v>#N/A</v>
      </c>
      <c r="V33" s="297" t="e">
        <f t="shared" si="2"/>
        <v>#N/A</v>
      </c>
      <c r="W33" s="297" t="e">
        <f t="shared" si="3"/>
        <v>#N/A</v>
      </c>
      <c r="X33" s="297" t="e">
        <f t="shared" si="4"/>
        <v>#N/A</v>
      </c>
      <c r="Y33" s="297" t="e">
        <f t="shared" si="5"/>
        <v>#N/A</v>
      </c>
      <c r="Z33" s="297" t="e">
        <f t="shared" si="6"/>
        <v>#N/A</v>
      </c>
      <c r="AA33" s="296" t="e">
        <f t="shared" si="7"/>
        <v>#N/A</v>
      </c>
    </row>
    <row r="34" spans="1:27" ht="14.7" customHeight="1">
      <c r="A34" s="28"/>
      <c r="B34" s="536"/>
      <c r="C34" s="349">
        <v>14.3</v>
      </c>
      <c r="D34" s="505"/>
      <c r="E34" s="488"/>
      <c r="F34" s="294"/>
      <c r="G34" s="294"/>
      <c r="H34" s="348"/>
      <c r="I34" s="22" t="s">
        <v>33</v>
      </c>
      <c r="J34" s="280"/>
      <c r="K34" s="284">
        <f>COUNTA([25]Brewhouse!$A$26:$A$33)</f>
        <v>8</v>
      </c>
      <c r="L34" s="302">
        <f>AVERAGE([25]Brewhouse!$AV$26:$AV$33)</f>
        <v>99.61038006330628</v>
      </c>
      <c r="M34" s="302">
        <f>AVERAGE([25]Brewhouse!$AV$5:$AV$14,[25]Brewhouse!$AV$16:$AV$19,[25]Brewhouse!$AV$21:$AV$24,[25]Brewhouse!$AV$26:$AV$33)</f>
        <v>98.921974778040592</v>
      </c>
      <c r="N34" s="30">
        <v>98</v>
      </c>
      <c r="O34" s="11"/>
      <c r="P34" s="31"/>
      <c r="S34" s="277">
        <f t="shared" si="8"/>
        <v>0</v>
      </c>
      <c r="T34" s="296" t="e">
        <f t="shared" si="0"/>
        <v>#N/A</v>
      </c>
      <c r="U34" s="296" t="e">
        <f t="shared" si="1"/>
        <v>#N/A</v>
      </c>
      <c r="V34" s="297" t="e">
        <f t="shared" si="2"/>
        <v>#N/A</v>
      </c>
      <c r="W34" s="297" t="e">
        <f t="shared" si="3"/>
        <v>#N/A</v>
      </c>
      <c r="X34" s="297" t="e">
        <f t="shared" si="4"/>
        <v>#N/A</v>
      </c>
      <c r="Y34" s="297" t="e">
        <f t="shared" si="5"/>
        <v>#N/A</v>
      </c>
      <c r="Z34" s="297" t="e">
        <f t="shared" si="6"/>
        <v>#N/A</v>
      </c>
      <c r="AA34" s="296" t="e">
        <f t="shared" si="7"/>
        <v>#N/A</v>
      </c>
    </row>
    <row r="35" spans="1:27" ht="14.7" customHeight="1">
      <c r="A35" s="28"/>
      <c r="B35" s="536"/>
      <c r="C35" s="349">
        <v>14.4</v>
      </c>
      <c r="D35" s="504">
        <v>16.54</v>
      </c>
      <c r="E35" s="493"/>
      <c r="F35" s="436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S35" s="277">
        <f t="shared" si="8"/>
        <v>0</v>
      </c>
      <c r="T35" s="296" t="e">
        <f t="shared" si="0"/>
        <v>#N/A</v>
      </c>
      <c r="U35" s="296" t="e">
        <f t="shared" si="1"/>
        <v>#N/A</v>
      </c>
      <c r="V35" s="297" t="e">
        <f t="shared" si="2"/>
        <v>#N/A</v>
      </c>
      <c r="W35" s="297" t="e">
        <f t="shared" si="3"/>
        <v>#N/A</v>
      </c>
      <c r="X35" s="297" t="e">
        <f t="shared" si="4"/>
        <v>#N/A</v>
      </c>
      <c r="Y35" s="297" t="e">
        <f t="shared" si="5"/>
        <v>#N/A</v>
      </c>
      <c r="Z35" s="297" t="e">
        <f t="shared" si="6"/>
        <v>#N/A</v>
      </c>
      <c r="AA35" s="296" t="e">
        <f t="shared" si="7"/>
        <v>#N/A</v>
      </c>
    </row>
    <row r="36" spans="1:27" ht="14.7" customHeight="1">
      <c r="A36" s="28"/>
      <c r="B36" s="536"/>
      <c r="C36" s="349">
        <v>14.2</v>
      </c>
      <c r="D36" s="505"/>
      <c r="E36" s="488"/>
      <c r="F36" s="436"/>
      <c r="G36" s="294"/>
      <c r="H36" s="348"/>
      <c r="I36" s="36" t="s">
        <v>15</v>
      </c>
      <c r="J36" s="323"/>
      <c r="K36" s="284"/>
      <c r="L36" s="302"/>
      <c r="M36" s="302">
        <f>AVERAGE([26]Brewhouse!$AT$4:$AT$11)</f>
        <v>94.812616598822359</v>
      </c>
      <c r="N36" s="30">
        <v>98</v>
      </c>
      <c r="O36" s="11"/>
      <c r="P36" s="31"/>
      <c r="S36" s="277">
        <f t="shared" si="8"/>
        <v>0</v>
      </c>
      <c r="T36" s="296" t="e">
        <f t="shared" si="0"/>
        <v>#N/A</v>
      </c>
      <c r="U36" s="296" t="e">
        <f t="shared" si="1"/>
        <v>#N/A</v>
      </c>
      <c r="V36" s="297" t="e">
        <f t="shared" si="2"/>
        <v>#N/A</v>
      </c>
      <c r="W36" s="297" t="e">
        <f t="shared" si="3"/>
        <v>#N/A</v>
      </c>
      <c r="X36" s="297" t="e">
        <f t="shared" si="4"/>
        <v>#N/A</v>
      </c>
      <c r="Y36" s="297" t="e">
        <f t="shared" si="5"/>
        <v>#N/A</v>
      </c>
      <c r="Z36" s="297" t="e">
        <f t="shared" si="6"/>
        <v>#N/A</v>
      </c>
      <c r="AA36" s="296" t="e">
        <f t="shared" si="7"/>
        <v>#N/A</v>
      </c>
    </row>
    <row r="37" spans="1:27" ht="14.7" customHeight="1">
      <c r="A37" s="28"/>
      <c r="B37" s="536"/>
      <c r="C37" s="349">
        <v>14.2</v>
      </c>
      <c r="D37" s="504">
        <v>16.43</v>
      </c>
      <c r="E37" s="493"/>
      <c r="F37" s="436"/>
      <c r="G37" s="294"/>
      <c r="H37" s="348"/>
      <c r="I37" s="37" t="s">
        <v>16</v>
      </c>
      <c r="J37" s="323"/>
      <c r="K37" s="284">
        <f>COUNTA([27]Brewhouse!$A$31:$A$34)</f>
        <v>4</v>
      </c>
      <c r="L37" s="302">
        <f>AVERAGE([27]Brewhouse!$AY$31:$AY$34)</f>
        <v>98.653228650224236</v>
      </c>
      <c r="M37" s="302">
        <f>AVERAGE([27]Brewhouse!$AY$6:$AY$13,[27]Brewhouse!$AY$15:$AY$20,[27]Brewhouse!$AY$22:$AY$29,[27]Brewhouse!$AY$31:$AY$34)</f>
        <v>96.120888038911147</v>
      </c>
      <c r="N37" s="30">
        <v>98</v>
      </c>
      <c r="O37" s="11"/>
      <c r="P37" s="31" t="s">
        <v>41</v>
      </c>
      <c r="S37" s="277">
        <f t="shared" si="8"/>
        <v>0</v>
      </c>
      <c r="T37" s="296" t="e">
        <f t="shared" si="0"/>
        <v>#N/A</v>
      </c>
      <c r="U37" s="296" t="e">
        <f t="shared" si="1"/>
        <v>#N/A</v>
      </c>
      <c r="V37" s="297" t="e">
        <f t="shared" si="2"/>
        <v>#N/A</v>
      </c>
      <c r="W37" s="297" t="e">
        <f t="shared" si="3"/>
        <v>#N/A</v>
      </c>
      <c r="X37" s="297" t="e">
        <f t="shared" si="4"/>
        <v>#N/A</v>
      </c>
      <c r="Y37" s="297" t="e">
        <f t="shared" si="5"/>
        <v>#N/A</v>
      </c>
      <c r="Z37" s="297" t="e">
        <f t="shared" si="6"/>
        <v>#N/A</v>
      </c>
      <c r="AA37" s="296" t="e">
        <f t="shared" si="7"/>
        <v>#N/A</v>
      </c>
    </row>
    <row r="38" spans="1:27" ht="14.7" customHeight="1">
      <c r="A38" s="28"/>
      <c r="B38" s="536"/>
      <c r="C38" s="349">
        <v>14.2</v>
      </c>
      <c r="D38" s="505"/>
      <c r="E38" s="488"/>
      <c r="F38" s="294"/>
      <c r="G38" s="294"/>
      <c r="H38" s="348"/>
      <c r="I38" s="412" t="s">
        <v>158</v>
      </c>
      <c r="J38" s="326"/>
      <c r="K38" s="284"/>
      <c r="L38" s="305"/>
      <c r="M38" s="305">
        <f>AVERAGE([28]Brewhouse!$AU$5:$AU$8)</f>
        <v>91.006888337619571</v>
      </c>
      <c r="N38" s="30">
        <v>98</v>
      </c>
      <c r="O38" s="11"/>
      <c r="P38" s="31"/>
      <c r="S38" s="277">
        <f t="shared" si="8"/>
        <v>0</v>
      </c>
      <c r="T38" s="296" t="e">
        <f t="shared" si="0"/>
        <v>#N/A</v>
      </c>
      <c r="U38" s="296" t="e">
        <f t="shared" si="1"/>
        <v>#N/A</v>
      </c>
      <c r="V38" s="297" t="e">
        <f t="shared" si="2"/>
        <v>#N/A</v>
      </c>
      <c r="W38" s="297" t="e">
        <f t="shared" si="3"/>
        <v>#N/A</v>
      </c>
      <c r="X38" s="297" t="e">
        <f t="shared" si="4"/>
        <v>#N/A</v>
      </c>
      <c r="Y38" s="297" t="e">
        <f t="shared" si="5"/>
        <v>#N/A</v>
      </c>
      <c r="Z38" s="297" t="e">
        <f t="shared" si="6"/>
        <v>#N/A</v>
      </c>
      <c r="AA38" s="296" t="e">
        <f t="shared" si="7"/>
        <v>#N/A</v>
      </c>
    </row>
    <row r="39" spans="1:27" ht="14.7" customHeight="1">
      <c r="A39" s="28"/>
      <c r="B39" s="536"/>
      <c r="C39" s="349"/>
      <c r="D39" s="504"/>
      <c r="E39" s="493"/>
      <c r="F39" s="294"/>
      <c r="G39" s="294"/>
      <c r="H39" s="348"/>
      <c r="I39" s="411" t="s">
        <v>157</v>
      </c>
      <c r="J39" s="326"/>
      <c r="K39" s="284"/>
      <c r="L39" s="305"/>
      <c r="M39" s="305"/>
      <c r="N39" s="30">
        <v>98</v>
      </c>
      <c r="O39" s="11"/>
      <c r="P39" s="31"/>
      <c r="S39" s="277">
        <f t="shared" si="8"/>
        <v>0</v>
      </c>
      <c r="T39" s="296" t="e">
        <f t="shared" si="0"/>
        <v>#N/A</v>
      </c>
      <c r="U39" s="296" t="e">
        <f t="shared" si="1"/>
        <v>#N/A</v>
      </c>
      <c r="V39" s="297" t="e">
        <f t="shared" si="2"/>
        <v>#N/A</v>
      </c>
      <c r="W39" s="297" t="e">
        <f t="shared" si="3"/>
        <v>#N/A</v>
      </c>
      <c r="X39" s="297" t="e">
        <f t="shared" si="4"/>
        <v>#N/A</v>
      </c>
      <c r="Y39" s="297" t="e">
        <f t="shared" si="5"/>
        <v>#N/A</v>
      </c>
      <c r="Z39" s="297" t="e">
        <f t="shared" si="6"/>
        <v>#N/A</v>
      </c>
      <c r="AA39" s="296" t="e">
        <f t="shared" si="7"/>
        <v>#N/A</v>
      </c>
    </row>
    <row r="40" spans="1:27" ht="15" customHeight="1" thickBot="1">
      <c r="A40" s="28"/>
      <c r="B40" s="536"/>
      <c r="C40" s="349"/>
      <c r="D40" s="505"/>
      <c r="E40" s="488"/>
      <c r="F40" s="294"/>
      <c r="G40" s="294"/>
      <c r="H40" s="348"/>
      <c r="I40" s="407" t="s">
        <v>156</v>
      </c>
      <c r="J40" s="327"/>
      <c r="K40" s="408"/>
      <c r="L40" s="409"/>
      <c r="M40" s="409"/>
      <c r="N40" s="410">
        <v>98</v>
      </c>
      <c r="O40" s="11"/>
      <c r="P40" s="31"/>
      <c r="S40" s="277">
        <f t="shared" si="8"/>
        <v>0</v>
      </c>
      <c r="T40" s="296" t="e">
        <f t="shared" si="0"/>
        <v>#N/A</v>
      </c>
      <c r="U40" s="296" t="e">
        <f t="shared" si="1"/>
        <v>#N/A</v>
      </c>
      <c r="V40" s="297" t="e">
        <f t="shared" si="2"/>
        <v>#N/A</v>
      </c>
      <c r="W40" s="297" t="e">
        <f t="shared" si="3"/>
        <v>#N/A</v>
      </c>
      <c r="X40" s="297" t="e">
        <f t="shared" si="4"/>
        <v>#N/A</v>
      </c>
      <c r="Y40" s="297" t="e">
        <f t="shared" si="5"/>
        <v>#N/A</v>
      </c>
      <c r="Z40" s="297" t="e">
        <f t="shared" si="6"/>
        <v>#N/A</v>
      </c>
      <c r="AA40" s="296" t="e">
        <f t="shared" si="7"/>
        <v>#N/A</v>
      </c>
    </row>
    <row r="41" spans="1:27" ht="15" customHeight="1" thickBot="1">
      <c r="A41" s="28"/>
      <c r="B41" s="536"/>
      <c r="C41" s="349"/>
      <c r="D41" s="504"/>
      <c r="E41" s="493"/>
      <c r="F41" s="294"/>
      <c r="G41" s="294"/>
      <c r="H41" s="348"/>
      <c r="I41" s="1"/>
      <c r="J41" s="39"/>
      <c r="K41" s="405">
        <f>SUM(K31:K40)</f>
        <v>75</v>
      </c>
      <c r="L41" s="406">
        <f>((L31*K31)+(L32*K32)+(L33*K33)+(L34*K34)+(L35*K35)+(K38*L38)+(L36*K36)+(L37*K37)+(L40*K40))/(K41)</f>
        <v>98.835826738661822</v>
      </c>
      <c r="M41" s="406">
        <f>AVERAGE('[29]Jan 31st'!$L$65,'[30]Feb 28th'!$L$35,'[31]Mar. 31st'!$L$35,L41)</f>
        <v>97.250260802473775</v>
      </c>
      <c r="N41" s="40">
        <v>98</v>
      </c>
      <c r="O41" s="11"/>
      <c r="P41" s="31"/>
      <c r="S41" s="277">
        <f t="shared" si="8"/>
        <v>0</v>
      </c>
      <c r="T41" s="296" t="e">
        <f t="shared" si="0"/>
        <v>#N/A</v>
      </c>
      <c r="U41" s="296" t="e">
        <f t="shared" si="1"/>
        <v>#N/A</v>
      </c>
      <c r="V41" s="297" t="e">
        <f t="shared" si="2"/>
        <v>#N/A</v>
      </c>
      <c r="W41" s="297" t="e">
        <f t="shared" si="3"/>
        <v>#N/A</v>
      </c>
      <c r="X41" s="297" t="e">
        <f t="shared" si="4"/>
        <v>#N/A</v>
      </c>
      <c r="Y41" s="297" t="e">
        <f t="shared" si="5"/>
        <v>#N/A</v>
      </c>
      <c r="Z41" s="297" t="e">
        <f t="shared" si="6"/>
        <v>#N/A</v>
      </c>
      <c r="AA41" s="296" t="e">
        <f t="shared" si="7"/>
        <v>#N/A</v>
      </c>
    </row>
    <row r="42" spans="1:27" ht="15" thickBot="1">
      <c r="B42" s="537"/>
      <c r="C42" s="350"/>
      <c r="D42" s="505"/>
      <c r="E42" s="488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S42" s="277">
        <f t="shared" si="8"/>
        <v>0</v>
      </c>
      <c r="T42" s="296" t="e">
        <f t="shared" si="0"/>
        <v>#N/A</v>
      </c>
      <c r="U42" s="296" t="e">
        <f t="shared" si="1"/>
        <v>#N/A</v>
      </c>
      <c r="V42" s="297" t="e">
        <f t="shared" si="2"/>
        <v>#N/A</v>
      </c>
      <c r="W42" s="297" t="e">
        <f t="shared" si="3"/>
        <v>#N/A</v>
      </c>
      <c r="X42" s="297" t="e">
        <f t="shared" si="4"/>
        <v>#N/A</v>
      </c>
      <c r="Y42" s="297" t="e">
        <f t="shared" si="5"/>
        <v>#N/A</v>
      </c>
      <c r="Z42" s="297" t="e">
        <f t="shared" si="6"/>
        <v>#N/A</v>
      </c>
      <c r="AA42" s="296" t="e">
        <f t="shared" si="7"/>
        <v>#N/A</v>
      </c>
    </row>
    <row r="43" spans="1:27" ht="15" thickBot="1">
      <c r="B43" s="558"/>
      <c r="C43" s="362"/>
      <c r="D43" s="485"/>
      <c r="E43" s="486"/>
      <c r="F43" s="43"/>
      <c r="G43" s="41"/>
      <c r="H43" s="41"/>
      <c r="I43" s="42"/>
      <c r="J43" s="538" t="s">
        <v>129</v>
      </c>
      <c r="K43" s="538"/>
      <c r="L43" s="294"/>
      <c r="M43" s="294"/>
      <c r="N43" s="294"/>
      <c r="O43" s="294"/>
      <c r="P43" s="12"/>
      <c r="S43" s="277">
        <f t="shared" si="8"/>
        <v>0</v>
      </c>
      <c r="T43" s="296" t="e">
        <f t="shared" si="0"/>
        <v>#N/A</v>
      </c>
      <c r="U43" s="296" t="e">
        <f t="shared" si="1"/>
        <v>#N/A</v>
      </c>
      <c r="V43" s="297" t="e">
        <f t="shared" si="2"/>
        <v>#N/A</v>
      </c>
      <c r="W43" s="297" t="e">
        <f t="shared" si="3"/>
        <v>#N/A</v>
      </c>
      <c r="X43" s="297" t="e">
        <f t="shared" si="4"/>
        <v>#N/A</v>
      </c>
      <c r="Y43" s="297" t="e">
        <f t="shared" si="5"/>
        <v>#N/A</v>
      </c>
      <c r="Z43" s="297" t="e">
        <f t="shared" si="6"/>
        <v>#N/A</v>
      </c>
      <c r="AA43" s="296" t="e">
        <f t="shared" si="7"/>
        <v>#N/A</v>
      </c>
    </row>
    <row r="44" spans="1:27" ht="13.5" customHeight="1" thickBot="1">
      <c r="B44" s="540"/>
      <c r="C44" s="349"/>
      <c r="D44" s="487"/>
      <c r="E44" s="488"/>
      <c r="F44" s="43"/>
      <c r="G44" s="41"/>
      <c r="H44" s="41"/>
      <c r="I44" s="42"/>
      <c r="J44" s="292" t="s">
        <v>17</v>
      </c>
      <c r="K44" s="293" t="s">
        <v>191</v>
      </c>
      <c r="L44" s="490" t="s">
        <v>136</v>
      </c>
      <c r="M44" s="490"/>
      <c r="N44" s="491"/>
      <c r="O44" s="294"/>
      <c r="P44" s="12"/>
      <c r="S44" s="277">
        <f t="shared" si="8"/>
        <v>0</v>
      </c>
      <c r="T44" s="296" t="e">
        <f t="shared" si="0"/>
        <v>#N/A</v>
      </c>
      <c r="U44" s="296" t="e">
        <f t="shared" si="1"/>
        <v>#N/A</v>
      </c>
      <c r="V44" s="297" t="e">
        <f t="shared" si="2"/>
        <v>#N/A</v>
      </c>
      <c r="W44" s="297" t="e">
        <f t="shared" si="3"/>
        <v>#N/A</v>
      </c>
      <c r="X44" s="297" t="e">
        <f t="shared" si="4"/>
        <v>#N/A</v>
      </c>
      <c r="Y44" s="297" t="e">
        <f t="shared" si="5"/>
        <v>#N/A</v>
      </c>
      <c r="Z44" s="297" t="e">
        <f t="shared" si="6"/>
        <v>#N/A</v>
      </c>
      <c r="AA44" s="296" t="e">
        <f t="shared" si="7"/>
        <v>#N/A</v>
      </c>
    </row>
    <row r="45" spans="1:27" ht="15" customHeight="1" thickBot="1">
      <c r="B45" s="540"/>
      <c r="C45" s="349"/>
      <c r="D45" s="492"/>
      <c r="E45" s="493"/>
      <c r="F45" s="43"/>
      <c r="G45" s="41"/>
      <c r="H45" s="41"/>
      <c r="I45" s="42"/>
      <c r="J45" s="287" t="s">
        <v>6</v>
      </c>
      <c r="K45" s="324">
        <f>COUNTA(B10:B17)</f>
        <v>8</v>
      </c>
      <c r="L45" s="343" t="s">
        <v>37</v>
      </c>
      <c r="M45" s="307" t="s">
        <v>38</v>
      </c>
      <c r="N45" s="307" t="s">
        <v>84</v>
      </c>
      <c r="O45" s="294"/>
      <c r="P45" s="12"/>
      <c r="S45" s="277">
        <f t="shared" si="8"/>
        <v>0</v>
      </c>
      <c r="T45" s="296" t="e">
        <f t="shared" si="0"/>
        <v>#N/A</v>
      </c>
      <c r="U45" s="296" t="e">
        <f t="shared" si="1"/>
        <v>#N/A</v>
      </c>
      <c r="V45" s="297" t="e">
        <f t="shared" si="2"/>
        <v>#N/A</v>
      </c>
      <c r="W45" s="297" t="e">
        <f t="shared" si="3"/>
        <v>#N/A</v>
      </c>
      <c r="X45" s="297" t="e">
        <f t="shared" si="4"/>
        <v>#N/A</v>
      </c>
      <c r="Y45" s="297" t="e">
        <f t="shared" si="5"/>
        <v>#N/A</v>
      </c>
      <c r="Z45" s="297" t="e">
        <f t="shared" si="6"/>
        <v>#N/A</v>
      </c>
      <c r="AA45" s="296" t="e">
        <f t="shared" si="7"/>
        <v>#N/A</v>
      </c>
    </row>
    <row r="46" spans="1:27" ht="15.75" customHeight="1" thickBot="1">
      <c r="B46" s="540"/>
      <c r="C46" s="349"/>
      <c r="D46" s="487"/>
      <c r="E46" s="488"/>
      <c r="F46" s="43"/>
      <c r="G46" s="41"/>
      <c r="H46" s="41"/>
      <c r="I46" s="42"/>
      <c r="J46" s="345" t="s">
        <v>9</v>
      </c>
      <c r="K46" s="324"/>
      <c r="L46" s="344">
        <f>AVERAGE('Apr. 1st'!K49,'Apr. 15th'!K55,'Apr. 3rd'!K49,'Apr. 4th'!K49,'Apr. 7th '!K50,'Apr. 8th  '!K60,'Apr. 9th   '!K50,'Apr. 10th '!K58,'Apr. 11-12-13th'!I127,'Apr. 11-12-13th'!J127,'Apr. 11-12-13th'!K127,'Apr. 14th'!L118)</f>
        <v>6.0909090909090908</v>
      </c>
      <c r="M46" s="325">
        <f>AVERAGE('[29]Jan 29th '!$M$70,'[30]Feb 28th'!$L$40,'[31]Mar. 31st'!$L$40,L46)</f>
        <v>6.4765614819962645</v>
      </c>
      <c r="N46" s="433">
        <v>9.1999999999999993</v>
      </c>
      <c r="O46" s="294"/>
      <c r="P46" s="12"/>
      <c r="S46" s="277">
        <f t="shared" si="8"/>
        <v>0</v>
      </c>
      <c r="T46" s="296" t="e">
        <f t="shared" si="0"/>
        <v>#N/A</v>
      </c>
      <c r="U46" s="296" t="e">
        <f t="shared" si="1"/>
        <v>#N/A</v>
      </c>
      <c r="V46" s="297" t="e">
        <f t="shared" si="2"/>
        <v>#N/A</v>
      </c>
      <c r="W46" s="297" t="e">
        <f t="shared" si="3"/>
        <v>#N/A</v>
      </c>
      <c r="X46" s="297" t="e">
        <f t="shared" si="4"/>
        <v>#N/A</v>
      </c>
      <c r="Y46" s="297" t="e">
        <f t="shared" si="5"/>
        <v>#N/A</v>
      </c>
      <c r="Z46" s="297" t="e">
        <f t="shared" si="6"/>
        <v>#N/A</v>
      </c>
      <c r="AA46" s="296" t="e">
        <f t="shared" si="7"/>
        <v>#N/A</v>
      </c>
    </row>
    <row r="47" spans="1:27" ht="15" customHeight="1">
      <c r="B47" s="540"/>
      <c r="C47" s="349"/>
      <c r="D47" s="492"/>
      <c r="E47" s="493"/>
      <c r="F47" s="43"/>
      <c r="G47" s="41"/>
      <c r="H47" s="41"/>
      <c r="I47" s="42"/>
      <c r="J47" s="288" t="s">
        <v>40</v>
      </c>
      <c r="K47" s="324"/>
      <c r="L47" s="294"/>
      <c r="M47" s="294"/>
      <c r="N47" s="294"/>
      <c r="O47" s="294"/>
      <c r="P47" s="12"/>
      <c r="S47" s="277">
        <f t="shared" si="8"/>
        <v>0</v>
      </c>
      <c r="T47" s="296" t="e">
        <f t="shared" si="0"/>
        <v>#N/A</v>
      </c>
      <c r="U47" s="296" t="e">
        <f t="shared" si="1"/>
        <v>#N/A</v>
      </c>
      <c r="V47" s="297" t="e">
        <f t="shared" si="2"/>
        <v>#N/A</v>
      </c>
      <c r="W47" s="297" t="e">
        <f t="shared" si="3"/>
        <v>#N/A</v>
      </c>
      <c r="X47" s="297" t="e">
        <f t="shared" si="4"/>
        <v>#N/A</v>
      </c>
      <c r="Y47" s="297" t="e">
        <f t="shared" si="5"/>
        <v>#N/A</v>
      </c>
      <c r="Z47" s="297" t="e">
        <f t="shared" si="6"/>
        <v>#N/A</v>
      </c>
      <c r="AA47" s="296" t="e">
        <f t="shared" si="7"/>
        <v>#N/A</v>
      </c>
    </row>
    <row r="48" spans="1:27" ht="15" customHeight="1">
      <c r="B48" s="540"/>
      <c r="C48" s="349"/>
      <c r="D48" s="487"/>
      <c r="E48" s="488"/>
      <c r="F48" s="43"/>
      <c r="G48" s="41"/>
      <c r="H48" s="41"/>
      <c r="I48" s="42"/>
      <c r="J48" s="289" t="s">
        <v>33</v>
      </c>
      <c r="K48" s="324"/>
      <c r="L48" s="294"/>
      <c r="M48" s="294"/>
      <c r="N48" s="294"/>
      <c r="O48" s="294"/>
      <c r="P48" s="12"/>
      <c r="S48" s="277">
        <f t="shared" si="8"/>
        <v>0</v>
      </c>
      <c r="T48" s="296" t="e">
        <f t="shared" si="0"/>
        <v>#N/A</v>
      </c>
      <c r="U48" s="296" t="e">
        <f t="shared" si="1"/>
        <v>#N/A</v>
      </c>
      <c r="V48" s="297" t="e">
        <f t="shared" si="2"/>
        <v>#N/A</v>
      </c>
      <c r="W48" s="297" t="e">
        <f t="shared" si="3"/>
        <v>#N/A</v>
      </c>
      <c r="X48" s="297" t="e">
        <f t="shared" si="4"/>
        <v>#N/A</v>
      </c>
      <c r="Y48" s="297" t="e">
        <f t="shared" si="5"/>
        <v>#N/A</v>
      </c>
      <c r="Z48" s="297" t="e">
        <f t="shared" si="6"/>
        <v>#N/A</v>
      </c>
      <c r="AA48" s="296" t="e">
        <f t="shared" si="7"/>
        <v>#N/A</v>
      </c>
    </row>
    <row r="49" spans="2:57" ht="14.4">
      <c r="B49" s="540"/>
      <c r="C49" s="349"/>
      <c r="D49" s="492"/>
      <c r="E49" s="493"/>
      <c r="F49" s="43"/>
      <c r="G49" s="41"/>
      <c r="H49" s="41"/>
      <c r="I49" s="42"/>
      <c r="J49" s="290" t="s">
        <v>16</v>
      </c>
      <c r="K49" s="324"/>
      <c r="L49" s="294"/>
      <c r="M49" s="294"/>
      <c r="N49" s="294"/>
      <c r="O49" s="294"/>
      <c r="P49" s="12"/>
      <c r="S49" s="277">
        <f t="shared" si="8"/>
        <v>0</v>
      </c>
      <c r="T49" s="296" t="e">
        <f t="shared" si="0"/>
        <v>#N/A</v>
      </c>
      <c r="U49" s="296" t="e">
        <f t="shared" si="1"/>
        <v>#N/A</v>
      </c>
      <c r="V49" s="297" t="e">
        <f t="shared" si="2"/>
        <v>#N/A</v>
      </c>
      <c r="W49" s="297" t="e">
        <f t="shared" si="3"/>
        <v>#N/A</v>
      </c>
      <c r="X49" s="297" t="e">
        <f t="shared" si="4"/>
        <v>#N/A</v>
      </c>
      <c r="Y49" s="297" t="e">
        <f t="shared" si="5"/>
        <v>#N/A</v>
      </c>
      <c r="Z49" s="297" t="e">
        <f t="shared" si="6"/>
        <v>#N/A</v>
      </c>
      <c r="AA49" s="296" t="e">
        <f t="shared" si="7"/>
        <v>#N/A</v>
      </c>
      <c r="BC49" s="44"/>
      <c r="BD49" s="44"/>
    </row>
    <row r="50" spans="2:57" ht="14.4">
      <c r="B50" s="540"/>
      <c r="C50" s="349"/>
      <c r="D50" s="487"/>
      <c r="E50" s="488"/>
      <c r="F50" s="43"/>
      <c r="G50" s="41"/>
      <c r="H50" s="41"/>
      <c r="I50" s="42"/>
      <c r="J50" s="291" t="s">
        <v>15</v>
      </c>
      <c r="K50" s="324"/>
      <c r="L50" s="294"/>
      <c r="M50" s="294"/>
      <c r="N50" s="294"/>
      <c r="O50" s="294"/>
      <c r="P50" s="12"/>
      <c r="S50" s="277">
        <f t="shared" si="8"/>
        <v>0</v>
      </c>
      <c r="T50" s="296" t="e">
        <f t="shared" si="0"/>
        <v>#N/A</v>
      </c>
      <c r="U50" s="296" t="e">
        <f t="shared" si="1"/>
        <v>#N/A</v>
      </c>
      <c r="V50" s="297" t="e">
        <f t="shared" si="2"/>
        <v>#N/A</v>
      </c>
      <c r="W50" s="297" t="e">
        <f t="shared" si="3"/>
        <v>#N/A</v>
      </c>
      <c r="X50" s="297" t="e">
        <f t="shared" si="4"/>
        <v>#N/A</v>
      </c>
      <c r="Y50" s="297" t="e">
        <f t="shared" si="5"/>
        <v>#N/A</v>
      </c>
      <c r="Z50" s="297" t="e">
        <f t="shared" si="6"/>
        <v>#N/A</v>
      </c>
      <c r="AA50" s="296" t="e">
        <f t="shared" si="7"/>
        <v>#N/A</v>
      </c>
      <c r="BC50" s="44"/>
      <c r="BD50" s="44"/>
    </row>
    <row r="51" spans="2:57" ht="14.4">
      <c r="B51" s="540"/>
      <c r="C51" s="349"/>
      <c r="D51" s="494"/>
      <c r="E51" s="495"/>
      <c r="F51" s="43"/>
      <c r="G51" s="41"/>
      <c r="H51" s="41"/>
      <c r="I51" s="42"/>
      <c r="J51" s="291" t="s">
        <v>149</v>
      </c>
      <c r="K51" s="324"/>
      <c r="L51" s="294"/>
      <c r="M51" s="294"/>
      <c r="N51" s="294"/>
      <c r="O51" s="294"/>
      <c r="P51" s="12"/>
      <c r="S51" s="277">
        <f t="shared" si="8"/>
        <v>0</v>
      </c>
      <c r="T51" s="296" t="e">
        <f t="shared" si="0"/>
        <v>#N/A</v>
      </c>
      <c r="U51" s="296" t="e">
        <f t="shared" si="1"/>
        <v>#N/A</v>
      </c>
      <c r="V51" s="297" t="e">
        <f t="shared" si="2"/>
        <v>#N/A</v>
      </c>
      <c r="W51" s="297" t="e">
        <f t="shared" si="3"/>
        <v>#N/A</v>
      </c>
      <c r="X51" s="297" t="e">
        <f t="shared" si="4"/>
        <v>#N/A</v>
      </c>
      <c r="Y51" s="297" t="e">
        <f t="shared" si="5"/>
        <v>#N/A</v>
      </c>
      <c r="Z51" s="297" t="e">
        <f t="shared" si="6"/>
        <v>#N/A</v>
      </c>
      <c r="AA51" s="296" t="e">
        <f t="shared" si="7"/>
        <v>#N/A</v>
      </c>
      <c r="BC51" s="44"/>
      <c r="BD51" s="44"/>
    </row>
    <row r="52" spans="2:57" ht="15" thickBot="1">
      <c r="B52" s="553"/>
      <c r="C52" s="350"/>
      <c r="D52" s="496"/>
      <c r="E52" s="497"/>
      <c r="F52" s="43"/>
      <c r="G52" s="41"/>
      <c r="H52" s="41"/>
      <c r="I52" s="42"/>
      <c r="J52" s="291" t="s">
        <v>148</v>
      </c>
      <c r="K52" s="324"/>
      <c r="L52" s="294"/>
      <c r="M52" s="294"/>
      <c r="N52" s="294"/>
      <c r="O52" s="294"/>
      <c r="P52" s="12"/>
      <c r="S52" s="277">
        <f t="shared" si="8"/>
        <v>0</v>
      </c>
      <c r="T52" s="296" t="e">
        <f t="shared" si="0"/>
        <v>#N/A</v>
      </c>
      <c r="U52" s="296" t="e">
        <f t="shared" si="1"/>
        <v>#N/A</v>
      </c>
      <c r="V52" s="297" t="e">
        <f t="shared" si="2"/>
        <v>#N/A</v>
      </c>
      <c r="W52" s="297" t="e">
        <f t="shared" si="3"/>
        <v>#N/A</v>
      </c>
      <c r="X52" s="297" t="e">
        <f t="shared" si="4"/>
        <v>#N/A</v>
      </c>
      <c r="Y52" s="297" t="e">
        <f t="shared" si="5"/>
        <v>#N/A</v>
      </c>
      <c r="Z52" s="297" t="e">
        <f t="shared" si="6"/>
        <v>#N/A</v>
      </c>
      <c r="AA52" s="296" t="e">
        <f t="shared" si="7"/>
        <v>#N/A</v>
      </c>
      <c r="BC52" s="44"/>
      <c r="BD52" s="44"/>
    </row>
    <row r="53" spans="2:57" ht="17.7" customHeight="1" thickBot="1">
      <c r="B53" s="312" t="s">
        <v>139</v>
      </c>
      <c r="C53" s="313"/>
      <c r="D53" s="476">
        <f>AVERAGE(D31:E52)</f>
        <v>16.509999999999998</v>
      </c>
      <c r="E53" s="477"/>
      <c r="F53" s="43"/>
      <c r="G53" s="41"/>
      <c r="H53" s="41"/>
      <c r="I53" s="42"/>
      <c r="J53" s="295" t="s">
        <v>134</v>
      </c>
      <c r="K53" s="324"/>
      <c r="L53" s="294"/>
      <c r="M53" s="294"/>
      <c r="N53" s="294"/>
      <c r="O53" s="294"/>
      <c r="P53" s="12"/>
      <c r="S53" s="277" t="str">
        <f t="shared" si="8"/>
        <v xml:space="preserve">AVERAGE </v>
      </c>
      <c r="T53" s="296" t="e">
        <f t="shared" si="0"/>
        <v>#N/A</v>
      </c>
      <c r="U53" s="296" t="e">
        <f t="shared" si="1"/>
        <v>#N/A</v>
      </c>
      <c r="V53" s="297" t="e">
        <f t="shared" si="2"/>
        <v>#N/A</v>
      </c>
      <c r="W53" s="297" t="e">
        <f t="shared" si="3"/>
        <v>#N/A</v>
      </c>
      <c r="X53" s="297" t="e">
        <f t="shared" si="4"/>
        <v>#N/A</v>
      </c>
      <c r="Y53" s="297" t="e">
        <f t="shared" si="5"/>
        <v>#N/A</v>
      </c>
      <c r="Z53" s="297" t="e">
        <f t="shared" si="6"/>
        <v>#N/A</v>
      </c>
      <c r="AA53" s="296" t="e">
        <f t="shared" si="7"/>
        <v>#N/A</v>
      </c>
      <c r="BC53" s="44"/>
      <c r="BD53" s="44"/>
    </row>
    <row r="54" spans="2:57" ht="17.7" customHeight="1">
      <c r="B54" s="363"/>
      <c r="C54" s="364"/>
      <c r="D54" s="365"/>
      <c r="E54" s="365"/>
      <c r="F54" s="43"/>
      <c r="G54" s="41"/>
      <c r="H54" s="41"/>
      <c r="I54" s="42"/>
      <c r="J54" s="295" t="s">
        <v>131</v>
      </c>
      <c r="K54" s="324"/>
      <c r="L54" s="294"/>
      <c r="M54" s="294"/>
      <c r="N54" s="294"/>
      <c r="O54" s="294"/>
      <c r="P54" s="12"/>
      <c r="S54" s="277">
        <f t="shared" si="8"/>
        <v>0</v>
      </c>
      <c r="T54" s="296" t="e">
        <f t="shared" si="0"/>
        <v>#N/A</v>
      </c>
      <c r="U54" s="296" t="e">
        <f t="shared" si="1"/>
        <v>#N/A</v>
      </c>
      <c r="V54" s="297" t="e">
        <f t="shared" si="2"/>
        <v>#N/A</v>
      </c>
      <c r="W54" s="297" t="e">
        <f t="shared" si="3"/>
        <v>#N/A</v>
      </c>
      <c r="X54" s="297" t="e">
        <f t="shared" si="4"/>
        <v>#N/A</v>
      </c>
      <c r="Y54" s="297" t="e">
        <f t="shared" si="5"/>
        <v>#N/A</v>
      </c>
      <c r="Z54" s="297" t="e">
        <f t="shared" si="6"/>
        <v>#N/A</v>
      </c>
      <c r="AA54" s="296" t="e">
        <f t="shared" si="7"/>
        <v>#N/A</v>
      </c>
      <c r="BC54" s="44"/>
      <c r="BD54" s="44"/>
    </row>
    <row r="55" spans="2:57" ht="15.75" customHeight="1">
      <c r="B55" s="45"/>
      <c r="C55" s="11"/>
      <c r="D55" s="11"/>
      <c r="E55" s="46"/>
      <c r="F55" s="23"/>
      <c r="G55" s="11"/>
      <c r="H55" s="41"/>
      <c r="I55" s="42"/>
      <c r="J55" s="346" t="s">
        <v>130</v>
      </c>
      <c r="K55" s="324">
        <f>SUM(K45:K54)</f>
        <v>8</v>
      </c>
      <c r="L55" s="294"/>
      <c r="M55" s="294"/>
      <c r="N55" s="294"/>
      <c r="O55" s="294"/>
      <c r="P55" s="12"/>
      <c r="S55" s="277">
        <f t="shared" si="8"/>
        <v>0</v>
      </c>
      <c r="T55" s="296" t="e">
        <f t="shared" si="0"/>
        <v>#N/A</v>
      </c>
      <c r="U55" s="296" t="e">
        <f t="shared" si="1"/>
        <v>#N/A</v>
      </c>
      <c r="V55" s="297" t="e">
        <f t="shared" si="2"/>
        <v>#N/A</v>
      </c>
      <c r="W55" s="297" t="e">
        <f t="shared" si="3"/>
        <v>#N/A</v>
      </c>
      <c r="X55" s="297" t="e">
        <f t="shared" si="4"/>
        <v>#N/A</v>
      </c>
      <c r="Y55" s="297" t="e">
        <f t="shared" si="5"/>
        <v>#N/A</v>
      </c>
      <c r="Z55" s="297" t="e">
        <f t="shared" si="6"/>
        <v>#N/A</v>
      </c>
      <c r="AA55" s="296" t="e">
        <f t="shared" si="7"/>
        <v>#N/A</v>
      </c>
    </row>
    <row r="56" spans="2:57" ht="20.25" customHeight="1">
      <c r="B56" s="15" t="s">
        <v>42</v>
      </c>
      <c r="C56" s="1" t="s">
        <v>43</v>
      </c>
      <c r="D56" s="1"/>
      <c r="E56" s="1"/>
      <c r="H56" s="41"/>
      <c r="I56" s="42"/>
      <c r="L56" s="294"/>
      <c r="P56" s="334"/>
      <c r="S56" s="277" t="str">
        <f t="shared" si="8"/>
        <v>Process:</v>
      </c>
      <c r="T56" s="296" t="e">
        <f t="shared" si="0"/>
        <v>#N/A</v>
      </c>
      <c r="U56" s="296" t="e">
        <f t="shared" si="1"/>
        <v>#N/A</v>
      </c>
      <c r="V56" s="297" t="e">
        <f t="shared" si="2"/>
        <v>#N/A</v>
      </c>
      <c r="W56" s="297" t="e">
        <f t="shared" si="3"/>
        <v>#N/A</v>
      </c>
      <c r="X56" s="297" t="e">
        <f t="shared" si="4"/>
        <v>#N/A</v>
      </c>
      <c r="Y56" s="297" t="e">
        <f t="shared" si="5"/>
        <v>#N/A</v>
      </c>
      <c r="Z56" s="297" t="e">
        <f t="shared" si="6"/>
        <v>#N/A</v>
      </c>
      <c r="AA56" s="296" t="e">
        <f t="shared" si="7"/>
        <v>#N/A</v>
      </c>
    </row>
    <row r="57" spans="2:57" ht="15" customHeight="1" thickBot="1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8"/>
      <c r="O57" s="48"/>
      <c r="P57" s="49"/>
      <c r="S57" s="277">
        <f t="shared" si="8"/>
        <v>0</v>
      </c>
      <c r="T57" s="296" t="e">
        <f t="shared" si="0"/>
        <v>#N/A</v>
      </c>
      <c r="U57" s="296" t="e">
        <f t="shared" si="1"/>
        <v>#N/A</v>
      </c>
      <c r="V57" s="297" t="e">
        <f t="shared" si="2"/>
        <v>#N/A</v>
      </c>
      <c r="W57" s="297" t="e">
        <f t="shared" si="3"/>
        <v>#N/A</v>
      </c>
      <c r="X57" s="297" t="e">
        <f t="shared" si="4"/>
        <v>#N/A</v>
      </c>
      <c r="Y57" s="297" t="e">
        <f t="shared" si="5"/>
        <v>#N/A</v>
      </c>
      <c r="Z57" s="297" t="e">
        <f t="shared" si="6"/>
        <v>#N/A</v>
      </c>
      <c r="AA57" s="296" t="e">
        <f t="shared" si="7"/>
        <v>#N/A</v>
      </c>
    </row>
    <row r="58" spans="2:57" ht="15" customHeight="1" thickBot="1">
      <c r="B58" s="466" t="s">
        <v>17</v>
      </c>
      <c r="C58" s="466" t="s">
        <v>44</v>
      </c>
      <c r="D58" s="478" t="s">
        <v>45</v>
      </c>
      <c r="E58" s="480" t="s">
        <v>46</v>
      </c>
      <c r="F58" s="474" t="s">
        <v>47</v>
      </c>
      <c r="G58" s="464" t="s">
        <v>48</v>
      </c>
      <c r="H58" s="466" t="s">
        <v>49</v>
      </c>
      <c r="I58" s="466" t="s">
        <v>50</v>
      </c>
      <c r="J58" s="458" t="s">
        <v>28</v>
      </c>
      <c r="K58" s="470" t="s">
        <v>51</v>
      </c>
      <c r="L58" s="472" t="s">
        <v>52</v>
      </c>
      <c r="M58" s="458" t="s">
        <v>53</v>
      </c>
      <c r="N58" s="13"/>
      <c r="O58" s="13"/>
      <c r="P58" s="50"/>
      <c r="S58" s="277" t="str">
        <f t="shared" si="8"/>
        <v>Brand</v>
      </c>
      <c r="T58" s="296" t="e">
        <f t="shared" si="0"/>
        <v>#N/A</v>
      </c>
      <c r="U58" s="296" t="e">
        <f t="shared" si="1"/>
        <v>#N/A</v>
      </c>
      <c r="V58" s="297" t="e">
        <f t="shared" si="2"/>
        <v>#N/A</v>
      </c>
      <c r="W58" s="297" t="e">
        <f t="shared" si="3"/>
        <v>#N/A</v>
      </c>
      <c r="X58" s="297" t="e">
        <f t="shared" si="4"/>
        <v>#N/A</v>
      </c>
      <c r="Y58" s="297" t="e">
        <f t="shared" si="5"/>
        <v>#N/A</v>
      </c>
      <c r="Z58" s="297" t="e">
        <f t="shared" si="6"/>
        <v>#N/A</v>
      </c>
      <c r="AA58" s="296" t="e">
        <f t="shared" si="7"/>
        <v>#N/A</v>
      </c>
    </row>
    <row r="59" spans="2:57" ht="28.5" customHeight="1" thickTop="1" thickBot="1">
      <c r="B59" s="467"/>
      <c r="C59" s="467"/>
      <c r="D59" s="479"/>
      <c r="E59" s="481"/>
      <c r="F59" s="475"/>
      <c r="G59" s="465"/>
      <c r="H59" s="467"/>
      <c r="I59" s="467"/>
      <c r="J59" s="459"/>
      <c r="K59" s="471"/>
      <c r="L59" s="473"/>
      <c r="M59" s="459"/>
      <c r="N59" s="13"/>
      <c r="O59" s="13"/>
      <c r="P59" s="50"/>
      <c r="Q59" s="355"/>
      <c r="S59" s="277">
        <f t="shared" si="8"/>
        <v>0</v>
      </c>
      <c r="T59" s="296" t="e">
        <f t="shared" si="0"/>
        <v>#N/A</v>
      </c>
      <c r="U59" s="296" t="e">
        <f t="shared" si="1"/>
        <v>#N/A</v>
      </c>
      <c r="V59" s="297" t="e">
        <f t="shared" si="2"/>
        <v>#N/A</v>
      </c>
      <c r="W59" s="297" t="e">
        <f t="shared" si="3"/>
        <v>#N/A</v>
      </c>
      <c r="X59" s="297" t="e">
        <f t="shared" si="4"/>
        <v>#N/A</v>
      </c>
      <c r="Y59" s="297" t="e">
        <f t="shared" si="5"/>
        <v>#N/A</v>
      </c>
      <c r="Z59" s="297" t="e">
        <f t="shared" si="6"/>
        <v>#N/A</v>
      </c>
      <c r="AA59" s="296" t="e">
        <f t="shared" si="7"/>
        <v>#N/A</v>
      </c>
      <c r="AB59" s="51">
        <v>43474</v>
      </c>
      <c r="AC59" s="51">
        <v>43475</v>
      </c>
      <c r="AD59" s="51">
        <v>43476</v>
      </c>
      <c r="AE59" s="51">
        <v>43477</v>
      </c>
      <c r="AF59" s="51">
        <v>43478</v>
      </c>
      <c r="AG59" s="51">
        <v>43479</v>
      </c>
      <c r="AH59" s="51">
        <v>43480</v>
      </c>
      <c r="AI59" s="51">
        <v>43481</v>
      </c>
      <c r="AJ59" s="51">
        <v>43482</v>
      </c>
      <c r="AK59" s="51">
        <v>43483</v>
      </c>
      <c r="AL59" s="51">
        <v>43484</v>
      </c>
      <c r="AM59" s="51">
        <v>43485</v>
      </c>
      <c r="AN59" s="51">
        <v>43486</v>
      </c>
      <c r="AO59" s="51">
        <v>43487</v>
      </c>
      <c r="AP59" s="51">
        <v>43488</v>
      </c>
      <c r="AQ59" s="51">
        <v>43489</v>
      </c>
      <c r="AR59" s="51">
        <v>43490</v>
      </c>
      <c r="AS59" s="51">
        <v>43491</v>
      </c>
      <c r="AT59" s="51">
        <v>43492</v>
      </c>
      <c r="AU59" s="51">
        <v>43493</v>
      </c>
      <c r="AV59" s="51">
        <v>43494</v>
      </c>
      <c r="AW59" s="51">
        <v>43495</v>
      </c>
      <c r="AX59" s="51">
        <v>43496</v>
      </c>
    </row>
    <row r="60" spans="2:57" s="54" customFormat="1" ht="59.25" customHeight="1">
      <c r="B60" s="448" t="str">
        <f>J48</f>
        <v>VITAMALT</v>
      </c>
      <c r="C60" s="283">
        <v>45762</v>
      </c>
      <c r="D60" s="377">
        <f>[32]April_2025!$Q$65</f>
        <v>392</v>
      </c>
      <c r="E60" s="378">
        <f>SUM([34]VITAMALT!$J$6:$J$13)</f>
        <v>16.399999999999999</v>
      </c>
      <c r="F60" s="379"/>
      <c r="G60" s="303">
        <f>[32]April_2025!$Q$70</f>
        <v>395.2</v>
      </c>
      <c r="H60" s="320"/>
      <c r="I60" s="322"/>
      <c r="J60" s="360" t="s">
        <v>150</v>
      </c>
      <c r="K60" s="416">
        <f>[33]April_2025!$R$60</f>
        <v>1.3866666666666667</v>
      </c>
      <c r="L60" s="281">
        <f>(((D60+E60)-G60)/(D60+E60))*100</f>
        <v>3.2321253672869714</v>
      </c>
      <c r="M60" s="423" t="s">
        <v>163</v>
      </c>
      <c r="N60" s="13"/>
      <c r="O60" s="13"/>
      <c r="P60" s="50"/>
      <c r="R60" s="275"/>
      <c r="S60" s="277" t="str">
        <f t="shared" si="8"/>
        <v>VITAMALT</v>
      </c>
      <c r="T60" s="296">
        <f t="shared" si="0"/>
        <v>14.4</v>
      </c>
      <c r="U60" s="296">
        <f t="shared" si="1"/>
        <v>14.6</v>
      </c>
      <c r="V60" s="297">
        <f t="shared" si="2"/>
        <v>0</v>
      </c>
      <c r="W60" s="297">
        <f t="shared" si="3"/>
        <v>0.13905092592592591</v>
      </c>
      <c r="X60" s="297">
        <f t="shared" si="4"/>
        <v>0.26041666666666669</v>
      </c>
      <c r="Y60" s="297">
        <f t="shared" si="5"/>
        <v>0.2951388888888889</v>
      </c>
      <c r="Z60" s="297">
        <f t="shared" si="6"/>
        <v>0</v>
      </c>
      <c r="AA60" s="296">
        <f t="shared" si="7"/>
        <v>75</v>
      </c>
      <c r="AB60" s="279"/>
      <c r="AC60" s="279"/>
      <c r="AD60" s="279"/>
      <c r="AE60" s="279"/>
      <c r="AF60" s="279"/>
      <c r="AG60" s="279"/>
      <c r="AH60" s="279"/>
      <c r="AI60" s="279"/>
      <c r="AJ60" s="279"/>
      <c r="AK60" s="279"/>
      <c r="AL60" s="279"/>
      <c r="AM60" s="279"/>
      <c r="AN60" s="279"/>
      <c r="AO60" s="279"/>
      <c r="AP60" s="279"/>
      <c r="AQ60" s="279"/>
      <c r="AR60" s="279"/>
      <c r="AS60" s="279"/>
      <c r="AT60" s="279"/>
      <c r="AU60" s="279"/>
      <c r="AV60" s="279"/>
      <c r="AW60" s="279"/>
    </row>
    <row r="61" spans="2:57" s="54" customFormat="1" ht="14.4">
      <c r="B61" s="415"/>
      <c r="C61" s="283"/>
      <c r="D61" s="377"/>
      <c r="E61" s="378"/>
      <c r="F61" s="379"/>
      <c r="G61" s="303"/>
      <c r="H61" s="320"/>
      <c r="I61" s="322"/>
      <c r="J61" s="398"/>
      <c r="K61" s="286"/>
      <c r="L61" s="314"/>
      <c r="M61" s="423"/>
      <c r="N61" s="13"/>
      <c r="O61" s="13"/>
      <c r="P61" s="50"/>
      <c r="R61" s="275"/>
      <c r="S61" s="277">
        <f t="shared" si="8"/>
        <v>0</v>
      </c>
      <c r="T61" s="296" t="e">
        <f t="shared" si="0"/>
        <v>#N/A</v>
      </c>
      <c r="U61" s="296" t="e">
        <f t="shared" si="1"/>
        <v>#N/A</v>
      </c>
      <c r="V61" s="297" t="e">
        <f t="shared" si="2"/>
        <v>#N/A</v>
      </c>
      <c r="W61" s="297" t="e">
        <f t="shared" si="3"/>
        <v>#N/A</v>
      </c>
      <c r="X61" s="297" t="e">
        <f t="shared" si="4"/>
        <v>#N/A</v>
      </c>
      <c r="Y61" s="297" t="e">
        <f t="shared" si="5"/>
        <v>#N/A</v>
      </c>
      <c r="Z61" s="297" t="e">
        <f t="shared" si="6"/>
        <v>#N/A</v>
      </c>
      <c r="AA61" s="296" t="e">
        <f t="shared" si="7"/>
        <v>#N/A</v>
      </c>
      <c r="AB61" s="420"/>
      <c r="AC61" s="420"/>
      <c r="AD61" s="420"/>
      <c r="AE61" s="420"/>
      <c r="AF61" s="420"/>
      <c r="AG61" s="420"/>
      <c r="AH61" s="420"/>
      <c r="AI61" s="420"/>
      <c r="AJ61" s="420"/>
      <c r="AK61" s="420"/>
      <c r="AL61" s="420"/>
      <c r="AM61" s="420"/>
      <c r="AN61" s="420"/>
      <c r="AO61" s="420"/>
      <c r="AP61" s="420"/>
      <c r="AQ61" s="420"/>
      <c r="AR61" s="420"/>
      <c r="AS61" s="420"/>
      <c r="AT61" s="420"/>
      <c r="AU61" s="420"/>
      <c r="AV61" s="420"/>
      <c r="AW61" s="420"/>
    </row>
    <row r="62" spans="2:57" s="54" customFormat="1" ht="59.25" hidden="1" customHeight="1">
      <c r="B62" s="415"/>
      <c r="C62" s="283"/>
      <c r="D62" s="377"/>
      <c r="E62" s="378"/>
      <c r="F62" s="379"/>
      <c r="G62" s="303"/>
      <c r="H62" s="320"/>
      <c r="I62" s="322"/>
      <c r="J62" s="398"/>
      <c r="K62" s="286"/>
      <c r="L62" s="314"/>
      <c r="M62" s="423"/>
      <c r="N62" s="13"/>
      <c r="O62" s="13"/>
      <c r="P62" s="50"/>
      <c r="R62" s="275"/>
      <c r="S62" s="277">
        <f t="shared" si="8"/>
        <v>0</v>
      </c>
      <c r="T62" s="296" t="e">
        <f t="shared" si="0"/>
        <v>#N/A</v>
      </c>
      <c r="U62" s="296" t="e">
        <f t="shared" si="1"/>
        <v>#N/A</v>
      </c>
      <c r="V62" s="297" t="e">
        <f t="shared" si="2"/>
        <v>#N/A</v>
      </c>
      <c r="W62" s="297" t="e">
        <f t="shared" si="3"/>
        <v>#N/A</v>
      </c>
      <c r="X62" s="297" t="e">
        <f t="shared" si="4"/>
        <v>#N/A</v>
      </c>
      <c r="Y62" s="297" t="e">
        <f t="shared" si="5"/>
        <v>#N/A</v>
      </c>
      <c r="Z62" s="297" t="e">
        <f t="shared" si="6"/>
        <v>#N/A</v>
      </c>
      <c r="AA62" s="296" t="e">
        <f t="shared" si="7"/>
        <v>#N/A</v>
      </c>
      <c r="AB62" s="420"/>
      <c r="AC62" s="420"/>
      <c r="AD62" s="420"/>
      <c r="AE62" s="420"/>
      <c r="AF62" s="420"/>
      <c r="AG62" s="420"/>
      <c r="AH62" s="420"/>
      <c r="AI62" s="420"/>
      <c r="AJ62" s="420"/>
      <c r="AK62" s="420"/>
      <c r="AL62" s="420"/>
      <c r="AM62" s="420"/>
      <c r="AN62" s="420"/>
      <c r="AO62" s="420"/>
      <c r="AP62" s="420"/>
      <c r="AQ62" s="420"/>
      <c r="AR62" s="420"/>
      <c r="AS62" s="420"/>
      <c r="AT62" s="420"/>
      <c r="AU62" s="420"/>
      <c r="AV62" s="420"/>
      <c r="AW62" s="420"/>
    </row>
    <row r="63" spans="2:57" s="54" customFormat="1" ht="14.4">
      <c r="B63" s="387"/>
      <c r="C63" s="283"/>
      <c r="D63" s="279"/>
      <c r="E63" s="279"/>
      <c r="F63" s="279"/>
      <c r="G63" s="279"/>
      <c r="H63" s="320"/>
      <c r="I63" s="322"/>
      <c r="J63" s="281"/>
      <c r="K63" s="417"/>
      <c r="L63" s="314"/>
      <c r="M63" s="425"/>
      <c r="N63" s="13"/>
      <c r="O63" s="13"/>
      <c r="P63" s="50"/>
      <c r="R63" s="275"/>
      <c r="S63" s="277">
        <f t="shared" si="8"/>
        <v>0</v>
      </c>
      <c r="T63" s="296" t="e">
        <f t="shared" si="0"/>
        <v>#N/A</v>
      </c>
      <c r="U63" s="296" t="e">
        <f t="shared" si="1"/>
        <v>#N/A</v>
      </c>
      <c r="V63" s="297" t="e">
        <f t="shared" si="2"/>
        <v>#N/A</v>
      </c>
      <c r="W63" s="297" t="e">
        <f t="shared" si="3"/>
        <v>#N/A</v>
      </c>
      <c r="X63" s="297" t="e">
        <f t="shared" si="4"/>
        <v>#N/A</v>
      </c>
      <c r="Y63" s="297" t="e">
        <f t="shared" si="5"/>
        <v>#N/A</v>
      </c>
      <c r="Z63" s="297" t="e">
        <f t="shared" si="6"/>
        <v>#N/A</v>
      </c>
      <c r="AA63" s="296" t="e">
        <f t="shared" si="7"/>
        <v>#N/A</v>
      </c>
      <c r="AB63" s="57">
        <f>[20]January_2019!L8</f>
        <v>1.0028070175438597</v>
      </c>
      <c r="AC63" s="57">
        <f>[20]January_2019!M8</f>
        <v>1.7828070175438597</v>
      </c>
      <c r="AD63" s="57" t="e">
        <f>[20]January_2019!N8</f>
        <v>#DIV/0!</v>
      </c>
      <c r="AE63" s="57" t="e">
        <f>[20]January_2019!O8</f>
        <v>#DIV/0!</v>
      </c>
      <c r="AF63" s="57">
        <f>[20]January_2019!P8</f>
        <v>0.19222222222222221</v>
      </c>
      <c r="AG63" s="57">
        <f>[20]January_2019!Q8</f>
        <v>0.52219298245614032</v>
      </c>
      <c r="AH63" s="57">
        <f>[20]January_2019!R8</f>
        <v>0.42912280701754385</v>
      </c>
      <c r="AI63" s="57" t="e">
        <f>[20]January_2019!S8</f>
        <v>#DIV/0!</v>
      </c>
      <c r="AJ63" s="57">
        <f>[20]January_2019!T8</f>
        <v>1.0340350877192983</v>
      </c>
      <c r="AK63" s="57">
        <f>[20]January_2019!U8</f>
        <v>0.98421052631578942</v>
      </c>
      <c r="AL63" s="57" t="e">
        <f>[20]January_2019!V8</f>
        <v>#DIV/0!</v>
      </c>
      <c r="AM63" s="57" t="e">
        <f>[20]January_2019!W8</f>
        <v>#DIV/0!</v>
      </c>
      <c r="AN63" s="57">
        <f>[20]January_2019!X8</f>
        <v>0.66052631578947374</v>
      </c>
      <c r="AO63" s="57">
        <f>[20]January_2019!Y8</f>
        <v>1.0375438596491227</v>
      </c>
      <c r="AP63" s="57">
        <f>[20]January_2019!Z8</f>
        <v>0.90456140350877201</v>
      </c>
      <c r="AQ63" s="57">
        <f>[20]January_2019!AA8</f>
        <v>1.0217543859649123</v>
      </c>
      <c r="AR63" s="57">
        <f>[20]January_2019!AB8</f>
        <v>0.65614035087719302</v>
      </c>
      <c r="AS63" s="57" t="e">
        <f>[20]January_2019!AC8</f>
        <v>#DIV/0!</v>
      </c>
      <c r="AT63" s="57" t="e">
        <f>[20]January_2019!AD8</f>
        <v>#DIV/0!</v>
      </c>
      <c r="AU63" s="57">
        <f>[20]January_2019!AE8</f>
        <v>1.7021052631578948</v>
      </c>
      <c r="AV63" s="57">
        <f>[20]January_2019!AF8</f>
        <v>0.60192982456140354</v>
      </c>
      <c r="AW63" s="57">
        <f>[20]January_2019!AG8</f>
        <v>1.4870175438596491</v>
      </c>
      <c r="AX63" s="277" t="e">
        <f>[20]January_2019!AH8</f>
        <v>#DIV/0!</v>
      </c>
      <c r="AY63" s="277"/>
      <c r="AZ63" s="277"/>
      <c r="BA63" s="277"/>
      <c r="BB63" s="277"/>
      <c r="BC63" s="277"/>
      <c r="BD63" s="277"/>
      <c r="BE63" s="277"/>
    </row>
    <row r="64" spans="2:57" ht="58.5" hidden="1" customHeight="1" thickBot="1">
      <c r="B64" s="426"/>
      <c r="C64" s="427"/>
      <c r="D64" s="428"/>
      <c r="E64" s="428"/>
      <c r="F64" s="428"/>
      <c r="G64" s="428"/>
      <c r="H64" s="429"/>
      <c r="I64" s="430"/>
      <c r="J64" s="390"/>
      <c r="K64" s="431"/>
      <c r="L64" s="432"/>
      <c r="M64" s="424"/>
      <c r="N64" s="13"/>
      <c r="O64" s="13"/>
      <c r="P64" s="56"/>
      <c r="S64" s="277">
        <f t="shared" si="8"/>
        <v>0</v>
      </c>
      <c r="T64" s="296" t="e">
        <f t="shared" si="0"/>
        <v>#N/A</v>
      </c>
      <c r="U64" s="296" t="e">
        <f t="shared" si="1"/>
        <v>#N/A</v>
      </c>
      <c r="V64" s="297" t="e">
        <f t="shared" si="2"/>
        <v>#N/A</v>
      </c>
      <c r="W64" s="297" t="e">
        <f t="shared" si="3"/>
        <v>#N/A</v>
      </c>
      <c r="X64" s="297" t="e">
        <f t="shared" si="4"/>
        <v>#N/A</v>
      </c>
      <c r="Y64" s="297" t="e">
        <f t="shared" si="5"/>
        <v>#N/A</v>
      </c>
      <c r="Z64" s="297" t="e">
        <f t="shared" si="6"/>
        <v>#N/A</v>
      </c>
      <c r="AA64" s="296" t="e">
        <f t="shared" si="7"/>
        <v>#N/A</v>
      </c>
    </row>
    <row r="65" spans="2:27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6"/>
      <c r="P65" s="60"/>
      <c r="S65" s="277">
        <f t="shared" si="8"/>
        <v>0</v>
      </c>
      <c r="T65" s="296" t="e">
        <f t="shared" si="0"/>
        <v>#N/A</v>
      </c>
      <c r="U65" s="296" t="e">
        <f t="shared" si="1"/>
        <v>#N/A</v>
      </c>
      <c r="V65" s="297" t="e">
        <f t="shared" si="2"/>
        <v>#N/A</v>
      </c>
      <c r="W65" s="297" t="e">
        <f t="shared" si="3"/>
        <v>#N/A</v>
      </c>
      <c r="X65" s="297" t="e">
        <f t="shared" si="4"/>
        <v>#N/A</v>
      </c>
      <c r="Y65" s="297" t="e">
        <f t="shared" si="5"/>
        <v>#N/A</v>
      </c>
      <c r="Z65" s="297" t="e">
        <f t="shared" si="6"/>
        <v>#N/A</v>
      </c>
      <c r="AA65" s="296" t="e">
        <f t="shared" si="7"/>
        <v>#N/A</v>
      </c>
    </row>
    <row r="66" spans="2:27" ht="15" thickBot="1">
      <c r="B66" s="460" t="s">
        <v>55</v>
      </c>
      <c r="C66" s="461"/>
      <c r="D66" s="461"/>
      <c r="E66" s="461"/>
      <c r="F66" s="462"/>
      <c r="G66" s="460" t="s">
        <v>56</v>
      </c>
      <c r="H66" s="461"/>
      <c r="I66" s="461"/>
      <c r="J66" s="462"/>
      <c r="K66" s="460" t="s">
        <v>51</v>
      </c>
      <c r="L66" s="461"/>
      <c r="M66" s="461"/>
      <c r="N66" s="463"/>
      <c r="O66" s="56"/>
      <c r="P66" s="50"/>
      <c r="S66" s="277" t="str">
        <f t="shared" si="8"/>
        <v>Process Loss (Volume)</v>
      </c>
      <c r="T66" s="296" t="e">
        <f t="shared" si="0"/>
        <v>#N/A</v>
      </c>
      <c r="U66" s="296" t="e">
        <f t="shared" si="1"/>
        <v>#N/A</v>
      </c>
      <c r="V66" s="297" t="e">
        <f t="shared" si="2"/>
        <v>#N/A</v>
      </c>
      <c r="W66" s="297" t="e">
        <f t="shared" si="3"/>
        <v>#N/A</v>
      </c>
      <c r="X66" s="297" t="e">
        <f t="shared" si="4"/>
        <v>#N/A</v>
      </c>
      <c r="Y66" s="297" t="e">
        <f t="shared" si="5"/>
        <v>#N/A</v>
      </c>
      <c r="Z66" s="297" t="e">
        <f t="shared" si="6"/>
        <v>#N/A</v>
      </c>
      <c r="AA66" s="296" t="e">
        <f t="shared" si="7"/>
        <v>#N/A</v>
      </c>
    </row>
    <row r="67" spans="2:27" ht="14.4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  <c r="S67" s="277" t="str">
        <f t="shared" si="8"/>
        <v>Brand</v>
      </c>
      <c r="T67" s="296" t="e">
        <f t="shared" si="0"/>
        <v>#N/A</v>
      </c>
      <c r="U67" s="296" t="e">
        <f t="shared" si="1"/>
        <v>#N/A</v>
      </c>
      <c r="V67" s="297" t="e">
        <f t="shared" si="2"/>
        <v>#N/A</v>
      </c>
      <c r="W67" s="297" t="e">
        <f t="shared" si="3"/>
        <v>#N/A</v>
      </c>
      <c r="X67" s="297" t="e">
        <f t="shared" si="4"/>
        <v>#N/A</v>
      </c>
      <c r="Y67" s="297" t="e">
        <f t="shared" si="5"/>
        <v>#N/A</v>
      </c>
      <c r="Z67" s="297" t="e">
        <f t="shared" si="6"/>
        <v>#N/A</v>
      </c>
      <c r="AA67" s="296" t="e">
        <f t="shared" si="7"/>
        <v>#N/A</v>
      </c>
    </row>
    <row r="68" spans="2:27" ht="14.4">
      <c r="B68" s="29" t="s">
        <v>6</v>
      </c>
      <c r="C68" s="65"/>
      <c r="D68" s="76">
        <v>6.803446567934099</v>
      </c>
      <c r="E68" s="76">
        <v>6.9550238287423376</v>
      </c>
      <c r="F68" s="66">
        <v>4.8</v>
      </c>
      <c r="G68" s="65"/>
      <c r="H68" s="76">
        <v>6.2434348146943108</v>
      </c>
      <c r="I68" s="76">
        <v>7.4865510729533886</v>
      </c>
      <c r="J68" s="66">
        <v>4.8</v>
      </c>
      <c r="K68" s="67"/>
      <c r="L68" s="194">
        <v>0.71026315789473693</v>
      </c>
      <c r="M68" s="194">
        <v>0.76794308009794132</v>
      </c>
      <c r="N68" s="68">
        <v>1</v>
      </c>
      <c r="O68" s="56"/>
      <c r="P68" s="69"/>
      <c r="S68" s="277" t="str">
        <f t="shared" si="8"/>
        <v>CARIB</v>
      </c>
      <c r="T68" s="296">
        <f t="shared" si="0"/>
        <v>11.6</v>
      </c>
      <c r="U68" s="296">
        <f t="shared" si="1"/>
        <v>12</v>
      </c>
      <c r="V68" s="297">
        <f t="shared" si="2"/>
        <v>0</v>
      </c>
      <c r="W68" s="297">
        <f t="shared" si="3"/>
        <v>0.118055555555556</v>
      </c>
      <c r="X68" s="297">
        <f t="shared" si="4"/>
        <v>0.22569444444444445</v>
      </c>
      <c r="Y68" s="297">
        <f t="shared" si="5"/>
        <v>0.2638888888888889</v>
      </c>
      <c r="Z68" s="297">
        <f t="shared" si="6"/>
        <v>0</v>
      </c>
      <c r="AA68" s="296">
        <f t="shared" si="7"/>
        <v>60</v>
      </c>
    </row>
    <row r="69" spans="2:27" ht="14.4">
      <c r="B69" s="33" t="s">
        <v>9</v>
      </c>
      <c r="C69" s="65"/>
      <c r="D69" s="76">
        <v>3.3990684768605646</v>
      </c>
      <c r="E69" s="76">
        <v>6.0934553008673209</v>
      </c>
      <c r="F69" s="66">
        <v>4.8</v>
      </c>
      <c r="G69" s="65"/>
      <c r="H69" s="76">
        <v>3.0755620742673759</v>
      </c>
      <c r="I69" s="76">
        <v>6.9753297091759698</v>
      </c>
      <c r="J69" s="66">
        <v>4.8</v>
      </c>
      <c r="K69" s="67"/>
      <c r="L69" s="194">
        <v>0.9064327485380117</v>
      </c>
      <c r="M69" s="194">
        <v>0.74152600836341909</v>
      </c>
      <c r="N69" s="68">
        <v>1</v>
      </c>
      <c r="P69" s="69"/>
      <c r="S69" s="277" t="str">
        <f t="shared" si="8"/>
        <v>STAG</v>
      </c>
      <c r="T69" s="296">
        <f t="shared" si="0"/>
        <v>11.6</v>
      </c>
      <c r="U69" s="296">
        <f t="shared" si="1"/>
        <v>12</v>
      </c>
      <c r="V69" s="297">
        <f t="shared" si="2"/>
        <v>0</v>
      </c>
      <c r="W69" s="297">
        <f t="shared" si="3"/>
        <v>0.118055555555556</v>
      </c>
      <c r="X69" s="297">
        <f t="shared" si="4"/>
        <v>0.22569444444444445</v>
      </c>
      <c r="Y69" s="297">
        <f t="shared" si="5"/>
        <v>0.2638888888888889</v>
      </c>
      <c r="Z69" s="297">
        <f t="shared" si="6"/>
        <v>0</v>
      </c>
      <c r="AA69" s="296">
        <f t="shared" si="7"/>
        <v>60</v>
      </c>
    </row>
    <row r="70" spans="2:27" ht="14.4">
      <c r="B70" s="34" t="s">
        <v>40</v>
      </c>
      <c r="C70" s="65"/>
      <c r="D70" s="76">
        <v>10.826844642195047</v>
      </c>
      <c r="E70" s="76">
        <v>13.125604223990466</v>
      </c>
      <c r="F70" s="66">
        <v>5.5</v>
      </c>
      <c r="G70" s="65"/>
      <c r="H70" s="76">
        <v>10.823247958374074</v>
      </c>
      <c r="I70" s="76">
        <v>13.879185403587476</v>
      </c>
      <c r="J70" s="66">
        <v>5.5</v>
      </c>
      <c r="K70" s="67"/>
      <c r="L70" s="194">
        <v>0.42192982456140349</v>
      </c>
      <c r="M70" s="194">
        <v>0.5124236387782205</v>
      </c>
      <c r="N70" s="68">
        <v>1</v>
      </c>
      <c r="P70" s="69"/>
      <c r="S70" s="277" t="str">
        <f t="shared" si="8"/>
        <v>GUINN</v>
      </c>
      <c r="T70" s="296" t="e">
        <f t="shared" si="0"/>
        <v>#N/A</v>
      </c>
      <c r="U70" s="296" t="e">
        <f t="shared" si="1"/>
        <v>#N/A</v>
      </c>
      <c r="V70" s="297" t="e">
        <f t="shared" si="2"/>
        <v>#N/A</v>
      </c>
      <c r="W70" s="297" t="e">
        <f t="shared" si="3"/>
        <v>#N/A</v>
      </c>
      <c r="X70" s="297" t="e">
        <f t="shared" si="4"/>
        <v>#N/A</v>
      </c>
      <c r="Y70" s="297" t="e">
        <f t="shared" si="5"/>
        <v>#N/A</v>
      </c>
      <c r="Z70" s="297" t="e">
        <f t="shared" si="6"/>
        <v>#N/A</v>
      </c>
      <c r="AA70" s="296" t="e">
        <f t="shared" si="7"/>
        <v>#N/A</v>
      </c>
    </row>
    <row r="71" spans="2:27" ht="14.4">
      <c r="B71" s="22" t="s">
        <v>33</v>
      </c>
      <c r="C71" s="65">
        <f>L60</f>
        <v>3.2321253672869714</v>
      </c>
      <c r="D71" s="76">
        <v>3.2321253672869714</v>
      </c>
      <c r="E71" s="76">
        <v>2.2218158544390558</v>
      </c>
      <c r="F71" s="66">
        <v>3.3</v>
      </c>
      <c r="G71" s="65">
        <f>[32]April_2025!$Q$74</f>
        <v>2.3924874613168265</v>
      </c>
      <c r="H71" s="76">
        <v>2.3924874613168265</v>
      </c>
      <c r="I71" s="76">
        <v>5.0359151649923692</v>
      </c>
      <c r="J71" s="66">
        <v>3.3</v>
      </c>
      <c r="K71" s="67">
        <f>K60</f>
        <v>1.3866666666666667</v>
      </c>
      <c r="L71" s="194">
        <v>1.3866666666666667</v>
      </c>
      <c r="M71" s="194">
        <v>0.87880701754385959</v>
      </c>
      <c r="N71" s="68">
        <v>1</v>
      </c>
      <c r="P71" s="69"/>
      <c r="S71" s="277" t="str">
        <f t="shared" si="8"/>
        <v>VITAMALT</v>
      </c>
      <c r="T71" s="296">
        <f t="shared" si="0"/>
        <v>14.4</v>
      </c>
      <c r="U71" s="296">
        <f t="shared" si="1"/>
        <v>14.6</v>
      </c>
      <c r="V71" s="297">
        <f t="shared" si="2"/>
        <v>0</v>
      </c>
      <c r="W71" s="297">
        <f t="shared" si="3"/>
        <v>0.13905092592592591</v>
      </c>
      <c r="X71" s="297">
        <f t="shared" si="4"/>
        <v>0.26041666666666669</v>
      </c>
      <c r="Y71" s="297">
        <f t="shared" si="5"/>
        <v>0.2951388888888889</v>
      </c>
      <c r="Z71" s="297">
        <f t="shared" si="6"/>
        <v>0</v>
      </c>
      <c r="AA71" s="296">
        <f t="shared" si="7"/>
        <v>75</v>
      </c>
    </row>
    <row r="72" spans="2:27" ht="14.4">
      <c r="B72" s="35" t="s">
        <v>29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L72" s="194"/>
      <c r="M72" s="194"/>
      <c r="N72" s="68">
        <v>1</v>
      </c>
      <c r="P72" s="69"/>
      <c r="S72" s="277" t="str">
        <f t="shared" si="8"/>
        <v>MAXIMALT</v>
      </c>
      <c r="T72" s="296" t="e">
        <f t="shared" si="0"/>
        <v>#N/A</v>
      </c>
      <c r="U72" s="296" t="e">
        <f t="shared" si="1"/>
        <v>#N/A</v>
      </c>
      <c r="V72" s="297" t="e">
        <f t="shared" si="2"/>
        <v>#N/A</v>
      </c>
      <c r="W72" s="297" t="e">
        <f t="shared" si="3"/>
        <v>#N/A</v>
      </c>
      <c r="X72" s="297" t="e">
        <f t="shared" si="4"/>
        <v>#N/A</v>
      </c>
      <c r="Y72" s="297" t="e">
        <f t="shared" si="5"/>
        <v>#N/A</v>
      </c>
      <c r="Z72" s="297" t="e">
        <f t="shared" si="6"/>
        <v>#N/A</v>
      </c>
      <c r="AA72" s="296" t="e">
        <f t="shared" si="7"/>
        <v>#N/A</v>
      </c>
    </row>
    <row r="73" spans="2:27" ht="14.4">
      <c r="B73" s="36" t="s">
        <v>15</v>
      </c>
      <c r="C73" s="282"/>
      <c r="D73" s="76"/>
      <c r="E73" s="76">
        <v>8.7664670658682695</v>
      </c>
      <c r="F73" s="70">
        <f>[21]May_2022!$M$43</f>
        <v>3.4878406700073312</v>
      </c>
      <c r="G73" s="282"/>
      <c r="H73" s="76"/>
      <c r="I73" s="76">
        <v>10.607235567685406</v>
      </c>
      <c r="J73" s="66">
        <v>5.5</v>
      </c>
      <c r="K73" s="67"/>
      <c r="L73" s="194"/>
      <c r="M73" s="194">
        <v>0.66824561403508764</v>
      </c>
      <c r="N73" s="68">
        <v>1</v>
      </c>
      <c r="P73" s="69"/>
      <c r="S73" s="277" t="str">
        <f t="shared" si="8"/>
        <v>MACKESON</v>
      </c>
      <c r="T73" s="296">
        <f t="shared" si="0"/>
        <v>13.3</v>
      </c>
      <c r="U73" s="296">
        <f t="shared" si="1"/>
        <v>13.5</v>
      </c>
      <c r="V73" s="297">
        <f t="shared" si="2"/>
        <v>0</v>
      </c>
      <c r="W73" s="297">
        <f t="shared" si="3"/>
        <v>0.12905092592592593</v>
      </c>
      <c r="X73" s="297">
        <f t="shared" si="4"/>
        <v>0.27430555555555552</v>
      </c>
      <c r="Y73" s="297">
        <f t="shared" si="5"/>
        <v>0.30208333333333331</v>
      </c>
      <c r="Z73" s="297">
        <f t="shared" si="6"/>
        <v>0</v>
      </c>
      <c r="AA73" s="296">
        <f t="shared" si="7"/>
        <v>0</v>
      </c>
    </row>
    <row r="74" spans="2:27" ht="14.4">
      <c r="B74" s="37" t="s">
        <v>16</v>
      </c>
      <c r="C74" s="65"/>
      <c r="D74" s="76">
        <v>0.38967364831952411</v>
      </c>
      <c r="E74" s="76">
        <v>1.85607294041028</v>
      </c>
      <c r="F74" s="66">
        <v>3.3</v>
      </c>
      <c r="G74" s="282"/>
      <c r="H74" s="76">
        <v>3.9053322254376623</v>
      </c>
      <c r="I74" s="76">
        <v>4.5764571827076486</v>
      </c>
      <c r="J74" s="66">
        <v>3.3</v>
      </c>
      <c r="K74" s="67"/>
      <c r="L74" s="194">
        <v>0.71754385964912282</v>
      </c>
      <c r="M74" s="194">
        <v>0.83594855305466242</v>
      </c>
      <c r="N74" s="71">
        <v>1</v>
      </c>
      <c r="P74" s="69"/>
      <c r="S74" s="277" t="str">
        <f t="shared" si="8"/>
        <v>STARMALT</v>
      </c>
      <c r="T74" s="296">
        <f t="shared" si="0"/>
        <v>17.100000000000001</v>
      </c>
      <c r="U74" s="296">
        <f t="shared" si="1"/>
        <v>17.5</v>
      </c>
      <c r="V74" s="297">
        <f t="shared" si="2"/>
        <v>0</v>
      </c>
      <c r="W74" s="297">
        <f t="shared" si="3"/>
        <v>0.13605324074074074</v>
      </c>
      <c r="X74" s="297">
        <f t="shared" si="4"/>
        <v>0.27430555555555552</v>
      </c>
      <c r="Y74" s="297">
        <f t="shared" si="5"/>
        <v>0.30902777777777779</v>
      </c>
      <c r="Z74" s="297">
        <f t="shared" si="6"/>
        <v>0</v>
      </c>
      <c r="AA74" s="296">
        <f t="shared" si="7"/>
        <v>60</v>
      </c>
    </row>
    <row r="75" spans="2:27" ht="15" thickBot="1">
      <c r="B75" s="38" t="s">
        <v>127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  <c r="S75" s="277" t="str">
        <f t="shared" si="8"/>
        <v>HURRICANE REEF</v>
      </c>
      <c r="T75" s="296">
        <f t="shared" si="0"/>
        <v>16.600000000000001</v>
      </c>
      <c r="U75" s="296">
        <f t="shared" si="1"/>
        <v>17</v>
      </c>
      <c r="V75" s="297">
        <f t="shared" si="2"/>
        <v>0</v>
      </c>
      <c r="W75" s="297">
        <f t="shared" si="3"/>
        <v>0.12905092592592593</v>
      </c>
      <c r="X75" s="297">
        <f t="shared" si="4"/>
        <v>0.27430555555555552</v>
      </c>
      <c r="Y75" s="297">
        <f t="shared" si="5"/>
        <v>0.30208333333333331</v>
      </c>
      <c r="Z75" s="297">
        <f t="shared" si="6"/>
        <v>0</v>
      </c>
      <c r="AA75" s="296">
        <f t="shared" si="7"/>
        <v>0</v>
      </c>
    </row>
    <row r="76" spans="2:27" ht="15" thickBot="1">
      <c r="B76" s="418" t="s">
        <v>162</v>
      </c>
      <c r="C76" s="65"/>
      <c r="D76" s="76"/>
      <c r="E76" s="76">
        <v>4.8792508624938291</v>
      </c>
      <c r="F76" s="66">
        <v>4.8</v>
      </c>
      <c r="G76" s="282"/>
      <c r="H76" s="76"/>
      <c r="I76" s="76">
        <v>6.2003723782925313</v>
      </c>
      <c r="J76" s="66">
        <v>4.8</v>
      </c>
      <c r="K76" s="67"/>
      <c r="L76" s="194"/>
      <c r="M76" s="194">
        <v>0.33859649122807017</v>
      </c>
      <c r="N76" s="71">
        <v>1</v>
      </c>
      <c r="O76" s="74"/>
      <c r="P76" s="75"/>
      <c r="S76" s="277" t="str">
        <f t="shared" si="8"/>
        <v>HURRICANE REEF PILS</v>
      </c>
      <c r="T76" s="296" t="e">
        <f t="shared" si="0"/>
        <v>#N/A</v>
      </c>
      <c r="U76" s="296" t="e">
        <f t="shared" si="1"/>
        <v>#N/A</v>
      </c>
      <c r="V76" s="297" t="e">
        <f t="shared" si="2"/>
        <v>#N/A</v>
      </c>
      <c r="W76" s="297" t="e">
        <f t="shared" si="3"/>
        <v>#N/A</v>
      </c>
      <c r="X76" s="297" t="e">
        <f t="shared" si="4"/>
        <v>#N/A</v>
      </c>
      <c r="Y76" s="297" t="e">
        <f t="shared" si="5"/>
        <v>#N/A</v>
      </c>
      <c r="Z76" s="297" t="e">
        <f t="shared" si="6"/>
        <v>#N/A</v>
      </c>
      <c r="AA76" s="296" t="e">
        <f t="shared" si="7"/>
        <v>#N/A</v>
      </c>
    </row>
    <row r="77" spans="2:27" ht="14.4">
      <c r="D77" s="76">
        <v>5.1873009858713779</v>
      </c>
      <c r="E77" s="76">
        <v>6.6637821466237517</v>
      </c>
      <c r="F77" s="341">
        <v>5.5</v>
      </c>
      <c r="H77" s="76">
        <v>5.3136650332387108</v>
      </c>
      <c r="I77" s="76">
        <v>7.7362163482777131</v>
      </c>
      <c r="J77" s="341">
        <v>5.5</v>
      </c>
      <c r="K77" s="67"/>
      <c r="L77" s="194">
        <v>0.78053884711779442</v>
      </c>
      <c r="M77" s="194">
        <v>0.7401919535880942</v>
      </c>
      <c r="N77" s="386">
        <v>1</v>
      </c>
      <c r="S77" s="277">
        <f t="shared" ref="S77:S102" si="9">B77</f>
        <v>0</v>
      </c>
      <c r="T77" s="296" t="e">
        <f t="shared" si="0"/>
        <v>#N/A</v>
      </c>
      <c r="U77" s="296" t="e">
        <f t="shared" si="1"/>
        <v>#N/A</v>
      </c>
      <c r="V77" s="297" t="e">
        <f t="shared" si="2"/>
        <v>#N/A</v>
      </c>
      <c r="W77" s="297" t="e">
        <f t="shared" si="3"/>
        <v>#N/A</v>
      </c>
      <c r="X77" s="297" t="e">
        <f t="shared" si="4"/>
        <v>#N/A</v>
      </c>
      <c r="Y77" s="297" t="e">
        <f t="shared" si="5"/>
        <v>#N/A</v>
      </c>
      <c r="Z77" s="297" t="e">
        <f t="shared" si="6"/>
        <v>#N/A</v>
      </c>
      <c r="AA77" s="296" t="e">
        <f t="shared" si="7"/>
        <v>#N/A</v>
      </c>
    </row>
    <row r="78" spans="2:27" ht="14.4">
      <c r="S78" s="277">
        <f t="shared" si="9"/>
        <v>0</v>
      </c>
      <c r="T78" s="296" t="e">
        <f t="shared" si="0"/>
        <v>#N/A</v>
      </c>
      <c r="U78" s="296" t="e">
        <f t="shared" si="1"/>
        <v>#N/A</v>
      </c>
      <c r="V78" s="297" t="e">
        <f t="shared" si="2"/>
        <v>#N/A</v>
      </c>
      <c r="W78" s="297" t="e">
        <f t="shared" si="3"/>
        <v>#N/A</v>
      </c>
      <c r="X78" s="297" t="e">
        <f t="shared" si="4"/>
        <v>#N/A</v>
      </c>
      <c r="Y78" s="297" t="e">
        <f t="shared" si="5"/>
        <v>#N/A</v>
      </c>
      <c r="Z78" s="297" t="e">
        <f t="shared" si="6"/>
        <v>#N/A</v>
      </c>
      <c r="AA78" s="296" t="e">
        <f t="shared" si="7"/>
        <v>#N/A</v>
      </c>
    </row>
    <row r="79" spans="2:27" ht="14.4">
      <c r="S79" s="277">
        <f t="shared" si="9"/>
        <v>0</v>
      </c>
      <c r="T79" s="296" t="e">
        <f t="shared" si="0"/>
        <v>#N/A</v>
      </c>
      <c r="U79" s="296" t="e">
        <f t="shared" si="1"/>
        <v>#N/A</v>
      </c>
      <c r="V79" s="297" t="e">
        <f t="shared" si="2"/>
        <v>#N/A</v>
      </c>
      <c r="W79" s="297" t="e">
        <f t="shared" si="3"/>
        <v>#N/A</v>
      </c>
      <c r="X79" s="297" t="e">
        <f t="shared" si="4"/>
        <v>#N/A</v>
      </c>
      <c r="Y79" s="297" t="e">
        <f t="shared" si="5"/>
        <v>#N/A</v>
      </c>
      <c r="Z79" s="297" t="e">
        <f t="shared" si="6"/>
        <v>#N/A</v>
      </c>
      <c r="AA79" s="296" t="e">
        <f t="shared" si="7"/>
        <v>#N/A</v>
      </c>
    </row>
    <row r="80" spans="2:27" ht="14.4">
      <c r="S80" s="277">
        <f t="shared" si="9"/>
        <v>0</v>
      </c>
      <c r="T80" s="296" t="e">
        <f t="shared" si="0"/>
        <v>#N/A</v>
      </c>
      <c r="U80" s="296" t="e">
        <f t="shared" si="1"/>
        <v>#N/A</v>
      </c>
      <c r="V80" s="297" t="e">
        <f t="shared" si="2"/>
        <v>#N/A</v>
      </c>
      <c r="W80" s="297" t="e">
        <f t="shared" si="3"/>
        <v>#N/A</v>
      </c>
      <c r="X80" s="297" t="e">
        <f t="shared" si="4"/>
        <v>#N/A</v>
      </c>
      <c r="Y80" s="297" t="e">
        <f t="shared" si="5"/>
        <v>#N/A</v>
      </c>
      <c r="Z80" s="297" t="e">
        <f t="shared" si="6"/>
        <v>#N/A</v>
      </c>
      <c r="AA80" s="296" t="e">
        <f t="shared" si="7"/>
        <v>#N/A</v>
      </c>
    </row>
    <row r="81" spans="6:29" ht="14.4">
      <c r="F81" s="315"/>
      <c r="S81" s="277">
        <f t="shared" si="9"/>
        <v>0</v>
      </c>
      <c r="T81" s="296" t="e">
        <f t="shared" si="0"/>
        <v>#N/A</v>
      </c>
      <c r="U81" s="296" t="e">
        <f t="shared" si="1"/>
        <v>#N/A</v>
      </c>
      <c r="V81" s="297" t="e">
        <f t="shared" si="2"/>
        <v>#N/A</v>
      </c>
      <c r="W81" s="297" t="e">
        <f t="shared" si="3"/>
        <v>#N/A</v>
      </c>
      <c r="X81" s="297" t="e">
        <f t="shared" si="4"/>
        <v>#N/A</v>
      </c>
      <c r="Y81" s="297" t="e">
        <f t="shared" si="5"/>
        <v>#N/A</v>
      </c>
      <c r="Z81" s="297" t="e">
        <f t="shared" si="6"/>
        <v>#N/A</v>
      </c>
      <c r="AA81" s="296" t="e">
        <f t="shared" si="7"/>
        <v>#N/A</v>
      </c>
    </row>
    <row r="82" spans="6:29" ht="14.4">
      <c r="S82" s="277">
        <f t="shared" si="9"/>
        <v>0</v>
      </c>
      <c r="T82" s="296" t="e">
        <f t="shared" si="0"/>
        <v>#N/A</v>
      </c>
      <c r="U82" s="296" t="e">
        <f t="shared" si="1"/>
        <v>#N/A</v>
      </c>
      <c r="V82" s="297" t="e">
        <f t="shared" si="2"/>
        <v>#N/A</v>
      </c>
      <c r="W82" s="297" t="e">
        <f t="shared" si="3"/>
        <v>#N/A</v>
      </c>
      <c r="X82" s="297" t="e">
        <f t="shared" si="4"/>
        <v>#N/A</v>
      </c>
      <c r="Y82" s="297" t="e">
        <f t="shared" si="5"/>
        <v>#N/A</v>
      </c>
      <c r="Z82" s="297" t="e">
        <f t="shared" si="6"/>
        <v>#N/A</v>
      </c>
      <c r="AA82" s="296" t="e">
        <f t="shared" si="7"/>
        <v>#N/A</v>
      </c>
    </row>
    <row r="83" spans="6:29" ht="14.4">
      <c r="S83" s="277">
        <f t="shared" si="9"/>
        <v>0</v>
      </c>
      <c r="T83" s="296" t="e">
        <f t="shared" si="0"/>
        <v>#N/A</v>
      </c>
      <c r="U83" s="296" t="e">
        <f t="shared" si="1"/>
        <v>#N/A</v>
      </c>
      <c r="V83" s="297" t="e">
        <f t="shared" si="2"/>
        <v>#N/A</v>
      </c>
      <c r="W83" s="297" t="e">
        <f t="shared" si="3"/>
        <v>#N/A</v>
      </c>
      <c r="X83" s="297" t="e">
        <f t="shared" si="4"/>
        <v>#N/A</v>
      </c>
      <c r="Y83" s="297" t="e">
        <f t="shared" si="5"/>
        <v>#N/A</v>
      </c>
      <c r="Z83" s="297" t="e">
        <f t="shared" si="6"/>
        <v>#N/A</v>
      </c>
      <c r="AA83" s="296" t="e">
        <f t="shared" si="7"/>
        <v>#N/A</v>
      </c>
    </row>
    <row r="84" spans="6:29" ht="14.4">
      <c r="S84" s="277">
        <f t="shared" si="9"/>
        <v>0</v>
      </c>
      <c r="T84" s="296" t="e">
        <f t="shared" si="0"/>
        <v>#N/A</v>
      </c>
      <c r="U84" s="296" t="e">
        <f t="shared" si="1"/>
        <v>#N/A</v>
      </c>
      <c r="V84" s="297" t="e">
        <f t="shared" si="2"/>
        <v>#N/A</v>
      </c>
      <c r="W84" s="297" t="e">
        <f t="shared" si="3"/>
        <v>#N/A</v>
      </c>
      <c r="X84" s="297" t="e">
        <f t="shared" si="4"/>
        <v>#N/A</v>
      </c>
      <c r="Y84" s="297" t="e">
        <f t="shared" si="5"/>
        <v>#N/A</v>
      </c>
      <c r="Z84" s="297" t="e">
        <f t="shared" si="6"/>
        <v>#N/A</v>
      </c>
      <c r="AA84" s="296" t="e">
        <f t="shared" si="7"/>
        <v>#N/A</v>
      </c>
    </row>
    <row r="85" spans="6:29" ht="14.4">
      <c r="S85" s="277">
        <f t="shared" si="9"/>
        <v>0</v>
      </c>
      <c r="T85" s="296" t="e">
        <f t="shared" si="0"/>
        <v>#N/A</v>
      </c>
      <c r="U85" s="296" t="e">
        <f t="shared" si="1"/>
        <v>#N/A</v>
      </c>
      <c r="V85" s="297" t="e">
        <f t="shared" si="2"/>
        <v>#N/A</v>
      </c>
      <c r="W85" s="297" t="e">
        <f t="shared" si="3"/>
        <v>#N/A</v>
      </c>
      <c r="X85" s="297" t="e">
        <f t="shared" si="4"/>
        <v>#N/A</v>
      </c>
      <c r="Y85" s="297" t="e">
        <f t="shared" si="5"/>
        <v>#N/A</v>
      </c>
      <c r="Z85" s="297" t="e">
        <f t="shared" si="6"/>
        <v>#N/A</v>
      </c>
      <c r="AA85" s="296" t="e">
        <f t="shared" si="7"/>
        <v>#N/A</v>
      </c>
    </row>
    <row r="86" spans="6:29" ht="14.4">
      <c r="S86" s="277">
        <f t="shared" si="9"/>
        <v>0</v>
      </c>
      <c r="T86" s="296" t="e">
        <f t="shared" si="0"/>
        <v>#N/A</v>
      </c>
      <c r="U86" s="296" t="e">
        <f t="shared" si="1"/>
        <v>#N/A</v>
      </c>
      <c r="V86" s="297" t="e">
        <f t="shared" si="2"/>
        <v>#N/A</v>
      </c>
      <c r="W86" s="297" t="e">
        <f t="shared" si="3"/>
        <v>#N/A</v>
      </c>
      <c r="X86" s="297" t="e">
        <f t="shared" si="4"/>
        <v>#N/A</v>
      </c>
      <c r="Y86" s="297" t="e">
        <f t="shared" si="5"/>
        <v>#N/A</v>
      </c>
      <c r="Z86" s="297" t="e">
        <f t="shared" si="6"/>
        <v>#N/A</v>
      </c>
      <c r="AA86" s="296" t="e">
        <f t="shared" si="7"/>
        <v>#N/A</v>
      </c>
    </row>
    <row r="87" spans="6:29" ht="14.4">
      <c r="S87" s="277">
        <f t="shared" si="9"/>
        <v>0</v>
      </c>
      <c r="T87" s="296" t="e">
        <f t="shared" si="0"/>
        <v>#N/A</v>
      </c>
      <c r="U87" s="296" t="e">
        <f t="shared" si="1"/>
        <v>#N/A</v>
      </c>
      <c r="V87" s="297" t="e">
        <f t="shared" si="2"/>
        <v>#N/A</v>
      </c>
      <c r="W87" s="297" t="e">
        <f t="shared" si="3"/>
        <v>#N/A</v>
      </c>
      <c r="X87" s="297" t="e">
        <f t="shared" si="4"/>
        <v>#N/A</v>
      </c>
      <c r="Y87" s="297" t="e">
        <f t="shared" si="5"/>
        <v>#N/A</v>
      </c>
      <c r="Z87" s="297" t="e">
        <f t="shared" si="6"/>
        <v>#N/A</v>
      </c>
      <c r="AA87" s="296" t="e">
        <f t="shared" si="7"/>
        <v>#N/A</v>
      </c>
    </row>
    <row r="88" spans="6:29" ht="14.4">
      <c r="S88" s="277">
        <f t="shared" si="9"/>
        <v>0</v>
      </c>
      <c r="T88" s="296" t="e">
        <f t="shared" si="0"/>
        <v>#N/A</v>
      </c>
      <c r="U88" s="296" t="e">
        <f t="shared" si="1"/>
        <v>#N/A</v>
      </c>
      <c r="V88" s="297" t="e">
        <f t="shared" si="2"/>
        <v>#N/A</v>
      </c>
      <c r="W88" s="297" t="e">
        <f t="shared" si="3"/>
        <v>#N/A</v>
      </c>
      <c r="X88" s="297" t="e">
        <f t="shared" si="4"/>
        <v>#N/A</v>
      </c>
      <c r="Y88" s="297" t="e">
        <f t="shared" si="5"/>
        <v>#N/A</v>
      </c>
      <c r="Z88" s="297" t="e">
        <f t="shared" si="6"/>
        <v>#N/A</v>
      </c>
      <c r="AA88" s="296" t="e">
        <f t="shared" si="7"/>
        <v>#N/A</v>
      </c>
    </row>
    <row r="89" spans="6:29" ht="14.4">
      <c r="S89" s="277">
        <f t="shared" si="9"/>
        <v>0</v>
      </c>
      <c r="T89" s="296" t="e">
        <f t="shared" si="0"/>
        <v>#N/A</v>
      </c>
      <c r="U89" s="296" t="e">
        <f t="shared" si="1"/>
        <v>#N/A</v>
      </c>
      <c r="V89" s="297" t="e">
        <f t="shared" si="2"/>
        <v>#N/A</v>
      </c>
      <c r="W89" s="297" t="e">
        <f t="shared" si="3"/>
        <v>#N/A</v>
      </c>
      <c r="X89" s="297" t="e">
        <f t="shared" si="4"/>
        <v>#N/A</v>
      </c>
      <c r="Y89" s="297" t="e">
        <f t="shared" si="5"/>
        <v>#N/A</v>
      </c>
      <c r="Z89" s="297" t="e">
        <f t="shared" si="6"/>
        <v>#N/A</v>
      </c>
      <c r="AA89" s="296" t="e">
        <f t="shared" si="7"/>
        <v>#N/A</v>
      </c>
      <c r="AC89" s="275" t="s">
        <v>57</v>
      </c>
    </row>
    <row r="90" spans="6:29" ht="14.4">
      <c r="S90" s="277">
        <f t="shared" si="9"/>
        <v>0</v>
      </c>
      <c r="T90" s="296" t="e">
        <f t="shared" si="0"/>
        <v>#N/A</v>
      </c>
      <c r="U90" s="296" t="e">
        <f t="shared" si="1"/>
        <v>#N/A</v>
      </c>
      <c r="V90" s="297" t="e">
        <f t="shared" si="2"/>
        <v>#N/A</v>
      </c>
      <c r="W90" s="297" t="e">
        <f t="shared" si="3"/>
        <v>#N/A</v>
      </c>
      <c r="X90" s="297" t="e">
        <f t="shared" si="4"/>
        <v>#N/A</v>
      </c>
      <c r="Y90" s="297" t="e">
        <f t="shared" si="5"/>
        <v>#N/A</v>
      </c>
      <c r="Z90" s="297" t="e">
        <f t="shared" si="6"/>
        <v>#N/A</v>
      </c>
      <c r="AA90" s="296" t="e">
        <f t="shared" si="7"/>
        <v>#N/A</v>
      </c>
    </row>
    <row r="91" spans="6:29" ht="14.4">
      <c r="S91" s="277">
        <f t="shared" si="9"/>
        <v>0</v>
      </c>
      <c r="T91" s="296" t="e">
        <f t="shared" si="0"/>
        <v>#N/A</v>
      </c>
      <c r="U91" s="296" t="e">
        <f t="shared" si="1"/>
        <v>#N/A</v>
      </c>
      <c r="V91" s="297" t="e">
        <f t="shared" si="2"/>
        <v>#N/A</v>
      </c>
      <c r="W91" s="297" t="e">
        <f t="shared" si="3"/>
        <v>#N/A</v>
      </c>
      <c r="X91" s="297" t="e">
        <f t="shared" si="4"/>
        <v>#N/A</v>
      </c>
      <c r="Y91" s="297" t="e">
        <f t="shared" si="5"/>
        <v>#N/A</v>
      </c>
      <c r="Z91" s="297" t="e">
        <f t="shared" si="6"/>
        <v>#N/A</v>
      </c>
      <c r="AA91" s="296" t="e">
        <f t="shared" si="7"/>
        <v>#N/A</v>
      </c>
    </row>
    <row r="92" spans="6:29" ht="14.4">
      <c r="S92" s="277">
        <f t="shared" si="9"/>
        <v>0</v>
      </c>
      <c r="T92" s="296" t="e">
        <f t="shared" si="0"/>
        <v>#N/A</v>
      </c>
      <c r="U92" s="296" t="e">
        <f t="shared" si="1"/>
        <v>#N/A</v>
      </c>
      <c r="V92" s="297" t="e">
        <f t="shared" si="2"/>
        <v>#N/A</v>
      </c>
      <c r="W92" s="297" t="e">
        <f t="shared" si="3"/>
        <v>#N/A</v>
      </c>
      <c r="X92" s="297" t="e">
        <f t="shared" si="4"/>
        <v>#N/A</v>
      </c>
      <c r="Y92" s="297" t="e">
        <f t="shared" si="5"/>
        <v>#N/A</v>
      </c>
      <c r="Z92" s="297" t="e">
        <f t="shared" si="6"/>
        <v>#N/A</v>
      </c>
      <c r="AA92" s="296" t="e">
        <f t="shared" si="7"/>
        <v>#N/A</v>
      </c>
    </row>
    <row r="93" spans="6:29" ht="14.4">
      <c r="S93" s="277">
        <f t="shared" si="9"/>
        <v>0</v>
      </c>
      <c r="T93" s="296" t="e">
        <f t="shared" si="0"/>
        <v>#N/A</v>
      </c>
      <c r="U93" s="296" t="e">
        <f t="shared" si="1"/>
        <v>#N/A</v>
      </c>
      <c r="V93" s="297" t="e">
        <f t="shared" si="2"/>
        <v>#N/A</v>
      </c>
      <c r="W93" s="297" t="e">
        <f t="shared" si="3"/>
        <v>#N/A</v>
      </c>
      <c r="X93" s="297" t="e">
        <f t="shared" si="4"/>
        <v>#N/A</v>
      </c>
      <c r="Y93" s="297" t="e">
        <f t="shared" si="5"/>
        <v>#N/A</v>
      </c>
      <c r="Z93" s="297" t="e">
        <f t="shared" si="6"/>
        <v>#N/A</v>
      </c>
      <c r="AA93" s="296" t="e">
        <f t="shared" si="7"/>
        <v>#N/A</v>
      </c>
    </row>
    <row r="94" spans="6:29" ht="14.4">
      <c r="S94" s="277">
        <f t="shared" si="9"/>
        <v>0</v>
      </c>
      <c r="T94" s="296" t="e">
        <f t="shared" si="0"/>
        <v>#N/A</v>
      </c>
      <c r="U94" s="296" t="e">
        <f t="shared" si="1"/>
        <v>#N/A</v>
      </c>
      <c r="V94" s="297" t="e">
        <f t="shared" si="2"/>
        <v>#N/A</v>
      </c>
      <c r="W94" s="297" t="e">
        <f t="shared" si="3"/>
        <v>#N/A</v>
      </c>
      <c r="X94" s="297" t="e">
        <f t="shared" si="4"/>
        <v>#N/A</v>
      </c>
      <c r="Y94" s="297" t="e">
        <f t="shared" si="5"/>
        <v>#N/A</v>
      </c>
      <c r="Z94" s="297" t="e">
        <f t="shared" si="6"/>
        <v>#N/A</v>
      </c>
      <c r="AA94" s="296" t="e">
        <f t="shared" si="7"/>
        <v>#N/A</v>
      </c>
    </row>
    <row r="95" spans="6:29" ht="14.4">
      <c r="S95" s="277">
        <f t="shared" si="9"/>
        <v>0</v>
      </c>
      <c r="T95" s="296" t="e">
        <f t="shared" si="0"/>
        <v>#N/A</v>
      </c>
      <c r="U95" s="296" t="e">
        <f t="shared" si="1"/>
        <v>#N/A</v>
      </c>
      <c r="V95" s="297" t="e">
        <f t="shared" si="2"/>
        <v>#N/A</v>
      </c>
      <c r="W95" s="297" t="e">
        <f t="shared" si="3"/>
        <v>#N/A</v>
      </c>
      <c r="X95" s="297" t="e">
        <f t="shared" si="4"/>
        <v>#N/A</v>
      </c>
      <c r="Y95" s="297" t="e">
        <f t="shared" si="5"/>
        <v>#N/A</v>
      </c>
      <c r="Z95" s="297" t="e">
        <f t="shared" si="6"/>
        <v>#N/A</v>
      </c>
      <c r="AA95" s="296" t="e">
        <f t="shared" si="7"/>
        <v>#N/A</v>
      </c>
    </row>
    <row r="96" spans="6:29" ht="14.4">
      <c r="S96" s="277">
        <f t="shared" si="9"/>
        <v>0</v>
      </c>
      <c r="T96" s="296" t="e">
        <f t="shared" si="0"/>
        <v>#N/A</v>
      </c>
      <c r="U96" s="296" t="e">
        <f t="shared" si="1"/>
        <v>#N/A</v>
      </c>
      <c r="V96" s="297" t="e">
        <f t="shared" si="2"/>
        <v>#N/A</v>
      </c>
      <c r="W96" s="297" t="e">
        <f t="shared" si="3"/>
        <v>#N/A</v>
      </c>
      <c r="X96" s="297" t="e">
        <f t="shared" si="4"/>
        <v>#N/A</v>
      </c>
      <c r="Y96" s="297" t="e">
        <f t="shared" si="5"/>
        <v>#N/A</v>
      </c>
      <c r="Z96" s="297" t="e">
        <f t="shared" si="6"/>
        <v>#N/A</v>
      </c>
      <c r="AA96" s="296" t="e">
        <f t="shared" si="7"/>
        <v>#N/A</v>
      </c>
    </row>
    <row r="97" spans="18:27" ht="14.4">
      <c r="S97" s="277">
        <f t="shared" si="9"/>
        <v>0</v>
      </c>
      <c r="T97" s="296" t="e">
        <f t="shared" si="0"/>
        <v>#N/A</v>
      </c>
      <c r="U97" s="296" t="e">
        <f t="shared" si="1"/>
        <v>#N/A</v>
      </c>
      <c r="V97" s="297" t="e">
        <f t="shared" si="2"/>
        <v>#N/A</v>
      </c>
      <c r="W97" s="297" t="e">
        <f t="shared" si="3"/>
        <v>#N/A</v>
      </c>
      <c r="X97" s="297" t="e">
        <f t="shared" si="4"/>
        <v>#N/A</v>
      </c>
      <c r="Y97" s="297" t="e">
        <f t="shared" si="5"/>
        <v>#N/A</v>
      </c>
      <c r="Z97" s="297" t="e">
        <f t="shared" si="6"/>
        <v>#N/A</v>
      </c>
      <c r="AA97" s="296" t="e">
        <f t="shared" si="7"/>
        <v>#N/A</v>
      </c>
    </row>
    <row r="98" spans="18:27" ht="14.4">
      <c r="S98" s="277">
        <f t="shared" si="9"/>
        <v>0</v>
      </c>
      <c r="T98" s="296" t="e">
        <f t="shared" si="0"/>
        <v>#N/A</v>
      </c>
      <c r="U98" s="296" t="e">
        <f t="shared" si="1"/>
        <v>#N/A</v>
      </c>
      <c r="V98" s="297" t="e">
        <f t="shared" si="2"/>
        <v>#N/A</v>
      </c>
      <c r="W98" s="297" t="e">
        <f t="shared" si="3"/>
        <v>#N/A</v>
      </c>
      <c r="X98" s="297" t="e">
        <f t="shared" si="4"/>
        <v>#N/A</v>
      </c>
      <c r="Y98" s="297" t="e">
        <f t="shared" si="5"/>
        <v>#N/A</v>
      </c>
      <c r="Z98" s="297" t="e">
        <f t="shared" si="6"/>
        <v>#N/A</v>
      </c>
      <c r="AA98" s="296" t="e">
        <f t="shared" si="7"/>
        <v>#N/A</v>
      </c>
    </row>
    <row r="99" spans="18:27" ht="14.4">
      <c r="S99" s="277">
        <f t="shared" si="9"/>
        <v>0</v>
      </c>
      <c r="T99" s="296" t="e">
        <f t="shared" si="0"/>
        <v>#N/A</v>
      </c>
      <c r="U99" s="296" t="e">
        <f t="shared" si="1"/>
        <v>#N/A</v>
      </c>
      <c r="V99" s="297" t="e">
        <f t="shared" si="2"/>
        <v>#N/A</v>
      </c>
      <c r="W99" s="297" t="e">
        <f t="shared" si="3"/>
        <v>#N/A</v>
      </c>
      <c r="X99" s="297" t="e">
        <f t="shared" si="4"/>
        <v>#N/A</v>
      </c>
      <c r="Y99" s="297" t="e">
        <f t="shared" si="5"/>
        <v>#N/A</v>
      </c>
      <c r="Z99" s="297" t="e">
        <f t="shared" si="6"/>
        <v>#N/A</v>
      </c>
      <c r="AA99" s="296" t="e">
        <f t="shared" si="7"/>
        <v>#N/A</v>
      </c>
    </row>
    <row r="100" spans="18:27" ht="14.4">
      <c r="S100" s="277">
        <f t="shared" si="9"/>
        <v>0</v>
      </c>
      <c r="T100" s="296" t="e">
        <f t="shared" si="0"/>
        <v>#N/A</v>
      </c>
      <c r="U100" s="296" t="e">
        <f t="shared" si="1"/>
        <v>#N/A</v>
      </c>
      <c r="V100" s="297" t="e">
        <f t="shared" si="2"/>
        <v>#N/A</v>
      </c>
      <c r="W100" s="297" t="e">
        <f t="shared" si="3"/>
        <v>#N/A</v>
      </c>
      <c r="X100" s="297" t="e">
        <f t="shared" si="4"/>
        <v>#N/A</v>
      </c>
      <c r="Y100" s="297" t="e">
        <f t="shared" si="5"/>
        <v>#N/A</v>
      </c>
      <c r="Z100" s="297" t="e">
        <f t="shared" si="6"/>
        <v>#N/A</v>
      </c>
      <c r="AA100" s="296" t="e">
        <f t="shared" si="7"/>
        <v>#N/A</v>
      </c>
    </row>
    <row r="101" spans="18:27" ht="14.4">
      <c r="S101" s="277">
        <f t="shared" si="9"/>
        <v>0</v>
      </c>
      <c r="T101" s="296" t="e">
        <f t="shared" si="0"/>
        <v>#N/A</v>
      </c>
      <c r="U101" s="296" t="e">
        <f t="shared" si="1"/>
        <v>#N/A</v>
      </c>
      <c r="V101" s="297" t="e">
        <f t="shared" si="2"/>
        <v>#N/A</v>
      </c>
      <c r="W101" s="297" t="e">
        <f t="shared" si="3"/>
        <v>#N/A</v>
      </c>
      <c r="X101" s="297" t="e">
        <f t="shared" si="4"/>
        <v>#N/A</v>
      </c>
      <c r="Y101" s="297" t="e">
        <f t="shared" si="5"/>
        <v>#N/A</v>
      </c>
      <c r="Z101" s="297" t="e">
        <f t="shared" si="6"/>
        <v>#N/A</v>
      </c>
      <c r="AA101" s="296" t="e">
        <f t="shared" si="7"/>
        <v>#N/A</v>
      </c>
    </row>
    <row r="102" spans="18:27" ht="14.4">
      <c r="S102" s="277">
        <f t="shared" si="9"/>
        <v>0</v>
      </c>
      <c r="T102" s="296" t="e">
        <f t="shared" si="0"/>
        <v>#N/A</v>
      </c>
      <c r="U102" s="296" t="e">
        <f t="shared" si="1"/>
        <v>#N/A</v>
      </c>
      <c r="V102" s="297" t="e">
        <f t="shared" si="2"/>
        <v>#N/A</v>
      </c>
      <c r="W102" s="297" t="e">
        <f t="shared" si="3"/>
        <v>#N/A</v>
      </c>
      <c r="X102" s="297" t="e">
        <f t="shared" si="4"/>
        <v>#N/A</v>
      </c>
      <c r="Y102" s="297" t="e">
        <f t="shared" si="5"/>
        <v>#N/A</v>
      </c>
      <c r="Z102" s="297" t="e">
        <f t="shared" si="6"/>
        <v>#N/A</v>
      </c>
      <c r="AA102" s="296" t="e">
        <f t="shared" si="7"/>
        <v>#N/A</v>
      </c>
    </row>
    <row r="103" spans="18:27" ht="14.4">
      <c r="R103" s="277"/>
      <c r="S103" s="296"/>
      <c r="T103" s="296"/>
      <c r="U103" s="297"/>
      <c r="V103" s="297"/>
      <c r="W103" s="297"/>
      <c r="X103" s="297"/>
      <c r="Y103" s="297"/>
      <c r="Z103" s="296"/>
    </row>
  </sheetData>
  <mergeCells count="52">
    <mergeCell ref="M4:N4"/>
    <mergeCell ref="S1:T1"/>
    <mergeCell ref="U1:V1"/>
    <mergeCell ref="W1:X1"/>
    <mergeCell ref="Y1:Z1"/>
    <mergeCell ref="B2:O2"/>
    <mergeCell ref="C5:D5"/>
    <mergeCell ref="B8:B9"/>
    <mergeCell ref="C8:C9"/>
    <mergeCell ref="D8:D9"/>
    <mergeCell ref="G8:G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Q8:Q9"/>
    <mergeCell ref="G58:G59"/>
    <mergeCell ref="H58:H59"/>
    <mergeCell ref="I58:I59"/>
    <mergeCell ref="J58:J59"/>
    <mergeCell ref="K58:K59"/>
    <mergeCell ref="L58:L59"/>
    <mergeCell ref="J43:K43"/>
    <mergeCell ref="L44:N44"/>
    <mergeCell ref="I8:I9"/>
    <mergeCell ref="J8:J9"/>
    <mergeCell ref="K8:K9"/>
    <mergeCell ref="L8:L9"/>
    <mergeCell ref="P8:P9"/>
    <mergeCell ref="H8:H9"/>
    <mergeCell ref="M58:M59"/>
    <mergeCell ref="B66:F66"/>
    <mergeCell ref="G66:J66"/>
    <mergeCell ref="K66:N66"/>
    <mergeCell ref="M8:M9"/>
    <mergeCell ref="D53:E53"/>
    <mergeCell ref="B58:B59"/>
    <mergeCell ref="C58:C59"/>
    <mergeCell ref="D58:D59"/>
    <mergeCell ref="E58:E59"/>
    <mergeCell ref="F58:F59"/>
    <mergeCell ref="B43:B52"/>
    <mergeCell ref="D43:E44"/>
    <mergeCell ref="D45:E46"/>
    <mergeCell ref="D47:E48"/>
    <mergeCell ref="D49:E50"/>
    <mergeCell ref="D51:E52"/>
  </mergeCells>
  <conditionalFormatting sqref="B53:B54">
    <cfRule type="cellIs" dxfId="1451" priority="146" operator="notBetween">
      <formula>#REF!</formula>
      <formula>#REF!</formula>
    </cfRule>
  </conditionalFormatting>
  <conditionalFormatting sqref="C57">
    <cfRule type="cellIs" dxfId="1450" priority="177" stopIfTrue="1" operator="lessThan">
      <formula>96</formula>
    </cfRule>
    <cfRule type="cellIs" dxfId="1449" priority="178" stopIfTrue="1" operator="greaterThan">
      <formula>100</formula>
    </cfRule>
  </conditionalFormatting>
  <conditionalFormatting sqref="C68">
    <cfRule type="cellIs" dxfId="1448" priority="105" stopIfTrue="1" operator="greaterThan">
      <formula>$F68</formula>
    </cfRule>
  </conditionalFormatting>
  <conditionalFormatting sqref="C68:C69">
    <cfRule type="cellIs" dxfId="1447" priority="106" stopIfTrue="1" operator="lessThanOrEqual">
      <formula>0</formula>
    </cfRule>
  </conditionalFormatting>
  <conditionalFormatting sqref="C69">
    <cfRule type="cellIs" dxfId="1446" priority="181" stopIfTrue="1" operator="greaterThan">
      <formula>$F68</formula>
    </cfRule>
  </conditionalFormatting>
  <conditionalFormatting sqref="C70:C72">
    <cfRule type="cellIs" dxfId="1445" priority="126" stopIfTrue="1" operator="greaterThan">
      <formula>$F70</formula>
    </cfRule>
  </conditionalFormatting>
  <conditionalFormatting sqref="C70:C73">
    <cfRule type="cellIs" dxfId="1444" priority="130" stopIfTrue="1" operator="lessThanOrEqual">
      <formula>0</formula>
    </cfRule>
  </conditionalFormatting>
  <conditionalFormatting sqref="C73">
    <cfRule type="cellIs" dxfId="1443" priority="129" stopIfTrue="1" operator="greaterThan">
      <formula>$J73</formula>
    </cfRule>
  </conditionalFormatting>
  <conditionalFormatting sqref="C79:C83">
    <cfRule type="cellIs" dxfId="1442" priority="169" stopIfTrue="1" operator="lessThanOrEqual">
      <formula>0</formula>
    </cfRule>
  </conditionalFormatting>
  <conditionalFormatting sqref="C80:C83">
    <cfRule type="cellIs" dxfId="1441" priority="168" stopIfTrue="1" operator="greaterThan">
      <formula>$F$79</formula>
    </cfRule>
  </conditionalFormatting>
  <conditionalFormatting sqref="C85">
    <cfRule type="cellIs" dxfId="1440" priority="170" stopIfTrue="1" operator="greaterThan">
      <formula>$F$79</formula>
    </cfRule>
    <cfRule type="cellIs" dxfId="1439" priority="171" stopIfTrue="1" operator="lessThanOrEqual">
      <formula>0</formula>
    </cfRule>
  </conditionalFormatting>
  <conditionalFormatting sqref="C79:D79 D81:D87">
    <cfRule type="cellIs" dxfId="1438" priority="163" stopIfTrue="1" operator="greaterThan">
      <formula>4.5</formula>
    </cfRule>
  </conditionalFormatting>
  <conditionalFormatting sqref="D53:D54">
    <cfRule type="cellIs" dxfId="1437" priority="147" operator="notBetween">
      <formula>#REF!</formula>
      <formula>#REF!</formula>
    </cfRule>
  </conditionalFormatting>
  <conditionalFormatting sqref="D68:D75">
    <cfRule type="cellIs" dxfId="1436" priority="140" stopIfTrue="1" operator="lessThanOrEqual">
      <formula>0</formula>
    </cfRule>
  </conditionalFormatting>
  <conditionalFormatting sqref="D76">
    <cfRule type="cellIs" dxfId="1435" priority="139" stopIfTrue="1" operator="lessThanOrEqual">
      <formula>0</formula>
    </cfRule>
  </conditionalFormatting>
  <conditionalFormatting sqref="D79 D81:D87">
    <cfRule type="cellIs" dxfId="1434" priority="164" stopIfTrue="1" operator="lessThanOrEqual">
      <formula>0</formula>
    </cfRule>
  </conditionalFormatting>
  <conditionalFormatting sqref="D80">
    <cfRule type="cellIs" dxfId="1433" priority="156" stopIfTrue="1" operator="lessThanOrEqual">
      <formula>0</formula>
    </cfRule>
    <cfRule type="cellIs" dxfId="1432" priority="155" stopIfTrue="1" operator="greaterThan">
      <formula>$F$79</formula>
    </cfRule>
  </conditionalFormatting>
  <conditionalFormatting sqref="D68:E77">
    <cfRule type="cellIs" dxfId="1431" priority="102" stopIfTrue="1" operator="greaterThan">
      <formula>$F68</formula>
    </cfRule>
  </conditionalFormatting>
  <conditionalFormatting sqref="D77:E77">
    <cfRule type="cellIs" dxfId="1430" priority="103" stopIfTrue="1" operator="lessThanOrEqual">
      <formula>0</formula>
    </cfRule>
  </conditionalFormatting>
  <conditionalFormatting sqref="E10:E28">
    <cfRule type="cellIs" dxfId="1429" priority="34" operator="lessThan">
      <formula>48</formula>
    </cfRule>
  </conditionalFormatting>
  <conditionalFormatting sqref="E57">
    <cfRule type="cellIs" dxfId="1428" priority="157" stopIfTrue="1" operator="lessThan">
      <formula>96.8</formula>
    </cfRule>
    <cfRule type="cellIs" dxfId="1427" priority="158" stopIfTrue="1" operator="greaterThan">
      <formula>100</formula>
    </cfRule>
  </conditionalFormatting>
  <conditionalFormatting sqref="E68:E76">
    <cfRule type="cellIs" dxfId="1426" priority="134" stopIfTrue="1" operator="lessThanOrEqual">
      <formula>0</formula>
    </cfRule>
  </conditionalFormatting>
  <conditionalFormatting sqref="E79:E87">
    <cfRule type="cellIs" dxfId="1425" priority="149" stopIfTrue="1" operator="greaterThan">
      <formula>4.5</formula>
    </cfRule>
    <cfRule type="cellIs" dxfId="1424" priority="150" stopIfTrue="1" operator="lessThanOrEqual">
      <formula>0</formula>
    </cfRule>
  </conditionalFormatting>
  <conditionalFormatting sqref="E56:F57">
    <cfRule type="cellIs" dxfId="1423" priority="160" stopIfTrue="1" operator="greaterThan">
      <formula>100</formula>
    </cfRule>
    <cfRule type="cellIs" dxfId="1422" priority="159" stopIfTrue="1" operator="lessThan">
      <formula>96.5</formula>
    </cfRule>
  </conditionalFormatting>
  <conditionalFormatting sqref="F10:F28">
    <cfRule type="cellIs" dxfId="1421" priority="36" operator="greaterThan">
      <formula>60</formula>
    </cfRule>
  </conditionalFormatting>
  <conditionalFormatting sqref="F57">
    <cfRule type="cellIs" dxfId="1420" priority="176" stopIfTrue="1" operator="greaterThan">
      <formula>100</formula>
    </cfRule>
    <cfRule type="cellIs" dxfId="1419" priority="175" stopIfTrue="1" operator="lessThan">
      <formula>96.8</formula>
    </cfRule>
  </conditionalFormatting>
  <conditionalFormatting sqref="F77">
    <cfRule type="cellIs" dxfId="1418" priority="135" stopIfTrue="1" operator="greaterThan">
      <formula>$F77</formula>
    </cfRule>
    <cfRule type="cellIs" dxfId="1417" priority="136" stopIfTrue="1" operator="lessThanOrEqual">
      <formula>0</formula>
    </cfRule>
  </conditionalFormatting>
  <conditionalFormatting sqref="G68:G69 C74:C76">
    <cfRule type="cellIs" dxfId="1416" priority="141" stopIfTrue="1" operator="greaterThan">
      <formula>$F68</formula>
    </cfRule>
    <cfRule type="cellIs" dxfId="1415" priority="142" stopIfTrue="1" operator="lessThanOrEqual">
      <formula>0</formula>
    </cfRule>
  </conditionalFormatting>
  <conditionalFormatting sqref="G68:G69">
    <cfRule type="cellIs" dxfId="1414" priority="107" stopIfTrue="1" operator="greaterThan">
      <formula>$F68</formula>
    </cfRule>
    <cfRule type="cellIs" dxfId="1413" priority="108" stopIfTrue="1" operator="lessThanOrEqual">
      <formula>0</formula>
    </cfRule>
  </conditionalFormatting>
  <conditionalFormatting sqref="G70">
    <cfRule type="cellIs" dxfId="1412" priority="179" stopIfTrue="1" operator="greaterThan">
      <formula>$F69</formula>
    </cfRule>
    <cfRule type="cellIs" dxfId="1411" priority="180" stopIfTrue="1" operator="lessThanOrEqual">
      <formula>0</formula>
    </cfRule>
  </conditionalFormatting>
  <conditionalFormatting sqref="G71">
    <cfRule type="cellIs" dxfId="1410" priority="138" stopIfTrue="1" operator="lessThanOrEqual">
      <formula>0</formula>
    </cfRule>
    <cfRule type="cellIs" dxfId="1409" priority="137" stopIfTrue="1" operator="greaterThan">
      <formula>$F71</formula>
    </cfRule>
  </conditionalFormatting>
  <conditionalFormatting sqref="G72:G76">
    <cfRule type="cellIs" dxfId="1408" priority="144" stopIfTrue="1" operator="lessThanOrEqual">
      <formula>0</formula>
    </cfRule>
    <cfRule type="cellIs" dxfId="1407" priority="143" stopIfTrue="1" operator="greaterThan">
      <formula>$J72</formula>
    </cfRule>
  </conditionalFormatting>
  <conditionalFormatting sqref="G81:G86 C84 C86">
    <cfRule type="cellIs" dxfId="1406" priority="172" stopIfTrue="1" operator="greaterThan">
      <formula>4.5</formula>
    </cfRule>
    <cfRule type="cellIs" dxfId="1405" priority="173" stopIfTrue="1" operator="lessThanOrEqual">
      <formula>0</formula>
    </cfRule>
  </conditionalFormatting>
  <conditionalFormatting sqref="G10:H28">
    <cfRule type="expression" dxfId="1404" priority="28">
      <formula>IF(+(IF(G10&lt;#REF!,0,IF(G10&gt;#REF!,0,1)))=0,1)</formula>
    </cfRule>
  </conditionalFormatting>
  <conditionalFormatting sqref="G80:H80">
    <cfRule type="cellIs" dxfId="1403" priority="153" stopIfTrue="1" operator="greaterThan">
      <formula>$F$79</formula>
    </cfRule>
    <cfRule type="cellIs" dxfId="1402" priority="154" stopIfTrue="1" operator="lessThanOrEqual">
      <formula>0</formula>
    </cfRule>
  </conditionalFormatting>
  <conditionalFormatting sqref="H42:H56 G43:G54">
    <cfRule type="cellIs" dxfId="1401" priority="151" stopIfTrue="1" operator="greaterThan">
      <formula>0</formula>
    </cfRule>
  </conditionalFormatting>
  <conditionalFormatting sqref="H60">
    <cfRule type="cellIs" dxfId="1400" priority="51" stopIfTrue="1" operator="lessThanOrEqual">
      <formula>0</formula>
    </cfRule>
    <cfRule type="cellIs" dxfId="1399" priority="50" stopIfTrue="1" operator="greaterThan">
      <formula>#REF!</formula>
    </cfRule>
    <cfRule type="cellIs" dxfId="1398" priority="40" stopIfTrue="1" operator="greaterThan">
      <formula>#REF!</formula>
    </cfRule>
    <cfRule type="cellIs" dxfId="1397" priority="39" stopIfTrue="1" operator="lessThanOrEqual">
      <formula>0</formula>
    </cfRule>
  </conditionalFormatting>
  <conditionalFormatting sqref="H61:H62">
    <cfRule type="cellIs" dxfId="1396" priority="76" stopIfTrue="1" operator="greaterThan">
      <formula>$F$41</formula>
    </cfRule>
    <cfRule type="cellIs" dxfId="1395" priority="84" stopIfTrue="1" operator="greaterThan">
      <formula>$F$44</formula>
    </cfRule>
    <cfRule type="cellIs" dxfId="1394" priority="85" stopIfTrue="1" operator="lessThanOrEqual">
      <formula>0</formula>
    </cfRule>
    <cfRule type="cellIs" dxfId="1393" priority="86" stopIfTrue="1" operator="greaterThan">
      <formula>$F$42</formula>
    </cfRule>
    <cfRule type="cellIs" dxfId="1392" priority="87" stopIfTrue="1" operator="lessThanOrEqual">
      <formula>0</formula>
    </cfRule>
    <cfRule type="cellIs" dxfId="1391" priority="61" stopIfTrue="1" operator="lessThanOrEqual">
      <formula>0</formula>
    </cfRule>
  </conditionalFormatting>
  <conditionalFormatting sqref="H63">
    <cfRule type="cellIs" dxfId="1390" priority="113" stopIfTrue="1" operator="lessThanOrEqual">
      <formula>0</formula>
    </cfRule>
    <cfRule type="cellIs" dxfId="1389" priority="123" stopIfTrue="1" operator="lessThanOrEqual">
      <formula>0</formula>
    </cfRule>
    <cfRule type="cellIs" dxfId="1388" priority="122" stopIfTrue="1" operator="greaterThan">
      <formula>$F$70</formula>
    </cfRule>
    <cfRule type="cellIs" dxfId="1387" priority="114" stopIfTrue="1" operator="greaterThan">
      <formula>$F$67</formula>
    </cfRule>
    <cfRule type="cellIs" dxfId="1386" priority="125" stopIfTrue="1" operator="lessThanOrEqual">
      <formula>0</formula>
    </cfRule>
    <cfRule type="cellIs" dxfId="1385" priority="124" stopIfTrue="1" operator="greaterThan">
      <formula>$F$68</formula>
    </cfRule>
  </conditionalFormatting>
  <conditionalFormatting sqref="H64">
    <cfRule type="cellIs" dxfId="1384" priority="63" stopIfTrue="1" operator="lessThanOrEqual">
      <formula>0</formula>
    </cfRule>
    <cfRule type="cellIs" dxfId="1383" priority="64" stopIfTrue="1" operator="greaterThan">
      <formula>$F$41</formula>
    </cfRule>
    <cfRule type="cellIs" dxfId="1382" priority="72" stopIfTrue="1" operator="greaterThan">
      <formula>$F$44</formula>
    </cfRule>
    <cfRule type="cellIs" dxfId="1381" priority="74" stopIfTrue="1" operator="greaterThan">
      <formula>$F$42</formula>
    </cfRule>
    <cfRule type="cellIs" dxfId="1380" priority="75" stopIfTrue="1" operator="lessThanOrEqual">
      <formula>0</formula>
    </cfRule>
    <cfRule type="cellIs" dxfId="1379" priority="73" stopIfTrue="1" operator="lessThanOrEqual">
      <formula>0</formula>
    </cfRule>
  </conditionalFormatting>
  <conditionalFormatting sqref="H68:H75">
    <cfRule type="cellIs" dxfId="1378" priority="128" stopIfTrue="1" operator="lessThanOrEqual">
      <formula>0</formula>
    </cfRule>
    <cfRule type="cellIs" dxfId="1377" priority="127" stopIfTrue="1" operator="greaterThan">
      <formula>$J68</formula>
    </cfRule>
  </conditionalFormatting>
  <conditionalFormatting sqref="H76">
    <cfRule type="cellIs" dxfId="1376" priority="131" operator="greaterThan">
      <formula>5.3</formula>
    </cfRule>
  </conditionalFormatting>
  <conditionalFormatting sqref="H79 H81:H87">
    <cfRule type="cellIs" dxfId="1375" priority="165" stopIfTrue="1" operator="greaterThan">
      <formula>4.5</formula>
    </cfRule>
    <cfRule type="cellIs" dxfId="1374" priority="166" stopIfTrue="1" operator="lessThanOrEqual">
      <formula>0</formula>
    </cfRule>
  </conditionalFormatting>
  <conditionalFormatting sqref="H60:I60">
    <cfRule type="cellIs" dxfId="1373" priority="47" stopIfTrue="1" operator="lessThanOrEqual">
      <formula>0</formula>
    </cfRule>
    <cfRule type="cellIs" dxfId="1372" priority="46" stopIfTrue="1" operator="greaterThan">
      <formula>#REF!</formula>
    </cfRule>
    <cfRule type="cellIs" dxfId="1371" priority="38" stopIfTrue="1" operator="greaterThan">
      <formula>#REF!</formula>
    </cfRule>
    <cfRule type="cellIs" dxfId="1370" priority="41" stopIfTrue="1" operator="lessThanOrEqual">
      <formula>0</formula>
    </cfRule>
  </conditionalFormatting>
  <conditionalFormatting sqref="H61:I62">
    <cfRule type="cellIs" dxfId="1369" priority="77" stopIfTrue="1" operator="lessThanOrEqual">
      <formula>0</formula>
    </cfRule>
    <cfRule type="cellIs" dxfId="1368" priority="60" stopIfTrue="1" operator="greaterThan">
      <formula>$F$43</formula>
    </cfRule>
  </conditionalFormatting>
  <conditionalFormatting sqref="H63:I63">
    <cfRule type="cellIs" dxfId="1367" priority="112" stopIfTrue="1" operator="greaterThan">
      <formula>$F$69</formula>
    </cfRule>
    <cfRule type="cellIs" dxfId="1366" priority="115" stopIfTrue="1" operator="lessThanOrEqual">
      <formula>0</formula>
    </cfRule>
  </conditionalFormatting>
  <conditionalFormatting sqref="H64:I64">
    <cfRule type="cellIs" dxfId="1365" priority="62" stopIfTrue="1" operator="greaterThan">
      <formula>$F$43</formula>
    </cfRule>
    <cfRule type="cellIs" dxfId="1364" priority="65" stopIfTrue="1" operator="lessThanOrEqual">
      <formula>0</formula>
    </cfRule>
  </conditionalFormatting>
  <conditionalFormatting sqref="H77:I77">
    <cfRule type="cellIs" dxfId="1363" priority="101" stopIfTrue="1" operator="lessThanOrEqual">
      <formula>0</formula>
    </cfRule>
    <cfRule type="cellIs" dxfId="1362" priority="100" stopIfTrue="1" operator="greaterThan">
      <formula>$J77</formula>
    </cfRule>
  </conditionalFormatting>
  <conditionalFormatting sqref="I60">
    <cfRule type="cellIs" dxfId="1361" priority="43" stopIfTrue="1" operator="lessThanOrEqual">
      <formula>0</formula>
    </cfRule>
    <cfRule type="cellIs" dxfId="1360" priority="44" stopIfTrue="1" operator="greaterThan">
      <formula>#REF!</formula>
    </cfRule>
    <cfRule type="cellIs" dxfId="1359" priority="45" stopIfTrue="1" operator="lessThanOrEqual">
      <formula>0</formula>
    </cfRule>
    <cfRule type="cellIs" dxfId="1358" priority="42" stopIfTrue="1" operator="greaterThan">
      <formula>#REF!</formula>
    </cfRule>
  </conditionalFormatting>
  <conditionalFormatting sqref="I61:I62">
    <cfRule type="cellIs" dxfId="1357" priority="79" stopIfTrue="1" operator="lessThanOrEqual">
      <formula>0</formula>
    </cfRule>
    <cfRule type="cellIs" dxfId="1356" priority="80" stopIfTrue="1" operator="greaterThan">
      <formula>$F$43</formula>
    </cfRule>
    <cfRule type="cellIs" dxfId="1355" priority="78" stopIfTrue="1" operator="greaterThan">
      <formula>$F$41</formula>
    </cfRule>
    <cfRule type="cellIs" dxfId="1354" priority="83" stopIfTrue="1" operator="lessThanOrEqual">
      <formula>0</formula>
    </cfRule>
    <cfRule type="cellIs" dxfId="1353" priority="82" stopIfTrue="1" operator="greaterThan">
      <formula>$F$41</formula>
    </cfRule>
    <cfRule type="cellIs" dxfId="1352" priority="81" stopIfTrue="1" operator="lessThanOrEqual">
      <formula>0</formula>
    </cfRule>
  </conditionalFormatting>
  <conditionalFormatting sqref="I63">
    <cfRule type="cellIs" dxfId="1351" priority="121" stopIfTrue="1" operator="lessThanOrEqual">
      <formula>0</formula>
    </cfRule>
    <cfRule type="cellIs" dxfId="1350" priority="120" stopIfTrue="1" operator="greaterThan">
      <formula>$F$67</formula>
    </cfRule>
    <cfRule type="cellIs" dxfId="1349" priority="119" stopIfTrue="1" operator="lessThanOrEqual">
      <formula>0</formula>
    </cfRule>
    <cfRule type="cellIs" dxfId="1348" priority="118" stopIfTrue="1" operator="greaterThan">
      <formula>$F$69</formula>
    </cfRule>
    <cfRule type="cellIs" dxfId="1347" priority="117" stopIfTrue="1" operator="lessThanOrEqual">
      <formula>0</formula>
    </cfRule>
    <cfRule type="cellIs" dxfId="1346" priority="116" stopIfTrue="1" operator="greaterThan">
      <formula>$F$67</formula>
    </cfRule>
  </conditionalFormatting>
  <conditionalFormatting sqref="I64">
    <cfRule type="cellIs" dxfId="1345" priority="69" stopIfTrue="1" operator="lessThanOrEqual">
      <formula>0</formula>
    </cfRule>
    <cfRule type="cellIs" dxfId="1344" priority="68" stopIfTrue="1" operator="greaterThan">
      <formula>$F$43</formula>
    </cfRule>
    <cfRule type="cellIs" dxfId="1343" priority="67" stopIfTrue="1" operator="lessThanOrEqual">
      <formula>0</formula>
    </cfRule>
    <cfRule type="cellIs" dxfId="1342" priority="66" stopIfTrue="1" operator="greaterThan">
      <formula>$F$41</formula>
    </cfRule>
    <cfRule type="cellIs" dxfId="1341" priority="71" stopIfTrue="1" operator="lessThanOrEqual">
      <formula>0</formula>
    </cfRule>
    <cfRule type="cellIs" dxfId="1340" priority="70" stopIfTrue="1" operator="greaterThan">
      <formula>$F$41</formula>
    </cfRule>
  </conditionalFormatting>
  <conditionalFormatting sqref="I68:I76">
    <cfRule type="cellIs" dxfId="1339" priority="133" stopIfTrue="1" operator="lessThanOrEqual">
      <formula>0</formula>
    </cfRule>
    <cfRule type="cellIs" dxfId="1338" priority="132" stopIfTrue="1" operator="greaterThan">
      <formula>$J68</formula>
    </cfRule>
  </conditionalFormatting>
  <conditionalFormatting sqref="I79:I87">
    <cfRule type="cellIs" dxfId="1337" priority="161" stopIfTrue="1" operator="greaterThan">
      <formula>4.5</formula>
    </cfRule>
    <cfRule type="cellIs" dxfId="1336" priority="162" stopIfTrue="1" operator="lessThanOrEqual">
      <formula>0</formula>
    </cfRule>
  </conditionalFormatting>
  <conditionalFormatting sqref="I10:K17 I18:J23 I24:I28">
    <cfRule type="cellIs" dxfId="1335" priority="59" operator="lessThan">
      <formula>97.9</formula>
    </cfRule>
  </conditionalFormatting>
  <conditionalFormatting sqref="J31:J33">
    <cfRule type="cellIs" dxfId="1334" priority="90" stopIfTrue="1" operator="lessThan">
      <formula>96.8</formula>
    </cfRule>
    <cfRule type="cellIs" dxfId="1333" priority="92" operator="lessThan">
      <formula>98</formula>
    </cfRule>
    <cfRule type="cellIs" dxfId="1332" priority="91" stopIfTrue="1" operator="greaterThan">
      <formula>100</formula>
    </cfRule>
  </conditionalFormatting>
  <conditionalFormatting sqref="J31:J35">
    <cfRule type="cellIs" dxfId="1331" priority="89" operator="lessThan">
      <formula>97.4</formula>
    </cfRule>
  </conditionalFormatting>
  <conditionalFormatting sqref="J36">
    <cfRule type="cellIs" dxfId="1330" priority="93" operator="lessThan">
      <formula>98</formula>
    </cfRule>
  </conditionalFormatting>
  <conditionalFormatting sqref="J37:J39">
    <cfRule type="cellIs" dxfId="1329" priority="95" stopIfTrue="1" operator="greaterThan">
      <formula>100</formula>
    </cfRule>
    <cfRule type="cellIs" dxfId="1328" priority="94" stopIfTrue="1" operator="lessThan">
      <formula>96.8</formula>
    </cfRule>
  </conditionalFormatting>
  <conditionalFormatting sqref="J37:J40">
    <cfRule type="cellIs" dxfId="1327" priority="96" operator="lessThan">
      <formula>98</formula>
    </cfRule>
  </conditionalFormatting>
  <conditionalFormatting sqref="J77">
    <cfRule type="cellIs" dxfId="1326" priority="98" stopIfTrue="1" operator="lessThanOrEqual">
      <formula>0</formula>
    </cfRule>
    <cfRule type="cellIs" dxfId="1325" priority="97" stopIfTrue="1" operator="greaterThan">
      <formula>$F77</formula>
    </cfRule>
  </conditionalFormatting>
  <conditionalFormatting sqref="K45:K54">
    <cfRule type="cellIs" dxfId="1324" priority="88" operator="notEqual">
      <formula>#REF!</formula>
    </cfRule>
  </conditionalFormatting>
  <conditionalFormatting sqref="K60:K64 K68:N71 L72:N72">
    <cfRule type="cellIs" dxfId="1323" priority="145" stopIfTrue="1" operator="lessThan">
      <formula>100%</formula>
    </cfRule>
  </conditionalFormatting>
  <conditionalFormatting sqref="K79:K84">
    <cfRule type="cellIs" dxfId="1322" priority="167" stopIfTrue="1" operator="lessThan">
      <formula>100%</formula>
    </cfRule>
  </conditionalFormatting>
  <conditionalFormatting sqref="K86:K87">
    <cfRule type="cellIs" dxfId="1321" priority="174" stopIfTrue="1" operator="lessThan">
      <formula>100%</formula>
    </cfRule>
  </conditionalFormatting>
  <conditionalFormatting sqref="K73:N77">
    <cfRule type="cellIs" dxfId="1320" priority="99" stopIfTrue="1" operator="lessThan">
      <formula>100%</formula>
    </cfRule>
  </conditionalFormatting>
  <conditionalFormatting sqref="L10:L17 K18:K23 J24:J28">
    <cfRule type="cellIs" dxfId="1319" priority="54" operator="greaterThan">
      <formula>6</formula>
    </cfRule>
    <cfRule type="cellIs" dxfId="1318" priority="58" operator="greaterThan">
      <formula>6.4</formula>
    </cfRule>
    <cfRule type="cellIs" dxfId="1317" priority="55" operator="lessThan">
      <formula>4</formula>
    </cfRule>
  </conditionalFormatting>
  <conditionalFormatting sqref="L31:M42">
    <cfRule type="cellIs" dxfId="1316" priority="104" operator="lessThan">
      <formula>98</formula>
    </cfRule>
  </conditionalFormatting>
  <conditionalFormatting sqref="L46:N46">
    <cfRule type="cellIs" dxfId="1315" priority="109" operator="notEqual">
      <formula>#REF!</formula>
    </cfRule>
  </conditionalFormatting>
  <conditionalFormatting sqref="L79:N87">
    <cfRule type="cellIs" dxfId="1314" priority="152" stopIfTrue="1" operator="lessThan">
      <formula>100%</formula>
    </cfRule>
  </conditionalFormatting>
  <conditionalFormatting sqref="M10:M17 L18:L23 K24:K28">
    <cfRule type="cellIs" dxfId="1313" priority="57" operator="greaterThan">
      <formula>65</formula>
    </cfRule>
    <cfRule type="cellIs" dxfId="1312" priority="56" operator="between">
      <formula>61</formula>
      <formula>65</formula>
    </cfRule>
  </conditionalFormatting>
  <conditionalFormatting sqref="M6:N6">
    <cfRule type="cellIs" dxfId="1311" priority="110" operator="greaterThanOrEqual">
      <formula>15</formula>
    </cfRule>
    <cfRule type="cellIs" dxfId="1310" priority="111" operator="greaterThanOrEqual">
      <formula>19</formula>
    </cfRule>
  </conditionalFormatting>
  <conditionalFormatting sqref="N10:N19 M18:M23 L24:M28">
    <cfRule type="expression" dxfId="1309" priority="53">
      <formula>IF(+(IF(L10&lt;T10,0,IF(L10&gt;U10,0,1)))=0,1)</formula>
    </cfRule>
  </conditionalFormatting>
  <conditionalFormatting sqref="O10:O19 N20:N28">
    <cfRule type="expression" dxfId="1308" priority="52">
      <formula>IF(+(IF(N10&lt;W10,0,IF(N10&gt;X10,0,1)))=0,1)</formula>
    </cfRule>
  </conditionalFormatting>
  <conditionalFormatting sqref="P6">
    <cfRule type="cellIs" dxfId="1307" priority="148" operator="greaterThanOrEqual">
      <formula>19</formula>
    </cfRule>
  </conditionalFormatting>
  <dataValidations disablePrompts="1" count="1">
    <dataValidation type="list" allowBlank="1" showInputMessage="1" showErrorMessage="1" sqref="R8" xr:uid="{C52C4634-E3B7-48B3-BC2B-6AC443A8B33A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DA48B-3B0E-4AD4-A4A6-1B3D64CA9DB5}">
  <sheetPr>
    <pageSetUpPr fitToPage="1"/>
  </sheetPr>
  <dimension ref="A1:BE81"/>
  <sheetViews>
    <sheetView topLeftCell="A34" zoomScale="80" zoomScaleNormal="80" workbookViewId="0">
      <selection activeCell="G51" sqref="G51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109375" style="275" customWidth="1"/>
    <col min="9" max="9" width="26.109375" style="275" customWidth="1"/>
    <col min="10" max="10" width="31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26.66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45764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189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4" t="s">
        <v>12</v>
      </c>
      <c r="C10" s="366" t="str">
        <f>[22]Brewhouse!$A38</f>
        <v>GU032</v>
      </c>
      <c r="D10" s="279">
        <f>[22]Brewhouse!$AF38</f>
        <v>58.4</v>
      </c>
      <c r="E10" s="279">
        <f>[22]Brewhouse!$AI38</f>
        <v>52.9</v>
      </c>
      <c r="F10" s="278">
        <f>[22]Brewhouse!$V38</f>
        <v>71</v>
      </c>
      <c r="G10" s="279">
        <f>[22]Brewhouse!$AG38</f>
        <v>17.3</v>
      </c>
      <c r="H10" s="396"/>
      <c r="I10" s="434">
        <f>[22]Brewhouse!$AU38</f>
        <v>96.902724932547827</v>
      </c>
      <c r="J10" s="434">
        <f>[22]Brewhouse!$AV38</f>
        <v>97.90416166466585</v>
      </c>
      <c r="K10" s="398">
        <f>[22]Brewhouse!$R38</f>
        <v>5.5112651646447128</v>
      </c>
      <c r="L10" s="276">
        <f>[22]Brewhouse!$O38</f>
        <v>59</v>
      </c>
      <c r="M10" s="374">
        <f>[22]Brewhouse!$U38-[22]Brewhouse!$T38</f>
        <v>0.12361111111111112</v>
      </c>
      <c r="N10" s="370">
        <f>[22]Brewhouse!$Z38</f>
        <v>0.27152777777777776</v>
      </c>
      <c r="O10" s="435" t="str">
        <f>[22]Brewhouse!$AW38</f>
        <v>K. Benjamin</v>
      </c>
      <c r="P10" s="443"/>
      <c r="R10" s="277" t="str">
        <f>B10</f>
        <v>GUINNESS</v>
      </c>
      <c r="S10" s="296">
        <f t="shared" ref="S10:S29" si="0">VLOOKUP($B10,$R$3:$X$9,2,FALSE)</f>
        <v>17</v>
      </c>
      <c r="T10" s="296">
        <f t="shared" ref="T10:T29" si="1">VLOOKUP($B10,$R$3:$X$9,3,FALSE)</f>
        <v>17.5</v>
      </c>
      <c r="U10" s="297">
        <f t="shared" ref="U10:U29" si="2">VLOOKUP($B10,$R$3:$X$9,4,FALSE)</f>
        <v>0</v>
      </c>
      <c r="V10" s="297">
        <f t="shared" ref="V10:V29" si="3">VLOOKUP($B10,$R$3:$X$9,5,FALSE)</f>
        <v>0.1076388888888889</v>
      </c>
      <c r="W10" s="297">
        <f t="shared" ref="W10:W29" si="4">VLOOKUP($B10,$R$3:$X$9,6,FALSE)</f>
        <v>0.24652777777777779</v>
      </c>
      <c r="X10" s="297">
        <f t="shared" ref="X10:X29" si="5">VLOOKUP($B10,$R$3:$X$9,7,FALSE)</f>
        <v>0.28472222222222221</v>
      </c>
      <c r="Y10" s="297">
        <f t="shared" ref="Y10:Y29" si="6">VLOOKUP($B10,$R$3:$Z$9,8,FALSE)</f>
        <v>0</v>
      </c>
      <c r="Z10" s="296">
        <f t="shared" ref="Z10:Z29" si="7">VLOOKUP($B10,$R$3:$Z$9,9,FALSE)</f>
        <v>60</v>
      </c>
    </row>
    <row r="11" spans="2:29" ht="15.75" customHeight="1">
      <c r="B11" s="34" t="s">
        <v>12</v>
      </c>
      <c r="C11" s="366" t="str">
        <f>[22]Brewhouse!$A39</f>
        <v>GU033</v>
      </c>
      <c r="D11" s="279">
        <f>[22]Brewhouse!$AF39</f>
        <v>58.6</v>
      </c>
      <c r="E11" s="279">
        <f>[22]Brewhouse!$AI39</f>
        <v>53.6</v>
      </c>
      <c r="F11" s="278">
        <f>[22]Brewhouse!$V39</f>
        <v>64</v>
      </c>
      <c r="G11" s="279">
        <f>[22]Brewhouse!$AG39</f>
        <v>17</v>
      </c>
      <c r="H11" s="396"/>
      <c r="I11" s="434">
        <f>[22]Brewhouse!$AU39</f>
        <v>96.477419827020157</v>
      </c>
      <c r="J11" s="434">
        <f>[22]Brewhouse!$AV39</f>
        <v>97.474074445168071</v>
      </c>
      <c r="K11" s="398">
        <f>[22]Brewhouse!$R39</f>
        <v>2.67343485617597</v>
      </c>
      <c r="L11" s="276">
        <f>[22]Brewhouse!$O39</f>
        <v>61</v>
      </c>
      <c r="M11" s="374">
        <f>[22]Brewhouse!$U39-[22]Brewhouse!$T39</f>
        <v>0.11388888888888893</v>
      </c>
      <c r="N11" s="370">
        <f>[22]Brewhouse!$Z39</f>
        <v>0.2590277777777778</v>
      </c>
      <c r="O11" s="435" t="str">
        <f>[22]Brewhouse!$AW39</f>
        <v>R. Regis</v>
      </c>
      <c r="P11" s="443"/>
      <c r="R11" s="277" t="str">
        <f t="shared" ref="R11:R29" si="8">B11</f>
        <v>GUINNESS</v>
      </c>
      <c r="S11" s="296">
        <f t="shared" si="0"/>
        <v>17</v>
      </c>
      <c r="T11" s="296">
        <f t="shared" si="1"/>
        <v>17.5</v>
      </c>
      <c r="U11" s="297">
        <f t="shared" si="2"/>
        <v>0</v>
      </c>
      <c r="V11" s="297">
        <f t="shared" si="3"/>
        <v>0.1076388888888889</v>
      </c>
      <c r="W11" s="297">
        <f t="shared" si="4"/>
        <v>0.24652777777777779</v>
      </c>
      <c r="X11" s="297">
        <f t="shared" si="5"/>
        <v>0.28472222222222221</v>
      </c>
      <c r="Y11" s="297">
        <f t="shared" si="6"/>
        <v>0</v>
      </c>
      <c r="Z11" s="296">
        <f t="shared" si="7"/>
        <v>60</v>
      </c>
    </row>
    <row r="12" spans="2:29" ht="15.75" customHeight="1">
      <c r="B12" s="34" t="s">
        <v>12</v>
      </c>
      <c r="C12" s="366" t="str">
        <f>[22]Brewhouse!$A40</f>
        <v>GU034</v>
      </c>
      <c r="D12" s="279">
        <f>[22]Brewhouse!$AF40</f>
        <v>58.7</v>
      </c>
      <c r="E12" s="279">
        <f>[22]Brewhouse!$AI40</f>
        <v>53.7</v>
      </c>
      <c r="F12" s="278">
        <f>[22]Brewhouse!$V40</f>
        <v>64</v>
      </c>
      <c r="G12" s="279">
        <f>[22]Brewhouse!$AG40</f>
        <v>17.2</v>
      </c>
      <c r="H12" s="396"/>
      <c r="I12" s="434">
        <f>[22]Brewhouse!$AU40</f>
        <v>97.958535684216713</v>
      </c>
      <c r="J12" s="434">
        <f>[22]Brewhouse!$AV40</f>
        <v>98.970294051289756</v>
      </c>
      <c r="K12" s="398">
        <f>[22]Brewhouse!$R40</f>
        <v>2.3793103448275783</v>
      </c>
      <c r="L12" s="276">
        <f>[22]Brewhouse!$O40</f>
        <v>58</v>
      </c>
      <c r="M12" s="374">
        <f>[22]Brewhouse!$U40-[22]Brewhouse!$T40</f>
        <v>0.11319444444444438</v>
      </c>
      <c r="N12" s="370">
        <f>[22]Brewhouse!$Z40</f>
        <v>0.24791666666666667</v>
      </c>
      <c r="O12" s="435" t="str">
        <f>[22]Brewhouse!$AW40</f>
        <v>R. Regis</v>
      </c>
      <c r="P12" s="443"/>
      <c r="R12" s="277" t="str">
        <f t="shared" si="8"/>
        <v>GUINNESS</v>
      </c>
      <c r="S12" s="296">
        <f t="shared" si="0"/>
        <v>17</v>
      </c>
      <c r="T12" s="296">
        <f t="shared" si="1"/>
        <v>17.5</v>
      </c>
      <c r="U12" s="297">
        <f t="shared" si="2"/>
        <v>0</v>
      </c>
      <c r="V12" s="297">
        <f t="shared" si="3"/>
        <v>0.1076388888888889</v>
      </c>
      <c r="W12" s="297">
        <f t="shared" si="4"/>
        <v>0.24652777777777779</v>
      </c>
      <c r="X12" s="297">
        <f t="shared" si="5"/>
        <v>0.28472222222222221</v>
      </c>
      <c r="Y12" s="297">
        <f t="shared" si="6"/>
        <v>0</v>
      </c>
      <c r="Z12" s="296">
        <f t="shared" si="7"/>
        <v>60</v>
      </c>
    </row>
    <row r="13" spans="2:29" ht="15.75" customHeight="1">
      <c r="B13" s="34" t="s">
        <v>12</v>
      </c>
      <c r="C13" s="366" t="str">
        <f>[22]Brewhouse!$A41</f>
        <v>GU035</v>
      </c>
      <c r="D13" s="279">
        <f>[22]Brewhouse!$AF41</f>
        <v>59.3</v>
      </c>
      <c r="E13" s="279">
        <f>[22]Brewhouse!$AI41</f>
        <v>54.3</v>
      </c>
      <c r="F13" s="278">
        <f>[22]Brewhouse!$V41</f>
        <v>69</v>
      </c>
      <c r="G13" s="279">
        <f>[22]Brewhouse!$AG41</f>
        <v>17.100000000000001</v>
      </c>
      <c r="H13" s="396"/>
      <c r="I13" s="434">
        <f>[22]Brewhouse!$AU41</f>
        <v>98.383583724984007</v>
      </c>
      <c r="J13" s="434">
        <f>[22]Brewhouse!$AV41</f>
        <v>99.399929863233311</v>
      </c>
      <c r="K13" s="398">
        <f>[22]Brewhouse!$R41</f>
        <v>2.3793103448275783</v>
      </c>
      <c r="L13" s="276">
        <f>[22]Brewhouse!$O41</f>
        <v>59</v>
      </c>
      <c r="M13" s="374">
        <f>[22]Brewhouse!$U41-[22]Brewhouse!$T41</f>
        <v>0.12152777777777779</v>
      </c>
      <c r="N13" s="370">
        <f>[22]Brewhouse!$Z41</f>
        <v>0.27916666666666667</v>
      </c>
      <c r="O13" s="435" t="str">
        <f>[22]Brewhouse!$AW41</f>
        <v>R. Regis</v>
      </c>
      <c r="P13" s="443"/>
      <c r="R13" s="277" t="str">
        <f t="shared" si="8"/>
        <v>GUINNESS</v>
      </c>
      <c r="S13" s="296">
        <f t="shared" si="0"/>
        <v>17</v>
      </c>
      <c r="T13" s="296">
        <f t="shared" si="1"/>
        <v>17.5</v>
      </c>
      <c r="U13" s="297">
        <f t="shared" si="2"/>
        <v>0</v>
      </c>
      <c r="V13" s="297">
        <f t="shared" si="3"/>
        <v>0.1076388888888889</v>
      </c>
      <c r="W13" s="297">
        <f t="shared" si="4"/>
        <v>0.24652777777777779</v>
      </c>
      <c r="X13" s="297">
        <f t="shared" si="5"/>
        <v>0.28472222222222221</v>
      </c>
      <c r="Y13" s="297">
        <f t="shared" si="6"/>
        <v>0</v>
      </c>
      <c r="Z13" s="296">
        <f t="shared" si="7"/>
        <v>60</v>
      </c>
    </row>
    <row r="14" spans="2:29" ht="15.75" customHeight="1">
      <c r="B14" s="34" t="s">
        <v>12</v>
      </c>
      <c r="C14" s="366" t="str">
        <f>[22]Brewhouse!$A42</f>
        <v>GU036</v>
      </c>
      <c r="D14" s="279">
        <f>[22]Brewhouse!$AF42</f>
        <v>62.7</v>
      </c>
      <c r="E14" s="279">
        <f>[22]Brewhouse!$AI42</f>
        <v>57.8</v>
      </c>
      <c r="F14" s="278">
        <f>[22]Brewhouse!$V42</f>
        <v>83</v>
      </c>
      <c r="G14" s="279">
        <f>[22]Brewhouse!$AG42</f>
        <v>15.9</v>
      </c>
      <c r="H14" s="396"/>
      <c r="I14" s="434">
        <f>[22]Brewhouse!$AU42</f>
        <v>96.793336074199303</v>
      </c>
      <c r="J14" s="434">
        <f>[22]Brewhouse!$AV42</f>
        <v>97.948910781880599</v>
      </c>
      <c r="K14" s="398">
        <f>[22]Brewhouse!$R42</f>
        <v>-2.5088339222614873</v>
      </c>
      <c r="L14" s="276">
        <f>[22]Brewhouse!$O42</f>
        <v>58</v>
      </c>
      <c r="M14" s="374">
        <f>[22]Brewhouse!$U42-[22]Brewhouse!$T42</f>
        <v>0.12777777777777777</v>
      </c>
      <c r="N14" s="370">
        <f>[22]Brewhouse!$Z42</f>
        <v>0.26111111111111107</v>
      </c>
      <c r="O14" s="435" t="str">
        <f>[22]Brewhouse!$AW42</f>
        <v>R. Regis</v>
      </c>
      <c r="P14" s="443"/>
      <c r="R14" s="277" t="str">
        <f t="shared" si="8"/>
        <v>GUINNESS</v>
      </c>
      <c r="S14" s="296">
        <f t="shared" si="0"/>
        <v>17</v>
      </c>
      <c r="T14" s="296">
        <f t="shared" si="1"/>
        <v>17.5</v>
      </c>
      <c r="U14" s="297">
        <f t="shared" si="2"/>
        <v>0</v>
      </c>
      <c r="V14" s="297">
        <f t="shared" si="3"/>
        <v>0.1076388888888889</v>
      </c>
      <c r="W14" s="297">
        <f t="shared" si="4"/>
        <v>0.24652777777777779</v>
      </c>
      <c r="X14" s="297">
        <f t="shared" si="5"/>
        <v>0.28472222222222221</v>
      </c>
      <c r="Y14" s="297">
        <f t="shared" si="6"/>
        <v>0</v>
      </c>
      <c r="Z14" s="296">
        <f t="shared" si="7"/>
        <v>60</v>
      </c>
    </row>
    <row r="15" spans="2:29" ht="15.75" customHeight="1">
      <c r="B15" s="34" t="s">
        <v>12</v>
      </c>
      <c r="C15" s="366" t="str">
        <f>[22]Brewhouse!$A43</f>
        <v>GU037</v>
      </c>
      <c r="D15" s="279">
        <f>[22]Brewhouse!$AF43</f>
        <v>57.9</v>
      </c>
      <c r="E15" s="279">
        <f>[22]Brewhouse!$AI43</f>
        <v>52.9</v>
      </c>
      <c r="F15" s="278">
        <f>[22]Brewhouse!$V43</f>
        <v>66</v>
      </c>
      <c r="G15" s="279">
        <f>[22]Brewhouse!$AG43</f>
        <v>17.8</v>
      </c>
      <c r="H15" s="396"/>
      <c r="I15" s="434">
        <f>[22]Brewhouse!$AU43</f>
        <v>99.803737147936374</v>
      </c>
      <c r="J15" s="434">
        <f>[22]Brewhouse!$AV43</f>
        <v>101.15594996365094</v>
      </c>
      <c r="K15" s="398">
        <f>[22]Brewhouse!$R43</f>
        <v>2.8717948717948714</v>
      </c>
      <c r="L15" s="276">
        <f>[22]Brewhouse!$O43</f>
        <v>56</v>
      </c>
      <c r="M15" s="374">
        <f>[22]Brewhouse!$U43-[22]Brewhouse!$T43</f>
        <v>0.13194444444444464</v>
      </c>
      <c r="N15" s="370">
        <f>[22]Brewhouse!$Z43</f>
        <v>0.27430555555555569</v>
      </c>
      <c r="O15" s="435" t="str">
        <f>[22]Brewhouse!$AW43</f>
        <v>G. Mason</v>
      </c>
      <c r="P15" s="443"/>
      <c r="R15" s="277" t="str">
        <f t="shared" si="8"/>
        <v>GUINNESS</v>
      </c>
      <c r="S15" s="296">
        <f t="shared" si="0"/>
        <v>17</v>
      </c>
      <c r="T15" s="296">
        <f t="shared" si="1"/>
        <v>17.5</v>
      </c>
      <c r="U15" s="297">
        <f t="shared" si="2"/>
        <v>0</v>
      </c>
      <c r="V15" s="297">
        <f t="shared" si="3"/>
        <v>0.1076388888888889</v>
      </c>
      <c r="W15" s="297">
        <f t="shared" si="4"/>
        <v>0.24652777777777779</v>
      </c>
      <c r="X15" s="297">
        <f t="shared" si="5"/>
        <v>0.28472222222222221</v>
      </c>
      <c r="Y15" s="297">
        <f t="shared" si="6"/>
        <v>0</v>
      </c>
      <c r="Z15" s="296">
        <f t="shared" si="7"/>
        <v>60</v>
      </c>
    </row>
    <row r="16" spans="2:29" ht="15.75" customHeight="1">
      <c r="B16" s="34"/>
      <c r="C16" s="366"/>
      <c r="D16" s="279"/>
      <c r="E16" s="279"/>
      <c r="F16" s="278"/>
      <c r="G16" s="279"/>
      <c r="H16" s="279"/>
      <c r="I16" s="368"/>
      <c r="J16" s="368"/>
      <c r="K16" s="281"/>
      <c r="L16" s="276"/>
      <c r="M16" s="397"/>
      <c r="N16" s="370"/>
      <c r="O16" s="371"/>
      <c r="P16" s="443"/>
      <c r="R16" s="277">
        <f t="shared" si="8"/>
        <v>0</v>
      </c>
      <c r="S16" s="296" t="e">
        <f t="shared" si="0"/>
        <v>#N/A</v>
      </c>
      <c r="T16" s="296" t="e">
        <f t="shared" si="1"/>
        <v>#N/A</v>
      </c>
      <c r="U16" s="297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6" t="e">
        <f t="shared" si="7"/>
        <v>#N/A</v>
      </c>
    </row>
    <row r="17" spans="1:26" ht="15.75" customHeight="1">
      <c r="B17" s="34"/>
      <c r="C17" s="366"/>
      <c r="D17" s="279"/>
      <c r="E17" s="279"/>
      <c r="F17" s="278"/>
      <c r="G17" s="279"/>
      <c r="H17" s="279"/>
      <c r="I17" s="368"/>
      <c r="J17" s="368"/>
      <c r="K17" s="281"/>
      <c r="L17" s="276"/>
      <c r="M17" s="397"/>
      <c r="N17" s="370"/>
      <c r="O17" s="371"/>
      <c r="P17" s="443"/>
      <c r="R17" s="277">
        <f t="shared" si="8"/>
        <v>0</v>
      </c>
      <c r="S17" s="296" t="e">
        <f t="shared" si="0"/>
        <v>#N/A</v>
      </c>
      <c r="T17" s="296" t="e">
        <f t="shared" si="1"/>
        <v>#N/A</v>
      </c>
      <c r="U17" s="297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6" t="e">
        <f t="shared" si="7"/>
        <v>#N/A</v>
      </c>
    </row>
    <row r="18" spans="1:26" ht="15.75" customHeight="1">
      <c r="B18" s="34"/>
      <c r="C18" s="366"/>
      <c r="D18" s="279"/>
      <c r="E18" s="279"/>
      <c r="F18" s="278"/>
      <c r="G18" s="279"/>
      <c r="H18" s="279"/>
      <c r="I18" s="368"/>
      <c r="J18" s="368"/>
      <c r="K18" s="281"/>
      <c r="L18" s="276"/>
      <c r="M18" s="397"/>
      <c r="N18" s="370"/>
      <c r="O18" s="371"/>
      <c r="P18" s="443"/>
      <c r="R18" s="277">
        <f t="shared" si="8"/>
        <v>0</v>
      </c>
      <c r="S18" s="296" t="e">
        <f t="shared" si="0"/>
        <v>#N/A</v>
      </c>
      <c r="T18" s="296" t="e">
        <f t="shared" si="1"/>
        <v>#N/A</v>
      </c>
      <c r="U18" s="297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6" t="e">
        <f t="shared" si="7"/>
        <v>#N/A</v>
      </c>
    </row>
    <row r="19" spans="1:26" ht="15.75" customHeight="1">
      <c r="B19" s="29"/>
      <c r="C19" s="366"/>
      <c r="D19" s="279"/>
      <c r="E19" s="279"/>
      <c r="F19" s="278"/>
      <c r="G19" s="279"/>
      <c r="H19" s="279"/>
      <c r="I19" s="368"/>
      <c r="J19" s="281"/>
      <c r="K19" s="444"/>
      <c r="L19" s="397"/>
      <c r="M19" s="397"/>
      <c r="N19" s="370"/>
      <c r="O19" s="443"/>
      <c r="P19" s="443"/>
      <c r="R19" s="277">
        <f t="shared" si="8"/>
        <v>0</v>
      </c>
      <c r="S19" s="296" t="e">
        <f t="shared" si="0"/>
        <v>#N/A</v>
      </c>
      <c r="T19" s="296" t="e">
        <f t="shared" si="1"/>
        <v>#N/A</v>
      </c>
      <c r="U19" s="297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6" t="e">
        <f t="shared" si="7"/>
        <v>#N/A</v>
      </c>
    </row>
    <row r="20" spans="1:26" ht="15.75" hidden="1" customHeight="1">
      <c r="B20" s="29"/>
      <c r="C20" s="366"/>
      <c r="D20" s="279"/>
      <c r="E20" s="279"/>
      <c r="F20" s="278"/>
      <c r="G20" s="279"/>
      <c r="H20" s="279"/>
      <c r="I20" s="368"/>
      <c r="J20" s="368"/>
      <c r="K20" s="281"/>
      <c r="L20" s="444"/>
      <c r="M20" s="397"/>
      <c r="N20" s="370"/>
      <c r="O20" s="371"/>
      <c r="P20" s="443"/>
      <c r="R20" s="277">
        <f t="shared" si="8"/>
        <v>0</v>
      </c>
      <c r="S20" s="296" t="e">
        <f t="shared" si="0"/>
        <v>#N/A</v>
      </c>
      <c r="T20" s="296" t="e">
        <f t="shared" si="1"/>
        <v>#N/A</v>
      </c>
      <c r="U20" s="297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6" t="e">
        <f t="shared" si="7"/>
        <v>#N/A</v>
      </c>
    </row>
    <row r="21" spans="1:26" ht="15.75" hidden="1" customHeight="1">
      <c r="B21" s="29"/>
      <c r="C21" s="366"/>
      <c r="D21" s="279"/>
      <c r="E21" s="279"/>
      <c r="F21" s="278"/>
      <c r="G21" s="279"/>
      <c r="H21" s="279"/>
      <c r="I21" s="368"/>
      <c r="J21" s="368"/>
      <c r="K21" s="281"/>
      <c r="L21" s="444"/>
      <c r="M21" s="397"/>
      <c r="N21" s="370"/>
      <c r="O21" s="371"/>
      <c r="P21" s="443"/>
      <c r="R21" s="277">
        <f t="shared" si="8"/>
        <v>0</v>
      </c>
      <c r="S21" s="296" t="e">
        <f t="shared" si="0"/>
        <v>#N/A</v>
      </c>
      <c r="T21" s="296" t="e">
        <f t="shared" si="1"/>
        <v>#N/A</v>
      </c>
      <c r="U21" s="297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6" t="e">
        <f t="shared" si="7"/>
        <v>#N/A</v>
      </c>
    </row>
    <row r="22" spans="1:26" ht="15.75" hidden="1" customHeight="1">
      <c r="B22" s="29"/>
      <c r="C22" s="366"/>
      <c r="D22" s="279"/>
      <c r="E22" s="279"/>
      <c r="F22" s="278"/>
      <c r="G22" s="279"/>
      <c r="H22" s="279"/>
      <c r="I22" s="368"/>
      <c r="J22" s="368"/>
      <c r="K22" s="281"/>
      <c r="L22" s="444"/>
      <c r="M22" s="397"/>
      <c r="N22" s="370"/>
      <c r="O22" s="371"/>
      <c r="P22" s="443"/>
      <c r="R22" s="277">
        <f t="shared" si="8"/>
        <v>0</v>
      </c>
      <c r="S22" s="296" t="e">
        <f t="shared" si="0"/>
        <v>#N/A</v>
      </c>
      <c r="T22" s="296" t="e">
        <f t="shared" si="1"/>
        <v>#N/A</v>
      </c>
      <c r="U22" s="297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6" t="e">
        <f t="shared" si="7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279"/>
      <c r="I23" s="368"/>
      <c r="J23" s="368"/>
      <c r="K23" s="281"/>
      <c r="L23" s="444"/>
      <c r="M23" s="397"/>
      <c r="N23" s="370"/>
      <c r="O23" s="371"/>
      <c r="P23" s="443"/>
      <c r="R23" s="277">
        <f t="shared" si="8"/>
        <v>0</v>
      </c>
      <c r="S23" s="296" t="e">
        <f t="shared" si="0"/>
        <v>#N/A</v>
      </c>
      <c r="T23" s="296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6" t="e">
        <f t="shared" si="7"/>
        <v>#N/A</v>
      </c>
    </row>
    <row r="24" spans="1:26" ht="15.75" hidden="1" customHeight="1">
      <c r="B24" s="33"/>
      <c r="C24" s="366"/>
      <c r="D24" s="279"/>
      <c r="E24" s="279"/>
      <c r="F24" s="278"/>
      <c r="G24" s="279"/>
      <c r="H24" s="279"/>
      <c r="I24" s="434"/>
      <c r="J24" s="398"/>
      <c r="K24" s="276"/>
      <c r="L24" s="374"/>
      <c r="M24" s="397"/>
      <c r="N24" s="370"/>
      <c r="O24" s="371"/>
      <c r="P24" s="443"/>
      <c r="R24" s="277">
        <f t="shared" si="8"/>
        <v>0</v>
      </c>
      <c r="S24" s="296" t="e">
        <f t="shared" si="0"/>
        <v>#N/A</v>
      </c>
      <c r="T24" s="296" t="e">
        <f t="shared" si="1"/>
        <v>#N/A</v>
      </c>
      <c r="U24" s="297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6" t="e">
        <f t="shared" si="7"/>
        <v>#N/A</v>
      </c>
    </row>
    <row r="25" spans="1:26" ht="15.75" hidden="1" customHeight="1">
      <c r="B25" s="33"/>
      <c r="C25" s="366"/>
      <c r="D25" s="279"/>
      <c r="E25" s="279"/>
      <c r="F25" s="278"/>
      <c r="G25" s="279"/>
      <c r="H25" s="279"/>
      <c r="I25" s="434"/>
      <c r="J25" s="398"/>
      <c r="K25" s="276"/>
      <c r="L25" s="374"/>
      <c r="M25" s="397"/>
      <c r="N25" s="370"/>
      <c r="O25" s="371"/>
      <c r="P25" s="443"/>
      <c r="R25" s="277">
        <f t="shared" si="8"/>
        <v>0</v>
      </c>
      <c r="S25" s="296" t="e">
        <f t="shared" si="0"/>
        <v>#N/A</v>
      </c>
      <c r="T25" s="296" t="e">
        <f t="shared" si="1"/>
        <v>#N/A</v>
      </c>
      <c r="U25" s="297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6" t="e">
        <f t="shared" si="7"/>
        <v>#N/A</v>
      </c>
    </row>
    <row r="26" spans="1:26" ht="15.75" hidden="1" customHeight="1">
      <c r="B26" s="33"/>
      <c r="C26" s="366"/>
      <c r="D26" s="279"/>
      <c r="E26" s="279"/>
      <c r="F26" s="278"/>
      <c r="G26" s="279"/>
      <c r="H26" s="279"/>
      <c r="I26" s="434"/>
      <c r="J26" s="398"/>
      <c r="K26" s="276"/>
      <c r="L26" s="374"/>
      <c r="M26" s="397"/>
      <c r="N26" s="370"/>
      <c r="O26" s="371"/>
      <c r="P26" s="443"/>
      <c r="R26" s="277">
        <f t="shared" si="8"/>
        <v>0</v>
      </c>
      <c r="S26" s="296" t="e">
        <f t="shared" si="0"/>
        <v>#N/A</v>
      </c>
      <c r="T26" s="296" t="e">
        <f t="shared" si="1"/>
        <v>#N/A</v>
      </c>
      <c r="U26" s="297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6" t="e">
        <f t="shared" si="7"/>
        <v>#N/A</v>
      </c>
    </row>
    <row r="27" spans="1:26" ht="15.75" hidden="1" customHeight="1">
      <c r="B27" s="33"/>
      <c r="C27" s="366"/>
      <c r="D27" s="279"/>
      <c r="E27" s="279"/>
      <c r="F27" s="278"/>
      <c r="G27" s="279"/>
      <c r="H27" s="279"/>
      <c r="I27" s="434"/>
      <c r="J27" s="398"/>
      <c r="K27" s="276"/>
      <c r="L27" s="374"/>
      <c r="M27" s="397"/>
      <c r="N27" s="370"/>
      <c r="O27" s="371"/>
      <c r="P27" s="443"/>
      <c r="R27" s="277">
        <f t="shared" si="8"/>
        <v>0</v>
      </c>
      <c r="S27" s="296" t="e">
        <f t="shared" si="0"/>
        <v>#N/A</v>
      </c>
      <c r="T27" s="296" t="e">
        <f t="shared" si="1"/>
        <v>#N/A</v>
      </c>
      <c r="U27" s="297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6" t="e">
        <f t="shared" si="7"/>
        <v>#N/A</v>
      </c>
    </row>
    <row r="28" spans="1:26" ht="15.75" hidden="1" customHeight="1">
      <c r="B28" s="33"/>
      <c r="C28" s="366"/>
      <c r="D28" s="279"/>
      <c r="E28" s="279"/>
      <c r="F28" s="278"/>
      <c r="G28" s="279"/>
      <c r="H28" s="279"/>
      <c r="I28" s="434"/>
      <c r="J28" s="398"/>
      <c r="K28" s="276"/>
      <c r="L28" s="374"/>
      <c r="M28" s="397"/>
      <c r="N28" s="370"/>
      <c r="O28" s="371"/>
      <c r="P28" s="443"/>
      <c r="R28" s="277">
        <f t="shared" si="8"/>
        <v>0</v>
      </c>
      <c r="S28" s="296" t="e">
        <f t="shared" si="0"/>
        <v>#N/A</v>
      </c>
      <c r="T28" s="296" t="e">
        <f t="shared" si="1"/>
        <v>#N/A</v>
      </c>
      <c r="U28" s="297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6" t="e">
        <f t="shared" si="7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00" t="s">
        <v>34</v>
      </c>
      <c r="J29" s="500"/>
      <c r="K29" s="500"/>
      <c r="L29" s="500"/>
      <c r="M29" s="500"/>
      <c r="N29" s="500"/>
      <c r="O29" s="1"/>
      <c r="P29" s="12"/>
      <c r="R29" s="277">
        <f t="shared" si="8"/>
        <v>0</v>
      </c>
      <c r="S29" s="296" t="e">
        <f t="shared" si="0"/>
        <v>#N/A</v>
      </c>
      <c r="T29" s="296" t="e">
        <f t="shared" si="1"/>
        <v>#N/A</v>
      </c>
      <c r="U29" s="297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6" t="e">
        <f t="shared" si="7"/>
        <v>#N/A</v>
      </c>
    </row>
    <row r="30" spans="1:26" ht="15" thickBot="1">
      <c r="B30" s="388" t="s">
        <v>145</v>
      </c>
      <c r="C30" s="388"/>
      <c r="D30" s="513" t="s">
        <v>35</v>
      </c>
      <c r="E30" s="514"/>
      <c r="F30" s="294"/>
      <c r="G30" s="294"/>
      <c r="H30" s="348"/>
      <c r="I30" s="24" t="s">
        <v>17</v>
      </c>
      <c r="J30" s="25" t="s">
        <v>36</v>
      </c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5" customHeight="1">
      <c r="A31" s="28"/>
      <c r="B31" s="539" t="str">
        <f>I31</f>
        <v>CARIB</v>
      </c>
      <c r="C31" s="362">
        <f>[23]Process!D324</f>
        <v>11.92</v>
      </c>
      <c r="D31" s="504">
        <v>11.9</v>
      </c>
      <c r="E31" s="493"/>
      <c r="F31" s="294"/>
      <c r="G31" s="294"/>
      <c r="H31" s="348"/>
      <c r="I31" s="29" t="s">
        <v>6</v>
      </c>
      <c r="J31" s="280"/>
      <c r="K31" s="284">
        <f>COUNTA([23]Brewhouse!$A$341:$A$378)</f>
        <v>38</v>
      </c>
      <c r="L31" s="302">
        <f>AVERAGE([23]Brewhouse!$AU$341:$AU$346,[23]Brewhouse!$AU$348,[23]Brewhouse!$AU$349:$AU$378)</f>
        <v>98.68279763283013</v>
      </c>
      <c r="M31" s="302">
        <f>AVERAGE([23]Brewhouse!$AU$102:$AU$171,[23]Brewhouse!$AU$173:$AU$253,[23]Brewhouse!$AU$255:$AU$339,[23]Brewhouse!$AU$341:$AU$346,[23]Brewhouse!$AU$348,[23]Brewhouse!$AU$349:$AU$378)</f>
        <v>97.04501458645494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5" customHeight="1">
      <c r="A32" s="28"/>
      <c r="B32" s="540"/>
      <c r="C32" s="349">
        <f>[23]Process!D325</f>
        <v>11.9</v>
      </c>
      <c r="D32" s="505"/>
      <c r="E32" s="488"/>
      <c r="F32" s="294"/>
      <c r="G32" s="294"/>
      <c r="H32" s="348"/>
      <c r="I32" s="33" t="s">
        <v>9</v>
      </c>
      <c r="J32" s="280"/>
      <c r="K32" s="284">
        <f>COUNTA([24]Brewhouse!$A$142:$A$165)</f>
        <v>24</v>
      </c>
      <c r="L32" s="302">
        <f>AVERAGE([24]Brewhouse!$AS$142:$AS$165)</f>
        <v>98.959586348859446</v>
      </c>
      <c r="M32" s="302">
        <f>AVERAGE([24]Brewhouse!$AS$15:$AS$64,[24]Brewhouse!$AS$66:$AS$103,[24]Brewhouse!$AS$105:$AS$140,[24]Brewhouse!$AS$142:$AS$165)</f>
        <v>97.071077710321021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27" ht="14.7" customHeight="1">
      <c r="A33" s="28"/>
      <c r="B33" s="540"/>
      <c r="C33" s="349">
        <f>[23]Process!D326</f>
        <v>12</v>
      </c>
      <c r="D33" s="504">
        <v>12.4</v>
      </c>
      <c r="E33" s="493"/>
      <c r="F33" s="294"/>
      <c r="G33" s="294"/>
      <c r="H33" s="348"/>
      <c r="I33" s="34" t="s">
        <v>12</v>
      </c>
      <c r="J33" s="280">
        <f>AVERAGE(I10:I15)</f>
        <v>97.719889565150723</v>
      </c>
      <c r="K33" s="284">
        <f>COUNTA([22]Brewhouse!$A$38:$A$43)</f>
        <v>6</v>
      </c>
      <c r="L33" s="302">
        <f>AVERAGE([22]Brewhouse!$AU$37:$AU$43)</f>
        <v>97.504857894717389</v>
      </c>
      <c r="M33" s="302">
        <f>AVERAGE([22]Brewhouse!$AU$4:$AU$7,[22]Brewhouse!$AU$9:$AU$22,[22]Brewhouse!$AU$24:$AU$35,[22]Brewhouse!$AU$37:$AU$43)</f>
        <v>96.921744829139271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27" ht="14.7" customHeight="1">
      <c r="A34" s="28"/>
      <c r="B34" s="540"/>
      <c r="C34" s="349">
        <f>[23]Process!D327</f>
        <v>11.9</v>
      </c>
      <c r="D34" s="505"/>
      <c r="E34" s="488"/>
      <c r="F34" s="294"/>
      <c r="G34" s="294"/>
      <c r="H34" s="348"/>
      <c r="I34" s="22" t="s">
        <v>33</v>
      </c>
      <c r="J34" s="280"/>
      <c r="K34" s="284">
        <f>COUNTA([25]Brewhouse!$A$26:$A$33)</f>
        <v>8</v>
      </c>
      <c r="L34" s="302">
        <f>AVERAGE([25]Brewhouse!$AV$26:$AV$33)</f>
        <v>99.61038006330628</v>
      </c>
      <c r="M34" s="302">
        <f>AVERAGE([25]Brewhouse!$AV$5:$AV$14,[25]Brewhouse!$AV$16:$AV$19,[25]Brewhouse!$AV$21:$AV$24,[25]Brewhouse!$AV$26:$AV$33)</f>
        <v>98.921974778040592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27" ht="14.7" customHeight="1">
      <c r="A35" s="28"/>
      <c r="B35" s="540"/>
      <c r="C35" s="349">
        <f>[23]Process!D330</f>
        <v>11.8</v>
      </c>
      <c r="D35" s="504">
        <v>12.01</v>
      </c>
      <c r="E35" s="493"/>
      <c r="F35" s="436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27" ht="14.7" customHeight="1">
      <c r="A36" s="28"/>
      <c r="B36" s="540"/>
      <c r="C36" s="349">
        <f>[23]Process!D331</f>
        <v>11.6</v>
      </c>
      <c r="D36" s="505"/>
      <c r="E36" s="488"/>
      <c r="F36" s="436"/>
      <c r="G36" s="294"/>
      <c r="H36" s="348"/>
      <c r="I36" s="36" t="s">
        <v>15</v>
      </c>
      <c r="J36" s="323"/>
      <c r="K36" s="284"/>
      <c r="L36" s="302"/>
      <c r="M36" s="302">
        <f>AVERAGE([26]Brewhouse!$AT$4:$AT$11)</f>
        <v>94.812616598822359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27" ht="14.7" customHeight="1">
      <c r="A37" s="28"/>
      <c r="B37" s="540"/>
      <c r="C37" s="349"/>
      <c r="D37" s="504"/>
      <c r="E37" s="493"/>
      <c r="F37" s="436"/>
      <c r="G37" s="294"/>
      <c r="H37" s="348"/>
      <c r="I37" s="37" t="s">
        <v>16</v>
      </c>
      <c r="J37" s="323"/>
      <c r="K37" s="284">
        <f>COUNTA([27]Brewhouse!$A$31:$A$34)</f>
        <v>4</v>
      </c>
      <c r="L37" s="302">
        <f>AVERAGE([27]Brewhouse!$AY$31:$AY$34)</f>
        <v>98.653228650224236</v>
      </c>
      <c r="M37" s="302">
        <f>AVERAGE([27]Brewhouse!$AY$6:$AY$13,[27]Brewhouse!$AY$15:$AY$20,[27]Brewhouse!$AY$22:$AY$29,[27]Brewhouse!$AY$31:$AY$34)</f>
        <v>96.120888038911147</v>
      </c>
      <c r="N37" s="30">
        <v>98</v>
      </c>
      <c r="O37" s="11"/>
      <c r="P37" s="31" t="s">
        <v>41</v>
      </c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27" ht="14.7" customHeight="1">
      <c r="A38" s="28"/>
      <c r="B38" s="540"/>
      <c r="C38" s="349"/>
      <c r="D38" s="505"/>
      <c r="E38" s="488"/>
      <c r="F38" s="294"/>
      <c r="G38" s="294"/>
      <c r="H38" s="348"/>
      <c r="I38" s="412" t="s">
        <v>158</v>
      </c>
      <c r="J38" s="326"/>
      <c r="K38" s="284"/>
      <c r="L38" s="305"/>
      <c r="M38" s="305">
        <f>AVERAGE([28]Brewhouse!$AU$5:$AU$8)</f>
        <v>91.006888337619571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7" customHeight="1">
      <c r="A39" s="28"/>
      <c r="B39" s="540"/>
      <c r="C39" s="349"/>
      <c r="D39" s="504"/>
      <c r="E39" s="493"/>
      <c r="F39" s="294"/>
      <c r="G39" s="294"/>
      <c r="H39" s="348"/>
      <c r="I39" s="411" t="s">
        <v>157</v>
      </c>
      <c r="J39" s="326"/>
      <c r="K39" s="284"/>
      <c r="L39" s="305"/>
      <c r="M39" s="305"/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5" customHeight="1" thickBot="1">
      <c r="A40" s="28"/>
      <c r="B40" s="540"/>
      <c r="C40" s="349"/>
      <c r="D40" s="505"/>
      <c r="E40" s="488"/>
      <c r="F40" s="294"/>
      <c r="G40" s="294"/>
      <c r="H40" s="348"/>
      <c r="I40" s="407" t="s">
        <v>156</v>
      </c>
      <c r="J40" s="327"/>
      <c r="K40" s="408"/>
      <c r="L40" s="409"/>
      <c r="M40" s="409"/>
      <c r="N40" s="41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5" customHeight="1" thickBot="1">
      <c r="A41" s="28"/>
      <c r="B41" s="540"/>
      <c r="C41" s="349"/>
      <c r="D41" s="504"/>
      <c r="E41" s="493"/>
      <c r="F41" s="294"/>
      <c r="G41" s="294"/>
      <c r="H41" s="348"/>
      <c r="I41" s="1"/>
      <c r="J41" s="39"/>
      <c r="K41" s="405">
        <f>SUM(K31:K40)</f>
        <v>80</v>
      </c>
      <c r="L41" s="406">
        <f>((L31*K31)+(L32*K32)+(L33*K33)+(L34*K34)+(L35*K35)+(K38*L38)+(L36*K36)+(L37*K37)+(L40*K40))/(K41)</f>
        <v>98.768768561197788</v>
      </c>
      <c r="M41" s="406">
        <f>AVERAGE('[29]Jan 31st'!$L$65,'[30]Feb 28th'!$L$35,'[31]Mar. 31st'!$L$35,L41)</f>
        <v>97.233496258107778</v>
      </c>
      <c r="N41" s="4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5" thickBot="1">
      <c r="B42" s="553"/>
      <c r="C42" s="350"/>
      <c r="D42" s="505"/>
      <c r="E42" s="488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thickBot="1">
      <c r="B43" s="558"/>
      <c r="C43" s="362"/>
      <c r="D43" s="485"/>
      <c r="E43" s="486"/>
      <c r="F43" s="43"/>
      <c r="G43" s="41"/>
      <c r="H43" s="41"/>
      <c r="I43" s="42"/>
      <c r="J43" s="538" t="s">
        <v>129</v>
      </c>
      <c r="K43" s="538"/>
      <c r="L43" s="294"/>
      <c r="M43" s="294"/>
      <c r="N43" s="294"/>
      <c r="O43" s="294"/>
      <c r="P43" s="12"/>
    </row>
    <row r="44" spans="1:27" ht="13.5" customHeight="1" thickBot="1">
      <c r="B44" s="540"/>
      <c r="C44" s="349"/>
      <c r="D44" s="487"/>
      <c r="E44" s="488"/>
      <c r="F44" s="43"/>
      <c r="G44" s="41"/>
      <c r="H44" s="41"/>
      <c r="I44" s="42"/>
      <c r="J44" s="292" t="s">
        <v>17</v>
      </c>
      <c r="K44" s="293" t="s">
        <v>191</v>
      </c>
      <c r="L44" s="490" t="s">
        <v>136</v>
      </c>
      <c r="M44" s="490"/>
      <c r="N44" s="491"/>
      <c r="O44" s="294"/>
      <c r="P44" s="12"/>
    </row>
    <row r="45" spans="1:27" ht="15" customHeight="1" thickBot="1">
      <c r="B45" s="540"/>
      <c r="C45" s="349"/>
      <c r="D45" s="492"/>
      <c r="E45" s="493"/>
      <c r="F45" s="43"/>
      <c r="G45" s="41"/>
      <c r="H45" s="41"/>
      <c r="I45" s="42"/>
      <c r="J45" s="287" t="s">
        <v>6</v>
      </c>
      <c r="K45" s="324"/>
      <c r="L45" s="343" t="s">
        <v>37</v>
      </c>
      <c r="M45" s="307" t="s">
        <v>38</v>
      </c>
      <c r="N45" s="307" t="s">
        <v>84</v>
      </c>
      <c r="O45" s="294"/>
      <c r="P45" s="12"/>
    </row>
    <row r="46" spans="1:27" ht="15.75" customHeight="1" thickBot="1">
      <c r="B46" s="540"/>
      <c r="C46" s="349"/>
      <c r="D46" s="487"/>
      <c r="E46" s="488"/>
      <c r="F46" s="43"/>
      <c r="G46" s="41"/>
      <c r="H46" s="41"/>
      <c r="I46" s="42"/>
      <c r="J46" s="345" t="s">
        <v>9</v>
      </c>
      <c r="K46" s="324"/>
      <c r="L46" s="344">
        <f>AVERAGE('Apr. 1st'!K49,'Apr. 16th'!K55,'Apr. 3rd'!K49,'Apr. 4th'!K49,'Apr. 7th '!K50,'Apr. 8th  '!K60,'Apr. 9th   '!K50,'Apr. 10th '!K58,'Apr. 11-12-13th'!I127,'Apr. 11-12-13th'!J127,'Apr. 11-12-13th'!K127,'Apr. 14th'!L118)</f>
        <v>5.9242424242424248</v>
      </c>
      <c r="M46" s="325">
        <f>AVERAGE('[29]Jan 29th '!$M$70,'[30]Feb 28th'!$L$40,'[31]Mar. 31st'!$L$40,L46)</f>
        <v>6.4348948153295984</v>
      </c>
      <c r="N46" s="433">
        <v>9.1999999999999993</v>
      </c>
      <c r="O46" s="294"/>
      <c r="P46" s="12"/>
    </row>
    <row r="47" spans="1:27" ht="15" customHeight="1">
      <c r="B47" s="540"/>
      <c r="C47" s="349"/>
      <c r="D47" s="492"/>
      <c r="E47" s="493"/>
      <c r="F47" s="43"/>
      <c r="G47" s="41"/>
      <c r="H47" s="41"/>
      <c r="I47" s="42"/>
      <c r="J47" s="288" t="s">
        <v>40</v>
      </c>
      <c r="K47" s="324">
        <f>COUNTA(B10:B15)</f>
        <v>6</v>
      </c>
      <c r="L47" s="294"/>
      <c r="M47" s="294"/>
      <c r="N47" s="294"/>
      <c r="O47" s="294"/>
      <c r="P47" s="12"/>
    </row>
    <row r="48" spans="1:27" ht="15" customHeight="1">
      <c r="B48" s="540"/>
      <c r="C48" s="349"/>
      <c r="D48" s="487"/>
      <c r="E48" s="488"/>
      <c r="F48" s="43"/>
      <c r="G48" s="41"/>
      <c r="H48" s="41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4.4">
      <c r="B49" s="540"/>
      <c r="C49" s="349"/>
      <c r="D49" s="492"/>
      <c r="E49" s="493"/>
      <c r="F49" s="43"/>
      <c r="G49" s="41"/>
      <c r="H49" s="41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4.4">
      <c r="B50" s="540"/>
      <c r="C50" s="349"/>
      <c r="D50" s="487"/>
      <c r="E50" s="488"/>
      <c r="F50" s="43"/>
      <c r="G50" s="41"/>
      <c r="H50" s="41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4.4">
      <c r="B51" s="540"/>
      <c r="C51" s="349"/>
      <c r="D51" s="494"/>
      <c r="E51" s="495"/>
      <c r="F51" s="43"/>
      <c r="G51" s="41"/>
      <c r="H51" s="41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" thickBot="1">
      <c r="B52" s="553"/>
      <c r="C52" s="350"/>
      <c r="D52" s="496"/>
      <c r="E52" s="497"/>
      <c r="F52" s="43"/>
      <c r="G52" s="41"/>
      <c r="H52" s="41"/>
      <c r="I52" s="42"/>
      <c r="J52" s="291" t="s">
        <v>148</v>
      </c>
      <c r="K52" s="324"/>
      <c r="L52" s="294"/>
      <c r="M52" s="294"/>
      <c r="N52" s="294"/>
      <c r="O52" s="294"/>
      <c r="P52" s="12"/>
      <c r="BC52" s="44"/>
      <c r="BD52" s="44"/>
    </row>
    <row r="53" spans="2:57" ht="17.7" customHeight="1" thickBot="1">
      <c r="B53" s="312" t="s">
        <v>139</v>
      </c>
      <c r="C53" s="313"/>
      <c r="D53" s="476">
        <f>AVERAGE(D31:E52)</f>
        <v>12.103333333333333</v>
      </c>
      <c r="E53" s="477"/>
      <c r="F53" s="43"/>
      <c r="G53" s="41"/>
      <c r="H53" s="41"/>
      <c r="I53" s="42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7" customHeight="1">
      <c r="B54" s="363"/>
      <c r="C54" s="364"/>
      <c r="D54" s="365"/>
      <c r="E54" s="365"/>
      <c r="F54" s="43"/>
      <c r="G54" s="41"/>
      <c r="H54" s="41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customHeight="1">
      <c r="B55" s="45"/>
      <c r="C55" s="11"/>
      <c r="D55" s="11"/>
      <c r="E55" s="46"/>
      <c r="F55" s="23"/>
      <c r="G55" s="11"/>
      <c r="H55" s="41"/>
      <c r="I55" s="42"/>
      <c r="J55" s="346" t="s">
        <v>130</v>
      </c>
      <c r="K55" s="324">
        <f>SUM(K45:K54)</f>
        <v>6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H56" s="41"/>
      <c r="I56" s="42"/>
      <c r="L56" s="294"/>
      <c r="P56" s="334"/>
    </row>
    <row r="57" spans="2:57" ht="15" customHeight="1" thickBot="1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8"/>
      <c r="O57" s="48"/>
      <c r="P57" s="49"/>
    </row>
    <row r="58" spans="2:57" ht="15" customHeight="1" thickBot="1">
      <c r="B58" s="466" t="s">
        <v>17</v>
      </c>
      <c r="C58" s="466" t="s">
        <v>44</v>
      </c>
      <c r="D58" s="478" t="s">
        <v>45</v>
      </c>
      <c r="E58" s="480" t="s">
        <v>46</v>
      </c>
      <c r="F58" s="474" t="s">
        <v>47</v>
      </c>
      <c r="G58" s="464" t="s">
        <v>48</v>
      </c>
      <c r="H58" s="466" t="s">
        <v>49</v>
      </c>
      <c r="I58" s="466" t="s">
        <v>50</v>
      </c>
      <c r="J58" s="458" t="s">
        <v>28</v>
      </c>
      <c r="K58" s="470" t="s">
        <v>51</v>
      </c>
      <c r="L58" s="472" t="s">
        <v>52</v>
      </c>
      <c r="M58" s="458" t="s">
        <v>53</v>
      </c>
      <c r="N58" s="13"/>
      <c r="O58" s="13"/>
      <c r="P58" s="50"/>
    </row>
    <row r="59" spans="2:57" ht="28.5" customHeight="1" thickTop="1" thickBot="1">
      <c r="B59" s="467"/>
      <c r="C59" s="467"/>
      <c r="D59" s="479"/>
      <c r="E59" s="481"/>
      <c r="F59" s="475"/>
      <c r="G59" s="465"/>
      <c r="H59" s="467"/>
      <c r="I59" s="467"/>
      <c r="J59" s="459"/>
      <c r="K59" s="471"/>
      <c r="L59" s="473"/>
      <c r="M59" s="459"/>
      <c r="N59" s="13"/>
      <c r="O59" s="13"/>
      <c r="P59" s="50"/>
      <c r="Q59" s="355"/>
      <c r="AB59" s="51">
        <v>43474</v>
      </c>
      <c r="AC59" s="51">
        <v>43475</v>
      </c>
      <c r="AD59" s="51">
        <v>43476</v>
      </c>
      <c r="AE59" s="51">
        <v>43477</v>
      </c>
      <c r="AF59" s="51">
        <v>43478</v>
      </c>
      <c r="AG59" s="51">
        <v>43479</v>
      </c>
      <c r="AH59" s="51">
        <v>43480</v>
      </c>
      <c r="AI59" s="51">
        <v>43481</v>
      </c>
      <c r="AJ59" s="51">
        <v>43482</v>
      </c>
      <c r="AK59" s="51">
        <v>43483</v>
      </c>
      <c r="AL59" s="51">
        <v>43484</v>
      </c>
      <c r="AM59" s="51">
        <v>43485</v>
      </c>
      <c r="AN59" s="51">
        <v>43486</v>
      </c>
      <c r="AO59" s="51">
        <v>43487</v>
      </c>
      <c r="AP59" s="51">
        <v>43488</v>
      </c>
      <c r="AQ59" s="51">
        <v>43489</v>
      </c>
      <c r="AR59" s="51">
        <v>43490</v>
      </c>
      <c r="AS59" s="51">
        <v>43491</v>
      </c>
      <c r="AT59" s="51">
        <v>43492</v>
      </c>
      <c r="AU59" s="51">
        <v>43493</v>
      </c>
      <c r="AV59" s="51">
        <v>43494</v>
      </c>
      <c r="AW59" s="51">
        <v>43495</v>
      </c>
      <c r="AX59" s="51">
        <v>43496</v>
      </c>
    </row>
    <row r="60" spans="2:57" s="54" customFormat="1" ht="59.25" customHeight="1">
      <c r="B60" s="415" t="str">
        <f>B68</f>
        <v>CARIB</v>
      </c>
      <c r="C60" s="283">
        <v>45763</v>
      </c>
      <c r="D60" s="377">
        <f>[32]April_2025!$S$3</f>
        <v>294.09999999999997</v>
      </c>
      <c r="E60" s="378"/>
      <c r="F60" s="379"/>
      <c r="G60" s="303">
        <f>[32]April_2025!$S$7</f>
        <v>278.5</v>
      </c>
      <c r="H60" s="320"/>
      <c r="I60" s="322"/>
      <c r="J60" s="360" t="s">
        <v>190</v>
      </c>
      <c r="K60" s="416">
        <f>[33]April_2025!$S$18</f>
        <v>0.97719298245614039</v>
      </c>
      <c r="L60" s="314">
        <f>(((D60+E60)-G60)/(D60+E60))*100</f>
        <v>5.3043182590955347</v>
      </c>
      <c r="M60" s="423" t="s">
        <v>163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9"/>
      <c r="AC60" s="279"/>
      <c r="AD60" s="279"/>
      <c r="AE60" s="279"/>
      <c r="AF60" s="279"/>
      <c r="AG60" s="279"/>
      <c r="AH60" s="279"/>
      <c r="AI60" s="279"/>
      <c r="AJ60" s="279"/>
      <c r="AK60" s="279"/>
      <c r="AL60" s="279"/>
      <c r="AM60" s="279"/>
      <c r="AN60" s="279"/>
      <c r="AO60" s="279"/>
      <c r="AP60" s="279"/>
      <c r="AQ60" s="279"/>
      <c r="AR60" s="279"/>
      <c r="AS60" s="279"/>
      <c r="AT60" s="279"/>
      <c r="AU60" s="279"/>
      <c r="AV60" s="279"/>
      <c r="AW60" s="279"/>
    </row>
    <row r="61" spans="2:57" s="54" customFormat="1">
      <c r="B61" s="415"/>
      <c r="C61" s="283"/>
      <c r="D61" s="377"/>
      <c r="E61" s="378"/>
      <c r="F61" s="379"/>
      <c r="G61" s="303"/>
      <c r="H61" s="320"/>
      <c r="I61" s="322"/>
      <c r="J61" s="398"/>
      <c r="K61" s="286"/>
      <c r="L61" s="314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20"/>
      <c r="AC61" s="420"/>
      <c r="AD61" s="420"/>
      <c r="AE61" s="420"/>
      <c r="AF61" s="420"/>
      <c r="AG61" s="420"/>
      <c r="AH61" s="420"/>
      <c r="AI61" s="420"/>
      <c r="AJ61" s="420"/>
      <c r="AK61" s="420"/>
      <c r="AL61" s="420"/>
      <c r="AM61" s="420"/>
      <c r="AN61" s="420"/>
      <c r="AO61" s="420"/>
      <c r="AP61" s="420"/>
      <c r="AQ61" s="420"/>
      <c r="AR61" s="420"/>
      <c r="AS61" s="420"/>
      <c r="AT61" s="420"/>
      <c r="AU61" s="420"/>
      <c r="AV61" s="420"/>
      <c r="AW61" s="420"/>
    </row>
    <row r="62" spans="2:57" s="54" customFormat="1" ht="59.25" hidden="1" customHeight="1">
      <c r="B62" s="415"/>
      <c r="C62" s="283"/>
      <c r="D62" s="377"/>
      <c r="E62" s="378"/>
      <c r="F62" s="379"/>
      <c r="G62" s="303"/>
      <c r="H62" s="320"/>
      <c r="I62" s="322"/>
      <c r="J62" s="398"/>
      <c r="K62" s="286"/>
      <c r="L62" s="314"/>
      <c r="M62" s="423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20"/>
      <c r="AC62" s="420"/>
      <c r="AD62" s="420"/>
      <c r="AE62" s="420"/>
      <c r="AF62" s="420"/>
      <c r="AG62" s="420"/>
      <c r="AH62" s="420"/>
      <c r="AI62" s="420"/>
      <c r="AJ62" s="420"/>
      <c r="AK62" s="420"/>
      <c r="AL62" s="420"/>
      <c r="AM62" s="420"/>
      <c r="AN62" s="420"/>
      <c r="AO62" s="420"/>
      <c r="AP62" s="420"/>
      <c r="AQ62" s="420"/>
      <c r="AR62" s="420"/>
      <c r="AS62" s="420"/>
      <c r="AT62" s="420"/>
      <c r="AU62" s="420"/>
      <c r="AV62" s="420"/>
      <c r="AW62" s="420"/>
    </row>
    <row r="63" spans="2:57" s="54" customFormat="1">
      <c r="B63" s="387"/>
      <c r="C63" s="283"/>
      <c r="D63" s="279"/>
      <c r="E63" s="279"/>
      <c r="F63" s="279"/>
      <c r="G63" s="279"/>
      <c r="H63" s="320"/>
      <c r="I63" s="322"/>
      <c r="J63" s="281"/>
      <c r="K63" s="417"/>
      <c r="L63" s="314"/>
      <c r="M63" s="42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[20]January_2019!L8</f>
        <v>1.0028070175438597</v>
      </c>
      <c r="AC63" s="57">
        <f>[20]January_2019!M8</f>
        <v>1.7828070175438597</v>
      </c>
      <c r="AD63" s="57" t="e">
        <f>[20]January_2019!N8</f>
        <v>#DIV/0!</v>
      </c>
      <c r="AE63" s="57" t="e">
        <f>[20]January_2019!O8</f>
        <v>#DIV/0!</v>
      </c>
      <c r="AF63" s="57">
        <f>[20]January_2019!P8</f>
        <v>0.19222222222222221</v>
      </c>
      <c r="AG63" s="57">
        <f>[20]January_2019!Q8</f>
        <v>0.52219298245614032</v>
      </c>
      <c r="AH63" s="57">
        <f>[20]January_2019!R8</f>
        <v>0.42912280701754385</v>
      </c>
      <c r="AI63" s="57" t="e">
        <f>[20]January_2019!S8</f>
        <v>#DIV/0!</v>
      </c>
      <c r="AJ63" s="57">
        <f>[20]January_2019!T8</f>
        <v>1.0340350877192983</v>
      </c>
      <c r="AK63" s="57">
        <f>[20]January_2019!U8</f>
        <v>0.98421052631578942</v>
      </c>
      <c r="AL63" s="57" t="e">
        <f>[20]January_2019!V8</f>
        <v>#DIV/0!</v>
      </c>
      <c r="AM63" s="57" t="e">
        <f>[20]January_2019!W8</f>
        <v>#DIV/0!</v>
      </c>
      <c r="AN63" s="57">
        <f>[20]January_2019!X8</f>
        <v>0.66052631578947374</v>
      </c>
      <c r="AO63" s="57">
        <f>[20]January_2019!Y8</f>
        <v>1.0375438596491227</v>
      </c>
      <c r="AP63" s="57">
        <f>[20]January_2019!Z8</f>
        <v>0.90456140350877201</v>
      </c>
      <c r="AQ63" s="57">
        <f>[20]January_2019!AA8</f>
        <v>1.0217543859649123</v>
      </c>
      <c r="AR63" s="57">
        <f>[20]January_2019!AB8</f>
        <v>0.65614035087719302</v>
      </c>
      <c r="AS63" s="57" t="e">
        <f>[20]January_2019!AC8</f>
        <v>#DIV/0!</v>
      </c>
      <c r="AT63" s="57" t="e">
        <f>[20]January_2019!AD8</f>
        <v>#DIV/0!</v>
      </c>
      <c r="AU63" s="57">
        <f>[20]January_2019!AE8</f>
        <v>1.7021052631578948</v>
      </c>
      <c r="AV63" s="57">
        <f>[20]January_2019!AF8</f>
        <v>0.60192982456140354</v>
      </c>
      <c r="AW63" s="57">
        <f>[20]January_2019!AG8</f>
        <v>1.4870175438596491</v>
      </c>
      <c r="AX63" s="277" t="e">
        <f>[20]January_2019!AH8</f>
        <v>#DIV/0!</v>
      </c>
      <c r="AY63" s="277"/>
      <c r="AZ63" s="277"/>
      <c r="BA63" s="277"/>
      <c r="BB63" s="277"/>
      <c r="BC63" s="277"/>
      <c r="BD63" s="277"/>
      <c r="BE63" s="277"/>
    </row>
    <row r="64" spans="2:57" ht="58.5" hidden="1" customHeight="1" thickBot="1">
      <c r="B64" s="426"/>
      <c r="C64" s="427"/>
      <c r="D64" s="428"/>
      <c r="E64" s="428"/>
      <c r="F64" s="428"/>
      <c r="G64" s="428"/>
      <c r="H64" s="429"/>
      <c r="I64" s="430"/>
      <c r="J64" s="390"/>
      <c r="K64" s="431"/>
      <c r="L64" s="432"/>
      <c r="M64" s="424"/>
      <c r="N64" s="13"/>
      <c r="O64" s="13"/>
      <c r="P64" s="56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6"/>
      <c r="P65" s="60"/>
    </row>
    <row r="66" spans="2:16" ht="14.4" thickBot="1">
      <c r="B66" s="460" t="s">
        <v>55</v>
      </c>
      <c r="C66" s="461"/>
      <c r="D66" s="461"/>
      <c r="E66" s="461"/>
      <c r="F66" s="462"/>
      <c r="G66" s="460" t="s">
        <v>56</v>
      </c>
      <c r="H66" s="461"/>
      <c r="I66" s="461"/>
      <c r="J66" s="462"/>
      <c r="K66" s="460" t="s">
        <v>51</v>
      </c>
      <c r="L66" s="461"/>
      <c r="M66" s="461"/>
      <c r="N66" s="463"/>
      <c r="O66" s="56"/>
      <c r="P66" s="50"/>
    </row>
    <row r="67" spans="2:16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>
      <c r="B68" s="29" t="s">
        <v>6</v>
      </c>
      <c r="C68" s="65">
        <f>L60</f>
        <v>5.3043182590955347</v>
      </c>
      <c r="D68" s="76">
        <v>6.4401992765771121</v>
      </c>
      <c r="E68" s="76">
        <v>6.8584241242995061</v>
      </c>
      <c r="F68" s="66">
        <v>4.8</v>
      </c>
      <c r="G68" s="65">
        <f>[32]April_2025!$S$11</f>
        <v>3.1643028525214363</v>
      </c>
      <c r="H68" s="76">
        <v>5.6936110499912775</v>
      </c>
      <c r="I68" s="76">
        <v>7.3609307070218639</v>
      </c>
      <c r="J68" s="66">
        <v>4.8</v>
      </c>
      <c r="K68" s="67">
        <f>K60</f>
        <v>0.97719298245614039</v>
      </c>
      <c r="L68" s="194">
        <v>0.74085769980506833</v>
      </c>
      <c r="M68" s="194">
        <v>0.77247684478616963</v>
      </c>
      <c r="N68" s="68">
        <v>1</v>
      </c>
      <c r="O68" s="56"/>
      <c r="P68" s="69"/>
    </row>
    <row r="69" spans="2:16">
      <c r="B69" s="33" t="s">
        <v>9</v>
      </c>
      <c r="C69" s="65"/>
      <c r="D69" s="76">
        <v>3.3990684768605646</v>
      </c>
      <c r="E69" s="76">
        <v>6.0934553008673209</v>
      </c>
      <c r="F69" s="66">
        <v>4.8</v>
      </c>
      <c r="G69" s="65"/>
      <c r="H69" s="76">
        <v>3.0755620742673759</v>
      </c>
      <c r="I69" s="76">
        <v>6.9753297091759698</v>
      </c>
      <c r="J69" s="66">
        <v>4.8</v>
      </c>
      <c r="K69" s="67"/>
      <c r="L69" s="194">
        <v>0.9064327485380117</v>
      </c>
      <c r="M69" s="194">
        <v>0.74152600836341909</v>
      </c>
      <c r="N69" s="68">
        <v>1</v>
      </c>
      <c r="P69" s="69"/>
    </row>
    <row r="70" spans="2:16">
      <c r="B70" s="34" t="s">
        <v>40</v>
      </c>
      <c r="C70" s="65"/>
      <c r="D70" s="76">
        <v>10.826844642195047</v>
      </c>
      <c r="E70" s="76">
        <v>13.125604223990466</v>
      </c>
      <c r="F70" s="66">
        <v>5.5</v>
      </c>
      <c r="G70" s="65"/>
      <c r="H70" s="76">
        <v>10.823247958374074</v>
      </c>
      <c r="I70" s="76">
        <v>13.879185403587476</v>
      </c>
      <c r="J70" s="66">
        <v>5.5</v>
      </c>
      <c r="K70" s="67"/>
      <c r="L70" s="194">
        <v>0.42192982456140349</v>
      </c>
      <c r="M70" s="194">
        <v>0.5124236387782205</v>
      </c>
      <c r="N70" s="68">
        <v>1</v>
      </c>
      <c r="P70" s="69"/>
    </row>
    <row r="71" spans="2:16">
      <c r="B71" s="22" t="s">
        <v>33</v>
      </c>
      <c r="C71" s="65"/>
      <c r="D71" s="76">
        <v>3.2321253672869714</v>
      </c>
      <c r="E71" s="76">
        <v>2.2218158544390558</v>
      </c>
      <c r="F71" s="66">
        <v>3.3</v>
      </c>
      <c r="G71" s="65"/>
      <c r="H71" s="76">
        <v>2.3924874613168265</v>
      </c>
      <c r="I71" s="76">
        <v>5.0359151649923692</v>
      </c>
      <c r="J71" s="66">
        <v>3.3</v>
      </c>
      <c r="K71" s="67"/>
      <c r="L71" s="194">
        <v>1.3866666666666667</v>
      </c>
      <c r="M71" s="194">
        <v>0.87880701754385959</v>
      </c>
      <c r="N71" s="68">
        <v>1</v>
      </c>
      <c r="P71" s="69"/>
    </row>
    <row r="72" spans="2:16">
      <c r="B72" s="35" t="s">
        <v>29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L72" s="194"/>
      <c r="M72" s="194"/>
      <c r="N72" s="68">
        <v>1</v>
      </c>
      <c r="P72" s="69"/>
    </row>
    <row r="73" spans="2:16">
      <c r="B73" s="36" t="s">
        <v>15</v>
      </c>
      <c r="C73" s="282"/>
      <c r="D73" s="76"/>
      <c r="E73" s="76">
        <v>8.7664670658682695</v>
      </c>
      <c r="F73" s="70">
        <f>[21]May_2022!$M$43</f>
        <v>3.4878406700073312</v>
      </c>
      <c r="G73" s="282"/>
      <c r="H73" s="76"/>
      <c r="I73" s="76">
        <v>10.607235567685406</v>
      </c>
      <c r="J73" s="66">
        <v>5.5</v>
      </c>
      <c r="K73" s="67"/>
      <c r="L73" s="194"/>
      <c r="M73" s="194">
        <v>0.66824561403508764</v>
      </c>
      <c r="N73" s="68">
        <v>1</v>
      </c>
      <c r="P73" s="69"/>
    </row>
    <row r="74" spans="2:16">
      <c r="B74" s="37" t="s">
        <v>16</v>
      </c>
      <c r="C74" s="65"/>
      <c r="D74" s="76">
        <v>0.38967364831952411</v>
      </c>
      <c r="E74" s="76">
        <v>1.85607294041028</v>
      </c>
      <c r="F74" s="66">
        <v>3.3</v>
      </c>
      <c r="G74" s="282"/>
      <c r="H74" s="76">
        <v>3.9053322254376623</v>
      </c>
      <c r="I74" s="76">
        <v>4.5764571827076486</v>
      </c>
      <c r="J74" s="66">
        <v>3.3</v>
      </c>
      <c r="K74" s="67"/>
      <c r="L74" s="194">
        <v>0.71754385964912282</v>
      </c>
      <c r="M74" s="194">
        <v>0.83594855305466242</v>
      </c>
      <c r="N74" s="71">
        <v>1</v>
      </c>
      <c r="P74" s="69"/>
    </row>
    <row r="75" spans="2:16" ht="14.4" thickBot="1">
      <c r="B75" s="38" t="s">
        <v>127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4.4" thickBot="1">
      <c r="B76" s="418" t="s">
        <v>162</v>
      </c>
      <c r="C76" s="65"/>
      <c r="D76" s="76"/>
      <c r="E76" s="76">
        <v>4.8792508624938291</v>
      </c>
      <c r="F76" s="66">
        <v>4.8</v>
      </c>
      <c r="G76" s="282"/>
      <c r="H76" s="76"/>
      <c r="I76" s="76">
        <v>6.2003723782925313</v>
      </c>
      <c r="J76" s="66">
        <v>4.8</v>
      </c>
      <c r="K76" s="67"/>
      <c r="L76" s="194"/>
      <c r="M76" s="194">
        <v>0.33859649122807017</v>
      </c>
      <c r="N76" s="71">
        <v>1</v>
      </c>
      <c r="O76" s="74"/>
      <c r="P76" s="75"/>
    </row>
    <row r="77" spans="2:16">
      <c r="D77" s="76">
        <v>5.086290342690444</v>
      </c>
      <c r="E77" s="76">
        <v>6.6169424391490343</v>
      </c>
      <c r="F77" s="341">
        <v>5.5</v>
      </c>
      <c r="H77" s="76">
        <v>5.0821923367116915</v>
      </c>
      <c r="I77" s="76">
        <v>7.6716012246598853</v>
      </c>
      <c r="J77" s="341">
        <v>5.5</v>
      </c>
      <c r="K77" s="67"/>
      <c r="L77" s="194">
        <v>0.79421052631578948</v>
      </c>
      <c r="M77" s="194">
        <v>0.74281015659117844</v>
      </c>
      <c r="N77" s="386">
        <v>1</v>
      </c>
    </row>
    <row r="81" spans="6:6">
      <c r="F81" s="315"/>
    </row>
  </sheetData>
  <mergeCells count="51">
    <mergeCell ref="M4:N4"/>
    <mergeCell ref="S1:T1"/>
    <mergeCell ref="U1:V1"/>
    <mergeCell ref="W1:X1"/>
    <mergeCell ref="Y1:Z1"/>
    <mergeCell ref="B2:O2"/>
    <mergeCell ref="C5:D5"/>
    <mergeCell ref="B8:B9"/>
    <mergeCell ref="C8:C9"/>
    <mergeCell ref="D8:D9"/>
    <mergeCell ref="G8:G9"/>
    <mergeCell ref="P8:P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I8:I9"/>
    <mergeCell ref="J8:J9"/>
    <mergeCell ref="K8:K9"/>
    <mergeCell ref="L8:L9"/>
    <mergeCell ref="O8:O9"/>
    <mergeCell ref="H8:H9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66:F66"/>
    <mergeCell ref="G66:J66"/>
    <mergeCell ref="K66:N66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1306" priority="143" operator="notBetween">
      <formula>#REF!</formula>
      <formula>#REF!</formula>
    </cfRule>
  </conditionalFormatting>
  <conditionalFormatting sqref="C57">
    <cfRule type="cellIs" dxfId="1305" priority="175" stopIfTrue="1" operator="greaterThan">
      <formula>100</formula>
    </cfRule>
    <cfRule type="cellIs" dxfId="1304" priority="174" stopIfTrue="1" operator="lessThan">
      <formula>96</formula>
    </cfRule>
  </conditionalFormatting>
  <conditionalFormatting sqref="C68">
    <cfRule type="cellIs" dxfId="1303" priority="102" stopIfTrue="1" operator="greaterThan">
      <formula>$F68</formula>
    </cfRule>
  </conditionalFormatting>
  <conditionalFormatting sqref="C68:C69">
    <cfRule type="cellIs" dxfId="1302" priority="103" stopIfTrue="1" operator="lessThanOrEqual">
      <formula>0</formula>
    </cfRule>
  </conditionalFormatting>
  <conditionalFormatting sqref="C69">
    <cfRule type="cellIs" dxfId="1301" priority="178" stopIfTrue="1" operator="greaterThan">
      <formula>$F68</formula>
    </cfRule>
  </conditionalFormatting>
  <conditionalFormatting sqref="C70:C72">
    <cfRule type="cellIs" dxfId="1300" priority="123" stopIfTrue="1" operator="greaterThan">
      <formula>$F70</formula>
    </cfRule>
  </conditionalFormatting>
  <conditionalFormatting sqref="C70:C73">
    <cfRule type="cellIs" dxfId="1299" priority="127" stopIfTrue="1" operator="lessThanOrEqual">
      <formula>0</formula>
    </cfRule>
  </conditionalFormatting>
  <conditionalFormatting sqref="C73">
    <cfRule type="cellIs" dxfId="1298" priority="126" stopIfTrue="1" operator="greaterThan">
      <formula>$J73</formula>
    </cfRule>
  </conditionalFormatting>
  <conditionalFormatting sqref="C79:C83">
    <cfRule type="cellIs" dxfId="1297" priority="166" stopIfTrue="1" operator="lessThanOrEqual">
      <formula>0</formula>
    </cfRule>
  </conditionalFormatting>
  <conditionalFormatting sqref="C80:C83">
    <cfRule type="cellIs" dxfId="1296" priority="165" stopIfTrue="1" operator="greaterThan">
      <formula>$F$79</formula>
    </cfRule>
  </conditionalFormatting>
  <conditionalFormatting sqref="C85">
    <cfRule type="cellIs" dxfId="1295" priority="167" stopIfTrue="1" operator="greaterThan">
      <formula>$F$79</formula>
    </cfRule>
    <cfRule type="cellIs" dxfId="1294" priority="168" stopIfTrue="1" operator="lessThanOrEqual">
      <formula>0</formula>
    </cfRule>
  </conditionalFormatting>
  <conditionalFormatting sqref="C79:D79 D81:D87">
    <cfRule type="cellIs" dxfId="1293" priority="160" stopIfTrue="1" operator="greaterThan">
      <formula>4.5</formula>
    </cfRule>
  </conditionalFormatting>
  <conditionalFormatting sqref="D53:D54">
    <cfRule type="cellIs" dxfId="1292" priority="144" operator="notBetween">
      <formula>#REF!</formula>
      <formula>#REF!</formula>
    </cfRule>
  </conditionalFormatting>
  <conditionalFormatting sqref="D68:D75">
    <cfRule type="cellIs" dxfId="1291" priority="137" stopIfTrue="1" operator="lessThanOrEqual">
      <formula>0</formula>
    </cfRule>
  </conditionalFormatting>
  <conditionalFormatting sqref="D76">
    <cfRule type="cellIs" dxfId="1290" priority="136" stopIfTrue="1" operator="lessThanOrEqual">
      <formula>0</formula>
    </cfRule>
  </conditionalFormatting>
  <conditionalFormatting sqref="D79 D81:D87">
    <cfRule type="cellIs" dxfId="1289" priority="161" stopIfTrue="1" operator="lessThanOrEqual">
      <formula>0</formula>
    </cfRule>
  </conditionalFormatting>
  <conditionalFormatting sqref="D80">
    <cfRule type="cellIs" dxfId="1288" priority="152" stopIfTrue="1" operator="greaterThan">
      <formula>$F$79</formula>
    </cfRule>
    <cfRule type="cellIs" dxfId="1287" priority="153" stopIfTrue="1" operator="lessThanOrEqual">
      <formula>0</formula>
    </cfRule>
  </conditionalFormatting>
  <conditionalFormatting sqref="D68:E77">
    <cfRule type="cellIs" dxfId="1286" priority="99" stopIfTrue="1" operator="greaterThan">
      <formula>$F68</formula>
    </cfRule>
  </conditionalFormatting>
  <conditionalFormatting sqref="D77:E77">
    <cfRule type="cellIs" dxfId="1285" priority="100" stopIfTrue="1" operator="lessThanOrEqual">
      <formula>0</formula>
    </cfRule>
  </conditionalFormatting>
  <conditionalFormatting sqref="E10:E28">
    <cfRule type="cellIs" dxfId="1284" priority="8" operator="lessThan">
      <formula>48</formula>
    </cfRule>
  </conditionalFormatting>
  <conditionalFormatting sqref="E57">
    <cfRule type="cellIs" dxfId="1283" priority="154" stopIfTrue="1" operator="lessThan">
      <formula>96.8</formula>
    </cfRule>
    <cfRule type="cellIs" dxfId="1282" priority="155" stopIfTrue="1" operator="greaterThan">
      <formula>100</formula>
    </cfRule>
  </conditionalFormatting>
  <conditionalFormatting sqref="E68:E76">
    <cfRule type="cellIs" dxfId="1281" priority="131" stopIfTrue="1" operator="lessThanOrEqual">
      <formula>0</formula>
    </cfRule>
  </conditionalFormatting>
  <conditionalFormatting sqref="E79:E87">
    <cfRule type="cellIs" dxfId="1280" priority="147" stopIfTrue="1" operator="lessThanOrEqual">
      <formula>0</formula>
    </cfRule>
    <cfRule type="cellIs" dxfId="1279" priority="146" stopIfTrue="1" operator="greaterThan">
      <formula>4.5</formula>
    </cfRule>
  </conditionalFormatting>
  <conditionalFormatting sqref="E56:F57">
    <cfRule type="cellIs" dxfId="1278" priority="156" stopIfTrue="1" operator="lessThan">
      <formula>96.5</formula>
    </cfRule>
    <cfRule type="cellIs" dxfId="1277" priority="157" stopIfTrue="1" operator="greaterThan">
      <formula>100</formula>
    </cfRule>
  </conditionalFormatting>
  <conditionalFormatting sqref="F10:F28">
    <cfRule type="cellIs" dxfId="1276" priority="10" operator="greaterThan">
      <formula>60</formula>
    </cfRule>
  </conditionalFormatting>
  <conditionalFormatting sqref="F57">
    <cfRule type="cellIs" dxfId="1275" priority="172" stopIfTrue="1" operator="lessThan">
      <formula>96.8</formula>
    </cfRule>
    <cfRule type="cellIs" dxfId="1274" priority="173" stopIfTrue="1" operator="greaterThan">
      <formula>100</formula>
    </cfRule>
  </conditionalFormatting>
  <conditionalFormatting sqref="F77">
    <cfRule type="cellIs" dxfId="1273" priority="132" stopIfTrue="1" operator="greaterThan">
      <formula>$F77</formula>
    </cfRule>
    <cfRule type="cellIs" dxfId="1272" priority="133" stopIfTrue="1" operator="lessThanOrEqual">
      <formula>0</formula>
    </cfRule>
  </conditionalFormatting>
  <conditionalFormatting sqref="G68:G69 C74:C76">
    <cfRule type="cellIs" dxfId="1271" priority="139" stopIfTrue="1" operator="lessThanOrEqual">
      <formula>0</formula>
    </cfRule>
    <cfRule type="cellIs" dxfId="1270" priority="138" stopIfTrue="1" operator="greaterThan">
      <formula>$F68</formula>
    </cfRule>
  </conditionalFormatting>
  <conditionalFormatting sqref="G68:G69">
    <cfRule type="cellIs" dxfId="1269" priority="105" stopIfTrue="1" operator="lessThanOrEqual">
      <formula>0</formula>
    </cfRule>
    <cfRule type="cellIs" dxfId="1268" priority="104" stopIfTrue="1" operator="greaterThan">
      <formula>$F68</formula>
    </cfRule>
  </conditionalFormatting>
  <conditionalFormatting sqref="G70">
    <cfRule type="cellIs" dxfId="1267" priority="177" stopIfTrue="1" operator="lessThanOrEqual">
      <formula>0</formula>
    </cfRule>
    <cfRule type="cellIs" dxfId="1266" priority="176" stopIfTrue="1" operator="greaterThan">
      <formula>$F69</formula>
    </cfRule>
  </conditionalFormatting>
  <conditionalFormatting sqref="G71">
    <cfRule type="cellIs" dxfId="1265" priority="134" stopIfTrue="1" operator="greaterThan">
      <formula>$F71</formula>
    </cfRule>
    <cfRule type="cellIs" dxfId="1264" priority="135" stopIfTrue="1" operator="lessThanOrEqual">
      <formula>0</formula>
    </cfRule>
  </conditionalFormatting>
  <conditionalFormatting sqref="G72:G76">
    <cfRule type="cellIs" dxfId="1263" priority="140" stopIfTrue="1" operator="greaterThan">
      <formula>$J72</formula>
    </cfRule>
    <cfRule type="cellIs" dxfId="1262" priority="141" stopIfTrue="1" operator="lessThanOrEqual">
      <formula>0</formula>
    </cfRule>
  </conditionalFormatting>
  <conditionalFormatting sqref="G81:G86 C84 C86">
    <cfRule type="cellIs" dxfId="1261" priority="169" stopIfTrue="1" operator="greaterThan">
      <formula>4.5</formula>
    </cfRule>
    <cfRule type="cellIs" dxfId="1260" priority="170" stopIfTrue="1" operator="lessThanOrEqual">
      <formula>0</formula>
    </cfRule>
  </conditionalFormatting>
  <conditionalFormatting sqref="G10:H15">
    <cfRule type="expression" dxfId="1259" priority="1">
      <formula>IF(+(IF(G10&lt;S10,0,IF(G10&gt;T10,0,1)))=0,1)</formula>
    </cfRule>
  </conditionalFormatting>
  <conditionalFormatting sqref="G16:H18">
    <cfRule type="expression" dxfId="1258" priority="12">
      <formula>IF(+(IF(G16&lt;$S$15,0,IF(G16&gt;$T$15,0,1)))=0,1)</formula>
    </cfRule>
  </conditionalFormatting>
  <conditionalFormatting sqref="G19:H28">
    <cfRule type="expression" dxfId="1257" priority="34">
      <formula>IF(+(IF(G19&lt;#REF!,0,IF(G19&gt;#REF!,0,1)))=0,1)</formula>
    </cfRule>
  </conditionalFormatting>
  <conditionalFormatting sqref="G80:H80">
    <cfRule type="cellIs" dxfId="1256" priority="150" stopIfTrue="1" operator="greaterThan">
      <formula>$F$79</formula>
    </cfRule>
    <cfRule type="cellIs" dxfId="1255" priority="151" stopIfTrue="1" operator="lessThanOrEqual">
      <formula>0</formula>
    </cfRule>
  </conditionalFormatting>
  <conditionalFormatting sqref="H42:H56 G43:G54">
    <cfRule type="cellIs" dxfId="1254" priority="148" stopIfTrue="1" operator="greaterThan">
      <formula>0</formula>
    </cfRule>
  </conditionalFormatting>
  <conditionalFormatting sqref="H60">
    <cfRule type="cellIs" dxfId="1253" priority="48" stopIfTrue="1" operator="lessThanOrEqual">
      <formula>0</formula>
    </cfRule>
    <cfRule type="cellIs" dxfId="1252" priority="39" stopIfTrue="1" operator="greaterThan">
      <formula>#REF!</formula>
    </cfRule>
    <cfRule type="cellIs" dxfId="1251" priority="47" stopIfTrue="1" operator="greaterThan">
      <formula>#REF!</formula>
    </cfRule>
    <cfRule type="cellIs" dxfId="1250" priority="38" stopIfTrue="1" operator="lessThanOrEqual">
      <formula>0</formula>
    </cfRule>
  </conditionalFormatting>
  <conditionalFormatting sqref="H61:H62">
    <cfRule type="cellIs" dxfId="1249" priority="73" stopIfTrue="1" operator="greaterThan">
      <formula>$F$41</formula>
    </cfRule>
    <cfRule type="cellIs" dxfId="1248" priority="82" stopIfTrue="1" operator="lessThanOrEqual">
      <formula>0</formula>
    </cfRule>
    <cfRule type="cellIs" dxfId="1247" priority="81" stopIfTrue="1" operator="greaterThan">
      <formula>$F$44</formula>
    </cfRule>
    <cfRule type="cellIs" dxfId="1246" priority="83" stopIfTrue="1" operator="greaterThan">
      <formula>$F$42</formula>
    </cfRule>
    <cfRule type="cellIs" dxfId="1245" priority="84" stopIfTrue="1" operator="lessThanOrEqual">
      <formula>0</formula>
    </cfRule>
    <cfRule type="cellIs" dxfId="1244" priority="58" stopIfTrue="1" operator="lessThanOrEqual">
      <formula>0</formula>
    </cfRule>
  </conditionalFormatting>
  <conditionalFormatting sqref="H63">
    <cfRule type="cellIs" dxfId="1243" priority="122" stopIfTrue="1" operator="lessThanOrEqual">
      <formula>0</formula>
    </cfRule>
    <cfRule type="cellIs" dxfId="1242" priority="121" stopIfTrue="1" operator="greaterThan">
      <formula>$F$68</formula>
    </cfRule>
    <cfRule type="cellIs" dxfId="1241" priority="120" stopIfTrue="1" operator="lessThanOrEqual">
      <formula>0</formula>
    </cfRule>
    <cfRule type="cellIs" dxfId="1240" priority="119" stopIfTrue="1" operator="greaterThan">
      <formula>$F$70</formula>
    </cfRule>
    <cfRule type="cellIs" dxfId="1239" priority="111" stopIfTrue="1" operator="greaterThan">
      <formula>$F$67</formula>
    </cfRule>
    <cfRule type="cellIs" dxfId="1238" priority="110" stopIfTrue="1" operator="lessThanOrEqual">
      <formula>0</formula>
    </cfRule>
  </conditionalFormatting>
  <conditionalFormatting sqref="H64">
    <cfRule type="cellIs" dxfId="1237" priority="69" stopIfTrue="1" operator="greaterThan">
      <formula>$F$44</formula>
    </cfRule>
    <cfRule type="cellIs" dxfId="1236" priority="70" stopIfTrue="1" operator="lessThanOrEqual">
      <formula>0</formula>
    </cfRule>
    <cfRule type="cellIs" dxfId="1235" priority="71" stopIfTrue="1" operator="greaterThan">
      <formula>$F$42</formula>
    </cfRule>
    <cfRule type="cellIs" dxfId="1234" priority="72" stopIfTrue="1" operator="lessThanOrEqual">
      <formula>0</formula>
    </cfRule>
    <cfRule type="cellIs" dxfId="1233" priority="60" stopIfTrue="1" operator="lessThanOrEqual">
      <formula>0</formula>
    </cfRule>
    <cfRule type="cellIs" dxfId="1232" priority="61" stopIfTrue="1" operator="greaterThan">
      <formula>$F$41</formula>
    </cfRule>
  </conditionalFormatting>
  <conditionalFormatting sqref="H68:H75">
    <cfRule type="cellIs" dxfId="1231" priority="124" stopIfTrue="1" operator="greaterThan">
      <formula>$J68</formula>
    </cfRule>
    <cfRule type="cellIs" dxfId="1230" priority="125" stopIfTrue="1" operator="lessThanOrEqual">
      <formula>0</formula>
    </cfRule>
  </conditionalFormatting>
  <conditionalFormatting sqref="H76">
    <cfRule type="cellIs" dxfId="1229" priority="128" operator="greaterThan">
      <formula>5.3</formula>
    </cfRule>
  </conditionalFormatting>
  <conditionalFormatting sqref="H79 H81:H87">
    <cfRule type="cellIs" dxfId="1228" priority="162" stopIfTrue="1" operator="greaterThan">
      <formula>4.5</formula>
    </cfRule>
    <cfRule type="cellIs" dxfId="1227" priority="163" stopIfTrue="1" operator="lessThanOrEqual">
      <formula>0</formula>
    </cfRule>
  </conditionalFormatting>
  <conditionalFormatting sqref="H60:I60">
    <cfRule type="cellIs" dxfId="1226" priority="46" stopIfTrue="1" operator="lessThanOrEqual">
      <formula>0</formula>
    </cfRule>
    <cfRule type="cellIs" dxfId="1225" priority="37" stopIfTrue="1" operator="greaterThan">
      <formula>#REF!</formula>
    </cfRule>
    <cfRule type="cellIs" dxfId="1224" priority="40" stopIfTrue="1" operator="lessThanOrEqual">
      <formula>0</formula>
    </cfRule>
    <cfRule type="cellIs" dxfId="1223" priority="45" stopIfTrue="1" operator="greaterThan">
      <formula>#REF!</formula>
    </cfRule>
  </conditionalFormatting>
  <conditionalFormatting sqref="H61:I62">
    <cfRule type="cellIs" dxfId="1222" priority="74" stopIfTrue="1" operator="lessThanOrEqual">
      <formula>0</formula>
    </cfRule>
    <cfRule type="cellIs" dxfId="1221" priority="57" stopIfTrue="1" operator="greaterThan">
      <formula>$F$43</formula>
    </cfRule>
  </conditionalFormatting>
  <conditionalFormatting sqref="H63:I63">
    <cfRule type="cellIs" dxfId="1220" priority="109" stopIfTrue="1" operator="greaterThan">
      <formula>$F$69</formula>
    </cfRule>
    <cfRule type="cellIs" dxfId="1219" priority="112" stopIfTrue="1" operator="lessThanOrEqual">
      <formula>0</formula>
    </cfRule>
  </conditionalFormatting>
  <conditionalFormatting sqref="H64:I64">
    <cfRule type="cellIs" dxfId="1218" priority="62" stopIfTrue="1" operator="lessThanOrEqual">
      <formula>0</formula>
    </cfRule>
    <cfRule type="cellIs" dxfId="1217" priority="59" stopIfTrue="1" operator="greaterThan">
      <formula>$F$43</formula>
    </cfRule>
  </conditionalFormatting>
  <conditionalFormatting sqref="H77:I77">
    <cfRule type="cellIs" dxfId="1216" priority="98" stopIfTrue="1" operator="lessThanOrEqual">
      <formula>0</formula>
    </cfRule>
    <cfRule type="cellIs" dxfId="1215" priority="97" stopIfTrue="1" operator="greaterThan">
      <formula>$J77</formula>
    </cfRule>
  </conditionalFormatting>
  <conditionalFormatting sqref="I19 I20:J23 I24:I28">
    <cfRule type="cellIs" dxfId="1214" priority="56" operator="lessThan">
      <formula>97.9</formula>
    </cfRule>
  </conditionalFormatting>
  <conditionalFormatting sqref="I60">
    <cfRule type="cellIs" dxfId="1213" priority="42" stopIfTrue="1" operator="lessThanOrEqual">
      <formula>0</formula>
    </cfRule>
    <cfRule type="cellIs" dxfId="1212" priority="43" stopIfTrue="1" operator="greaterThan">
      <formula>#REF!</formula>
    </cfRule>
    <cfRule type="cellIs" dxfId="1211" priority="44" stopIfTrue="1" operator="lessThanOrEqual">
      <formula>0</formula>
    </cfRule>
    <cfRule type="cellIs" dxfId="1210" priority="41" stopIfTrue="1" operator="greaterThan">
      <formula>#REF!</formula>
    </cfRule>
  </conditionalFormatting>
  <conditionalFormatting sqref="I61:I62">
    <cfRule type="cellIs" dxfId="1209" priority="79" stopIfTrue="1" operator="greaterThan">
      <formula>$F$41</formula>
    </cfRule>
    <cfRule type="cellIs" dxfId="1208" priority="77" stopIfTrue="1" operator="greaterThan">
      <formula>$F$43</formula>
    </cfRule>
    <cfRule type="cellIs" dxfId="1207" priority="78" stopIfTrue="1" operator="lessThanOrEqual">
      <formula>0</formula>
    </cfRule>
    <cfRule type="cellIs" dxfId="1206" priority="75" stopIfTrue="1" operator="greaterThan">
      <formula>$F$41</formula>
    </cfRule>
    <cfRule type="cellIs" dxfId="1205" priority="76" stopIfTrue="1" operator="lessThanOrEqual">
      <formula>0</formula>
    </cfRule>
    <cfRule type="cellIs" dxfId="1204" priority="80" stopIfTrue="1" operator="lessThanOrEqual">
      <formula>0</formula>
    </cfRule>
  </conditionalFormatting>
  <conditionalFormatting sqref="I63">
    <cfRule type="cellIs" dxfId="1203" priority="113" stopIfTrue="1" operator="greaterThan">
      <formula>$F$67</formula>
    </cfRule>
    <cfRule type="cellIs" dxfId="1202" priority="114" stopIfTrue="1" operator="lessThanOrEqual">
      <formula>0</formula>
    </cfRule>
    <cfRule type="cellIs" dxfId="1201" priority="115" stopIfTrue="1" operator="greaterThan">
      <formula>$F$69</formula>
    </cfRule>
    <cfRule type="cellIs" dxfId="1200" priority="116" stopIfTrue="1" operator="lessThanOrEqual">
      <formula>0</formula>
    </cfRule>
    <cfRule type="cellIs" dxfId="1199" priority="118" stopIfTrue="1" operator="lessThanOrEqual">
      <formula>0</formula>
    </cfRule>
    <cfRule type="cellIs" dxfId="1198" priority="117" stopIfTrue="1" operator="greaterThan">
      <formula>$F$67</formula>
    </cfRule>
  </conditionalFormatting>
  <conditionalFormatting sqref="I64">
    <cfRule type="cellIs" dxfId="1197" priority="68" stopIfTrue="1" operator="lessThanOrEqual">
      <formula>0</formula>
    </cfRule>
    <cfRule type="cellIs" dxfId="1196" priority="66" stopIfTrue="1" operator="lessThanOrEqual">
      <formula>0</formula>
    </cfRule>
    <cfRule type="cellIs" dxfId="1195" priority="65" stopIfTrue="1" operator="greaterThan">
      <formula>$F$43</formula>
    </cfRule>
    <cfRule type="cellIs" dxfId="1194" priority="64" stopIfTrue="1" operator="lessThanOrEqual">
      <formula>0</formula>
    </cfRule>
    <cfRule type="cellIs" dxfId="1193" priority="63" stopIfTrue="1" operator="greaterThan">
      <formula>$F$41</formula>
    </cfRule>
    <cfRule type="cellIs" dxfId="1192" priority="67" stopIfTrue="1" operator="greaterThan">
      <formula>$F$41</formula>
    </cfRule>
  </conditionalFormatting>
  <conditionalFormatting sqref="I68:I76">
    <cfRule type="cellIs" dxfId="1191" priority="129" stopIfTrue="1" operator="greaterThan">
      <formula>$J68</formula>
    </cfRule>
    <cfRule type="cellIs" dxfId="1190" priority="130" stopIfTrue="1" operator="lessThanOrEqual">
      <formula>0</formula>
    </cfRule>
  </conditionalFormatting>
  <conditionalFormatting sqref="I79:I87">
    <cfRule type="cellIs" dxfId="1189" priority="159" stopIfTrue="1" operator="lessThanOrEqual">
      <formula>0</formula>
    </cfRule>
    <cfRule type="cellIs" dxfId="1188" priority="158" stopIfTrue="1" operator="greaterThan">
      <formula>4.5</formula>
    </cfRule>
  </conditionalFormatting>
  <conditionalFormatting sqref="I10:J18">
    <cfRule type="cellIs" dxfId="1187" priority="11" operator="lessThan">
      <formula>97.9</formula>
    </cfRule>
  </conditionalFormatting>
  <conditionalFormatting sqref="J19 K20:K23 J24:J28">
    <cfRule type="cellIs" dxfId="1186" priority="51" operator="greaterThan">
      <formula>6</formula>
    </cfRule>
    <cfRule type="cellIs" dxfId="1185" priority="52" operator="lessThan">
      <formula>4</formula>
    </cfRule>
    <cfRule type="cellIs" dxfId="1184" priority="55" operator="greaterThan">
      <formula>6.4</formula>
    </cfRule>
  </conditionalFormatting>
  <conditionalFormatting sqref="J31:J33">
    <cfRule type="cellIs" dxfId="1183" priority="87" stopIfTrue="1" operator="lessThan">
      <formula>96.8</formula>
    </cfRule>
    <cfRule type="cellIs" dxfId="1182" priority="88" stopIfTrue="1" operator="greaterThan">
      <formula>100</formula>
    </cfRule>
    <cfRule type="cellIs" dxfId="1181" priority="89" operator="lessThan">
      <formula>98</formula>
    </cfRule>
  </conditionalFormatting>
  <conditionalFormatting sqref="J31:J35">
    <cfRule type="cellIs" dxfId="1180" priority="86" operator="lessThan">
      <formula>97.4</formula>
    </cfRule>
  </conditionalFormatting>
  <conditionalFormatting sqref="J36">
    <cfRule type="cellIs" dxfId="1179" priority="90" operator="lessThan">
      <formula>98</formula>
    </cfRule>
  </conditionalFormatting>
  <conditionalFormatting sqref="J37:J39">
    <cfRule type="cellIs" dxfId="1178" priority="92" stopIfTrue="1" operator="greaterThan">
      <formula>100</formula>
    </cfRule>
    <cfRule type="cellIs" dxfId="1177" priority="91" stopIfTrue="1" operator="lessThan">
      <formula>96.8</formula>
    </cfRule>
  </conditionalFormatting>
  <conditionalFormatting sqref="J37:J40">
    <cfRule type="cellIs" dxfId="1176" priority="93" operator="lessThan">
      <formula>98</formula>
    </cfRule>
  </conditionalFormatting>
  <conditionalFormatting sqref="J77">
    <cfRule type="cellIs" dxfId="1175" priority="94" stopIfTrue="1" operator="greaterThan">
      <formula>$F77</formula>
    </cfRule>
    <cfRule type="cellIs" dxfId="1174" priority="95" stopIfTrue="1" operator="lessThanOrEqual">
      <formula>0</formula>
    </cfRule>
  </conditionalFormatting>
  <conditionalFormatting sqref="J16:K18">
    <cfRule type="cellIs" dxfId="1173" priority="20" operator="greaterThan">
      <formula>6.4</formula>
    </cfRule>
    <cfRule type="cellIs" dxfId="1172" priority="16" operator="lessThan">
      <formula>4</formula>
    </cfRule>
    <cfRule type="cellIs" dxfId="1171" priority="15" operator="greaterThan">
      <formula>6</formula>
    </cfRule>
  </conditionalFormatting>
  <conditionalFormatting sqref="K10:K15">
    <cfRule type="cellIs" dxfId="1170" priority="9" operator="greaterThan">
      <formula>6.4</formula>
    </cfRule>
    <cfRule type="cellIs" dxfId="1169" priority="5" operator="lessThan">
      <formula>4</formula>
    </cfRule>
    <cfRule type="cellIs" dxfId="1168" priority="4" operator="greaterThan">
      <formula>6</formula>
    </cfRule>
  </conditionalFormatting>
  <conditionalFormatting sqref="K19 L20:L23 K24:K28">
    <cfRule type="cellIs" dxfId="1167" priority="53" operator="between">
      <formula>61</formula>
      <formula>65</formula>
    </cfRule>
    <cfRule type="cellIs" dxfId="1166" priority="54" operator="greaterThan">
      <formula>65</formula>
    </cfRule>
  </conditionalFormatting>
  <conditionalFormatting sqref="K45:K54">
    <cfRule type="cellIs" dxfId="1165" priority="85" operator="notEqual">
      <formula>#REF!</formula>
    </cfRule>
  </conditionalFormatting>
  <conditionalFormatting sqref="K60:K64 K68:N71 L72:N72">
    <cfRule type="cellIs" dxfId="1164" priority="142" stopIfTrue="1" operator="lessThan">
      <formula>100%</formula>
    </cfRule>
  </conditionalFormatting>
  <conditionalFormatting sqref="K79:K84">
    <cfRule type="cellIs" dxfId="1163" priority="164" stopIfTrue="1" operator="lessThan">
      <formula>100%</formula>
    </cfRule>
  </conditionalFormatting>
  <conditionalFormatting sqref="K86:K87">
    <cfRule type="cellIs" dxfId="1162" priority="171" stopIfTrue="1" operator="lessThan">
      <formula>100%</formula>
    </cfRule>
  </conditionalFormatting>
  <conditionalFormatting sqref="K16:L18">
    <cfRule type="cellIs" dxfId="1161" priority="17" operator="between">
      <formula>61</formula>
      <formula>65</formula>
    </cfRule>
    <cfRule type="cellIs" dxfId="1160" priority="18" operator="greaterThan">
      <formula>65</formula>
    </cfRule>
  </conditionalFormatting>
  <conditionalFormatting sqref="K73:N77">
    <cfRule type="cellIs" dxfId="1159" priority="96" stopIfTrue="1" operator="lessThan">
      <formula>100%</formula>
    </cfRule>
  </conditionalFormatting>
  <conditionalFormatting sqref="L10:L15">
    <cfRule type="cellIs" dxfId="1158" priority="6" operator="between">
      <formula>61</formula>
      <formula>65</formula>
    </cfRule>
    <cfRule type="cellIs" dxfId="1157" priority="7" operator="greaterThan">
      <formula>65</formula>
    </cfRule>
  </conditionalFormatting>
  <conditionalFormatting sqref="L19 M19:M23 L24:M28">
    <cfRule type="expression" dxfId="1156" priority="50">
      <formula>IF(+(IF(L19&lt;T19,0,IF(L19&gt;U19,0,1)))=0,1)</formula>
    </cfRule>
  </conditionalFormatting>
  <conditionalFormatting sqref="L16:M18">
    <cfRule type="expression" dxfId="1155" priority="13">
      <formula>IF(+(IF(L16&lt;U16,0,IF(L16&gt;V16,0,1)))=0,1)</formula>
    </cfRule>
  </conditionalFormatting>
  <conditionalFormatting sqref="L31:M42">
    <cfRule type="cellIs" dxfId="1154" priority="101" operator="lessThan">
      <formula>98</formula>
    </cfRule>
  </conditionalFormatting>
  <conditionalFormatting sqref="L46:N46">
    <cfRule type="cellIs" dxfId="1153" priority="106" operator="notEqual">
      <formula>#REF!</formula>
    </cfRule>
  </conditionalFormatting>
  <conditionalFormatting sqref="L79:N87">
    <cfRule type="cellIs" dxfId="1152" priority="149" stopIfTrue="1" operator="lessThan">
      <formula>100%</formula>
    </cfRule>
  </conditionalFormatting>
  <conditionalFormatting sqref="M10:M15">
    <cfRule type="expression" dxfId="1151" priority="2">
      <formula>IF(+(IF(M10&lt;U10,0,IF(M10&gt;V10,0,1)))=0,1)</formula>
    </cfRule>
  </conditionalFormatting>
  <conditionalFormatting sqref="M6:N6">
    <cfRule type="cellIs" dxfId="1150" priority="107" operator="greaterThanOrEqual">
      <formula>15</formula>
    </cfRule>
    <cfRule type="cellIs" dxfId="1149" priority="108" operator="greaterThanOrEqual">
      <formula>19</formula>
    </cfRule>
  </conditionalFormatting>
  <conditionalFormatting sqref="M16:N18">
    <cfRule type="expression" dxfId="1148" priority="14">
      <formula>IF(+(IF(M16&lt;W16,0,IF(M16&gt;X16,0,1)))=0,1)</formula>
    </cfRule>
  </conditionalFormatting>
  <conditionalFormatting sqref="N10:N15">
    <cfRule type="expression" dxfId="1147" priority="3">
      <formula>IF(+(IF(N10&lt;W10,0,IF(N10&gt;X10,0,1)))=0,1)</formula>
    </cfRule>
  </conditionalFormatting>
  <conditionalFormatting sqref="N19:N28">
    <cfRule type="expression" dxfId="1146" priority="49">
      <formula>IF(+(IF(N19&lt;W19,0,IF(N19&gt;X19,0,1)))=0,1)</formula>
    </cfRule>
  </conditionalFormatting>
  <conditionalFormatting sqref="P6">
    <cfRule type="cellIs" dxfId="1145" priority="145" operator="greaterThanOrEqual">
      <formula>19</formula>
    </cfRule>
  </conditionalFormatting>
  <dataValidations disablePrompts="1" count="1">
    <dataValidation type="list" allowBlank="1" showInputMessage="1" showErrorMessage="1" sqref="R8" xr:uid="{F3F1FA19-77FE-4A21-8852-224D378AD3E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DD7A-EF15-4F27-9035-01CC29371D07}">
  <sheetPr>
    <pageSetUpPr fitToPage="1"/>
  </sheetPr>
  <dimension ref="A1:BE125"/>
  <sheetViews>
    <sheetView topLeftCell="A75" zoomScale="70" zoomScaleNormal="70" workbookViewId="0">
      <selection activeCell="H104" sqref="H104:I104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8.6640625" style="275" bestFit="1" customWidth="1"/>
    <col min="7" max="7" width="26.44140625" style="275" customWidth="1"/>
    <col min="8" max="8" width="27" style="275" customWidth="1"/>
    <col min="9" max="9" width="26.109375" style="275" customWidth="1"/>
    <col min="10" max="10" width="31.6640625" style="275" customWidth="1"/>
    <col min="11" max="11" width="29.10937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45769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189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14.4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449">
        <v>45764</v>
      </c>
      <c r="C10" s="366"/>
      <c r="D10" s="279"/>
      <c r="E10" s="279"/>
      <c r="F10" s="278"/>
      <c r="G10" s="279"/>
      <c r="H10" s="396"/>
      <c r="I10" s="434"/>
      <c r="J10" s="434"/>
      <c r="K10" s="398"/>
      <c r="L10" s="276"/>
      <c r="M10" s="374"/>
      <c r="N10" s="370"/>
      <c r="O10" s="435"/>
      <c r="P10" s="443"/>
      <c r="R10" s="277"/>
      <c r="S10" s="296"/>
      <c r="T10" s="296"/>
      <c r="U10" s="297"/>
      <c r="V10" s="297"/>
      <c r="W10" s="297"/>
      <c r="X10" s="297"/>
      <c r="Y10" s="297"/>
      <c r="Z10" s="296"/>
    </row>
    <row r="11" spans="2:29" ht="15.75" customHeight="1">
      <c r="B11" s="34" t="s">
        <v>12</v>
      </c>
      <c r="C11" s="366" t="str">
        <f>[22]Brewhouse!$A44</f>
        <v>GU038</v>
      </c>
      <c r="D11" s="279">
        <f>[22]Brewhouse!$AF44</f>
        <v>58.5</v>
      </c>
      <c r="E11" s="279">
        <f>[22]Brewhouse!$AI44</f>
        <v>53.8</v>
      </c>
      <c r="F11" s="278">
        <f>[22]Brewhouse!$V44</f>
        <v>66</v>
      </c>
      <c r="G11" s="279">
        <f>[22]Brewhouse!$AG44</f>
        <v>18</v>
      </c>
      <c r="H11" s="367"/>
      <c r="I11" s="434">
        <f>[22]Brewhouse!$AU44</f>
        <v>102.72591618996796</v>
      </c>
      <c r="J11" s="434">
        <f>[22]Brewhouse!$AV44</f>
        <v>104.11772078915043</v>
      </c>
      <c r="K11" s="398">
        <f>[22]Brewhouse!$R44</f>
        <v>2.1917808219177983</v>
      </c>
      <c r="L11" s="276">
        <f>[22]Brewhouse!$O44</f>
        <v>56</v>
      </c>
      <c r="M11" s="374">
        <f>[22]Brewhouse!$U44-[22]Brewhouse!$T44</f>
        <v>0.14513888888888893</v>
      </c>
      <c r="N11" s="370">
        <f>[22]Brewhouse!$Z44</f>
        <v>0.30277777777777781</v>
      </c>
      <c r="O11" s="435" t="str">
        <f>[22]Brewhouse!$AW44</f>
        <v>G. Mason</v>
      </c>
      <c r="P11" s="443"/>
      <c r="R11" s="277" t="str">
        <f t="shared" ref="R11:R73" si="0">B11</f>
        <v>GUINNESS</v>
      </c>
      <c r="S11" s="296">
        <f t="shared" ref="S11:S73" si="1">VLOOKUP($B11,$R$3:$X$9,2,FALSE)</f>
        <v>17</v>
      </c>
      <c r="T11" s="296">
        <f t="shared" ref="T11:T73" si="2">VLOOKUP($B11,$R$3:$X$9,3,FALSE)</f>
        <v>17.5</v>
      </c>
      <c r="U11" s="297">
        <f t="shared" ref="U11:U73" si="3">VLOOKUP($B11,$R$3:$X$9,4,FALSE)</f>
        <v>0</v>
      </c>
      <c r="V11" s="297">
        <f t="shared" ref="V11:V73" si="4">VLOOKUP($B11,$R$3:$X$9,5,FALSE)</f>
        <v>0.1076388888888889</v>
      </c>
      <c r="W11" s="297">
        <f t="shared" ref="W11:W73" si="5">VLOOKUP($B11,$R$3:$X$9,6,FALSE)</f>
        <v>0.24652777777777779</v>
      </c>
      <c r="X11" s="297">
        <f t="shared" ref="X11:X73" si="6">VLOOKUP($B11,$R$3:$X$9,7,FALSE)</f>
        <v>0.28472222222222221</v>
      </c>
      <c r="Y11" s="297">
        <f t="shared" ref="Y11:Y73" si="7">VLOOKUP($B11,$R$3:$Z$9,8,FALSE)</f>
        <v>0</v>
      </c>
      <c r="Z11" s="296">
        <f t="shared" ref="Z11:Z73" si="8">VLOOKUP($B11,$R$3:$Z$9,9,FALSE)</f>
        <v>60</v>
      </c>
    </row>
    <row r="12" spans="2:29" ht="15.75" customHeight="1">
      <c r="B12" s="34" t="s">
        <v>12</v>
      </c>
      <c r="C12" s="366" t="str">
        <f>[22]Brewhouse!$A45</f>
        <v>GU039</v>
      </c>
      <c r="D12" s="279">
        <f>[22]Brewhouse!$AF45</f>
        <v>57.9</v>
      </c>
      <c r="E12" s="279">
        <f>[22]Brewhouse!$AI45</f>
        <v>53.3</v>
      </c>
      <c r="F12" s="278">
        <f>[22]Brewhouse!$V45</f>
        <v>70</v>
      </c>
      <c r="G12" s="279">
        <f>[22]Brewhouse!$AG45</f>
        <v>17.3</v>
      </c>
      <c r="H12" s="367"/>
      <c r="I12" s="434">
        <f>[22]Brewhouse!$AU45</f>
        <v>97.552718434345124</v>
      </c>
      <c r="J12" s="434">
        <f>[22]Brewhouse!$AV45</f>
        <v>98.874432829460261</v>
      </c>
      <c r="K12" s="398">
        <f>[22]Brewhouse!$R45</f>
        <v>2.3711340206185612</v>
      </c>
      <c r="L12" s="276">
        <f>[22]Brewhouse!$O45</f>
        <v>57</v>
      </c>
      <c r="M12" s="374">
        <f>[22]Brewhouse!$U45-[22]Brewhouse!$T45</f>
        <v>0.14513888888888887</v>
      </c>
      <c r="N12" s="370">
        <f>[22]Brewhouse!$Z45</f>
        <v>0.30763888888888891</v>
      </c>
      <c r="O12" s="435" t="str">
        <f>[22]Brewhouse!$AW45</f>
        <v>G. Mason</v>
      </c>
      <c r="P12" s="443"/>
      <c r="R12" s="277" t="str">
        <f t="shared" si="0"/>
        <v>GUINNESS</v>
      </c>
      <c r="S12" s="296">
        <f t="shared" si="1"/>
        <v>17</v>
      </c>
      <c r="T12" s="296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296">
        <f t="shared" si="8"/>
        <v>60</v>
      </c>
    </row>
    <row r="13" spans="2:29" ht="41.25" customHeight="1">
      <c r="B13" s="36" t="s">
        <v>15</v>
      </c>
      <c r="C13" s="366" t="str">
        <f>[26]Brewhouse!$A13</f>
        <v>MK009</v>
      </c>
      <c r="D13" s="279">
        <f>[26]Brewhouse!$AF13</f>
        <v>54.8</v>
      </c>
      <c r="E13" s="279">
        <f>[26]Brewhouse!$AI13</f>
        <v>51.4</v>
      </c>
      <c r="F13" s="278">
        <f>[26]Brewhouse!$X13</f>
        <v>54</v>
      </c>
      <c r="G13" s="279">
        <f>[26]Brewhouse!$AG13</f>
        <v>12.94</v>
      </c>
      <c r="H13" s="396">
        <v>12.8</v>
      </c>
      <c r="I13" s="434">
        <f>[26]Brewhouse!$AT13</f>
        <v>93.283411294323415</v>
      </c>
      <c r="J13" s="434">
        <f>[26]Brewhouse!$AU13</f>
        <v>94.609562864615683</v>
      </c>
      <c r="K13" s="398">
        <f>[26]Brewhouse!$S13</f>
        <v>6.470125223613592</v>
      </c>
      <c r="L13" s="276">
        <f>[26]Brewhouse!$R13</f>
        <v>60</v>
      </c>
      <c r="M13" s="374">
        <f>[26]Brewhouse!$W13-[26]Brewhouse!$V13</f>
        <v>0.17222222222222217</v>
      </c>
      <c r="N13" s="370">
        <f>[26]Brewhouse!$AA13</f>
        <v>0.27500000000000002</v>
      </c>
      <c r="O13" s="435" t="str">
        <f>[26]Brewhouse!$AX13</f>
        <v>K.Benjamin</v>
      </c>
      <c r="P13" s="443" t="s">
        <v>193</v>
      </c>
      <c r="R13" s="277" t="str">
        <f t="shared" ref="R13:R16" si="9">B13</f>
        <v>MACKESON</v>
      </c>
      <c r="S13" s="296">
        <f t="shared" si="1"/>
        <v>13.3</v>
      </c>
      <c r="T13" s="296">
        <f t="shared" si="2"/>
        <v>13.5</v>
      </c>
      <c r="U13" s="297">
        <f t="shared" si="3"/>
        <v>0</v>
      </c>
      <c r="V13" s="297">
        <f t="shared" si="4"/>
        <v>0.12905092592592593</v>
      </c>
      <c r="W13" s="297">
        <f t="shared" si="5"/>
        <v>0.27430555555555552</v>
      </c>
      <c r="X13" s="297">
        <f t="shared" si="6"/>
        <v>0.30208333333333331</v>
      </c>
      <c r="Y13" s="297">
        <f t="shared" si="7"/>
        <v>0</v>
      </c>
      <c r="Z13" s="296">
        <f t="shared" si="8"/>
        <v>0</v>
      </c>
    </row>
    <row r="14" spans="2:29" ht="15.75" customHeight="1">
      <c r="B14" s="36" t="s">
        <v>15</v>
      </c>
      <c r="C14" s="366" t="str">
        <f>[26]Brewhouse!$A14</f>
        <v>MK010</v>
      </c>
      <c r="D14" s="279">
        <f>[26]Brewhouse!$AF14</f>
        <v>54.1</v>
      </c>
      <c r="E14" s="279">
        <f>[26]Brewhouse!$AI14</f>
        <v>50.9</v>
      </c>
      <c r="F14" s="278">
        <f>[26]Brewhouse!$X14</f>
        <v>63</v>
      </c>
      <c r="G14" s="279">
        <f>[26]Brewhouse!$AG14</f>
        <v>13.49</v>
      </c>
      <c r="H14" s="396">
        <v>13.5</v>
      </c>
      <c r="I14" s="434">
        <f>[26]Brewhouse!$AT14</f>
        <v>96.364074868449421</v>
      </c>
      <c r="J14" s="434">
        <f>[26]Brewhouse!$AU14</f>
        <v>97.730155923113131</v>
      </c>
      <c r="K14" s="398">
        <f>[26]Brewhouse!$S14</f>
        <v>5.1442680776014145</v>
      </c>
      <c r="L14" s="276">
        <f>[26]Brewhouse!$R14</f>
        <v>77</v>
      </c>
      <c r="M14" s="374">
        <f>[26]Brewhouse!$W14-[26]Brewhouse!$V14</f>
        <v>0.12708333333333333</v>
      </c>
      <c r="N14" s="370">
        <f>[26]Brewhouse!$AA14</f>
        <v>0.26527777777777783</v>
      </c>
      <c r="O14" s="435" t="str">
        <f>[26]Brewhouse!$AX14</f>
        <v>K.Benjamin</v>
      </c>
      <c r="P14" s="443" t="s">
        <v>194</v>
      </c>
      <c r="R14" s="277" t="str">
        <f t="shared" si="9"/>
        <v>MACKESON</v>
      </c>
      <c r="S14" s="296">
        <f t="shared" si="1"/>
        <v>13.3</v>
      </c>
      <c r="T14" s="296">
        <f t="shared" si="2"/>
        <v>13.5</v>
      </c>
      <c r="U14" s="297">
        <f t="shared" si="3"/>
        <v>0</v>
      </c>
      <c r="V14" s="297">
        <f t="shared" si="4"/>
        <v>0.12905092592592593</v>
      </c>
      <c r="W14" s="297">
        <f t="shared" si="5"/>
        <v>0.27430555555555552</v>
      </c>
      <c r="X14" s="297">
        <f t="shared" si="6"/>
        <v>0.30208333333333331</v>
      </c>
      <c r="Y14" s="297">
        <f t="shared" si="7"/>
        <v>0</v>
      </c>
      <c r="Z14" s="296">
        <f t="shared" si="8"/>
        <v>0</v>
      </c>
    </row>
    <row r="15" spans="2:29" ht="15.75" customHeight="1">
      <c r="B15" s="36" t="s">
        <v>15</v>
      </c>
      <c r="C15" s="366" t="str">
        <f>[26]Brewhouse!$A15</f>
        <v>MK011</v>
      </c>
      <c r="D15" s="279">
        <f>[26]Brewhouse!$AF15</f>
        <v>55.2</v>
      </c>
      <c r="E15" s="279">
        <f>[26]Brewhouse!$AI15</f>
        <v>52</v>
      </c>
      <c r="F15" s="278">
        <f>[26]Brewhouse!$X15</f>
        <v>49</v>
      </c>
      <c r="G15" s="279">
        <f>[26]Brewhouse!$AG15</f>
        <v>13.38</v>
      </c>
      <c r="H15" s="396">
        <v>13.4</v>
      </c>
      <c r="I15" s="434">
        <f>[26]Brewhouse!$AT15</f>
        <v>97.47700242710556</v>
      </c>
      <c r="J15" s="434">
        <f>[26]Brewhouse!$AU15</f>
        <v>98.854133364742296</v>
      </c>
      <c r="K15" s="398">
        <f>[26]Brewhouse!$S15</f>
        <v>5.5366609294320117</v>
      </c>
      <c r="L15" s="276">
        <f>[26]Brewhouse!$R15</f>
        <v>77</v>
      </c>
      <c r="M15" s="374">
        <f>[26]Brewhouse!$W15-[26]Brewhouse!$V15</f>
        <v>0.11805555555555558</v>
      </c>
      <c r="N15" s="370">
        <f>[26]Brewhouse!$AA15</f>
        <v>0.2909722222222223</v>
      </c>
      <c r="O15" s="435" t="str">
        <f>[26]Brewhouse!$AX15</f>
        <v>R.Regis</v>
      </c>
      <c r="P15" s="443"/>
      <c r="R15" s="277" t="str">
        <f t="shared" si="9"/>
        <v>MACKESON</v>
      </c>
      <c r="S15" s="296">
        <f t="shared" si="1"/>
        <v>13.3</v>
      </c>
      <c r="T15" s="296">
        <f t="shared" si="2"/>
        <v>13.5</v>
      </c>
      <c r="U15" s="297">
        <f t="shared" si="3"/>
        <v>0</v>
      </c>
      <c r="V15" s="297">
        <f t="shared" si="4"/>
        <v>0.12905092592592593</v>
      </c>
      <c r="W15" s="297">
        <f t="shared" si="5"/>
        <v>0.27430555555555552</v>
      </c>
      <c r="X15" s="297">
        <f t="shared" si="6"/>
        <v>0.30208333333333331</v>
      </c>
      <c r="Y15" s="297">
        <f t="shared" si="7"/>
        <v>0</v>
      </c>
      <c r="Z15" s="296">
        <f t="shared" si="8"/>
        <v>0</v>
      </c>
    </row>
    <row r="16" spans="2:29" ht="29.25" customHeight="1">
      <c r="B16" s="36" t="s">
        <v>15</v>
      </c>
      <c r="C16" s="366" t="str">
        <f>[26]Brewhouse!$A16</f>
        <v>MK012</v>
      </c>
      <c r="D16" s="279">
        <f>[26]Brewhouse!$AF16</f>
        <v>54</v>
      </c>
      <c r="E16" s="279">
        <f>[26]Brewhouse!$AI16</f>
        <v>50.5</v>
      </c>
      <c r="F16" s="278">
        <f>[26]Brewhouse!$X16</f>
        <v>52</v>
      </c>
      <c r="G16" s="279">
        <f>[26]Brewhouse!$AG16</f>
        <v>12.67</v>
      </c>
      <c r="H16" s="396">
        <v>13.3</v>
      </c>
      <c r="I16" s="434">
        <f>[26]Brewhouse!$AT16</f>
        <v>96.358297626626836</v>
      </c>
      <c r="J16" s="434">
        <f>[26]Brewhouse!$AU16</f>
        <v>97.693245603372176</v>
      </c>
      <c r="K16" s="398">
        <f>[26]Brewhouse!$S16</f>
        <v>4.8170212765957432</v>
      </c>
      <c r="L16" s="276">
        <f>[26]Brewhouse!$R16</f>
        <v>76</v>
      </c>
      <c r="M16" s="374">
        <f>[26]Brewhouse!$W16-[26]Brewhouse!$V16</f>
        <v>0.14583333333333337</v>
      </c>
      <c r="N16" s="370">
        <f>[26]Brewhouse!$AA16</f>
        <v>0.39027777777777772</v>
      </c>
      <c r="O16" s="435" t="str">
        <f>[26]Brewhouse!$AX16</f>
        <v>K.Benjamin</v>
      </c>
      <c r="P16" s="443" t="s">
        <v>192</v>
      </c>
      <c r="R16" s="277" t="str">
        <f t="shared" si="9"/>
        <v>MACKESON</v>
      </c>
      <c r="S16" s="296">
        <f t="shared" si="1"/>
        <v>13.3</v>
      </c>
      <c r="T16" s="296">
        <f t="shared" si="2"/>
        <v>13.5</v>
      </c>
      <c r="U16" s="297">
        <f t="shared" si="3"/>
        <v>0</v>
      </c>
      <c r="V16" s="297">
        <f t="shared" si="4"/>
        <v>0.12905092592592593</v>
      </c>
      <c r="W16" s="297">
        <f t="shared" si="5"/>
        <v>0.27430555555555552</v>
      </c>
      <c r="X16" s="297">
        <f t="shared" si="6"/>
        <v>0.30208333333333331</v>
      </c>
      <c r="Y16" s="297">
        <f t="shared" si="7"/>
        <v>0</v>
      </c>
      <c r="Z16" s="296">
        <f t="shared" si="8"/>
        <v>0</v>
      </c>
    </row>
    <row r="17" spans="2:26" ht="15.75" customHeight="1">
      <c r="B17" s="36"/>
      <c r="C17" s="366"/>
      <c r="D17" s="279"/>
      <c r="E17" s="279"/>
      <c r="F17" s="278"/>
      <c r="G17" s="279"/>
      <c r="H17" s="396"/>
      <c r="I17" s="434"/>
      <c r="J17" s="434"/>
      <c r="K17" s="398"/>
      <c r="L17" s="276"/>
      <c r="M17" s="374"/>
      <c r="N17" s="370"/>
      <c r="O17" s="435"/>
      <c r="P17" s="443"/>
      <c r="R17" s="277"/>
      <c r="S17" s="296"/>
      <c r="T17" s="296"/>
      <c r="U17" s="297"/>
      <c r="V17" s="297"/>
      <c r="W17" s="297"/>
      <c r="X17" s="297"/>
      <c r="Y17" s="297"/>
      <c r="Z17" s="296"/>
    </row>
    <row r="18" spans="2:26" ht="15.75" customHeight="1">
      <c r="B18" s="34"/>
      <c r="C18" s="366"/>
      <c r="D18" s="279"/>
      <c r="E18" s="279"/>
      <c r="F18" s="278"/>
      <c r="G18" s="279"/>
      <c r="H18" s="396"/>
      <c r="I18" s="368"/>
      <c r="J18" s="368"/>
      <c r="K18" s="398"/>
      <c r="L18" s="276"/>
      <c r="M18" s="397"/>
      <c r="N18" s="370"/>
      <c r="O18" s="371"/>
      <c r="P18" s="443"/>
      <c r="R18" s="277">
        <f t="shared" ref="R18:R42" si="10">B18</f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449">
        <v>45765</v>
      </c>
      <c r="C19" s="366"/>
      <c r="D19" s="279"/>
      <c r="E19" s="279"/>
      <c r="F19" s="278"/>
      <c r="G19" s="279"/>
      <c r="H19" s="396"/>
      <c r="I19" s="368"/>
      <c r="J19" s="281"/>
      <c r="K19" s="398"/>
      <c r="L19" s="276"/>
      <c r="M19" s="397"/>
      <c r="N19" s="370"/>
      <c r="O19" s="443"/>
      <c r="P19" s="443"/>
      <c r="R19" s="277">
        <f t="shared" si="10"/>
        <v>45765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33" t="s">
        <v>9</v>
      </c>
      <c r="C20" s="366" t="str">
        <f>[24]Brewhouse!$A166</f>
        <v>ST149</v>
      </c>
      <c r="D20" s="279">
        <f>[24]Brewhouse!$AD166</f>
        <v>52.8</v>
      </c>
      <c r="E20" s="279">
        <f>[24]Brewhouse!$AG166</f>
        <v>48.5</v>
      </c>
      <c r="F20" s="278">
        <f>[24]Brewhouse!$V166</f>
        <v>56</v>
      </c>
      <c r="G20" s="279">
        <f>[24]Brewhouse!$AE166</f>
        <v>11.84</v>
      </c>
      <c r="H20" s="367"/>
      <c r="I20" s="434">
        <f>[24]Brewhouse!$AS166</f>
        <v>95.004403103029915</v>
      </c>
      <c r="J20" s="434">
        <f>[24]Brewhouse!$AT166</f>
        <v>96.280787201008152</v>
      </c>
      <c r="K20" s="398">
        <f>[24]Brewhouse!$Q166</f>
        <v>4.9450549450549506</v>
      </c>
      <c r="L20" s="276">
        <f>[24]Brewhouse!$P166</f>
        <v>57</v>
      </c>
      <c r="M20" s="374">
        <f>[24]Brewhouse!$U166-[24]Brewhouse!$T166</f>
        <v>0.10763888888888884</v>
      </c>
      <c r="N20" s="370">
        <f>[24]Brewhouse!$AW166</f>
        <v>0.25277777777777777</v>
      </c>
      <c r="O20" s="435" t="str">
        <f>[24]Brewhouse!$AV166</f>
        <v>R.Sookram</v>
      </c>
      <c r="P20" s="443"/>
      <c r="R20" s="277" t="str">
        <f t="shared" si="10"/>
        <v>STAG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75" customHeight="1">
      <c r="B21" s="33" t="s">
        <v>9</v>
      </c>
      <c r="C21" s="366" t="str">
        <f>[24]Brewhouse!$A167</f>
        <v>ST150</v>
      </c>
      <c r="D21" s="279">
        <f>[24]Brewhouse!$AD167</f>
        <v>54.2</v>
      </c>
      <c r="E21" s="279">
        <f>[24]Brewhouse!$AG167</f>
        <v>50.5</v>
      </c>
      <c r="F21" s="278">
        <f>[24]Brewhouse!$V167</f>
        <v>62</v>
      </c>
      <c r="G21" s="279">
        <f>[24]Brewhouse!$AE167</f>
        <v>11.89</v>
      </c>
      <c r="H21" s="367"/>
      <c r="I21" s="434">
        <f>[24]Brewhouse!$AS167</f>
        <v>99.803912080322945</v>
      </c>
      <c r="J21" s="434">
        <f>[24]Brewhouse!$AT167</f>
        <v>101.14477757849561</v>
      </c>
      <c r="K21" s="398">
        <f>[24]Brewhouse!$Q167</f>
        <v>2.5594149908592296</v>
      </c>
      <c r="L21" s="276">
        <f>[24]Brewhouse!$P167</f>
        <v>57</v>
      </c>
      <c r="M21" s="374">
        <f>[24]Brewhouse!$U167-[24]Brewhouse!$T167</f>
        <v>0.10763888888888884</v>
      </c>
      <c r="N21" s="370">
        <f>[24]Brewhouse!$AW167</f>
        <v>0.25694444444444431</v>
      </c>
      <c r="O21" s="435" t="str">
        <f>[24]Brewhouse!$AV167</f>
        <v>R.Sookram</v>
      </c>
      <c r="P21" s="443"/>
      <c r="R21" s="277" t="str">
        <f t="shared" si="10"/>
        <v>STAG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33" t="s">
        <v>9</v>
      </c>
      <c r="C22" s="366" t="str">
        <f>[24]Brewhouse!$A168</f>
        <v>ST151</v>
      </c>
      <c r="D22" s="279">
        <f>[24]Brewhouse!$AD168</f>
        <v>53.5</v>
      </c>
      <c r="E22" s="279">
        <f>[24]Brewhouse!$AG168</f>
        <v>50.1</v>
      </c>
      <c r="F22" s="278">
        <f>[24]Brewhouse!$V168</f>
        <v>61</v>
      </c>
      <c r="G22" s="279">
        <f>[24]Brewhouse!$AE168</f>
        <v>11.92</v>
      </c>
      <c r="H22" s="367"/>
      <c r="I22" s="434">
        <f>[24]Brewhouse!$AS168</f>
        <v>99.261754930640222</v>
      </c>
      <c r="J22" s="434">
        <f>[24]Brewhouse!$AT168</f>
        <v>100.59446604884155</v>
      </c>
      <c r="K22" s="398">
        <f>[24]Brewhouse!$Q168</f>
        <v>4.2357274401473246</v>
      </c>
      <c r="L22" s="276">
        <f>[24]Brewhouse!$P168</f>
        <v>57</v>
      </c>
      <c r="M22" s="374">
        <f>[24]Brewhouse!$U168-[24]Brewhouse!$T168</f>
        <v>0.11319444444444438</v>
      </c>
      <c r="N22" s="370">
        <f>[24]Brewhouse!$AW168</f>
        <v>0.27152777777777781</v>
      </c>
      <c r="O22" s="435" t="str">
        <f>[24]Brewhouse!$AV168</f>
        <v>R.Sookram</v>
      </c>
      <c r="P22" s="443"/>
      <c r="R22" s="277" t="str">
        <f t="shared" si="10"/>
        <v>STAG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75" customHeight="1">
      <c r="B23" s="33" t="s">
        <v>9</v>
      </c>
      <c r="C23" s="366" t="str">
        <f>[24]Brewhouse!$A169</f>
        <v>ST152</v>
      </c>
      <c r="D23" s="279">
        <f>[24]Brewhouse!$AD169</f>
        <v>55.1</v>
      </c>
      <c r="E23" s="279">
        <f>[24]Brewhouse!$AG169</f>
        <v>50.9</v>
      </c>
      <c r="F23" s="278">
        <f>[24]Brewhouse!$V169</f>
        <v>63</v>
      </c>
      <c r="G23" s="279">
        <f>[24]Brewhouse!$AE169</f>
        <v>11.51</v>
      </c>
      <c r="H23" s="367"/>
      <c r="I23" s="434">
        <f>[24]Brewhouse!$AS169</f>
        <v>97.650134196033449</v>
      </c>
      <c r="J23" s="434">
        <f>[24]Brewhouse!$AT169</f>
        <v>98.959914717979856</v>
      </c>
      <c r="K23" s="398">
        <f>[24]Brewhouse!$Q169</f>
        <v>4.0707964601769859</v>
      </c>
      <c r="L23" s="276">
        <f>[24]Brewhouse!$P169</f>
        <v>58</v>
      </c>
      <c r="M23" s="374">
        <f>[24]Brewhouse!$U169-[24]Brewhouse!$T169</f>
        <v>0.12222222222222223</v>
      </c>
      <c r="N23" s="370">
        <f>[24]Brewhouse!$AW169</f>
        <v>0.26388888888888884</v>
      </c>
      <c r="O23" s="435" t="str">
        <f>[24]Brewhouse!$AV169</f>
        <v>R.Sookram</v>
      </c>
      <c r="P23" s="443"/>
      <c r="R23" s="277" t="str">
        <f t="shared" si="10"/>
        <v>STAG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33" t="s">
        <v>9</v>
      </c>
      <c r="C24" s="366" t="str">
        <f>[24]Brewhouse!$A170</f>
        <v>ST153</v>
      </c>
      <c r="D24" s="279">
        <f>[24]Brewhouse!$AD170</f>
        <v>53.6</v>
      </c>
      <c r="E24" s="279">
        <f>[24]Brewhouse!$AG170</f>
        <v>50.3</v>
      </c>
      <c r="F24" s="278">
        <f>[24]Brewhouse!$V170</f>
        <v>58</v>
      </c>
      <c r="G24" s="279">
        <f>[24]Brewhouse!$AE170</f>
        <v>11.74</v>
      </c>
      <c r="H24" s="367"/>
      <c r="I24" s="434">
        <f>[24]Brewhouse!$AS170</f>
        <v>97.774353948870356</v>
      </c>
      <c r="J24" s="434">
        <f>[24]Brewhouse!$AT170</f>
        <v>99.08752414252595</v>
      </c>
      <c r="K24" s="398">
        <f>[24]Brewhouse!$Q170</f>
        <v>2.2263450834879328</v>
      </c>
      <c r="L24" s="276">
        <f>[24]Brewhouse!$P170</f>
        <v>57</v>
      </c>
      <c r="M24" s="374">
        <f>[24]Brewhouse!$U170-[24]Brewhouse!$T170</f>
        <v>0.10625000000000007</v>
      </c>
      <c r="N24" s="370">
        <f>[24]Brewhouse!$AW170</f>
        <v>0.24930555555555567</v>
      </c>
      <c r="O24" s="435" t="str">
        <f>[24]Brewhouse!$AV170</f>
        <v>R.Sookram</v>
      </c>
      <c r="P24" s="443"/>
      <c r="R24" s="277" t="str">
        <f t="shared" si="10"/>
        <v>STAG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33" t="s">
        <v>9</v>
      </c>
      <c r="C25" s="366" t="str">
        <f>[24]Brewhouse!$A171</f>
        <v>ST154</v>
      </c>
      <c r="D25" s="279">
        <f>[24]Brewhouse!$AD171</f>
        <v>54.6</v>
      </c>
      <c r="E25" s="279">
        <f>[24]Brewhouse!$AG171</f>
        <v>51.1</v>
      </c>
      <c r="F25" s="278">
        <f>[24]Brewhouse!$V171</f>
        <v>59</v>
      </c>
      <c r="G25" s="279">
        <f>[24]Brewhouse!$AE171</f>
        <v>11.84</v>
      </c>
      <c r="H25" s="367"/>
      <c r="I25" s="434">
        <f>[24]Brewhouse!$AS171</f>
        <v>100.34851077545073</v>
      </c>
      <c r="J25" s="434">
        <f>[24]Brewhouse!$AT171</f>
        <v>101.69581292720935</v>
      </c>
      <c r="K25" s="398">
        <f>[24]Brewhouse!$Q171</f>
        <v>2.2181146025878054</v>
      </c>
      <c r="L25" s="276">
        <f>[24]Brewhouse!$P171</f>
        <v>58</v>
      </c>
      <c r="M25" s="374">
        <f>[24]Brewhouse!$U171-[24]Brewhouse!$T171</f>
        <v>0.10902777777777772</v>
      </c>
      <c r="N25" s="370">
        <f>[24]Brewhouse!$AW171</f>
        <v>0.24791666666666656</v>
      </c>
      <c r="O25" s="435" t="str">
        <f>[24]Brewhouse!$AV171</f>
        <v>R.Sookram</v>
      </c>
      <c r="P25" s="443"/>
      <c r="R25" s="277" t="str">
        <f t="shared" si="10"/>
        <v>STAG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33"/>
      <c r="C26" s="366"/>
      <c r="D26" s="279"/>
      <c r="E26" s="279"/>
      <c r="F26" s="278"/>
      <c r="G26" s="279"/>
      <c r="H26" s="396"/>
      <c r="I26" s="434"/>
      <c r="J26" s="434"/>
      <c r="K26" s="398"/>
      <c r="L26" s="276"/>
      <c r="M26" s="374"/>
      <c r="N26" s="370"/>
      <c r="O26" s="435"/>
      <c r="P26" s="443"/>
      <c r="R26" s="277">
        <f t="shared" si="1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7.25" customHeight="1">
      <c r="B27" s="449">
        <v>45766</v>
      </c>
      <c r="C27" s="366"/>
      <c r="D27" s="279"/>
      <c r="E27" s="279"/>
      <c r="F27" s="278"/>
      <c r="G27" s="279"/>
      <c r="H27" s="396"/>
      <c r="I27" s="434"/>
      <c r="J27" s="434"/>
      <c r="K27" s="398"/>
      <c r="L27" s="276"/>
      <c r="M27" s="374"/>
      <c r="N27" s="370"/>
      <c r="O27" s="435"/>
      <c r="P27" s="443"/>
      <c r="R27" s="277">
        <f t="shared" si="10"/>
        <v>45766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customHeight="1">
      <c r="B28" s="33" t="s">
        <v>9</v>
      </c>
      <c r="C28" s="366" t="str">
        <f>[24]Brewhouse!$A172</f>
        <v>ST155</v>
      </c>
      <c r="D28" s="279">
        <f>[24]Brewhouse!$AD172</f>
        <v>54.8</v>
      </c>
      <c r="E28" s="279">
        <f>[24]Brewhouse!$AG172</f>
        <v>51.6</v>
      </c>
      <c r="F28" s="278">
        <f>[24]Brewhouse!$V172</f>
        <v>62</v>
      </c>
      <c r="G28" s="279">
        <f>[24]Brewhouse!$AE172</f>
        <v>11.65</v>
      </c>
      <c r="H28" s="396">
        <v>11.4</v>
      </c>
      <c r="I28" s="434">
        <f>[24]Brewhouse!$AS172</f>
        <v>100.17584029377748</v>
      </c>
      <c r="J28" s="434">
        <f>[24]Brewhouse!$AT172</f>
        <v>101.52170264727198</v>
      </c>
      <c r="K28" s="398">
        <f>[24]Brewhouse!$Q172</f>
        <v>4.7101449275362341</v>
      </c>
      <c r="L28" s="276">
        <f>[24]Brewhouse!$P172</f>
        <v>58</v>
      </c>
      <c r="M28" s="374">
        <f>[24]Brewhouse!$U172-[24]Brewhouse!$T172</f>
        <v>0.12013888888888902</v>
      </c>
      <c r="N28" s="370">
        <f>[24]Brewhouse!$AW172</f>
        <v>0.28680555555555554</v>
      </c>
      <c r="O28" s="435" t="str">
        <f>[24]Brewhouse!$AV172</f>
        <v>R.Sookram</v>
      </c>
      <c r="P28" s="443"/>
      <c r="R28" s="277" t="str">
        <f t="shared" si="10"/>
        <v>STAG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33" t="s">
        <v>9</v>
      </c>
      <c r="C29" s="366" t="str">
        <f>[24]Brewhouse!$A173</f>
        <v>ST156</v>
      </c>
      <c r="D29" s="279">
        <f>[24]Brewhouse!$AD173</f>
        <v>54.3</v>
      </c>
      <c r="E29" s="279">
        <f>[24]Brewhouse!$AG173</f>
        <v>51.3</v>
      </c>
      <c r="F29" s="278">
        <f>[24]Brewhouse!$V173</f>
        <v>64</v>
      </c>
      <c r="G29" s="279">
        <f>[24]Brewhouse!$AE173</f>
        <v>11.7</v>
      </c>
      <c r="H29" s="396">
        <v>11.4</v>
      </c>
      <c r="I29" s="434">
        <f>[24]Brewhouse!$AS173</f>
        <v>99.593422617650873</v>
      </c>
      <c r="J29" s="434">
        <f>[24]Brewhouse!$AT173</f>
        <v>100.93146019002039</v>
      </c>
      <c r="K29" s="398">
        <f>[24]Brewhouse!$Q173</f>
        <v>3.6101083032490973</v>
      </c>
      <c r="L29" s="276">
        <f>[24]Brewhouse!$P173</f>
        <v>57</v>
      </c>
      <c r="M29" s="374">
        <f>[24]Brewhouse!$U173-[24]Brewhouse!$T173</f>
        <v>0.10902777777777778</v>
      </c>
      <c r="N29" s="370">
        <f>[24]Brewhouse!$AW173</f>
        <v>0.28263888888888888</v>
      </c>
      <c r="O29" s="435" t="str">
        <f>[24]Brewhouse!$AV173</f>
        <v>R.Sookram</v>
      </c>
      <c r="P29" s="443"/>
      <c r="R29" s="277" t="str">
        <f t="shared" si="10"/>
        <v>STAG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398"/>
      <c r="L30" s="444"/>
      <c r="M30" s="397"/>
      <c r="N30" s="370"/>
      <c r="O30" s="435"/>
      <c r="P30" s="443"/>
      <c r="R30" s="277">
        <f t="shared" si="1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444"/>
      <c r="M31" s="397"/>
      <c r="N31" s="370"/>
      <c r="O31" s="371"/>
      <c r="P31" s="443"/>
      <c r="R31" s="277">
        <f t="shared" si="1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customHeight="1">
      <c r="B32" s="449">
        <v>45767</v>
      </c>
      <c r="C32" s="366"/>
      <c r="D32" s="279"/>
      <c r="E32" s="279"/>
      <c r="F32" s="278"/>
      <c r="G32" s="279"/>
      <c r="H32" s="396"/>
      <c r="I32" s="368"/>
      <c r="J32" s="368"/>
      <c r="K32" s="281"/>
      <c r="L32" s="444"/>
      <c r="M32" s="397"/>
      <c r="N32" s="370"/>
      <c r="O32" s="371"/>
      <c r="P32" s="443"/>
      <c r="R32" s="277">
        <f t="shared" si="10"/>
        <v>45767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2:26" ht="15.75" customHeight="1">
      <c r="B33" s="29" t="s">
        <v>6</v>
      </c>
      <c r="C33" s="366" t="str">
        <f>[23]Brewhouse!$A379</f>
        <v>CA275</v>
      </c>
      <c r="D33" s="279">
        <f>[23]Brewhouse!$AF379</f>
        <v>55.4</v>
      </c>
      <c r="E33" s="279">
        <f>[23]Brewhouse!$AI379</f>
        <v>51</v>
      </c>
      <c r="F33" s="278">
        <f>[23]Brewhouse!$V379</f>
        <v>63</v>
      </c>
      <c r="G33" s="279">
        <f>[23]Brewhouse!$AG379</f>
        <v>11.6</v>
      </c>
      <c r="H33" s="396">
        <v>11.7</v>
      </c>
      <c r="I33" s="368">
        <f>[23]Brewhouse!$AU379</f>
        <v>100.08308943032193</v>
      </c>
      <c r="J33" s="368">
        <f>[23]Brewhouse!$AV379</f>
        <v>101.70485720362939</v>
      </c>
      <c r="K33" s="281">
        <f>[23]Brewhouse!$Q379</f>
        <v>8.5121107266435896</v>
      </c>
      <c r="L33" s="276">
        <f>[23]Brewhouse!$P379</f>
        <v>61</v>
      </c>
      <c r="M33" s="397">
        <f>[23]Brewhouse!$U379-[23]Brewhouse!$T379</f>
        <v>0.11874999999999997</v>
      </c>
      <c r="N33" s="370">
        <f>[23]Brewhouse!$Z379</f>
        <v>0.28888888888888886</v>
      </c>
      <c r="O33" s="371" t="str">
        <f>[23]Brewhouse!$AX379</f>
        <v>D. Gomez</v>
      </c>
      <c r="P33" s="443"/>
      <c r="R33" s="277" t="str">
        <f t="shared" si="10"/>
        <v>CARIB</v>
      </c>
      <c r="S33" s="296">
        <f t="shared" si="1"/>
        <v>11.6</v>
      </c>
      <c r="T33" s="296">
        <f t="shared" si="2"/>
        <v>12</v>
      </c>
      <c r="U33" s="297">
        <f t="shared" si="3"/>
        <v>0</v>
      </c>
      <c r="V33" s="297">
        <f t="shared" si="4"/>
        <v>0.118055555555556</v>
      </c>
      <c r="W33" s="297">
        <f t="shared" si="5"/>
        <v>0.22569444444444445</v>
      </c>
      <c r="X33" s="297">
        <f t="shared" si="6"/>
        <v>0.2638888888888889</v>
      </c>
      <c r="Y33" s="297">
        <f t="shared" si="7"/>
        <v>0</v>
      </c>
      <c r="Z33" s="296">
        <f t="shared" si="8"/>
        <v>60</v>
      </c>
    </row>
    <row r="34" spans="2:26" ht="15.75" customHeight="1">
      <c r="B34" s="29" t="s">
        <v>6</v>
      </c>
      <c r="C34" s="366" t="str">
        <f>[23]Brewhouse!$A380</f>
        <v>CA276</v>
      </c>
      <c r="D34" s="279">
        <f>[23]Brewhouse!$AF380</f>
        <v>53.3</v>
      </c>
      <c r="E34" s="279">
        <f>[23]Brewhouse!$AI380</f>
        <v>49.7</v>
      </c>
      <c r="F34" s="278">
        <f>[23]Brewhouse!$V380</f>
        <v>61</v>
      </c>
      <c r="G34" s="279">
        <f>[23]Brewhouse!$AG380</f>
        <v>11.83</v>
      </c>
      <c r="H34" s="396">
        <v>11.9</v>
      </c>
      <c r="I34" s="368">
        <f>[23]Brewhouse!$AU380</f>
        <v>99.429215913383217</v>
      </c>
      <c r="J34" s="368">
        <f>[23]Brewhouse!$AV380</f>
        <v>101.04029436156875</v>
      </c>
      <c r="K34" s="281">
        <f>[23]Brewhouse!$Q380</f>
        <v>7.6460176991150446</v>
      </c>
      <c r="L34" s="276">
        <f>[23]Brewhouse!$P380</f>
        <v>61</v>
      </c>
      <c r="M34" s="397">
        <f>[23]Brewhouse!$U380-[23]Brewhouse!$T380</f>
        <v>2.7083333333333237E-2</v>
      </c>
      <c r="N34" s="370">
        <f>[23]Brewhouse!$Z380</f>
        <v>0.26249999999999996</v>
      </c>
      <c r="O34" s="371" t="str">
        <f>[23]Brewhouse!$AX380</f>
        <v>D. Gomez</v>
      </c>
      <c r="P34" s="443"/>
      <c r="R34" s="277" t="str">
        <f t="shared" si="10"/>
        <v>CARIB</v>
      </c>
      <c r="S34" s="296">
        <f t="shared" si="1"/>
        <v>11.6</v>
      </c>
      <c r="T34" s="296">
        <f t="shared" si="2"/>
        <v>12</v>
      </c>
      <c r="U34" s="297">
        <f t="shared" si="3"/>
        <v>0</v>
      </c>
      <c r="V34" s="297">
        <f t="shared" si="4"/>
        <v>0.118055555555556</v>
      </c>
      <c r="W34" s="297">
        <f t="shared" si="5"/>
        <v>0.22569444444444445</v>
      </c>
      <c r="X34" s="297">
        <f t="shared" si="6"/>
        <v>0.2638888888888889</v>
      </c>
      <c r="Y34" s="297">
        <f t="shared" si="7"/>
        <v>0</v>
      </c>
      <c r="Z34" s="296">
        <f t="shared" si="8"/>
        <v>60</v>
      </c>
    </row>
    <row r="35" spans="2:26" ht="15.75" customHeight="1">
      <c r="B35" s="29" t="s">
        <v>6</v>
      </c>
      <c r="C35" s="366" t="str">
        <f>[23]Brewhouse!$A381</f>
        <v>CA277</v>
      </c>
      <c r="D35" s="279">
        <f>[23]Brewhouse!$AF381</f>
        <v>53.2</v>
      </c>
      <c r="E35" s="279">
        <f>[23]Brewhouse!$AI381</f>
        <v>49.4</v>
      </c>
      <c r="F35" s="278">
        <f>[23]Brewhouse!$V381</f>
        <v>62</v>
      </c>
      <c r="G35" s="279">
        <f>[23]Brewhouse!$AG381</f>
        <v>11.78</v>
      </c>
      <c r="H35" s="396">
        <v>11.9</v>
      </c>
      <c r="I35" s="368">
        <f>[23]Brewhouse!$AU381</f>
        <v>99.082241304611145</v>
      </c>
      <c r="J35" s="368">
        <f>[23]Brewhouse!$AV381</f>
        <v>100.68750992842179</v>
      </c>
      <c r="K35" s="281">
        <f>[23]Brewhouse!$Q381</f>
        <v>6.4527629233511536</v>
      </c>
      <c r="L35" s="276">
        <f>[23]Brewhouse!$P381</f>
        <v>61</v>
      </c>
      <c r="M35" s="397">
        <f>[23]Brewhouse!$U381-[23]Brewhouse!$T381</f>
        <v>0.10763888888888895</v>
      </c>
      <c r="N35" s="370">
        <f>[23]Brewhouse!$Z381</f>
        <v>0.22361111111111109</v>
      </c>
      <c r="O35" s="371" t="str">
        <f>[23]Brewhouse!$AX381</f>
        <v>D. Gomez</v>
      </c>
      <c r="P35" s="443"/>
      <c r="R35" s="277" t="str">
        <f t="shared" si="10"/>
        <v>CARIB</v>
      </c>
      <c r="S35" s="296">
        <f t="shared" si="1"/>
        <v>11.6</v>
      </c>
      <c r="T35" s="296">
        <f t="shared" si="2"/>
        <v>12</v>
      </c>
      <c r="U35" s="297">
        <f t="shared" si="3"/>
        <v>0</v>
      </c>
      <c r="V35" s="297">
        <f t="shared" si="4"/>
        <v>0.118055555555556</v>
      </c>
      <c r="W35" s="297">
        <f t="shared" si="5"/>
        <v>0.22569444444444445</v>
      </c>
      <c r="X35" s="297">
        <f t="shared" si="6"/>
        <v>0.2638888888888889</v>
      </c>
      <c r="Y35" s="297">
        <f t="shared" si="7"/>
        <v>0</v>
      </c>
      <c r="Z35" s="296">
        <f t="shared" si="8"/>
        <v>60</v>
      </c>
    </row>
    <row r="36" spans="2:26" ht="15.75" customHeight="1">
      <c r="B36" s="29" t="s">
        <v>6</v>
      </c>
      <c r="C36" s="366" t="str">
        <f>[23]Brewhouse!$A382</f>
        <v>CA278</v>
      </c>
      <c r="D36" s="279">
        <f>[23]Brewhouse!$AF382</f>
        <v>53.3</v>
      </c>
      <c r="E36" s="279">
        <f>[23]Brewhouse!$AI382</f>
        <v>49.4</v>
      </c>
      <c r="F36" s="278">
        <f>[23]Brewhouse!$V382</f>
        <v>60</v>
      </c>
      <c r="G36" s="279">
        <f>[23]Brewhouse!$AG382</f>
        <v>11.75</v>
      </c>
      <c r="H36" s="367"/>
      <c r="I36" s="368">
        <f>[23]Brewhouse!$AU382</f>
        <v>98.955478462844866</v>
      </c>
      <c r="J36" s="368">
        <f>[23]Brewhouse!$AV382</f>
        <v>100.55878720450451</v>
      </c>
      <c r="K36" s="281">
        <f>[23]Brewhouse!$Q382</f>
        <v>6.7730496453900706</v>
      </c>
      <c r="L36" s="276">
        <f>[23]Brewhouse!$P382</f>
        <v>60</v>
      </c>
      <c r="M36" s="397">
        <f>[23]Brewhouse!$U382-[23]Brewhouse!$T382</f>
        <v>0.1069444444444444</v>
      </c>
      <c r="N36" s="370">
        <f>[23]Brewhouse!$Z382</f>
        <v>0.24861111111111112</v>
      </c>
      <c r="O36" s="371" t="str">
        <f>[23]Brewhouse!$AX382</f>
        <v>D. Gomez</v>
      </c>
      <c r="P36" s="443"/>
      <c r="R36" s="277" t="str">
        <f t="shared" si="10"/>
        <v>CARIB</v>
      </c>
      <c r="S36" s="296">
        <f t="shared" si="1"/>
        <v>11.6</v>
      </c>
      <c r="T36" s="296">
        <f t="shared" si="2"/>
        <v>12</v>
      </c>
      <c r="U36" s="297">
        <f t="shared" si="3"/>
        <v>0</v>
      </c>
      <c r="V36" s="297">
        <f t="shared" si="4"/>
        <v>0.118055555555556</v>
      </c>
      <c r="W36" s="297">
        <f t="shared" si="5"/>
        <v>0.22569444444444445</v>
      </c>
      <c r="X36" s="297">
        <f t="shared" si="6"/>
        <v>0.2638888888888889</v>
      </c>
      <c r="Y36" s="297">
        <f t="shared" si="7"/>
        <v>0</v>
      </c>
      <c r="Z36" s="296">
        <f t="shared" si="8"/>
        <v>60</v>
      </c>
    </row>
    <row r="37" spans="2:26" ht="15.75" customHeight="1">
      <c r="B37" s="29" t="s">
        <v>6</v>
      </c>
      <c r="C37" s="366" t="str">
        <f>[23]Brewhouse!$A383</f>
        <v>CA279</v>
      </c>
      <c r="D37" s="279">
        <f>[23]Brewhouse!$AF383</f>
        <v>54.8</v>
      </c>
      <c r="E37" s="279">
        <f>[23]Brewhouse!$AI383</f>
        <v>50.9</v>
      </c>
      <c r="F37" s="278">
        <f>[23]Brewhouse!$V383</f>
        <v>77</v>
      </c>
      <c r="G37" s="279">
        <f>[23]Brewhouse!$AG383</f>
        <v>11.99</v>
      </c>
      <c r="H37" s="367"/>
      <c r="I37" s="368">
        <f>[23]Brewhouse!$AU383</f>
        <v>103.64536563023121</v>
      </c>
      <c r="J37" s="368">
        <f>[23]Brewhouse!$AV383</f>
        <v>105.32475949135387</v>
      </c>
      <c r="K37" s="281">
        <f>[23]Brewhouse!$Q383</f>
        <v>6.4758497316636809</v>
      </c>
      <c r="L37" s="276">
        <f>[23]Brewhouse!$P383</f>
        <v>61</v>
      </c>
      <c r="M37" s="397">
        <f>[23]Brewhouse!$U383-[23]Brewhouse!$T383</f>
        <v>0.12430555555555556</v>
      </c>
      <c r="N37" s="370">
        <f>[23]Brewhouse!$Z383</f>
        <v>0.25902777777777775</v>
      </c>
      <c r="O37" s="371" t="str">
        <f>[23]Brewhouse!$AX383</f>
        <v>R. Regis</v>
      </c>
      <c r="P37" s="443"/>
      <c r="R37" s="277" t="str">
        <f t="shared" si="10"/>
        <v>CARIB</v>
      </c>
      <c r="S37" s="296">
        <f t="shared" si="1"/>
        <v>11.6</v>
      </c>
      <c r="T37" s="296">
        <f t="shared" si="2"/>
        <v>12</v>
      </c>
      <c r="U37" s="297">
        <f t="shared" si="3"/>
        <v>0</v>
      </c>
      <c r="V37" s="297">
        <f t="shared" si="4"/>
        <v>0.118055555555556</v>
      </c>
      <c r="W37" s="297">
        <f t="shared" si="5"/>
        <v>0.22569444444444445</v>
      </c>
      <c r="X37" s="297">
        <f t="shared" si="6"/>
        <v>0.2638888888888889</v>
      </c>
      <c r="Y37" s="297">
        <f t="shared" si="7"/>
        <v>0</v>
      </c>
      <c r="Z37" s="296">
        <f t="shared" si="8"/>
        <v>60</v>
      </c>
    </row>
    <row r="38" spans="2:26" ht="15.75" customHeight="1">
      <c r="B38" s="29" t="s">
        <v>6</v>
      </c>
      <c r="C38" s="366" t="str">
        <f>[23]Brewhouse!$A384</f>
        <v>CA280</v>
      </c>
      <c r="D38" s="279">
        <f>[23]Brewhouse!$AF384</f>
        <v>55.6</v>
      </c>
      <c r="E38" s="279">
        <f>[23]Brewhouse!$AI384</f>
        <v>52.2</v>
      </c>
      <c r="F38" s="278">
        <f>[23]Brewhouse!$V384</f>
        <v>65</v>
      </c>
      <c r="G38" s="279">
        <f>[23]Brewhouse!$AG384</f>
        <v>11.69</v>
      </c>
      <c r="H38" s="367"/>
      <c r="I38" s="368">
        <f>[23]Brewhouse!$AU384</f>
        <v>99.556372614317851</v>
      </c>
      <c r="J38" s="368">
        <f>[23]Brewhouse!$AV384</f>
        <v>101.17231622319738</v>
      </c>
      <c r="K38" s="281">
        <f>[23]Brewhouse!$Q384</f>
        <v>6.7610619469026547</v>
      </c>
      <c r="L38" s="276">
        <f>[23]Brewhouse!$P384</f>
        <v>59</v>
      </c>
      <c r="M38" s="397">
        <f>[23]Brewhouse!$U384-[23]Brewhouse!$T384</f>
        <v>0.11250000000000004</v>
      </c>
      <c r="N38" s="370">
        <f>[23]Brewhouse!$Z384</f>
        <v>0.25277777777777777</v>
      </c>
      <c r="O38" s="371" t="str">
        <f>[23]Brewhouse!$AX384</f>
        <v>R. Regis</v>
      </c>
      <c r="P38" s="443"/>
      <c r="R38" s="277" t="str">
        <f t="shared" si="10"/>
        <v>CARIB</v>
      </c>
      <c r="S38" s="296">
        <f t="shared" si="1"/>
        <v>11.6</v>
      </c>
      <c r="T38" s="296">
        <f t="shared" si="2"/>
        <v>12</v>
      </c>
      <c r="U38" s="297">
        <f t="shared" si="3"/>
        <v>0</v>
      </c>
      <c r="V38" s="297">
        <f t="shared" si="4"/>
        <v>0.118055555555556</v>
      </c>
      <c r="W38" s="297">
        <f t="shared" si="5"/>
        <v>0.22569444444444445</v>
      </c>
      <c r="X38" s="297">
        <f t="shared" si="6"/>
        <v>0.2638888888888889</v>
      </c>
      <c r="Y38" s="297">
        <f t="shared" si="7"/>
        <v>0</v>
      </c>
      <c r="Z38" s="296">
        <f t="shared" si="8"/>
        <v>60</v>
      </c>
    </row>
    <row r="39" spans="2:26" ht="15.75" customHeight="1">
      <c r="B39" s="29" t="s">
        <v>6</v>
      </c>
      <c r="C39" s="366" t="str">
        <f>[23]Brewhouse!$A385</f>
        <v>CA281</v>
      </c>
      <c r="D39" s="279">
        <f>[23]Brewhouse!$AF385</f>
        <v>54.9</v>
      </c>
      <c r="E39" s="279">
        <f>[23]Brewhouse!$AI385</f>
        <v>51.5</v>
      </c>
      <c r="F39" s="278">
        <f>[23]Brewhouse!$V385</f>
        <v>72</v>
      </c>
      <c r="G39" s="279">
        <f>[23]Brewhouse!$AG385</f>
        <v>11.86</v>
      </c>
      <c r="H39" s="367"/>
      <c r="I39" s="368">
        <f>[23]Brewhouse!$AU385</f>
        <v>100.23457211367787</v>
      </c>
      <c r="J39" s="368">
        <f>[23]Brewhouse!$AV385</f>
        <v>101.86134819634137</v>
      </c>
      <c r="K39" s="281">
        <f>[23]Brewhouse!$Q385</f>
        <v>6.0317460317460343</v>
      </c>
      <c r="L39" s="276">
        <f>[23]Brewhouse!$P385</f>
        <v>60</v>
      </c>
      <c r="M39" s="397">
        <f>[23]Brewhouse!$U385-[23]Brewhouse!$T385</f>
        <v>0.1166666666666667</v>
      </c>
      <c r="N39" s="370">
        <f>[23]Brewhouse!$Z385</f>
        <v>0.27361111111111114</v>
      </c>
      <c r="O39" s="371" t="str">
        <f>[23]Brewhouse!$AX385</f>
        <v>R. Regis</v>
      </c>
      <c r="P39" s="443" t="s">
        <v>199</v>
      </c>
      <c r="R39" s="277" t="str">
        <f t="shared" si="10"/>
        <v>CARIB</v>
      </c>
      <c r="S39" s="296">
        <f t="shared" si="1"/>
        <v>11.6</v>
      </c>
      <c r="T39" s="296">
        <f t="shared" si="2"/>
        <v>12</v>
      </c>
      <c r="U39" s="297">
        <f t="shared" si="3"/>
        <v>0</v>
      </c>
      <c r="V39" s="297">
        <f t="shared" si="4"/>
        <v>0.118055555555556</v>
      </c>
      <c r="W39" s="297">
        <f t="shared" si="5"/>
        <v>0.22569444444444445</v>
      </c>
      <c r="X39" s="297">
        <f t="shared" si="6"/>
        <v>0.2638888888888889</v>
      </c>
      <c r="Y39" s="297">
        <f t="shared" si="7"/>
        <v>0</v>
      </c>
      <c r="Z39" s="296">
        <f t="shared" si="8"/>
        <v>60</v>
      </c>
    </row>
    <row r="40" spans="2:26" ht="15.75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43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2:26" ht="15.75" customHeight="1">
      <c r="B41" s="449">
        <v>45768</v>
      </c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43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2:26" ht="15.75" customHeight="1">
      <c r="B42" s="29" t="s">
        <v>6</v>
      </c>
      <c r="C42" s="366" t="str">
        <f>[23]Brewhouse!$A386</f>
        <v>CA282</v>
      </c>
      <c r="D42" s="279">
        <f>[23]Brewhouse!$AF386</f>
        <v>55.4</v>
      </c>
      <c r="E42" s="279">
        <f>[23]Brewhouse!$AI386</f>
        <v>52</v>
      </c>
      <c r="F42" s="278">
        <f>[23]Brewhouse!$V386</f>
        <v>72</v>
      </c>
      <c r="G42" s="279">
        <f>[23]Brewhouse!$AG386</f>
        <v>11.72</v>
      </c>
      <c r="H42" s="367"/>
      <c r="I42" s="368">
        <f>[23]Brewhouse!$AU386</f>
        <v>99.664904263017561</v>
      </c>
      <c r="J42" s="368">
        <f>[23]Brewhouse!$AV386</f>
        <v>101.28225926594436</v>
      </c>
      <c r="K42" s="281">
        <f>[23]Brewhouse!$Q386</f>
        <v>5.6991150442477858</v>
      </c>
      <c r="L42" s="276">
        <f>[23]Brewhouse!$P386</f>
        <v>60</v>
      </c>
      <c r="M42" s="397">
        <f>[23]Brewhouse!$U386-[23]Brewhouse!$T386</f>
        <v>0.12083333333333335</v>
      </c>
      <c r="N42" s="370">
        <f>[23]Brewhouse!$Z386</f>
        <v>0.26111111111111129</v>
      </c>
      <c r="O42" s="371" t="str">
        <f>[23]Brewhouse!$AX386</f>
        <v>R. Regis</v>
      </c>
      <c r="P42" s="443"/>
      <c r="R42" s="277" t="str">
        <f t="shared" si="10"/>
        <v>CARIB</v>
      </c>
      <c r="S42" s="296">
        <f t="shared" si="1"/>
        <v>11.6</v>
      </c>
      <c r="T42" s="296">
        <f t="shared" si="2"/>
        <v>12</v>
      </c>
      <c r="U42" s="297">
        <f t="shared" si="3"/>
        <v>0</v>
      </c>
      <c r="V42" s="297">
        <f t="shared" si="4"/>
        <v>0.118055555555556</v>
      </c>
      <c r="W42" s="297">
        <f t="shared" si="5"/>
        <v>0.22569444444444445</v>
      </c>
      <c r="X42" s="297">
        <f t="shared" si="6"/>
        <v>0.2638888888888889</v>
      </c>
      <c r="Y42" s="297">
        <f t="shared" si="7"/>
        <v>0</v>
      </c>
      <c r="Z42" s="296">
        <f t="shared" si="8"/>
        <v>60</v>
      </c>
    </row>
    <row r="43" spans="2:26" ht="15.75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444"/>
      <c r="M43" s="397"/>
      <c r="N43" s="370"/>
      <c r="O43" s="371"/>
      <c r="P43" s="443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2:26" ht="15.75" customHeight="1">
      <c r="B44" s="29"/>
      <c r="C44" s="366"/>
      <c r="D44" s="279"/>
      <c r="E44" s="279"/>
      <c r="F44" s="278"/>
      <c r="G44" s="279"/>
      <c r="H44" s="396"/>
      <c r="I44" s="368"/>
      <c r="J44" s="368"/>
      <c r="K44" s="281"/>
      <c r="L44" s="444"/>
      <c r="M44" s="397"/>
      <c r="N44" s="370"/>
      <c r="O44" s="371"/>
      <c r="P44" s="443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2:26" ht="15.75" hidden="1" customHeight="1">
      <c r="B45" s="29"/>
      <c r="C45" s="366"/>
      <c r="D45" s="279"/>
      <c r="E45" s="279"/>
      <c r="F45" s="278"/>
      <c r="G45" s="279"/>
      <c r="H45" s="396"/>
      <c r="I45" s="368"/>
      <c r="J45" s="368"/>
      <c r="K45" s="281"/>
      <c r="L45" s="444"/>
      <c r="M45" s="397"/>
      <c r="N45" s="370"/>
      <c r="O45" s="371"/>
      <c r="P45" s="443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2:26" ht="15.75" hidden="1" customHeight="1">
      <c r="B46" s="29"/>
      <c r="C46" s="366"/>
      <c r="D46" s="279"/>
      <c r="E46" s="279"/>
      <c r="F46" s="278"/>
      <c r="G46" s="279"/>
      <c r="H46" s="396"/>
      <c r="I46" s="368"/>
      <c r="J46" s="368"/>
      <c r="K46" s="281"/>
      <c r="L46" s="444"/>
      <c r="M46" s="397"/>
      <c r="N46" s="370"/>
      <c r="O46" s="371"/>
      <c r="P46" s="443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2:26" ht="15.75" hidden="1" customHeight="1">
      <c r="B47" s="29"/>
      <c r="C47" s="366"/>
      <c r="D47" s="279"/>
      <c r="E47" s="279"/>
      <c r="F47" s="278"/>
      <c r="G47" s="279"/>
      <c r="H47" s="396"/>
      <c r="I47" s="368"/>
      <c r="J47" s="368"/>
      <c r="K47" s="281"/>
      <c r="L47" s="444"/>
      <c r="M47" s="397"/>
      <c r="N47" s="370"/>
      <c r="O47" s="371"/>
      <c r="P47" s="443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2:26" ht="15.75" hidden="1" customHeight="1">
      <c r="B48" s="29"/>
      <c r="C48" s="366"/>
      <c r="D48" s="279"/>
      <c r="E48" s="279"/>
      <c r="F48" s="278"/>
      <c r="G48" s="279"/>
      <c r="H48" s="396"/>
      <c r="I48" s="368"/>
      <c r="J48" s="368"/>
      <c r="K48" s="281"/>
      <c r="L48" s="444"/>
      <c r="M48" s="397"/>
      <c r="N48" s="370"/>
      <c r="O48" s="371"/>
      <c r="P48" s="443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2:26" ht="15.75" hidden="1" customHeight="1">
      <c r="B49" s="29"/>
      <c r="C49" s="366"/>
      <c r="D49" s="279"/>
      <c r="E49" s="279"/>
      <c r="F49" s="278"/>
      <c r="G49" s="279"/>
      <c r="H49" s="396"/>
      <c r="I49" s="368"/>
      <c r="J49" s="368"/>
      <c r="K49" s="281"/>
      <c r="L49" s="444"/>
      <c r="M49" s="397"/>
      <c r="N49" s="370"/>
      <c r="O49" s="371"/>
      <c r="P49" s="443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2:26" ht="15.75" hidden="1" customHeight="1">
      <c r="B50" s="29"/>
      <c r="C50" s="366"/>
      <c r="D50" s="279"/>
      <c r="E50" s="279"/>
      <c r="F50" s="278"/>
      <c r="G50" s="279"/>
      <c r="H50" s="396"/>
      <c r="I50" s="368"/>
      <c r="J50" s="368"/>
      <c r="K50" s="281"/>
      <c r="L50" s="444"/>
      <c r="M50" s="397"/>
      <c r="N50" s="370"/>
      <c r="O50" s="371"/>
      <c r="P50" s="443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2:26" ht="15.75" hidden="1" customHeight="1">
      <c r="B51" s="29"/>
      <c r="C51" s="366"/>
      <c r="D51" s="279"/>
      <c r="E51" s="279"/>
      <c r="F51" s="278"/>
      <c r="G51" s="279"/>
      <c r="H51" s="396"/>
      <c r="I51" s="368"/>
      <c r="J51" s="368"/>
      <c r="K51" s="281"/>
      <c r="L51" s="444"/>
      <c r="M51" s="397"/>
      <c r="N51" s="370"/>
      <c r="O51" s="371"/>
      <c r="P51" s="443"/>
      <c r="R51" s="277"/>
      <c r="S51" s="296"/>
      <c r="T51" s="296"/>
      <c r="U51" s="297"/>
      <c r="V51" s="297"/>
      <c r="W51" s="297"/>
      <c r="X51" s="297"/>
      <c r="Y51" s="297"/>
      <c r="Z51" s="296"/>
    </row>
    <row r="52" spans="2:26" ht="15.75" hidden="1" customHeight="1">
      <c r="B52" s="29"/>
      <c r="C52" s="366"/>
      <c r="D52" s="279"/>
      <c r="E52" s="279"/>
      <c r="F52" s="278"/>
      <c r="G52" s="279"/>
      <c r="H52" s="396"/>
      <c r="I52" s="368"/>
      <c r="J52" s="368"/>
      <c r="K52" s="281"/>
      <c r="L52" s="444"/>
      <c r="M52" s="397"/>
      <c r="N52" s="370"/>
      <c r="O52" s="371"/>
      <c r="P52" s="443"/>
      <c r="R52" s="277"/>
      <c r="S52" s="296"/>
      <c r="T52" s="296"/>
      <c r="U52" s="297"/>
      <c r="V52" s="297"/>
      <c r="W52" s="297"/>
      <c r="X52" s="297"/>
      <c r="Y52" s="297"/>
      <c r="Z52" s="296"/>
    </row>
    <row r="53" spans="2:26" ht="15.75" hidden="1" customHeight="1">
      <c r="B53" s="29"/>
      <c r="C53" s="366"/>
      <c r="D53" s="279"/>
      <c r="E53" s="279"/>
      <c r="F53" s="278"/>
      <c r="G53" s="279"/>
      <c r="H53" s="396"/>
      <c r="I53" s="368"/>
      <c r="J53" s="368"/>
      <c r="K53" s="281"/>
      <c r="L53" s="444"/>
      <c r="M53" s="397"/>
      <c r="N53" s="370"/>
      <c r="O53" s="371"/>
      <c r="P53" s="443"/>
      <c r="R53" s="277"/>
      <c r="S53" s="296"/>
      <c r="T53" s="296"/>
      <c r="U53" s="297"/>
      <c r="V53" s="297"/>
      <c r="W53" s="297"/>
      <c r="X53" s="297"/>
      <c r="Y53" s="297"/>
      <c r="Z53" s="296"/>
    </row>
    <row r="54" spans="2:26" ht="15.75" hidden="1" customHeight="1">
      <c r="B54" s="29"/>
      <c r="C54" s="366"/>
      <c r="D54" s="279"/>
      <c r="E54" s="279"/>
      <c r="F54" s="278"/>
      <c r="G54" s="279"/>
      <c r="H54" s="396"/>
      <c r="I54" s="368"/>
      <c r="J54" s="368"/>
      <c r="K54" s="281"/>
      <c r="L54" s="444"/>
      <c r="M54" s="397"/>
      <c r="N54" s="370"/>
      <c r="O54" s="371"/>
      <c r="P54" s="443"/>
      <c r="R54" s="277"/>
      <c r="S54" s="296"/>
      <c r="T54" s="296"/>
      <c r="U54" s="297"/>
      <c r="V54" s="297"/>
      <c r="W54" s="297"/>
      <c r="X54" s="297"/>
      <c r="Y54" s="297"/>
      <c r="Z54" s="296"/>
    </row>
    <row r="55" spans="2:26" ht="15.75" hidden="1" customHeight="1">
      <c r="B55" s="29"/>
      <c r="C55" s="366"/>
      <c r="D55" s="279"/>
      <c r="E55" s="279"/>
      <c r="F55" s="278"/>
      <c r="G55" s="279"/>
      <c r="H55" s="396"/>
      <c r="I55" s="368"/>
      <c r="J55" s="368"/>
      <c r="K55" s="281"/>
      <c r="L55" s="444"/>
      <c r="M55" s="397"/>
      <c r="N55" s="370"/>
      <c r="O55" s="371"/>
      <c r="P55" s="443"/>
      <c r="R55" s="277"/>
      <c r="S55" s="296"/>
      <c r="T55" s="296"/>
      <c r="U55" s="297"/>
      <c r="V55" s="297"/>
      <c r="W55" s="297"/>
      <c r="X55" s="297"/>
      <c r="Y55" s="297"/>
      <c r="Z55" s="296"/>
    </row>
    <row r="56" spans="2:26" ht="15.75" hidden="1" customHeight="1">
      <c r="B56" s="29"/>
      <c r="C56" s="366"/>
      <c r="D56" s="279"/>
      <c r="E56" s="279"/>
      <c r="F56" s="278"/>
      <c r="G56" s="279"/>
      <c r="H56" s="396"/>
      <c r="I56" s="368"/>
      <c r="J56" s="368"/>
      <c r="K56" s="281"/>
      <c r="L56" s="444"/>
      <c r="M56" s="397"/>
      <c r="N56" s="370"/>
      <c r="O56" s="371"/>
      <c r="P56" s="443"/>
      <c r="R56" s="277"/>
      <c r="S56" s="296"/>
      <c r="T56" s="296"/>
      <c r="U56" s="297"/>
      <c r="V56" s="297"/>
      <c r="W56" s="297"/>
      <c r="X56" s="297"/>
      <c r="Y56" s="297"/>
      <c r="Z56" s="296"/>
    </row>
    <row r="57" spans="2:26" ht="15.75" hidden="1" customHeight="1">
      <c r="B57" s="29"/>
      <c r="C57" s="366"/>
      <c r="D57" s="279"/>
      <c r="E57" s="279"/>
      <c r="F57" s="278"/>
      <c r="G57" s="279"/>
      <c r="H57" s="396"/>
      <c r="I57" s="368"/>
      <c r="J57" s="368"/>
      <c r="K57" s="281"/>
      <c r="L57" s="444"/>
      <c r="M57" s="397"/>
      <c r="N57" s="370"/>
      <c r="O57" s="371"/>
      <c r="P57" s="443"/>
      <c r="R57" s="277"/>
      <c r="S57" s="296"/>
      <c r="T57" s="296"/>
      <c r="U57" s="297"/>
      <c r="V57" s="297"/>
      <c r="W57" s="297"/>
      <c r="X57" s="297"/>
      <c r="Y57" s="297"/>
      <c r="Z57" s="296"/>
    </row>
    <row r="58" spans="2:26" ht="15.75" hidden="1" customHeight="1">
      <c r="B58" s="29"/>
      <c r="C58" s="366"/>
      <c r="D58" s="279"/>
      <c r="E58" s="279"/>
      <c r="F58" s="278"/>
      <c r="G58" s="279"/>
      <c r="H58" s="396"/>
      <c r="I58" s="368"/>
      <c r="J58" s="368"/>
      <c r="K58" s="281"/>
      <c r="L58" s="444"/>
      <c r="M58" s="397"/>
      <c r="N58" s="370"/>
      <c r="O58" s="371"/>
      <c r="P58" s="443"/>
      <c r="R58" s="277"/>
      <c r="S58" s="296"/>
      <c r="T58" s="296"/>
      <c r="U58" s="297"/>
      <c r="V58" s="297"/>
      <c r="W58" s="297"/>
      <c r="X58" s="297"/>
      <c r="Y58" s="297"/>
      <c r="Z58" s="296"/>
    </row>
    <row r="59" spans="2:26" ht="15.75" hidden="1" customHeight="1">
      <c r="B59" s="29"/>
      <c r="C59" s="366"/>
      <c r="D59" s="279"/>
      <c r="E59" s="279"/>
      <c r="F59" s="278"/>
      <c r="G59" s="279"/>
      <c r="H59" s="396"/>
      <c r="I59" s="368"/>
      <c r="J59" s="368"/>
      <c r="K59" s="281"/>
      <c r="L59" s="444"/>
      <c r="M59" s="397"/>
      <c r="N59" s="370"/>
      <c r="O59" s="371"/>
      <c r="P59" s="443"/>
      <c r="R59" s="277"/>
      <c r="S59" s="296"/>
      <c r="T59" s="296"/>
      <c r="U59" s="297"/>
      <c r="V59" s="297"/>
      <c r="W59" s="297"/>
      <c r="X59" s="297"/>
      <c r="Y59" s="297"/>
      <c r="Z59" s="296"/>
    </row>
    <row r="60" spans="2:26" ht="15.75" hidden="1" customHeight="1">
      <c r="B60" s="29"/>
      <c r="C60" s="366"/>
      <c r="D60" s="279"/>
      <c r="E60" s="279"/>
      <c r="F60" s="278"/>
      <c r="G60" s="279"/>
      <c r="H60" s="396"/>
      <c r="I60" s="368"/>
      <c r="J60" s="368"/>
      <c r="K60" s="281"/>
      <c r="L60" s="444"/>
      <c r="M60" s="397"/>
      <c r="N60" s="370"/>
      <c r="O60" s="371"/>
      <c r="P60" s="443"/>
      <c r="R60" s="277"/>
      <c r="S60" s="296"/>
      <c r="T60" s="296"/>
      <c r="U60" s="297"/>
      <c r="V60" s="297"/>
      <c r="W60" s="297"/>
      <c r="X60" s="297"/>
      <c r="Y60" s="297"/>
      <c r="Z60" s="296"/>
    </row>
    <row r="61" spans="2:26" ht="15.75" hidden="1" customHeight="1">
      <c r="B61" s="29"/>
      <c r="C61" s="366"/>
      <c r="D61" s="279"/>
      <c r="E61" s="279"/>
      <c r="F61" s="278"/>
      <c r="G61" s="279"/>
      <c r="H61" s="396"/>
      <c r="I61" s="368"/>
      <c r="J61" s="368"/>
      <c r="K61" s="281"/>
      <c r="L61" s="444"/>
      <c r="M61" s="397"/>
      <c r="N61" s="370"/>
      <c r="O61" s="371"/>
      <c r="P61" s="443"/>
      <c r="R61" s="277"/>
      <c r="S61" s="296"/>
      <c r="T61" s="296"/>
      <c r="U61" s="297"/>
      <c r="V61" s="297"/>
      <c r="W61" s="297"/>
      <c r="X61" s="297"/>
      <c r="Y61" s="297"/>
      <c r="Z61" s="296"/>
    </row>
    <row r="62" spans="2:26" ht="15.75" hidden="1" customHeight="1">
      <c r="B62" s="29"/>
      <c r="C62" s="366"/>
      <c r="D62" s="279"/>
      <c r="E62" s="279"/>
      <c r="F62" s="278"/>
      <c r="G62" s="279"/>
      <c r="H62" s="396"/>
      <c r="I62" s="368"/>
      <c r="J62" s="368"/>
      <c r="K62" s="281"/>
      <c r="L62" s="444"/>
      <c r="M62" s="397"/>
      <c r="N62" s="370"/>
      <c r="O62" s="371"/>
      <c r="P62" s="443"/>
      <c r="R62" s="277"/>
      <c r="S62" s="296"/>
      <c r="T62" s="296"/>
      <c r="U62" s="297"/>
      <c r="V62" s="297"/>
      <c r="W62" s="297"/>
      <c r="X62" s="297"/>
      <c r="Y62" s="297"/>
      <c r="Z62" s="296"/>
    </row>
    <row r="63" spans="2:26" ht="15.75" hidden="1" customHeight="1">
      <c r="B63" s="29"/>
      <c r="C63" s="366"/>
      <c r="D63" s="279"/>
      <c r="E63" s="279"/>
      <c r="F63" s="278"/>
      <c r="G63" s="279"/>
      <c r="H63" s="396"/>
      <c r="I63" s="368"/>
      <c r="J63" s="368"/>
      <c r="K63" s="281"/>
      <c r="L63" s="444"/>
      <c r="M63" s="397"/>
      <c r="N63" s="370"/>
      <c r="O63" s="371"/>
      <c r="P63" s="443"/>
      <c r="R63" s="277"/>
      <c r="S63" s="296"/>
      <c r="T63" s="296"/>
      <c r="U63" s="297"/>
      <c r="V63" s="297"/>
      <c r="W63" s="297"/>
      <c r="X63" s="297"/>
      <c r="Y63" s="297"/>
      <c r="Z63" s="296"/>
    </row>
    <row r="64" spans="2:26" ht="15.75" hidden="1" customHeight="1">
      <c r="B64" s="29"/>
      <c r="C64" s="366"/>
      <c r="D64" s="279"/>
      <c r="E64" s="279"/>
      <c r="F64" s="278"/>
      <c r="G64" s="279"/>
      <c r="H64" s="396"/>
      <c r="I64" s="368"/>
      <c r="J64" s="368"/>
      <c r="K64" s="281"/>
      <c r="L64" s="444"/>
      <c r="M64" s="397"/>
      <c r="N64" s="370"/>
      <c r="O64" s="371"/>
      <c r="P64" s="443"/>
      <c r="R64" s="277"/>
      <c r="S64" s="296"/>
      <c r="T64" s="296"/>
      <c r="U64" s="297"/>
      <c r="V64" s="297"/>
      <c r="W64" s="297"/>
      <c r="X64" s="297"/>
      <c r="Y64" s="297"/>
      <c r="Z64" s="296"/>
    </row>
    <row r="65" spans="1:27" ht="15.75" hidden="1" customHeight="1">
      <c r="B65" s="29"/>
      <c r="C65" s="366"/>
      <c r="D65" s="279"/>
      <c r="E65" s="279"/>
      <c r="F65" s="278"/>
      <c r="G65" s="279"/>
      <c r="H65" s="396"/>
      <c r="I65" s="368"/>
      <c r="J65" s="368"/>
      <c r="K65" s="281"/>
      <c r="L65" s="444"/>
      <c r="M65" s="397"/>
      <c r="N65" s="370"/>
      <c r="O65" s="371"/>
      <c r="P65" s="443"/>
      <c r="R65" s="277">
        <f t="shared" si="0"/>
        <v>0</v>
      </c>
      <c r="S65" s="296" t="e">
        <f t="shared" si="1"/>
        <v>#N/A</v>
      </c>
      <c r="T65" s="296" t="e">
        <f t="shared" si="2"/>
        <v>#N/A</v>
      </c>
      <c r="U65" s="297" t="e">
        <f t="shared" si="3"/>
        <v>#N/A</v>
      </c>
      <c r="V65" s="297" t="e">
        <f t="shared" si="4"/>
        <v>#N/A</v>
      </c>
      <c r="W65" s="297" t="e">
        <f t="shared" si="5"/>
        <v>#N/A</v>
      </c>
      <c r="X65" s="297" t="e">
        <f t="shared" si="6"/>
        <v>#N/A</v>
      </c>
      <c r="Y65" s="297" t="e">
        <f t="shared" si="7"/>
        <v>#N/A</v>
      </c>
      <c r="Z65" s="296" t="e">
        <f t="shared" si="8"/>
        <v>#N/A</v>
      </c>
    </row>
    <row r="66" spans="1:27" ht="15.75" hidden="1" customHeight="1">
      <c r="B66" s="29"/>
      <c r="C66" s="366"/>
      <c r="D66" s="279"/>
      <c r="E66" s="279"/>
      <c r="F66" s="278"/>
      <c r="G66" s="279"/>
      <c r="H66" s="396"/>
      <c r="I66" s="368"/>
      <c r="J66" s="368"/>
      <c r="K66" s="281"/>
      <c r="L66" s="444"/>
      <c r="M66" s="397"/>
      <c r="N66" s="370"/>
      <c r="O66" s="371"/>
      <c r="P66" s="443"/>
      <c r="R66" s="277">
        <f t="shared" si="0"/>
        <v>0</v>
      </c>
      <c r="S66" s="296" t="e">
        <f t="shared" si="1"/>
        <v>#N/A</v>
      </c>
      <c r="T66" s="296" t="e">
        <f t="shared" si="2"/>
        <v>#N/A</v>
      </c>
      <c r="U66" s="297" t="e">
        <f t="shared" si="3"/>
        <v>#N/A</v>
      </c>
      <c r="V66" s="297" t="e">
        <f t="shared" si="4"/>
        <v>#N/A</v>
      </c>
      <c r="W66" s="297" t="e">
        <f t="shared" si="5"/>
        <v>#N/A</v>
      </c>
      <c r="X66" s="297" t="e">
        <f t="shared" si="6"/>
        <v>#N/A</v>
      </c>
      <c r="Y66" s="297" t="e">
        <f t="shared" si="7"/>
        <v>#N/A</v>
      </c>
      <c r="Z66" s="296" t="e">
        <f t="shared" si="8"/>
        <v>#N/A</v>
      </c>
    </row>
    <row r="67" spans="1:27" ht="15.75" hidden="1" customHeight="1">
      <c r="B67" s="29"/>
      <c r="C67" s="366"/>
      <c r="D67" s="279"/>
      <c r="E67" s="279"/>
      <c r="F67" s="278"/>
      <c r="G67" s="279"/>
      <c r="H67" s="396"/>
      <c r="I67" s="368"/>
      <c r="J67" s="368"/>
      <c r="K67" s="281"/>
      <c r="L67" s="444"/>
      <c r="M67" s="397"/>
      <c r="N67" s="370"/>
      <c r="O67" s="371"/>
      <c r="P67" s="443"/>
      <c r="R67" s="277">
        <f t="shared" si="0"/>
        <v>0</v>
      </c>
      <c r="S67" s="296" t="e">
        <f t="shared" si="1"/>
        <v>#N/A</v>
      </c>
      <c r="T67" s="296" t="e">
        <f t="shared" si="2"/>
        <v>#N/A</v>
      </c>
      <c r="U67" s="297" t="e">
        <f t="shared" si="3"/>
        <v>#N/A</v>
      </c>
      <c r="V67" s="297" t="e">
        <f t="shared" si="4"/>
        <v>#N/A</v>
      </c>
      <c r="W67" s="297" t="e">
        <f t="shared" si="5"/>
        <v>#N/A</v>
      </c>
      <c r="X67" s="297" t="e">
        <f t="shared" si="6"/>
        <v>#N/A</v>
      </c>
      <c r="Y67" s="297" t="e">
        <f t="shared" si="7"/>
        <v>#N/A</v>
      </c>
      <c r="Z67" s="296" t="e">
        <f t="shared" si="8"/>
        <v>#N/A</v>
      </c>
    </row>
    <row r="68" spans="1:27" ht="15.75" hidden="1" customHeight="1">
      <c r="B68" s="33"/>
      <c r="C68" s="366"/>
      <c r="D68" s="279"/>
      <c r="E68" s="279"/>
      <c r="F68" s="278"/>
      <c r="G68" s="279"/>
      <c r="H68" s="396"/>
      <c r="I68" s="434"/>
      <c r="J68" s="398"/>
      <c r="K68" s="276"/>
      <c r="L68" s="374"/>
      <c r="M68" s="397"/>
      <c r="N68" s="370"/>
      <c r="O68" s="371"/>
      <c r="P68" s="443"/>
      <c r="R68" s="277">
        <f t="shared" si="0"/>
        <v>0</v>
      </c>
      <c r="S68" s="296" t="e">
        <f t="shared" si="1"/>
        <v>#N/A</v>
      </c>
      <c r="T68" s="296" t="e">
        <f t="shared" si="2"/>
        <v>#N/A</v>
      </c>
      <c r="U68" s="297" t="e">
        <f t="shared" si="3"/>
        <v>#N/A</v>
      </c>
      <c r="V68" s="297" t="e">
        <f t="shared" si="4"/>
        <v>#N/A</v>
      </c>
      <c r="W68" s="297" t="e">
        <f t="shared" si="5"/>
        <v>#N/A</v>
      </c>
      <c r="X68" s="297" t="e">
        <f t="shared" si="6"/>
        <v>#N/A</v>
      </c>
      <c r="Y68" s="297" t="e">
        <f t="shared" si="7"/>
        <v>#N/A</v>
      </c>
      <c r="Z68" s="296" t="e">
        <f t="shared" si="8"/>
        <v>#N/A</v>
      </c>
    </row>
    <row r="69" spans="1:27" ht="15.75" hidden="1" customHeight="1">
      <c r="B69" s="33"/>
      <c r="C69" s="366"/>
      <c r="D69" s="279"/>
      <c r="E69" s="279"/>
      <c r="F69" s="278"/>
      <c r="G69" s="279"/>
      <c r="H69" s="396"/>
      <c r="I69" s="434"/>
      <c r="J69" s="398"/>
      <c r="K69" s="276"/>
      <c r="L69" s="374"/>
      <c r="M69" s="397"/>
      <c r="N69" s="370"/>
      <c r="O69" s="371"/>
      <c r="P69" s="443"/>
      <c r="R69" s="277">
        <f t="shared" si="0"/>
        <v>0</v>
      </c>
      <c r="S69" s="296" t="e">
        <f t="shared" si="1"/>
        <v>#N/A</v>
      </c>
      <c r="T69" s="296" t="e">
        <f t="shared" si="2"/>
        <v>#N/A</v>
      </c>
      <c r="U69" s="297" t="e">
        <f t="shared" si="3"/>
        <v>#N/A</v>
      </c>
      <c r="V69" s="297" t="e">
        <f t="shared" si="4"/>
        <v>#N/A</v>
      </c>
      <c r="W69" s="297" t="e">
        <f t="shared" si="5"/>
        <v>#N/A</v>
      </c>
      <c r="X69" s="297" t="e">
        <f t="shared" si="6"/>
        <v>#N/A</v>
      </c>
      <c r="Y69" s="297" t="e">
        <f t="shared" si="7"/>
        <v>#N/A</v>
      </c>
      <c r="Z69" s="296" t="e">
        <f t="shared" si="8"/>
        <v>#N/A</v>
      </c>
    </row>
    <row r="70" spans="1:27" ht="15.75" hidden="1" customHeight="1">
      <c r="B70" s="33"/>
      <c r="C70" s="366"/>
      <c r="D70" s="279"/>
      <c r="E70" s="279"/>
      <c r="F70" s="278"/>
      <c r="G70" s="279"/>
      <c r="H70" s="396"/>
      <c r="I70" s="434"/>
      <c r="J70" s="398"/>
      <c r="K70" s="276"/>
      <c r="L70" s="374"/>
      <c r="M70" s="397"/>
      <c r="N70" s="370"/>
      <c r="O70" s="371"/>
      <c r="P70" s="443"/>
      <c r="R70" s="277">
        <f t="shared" si="0"/>
        <v>0</v>
      </c>
      <c r="S70" s="296" t="e">
        <f t="shared" si="1"/>
        <v>#N/A</v>
      </c>
      <c r="T70" s="296" t="e">
        <f t="shared" si="2"/>
        <v>#N/A</v>
      </c>
      <c r="U70" s="297" t="e">
        <f t="shared" si="3"/>
        <v>#N/A</v>
      </c>
      <c r="V70" s="297" t="e">
        <f t="shared" si="4"/>
        <v>#N/A</v>
      </c>
      <c r="W70" s="297" t="e">
        <f t="shared" si="5"/>
        <v>#N/A</v>
      </c>
      <c r="X70" s="297" t="e">
        <f t="shared" si="6"/>
        <v>#N/A</v>
      </c>
      <c r="Y70" s="297" t="e">
        <f t="shared" si="7"/>
        <v>#N/A</v>
      </c>
      <c r="Z70" s="296" t="e">
        <f t="shared" si="8"/>
        <v>#N/A</v>
      </c>
    </row>
    <row r="71" spans="1:27" ht="15.75" hidden="1" customHeight="1">
      <c r="B71" s="33"/>
      <c r="C71" s="366"/>
      <c r="D71" s="279"/>
      <c r="E71" s="279"/>
      <c r="F71" s="278"/>
      <c r="G71" s="279"/>
      <c r="H71" s="396"/>
      <c r="I71" s="434"/>
      <c r="J71" s="398"/>
      <c r="K71" s="276"/>
      <c r="L71" s="374"/>
      <c r="M71" s="397"/>
      <c r="N71" s="370"/>
      <c r="O71" s="371"/>
      <c r="P71" s="443"/>
      <c r="R71" s="277">
        <f t="shared" si="0"/>
        <v>0</v>
      </c>
      <c r="S71" s="296" t="e">
        <f t="shared" si="1"/>
        <v>#N/A</v>
      </c>
      <c r="T71" s="296" t="e">
        <f t="shared" si="2"/>
        <v>#N/A</v>
      </c>
      <c r="U71" s="297" t="e">
        <f t="shared" si="3"/>
        <v>#N/A</v>
      </c>
      <c r="V71" s="297" t="e">
        <f t="shared" si="4"/>
        <v>#N/A</v>
      </c>
      <c r="W71" s="297" t="e">
        <f t="shared" si="5"/>
        <v>#N/A</v>
      </c>
      <c r="X71" s="297" t="e">
        <f t="shared" si="6"/>
        <v>#N/A</v>
      </c>
      <c r="Y71" s="297" t="e">
        <f t="shared" si="7"/>
        <v>#N/A</v>
      </c>
      <c r="Z71" s="296" t="e">
        <f t="shared" si="8"/>
        <v>#N/A</v>
      </c>
    </row>
    <row r="72" spans="1:27" ht="15.75" hidden="1" customHeight="1">
      <c r="B72" s="33"/>
      <c r="C72" s="366"/>
      <c r="D72" s="279"/>
      <c r="E72" s="279"/>
      <c r="F72" s="278"/>
      <c r="G72" s="279"/>
      <c r="H72" s="396"/>
      <c r="I72" s="434"/>
      <c r="J72" s="398"/>
      <c r="K72" s="276"/>
      <c r="L72" s="374"/>
      <c r="M72" s="397"/>
      <c r="N72" s="370"/>
      <c r="O72" s="371"/>
      <c r="P72" s="443"/>
      <c r="R72" s="277">
        <f t="shared" si="0"/>
        <v>0</v>
      </c>
      <c r="S72" s="296" t="e">
        <f t="shared" si="1"/>
        <v>#N/A</v>
      </c>
      <c r="T72" s="296" t="e">
        <f t="shared" si="2"/>
        <v>#N/A</v>
      </c>
      <c r="U72" s="297" t="e">
        <f t="shared" si="3"/>
        <v>#N/A</v>
      </c>
      <c r="V72" s="297" t="e">
        <f t="shared" si="4"/>
        <v>#N/A</v>
      </c>
      <c r="W72" s="297" t="e">
        <f t="shared" si="5"/>
        <v>#N/A</v>
      </c>
      <c r="X72" s="297" t="e">
        <f t="shared" si="6"/>
        <v>#N/A</v>
      </c>
      <c r="Y72" s="297" t="e">
        <f t="shared" si="7"/>
        <v>#N/A</v>
      </c>
      <c r="Z72" s="296" t="e">
        <f t="shared" si="8"/>
        <v>#N/A</v>
      </c>
    </row>
    <row r="73" spans="1:27" ht="15.75" customHeight="1" thickBot="1">
      <c r="B73" s="358"/>
      <c r="C73" s="358"/>
      <c r="D73" s="358"/>
      <c r="E73" s="358"/>
      <c r="F73" s="294"/>
      <c r="G73" s="294"/>
      <c r="H73" s="348"/>
      <c r="I73" s="500" t="s">
        <v>34</v>
      </c>
      <c r="J73" s="500"/>
      <c r="K73" s="500"/>
      <c r="L73" s="500"/>
      <c r="M73" s="500"/>
      <c r="N73" s="500"/>
      <c r="O73" s="1"/>
      <c r="P73" s="12"/>
      <c r="R73" s="277">
        <f t="shared" si="0"/>
        <v>0</v>
      </c>
      <c r="S73" s="296" t="e">
        <f t="shared" si="1"/>
        <v>#N/A</v>
      </c>
      <c r="T73" s="296" t="e">
        <f t="shared" si="2"/>
        <v>#N/A</v>
      </c>
      <c r="U73" s="297" t="e">
        <f t="shared" si="3"/>
        <v>#N/A</v>
      </c>
      <c r="V73" s="297" t="e">
        <f t="shared" si="4"/>
        <v>#N/A</v>
      </c>
      <c r="W73" s="297" t="e">
        <f t="shared" si="5"/>
        <v>#N/A</v>
      </c>
      <c r="X73" s="297" t="e">
        <f t="shared" si="6"/>
        <v>#N/A</v>
      </c>
      <c r="Y73" s="297" t="e">
        <f t="shared" si="7"/>
        <v>#N/A</v>
      </c>
      <c r="Z73" s="296" t="e">
        <f t="shared" si="8"/>
        <v>#N/A</v>
      </c>
    </row>
    <row r="74" spans="1:27" ht="15" thickBot="1">
      <c r="B74" s="388" t="s">
        <v>145</v>
      </c>
      <c r="C74" s="388"/>
      <c r="D74" s="513" t="s">
        <v>35</v>
      </c>
      <c r="E74" s="514"/>
      <c r="F74" s="294"/>
      <c r="G74" s="294"/>
      <c r="H74" s="348"/>
      <c r="I74" s="24" t="s">
        <v>17</v>
      </c>
      <c r="J74" s="25" t="s">
        <v>36</v>
      </c>
      <c r="K74" s="26" t="s">
        <v>138</v>
      </c>
      <c r="L74" s="25" t="s">
        <v>37</v>
      </c>
      <c r="M74" s="25" t="s">
        <v>38</v>
      </c>
      <c r="N74" s="27" t="s">
        <v>39</v>
      </c>
      <c r="O74" s="294"/>
      <c r="P74" s="12"/>
      <c r="R74" s="277"/>
      <c r="S74" s="296"/>
      <c r="T74" s="296"/>
      <c r="U74" s="297"/>
      <c r="V74" s="297"/>
      <c r="W74" s="297"/>
      <c r="X74" s="297"/>
      <c r="Y74" s="297"/>
      <c r="Z74" s="296"/>
    </row>
    <row r="75" spans="1:27" ht="15" customHeight="1">
      <c r="A75" s="28"/>
      <c r="B75" s="501" t="s">
        <v>9</v>
      </c>
      <c r="C75" s="362" cm="1">
        <f t="array" ref="C75:C82">[24]Process!$D$142:$D$149</f>
        <v>12.1</v>
      </c>
      <c r="D75" s="504">
        <v>12.16</v>
      </c>
      <c r="E75" s="493"/>
      <c r="F75" s="294"/>
      <c r="G75" s="294"/>
      <c r="H75" s="348"/>
      <c r="I75" s="29" t="s">
        <v>6</v>
      </c>
      <c r="J75" s="280">
        <f>AVERAGE(I33:I42)</f>
        <v>100.08140496655069</v>
      </c>
      <c r="K75" s="284">
        <f>COUNTA([23]Brewhouse!$A$341:$A$386)</f>
        <v>46</v>
      </c>
      <c r="L75" s="302">
        <f>AVERAGE([23]Brewhouse!$AU$341:$AU$346,[23]Brewhouse!$AU$348,[23]Brewhouse!$AU$349:$AU$386)</f>
        <v>98.931438936602703</v>
      </c>
      <c r="M75" s="302">
        <f>AVERAGE([23]Brewhouse!$AU$102:$AU$171,[23]Brewhouse!$AU$173:$AU$253,[23]Brewhouse!$AU$255:$AU$339,[23]Brewhouse!$AU$341:$AU$346,[23]Brewhouse!$AU$348,[23]Brewhouse!$AU$349:$AU$386)</f>
        <v>97.131459864180101</v>
      </c>
      <c r="N75" s="30">
        <v>98</v>
      </c>
      <c r="O75" s="11"/>
      <c r="P75" s="31"/>
      <c r="R75" s="277"/>
      <c r="S75" s="296"/>
      <c r="T75" s="296"/>
      <c r="U75" s="297"/>
      <c r="V75" s="297"/>
      <c r="W75" s="297"/>
      <c r="X75" s="297"/>
      <c r="Y75" s="297"/>
      <c r="Z75" s="296"/>
    </row>
    <row r="76" spans="1:27" ht="15" customHeight="1">
      <c r="A76" s="28"/>
      <c r="B76" s="502"/>
      <c r="C76" s="349">
        <v>11.8</v>
      </c>
      <c r="D76" s="505"/>
      <c r="E76" s="488"/>
      <c r="F76" s="294"/>
      <c r="G76" s="294"/>
      <c r="H76" s="348"/>
      <c r="I76" s="33" t="s">
        <v>9</v>
      </c>
      <c r="J76" s="280">
        <f>AVERAGE(I20:I25,I28:I29)</f>
        <v>98.701541493221981</v>
      </c>
      <c r="K76" s="284">
        <f>COUNTA([24]Brewhouse!$A$142:$A$173)</f>
        <v>32</v>
      </c>
      <c r="L76" s="302">
        <f>AVERAGE([24]Brewhouse!$AS$142:$AS$173)</f>
        <v>98.895075134950076</v>
      </c>
      <c r="M76" s="302">
        <f>AVERAGE([24]Brewhouse!$AS$15:$AS$64,[24]Brewhouse!$AS$66:$AS$103,[24]Brewhouse!$AS$105:$AS$140,[24]Brewhouse!$AS$142:$AS$173)</f>
        <v>97.154691237649288</v>
      </c>
      <c r="N76" s="30">
        <v>98</v>
      </c>
      <c r="O76" s="11"/>
      <c r="P76" s="31"/>
      <c r="R76" s="277"/>
      <c r="S76" s="296"/>
      <c r="T76" s="296"/>
      <c r="U76" s="297"/>
      <c r="V76" s="297"/>
      <c r="W76" s="297"/>
      <c r="X76" s="297"/>
      <c r="Y76" s="297"/>
      <c r="Z76" s="296"/>
    </row>
    <row r="77" spans="1:27" ht="14.7" customHeight="1">
      <c r="A77" s="28"/>
      <c r="B77" s="502"/>
      <c r="C77" s="349">
        <v>12</v>
      </c>
      <c r="D77" s="504">
        <v>12.1</v>
      </c>
      <c r="E77" s="493"/>
      <c r="F77" s="294"/>
      <c r="G77" s="294"/>
      <c r="H77" s="348"/>
      <c r="I77" s="34" t="s">
        <v>12</v>
      </c>
      <c r="J77" s="280">
        <f>AVERAGE(I11:I12)</f>
        <v>100.13931731215655</v>
      </c>
      <c r="K77" s="284">
        <f>COUNTA([22]Brewhouse!$A$38:$A$45)</f>
        <v>8</v>
      </c>
      <c r="L77" s="302">
        <f>AVERAGE([22]Brewhouse!$AU$37:$AU$45)</f>
        <v>98.090293320814979</v>
      </c>
      <c r="M77" s="302">
        <f>AVERAGE([22]Brewhouse!$AU$4:$AU$7,[22]Brewhouse!$AU$9:$AU$22,[22]Brewhouse!$AU$24:$AU$35,[22]Brewhouse!$AU$37:$AU$45)</f>
        <v>97.086748546217066</v>
      </c>
      <c r="N77" s="30">
        <v>98</v>
      </c>
      <c r="O77" s="11"/>
      <c r="P77" s="31"/>
      <c r="R77" s="277"/>
      <c r="S77" s="296"/>
      <c r="T77" s="296"/>
      <c r="U77" s="297"/>
      <c r="V77" s="297"/>
      <c r="W77" s="297"/>
      <c r="X77" s="297"/>
      <c r="Y77" s="297"/>
      <c r="Z77" s="296"/>
    </row>
    <row r="78" spans="1:27" ht="14.7" customHeight="1">
      <c r="A78" s="28"/>
      <c r="B78" s="502"/>
      <c r="C78" s="349">
        <v>11.8</v>
      </c>
      <c r="D78" s="505"/>
      <c r="E78" s="488"/>
      <c r="F78" s="294"/>
      <c r="G78" s="294"/>
      <c r="H78" s="348"/>
      <c r="I78" s="22" t="s">
        <v>33</v>
      </c>
      <c r="J78" s="280"/>
      <c r="K78" s="284">
        <f>COUNTA([25]Brewhouse!$A$26:$A$33)</f>
        <v>8</v>
      </c>
      <c r="L78" s="302">
        <f>AVERAGE([25]Brewhouse!$AV$26:$AV$33)</f>
        <v>99.61038006330628</v>
      </c>
      <c r="M78" s="302">
        <f>AVERAGE([25]Brewhouse!$AV$5:$AV$14,[25]Brewhouse!$AV$16:$AV$19,[25]Brewhouse!$AV$21:$AV$24,[25]Brewhouse!$AV$26:$AV$33)</f>
        <v>98.921974778040592</v>
      </c>
      <c r="N78" s="30">
        <v>98</v>
      </c>
      <c r="O78" s="11"/>
      <c r="P78" s="31"/>
      <c r="R78" s="277"/>
      <c r="S78" s="296"/>
      <c r="T78" s="296"/>
      <c r="U78" s="297"/>
      <c r="V78" s="297"/>
      <c r="W78" s="297"/>
      <c r="X78" s="297"/>
      <c r="Y78" s="297"/>
      <c r="Z78" s="296"/>
      <c r="AA78" s="296"/>
    </row>
    <row r="79" spans="1:27" ht="14.7" customHeight="1">
      <c r="A79" s="28"/>
      <c r="B79" s="502"/>
      <c r="C79" s="349">
        <v>11.7</v>
      </c>
      <c r="D79" s="504">
        <v>12.11</v>
      </c>
      <c r="E79" s="493"/>
      <c r="F79" s="436"/>
      <c r="G79" s="294"/>
      <c r="H79" s="348"/>
      <c r="I79" s="35" t="s">
        <v>29</v>
      </c>
      <c r="J79" s="280"/>
      <c r="K79" s="284"/>
      <c r="L79" s="302"/>
      <c r="M79" s="302"/>
      <c r="N79" s="30">
        <v>98</v>
      </c>
      <c r="O79" s="11"/>
      <c r="P79" s="31"/>
      <c r="R79" s="277"/>
      <c r="S79" s="296"/>
      <c r="T79" s="296"/>
      <c r="U79" s="297"/>
      <c r="V79" s="297"/>
      <c r="W79" s="297"/>
      <c r="X79" s="297"/>
      <c r="Y79" s="297"/>
      <c r="Z79" s="296"/>
      <c r="AA79" s="296"/>
    </row>
    <row r="80" spans="1:27" ht="14.7" customHeight="1">
      <c r="A80" s="28"/>
      <c r="B80" s="502"/>
      <c r="C80" s="349">
        <v>11.8</v>
      </c>
      <c r="D80" s="505"/>
      <c r="E80" s="488"/>
      <c r="F80" s="436"/>
      <c r="G80" s="294"/>
      <c r="H80" s="348"/>
      <c r="I80" s="36" t="s">
        <v>15</v>
      </c>
      <c r="J80" s="323">
        <f>AVERAGE(I13:I16)</f>
        <v>95.870696554126312</v>
      </c>
      <c r="K80" s="284">
        <f>COUNTA([26]Brewhouse!$A$13:$A$16)</f>
        <v>4</v>
      </c>
      <c r="L80" s="302">
        <f>AVERAGE([26]Brewhouse!$AT$13:$AT$16)</f>
        <v>95.870696554126312</v>
      </c>
      <c r="M80" s="302">
        <f>AVERAGE([26]Brewhouse!$AT$4:$AT$11,[26]Brewhouse!$AT$13:$AT$16)</f>
        <v>95.165309917257005</v>
      </c>
      <c r="N80" s="30">
        <v>98</v>
      </c>
      <c r="O80" s="11"/>
      <c r="P80" s="31"/>
      <c r="R80" s="277"/>
      <c r="S80" s="296"/>
      <c r="T80" s="296"/>
      <c r="U80" s="297"/>
      <c r="V80" s="297"/>
      <c r="W80" s="297"/>
      <c r="X80" s="297"/>
      <c r="Y80" s="297"/>
      <c r="Z80" s="296"/>
      <c r="AA80" s="296"/>
    </row>
    <row r="81" spans="1:56" ht="14.7" customHeight="1">
      <c r="A81" s="28"/>
      <c r="B81" s="502"/>
      <c r="C81" s="349">
        <v>11.8</v>
      </c>
      <c r="D81" s="504">
        <v>12.03</v>
      </c>
      <c r="E81" s="493"/>
      <c r="F81" s="436"/>
      <c r="G81" s="294"/>
      <c r="H81" s="348"/>
      <c r="I81" s="37" t="s">
        <v>16</v>
      </c>
      <c r="J81" s="323"/>
      <c r="K81" s="284">
        <f>COUNTA([27]Brewhouse!$A$31:$A$34)</f>
        <v>4</v>
      </c>
      <c r="L81" s="302">
        <f>AVERAGE([27]Brewhouse!$AY$31:$AY$34)</f>
        <v>98.653228650224236</v>
      </c>
      <c r="M81" s="302">
        <f>AVERAGE([27]Brewhouse!$AY$6:$AY$13,[27]Brewhouse!$AY$15:$AY$20,[27]Brewhouse!$AY$22:$AY$29,[27]Brewhouse!$AY$31:$AY$34)</f>
        <v>96.120888038911147</v>
      </c>
      <c r="N81" s="30">
        <v>98</v>
      </c>
      <c r="O81" s="11"/>
      <c r="P81" s="31" t="s">
        <v>41</v>
      </c>
      <c r="R81" s="277"/>
      <c r="S81" s="296"/>
      <c r="T81" s="296"/>
      <c r="U81" s="297"/>
      <c r="V81" s="297"/>
      <c r="W81" s="297"/>
      <c r="X81" s="297"/>
      <c r="Y81" s="297"/>
      <c r="Z81" s="296"/>
      <c r="AA81" s="296"/>
    </row>
    <row r="82" spans="1:56" ht="14.7" customHeight="1">
      <c r="A82" s="28"/>
      <c r="B82" s="502"/>
      <c r="C82" s="349">
        <v>11.8</v>
      </c>
      <c r="D82" s="505"/>
      <c r="E82" s="488"/>
      <c r="F82" s="294"/>
      <c r="G82" s="294"/>
      <c r="H82" s="348"/>
      <c r="I82" s="412" t="s">
        <v>158</v>
      </c>
      <c r="J82" s="326"/>
      <c r="K82" s="284"/>
      <c r="L82" s="305"/>
      <c r="M82" s="305">
        <f>AVERAGE([28]Brewhouse!$AU$5:$AU$8)</f>
        <v>91.006888337619571</v>
      </c>
      <c r="N82" s="30">
        <v>98</v>
      </c>
      <c r="O82" s="11"/>
      <c r="P82" s="31"/>
      <c r="R82" s="277"/>
      <c r="S82" s="296"/>
      <c r="T82" s="296"/>
      <c r="U82" s="297"/>
      <c r="V82" s="297"/>
      <c r="W82" s="297"/>
      <c r="X82" s="297"/>
      <c r="Y82" s="297"/>
      <c r="Z82" s="296"/>
      <c r="AA82" s="296"/>
    </row>
    <row r="83" spans="1:56" ht="14.7" customHeight="1">
      <c r="A83" s="28"/>
      <c r="B83" s="502"/>
      <c r="C83" s="349"/>
      <c r="D83" s="504"/>
      <c r="E83" s="493"/>
      <c r="F83" s="294"/>
      <c r="G83" s="294"/>
      <c r="H83" s="348"/>
      <c r="I83" s="411" t="s">
        <v>157</v>
      </c>
      <c r="J83" s="326"/>
      <c r="K83" s="284"/>
      <c r="L83" s="305"/>
      <c r="M83" s="305"/>
      <c r="N83" s="30">
        <v>98</v>
      </c>
      <c r="O83" s="11"/>
      <c r="P83" s="31"/>
      <c r="R83" s="277"/>
      <c r="S83" s="296"/>
      <c r="T83" s="296"/>
      <c r="U83" s="297"/>
      <c r="V83" s="297"/>
      <c r="W83" s="297"/>
      <c r="X83" s="297"/>
      <c r="Y83" s="297"/>
      <c r="Z83" s="296"/>
      <c r="AA83" s="296"/>
    </row>
    <row r="84" spans="1:56" ht="15" customHeight="1" thickBot="1">
      <c r="A84" s="28"/>
      <c r="B84" s="502"/>
      <c r="C84" s="349"/>
      <c r="D84" s="505"/>
      <c r="E84" s="488"/>
      <c r="F84" s="294"/>
      <c r="G84" s="294"/>
      <c r="H84" s="348"/>
      <c r="I84" s="407" t="s">
        <v>156</v>
      </c>
      <c r="J84" s="327"/>
      <c r="K84" s="408"/>
      <c r="L84" s="409"/>
      <c r="M84" s="409"/>
      <c r="N84" s="410">
        <v>98</v>
      </c>
      <c r="O84" s="11"/>
      <c r="P84" s="31"/>
      <c r="R84" s="277"/>
      <c r="S84" s="296"/>
      <c r="T84" s="296"/>
      <c r="U84" s="297"/>
      <c r="V84" s="297"/>
      <c r="W84" s="297"/>
      <c r="X84" s="297"/>
      <c r="Y84" s="297"/>
      <c r="Z84" s="296"/>
      <c r="AA84" s="296"/>
    </row>
    <row r="85" spans="1:56" ht="15" customHeight="1" thickBot="1">
      <c r="A85" s="28"/>
      <c r="B85" s="502"/>
      <c r="C85" s="349"/>
      <c r="D85" s="504"/>
      <c r="E85" s="493"/>
      <c r="F85" s="294"/>
      <c r="G85" s="294"/>
      <c r="H85" s="348"/>
      <c r="I85" s="1"/>
      <c r="J85" s="39"/>
      <c r="K85" s="405">
        <f>SUM(K75:K84)</f>
        <v>102</v>
      </c>
      <c r="L85" s="406">
        <f>((L75*K75)+(L76*K76)+(L77*K77)+(L78*K78)+(L79*K79)+(K82*L82)+(L80*K80)+(L81*K81)+(L84*K84))/(K85)</f>
        <v>98.776369444044107</v>
      </c>
      <c r="M85" s="406">
        <f>AVERAGE('[29]Jan 31st'!$L$65,'[30]Feb 28th'!$L$35,'[31]Mar. 31st'!$L$35,L85)</f>
        <v>97.235396478819354</v>
      </c>
      <c r="N85" s="40">
        <v>98</v>
      </c>
      <c r="O85" s="11"/>
      <c r="P85" s="31"/>
      <c r="R85" s="277"/>
      <c r="S85" s="296"/>
      <c r="T85" s="296"/>
      <c r="U85" s="297"/>
      <c r="V85" s="297"/>
      <c r="W85" s="297"/>
      <c r="X85" s="297"/>
      <c r="Y85" s="297"/>
      <c r="Z85" s="296"/>
      <c r="AA85" s="296"/>
    </row>
    <row r="86" spans="1:56" ht="15" thickBot="1">
      <c r="B86" s="503"/>
      <c r="C86" s="350"/>
      <c r="D86" s="505"/>
      <c r="E86" s="488"/>
      <c r="F86" s="294"/>
      <c r="G86" s="42"/>
      <c r="H86" s="41"/>
      <c r="I86" s="42"/>
      <c r="J86" s="42"/>
      <c r="K86" s="351"/>
      <c r="L86" s="348"/>
      <c r="M86" s="348"/>
      <c r="N86" s="11"/>
      <c r="O86" s="294"/>
      <c r="P86" s="12"/>
      <c r="R86" s="277"/>
      <c r="S86" s="296"/>
      <c r="T86" s="296"/>
      <c r="U86" s="297"/>
      <c r="V86" s="297"/>
      <c r="W86" s="297"/>
      <c r="X86" s="297"/>
      <c r="Y86" s="297"/>
      <c r="Z86" s="296"/>
      <c r="AA86" s="296"/>
    </row>
    <row r="87" spans="1:56" ht="15" thickBot="1">
      <c r="B87" s="558"/>
      <c r="C87" s="362"/>
      <c r="D87" s="485"/>
      <c r="E87" s="486"/>
      <c r="F87" s="294"/>
      <c r="G87" s="41"/>
      <c r="H87" s="41"/>
      <c r="I87" s="42"/>
      <c r="J87" s="538" t="s">
        <v>129</v>
      </c>
      <c r="K87" s="538"/>
      <c r="L87" s="294"/>
      <c r="M87" s="294"/>
      <c r="N87" s="294"/>
      <c r="O87" s="294"/>
      <c r="P87" s="12"/>
    </row>
    <row r="88" spans="1:56" ht="13.5" customHeight="1" thickBot="1">
      <c r="B88" s="540"/>
      <c r="C88" s="349"/>
      <c r="D88" s="487"/>
      <c r="E88" s="488"/>
      <c r="F88" s="294"/>
      <c r="G88" s="292" t="s">
        <v>17</v>
      </c>
      <c r="H88" s="293" t="s">
        <v>195</v>
      </c>
      <c r="I88" s="293" t="s">
        <v>196</v>
      </c>
      <c r="J88" s="293" t="s">
        <v>197</v>
      </c>
      <c r="K88" s="293" t="s">
        <v>198</v>
      </c>
      <c r="L88" s="490" t="s">
        <v>136</v>
      </c>
      <c r="M88" s="490"/>
      <c r="N88" s="491"/>
      <c r="O88" s="294"/>
      <c r="P88" s="12"/>
    </row>
    <row r="89" spans="1:56" ht="15" customHeight="1" thickBot="1">
      <c r="B89" s="540"/>
      <c r="C89" s="349"/>
      <c r="D89" s="492"/>
      <c r="E89" s="493"/>
      <c r="F89" s="294"/>
      <c r="G89" s="287" t="s">
        <v>6</v>
      </c>
      <c r="H89" s="324"/>
      <c r="I89" s="324"/>
      <c r="J89" s="324"/>
      <c r="K89" s="324">
        <f>COUNTA(B33:B39)</f>
        <v>7</v>
      </c>
      <c r="L89" s="343" t="s">
        <v>37</v>
      </c>
      <c r="M89" s="307" t="s">
        <v>38</v>
      </c>
      <c r="N89" s="307" t="s">
        <v>84</v>
      </c>
      <c r="O89" s="294"/>
      <c r="P89" s="12"/>
    </row>
    <row r="90" spans="1:56" ht="15.75" customHeight="1" thickBot="1">
      <c r="B90" s="540"/>
      <c r="C90" s="349"/>
      <c r="D90" s="487"/>
      <c r="E90" s="488"/>
      <c r="F90" s="294"/>
      <c r="G90" s="345" t="s">
        <v>9</v>
      </c>
      <c r="H90" s="324"/>
      <c r="I90" s="324">
        <f>COUNTA(B21:B25)</f>
        <v>5</v>
      </c>
      <c r="J90" s="324">
        <f>COUNTA(B28:B29)</f>
        <v>2</v>
      </c>
      <c r="K90" s="324"/>
      <c r="L90" s="344">
        <f>AVERAGE('Apr. 1st'!L40,'Apr. 3rd'!L40,'Apr. 4th'!L40,'Apr. 7th '!L41,'Apr. 8th  '!L51,'Apr. 9th   '!L41,'Apr. 10th '!L49,'Apr. 11-12-13th'!L118,'Apr. 14th'!L118,'Apr. 15th'!L46,'Apr. 16th'!L46,H99,I99,J99,K99,1)</f>
        <v>4.442343073593074</v>
      </c>
      <c r="M90" s="325">
        <f>AVERAGE('[29]Jan 29th '!$M$70,'[30]Feb 28th'!$L$40,'[31]Mar. 31st'!$L$40,L90)</f>
        <v>6.06441997766726</v>
      </c>
      <c r="N90" s="433">
        <v>9.1999999999999993</v>
      </c>
      <c r="O90" s="294"/>
      <c r="P90" s="12"/>
    </row>
    <row r="91" spans="1:56" ht="15" customHeight="1">
      <c r="B91" s="540"/>
      <c r="C91" s="349"/>
      <c r="D91" s="492"/>
      <c r="E91" s="493"/>
      <c r="F91" s="294"/>
      <c r="G91" s="288" t="s">
        <v>40</v>
      </c>
      <c r="H91" s="324">
        <f>COUNTA(B11:B12)</f>
        <v>2</v>
      </c>
      <c r="I91" s="324"/>
      <c r="J91" s="324"/>
      <c r="K91" s="324"/>
      <c r="L91" s="294"/>
      <c r="M91" s="294"/>
      <c r="N91" s="294"/>
      <c r="O91" s="294"/>
      <c r="P91" s="12"/>
    </row>
    <row r="92" spans="1:56" ht="15" customHeight="1">
      <c r="B92" s="540"/>
      <c r="C92" s="349"/>
      <c r="D92" s="487"/>
      <c r="E92" s="488"/>
      <c r="F92" s="294"/>
      <c r="G92" s="289" t="s">
        <v>33</v>
      </c>
      <c r="H92" s="324"/>
      <c r="I92" s="324"/>
      <c r="J92" s="324"/>
      <c r="K92" s="324"/>
      <c r="L92" s="294"/>
      <c r="M92" s="294"/>
      <c r="N92" s="294"/>
      <c r="O92" s="294"/>
      <c r="P92" s="12"/>
    </row>
    <row r="93" spans="1:56" ht="14.4">
      <c r="B93" s="540"/>
      <c r="C93" s="349"/>
      <c r="D93" s="492"/>
      <c r="E93" s="493"/>
      <c r="F93" s="294"/>
      <c r="G93" s="290" t="s">
        <v>16</v>
      </c>
      <c r="H93" s="324"/>
      <c r="I93" s="324"/>
      <c r="J93" s="324"/>
      <c r="K93" s="324"/>
      <c r="L93" s="294"/>
      <c r="M93" s="294"/>
      <c r="N93" s="294"/>
      <c r="O93" s="294"/>
      <c r="P93" s="12"/>
      <c r="BC93" s="44"/>
      <c r="BD93" s="44"/>
    </row>
    <row r="94" spans="1:56" ht="14.4">
      <c r="B94" s="540"/>
      <c r="C94" s="349"/>
      <c r="D94" s="487"/>
      <c r="E94" s="488"/>
      <c r="F94" s="294"/>
      <c r="G94" s="291" t="s">
        <v>15</v>
      </c>
      <c r="H94" s="324">
        <f>COUNTA(B13:B16)</f>
        <v>4</v>
      </c>
      <c r="I94" s="324"/>
      <c r="J94" s="324"/>
      <c r="K94" s="324"/>
      <c r="L94" s="294"/>
      <c r="M94" s="294"/>
      <c r="N94" s="294"/>
      <c r="O94" s="294"/>
      <c r="P94" s="12"/>
      <c r="BC94" s="44"/>
      <c r="BD94" s="44"/>
    </row>
    <row r="95" spans="1:56" ht="14.4">
      <c r="B95" s="540"/>
      <c r="C95" s="349"/>
      <c r="D95" s="494"/>
      <c r="E95" s="495"/>
      <c r="F95" s="294"/>
      <c r="G95" s="291" t="s">
        <v>149</v>
      </c>
      <c r="H95" s="324"/>
      <c r="I95" s="324"/>
      <c r="J95" s="324"/>
      <c r="K95" s="324"/>
      <c r="L95" s="294"/>
      <c r="M95" s="294"/>
      <c r="N95" s="294"/>
      <c r="O95" s="294"/>
      <c r="P95" s="12"/>
      <c r="BC95" s="44"/>
      <c r="BD95" s="44"/>
    </row>
    <row r="96" spans="1:56" ht="15" thickBot="1">
      <c r="B96" s="553"/>
      <c r="C96" s="350"/>
      <c r="D96" s="496"/>
      <c r="E96" s="497"/>
      <c r="F96" s="294"/>
      <c r="G96" s="291" t="s">
        <v>148</v>
      </c>
      <c r="H96" s="324"/>
      <c r="I96" s="324"/>
      <c r="J96" s="324"/>
      <c r="K96" s="324"/>
      <c r="L96" s="294"/>
      <c r="M96" s="294"/>
      <c r="N96" s="294"/>
      <c r="O96" s="294"/>
      <c r="P96" s="12"/>
      <c r="BC96" s="44"/>
      <c r="BD96" s="44"/>
    </row>
    <row r="97" spans="2:57" ht="17.7" customHeight="1" thickBot="1">
      <c r="B97" s="312" t="s">
        <v>139</v>
      </c>
      <c r="C97" s="313"/>
      <c r="D97" s="476">
        <f>AVERAGE(D75:E96)</f>
        <v>12.1</v>
      </c>
      <c r="E97" s="477"/>
      <c r="F97" s="294"/>
      <c r="G97" s="295" t="s">
        <v>134</v>
      </c>
      <c r="H97" s="324"/>
      <c r="I97" s="324"/>
      <c r="J97" s="324"/>
      <c r="K97" s="324"/>
      <c r="L97" s="294"/>
      <c r="M97" s="294"/>
      <c r="N97" s="294"/>
      <c r="O97" s="294"/>
      <c r="P97" s="12"/>
      <c r="BC97" s="44"/>
      <c r="BD97" s="44"/>
    </row>
    <row r="98" spans="2:57" ht="17.7" customHeight="1">
      <c r="B98" s="363"/>
      <c r="C98" s="364"/>
      <c r="D98" s="365"/>
      <c r="E98" s="365"/>
      <c r="F98" s="294"/>
      <c r="G98" s="295" t="s">
        <v>131</v>
      </c>
      <c r="H98" s="324"/>
      <c r="I98" s="324"/>
      <c r="J98" s="324"/>
      <c r="K98" s="324"/>
      <c r="L98" s="294"/>
      <c r="M98" s="294"/>
      <c r="N98" s="294"/>
      <c r="O98" s="294"/>
      <c r="P98" s="12"/>
      <c r="BC98" s="44"/>
      <c r="BD98" s="44"/>
    </row>
    <row r="99" spans="2:57" ht="15.75" customHeight="1">
      <c r="B99" s="45"/>
      <c r="C99" s="11"/>
      <c r="D99" s="11"/>
      <c r="E99" s="46"/>
      <c r="F99" s="294"/>
      <c r="G99" s="346" t="s">
        <v>130</v>
      </c>
      <c r="H99" s="324">
        <f t="shared" ref="H99:J99" si="11">SUM(H89:H98)</f>
        <v>6</v>
      </c>
      <c r="I99" s="324">
        <f t="shared" si="11"/>
        <v>5</v>
      </c>
      <c r="J99" s="324">
        <f t="shared" si="11"/>
        <v>2</v>
      </c>
      <c r="K99" s="324">
        <f>SUM(K89:K98)</f>
        <v>7</v>
      </c>
      <c r="L99" s="294"/>
      <c r="M99" s="294"/>
      <c r="N99" s="294"/>
      <c r="O99" s="294"/>
      <c r="P99" s="12"/>
    </row>
    <row r="100" spans="2:57" ht="20.25" customHeight="1">
      <c r="B100" s="15" t="s">
        <v>42</v>
      </c>
      <c r="C100" s="1" t="s">
        <v>43</v>
      </c>
      <c r="D100" s="1"/>
      <c r="E100" s="1"/>
      <c r="F100" s="294"/>
      <c r="H100" s="41"/>
      <c r="I100" s="42"/>
      <c r="L100" s="294"/>
      <c r="P100" s="334"/>
    </row>
    <row r="101" spans="2:57" ht="15" customHeight="1" thickBot="1"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  <c r="O101" s="48"/>
      <c r="P101" s="49"/>
    </row>
    <row r="102" spans="2:57" ht="15" customHeight="1" thickBot="1">
      <c r="B102" s="466" t="s">
        <v>17</v>
      </c>
      <c r="C102" s="466" t="s">
        <v>44</v>
      </c>
      <c r="D102" s="478" t="s">
        <v>45</v>
      </c>
      <c r="E102" s="480" t="s">
        <v>46</v>
      </c>
      <c r="F102" s="474" t="s">
        <v>47</v>
      </c>
      <c r="G102" s="464" t="s">
        <v>48</v>
      </c>
      <c r="H102" s="466" t="s">
        <v>49</v>
      </c>
      <c r="I102" s="466" t="s">
        <v>50</v>
      </c>
      <c r="J102" s="458" t="s">
        <v>28</v>
      </c>
      <c r="K102" s="470" t="s">
        <v>51</v>
      </c>
      <c r="L102" s="472" t="s">
        <v>52</v>
      </c>
      <c r="M102" s="458" t="s">
        <v>53</v>
      </c>
      <c r="N102" s="13"/>
      <c r="O102" s="13"/>
      <c r="P102" s="50"/>
    </row>
    <row r="103" spans="2:57" ht="28.5" customHeight="1" thickTop="1" thickBot="1">
      <c r="B103" s="467"/>
      <c r="C103" s="467"/>
      <c r="D103" s="479"/>
      <c r="E103" s="481"/>
      <c r="F103" s="475"/>
      <c r="G103" s="465"/>
      <c r="H103" s="467"/>
      <c r="I103" s="467"/>
      <c r="J103" s="459"/>
      <c r="K103" s="471"/>
      <c r="L103" s="473"/>
      <c r="M103" s="459"/>
      <c r="N103" s="13"/>
      <c r="O103" s="13"/>
      <c r="P103" s="50"/>
      <c r="Q103" s="355"/>
      <c r="AB103" s="51">
        <v>43474</v>
      </c>
      <c r="AC103" s="51">
        <v>43475</v>
      </c>
      <c r="AD103" s="51">
        <v>43476</v>
      </c>
      <c r="AE103" s="51">
        <v>43477</v>
      </c>
      <c r="AF103" s="51">
        <v>43478</v>
      </c>
      <c r="AG103" s="51">
        <v>43479</v>
      </c>
      <c r="AH103" s="51">
        <v>43480</v>
      </c>
      <c r="AI103" s="51">
        <v>43481</v>
      </c>
      <c r="AJ103" s="51">
        <v>43482</v>
      </c>
      <c r="AK103" s="51">
        <v>43483</v>
      </c>
      <c r="AL103" s="51">
        <v>43484</v>
      </c>
      <c r="AM103" s="51">
        <v>43485</v>
      </c>
      <c r="AN103" s="51">
        <v>43486</v>
      </c>
      <c r="AO103" s="51">
        <v>43487</v>
      </c>
      <c r="AP103" s="51">
        <v>43488</v>
      </c>
      <c r="AQ103" s="51">
        <v>43489</v>
      </c>
      <c r="AR103" s="51">
        <v>43490</v>
      </c>
      <c r="AS103" s="51">
        <v>43491</v>
      </c>
      <c r="AT103" s="51">
        <v>43492</v>
      </c>
      <c r="AU103" s="51">
        <v>43493</v>
      </c>
      <c r="AV103" s="51">
        <v>43494</v>
      </c>
      <c r="AW103" s="51">
        <v>43495</v>
      </c>
      <c r="AX103" s="51">
        <v>43496</v>
      </c>
    </row>
    <row r="104" spans="2:57" s="54" customFormat="1" ht="59.25" customHeight="1">
      <c r="B104" s="450" t="str">
        <f>B113</f>
        <v>STAG</v>
      </c>
      <c r="C104" s="283">
        <v>45764</v>
      </c>
      <c r="D104" s="377">
        <f>[32]April_2025!$T$13</f>
        <v>399.6</v>
      </c>
      <c r="E104" s="378"/>
      <c r="F104" s="379">
        <f>SUM([34]STAG!$L$27:$L$34)</f>
        <v>387</v>
      </c>
      <c r="G104" s="303">
        <f>[32]April_2025!$T$17</f>
        <v>374.09999999999997</v>
      </c>
      <c r="H104" s="320">
        <f>(D104-F104)/D104*100</f>
        <v>3.1531531531531583</v>
      </c>
      <c r="I104" s="322">
        <f>((F104+E104)-G104)/(F104+E104)*100</f>
        <v>3.3333333333333424</v>
      </c>
      <c r="J104" s="360" t="s">
        <v>150</v>
      </c>
      <c r="K104" s="416">
        <f>[33]April_2025!$T$25</f>
        <v>1.3126315789473684</v>
      </c>
      <c r="L104" s="314">
        <f>(((D104+E104)-G104)/(D104+E104))*100</f>
        <v>6.381381381381396</v>
      </c>
      <c r="M104" s="423" t="s">
        <v>163</v>
      </c>
      <c r="N104" s="13"/>
      <c r="O104" s="13"/>
      <c r="P104" s="50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  <c r="AB104" s="279"/>
      <c r="AC104" s="279"/>
      <c r="AD104" s="279"/>
      <c r="AE104" s="279"/>
      <c r="AF104" s="279"/>
      <c r="AG104" s="279"/>
      <c r="AH104" s="279"/>
      <c r="AI104" s="279"/>
      <c r="AJ104" s="279"/>
      <c r="AK104" s="279"/>
      <c r="AL104" s="279"/>
      <c r="AM104" s="279"/>
      <c r="AN104" s="279"/>
      <c r="AO104" s="279"/>
      <c r="AP104" s="279"/>
      <c r="AQ104" s="279"/>
      <c r="AR104" s="279"/>
      <c r="AS104" s="279"/>
      <c r="AT104" s="279"/>
      <c r="AU104" s="279"/>
      <c r="AV104" s="279"/>
      <c r="AW104" s="279"/>
    </row>
    <row r="105" spans="2:57" s="54" customFormat="1">
      <c r="B105" s="415"/>
      <c r="C105" s="283"/>
      <c r="D105" s="377"/>
      <c r="E105" s="378"/>
      <c r="F105" s="379"/>
      <c r="G105" s="303"/>
      <c r="H105" s="320"/>
      <c r="I105" s="322"/>
      <c r="J105" s="398"/>
      <c r="K105" s="286"/>
      <c r="L105" s="314"/>
      <c r="M105" s="423"/>
      <c r="N105" s="13"/>
      <c r="O105" s="13"/>
      <c r="P105" s="50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  <c r="AB105" s="420"/>
      <c r="AC105" s="420"/>
      <c r="AD105" s="420"/>
      <c r="AE105" s="420"/>
      <c r="AF105" s="420"/>
      <c r="AG105" s="420"/>
      <c r="AH105" s="420"/>
      <c r="AI105" s="420"/>
      <c r="AJ105" s="420"/>
      <c r="AK105" s="420"/>
      <c r="AL105" s="420"/>
      <c r="AM105" s="420"/>
      <c r="AN105" s="420"/>
      <c r="AO105" s="420"/>
      <c r="AP105" s="420"/>
      <c r="AQ105" s="420"/>
      <c r="AR105" s="420"/>
      <c r="AS105" s="420"/>
      <c r="AT105" s="420"/>
      <c r="AU105" s="420"/>
      <c r="AV105" s="420"/>
      <c r="AW105" s="420"/>
    </row>
    <row r="106" spans="2:57" s="54" customFormat="1" ht="59.25" hidden="1" customHeight="1">
      <c r="B106" s="415"/>
      <c r="C106" s="283"/>
      <c r="D106" s="377"/>
      <c r="E106" s="378"/>
      <c r="F106" s="379"/>
      <c r="G106" s="303"/>
      <c r="H106" s="320"/>
      <c r="I106" s="322"/>
      <c r="J106" s="398"/>
      <c r="K106" s="286"/>
      <c r="L106" s="314"/>
      <c r="M106" s="423"/>
      <c r="N106" s="13"/>
      <c r="O106" s="13"/>
      <c r="P106" s="50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420"/>
      <c r="AC106" s="420"/>
      <c r="AD106" s="420"/>
      <c r="AE106" s="420"/>
      <c r="AF106" s="420"/>
      <c r="AG106" s="420"/>
      <c r="AH106" s="420"/>
      <c r="AI106" s="420"/>
      <c r="AJ106" s="420"/>
      <c r="AK106" s="420"/>
      <c r="AL106" s="420"/>
      <c r="AM106" s="420"/>
      <c r="AN106" s="420"/>
      <c r="AO106" s="420"/>
      <c r="AP106" s="420"/>
      <c r="AQ106" s="420"/>
      <c r="AR106" s="420"/>
      <c r="AS106" s="420"/>
      <c r="AT106" s="420"/>
      <c r="AU106" s="420"/>
      <c r="AV106" s="420"/>
      <c r="AW106" s="420"/>
    </row>
    <row r="107" spans="2:57" s="54" customFormat="1">
      <c r="B107" s="387"/>
      <c r="C107" s="283"/>
      <c r="D107" s="279"/>
      <c r="E107" s="279"/>
      <c r="F107" s="279"/>
      <c r="G107" s="279"/>
      <c r="H107" s="320"/>
      <c r="I107" s="322"/>
      <c r="J107" s="281"/>
      <c r="K107" s="417"/>
      <c r="L107" s="314"/>
      <c r="M107" s="425"/>
      <c r="N107" s="13"/>
      <c r="O107" s="13"/>
      <c r="P107" s="50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57">
        <f>[20]January_2019!L8</f>
        <v>1.0028070175438597</v>
      </c>
      <c r="AC107" s="57">
        <f>[20]January_2019!M8</f>
        <v>1.7828070175438597</v>
      </c>
      <c r="AD107" s="57" t="e">
        <f>[20]January_2019!N8</f>
        <v>#DIV/0!</v>
      </c>
      <c r="AE107" s="57" t="e">
        <f>[20]January_2019!O8</f>
        <v>#DIV/0!</v>
      </c>
      <c r="AF107" s="57">
        <f>[20]January_2019!P8</f>
        <v>0.19222222222222221</v>
      </c>
      <c r="AG107" s="57">
        <f>[20]January_2019!Q8</f>
        <v>0.52219298245614032</v>
      </c>
      <c r="AH107" s="57">
        <f>[20]January_2019!R8</f>
        <v>0.42912280701754385</v>
      </c>
      <c r="AI107" s="57" t="e">
        <f>[20]January_2019!S8</f>
        <v>#DIV/0!</v>
      </c>
      <c r="AJ107" s="57">
        <f>[20]January_2019!T8</f>
        <v>1.0340350877192983</v>
      </c>
      <c r="AK107" s="57">
        <f>[20]January_2019!U8</f>
        <v>0.98421052631578942</v>
      </c>
      <c r="AL107" s="57" t="e">
        <f>[20]January_2019!V8</f>
        <v>#DIV/0!</v>
      </c>
      <c r="AM107" s="57" t="e">
        <f>[20]January_2019!W8</f>
        <v>#DIV/0!</v>
      </c>
      <c r="AN107" s="57">
        <f>[20]January_2019!X8</f>
        <v>0.66052631578947374</v>
      </c>
      <c r="AO107" s="57">
        <f>[20]January_2019!Y8</f>
        <v>1.0375438596491227</v>
      </c>
      <c r="AP107" s="57">
        <f>[20]January_2019!Z8</f>
        <v>0.90456140350877201</v>
      </c>
      <c r="AQ107" s="57">
        <f>[20]January_2019!AA8</f>
        <v>1.0217543859649123</v>
      </c>
      <c r="AR107" s="57">
        <f>[20]January_2019!AB8</f>
        <v>0.65614035087719302</v>
      </c>
      <c r="AS107" s="57" t="e">
        <f>[20]January_2019!AC8</f>
        <v>#DIV/0!</v>
      </c>
      <c r="AT107" s="57" t="e">
        <f>[20]January_2019!AD8</f>
        <v>#DIV/0!</v>
      </c>
      <c r="AU107" s="57">
        <f>[20]January_2019!AE8</f>
        <v>1.7021052631578948</v>
      </c>
      <c r="AV107" s="57">
        <f>[20]January_2019!AF8</f>
        <v>0.60192982456140354</v>
      </c>
      <c r="AW107" s="57">
        <f>[20]January_2019!AG8</f>
        <v>1.4870175438596491</v>
      </c>
      <c r="AX107" s="277" t="e">
        <f>[20]January_2019!AH8</f>
        <v>#DIV/0!</v>
      </c>
      <c r="AY107" s="277"/>
      <c r="AZ107" s="277"/>
      <c r="BA107" s="277"/>
      <c r="BB107" s="277"/>
      <c r="BC107" s="277"/>
      <c r="BD107" s="277"/>
      <c r="BE107" s="277"/>
    </row>
    <row r="108" spans="2:57" ht="58.5" hidden="1" customHeight="1" thickBot="1">
      <c r="B108" s="426"/>
      <c r="C108" s="427"/>
      <c r="D108" s="428"/>
      <c r="E108" s="428"/>
      <c r="F108" s="428"/>
      <c r="G108" s="428"/>
      <c r="H108" s="429"/>
      <c r="I108" s="430"/>
      <c r="J108" s="390"/>
      <c r="K108" s="431"/>
      <c r="L108" s="432"/>
      <c r="M108" s="424"/>
      <c r="N108" s="13"/>
      <c r="O108" s="13"/>
      <c r="P108" s="56"/>
    </row>
    <row r="109" spans="2:57" ht="18" customHeight="1" thickBot="1">
      <c r="B109" s="59"/>
      <c r="C109" s="30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6"/>
      <c r="P109" s="60"/>
    </row>
    <row r="110" spans="2:57" ht="14.4" thickBot="1">
      <c r="B110" s="460" t="s">
        <v>55</v>
      </c>
      <c r="C110" s="461"/>
      <c r="D110" s="461"/>
      <c r="E110" s="461"/>
      <c r="F110" s="462"/>
      <c r="G110" s="460" t="s">
        <v>56</v>
      </c>
      <c r="H110" s="461"/>
      <c r="I110" s="461"/>
      <c r="J110" s="462"/>
      <c r="K110" s="460" t="s">
        <v>51</v>
      </c>
      <c r="L110" s="461"/>
      <c r="M110" s="461"/>
      <c r="N110" s="463"/>
      <c r="O110" s="56"/>
      <c r="P110" s="50"/>
    </row>
    <row r="111" spans="2:57">
      <c r="B111" s="61" t="s">
        <v>17</v>
      </c>
      <c r="C111" s="62" t="s">
        <v>36</v>
      </c>
      <c r="D111" s="62" t="s">
        <v>37</v>
      </c>
      <c r="E111" s="62" t="s">
        <v>38</v>
      </c>
      <c r="F111" s="63" t="s">
        <v>39</v>
      </c>
      <c r="G111" s="62" t="s">
        <v>36</v>
      </c>
      <c r="H111" s="62" t="s">
        <v>37</v>
      </c>
      <c r="I111" s="62" t="s">
        <v>38</v>
      </c>
      <c r="J111" s="63" t="s">
        <v>39</v>
      </c>
      <c r="K111" s="62"/>
      <c r="L111" s="62" t="s">
        <v>37</v>
      </c>
      <c r="M111" s="62" t="s">
        <v>38</v>
      </c>
      <c r="N111" s="63" t="s">
        <v>39</v>
      </c>
      <c r="O111" s="56"/>
      <c r="P111" s="64"/>
    </row>
    <row r="112" spans="2:57">
      <c r="B112" s="29" t="s">
        <v>6</v>
      </c>
      <c r="C112" s="65"/>
      <c r="D112" s="76">
        <v>6.4401992765771121</v>
      </c>
      <c r="E112" s="76">
        <v>6.8584241242995061</v>
      </c>
      <c r="F112" s="66">
        <v>4.8</v>
      </c>
      <c r="G112" s="65"/>
      <c r="H112" s="76">
        <v>5.6936110499912775</v>
      </c>
      <c r="I112" s="76">
        <v>7.3609307070218639</v>
      </c>
      <c r="J112" s="66">
        <v>4.8</v>
      </c>
      <c r="K112" s="67"/>
      <c r="L112" s="194">
        <v>0.74085769980506833</v>
      </c>
      <c r="M112" s="194">
        <v>0.77247684478616963</v>
      </c>
      <c r="N112" s="68">
        <v>1</v>
      </c>
      <c r="O112" s="56"/>
      <c r="P112" s="69"/>
    </row>
    <row r="113" spans="2:16">
      <c r="B113" s="33" t="s">
        <v>9</v>
      </c>
      <c r="C113" s="65">
        <f>L104</f>
        <v>6.381381381381396</v>
      </c>
      <c r="D113" s="76">
        <v>4.2450486263931086</v>
      </c>
      <c r="E113" s="76">
        <v>6.1155450770178703</v>
      </c>
      <c r="F113" s="66">
        <v>4.8</v>
      </c>
      <c r="G113" s="65">
        <f>[32]April_2025!$T$21</f>
        <v>4.2657063843504721</v>
      </c>
      <c r="H113" s="76">
        <v>3.4141428210415596</v>
      </c>
      <c r="I113" s="76">
        <v>6.8230563423535244</v>
      </c>
      <c r="J113" s="66">
        <v>4.8</v>
      </c>
      <c r="K113" s="67">
        <f>K104</f>
        <v>1.3126315789473684</v>
      </c>
      <c r="L113" s="194">
        <v>1.0079824561403508</v>
      </c>
      <c r="M113" s="194">
        <v>0.7648720776226775</v>
      </c>
      <c r="N113" s="68">
        <v>1</v>
      </c>
      <c r="P113" s="69"/>
    </row>
    <row r="114" spans="2:16">
      <c r="B114" s="34" t="s">
        <v>40</v>
      </c>
      <c r="C114" s="65"/>
      <c r="D114" s="76">
        <v>10.826844642195047</v>
      </c>
      <c r="E114" s="76">
        <v>13.125604223990466</v>
      </c>
      <c r="F114" s="66">
        <v>5.5</v>
      </c>
      <c r="G114" s="65"/>
      <c r="H114" s="76">
        <v>10.823247958374074</v>
      </c>
      <c r="I114" s="76">
        <v>13.879185403587476</v>
      </c>
      <c r="J114" s="66">
        <v>5.5</v>
      </c>
      <c r="K114" s="67"/>
      <c r="L114" s="194">
        <v>0.42192982456140349</v>
      </c>
      <c r="M114" s="194">
        <v>0.5124236387782205</v>
      </c>
      <c r="N114" s="68">
        <v>1</v>
      </c>
      <c r="P114" s="69"/>
    </row>
    <row r="115" spans="2:16">
      <c r="B115" s="22" t="s">
        <v>33</v>
      </c>
      <c r="C115" s="65"/>
      <c r="D115" s="76">
        <v>3.2321253672869714</v>
      </c>
      <c r="E115" s="76">
        <v>2.2218158544390558</v>
      </c>
      <c r="F115" s="66">
        <v>3.3</v>
      </c>
      <c r="G115" s="65"/>
      <c r="H115" s="76">
        <v>2.3924874613168265</v>
      </c>
      <c r="I115" s="76">
        <v>5.0359151649923692</v>
      </c>
      <c r="J115" s="66">
        <v>3.3</v>
      </c>
      <c r="K115" s="67"/>
      <c r="L115" s="194">
        <v>1.3866666666666667</v>
      </c>
      <c r="M115" s="194">
        <v>0.87880701754385959</v>
      </c>
      <c r="N115" s="68">
        <v>1</v>
      </c>
      <c r="P115" s="69"/>
    </row>
    <row r="116" spans="2:16">
      <c r="B116" s="35" t="s">
        <v>29</v>
      </c>
      <c r="C116" s="65"/>
      <c r="D116" s="76"/>
      <c r="E116" s="76"/>
      <c r="F116" s="66">
        <v>3.3</v>
      </c>
      <c r="G116" s="282"/>
      <c r="H116" s="76"/>
      <c r="I116" s="76"/>
      <c r="J116" s="66">
        <v>3</v>
      </c>
      <c r="L116" s="194"/>
      <c r="M116" s="194"/>
      <c r="N116" s="68">
        <v>1</v>
      </c>
      <c r="P116" s="69"/>
    </row>
    <row r="117" spans="2:16">
      <c r="B117" s="36" t="s">
        <v>15</v>
      </c>
      <c r="C117" s="282"/>
      <c r="D117" s="76"/>
      <c r="E117" s="76">
        <v>8.7664670658682695</v>
      </c>
      <c r="F117" s="70">
        <f>[21]May_2022!$M$43</f>
        <v>3.4878406700073312</v>
      </c>
      <c r="G117" s="282"/>
      <c r="H117" s="76"/>
      <c r="I117" s="76">
        <v>10.607235567685406</v>
      </c>
      <c r="J117" s="66">
        <v>5.5</v>
      </c>
      <c r="K117" s="67"/>
      <c r="L117" s="194"/>
      <c r="M117" s="194">
        <v>0.66824561403508764</v>
      </c>
      <c r="N117" s="68">
        <v>1</v>
      </c>
      <c r="P117" s="69"/>
    </row>
    <row r="118" spans="2:16">
      <c r="B118" s="37" t="s">
        <v>16</v>
      </c>
      <c r="C118" s="65"/>
      <c r="D118" s="76">
        <v>0.38967364831952411</v>
      </c>
      <c r="E118" s="76">
        <v>1.85607294041028</v>
      </c>
      <c r="F118" s="66">
        <v>3.3</v>
      </c>
      <c r="G118" s="282"/>
      <c r="H118" s="76">
        <v>3.9053322254376623</v>
      </c>
      <c r="I118" s="76">
        <v>4.5764571827076486</v>
      </c>
      <c r="J118" s="66">
        <v>3.3</v>
      </c>
      <c r="K118" s="67"/>
      <c r="L118" s="194">
        <v>0.71754385964912282</v>
      </c>
      <c r="M118" s="194">
        <v>0.83594855305466242</v>
      </c>
      <c r="N118" s="71">
        <v>1</v>
      </c>
      <c r="P118" s="69"/>
    </row>
    <row r="119" spans="2:16" ht="14.4" thickBot="1">
      <c r="B119" s="38" t="s">
        <v>127</v>
      </c>
      <c r="C119" s="65"/>
      <c r="D119" s="76"/>
      <c r="E119" s="76"/>
      <c r="F119" s="66">
        <v>7.5</v>
      </c>
      <c r="G119" s="282"/>
      <c r="H119" s="76"/>
      <c r="I119" s="76"/>
      <c r="J119" s="66">
        <v>7.5</v>
      </c>
      <c r="K119" s="67"/>
      <c r="L119" s="194"/>
      <c r="M119" s="194"/>
      <c r="N119" s="71">
        <v>1</v>
      </c>
      <c r="P119" s="69"/>
    </row>
    <row r="120" spans="2:16" ht="14.4" thickBot="1">
      <c r="B120" s="418" t="s">
        <v>162</v>
      </c>
      <c r="C120" s="65"/>
      <c r="D120" s="76"/>
      <c r="E120" s="76">
        <v>4.8792508624938291</v>
      </c>
      <c r="F120" s="66">
        <v>4.8</v>
      </c>
      <c r="G120" s="282"/>
      <c r="H120" s="76"/>
      <c r="I120" s="76">
        <v>6.2003723782925313</v>
      </c>
      <c r="J120" s="66">
        <v>4.8</v>
      </c>
      <c r="K120" s="67"/>
      <c r="L120" s="194">
        <v>0</v>
      </c>
      <c r="M120" s="194">
        <v>0.33859649122807017</v>
      </c>
      <c r="N120" s="71">
        <v>1</v>
      </c>
      <c r="O120" s="74"/>
      <c r="P120" s="75"/>
    </row>
    <row r="121" spans="2:16">
      <c r="D121" s="76">
        <v>5.1938630642690384</v>
      </c>
      <c r="E121" s="76">
        <v>6.6120355310896928</v>
      </c>
      <c r="F121" s="341">
        <v>5.5</v>
      </c>
      <c r="H121" s="76">
        <v>5.0198995101837589</v>
      </c>
      <c r="I121" s="76">
        <v>7.6242745617350964</v>
      </c>
      <c r="J121" s="341">
        <v>5.5</v>
      </c>
      <c r="K121" s="67"/>
      <c r="L121" s="194">
        <v>0.82661184210526317</v>
      </c>
      <c r="M121" s="194">
        <v>0.74882493827160479</v>
      </c>
      <c r="N121" s="386">
        <v>1</v>
      </c>
    </row>
    <row r="125" spans="2:16">
      <c r="F125" s="315"/>
    </row>
  </sheetData>
  <mergeCells count="51">
    <mergeCell ref="M102:M103"/>
    <mergeCell ref="B110:F110"/>
    <mergeCell ref="G110:J110"/>
    <mergeCell ref="K110:N110"/>
    <mergeCell ref="G102:G103"/>
    <mergeCell ref="H102:H103"/>
    <mergeCell ref="I102:I103"/>
    <mergeCell ref="J102:J103"/>
    <mergeCell ref="K102:K103"/>
    <mergeCell ref="L102:L103"/>
    <mergeCell ref="F102:F103"/>
    <mergeCell ref="D97:E97"/>
    <mergeCell ref="B102:B103"/>
    <mergeCell ref="C102:C103"/>
    <mergeCell ref="D102:D103"/>
    <mergeCell ref="E102:E103"/>
    <mergeCell ref="B87:B96"/>
    <mergeCell ref="D87:E88"/>
    <mergeCell ref="J87:K87"/>
    <mergeCell ref="L88:N88"/>
    <mergeCell ref="D89:E90"/>
    <mergeCell ref="D91:E92"/>
    <mergeCell ref="D93:E94"/>
    <mergeCell ref="D95:E96"/>
    <mergeCell ref="I73:N73"/>
    <mergeCell ref="D74:E74"/>
    <mergeCell ref="B75:B86"/>
    <mergeCell ref="D75:E76"/>
    <mergeCell ref="D77:E78"/>
    <mergeCell ref="D79:E80"/>
    <mergeCell ref="D81:E82"/>
    <mergeCell ref="D83:E84"/>
    <mergeCell ref="D85:E8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97:B98">
    <cfRule type="cellIs" dxfId="1144" priority="171" operator="notBetween">
      <formula>#REF!</formula>
      <formula>#REF!</formula>
    </cfRule>
  </conditionalFormatting>
  <conditionalFormatting sqref="C101">
    <cfRule type="cellIs" dxfId="1143" priority="203" stopIfTrue="1" operator="greaterThan">
      <formula>100</formula>
    </cfRule>
    <cfRule type="cellIs" dxfId="1142" priority="202" stopIfTrue="1" operator="lessThan">
      <formula>96</formula>
    </cfRule>
  </conditionalFormatting>
  <conditionalFormatting sqref="C112:C113">
    <cfRule type="cellIs" dxfId="1141" priority="131" stopIfTrue="1" operator="lessThanOrEqual">
      <formula>0</formula>
    </cfRule>
  </conditionalFormatting>
  <conditionalFormatting sqref="C112:C116">
    <cfRule type="cellIs" dxfId="1140" priority="130" stopIfTrue="1" operator="greaterThan">
      <formula>$F112</formula>
    </cfRule>
  </conditionalFormatting>
  <conditionalFormatting sqref="C113">
    <cfRule type="cellIs" dxfId="1139" priority="206" stopIfTrue="1" operator="greaterThan">
      <formula>$F112</formula>
    </cfRule>
  </conditionalFormatting>
  <conditionalFormatting sqref="C114:C117">
    <cfRule type="cellIs" dxfId="1138" priority="155" stopIfTrue="1" operator="lessThanOrEqual">
      <formula>0</formula>
    </cfRule>
  </conditionalFormatting>
  <conditionalFormatting sqref="C117">
    <cfRule type="cellIs" dxfId="1137" priority="154" stopIfTrue="1" operator="greaterThan">
      <formula>$J117</formula>
    </cfRule>
  </conditionalFormatting>
  <conditionalFormatting sqref="C123:C127">
    <cfRule type="cellIs" dxfId="1136" priority="194" stopIfTrue="1" operator="lessThanOrEqual">
      <formula>0</formula>
    </cfRule>
  </conditionalFormatting>
  <conditionalFormatting sqref="C124:C127">
    <cfRule type="cellIs" dxfId="1135" priority="193" stopIfTrue="1" operator="greaterThan">
      <formula>$F$123</formula>
    </cfRule>
  </conditionalFormatting>
  <conditionalFormatting sqref="C129">
    <cfRule type="cellIs" dxfId="1134" priority="196" stopIfTrue="1" operator="lessThanOrEqual">
      <formula>0</formula>
    </cfRule>
    <cfRule type="cellIs" dxfId="1133" priority="195" stopIfTrue="1" operator="greaterThan">
      <formula>$F$123</formula>
    </cfRule>
  </conditionalFormatting>
  <conditionalFormatting sqref="C123:D123 D125:D131">
    <cfRule type="cellIs" dxfId="1132" priority="188" stopIfTrue="1" operator="greaterThan">
      <formula>4.5</formula>
    </cfRule>
  </conditionalFormatting>
  <conditionalFormatting sqref="D97:D98">
    <cfRule type="cellIs" dxfId="1131" priority="172" operator="notBetween">
      <formula>#REF!</formula>
      <formula>#REF!</formula>
    </cfRule>
  </conditionalFormatting>
  <conditionalFormatting sqref="D112:D119">
    <cfRule type="cellIs" dxfId="1130" priority="165" stopIfTrue="1" operator="lessThanOrEqual">
      <formula>0</formula>
    </cfRule>
  </conditionalFormatting>
  <conditionalFormatting sqref="D120">
    <cfRule type="cellIs" dxfId="1129" priority="164" stopIfTrue="1" operator="lessThanOrEqual">
      <formula>0</formula>
    </cfRule>
  </conditionalFormatting>
  <conditionalFormatting sqref="D123 D125:D131">
    <cfRule type="cellIs" dxfId="1128" priority="189" stopIfTrue="1" operator="lessThanOrEqual">
      <formula>0</formula>
    </cfRule>
  </conditionalFormatting>
  <conditionalFormatting sqref="D124">
    <cfRule type="cellIs" dxfId="1127" priority="181" stopIfTrue="1" operator="lessThanOrEqual">
      <formula>0</formula>
    </cfRule>
    <cfRule type="cellIs" dxfId="1126" priority="180" stopIfTrue="1" operator="greaterThan">
      <formula>$F$123</formula>
    </cfRule>
  </conditionalFormatting>
  <conditionalFormatting sqref="D112:E121">
    <cfRule type="cellIs" dxfId="1125" priority="127" stopIfTrue="1" operator="greaterThan">
      <formula>$F112</formula>
    </cfRule>
  </conditionalFormatting>
  <conditionalFormatting sqref="D121:E121">
    <cfRule type="cellIs" dxfId="1124" priority="128" stopIfTrue="1" operator="lessThanOrEqual">
      <formula>0</formula>
    </cfRule>
  </conditionalFormatting>
  <conditionalFormatting sqref="E10:E72">
    <cfRule type="cellIs" dxfId="1123" priority="25" operator="lessThan">
      <formula>48</formula>
    </cfRule>
  </conditionalFormatting>
  <conditionalFormatting sqref="E100 E101:F101">
    <cfRule type="cellIs" dxfId="1122" priority="185" stopIfTrue="1" operator="greaterThan">
      <formula>100</formula>
    </cfRule>
  </conditionalFormatting>
  <conditionalFormatting sqref="E101">
    <cfRule type="cellIs" dxfId="1121" priority="183" stopIfTrue="1" operator="greaterThan">
      <formula>100</formula>
    </cfRule>
    <cfRule type="cellIs" dxfId="1120" priority="182" stopIfTrue="1" operator="lessThan">
      <formula>96.8</formula>
    </cfRule>
  </conditionalFormatting>
  <conditionalFormatting sqref="E112:E120">
    <cfRule type="cellIs" dxfId="1119" priority="159" stopIfTrue="1" operator="lessThanOrEqual">
      <formula>0</formula>
    </cfRule>
  </conditionalFormatting>
  <conditionalFormatting sqref="E123:E131">
    <cfRule type="cellIs" dxfId="1118" priority="174" stopIfTrue="1" operator="greaterThan">
      <formula>4.5</formula>
    </cfRule>
    <cfRule type="cellIs" dxfId="1117" priority="175" stopIfTrue="1" operator="lessThanOrEqual">
      <formula>0</formula>
    </cfRule>
  </conditionalFormatting>
  <conditionalFormatting sqref="E101:F101 E100">
    <cfRule type="cellIs" dxfId="1116" priority="184" stopIfTrue="1" operator="lessThan">
      <formula>96.5</formula>
    </cfRule>
  </conditionalFormatting>
  <conditionalFormatting sqref="F10:F72">
    <cfRule type="cellIs" dxfId="1115" priority="26" operator="greaterThan">
      <formula>60</formula>
    </cfRule>
  </conditionalFormatting>
  <conditionalFormatting sqref="F101">
    <cfRule type="cellIs" dxfId="1114" priority="200" stopIfTrue="1" operator="lessThan">
      <formula>96.8</formula>
    </cfRule>
    <cfRule type="cellIs" dxfId="1113" priority="201" stopIfTrue="1" operator="greaterThan">
      <formula>100</formula>
    </cfRule>
  </conditionalFormatting>
  <conditionalFormatting sqref="F121">
    <cfRule type="cellIs" dxfId="1112" priority="161" stopIfTrue="1" operator="lessThanOrEqual">
      <formula>0</formula>
    </cfRule>
    <cfRule type="cellIs" dxfId="1111" priority="160" stopIfTrue="1" operator="greaterThan">
      <formula>$F121</formula>
    </cfRule>
  </conditionalFormatting>
  <conditionalFormatting sqref="G18">
    <cfRule type="expression" dxfId="1110" priority="56">
      <formula>IF(+(IF(G18&lt;$S$10,0,IF(G18&gt;$T$10,0,1)))=0,1)</formula>
    </cfRule>
  </conditionalFormatting>
  <conditionalFormatting sqref="G19:G72">
    <cfRule type="expression" dxfId="1109" priority="24">
      <formula>IF(+(IF(G19&lt;#REF!,0,IF(G19&gt;#REF!,0,1)))=0,1)</formula>
    </cfRule>
  </conditionalFormatting>
  <conditionalFormatting sqref="G112:G113 C118:C120">
    <cfRule type="cellIs" dxfId="1108" priority="167" stopIfTrue="1" operator="lessThanOrEqual">
      <formula>0</formula>
    </cfRule>
    <cfRule type="cellIs" dxfId="1107" priority="166" stopIfTrue="1" operator="greaterThan">
      <formula>$F112</formula>
    </cfRule>
  </conditionalFormatting>
  <conditionalFormatting sqref="G112:G113">
    <cfRule type="cellIs" dxfId="1106" priority="132" stopIfTrue="1" operator="greaterThan">
      <formula>$F112</formula>
    </cfRule>
    <cfRule type="cellIs" dxfId="1105" priority="133" stopIfTrue="1" operator="lessThanOrEqual">
      <formula>0</formula>
    </cfRule>
  </conditionalFormatting>
  <conditionalFormatting sqref="G114">
    <cfRule type="cellIs" dxfId="1104" priority="205" stopIfTrue="1" operator="lessThanOrEqual">
      <formula>0</formula>
    </cfRule>
    <cfRule type="cellIs" dxfId="1103" priority="204" stopIfTrue="1" operator="greaterThan">
      <formula>$F113</formula>
    </cfRule>
  </conditionalFormatting>
  <conditionalFormatting sqref="G115">
    <cfRule type="cellIs" dxfId="1102" priority="163" stopIfTrue="1" operator="lessThanOrEqual">
      <formula>0</formula>
    </cfRule>
    <cfRule type="cellIs" dxfId="1101" priority="162" stopIfTrue="1" operator="greaterThan">
      <formula>$F115</formula>
    </cfRule>
  </conditionalFormatting>
  <conditionalFormatting sqref="G116:G120">
    <cfRule type="cellIs" dxfId="1100" priority="168" stopIfTrue="1" operator="greaterThan">
      <formula>$J116</formula>
    </cfRule>
    <cfRule type="cellIs" dxfId="1099" priority="169" stopIfTrue="1" operator="lessThanOrEqual">
      <formula>0</formula>
    </cfRule>
  </conditionalFormatting>
  <conditionalFormatting sqref="G125:G130 C128 C130">
    <cfRule type="cellIs" dxfId="1098" priority="198" stopIfTrue="1" operator="lessThanOrEqual">
      <formula>0</formula>
    </cfRule>
    <cfRule type="cellIs" dxfId="1097" priority="197" stopIfTrue="1" operator="greaterThan">
      <formula>4.5</formula>
    </cfRule>
  </conditionalFormatting>
  <conditionalFormatting sqref="G10:H12 G13:G17">
    <cfRule type="expression" dxfId="1096" priority="45">
      <formula>IF(+(IF(G10&lt;S10,0,IF(G10&gt;T10,0,1)))=0,1)</formula>
    </cfRule>
  </conditionalFormatting>
  <conditionalFormatting sqref="G124:H124">
    <cfRule type="cellIs" dxfId="1095" priority="179" stopIfTrue="1" operator="lessThanOrEqual">
      <formula>0</formula>
    </cfRule>
    <cfRule type="cellIs" dxfId="1094" priority="178" stopIfTrue="1" operator="greaterThan">
      <formula>$F$123</formula>
    </cfRule>
  </conditionalFormatting>
  <conditionalFormatting sqref="H13:H32 H36:H72">
    <cfRule type="expression" dxfId="1093" priority="27">
      <formula>IF(+(IF(H13&lt;T13,0,IF(H13&gt;U13,0,1)))=0,1)</formula>
    </cfRule>
  </conditionalFormatting>
  <conditionalFormatting sqref="H33:H35">
    <cfRule type="expression" dxfId="1092" priority="15">
      <formula>IF(+(IF(H33&lt;#REF!,0,IF(H33&gt;#REF!,0,1)))=0,1)</formula>
    </cfRule>
  </conditionalFormatting>
  <conditionalFormatting sqref="H86:H87 G87 H100">
    <cfRule type="cellIs" dxfId="1091" priority="176" stopIfTrue="1" operator="greaterThan">
      <formula>0</formula>
    </cfRule>
  </conditionalFormatting>
  <conditionalFormatting sqref="H104">
    <cfRule type="cellIs" dxfId="1090" priority="12" stopIfTrue="1" operator="lessThanOrEqual">
      <formula>0</formula>
    </cfRule>
    <cfRule type="cellIs" dxfId="1089" priority="14" stopIfTrue="1" operator="lessThanOrEqual">
      <formula>0</formula>
    </cfRule>
    <cfRule type="cellIs" dxfId="1088" priority="13" stopIfTrue="1" operator="greaterThan">
      <formula>$F$36</formula>
    </cfRule>
    <cfRule type="cellIs" dxfId="1087" priority="2" stopIfTrue="1" operator="lessThanOrEqual">
      <formula>0</formula>
    </cfRule>
    <cfRule type="cellIs" dxfId="1086" priority="3" stopIfTrue="1" operator="greaterThan">
      <formula>$F$35</formula>
    </cfRule>
    <cfRule type="cellIs" dxfId="1085" priority="11" stopIfTrue="1" operator="greaterThan">
      <formula>$F$38</formula>
    </cfRule>
  </conditionalFormatting>
  <conditionalFormatting sqref="H105:H106">
    <cfRule type="cellIs" dxfId="1084" priority="101" stopIfTrue="1" operator="greaterThan">
      <formula>$F$85</formula>
    </cfRule>
    <cfRule type="cellIs" dxfId="1083" priority="109" stopIfTrue="1" operator="greaterThan">
      <formula>$F$88</formula>
    </cfRule>
    <cfRule type="cellIs" dxfId="1082" priority="110" stopIfTrue="1" operator="lessThanOrEqual">
      <formula>0</formula>
    </cfRule>
    <cfRule type="cellIs" dxfId="1081" priority="111" stopIfTrue="1" operator="greaterThan">
      <formula>$F$86</formula>
    </cfRule>
    <cfRule type="cellIs" dxfId="1080" priority="112" stopIfTrue="1" operator="lessThanOrEqual">
      <formula>0</formula>
    </cfRule>
    <cfRule type="cellIs" dxfId="1079" priority="86" stopIfTrue="1" operator="lessThanOrEqual">
      <formula>0</formula>
    </cfRule>
  </conditionalFormatting>
  <conditionalFormatting sqref="H107">
    <cfRule type="cellIs" dxfId="1078" priority="139" stopIfTrue="1" operator="greaterThan">
      <formula>$F$111</formula>
    </cfRule>
    <cfRule type="cellIs" dxfId="1077" priority="138" stopIfTrue="1" operator="lessThanOrEqual">
      <formula>0</formula>
    </cfRule>
    <cfRule type="cellIs" dxfId="1076" priority="147" stopIfTrue="1" operator="greaterThan">
      <formula>$F$114</formula>
    </cfRule>
    <cfRule type="cellIs" dxfId="1075" priority="148" stopIfTrue="1" operator="lessThanOrEqual">
      <formula>0</formula>
    </cfRule>
    <cfRule type="cellIs" dxfId="1074" priority="149" stopIfTrue="1" operator="greaterThan">
      <formula>$F$112</formula>
    </cfRule>
    <cfRule type="cellIs" dxfId="1073" priority="150" stopIfTrue="1" operator="lessThanOrEqual">
      <formula>0</formula>
    </cfRule>
  </conditionalFormatting>
  <conditionalFormatting sqref="H108">
    <cfRule type="cellIs" dxfId="1072" priority="100" stopIfTrue="1" operator="lessThanOrEqual">
      <formula>0</formula>
    </cfRule>
    <cfRule type="cellIs" dxfId="1071" priority="99" stopIfTrue="1" operator="greaterThan">
      <formula>$F$86</formula>
    </cfRule>
    <cfRule type="cellIs" dxfId="1070" priority="98" stopIfTrue="1" operator="lessThanOrEqual">
      <formula>0</formula>
    </cfRule>
    <cfRule type="cellIs" dxfId="1069" priority="97" stopIfTrue="1" operator="greaterThan">
      <formula>$F$88</formula>
    </cfRule>
    <cfRule type="cellIs" dxfId="1068" priority="89" stopIfTrue="1" operator="greaterThan">
      <formula>$F$85</formula>
    </cfRule>
    <cfRule type="cellIs" dxfId="1067" priority="88" stopIfTrue="1" operator="lessThanOrEqual">
      <formula>0</formula>
    </cfRule>
  </conditionalFormatting>
  <conditionalFormatting sqref="H112:H119">
    <cfRule type="cellIs" dxfId="1066" priority="152" stopIfTrue="1" operator="greaterThan">
      <formula>$J112</formula>
    </cfRule>
    <cfRule type="cellIs" dxfId="1065" priority="153" stopIfTrue="1" operator="lessThanOrEqual">
      <formula>0</formula>
    </cfRule>
  </conditionalFormatting>
  <conditionalFormatting sqref="H120">
    <cfRule type="cellIs" dxfId="1064" priority="156" operator="greaterThan">
      <formula>5.3</formula>
    </cfRule>
  </conditionalFormatting>
  <conditionalFormatting sqref="H123 H125:H131">
    <cfRule type="cellIs" dxfId="1063" priority="190" stopIfTrue="1" operator="greaterThan">
      <formula>4.5</formula>
    </cfRule>
    <cfRule type="cellIs" dxfId="1062" priority="191" stopIfTrue="1" operator="lessThanOrEqual">
      <formula>0</formula>
    </cfRule>
  </conditionalFormatting>
  <conditionalFormatting sqref="H104:I104">
    <cfRule type="cellIs" dxfId="1061" priority="4" stopIfTrue="1" operator="lessThanOrEqual">
      <formula>0</formula>
    </cfRule>
    <cfRule type="cellIs" dxfId="1060" priority="1" stopIfTrue="1" operator="greaterThan">
      <formula>$F$37</formula>
    </cfRule>
  </conditionalFormatting>
  <conditionalFormatting sqref="H105:I106">
    <cfRule type="cellIs" dxfId="1059" priority="85" stopIfTrue="1" operator="greaterThan">
      <formula>$F$87</formula>
    </cfRule>
    <cfRule type="cellIs" dxfId="1058" priority="102" stopIfTrue="1" operator="lessThanOrEqual">
      <formula>0</formula>
    </cfRule>
  </conditionalFormatting>
  <conditionalFormatting sqref="H107:I107">
    <cfRule type="cellIs" dxfId="1057" priority="137" stopIfTrue="1" operator="greaterThan">
      <formula>$F$113</formula>
    </cfRule>
    <cfRule type="cellIs" dxfId="1056" priority="140" stopIfTrue="1" operator="lessThanOrEqual">
      <formula>0</formula>
    </cfRule>
  </conditionalFormatting>
  <conditionalFormatting sqref="H108:I108">
    <cfRule type="cellIs" dxfId="1055" priority="87" stopIfTrue="1" operator="greaterThan">
      <formula>$F$87</formula>
    </cfRule>
    <cfRule type="cellIs" dxfId="1054" priority="90" stopIfTrue="1" operator="lessThanOrEqual">
      <formula>0</formula>
    </cfRule>
  </conditionalFormatting>
  <conditionalFormatting sqref="H121:I121">
    <cfRule type="cellIs" dxfId="1053" priority="126" stopIfTrue="1" operator="lessThanOrEqual">
      <formula>0</formula>
    </cfRule>
    <cfRule type="cellIs" dxfId="1052" priority="125" stopIfTrue="1" operator="greaterThan">
      <formula>$J121</formula>
    </cfRule>
  </conditionalFormatting>
  <conditionalFormatting sqref="H89:K98">
    <cfRule type="cellIs" dxfId="1051" priority="113" operator="notEqual">
      <formula>#REF!</formula>
    </cfRule>
  </conditionalFormatting>
  <conditionalFormatting sqref="I104">
    <cfRule type="cellIs" dxfId="1050" priority="8" stopIfTrue="1" operator="lessThanOrEqual">
      <formula>0</formula>
    </cfRule>
    <cfRule type="cellIs" dxfId="1049" priority="7" stopIfTrue="1" operator="greaterThan">
      <formula>$F$37</formula>
    </cfRule>
    <cfRule type="cellIs" dxfId="1048" priority="6" stopIfTrue="1" operator="lessThanOrEqual">
      <formula>0</formula>
    </cfRule>
    <cfRule type="cellIs" dxfId="1047" priority="10" stopIfTrue="1" operator="lessThanOrEqual">
      <formula>0</formula>
    </cfRule>
    <cfRule type="cellIs" dxfId="1046" priority="5" stopIfTrue="1" operator="greaterThan">
      <formula>$F$35</formula>
    </cfRule>
    <cfRule type="cellIs" dxfId="1045" priority="9" stopIfTrue="1" operator="greaterThan">
      <formula>$F$35</formula>
    </cfRule>
  </conditionalFormatting>
  <conditionalFormatting sqref="I105:I106">
    <cfRule type="cellIs" dxfId="1044" priority="103" stopIfTrue="1" operator="greaterThan">
      <formula>$F$85</formula>
    </cfRule>
    <cfRule type="cellIs" dxfId="1043" priority="104" stopIfTrue="1" operator="lessThanOrEqual">
      <formula>0</formula>
    </cfRule>
    <cfRule type="cellIs" dxfId="1042" priority="106" stopIfTrue="1" operator="lessThanOrEqual">
      <formula>0</formula>
    </cfRule>
    <cfRule type="cellIs" dxfId="1041" priority="107" stopIfTrue="1" operator="greaterThan">
      <formula>$F$85</formula>
    </cfRule>
    <cfRule type="cellIs" dxfId="1040" priority="108" stopIfTrue="1" operator="lessThanOrEqual">
      <formula>0</formula>
    </cfRule>
    <cfRule type="cellIs" dxfId="1039" priority="105" stopIfTrue="1" operator="greaterThan">
      <formula>$F$87</formula>
    </cfRule>
  </conditionalFormatting>
  <conditionalFormatting sqref="I107">
    <cfRule type="cellIs" dxfId="1038" priority="145" stopIfTrue="1" operator="greaterThan">
      <formula>$F$111</formula>
    </cfRule>
    <cfRule type="cellIs" dxfId="1037" priority="144" stopIfTrue="1" operator="lessThanOrEqual">
      <formula>0</formula>
    </cfRule>
    <cfRule type="cellIs" dxfId="1036" priority="143" stopIfTrue="1" operator="greaterThan">
      <formula>$F$113</formula>
    </cfRule>
    <cfRule type="cellIs" dxfId="1035" priority="142" stopIfTrue="1" operator="lessThanOrEqual">
      <formula>0</formula>
    </cfRule>
    <cfRule type="cellIs" dxfId="1034" priority="141" stopIfTrue="1" operator="greaterThan">
      <formula>$F$111</formula>
    </cfRule>
    <cfRule type="cellIs" dxfId="1033" priority="146" stopIfTrue="1" operator="lessThanOrEqual">
      <formula>0</formula>
    </cfRule>
  </conditionalFormatting>
  <conditionalFormatting sqref="I108">
    <cfRule type="cellIs" dxfId="1032" priority="93" stopIfTrue="1" operator="greaterThan">
      <formula>$F$87</formula>
    </cfRule>
    <cfRule type="cellIs" dxfId="1031" priority="92" stopIfTrue="1" operator="lessThanOrEqual">
      <formula>0</formula>
    </cfRule>
    <cfRule type="cellIs" dxfId="1030" priority="91" stopIfTrue="1" operator="greaterThan">
      <formula>$F$85</formula>
    </cfRule>
    <cfRule type="cellIs" dxfId="1029" priority="96" stopIfTrue="1" operator="lessThanOrEqual">
      <formula>0</formula>
    </cfRule>
    <cfRule type="cellIs" dxfId="1028" priority="95" stopIfTrue="1" operator="greaterThan">
      <formula>$F$85</formula>
    </cfRule>
    <cfRule type="cellIs" dxfId="1027" priority="94" stopIfTrue="1" operator="lessThanOrEqual">
      <formula>0</formula>
    </cfRule>
  </conditionalFormatting>
  <conditionalFormatting sqref="I112:I120">
    <cfRule type="cellIs" dxfId="1026" priority="157" stopIfTrue="1" operator="greaterThan">
      <formula>$J112</formula>
    </cfRule>
    <cfRule type="cellIs" dxfId="1025" priority="158" stopIfTrue="1" operator="lessThanOrEqual">
      <formula>0</formula>
    </cfRule>
  </conditionalFormatting>
  <conditionalFormatting sqref="I123:I131">
    <cfRule type="cellIs" dxfId="1024" priority="186" stopIfTrue="1" operator="greaterThan">
      <formula>4.5</formula>
    </cfRule>
    <cfRule type="cellIs" dxfId="1023" priority="187" stopIfTrue="1" operator="lessThanOrEqual">
      <formula>0</formula>
    </cfRule>
  </conditionalFormatting>
  <conditionalFormatting sqref="I10:J18 I19 I68:I72">
    <cfRule type="cellIs" dxfId="1022" priority="84" operator="lessThan">
      <formula>97.9</formula>
    </cfRule>
  </conditionalFormatting>
  <conditionalFormatting sqref="I20:J67">
    <cfRule type="cellIs" dxfId="1021" priority="23" operator="lessThan">
      <formula>97.9</formula>
    </cfRule>
  </conditionalFormatting>
  <conditionalFormatting sqref="J18:J19">
    <cfRule type="cellIs" dxfId="1020" priority="63" operator="greaterThan">
      <formula>6.4</formula>
    </cfRule>
    <cfRule type="cellIs" dxfId="1019" priority="60" operator="lessThan">
      <formula>4</formula>
    </cfRule>
    <cfRule type="cellIs" dxfId="1018" priority="59" operator="greaterThan">
      <formula>6</formula>
    </cfRule>
  </conditionalFormatting>
  <conditionalFormatting sqref="J68:J72">
    <cfRule type="cellIs" dxfId="1017" priority="83" operator="greaterThan">
      <formula>6.4</formula>
    </cfRule>
    <cfRule type="cellIs" dxfId="1016" priority="80" operator="lessThan">
      <formula>4</formula>
    </cfRule>
    <cfRule type="cellIs" dxfId="1015" priority="79" operator="greaterThan">
      <formula>6</formula>
    </cfRule>
  </conditionalFormatting>
  <conditionalFormatting sqref="J75:J77">
    <cfRule type="cellIs" dxfId="1014" priority="115" stopIfTrue="1" operator="lessThan">
      <formula>96.8</formula>
    </cfRule>
    <cfRule type="cellIs" dxfId="1013" priority="116" stopIfTrue="1" operator="greaterThan">
      <formula>100</formula>
    </cfRule>
    <cfRule type="cellIs" dxfId="1012" priority="117" operator="lessThan">
      <formula>98</formula>
    </cfRule>
  </conditionalFormatting>
  <conditionalFormatting sqref="J75:J79">
    <cfRule type="cellIs" dxfId="1011" priority="114" operator="lessThan">
      <formula>97.4</formula>
    </cfRule>
  </conditionalFormatting>
  <conditionalFormatting sqref="J80">
    <cfRule type="cellIs" dxfId="1010" priority="118" operator="lessThan">
      <formula>98</formula>
    </cfRule>
  </conditionalFormatting>
  <conditionalFormatting sqref="J81:J83">
    <cfRule type="cellIs" dxfId="1009" priority="119" stopIfTrue="1" operator="lessThan">
      <formula>96.8</formula>
    </cfRule>
    <cfRule type="cellIs" dxfId="1008" priority="120" stopIfTrue="1" operator="greaterThan">
      <formula>100</formula>
    </cfRule>
  </conditionalFormatting>
  <conditionalFormatting sqref="J81:J84">
    <cfRule type="cellIs" dxfId="1007" priority="121" operator="lessThan">
      <formula>98</formula>
    </cfRule>
  </conditionalFormatting>
  <conditionalFormatting sqref="J121">
    <cfRule type="cellIs" dxfId="1006" priority="123" stopIfTrue="1" operator="lessThanOrEqual">
      <formula>0</formula>
    </cfRule>
    <cfRule type="cellIs" dxfId="1005" priority="122" stopIfTrue="1" operator="greaterThan">
      <formula>$F121</formula>
    </cfRule>
  </conditionalFormatting>
  <conditionalFormatting sqref="K10:K67">
    <cfRule type="cellIs" dxfId="1004" priority="19" operator="lessThan">
      <formula>4</formula>
    </cfRule>
    <cfRule type="cellIs" dxfId="1003" priority="18" operator="greaterThan">
      <formula>6</formula>
    </cfRule>
    <cfRule type="cellIs" dxfId="1002" priority="22" operator="greaterThan">
      <formula>6.4</formula>
    </cfRule>
  </conditionalFormatting>
  <conditionalFormatting sqref="K104:K108 K112:N115 L116:N116">
    <cfRule type="cellIs" dxfId="1001" priority="170" stopIfTrue="1" operator="lessThan">
      <formula>100%</formula>
    </cfRule>
  </conditionalFormatting>
  <conditionalFormatting sqref="K123:K128">
    <cfRule type="cellIs" dxfId="1000" priority="192" stopIfTrue="1" operator="lessThan">
      <formula>100%</formula>
    </cfRule>
  </conditionalFormatting>
  <conditionalFormatting sqref="K130:K131">
    <cfRule type="cellIs" dxfId="999" priority="199" stopIfTrue="1" operator="lessThan">
      <formula>100%</formula>
    </cfRule>
  </conditionalFormatting>
  <conditionalFormatting sqref="K117:N121">
    <cfRule type="cellIs" dxfId="998" priority="124" stopIfTrue="1" operator="lessThan">
      <formula>100%</formula>
    </cfRule>
  </conditionalFormatting>
  <conditionalFormatting sqref="L10:L67">
    <cfRule type="cellIs" dxfId="997" priority="20" operator="between">
      <formula>61</formula>
      <formula>65</formula>
    </cfRule>
    <cfRule type="cellIs" dxfId="996" priority="21" operator="greaterThan">
      <formula>65</formula>
    </cfRule>
  </conditionalFormatting>
  <conditionalFormatting sqref="L75:M86">
    <cfRule type="cellIs" dxfId="995" priority="129" operator="lessThan">
      <formula>98</formula>
    </cfRule>
  </conditionalFormatting>
  <conditionalFormatting sqref="L90:N90">
    <cfRule type="cellIs" dxfId="994" priority="134" operator="notEqual">
      <formula>#REF!</formula>
    </cfRule>
  </conditionalFormatting>
  <conditionalFormatting sqref="L123:N131">
    <cfRule type="cellIs" dxfId="993" priority="177" stopIfTrue="1" operator="lessThan">
      <formula>100%</formula>
    </cfRule>
  </conditionalFormatting>
  <conditionalFormatting sqref="M10:M17 L68:M72">
    <cfRule type="expression" dxfId="992" priority="78">
      <formula>IF(+(IF(L10&lt;T10,0,IF(L10&gt;U10,0,1)))=0,1)</formula>
    </cfRule>
  </conditionalFormatting>
  <conditionalFormatting sqref="M19:M67">
    <cfRule type="expression" dxfId="991" priority="17">
      <formula>IF(+(IF(M19&lt;U19,0,IF(M19&gt;V19,0,1)))=0,1)</formula>
    </cfRule>
  </conditionalFormatting>
  <conditionalFormatting sqref="M20:M29 K68:K72">
    <cfRule type="cellIs" dxfId="990" priority="81" operator="between">
      <formula>61</formula>
      <formula>65</formula>
    </cfRule>
    <cfRule type="cellIs" dxfId="989" priority="82" operator="greaterThan">
      <formula>65</formula>
    </cfRule>
  </conditionalFormatting>
  <conditionalFormatting sqref="M6:N6">
    <cfRule type="cellIs" dxfId="988" priority="135" operator="greaterThanOrEqual">
      <formula>15</formula>
    </cfRule>
    <cfRule type="cellIs" dxfId="987" priority="136" operator="greaterThanOrEqual">
      <formula>19</formula>
    </cfRule>
  </conditionalFormatting>
  <conditionalFormatting sqref="M18:N18">
    <cfRule type="expression" dxfId="986" priority="58">
      <formula>IF(+(IF(M18&lt;W18,0,IF(M18&gt;X18,0,1)))=0,1)</formula>
    </cfRule>
  </conditionalFormatting>
  <conditionalFormatting sqref="N10:N17 M18">
    <cfRule type="expression" dxfId="985" priority="57">
      <formula>IF(+(IF(M10&lt;V10,0,IF(M10&gt;W10,0,1)))=0,1)</formula>
    </cfRule>
  </conditionalFormatting>
  <conditionalFormatting sqref="N19:N72">
    <cfRule type="expression" dxfId="984" priority="16">
      <formula>IF(+(IF(N19&lt;W19,0,IF(N19&gt;X19,0,1)))=0,1)</formula>
    </cfRule>
  </conditionalFormatting>
  <conditionalFormatting sqref="P6">
    <cfRule type="cellIs" dxfId="983" priority="173" operator="greaterThanOrEqual">
      <formula>19</formula>
    </cfRule>
  </conditionalFormatting>
  <dataValidations count="1">
    <dataValidation type="list" allowBlank="1" showInputMessage="1" showErrorMessage="1" sqref="R8" xr:uid="{8870C6D4-C079-4C0B-9A49-5EB5716326D5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25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9397-F66B-4237-B5E7-AE3C205C542A}">
  <sheetPr>
    <pageSetUpPr fitToPage="1"/>
  </sheetPr>
  <dimension ref="A1:BE81"/>
  <sheetViews>
    <sheetView topLeftCell="E22" zoomScale="80" zoomScaleNormal="80" workbookViewId="0">
      <selection activeCell="L46" sqref="L46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8.6640625" style="275" bestFit="1" customWidth="1"/>
    <col min="7" max="7" width="26.44140625" style="275" customWidth="1"/>
    <col min="8" max="8" width="27" style="275" customWidth="1"/>
    <col min="9" max="9" width="26.109375" style="275" customWidth="1"/>
    <col min="10" max="10" width="31.6640625" style="275" customWidth="1"/>
    <col min="11" max="11" width="25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45769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189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14.4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[23]Brewhouse!$A387</f>
        <v>CA283</v>
      </c>
      <c r="D10" s="279">
        <f>[23]Brewhouse!$AF387</f>
        <v>49.8</v>
      </c>
      <c r="E10" s="279">
        <f>[23]Brewhouse!$AI387</f>
        <v>49.5</v>
      </c>
      <c r="F10" s="278">
        <f>[23]Brewhouse!$V387</f>
        <v>55</v>
      </c>
      <c r="G10" s="279">
        <f>[23]Brewhouse!$AG387</f>
        <v>11.9</v>
      </c>
      <c r="H10" s="396">
        <v>11.7</v>
      </c>
      <c r="I10" s="368">
        <f>[23]Brewhouse!$AU387</f>
        <v>110.18976831746323</v>
      </c>
      <c r="J10" s="368">
        <f>[23]Brewhouse!$AV387</f>
        <v>111.96682208720785</v>
      </c>
      <c r="K10" s="281">
        <f>[23]Brewhouse!$Q387</f>
        <v>8.7427466150870465</v>
      </c>
      <c r="L10" s="276">
        <f>[23]Brewhouse!$P387</f>
        <v>61</v>
      </c>
      <c r="M10" s="397">
        <f>[23]Brewhouse!$U387-[23]Brewhouse!$T387</f>
        <v>0.10555555555555557</v>
      </c>
      <c r="N10" s="370">
        <f>[23]Brewhouse!$Z387</f>
        <v>0.24375000000000002</v>
      </c>
      <c r="O10" s="371" t="str">
        <f>[23]Brewhouse!$AX387</f>
        <v>R. Regis</v>
      </c>
      <c r="P10" s="443"/>
      <c r="R10" s="277" t="str">
        <f t="shared" ref="R10:R20" si="0">B10</f>
        <v>CARIB</v>
      </c>
      <c r="S10" s="296">
        <f t="shared" ref="S10:S29" si="1">VLOOKUP($B10,$R$3:$X$9,2,FALSE)</f>
        <v>11.6</v>
      </c>
      <c r="T10" s="296">
        <f t="shared" ref="T10:T29" si="2">VLOOKUP($B10,$R$3:$X$9,3,FALSE)</f>
        <v>12</v>
      </c>
      <c r="U10" s="297">
        <f t="shared" ref="U10:U29" si="3">VLOOKUP($B10,$R$3:$X$9,4,FALSE)</f>
        <v>0</v>
      </c>
      <c r="V10" s="297">
        <f t="shared" ref="V10:V29" si="4">VLOOKUP($B10,$R$3:$X$9,5,FALSE)</f>
        <v>0.118055555555556</v>
      </c>
      <c r="W10" s="297">
        <f t="shared" ref="W10:W29" si="5">VLOOKUP($B10,$R$3:$X$9,6,FALSE)</f>
        <v>0.22569444444444445</v>
      </c>
      <c r="X10" s="297">
        <f t="shared" ref="X10:X29" si="6">VLOOKUP($B10,$R$3:$X$9,7,FALSE)</f>
        <v>0.2638888888888889</v>
      </c>
      <c r="Y10" s="297">
        <f t="shared" ref="Y10:Y29" si="7">VLOOKUP($B10,$R$3:$Z$9,8,FALSE)</f>
        <v>0</v>
      </c>
      <c r="Z10" s="296">
        <f t="shared" ref="Z10:Z29" si="8">VLOOKUP($B10,$R$3:$Z$9,9,FALSE)</f>
        <v>60</v>
      </c>
    </row>
    <row r="11" spans="2:29" ht="15.75" customHeight="1">
      <c r="B11" s="29" t="s">
        <v>6</v>
      </c>
      <c r="C11" s="366" t="str">
        <f>[23]Brewhouse!$A388</f>
        <v>CA284</v>
      </c>
      <c r="D11" s="279">
        <f>[23]Brewhouse!$AF388</f>
        <v>55.3</v>
      </c>
      <c r="E11" s="279">
        <f>[23]Brewhouse!$AI388</f>
        <v>51.2</v>
      </c>
      <c r="F11" s="278">
        <f>[23]Brewhouse!$V388</f>
        <v>66</v>
      </c>
      <c r="G11" s="279">
        <f>[23]Brewhouse!$AG388</f>
        <v>11.9</v>
      </c>
      <c r="H11" s="396">
        <v>11.8</v>
      </c>
      <c r="I11" s="368">
        <f>[23]Brewhouse!$AU388</f>
        <v>103.07975259792097</v>
      </c>
      <c r="J11" s="368">
        <f>[23]Brewhouse!$AV388</f>
        <v>104.75017595742095</v>
      </c>
      <c r="K11" s="281">
        <f>[23]Brewhouse!$Q388</f>
        <v>6.46428571428571</v>
      </c>
      <c r="L11" s="276">
        <f>[23]Brewhouse!$P388</f>
        <v>59</v>
      </c>
      <c r="M11" s="397">
        <f>[23]Brewhouse!$U388-[23]Brewhouse!$T388</f>
        <v>0.11249999999999999</v>
      </c>
      <c r="N11" s="370">
        <f>[23]Brewhouse!$Z388</f>
        <v>0.2472222222222222</v>
      </c>
      <c r="O11" s="371" t="str">
        <f>[23]Brewhouse!$AX388</f>
        <v>R.Sookram</v>
      </c>
      <c r="P11" s="443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[23]Brewhouse!$A389</f>
        <v>CA285</v>
      </c>
      <c r="D12" s="279">
        <f>[23]Brewhouse!$AF389</f>
        <v>55.6</v>
      </c>
      <c r="E12" s="279">
        <f>[23]Brewhouse!$AI389</f>
        <v>53.2</v>
      </c>
      <c r="F12" s="278">
        <f>[23]Brewhouse!$V389</f>
        <v>64</v>
      </c>
      <c r="G12" s="279">
        <f>[23]Brewhouse!$AG389</f>
        <v>11.6</v>
      </c>
      <c r="H12" s="396">
        <v>11.7</v>
      </c>
      <c r="I12" s="368">
        <f>[23]Brewhouse!$AU389</f>
        <v>104.26734312107473</v>
      </c>
      <c r="J12" s="368">
        <f>[23]Brewhouse!$AV389</f>
        <v>105.95701156897859</v>
      </c>
      <c r="K12" s="281">
        <f>[23]Brewhouse!$Q389</f>
        <v>6.6428571428571406</v>
      </c>
      <c r="L12" s="276">
        <f>[23]Brewhouse!$P389</f>
        <v>58</v>
      </c>
      <c r="M12" s="397">
        <f>[23]Brewhouse!$U389-[23]Brewhouse!$T389</f>
        <v>0.11736111111111114</v>
      </c>
      <c r="N12" s="370">
        <f>[23]Brewhouse!$Z389</f>
        <v>0.25972222222222224</v>
      </c>
      <c r="O12" s="371" t="str">
        <f>[23]Brewhouse!$AX389</f>
        <v>R.Sookram</v>
      </c>
      <c r="P12" s="443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[23]Brewhouse!$A390</f>
        <v>CA286</v>
      </c>
      <c r="D13" s="279">
        <f>[23]Brewhouse!$AF390</f>
        <v>54.4</v>
      </c>
      <c r="E13" s="279">
        <f>[23]Brewhouse!$AI390</f>
        <v>50.4</v>
      </c>
      <c r="F13" s="278">
        <f>[23]Brewhouse!$V390</f>
        <v>62</v>
      </c>
      <c r="G13" s="279">
        <f>[23]Brewhouse!$AG390</f>
        <v>11.9</v>
      </c>
      <c r="H13" s="396">
        <v>11.8</v>
      </c>
      <c r="I13" s="368">
        <f>[23]Brewhouse!$AU390</f>
        <v>98.579471202485308</v>
      </c>
      <c r="J13" s="368">
        <f>[23]Brewhouse!$AV390</f>
        <v>100.17903738028755</v>
      </c>
      <c r="K13" s="281">
        <f>[23]Brewhouse!$Q390</f>
        <v>7.6190476190476195</v>
      </c>
      <c r="L13" s="276">
        <f>[23]Brewhouse!$P390</f>
        <v>59</v>
      </c>
      <c r="M13" s="397">
        <f>[23]Brewhouse!$U390-[23]Brewhouse!$T390</f>
        <v>0.10972222222222217</v>
      </c>
      <c r="N13" s="370">
        <f>[23]Brewhouse!$Z390</f>
        <v>0.25138888888888888</v>
      </c>
      <c r="O13" s="371" t="str">
        <f>[23]Brewhouse!$AX390</f>
        <v>R.Sookram</v>
      </c>
      <c r="P13" s="443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[23]Brewhouse!$A391</f>
        <v>CA287</v>
      </c>
      <c r="D14" s="279">
        <f>[23]Brewhouse!$AF391</f>
        <v>53.3</v>
      </c>
      <c r="E14" s="279">
        <f>[23]Brewhouse!$AI391</f>
        <v>49.5</v>
      </c>
      <c r="F14" s="278">
        <f>[23]Brewhouse!$V391</f>
        <v>61</v>
      </c>
      <c r="G14" s="279">
        <f>[23]Brewhouse!$AG391</f>
        <v>11.8</v>
      </c>
      <c r="H14" s="396">
        <v>11.8</v>
      </c>
      <c r="I14" s="368">
        <f>[23]Brewhouse!$AU391</f>
        <v>95.963693495592068</v>
      </c>
      <c r="J14" s="368">
        <f>[23]Brewhouse!$AV391</f>
        <v>97.52081564830921</v>
      </c>
      <c r="K14" s="281">
        <f>[23]Brewhouse!$Q391</f>
        <v>6.7730496453900706</v>
      </c>
      <c r="L14" s="276">
        <f>[23]Brewhouse!$P391</f>
        <v>60</v>
      </c>
      <c r="M14" s="397">
        <f>[23]Brewhouse!$U391-[23]Brewhouse!$T391</f>
        <v>0.10486111111111107</v>
      </c>
      <c r="N14" s="370">
        <f>[23]Brewhouse!$Z391</f>
        <v>0.24861111111111112</v>
      </c>
      <c r="O14" s="371" t="str">
        <f>[23]Brewhouse!$AX391</f>
        <v>D. Gomez</v>
      </c>
      <c r="P14" s="443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[23]Brewhouse!$A392</f>
        <v>CA288</v>
      </c>
      <c r="D15" s="279">
        <f>[23]Brewhouse!$AF392</f>
        <v>54.5</v>
      </c>
      <c r="E15" s="279">
        <f>[23]Brewhouse!$AI392</f>
        <v>50.8</v>
      </c>
      <c r="F15" s="278">
        <f>[23]Brewhouse!$V392</f>
        <v>59</v>
      </c>
      <c r="G15" s="279">
        <f>[23]Brewhouse!$AG392</f>
        <v>11.9</v>
      </c>
      <c r="H15" s="396">
        <v>11.9</v>
      </c>
      <c r="I15" s="368">
        <f>[23]Brewhouse!$AU392</f>
        <v>99.238971902138758</v>
      </c>
      <c r="J15" s="368">
        <f>[23]Brewhouse!$AV392</f>
        <v>100.84932718257996</v>
      </c>
      <c r="K15" s="281">
        <f>[23]Brewhouse!$Q392</f>
        <v>6.5724381625441666</v>
      </c>
      <c r="L15" s="276">
        <f>[23]Brewhouse!$P392</f>
        <v>62</v>
      </c>
      <c r="M15" s="397">
        <f>[23]Brewhouse!$U392-[23]Brewhouse!$T392</f>
        <v>0.1069444444444444</v>
      </c>
      <c r="N15" s="370">
        <f>[23]Brewhouse!$Z392</f>
        <v>0.24444444444444435</v>
      </c>
      <c r="O15" s="371" t="str">
        <f>[23]Brewhouse!$AX392</f>
        <v>D. Gomez</v>
      </c>
      <c r="P15" s="443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[23]Brewhouse!$A393</f>
        <v>CA289</v>
      </c>
      <c r="D16" s="279">
        <f>[23]Brewhouse!$AF393</f>
        <v>54.8</v>
      </c>
      <c r="E16" s="279">
        <f>[23]Brewhouse!$AI393</f>
        <v>51.2</v>
      </c>
      <c r="F16" s="278">
        <f>[23]Brewhouse!$V393</f>
        <v>60</v>
      </c>
      <c r="G16" s="279">
        <f>[23]Brewhouse!$AG393</f>
        <v>11.9</v>
      </c>
      <c r="H16" s="396">
        <v>11.8</v>
      </c>
      <c r="I16" s="368">
        <f>[23]Brewhouse!$AU393</f>
        <v>99.040551339905747</v>
      </c>
      <c r="J16" s="368">
        <f>[23]Brewhouse!$AV393</f>
        <v>100.64838121706174</v>
      </c>
      <c r="K16" s="281">
        <f>[23]Brewhouse!$Q393</f>
        <v>5.8761061946902657</v>
      </c>
      <c r="L16" s="276">
        <f>[23]Brewhouse!$P393</f>
        <v>61</v>
      </c>
      <c r="M16" s="397">
        <f>[23]Brewhouse!$U393-[23]Brewhouse!$T393</f>
        <v>0.10486111111111107</v>
      </c>
      <c r="N16" s="370">
        <f>[23]Brewhouse!$Z393</f>
        <v>0.24652777777777779</v>
      </c>
      <c r="O16" s="371" t="str">
        <f>[23]Brewhouse!$AX393</f>
        <v>D. Gomez</v>
      </c>
      <c r="P16" s="443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29" t="s">
        <v>6</v>
      </c>
      <c r="C17" s="366" t="str">
        <f>[23]Brewhouse!$A394</f>
        <v>CA290</v>
      </c>
      <c r="D17" s="279">
        <f>[23]Brewhouse!$AF394</f>
        <v>54.8</v>
      </c>
      <c r="E17" s="279">
        <f>[23]Brewhouse!$AI394</f>
        <v>51.3</v>
      </c>
      <c r="F17" s="278">
        <f>[23]Brewhouse!$V394</f>
        <v>59</v>
      </c>
      <c r="G17" s="279">
        <f>[23]Brewhouse!$AG394</f>
        <v>11.8</v>
      </c>
      <c r="H17" s="396">
        <v>11.8</v>
      </c>
      <c r="I17" s="368">
        <f>[23]Brewhouse!$AU394</f>
        <v>98.963144227374542</v>
      </c>
      <c r="J17" s="368">
        <f>[23]Brewhouse!$AV394</f>
        <v>100.56928542895204</v>
      </c>
      <c r="K17" s="281">
        <f>[23]Brewhouse!$Q394</f>
        <v>6.263345195729543</v>
      </c>
      <c r="L17" s="276">
        <f>[23]Brewhouse!$P394</f>
        <v>62</v>
      </c>
      <c r="M17" s="397">
        <f>[23]Brewhouse!$U394-[23]Brewhouse!$T394</f>
        <v>0.10902777777777772</v>
      </c>
      <c r="N17" s="370">
        <f>[23]Brewhouse!$Z394</f>
        <v>0.2597222222222223</v>
      </c>
      <c r="O17" s="371" t="str">
        <f>[23]Brewhouse!$AX394</f>
        <v>R. Regis</v>
      </c>
      <c r="P17" s="443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29" t="s">
        <v>6</v>
      </c>
      <c r="C18" s="366" t="str">
        <f>[23]Brewhouse!$A395</f>
        <v>CA291</v>
      </c>
      <c r="D18" s="279">
        <f>[23]Brewhouse!$AF395</f>
        <v>55</v>
      </c>
      <c r="E18" s="279">
        <f>[23]Brewhouse!$AI395</f>
        <v>51.5</v>
      </c>
      <c r="F18" s="278">
        <f>[23]Brewhouse!$V395</f>
        <v>66</v>
      </c>
      <c r="G18" s="279">
        <f>[23]Brewhouse!$AG395</f>
        <v>11.8</v>
      </c>
      <c r="H18" s="396">
        <v>11.7</v>
      </c>
      <c r="I18" s="368">
        <f>[23]Brewhouse!$AU395</f>
        <v>99.471522456377443</v>
      </c>
      <c r="J18" s="368">
        <f>[23]Brewhouse!$AV395</f>
        <v>101.08582698415105</v>
      </c>
      <c r="K18" s="281">
        <f>[23]Brewhouse!$Q395</f>
        <v>5.3546099290780074</v>
      </c>
      <c r="L18" s="276">
        <f>[23]Brewhouse!$P395</f>
        <v>58</v>
      </c>
      <c r="M18" s="397">
        <f>[23]Brewhouse!$U395-[23]Brewhouse!$T395</f>
        <v>0.10972222222222228</v>
      </c>
      <c r="N18" s="370">
        <f>[23]Brewhouse!$Z395</f>
        <v>0.25069444444444444</v>
      </c>
      <c r="O18" s="371" t="str">
        <f>[23]Brewhouse!$AX395</f>
        <v>R. Regis</v>
      </c>
      <c r="P18" s="443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444"/>
      <c r="M19" s="397"/>
      <c r="N19" s="370"/>
      <c r="O19" s="371"/>
      <c r="P19" s="443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444"/>
      <c r="M20" s="397"/>
      <c r="N20" s="370"/>
      <c r="O20" s="371"/>
      <c r="P20" s="44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444"/>
      <c r="M21" s="397"/>
      <c r="N21" s="370"/>
      <c r="O21" s="371"/>
      <c r="P21" s="443"/>
      <c r="R21" s="277">
        <f t="shared" ref="R21:R29" si="9">B21</f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444"/>
      <c r="M22" s="397"/>
      <c r="N22" s="370"/>
      <c r="O22" s="371"/>
      <c r="P22" s="443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444"/>
      <c r="M23" s="397"/>
      <c r="N23" s="370"/>
      <c r="O23" s="371"/>
      <c r="P23" s="443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33"/>
      <c r="C24" s="366"/>
      <c r="D24" s="279"/>
      <c r="E24" s="279"/>
      <c r="F24" s="278"/>
      <c r="G24" s="279"/>
      <c r="H24" s="396"/>
      <c r="I24" s="434"/>
      <c r="J24" s="398"/>
      <c r="K24" s="276"/>
      <c r="L24" s="374"/>
      <c r="M24" s="397"/>
      <c r="N24" s="370"/>
      <c r="O24" s="371"/>
      <c r="P24" s="443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33"/>
      <c r="C25" s="366"/>
      <c r="D25" s="279"/>
      <c r="E25" s="279"/>
      <c r="F25" s="278"/>
      <c r="G25" s="279"/>
      <c r="H25" s="396"/>
      <c r="I25" s="434"/>
      <c r="J25" s="398"/>
      <c r="K25" s="276"/>
      <c r="L25" s="374"/>
      <c r="M25" s="397"/>
      <c r="N25" s="370"/>
      <c r="O25" s="371"/>
      <c r="P25" s="443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hidden="1" customHeight="1">
      <c r="B26" s="33"/>
      <c r="C26" s="366"/>
      <c r="D26" s="279"/>
      <c r="E26" s="279"/>
      <c r="F26" s="278"/>
      <c r="G26" s="279"/>
      <c r="H26" s="396"/>
      <c r="I26" s="434"/>
      <c r="J26" s="398"/>
      <c r="K26" s="276"/>
      <c r="L26" s="374"/>
      <c r="M26" s="397"/>
      <c r="N26" s="370"/>
      <c r="O26" s="371"/>
      <c r="P26" s="443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hidden="1" customHeight="1">
      <c r="B27" s="33"/>
      <c r="C27" s="366"/>
      <c r="D27" s="279"/>
      <c r="E27" s="279"/>
      <c r="F27" s="278"/>
      <c r="G27" s="279"/>
      <c r="H27" s="396"/>
      <c r="I27" s="434"/>
      <c r="J27" s="398"/>
      <c r="K27" s="276"/>
      <c r="L27" s="374"/>
      <c r="M27" s="397"/>
      <c r="N27" s="370"/>
      <c r="O27" s="371"/>
      <c r="P27" s="443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hidden="1" customHeight="1">
      <c r="B28" s="33"/>
      <c r="C28" s="366"/>
      <c r="D28" s="279"/>
      <c r="E28" s="279"/>
      <c r="F28" s="278"/>
      <c r="G28" s="279"/>
      <c r="H28" s="396"/>
      <c r="I28" s="434"/>
      <c r="J28" s="398"/>
      <c r="K28" s="276"/>
      <c r="L28" s="374"/>
      <c r="M28" s="397"/>
      <c r="N28" s="370"/>
      <c r="O28" s="371"/>
      <c r="P28" s="443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00" t="s">
        <v>34</v>
      </c>
      <c r="J29" s="500"/>
      <c r="K29" s="500"/>
      <c r="L29" s="500"/>
      <c r="M29" s="500"/>
      <c r="N29" s="500"/>
      <c r="O29" s="1"/>
      <c r="P29" s="12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" thickBot="1">
      <c r="B30" s="388" t="s">
        <v>145</v>
      </c>
      <c r="C30" s="388"/>
      <c r="D30" s="513" t="s">
        <v>35</v>
      </c>
      <c r="E30" s="514"/>
      <c r="F30" s="294"/>
      <c r="G30" s="294"/>
      <c r="H30" s="348"/>
      <c r="I30" s="24" t="s">
        <v>17</v>
      </c>
      <c r="J30" s="25" t="s">
        <v>36</v>
      </c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5" customHeight="1">
      <c r="A31" s="28"/>
      <c r="B31" s="539" t="s">
        <v>6</v>
      </c>
      <c r="C31" s="362" cm="1">
        <f t="array" ref="C31:C32">([23]Process!$D$341:$D$342)</f>
        <v>12</v>
      </c>
      <c r="D31" s="504">
        <v>11.92</v>
      </c>
      <c r="E31" s="493"/>
      <c r="F31" s="294"/>
      <c r="G31" s="294"/>
      <c r="H31" s="348"/>
      <c r="I31" s="29" t="s">
        <v>6</v>
      </c>
      <c r="J31" s="280">
        <f>AVERAGE(I10:I18)</f>
        <v>100.97713540670365</v>
      </c>
      <c r="K31" s="284">
        <f>COUNTA([23]Brewhouse!$A$341:$A$395)</f>
        <v>55</v>
      </c>
      <c r="L31" s="302">
        <f>AVERAGE([23]Brewhouse!$AU$341:$AU$346,[23]Brewhouse!$AU$348,[23]Brewhouse!$AU$349:$AU$395)</f>
        <v>99.272388348286199</v>
      </c>
      <c r="M31" s="302">
        <f>AVERAGE([23]Brewhouse!$AU$102:$AU$171,[23]Brewhouse!$AU$173:$AU$253,[23]Brewhouse!$AU$255:$AU$339,[23]Brewhouse!$AU$341:$AU$346,[23]Brewhouse!$AU$348,[23]Brewhouse!$AU$349:$AU$395)</f>
        <v>97.25080841549979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5" customHeight="1">
      <c r="A32" s="28"/>
      <c r="B32" s="540"/>
      <c r="C32" s="349">
        <v>12</v>
      </c>
      <c r="D32" s="505"/>
      <c r="E32" s="488"/>
      <c r="F32" s="294"/>
      <c r="G32" s="294"/>
      <c r="H32" s="348"/>
      <c r="I32" s="33" t="s">
        <v>9</v>
      </c>
      <c r="J32" s="280"/>
      <c r="K32" s="284">
        <f>COUNTA([24]Brewhouse!$A$142:$A$173)</f>
        <v>32</v>
      </c>
      <c r="L32" s="302">
        <f>AVERAGE([24]Brewhouse!$AS$142:$AS$173)</f>
        <v>98.895075134950076</v>
      </c>
      <c r="M32" s="302">
        <f>AVERAGE([24]Brewhouse!$AS$15:$AS$64,[24]Brewhouse!$AS$66:$AS$103,[24]Brewhouse!$AS$105:$AS$140,[24]Brewhouse!$AS$142:$AS$173)</f>
        <v>97.154691237649288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27" ht="14.7" customHeight="1">
      <c r="A33" s="28"/>
      <c r="B33" s="540"/>
      <c r="C33" s="349">
        <f>[23]Process!$D$348</f>
        <v>11.7</v>
      </c>
      <c r="D33" s="504">
        <v>11.91</v>
      </c>
      <c r="E33" s="493"/>
      <c r="F33" s="294"/>
      <c r="G33" s="294"/>
      <c r="H33" s="348"/>
      <c r="I33" s="34" t="s">
        <v>12</v>
      </c>
      <c r="J33" s="280"/>
      <c r="K33" s="284">
        <f>COUNTA([22]Brewhouse!$A$38:$A$45)</f>
        <v>8</v>
      </c>
      <c r="L33" s="302">
        <f>AVERAGE([22]Brewhouse!$AU$37:$AU$45)</f>
        <v>98.090293320814979</v>
      </c>
      <c r="M33" s="302">
        <f>AVERAGE([22]Brewhouse!$AU$4:$AU$7,[22]Brewhouse!$AU$9:$AU$22,[22]Brewhouse!$AU$24:$AU$35,[22]Brewhouse!$AU$37:$AU$45)</f>
        <v>97.086748546217066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27" ht="14.7" customHeight="1">
      <c r="A34" s="28"/>
      <c r="B34" s="540"/>
      <c r="C34" s="349">
        <f>[23]Process!$D$345</f>
        <v>11.8</v>
      </c>
      <c r="D34" s="505"/>
      <c r="E34" s="488"/>
      <c r="F34" s="294"/>
      <c r="G34" s="294"/>
      <c r="H34" s="348"/>
      <c r="I34" s="22" t="s">
        <v>33</v>
      </c>
      <c r="J34" s="280"/>
      <c r="K34" s="284">
        <f>COUNTA([25]Brewhouse!$A$26:$A$33)</f>
        <v>8</v>
      </c>
      <c r="L34" s="302">
        <f>AVERAGE([25]Brewhouse!$AV$26:$AV$33)</f>
        <v>99.61038006330628</v>
      </c>
      <c r="M34" s="302">
        <f>AVERAGE([25]Brewhouse!$AV$5:$AV$14,[25]Brewhouse!$AV$16:$AV$19,[25]Brewhouse!$AV$21:$AV$24,[25]Brewhouse!$AV$26:$AV$33)</f>
        <v>98.921974778040592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27" ht="14.7" customHeight="1">
      <c r="A35" s="28"/>
      <c r="B35" s="540"/>
      <c r="C35" s="349"/>
      <c r="D35" s="504">
        <v>11.66</v>
      </c>
      <c r="E35" s="493"/>
      <c r="F35" s="436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27" ht="14.7" customHeight="1">
      <c r="A36" s="28"/>
      <c r="B36" s="540"/>
      <c r="C36" s="349"/>
      <c r="D36" s="505"/>
      <c r="E36" s="488"/>
      <c r="F36" s="436"/>
      <c r="G36" s="294"/>
      <c r="H36" s="348"/>
      <c r="I36" s="36" t="s">
        <v>15</v>
      </c>
      <c r="J36" s="323"/>
      <c r="K36" s="284">
        <f>COUNTA([26]Brewhouse!$A$13:$A$16)</f>
        <v>4</v>
      </c>
      <c r="L36" s="302">
        <f>AVERAGE([26]Brewhouse!$AT$13:$AT$16)</f>
        <v>95.870696554126312</v>
      </c>
      <c r="M36" s="302">
        <f>AVERAGE([26]Brewhouse!$AT$4:$AT$11,[26]Brewhouse!$AT$13:$AT$16)</f>
        <v>95.165309917257005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27" ht="14.7" customHeight="1">
      <c r="A37" s="28"/>
      <c r="B37" s="540"/>
      <c r="C37" s="349"/>
      <c r="D37" s="504"/>
      <c r="E37" s="493"/>
      <c r="F37" s="436"/>
      <c r="G37" s="294"/>
      <c r="H37" s="348"/>
      <c r="I37" s="37" t="s">
        <v>16</v>
      </c>
      <c r="J37" s="323"/>
      <c r="K37" s="284">
        <f>COUNTA([27]Brewhouse!$A$31:$A$34)</f>
        <v>4</v>
      </c>
      <c r="L37" s="302">
        <f>AVERAGE([27]Brewhouse!$AY$31:$AY$34)</f>
        <v>98.653228650224236</v>
      </c>
      <c r="M37" s="302">
        <f>AVERAGE([27]Brewhouse!$AY$6:$AY$13,[27]Brewhouse!$AY$15:$AY$20,[27]Brewhouse!$AY$22:$AY$29,[27]Brewhouse!$AY$31:$AY$34)</f>
        <v>96.120888038911147</v>
      </c>
      <c r="N37" s="30">
        <v>98</v>
      </c>
      <c r="O37" s="11"/>
      <c r="P37" s="31" t="s">
        <v>41</v>
      </c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27" ht="14.7" customHeight="1">
      <c r="A38" s="28"/>
      <c r="B38" s="540"/>
      <c r="C38" s="349"/>
      <c r="D38" s="505"/>
      <c r="E38" s="488"/>
      <c r="F38" s="294"/>
      <c r="G38" s="294"/>
      <c r="H38" s="348"/>
      <c r="I38" s="412" t="s">
        <v>158</v>
      </c>
      <c r="J38" s="326"/>
      <c r="K38" s="284"/>
      <c r="L38" s="305"/>
      <c r="M38" s="305">
        <f>AVERAGE([28]Brewhouse!$AU$5:$AU$8)</f>
        <v>91.006888337619571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7" customHeight="1">
      <c r="A39" s="28"/>
      <c r="B39" s="540"/>
      <c r="C39" s="349"/>
      <c r="D39" s="504"/>
      <c r="E39" s="493"/>
      <c r="F39" s="294"/>
      <c r="G39" s="294"/>
      <c r="H39" s="348"/>
      <c r="I39" s="411" t="s">
        <v>157</v>
      </c>
      <c r="J39" s="326"/>
      <c r="K39" s="284"/>
      <c r="L39" s="305"/>
      <c r="M39" s="305"/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5" customHeight="1" thickBot="1">
      <c r="A40" s="28"/>
      <c r="B40" s="540"/>
      <c r="C40" s="349"/>
      <c r="D40" s="505"/>
      <c r="E40" s="488"/>
      <c r="F40" s="294"/>
      <c r="G40" s="294"/>
      <c r="H40" s="348"/>
      <c r="I40" s="407" t="s">
        <v>156</v>
      </c>
      <c r="J40" s="327"/>
      <c r="K40" s="408"/>
      <c r="L40" s="409"/>
      <c r="M40" s="409"/>
      <c r="N40" s="41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5" customHeight="1" thickBot="1">
      <c r="A41" s="28"/>
      <c r="B41" s="540"/>
      <c r="C41" s="349"/>
      <c r="D41" s="504"/>
      <c r="E41" s="493"/>
      <c r="F41" s="294"/>
      <c r="G41" s="294"/>
      <c r="H41" s="348"/>
      <c r="I41" s="1"/>
      <c r="J41" s="39"/>
      <c r="K41" s="405">
        <f>SUM(K31:K40)</f>
        <v>111</v>
      </c>
      <c r="L41" s="406">
        <f>((L31*K31)+(L32*K32)+(L33*K33)+(L34*K34)+(L35*K35)+(K38*L38)+(L36*K36)+(L37*K37)+(L40*K40))/(K41)</f>
        <v>98.957881543824485</v>
      </c>
      <c r="M41" s="406">
        <f>AVERAGE('[29]Jan 31st'!$L$65,'[30]Feb 28th'!$L$35,'[31]Mar. 31st'!$L$35,L41)</f>
        <v>97.280774503764448</v>
      </c>
      <c r="N41" s="4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5" thickBot="1">
      <c r="B42" s="553"/>
      <c r="C42" s="350"/>
      <c r="D42" s="505"/>
      <c r="E42" s="488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thickBot="1">
      <c r="B43" s="558"/>
      <c r="C43" s="362"/>
      <c r="D43" s="485"/>
      <c r="E43" s="486"/>
      <c r="F43" s="294"/>
      <c r="G43" s="42"/>
      <c r="H43" s="41"/>
      <c r="I43" s="42"/>
      <c r="J43" s="538" t="s">
        <v>129</v>
      </c>
      <c r="K43" s="538"/>
      <c r="L43" s="294"/>
      <c r="M43" s="294"/>
      <c r="N43" s="294"/>
      <c r="O43" s="294"/>
      <c r="P43" s="12"/>
    </row>
    <row r="44" spans="1:27" ht="13.5" customHeight="1" thickBot="1">
      <c r="B44" s="540"/>
      <c r="C44" s="349"/>
      <c r="D44" s="487"/>
      <c r="E44" s="488"/>
      <c r="F44" s="294"/>
      <c r="G44" s="42"/>
      <c r="H44" s="41"/>
      <c r="I44" s="42"/>
      <c r="J44" s="292" t="s">
        <v>17</v>
      </c>
      <c r="K44" s="293" t="s">
        <v>191</v>
      </c>
      <c r="L44" s="490" t="s">
        <v>136</v>
      </c>
      <c r="M44" s="490"/>
      <c r="N44" s="491"/>
      <c r="O44" s="294"/>
      <c r="P44" s="12"/>
    </row>
    <row r="45" spans="1:27" ht="15" customHeight="1" thickBot="1">
      <c r="B45" s="540"/>
      <c r="C45" s="349"/>
      <c r="D45" s="492"/>
      <c r="E45" s="493"/>
      <c r="F45" s="294"/>
      <c r="G45" s="42"/>
      <c r="H45" s="41"/>
      <c r="I45" s="42"/>
      <c r="J45" s="287" t="s">
        <v>6</v>
      </c>
      <c r="K45" s="324">
        <f>COUNTA(B10:B18)</f>
        <v>9</v>
      </c>
      <c r="L45" s="343" t="s">
        <v>37</v>
      </c>
      <c r="M45" s="307" t="s">
        <v>38</v>
      </c>
      <c r="N45" s="307" t="s">
        <v>84</v>
      </c>
      <c r="O45" s="294"/>
      <c r="P45" s="12"/>
    </row>
    <row r="46" spans="1:27" ht="15.75" customHeight="1" thickBot="1">
      <c r="B46" s="540"/>
      <c r="C46" s="349"/>
      <c r="D46" s="487"/>
      <c r="E46" s="488"/>
      <c r="F46" s="294"/>
      <c r="G46" s="42"/>
      <c r="H46" s="41"/>
      <c r="I46" s="42"/>
      <c r="J46" s="345" t="s">
        <v>9</v>
      </c>
      <c r="K46" s="324"/>
      <c r="L46" s="344">
        <f>AVERAGE('Apr. 1st'!L40,'Apr. 3rd'!L40,'Apr. 4th'!L40,'Apr. 7th '!L41,'Apr. 8th  '!L51,'Apr. 9th   '!L41,'Apr. 10th '!L49,'Apr. 11-12-13th'!L118,'Apr. 14th'!L118,'Apr. 15th'!L46,'Apr. 16th'!L46,'Apr. 17th-20th'!H99,'Apr. 17th-20th'!I99,'Apr. 17th-20th'!J99,'Apr. 17th-20th'!K99,1,K55)</f>
        <v>4.7104405398523053</v>
      </c>
      <c r="M46" s="325">
        <f>AVERAGE('[29]Jan 29th '!$M$70,'[30]Feb 28th'!$L$40,'[31]Mar. 31st'!$L$40,L46)</f>
        <v>6.1314443442320687</v>
      </c>
      <c r="N46" s="433">
        <v>9.1999999999999993</v>
      </c>
      <c r="O46" s="294"/>
      <c r="P46" s="12"/>
    </row>
    <row r="47" spans="1:27" ht="15" customHeight="1">
      <c r="B47" s="540"/>
      <c r="C47" s="349"/>
      <c r="D47" s="492"/>
      <c r="E47" s="493"/>
      <c r="F47" s="294"/>
      <c r="G47" s="42"/>
      <c r="H47" s="41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40"/>
      <c r="C48" s="349"/>
      <c r="D48" s="487"/>
      <c r="E48" s="488"/>
      <c r="F48" s="294"/>
      <c r="G48" s="42"/>
      <c r="H48" s="41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4.4">
      <c r="B49" s="540"/>
      <c r="C49" s="349"/>
      <c r="D49" s="492"/>
      <c r="E49" s="493"/>
      <c r="F49" s="294"/>
      <c r="G49" s="42"/>
      <c r="H49" s="41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4.4">
      <c r="B50" s="540"/>
      <c r="C50" s="349"/>
      <c r="D50" s="487"/>
      <c r="E50" s="488"/>
      <c r="F50" s="294"/>
      <c r="G50" s="42"/>
      <c r="H50" s="41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4.4">
      <c r="B51" s="540"/>
      <c r="C51" s="349"/>
      <c r="D51" s="494"/>
      <c r="E51" s="495"/>
      <c r="F51" s="294"/>
      <c r="G51" s="42"/>
      <c r="H51" s="41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" thickBot="1">
      <c r="B52" s="553"/>
      <c r="C52" s="350"/>
      <c r="D52" s="496"/>
      <c r="E52" s="497"/>
      <c r="F52" s="294"/>
      <c r="G52" s="42"/>
      <c r="H52" s="41"/>
      <c r="I52" s="42"/>
      <c r="J52" s="291" t="s">
        <v>148</v>
      </c>
      <c r="K52" s="324"/>
      <c r="L52" s="294"/>
      <c r="M52" s="294"/>
      <c r="N52" s="294"/>
      <c r="O52" s="294"/>
      <c r="P52" s="12"/>
      <c r="BC52" s="44"/>
      <c r="BD52" s="44"/>
    </row>
    <row r="53" spans="2:57" ht="17.7" customHeight="1" thickBot="1">
      <c r="B53" s="312" t="s">
        <v>139</v>
      </c>
      <c r="C53" s="313"/>
      <c r="D53" s="476">
        <f>AVERAGE(D31:E52)</f>
        <v>11.829999999999998</v>
      </c>
      <c r="E53" s="477"/>
      <c r="F53" s="294"/>
      <c r="G53" s="42"/>
      <c r="H53" s="41"/>
      <c r="I53" s="42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7" customHeight="1">
      <c r="B54" s="363"/>
      <c r="C54" s="364"/>
      <c r="D54" s="365"/>
      <c r="E54" s="365"/>
      <c r="F54" s="294"/>
      <c r="G54" s="42"/>
      <c r="H54" s="41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customHeight="1">
      <c r="B55" s="45"/>
      <c r="C55" s="11"/>
      <c r="D55" s="11"/>
      <c r="E55" s="46"/>
      <c r="F55" s="294"/>
      <c r="G55" s="42"/>
      <c r="H55" s="41"/>
      <c r="I55" s="42"/>
      <c r="J55" s="346" t="s">
        <v>130</v>
      </c>
      <c r="K55" s="324">
        <f>SUM(K45:K54)</f>
        <v>9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294"/>
      <c r="P56" s="334"/>
    </row>
    <row r="57" spans="2:57" ht="15" customHeight="1" thickBot="1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8"/>
      <c r="O57" s="48"/>
      <c r="P57" s="49"/>
    </row>
    <row r="58" spans="2:57" ht="15" customHeight="1" thickBot="1">
      <c r="B58" s="466" t="s">
        <v>17</v>
      </c>
      <c r="C58" s="466" t="s">
        <v>44</v>
      </c>
      <c r="D58" s="478" t="s">
        <v>45</v>
      </c>
      <c r="E58" s="480" t="s">
        <v>46</v>
      </c>
      <c r="F58" s="474" t="s">
        <v>47</v>
      </c>
      <c r="G58" s="464" t="s">
        <v>48</v>
      </c>
      <c r="H58" s="466" t="s">
        <v>49</v>
      </c>
      <c r="I58" s="466" t="s">
        <v>50</v>
      </c>
      <c r="J58" s="458" t="s">
        <v>28</v>
      </c>
      <c r="K58" s="470" t="s">
        <v>51</v>
      </c>
      <c r="L58" s="472" t="s">
        <v>52</v>
      </c>
      <c r="M58" s="458" t="s">
        <v>53</v>
      </c>
      <c r="N58" s="13"/>
      <c r="O58" s="13"/>
      <c r="P58" s="50"/>
    </row>
    <row r="59" spans="2:57" ht="28.5" customHeight="1" thickTop="1" thickBot="1">
      <c r="B59" s="467"/>
      <c r="C59" s="467"/>
      <c r="D59" s="479"/>
      <c r="E59" s="481"/>
      <c r="F59" s="475"/>
      <c r="G59" s="465"/>
      <c r="H59" s="467"/>
      <c r="I59" s="467"/>
      <c r="J59" s="459"/>
      <c r="K59" s="471"/>
      <c r="L59" s="473"/>
      <c r="M59" s="459"/>
      <c r="N59" s="13"/>
      <c r="O59" s="13"/>
      <c r="P59" s="50"/>
      <c r="Q59" s="355"/>
      <c r="AB59" s="51">
        <v>43474</v>
      </c>
      <c r="AC59" s="51">
        <v>43475</v>
      </c>
      <c r="AD59" s="51">
        <v>43476</v>
      </c>
      <c r="AE59" s="51">
        <v>43477</v>
      </c>
      <c r="AF59" s="51">
        <v>43478</v>
      </c>
      <c r="AG59" s="51">
        <v>43479</v>
      </c>
      <c r="AH59" s="51">
        <v>43480</v>
      </c>
      <c r="AI59" s="51">
        <v>43481</v>
      </c>
      <c r="AJ59" s="51">
        <v>43482</v>
      </c>
      <c r="AK59" s="51">
        <v>43483</v>
      </c>
      <c r="AL59" s="51">
        <v>43484</v>
      </c>
      <c r="AM59" s="51">
        <v>43485</v>
      </c>
      <c r="AN59" s="51">
        <v>43486</v>
      </c>
      <c r="AO59" s="51">
        <v>43487</v>
      </c>
      <c r="AP59" s="51">
        <v>43488</v>
      </c>
      <c r="AQ59" s="51">
        <v>43489</v>
      </c>
      <c r="AR59" s="51">
        <v>43490</v>
      </c>
      <c r="AS59" s="51">
        <v>43491</v>
      </c>
      <c r="AT59" s="51">
        <v>43492</v>
      </c>
      <c r="AU59" s="51">
        <v>43493</v>
      </c>
      <c r="AV59" s="51">
        <v>43494</v>
      </c>
      <c r="AW59" s="51">
        <v>43495</v>
      </c>
      <c r="AX59" s="51">
        <v>43496</v>
      </c>
    </row>
    <row r="60" spans="2:57" s="54" customFormat="1" ht="59.25" customHeight="1">
      <c r="B60" s="415" t="str">
        <f>J45</f>
        <v>CARIB</v>
      </c>
      <c r="C60" s="283">
        <v>45769</v>
      </c>
      <c r="D60" s="377">
        <f>[32]April_2025!$Y$3</f>
        <v>148.30000000000001</v>
      </c>
      <c r="E60" s="378"/>
      <c r="F60" s="379"/>
      <c r="G60" s="303">
        <f>[32]April_2025!$Y$7</f>
        <v>177.3</v>
      </c>
      <c r="H60" s="320"/>
      <c r="I60" s="322"/>
      <c r="J60" s="360" t="s">
        <v>150</v>
      </c>
      <c r="K60" s="416">
        <f>[33]April_2025!$Y$18</f>
        <v>0.62210526315789483</v>
      </c>
      <c r="L60" s="314">
        <f>(((D60+E60)-G60)/(D60+E60))*100</f>
        <v>-19.554956169925823</v>
      </c>
      <c r="M60" s="423" t="s">
        <v>200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9"/>
      <c r="AC60" s="279"/>
      <c r="AD60" s="279"/>
      <c r="AE60" s="279"/>
      <c r="AF60" s="279"/>
      <c r="AG60" s="279"/>
      <c r="AH60" s="279"/>
      <c r="AI60" s="279"/>
      <c r="AJ60" s="279"/>
      <c r="AK60" s="279"/>
      <c r="AL60" s="279"/>
      <c r="AM60" s="279"/>
      <c r="AN60" s="279"/>
      <c r="AO60" s="279"/>
      <c r="AP60" s="279"/>
      <c r="AQ60" s="279"/>
      <c r="AR60" s="279"/>
      <c r="AS60" s="279"/>
      <c r="AT60" s="279"/>
      <c r="AU60" s="279"/>
      <c r="AV60" s="279"/>
      <c r="AW60" s="279"/>
    </row>
    <row r="61" spans="2:57" s="54" customFormat="1">
      <c r="B61" s="415"/>
      <c r="C61" s="283"/>
      <c r="D61" s="377"/>
      <c r="E61" s="378"/>
      <c r="F61" s="379"/>
      <c r="G61" s="303"/>
      <c r="H61" s="320"/>
      <c r="I61" s="322"/>
      <c r="J61" s="398"/>
      <c r="K61" s="286"/>
      <c r="L61" s="314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20"/>
      <c r="AC61" s="420"/>
      <c r="AD61" s="420"/>
      <c r="AE61" s="420"/>
      <c r="AF61" s="420"/>
      <c r="AG61" s="420"/>
      <c r="AH61" s="420"/>
      <c r="AI61" s="420"/>
      <c r="AJ61" s="420"/>
      <c r="AK61" s="420"/>
      <c r="AL61" s="420"/>
      <c r="AM61" s="420"/>
      <c r="AN61" s="420"/>
      <c r="AO61" s="420"/>
      <c r="AP61" s="420"/>
      <c r="AQ61" s="420"/>
      <c r="AR61" s="420"/>
      <c r="AS61" s="420"/>
      <c r="AT61" s="420"/>
      <c r="AU61" s="420"/>
      <c r="AV61" s="420"/>
      <c r="AW61" s="420"/>
    </row>
    <row r="62" spans="2:57" s="54" customFormat="1" ht="59.25" hidden="1" customHeight="1">
      <c r="B62" s="415"/>
      <c r="C62" s="283"/>
      <c r="D62" s="377"/>
      <c r="E62" s="378"/>
      <c r="F62" s="379"/>
      <c r="G62" s="303"/>
      <c r="H62" s="320"/>
      <c r="I62" s="322"/>
      <c r="J62" s="398"/>
      <c r="K62" s="286"/>
      <c r="L62" s="314"/>
      <c r="M62" s="423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20"/>
      <c r="AC62" s="420"/>
      <c r="AD62" s="420"/>
      <c r="AE62" s="420"/>
      <c r="AF62" s="420"/>
      <c r="AG62" s="420"/>
      <c r="AH62" s="420"/>
      <c r="AI62" s="420"/>
      <c r="AJ62" s="420"/>
      <c r="AK62" s="420"/>
      <c r="AL62" s="420"/>
      <c r="AM62" s="420"/>
      <c r="AN62" s="420"/>
      <c r="AO62" s="420"/>
      <c r="AP62" s="420"/>
      <c r="AQ62" s="420"/>
      <c r="AR62" s="420"/>
      <c r="AS62" s="420"/>
      <c r="AT62" s="420"/>
      <c r="AU62" s="420"/>
      <c r="AV62" s="420"/>
      <c r="AW62" s="420"/>
    </row>
    <row r="63" spans="2:57" s="54" customFormat="1">
      <c r="B63" s="387"/>
      <c r="C63" s="283"/>
      <c r="D63" s="279"/>
      <c r="E63" s="279"/>
      <c r="F63" s="279"/>
      <c r="G63" s="279"/>
      <c r="H63" s="320"/>
      <c r="I63" s="322"/>
      <c r="J63" s="281"/>
      <c r="K63" s="417"/>
      <c r="L63" s="314"/>
      <c r="M63" s="42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[20]January_2019!L8</f>
        <v>1.0028070175438597</v>
      </c>
      <c r="AC63" s="57">
        <f>[20]January_2019!M8</f>
        <v>1.7828070175438597</v>
      </c>
      <c r="AD63" s="57" t="e">
        <f>[20]January_2019!N8</f>
        <v>#DIV/0!</v>
      </c>
      <c r="AE63" s="57" t="e">
        <f>[20]January_2019!O8</f>
        <v>#DIV/0!</v>
      </c>
      <c r="AF63" s="57">
        <f>[20]January_2019!P8</f>
        <v>0.19222222222222221</v>
      </c>
      <c r="AG63" s="57">
        <f>[20]January_2019!Q8</f>
        <v>0.52219298245614032</v>
      </c>
      <c r="AH63" s="57">
        <f>[20]January_2019!R8</f>
        <v>0.42912280701754385</v>
      </c>
      <c r="AI63" s="57" t="e">
        <f>[20]January_2019!S8</f>
        <v>#DIV/0!</v>
      </c>
      <c r="AJ63" s="57">
        <f>[20]January_2019!T8</f>
        <v>1.0340350877192983</v>
      </c>
      <c r="AK63" s="57">
        <f>[20]January_2019!U8</f>
        <v>0.98421052631578942</v>
      </c>
      <c r="AL63" s="57" t="e">
        <f>[20]January_2019!V8</f>
        <v>#DIV/0!</v>
      </c>
      <c r="AM63" s="57" t="e">
        <f>[20]January_2019!W8</f>
        <v>#DIV/0!</v>
      </c>
      <c r="AN63" s="57">
        <f>[20]January_2019!X8</f>
        <v>0.66052631578947374</v>
      </c>
      <c r="AO63" s="57">
        <f>[20]January_2019!Y8</f>
        <v>1.0375438596491227</v>
      </c>
      <c r="AP63" s="57">
        <f>[20]January_2019!Z8</f>
        <v>0.90456140350877201</v>
      </c>
      <c r="AQ63" s="57">
        <f>[20]January_2019!AA8</f>
        <v>1.0217543859649123</v>
      </c>
      <c r="AR63" s="57">
        <f>[20]January_2019!AB8</f>
        <v>0.65614035087719302</v>
      </c>
      <c r="AS63" s="57" t="e">
        <f>[20]January_2019!AC8</f>
        <v>#DIV/0!</v>
      </c>
      <c r="AT63" s="57" t="e">
        <f>[20]January_2019!AD8</f>
        <v>#DIV/0!</v>
      </c>
      <c r="AU63" s="57">
        <f>[20]January_2019!AE8</f>
        <v>1.7021052631578948</v>
      </c>
      <c r="AV63" s="57">
        <f>[20]January_2019!AF8</f>
        <v>0.60192982456140354</v>
      </c>
      <c r="AW63" s="57">
        <f>[20]January_2019!AG8</f>
        <v>1.4870175438596491</v>
      </c>
      <c r="AX63" s="277" t="e">
        <f>[20]January_2019!AH8</f>
        <v>#DIV/0!</v>
      </c>
      <c r="AY63" s="277"/>
      <c r="AZ63" s="277"/>
      <c r="BA63" s="277"/>
      <c r="BB63" s="277"/>
      <c r="BC63" s="277"/>
      <c r="BD63" s="277"/>
      <c r="BE63" s="277"/>
    </row>
    <row r="64" spans="2:57" ht="58.5" hidden="1" customHeight="1" thickBot="1">
      <c r="B64" s="426"/>
      <c r="C64" s="427"/>
      <c r="D64" s="428"/>
      <c r="E64" s="428"/>
      <c r="F64" s="428"/>
      <c r="G64" s="428"/>
      <c r="H64" s="429"/>
      <c r="I64" s="430"/>
      <c r="J64" s="390"/>
      <c r="K64" s="431"/>
      <c r="L64" s="432"/>
      <c r="M64" s="424"/>
      <c r="N64" s="13"/>
      <c r="O64" s="13"/>
      <c r="P64" s="56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6"/>
      <c r="P65" s="60"/>
    </row>
    <row r="66" spans="2:16" ht="14.4" thickBot="1">
      <c r="B66" s="460" t="s">
        <v>55</v>
      </c>
      <c r="C66" s="461"/>
      <c r="D66" s="461"/>
      <c r="E66" s="461"/>
      <c r="F66" s="462"/>
      <c r="G66" s="460" t="s">
        <v>56</v>
      </c>
      <c r="H66" s="461"/>
      <c r="I66" s="461"/>
      <c r="J66" s="462"/>
      <c r="K66" s="460" t="s">
        <v>51</v>
      </c>
      <c r="L66" s="461"/>
      <c r="M66" s="461"/>
      <c r="N66" s="463"/>
      <c r="O66" s="56"/>
      <c r="P66" s="50"/>
    </row>
    <row r="67" spans="2:16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>
      <c r="B68" s="29" t="s">
        <v>6</v>
      </c>
      <c r="C68" s="65">
        <f>L60</f>
        <v>-19.554956169925823</v>
      </c>
      <c r="D68" s="76">
        <v>6.8162461115558459</v>
      </c>
      <c r="E68" s="76">
        <v>6.9511047986919161</v>
      </c>
      <c r="F68" s="66">
        <v>4.8</v>
      </c>
      <c r="G68" s="65">
        <f>[32]April_2025!$Y$11</f>
        <v>-19.073656024314197</v>
      </c>
      <c r="H68" s="76">
        <v>5.7023846553087019</v>
      </c>
      <c r="I68" s="76">
        <v>7.3405289920717642</v>
      </c>
      <c r="J68" s="66">
        <v>4.8</v>
      </c>
      <c r="K68" s="67">
        <f>K60</f>
        <v>0.62210526315789483</v>
      </c>
      <c r="L68" s="194">
        <v>0.72898245614035095</v>
      </c>
      <c r="M68" s="194">
        <v>0.76940873098603424</v>
      </c>
      <c r="N68" s="68">
        <v>1</v>
      </c>
      <c r="O68" s="56"/>
      <c r="P68" s="69"/>
    </row>
    <row r="69" spans="2:16">
      <c r="B69" s="33" t="s">
        <v>9</v>
      </c>
      <c r="C69" s="65"/>
      <c r="D69" s="76">
        <v>4.2450486263931086</v>
      </c>
      <c r="E69" s="76">
        <v>6.1155450770178703</v>
      </c>
      <c r="F69" s="66">
        <v>4.8</v>
      </c>
      <c r="G69" s="65"/>
      <c r="H69" s="76">
        <v>3.4141428210415596</v>
      </c>
      <c r="I69" s="76">
        <v>6.8230563423535244</v>
      </c>
      <c r="J69" s="66">
        <v>4.8</v>
      </c>
      <c r="K69" s="67"/>
      <c r="L69" s="194">
        <v>1.0079824561403508</v>
      </c>
      <c r="M69" s="194">
        <v>0.7648720776226775</v>
      </c>
      <c r="N69" s="68">
        <v>1</v>
      </c>
      <c r="P69" s="69"/>
    </row>
    <row r="70" spans="2:16">
      <c r="B70" s="34" t="s">
        <v>40</v>
      </c>
      <c r="C70" s="65"/>
      <c r="D70" s="76">
        <v>10.826844642195047</v>
      </c>
      <c r="E70" s="76">
        <v>13.125604223990466</v>
      </c>
      <c r="F70" s="66">
        <v>5.5</v>
      </c>
      <c r="G70" s="65"/>
      <c r="H70" s="76">
        <v>10.823247958374074</v>
      </c>
      <c r="I70" s="76">
        <v>13.879185403587476</v>
      </c>
      <c r="J70" s="66">
        <v>5.5</v>
      </c>
      <c r="K70" s="67"/>
      <c r="L70" s="194">
        <v>0.42192982456140349</v>
      </c>
      <c r="M70" s="194">
        <v>0.5124236387782205</v>
      </c>
      <c r="N70" s="68">
        <v>1</v>
      </c>
      <c r="P70" s="69"/>
    </row>
    <row r="71" spans="2:16">
      <c r="B71" s="22" t="s">
        <v>33</v>
      </c>
      <c r="C71" s="65"/>
      <c r="D71" s="76">
        <v>3.2321253672869714</v>
      </c>
      <c r="E71" s="76">
        <v>2.2218158544390558</v>
      </c>
      <c r="F71" s="66">
        <v>3.3</v>
      </c>
      <c r="G71" s="65"/>
      <c r="H71" s="76">
        <v>2.3924874613168265</v>
      </c>
      <c r="I71" s="76">
        <v>5.0359151649923692</v>
      </c>
      <c r="J71" s="66">
        <v>3.3</v>
      </c>
      <c r="K71" s="67"/>
      <c r="L71" s="194">
        <v>1.3866666666666667</v>
      </c>
      <c r="M71" s="194">
        <v>0.87880701754385959</v>
      </c>
      <c r="N71" s="68">
        <v>1</v>
      </c>
      <c r="P71" s="69"/>
    </row>
    <row r="72" spans="2:16">
      <c r="B72" s="35" t="s">
        <v>29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L72" s="194"/>
      <c r="M72" s="194"/>
      <c r="N72" s="68">
        <v>1</v>
      </c>
      <c r="P72" s="69"/>
    </row>
    <row r="73" spans="2:16">
      <c r="B73" s="36" t="s">
        <v>15</v>
      </c>
      <c r="C73" s="282"/>
      <c r="D73" s="76"/>
      <c r="E73" s="76">
        <v>8.7664670658682695</v>
      </c>
      <c r="F73" s="70">
        <f>[21]May_2022!$M$43</f>
        <v>3.4878406700073312</v>
      </c>
      <c r="G73" s="282"/>
      <c r="H73" s="76"/>
      <c r="I73" s="76">
        <v>10.607235567685406</v>
      </c>
      <c r="J73" s="66">
        <v>5.5</v>
      </c>
      <c r="K73" s="67"/>
      <c r="L73" s="194"/>
      <c r="M73" s="194">
        <v>0.66824561403508764</v>
      </c>
      <c r="N73" s="68">
        <v>1</v>
      </c>
      <c r="P73" s="69"/>
    </row>
    <row r="74" spans="2:16">
      <c r="B74" s="37" t="s">
        <v>16</v>
      </c>
      <c r="C74" s="65"/>
      <c r="D74" s="76">
        <v>0.38967364831952411</v>
      </c>
      <c r="E74" s="76">
        <v>1.85607294041028</v>
      </c>
      <c r="F74" s="66">
        <v>3.3</v>
      </c>
      <c r="G74" s="282"/>
      <c r="H74" s="76">
        <v>3.9053322254376623</v>
      </c>
      <c r="I74" s="76">
        <v>4.5764571827076486</v>
      </c>
      <c r="J74" s="66">
        <v>3.3</v>
      </c>
      <c r="K74" s="67"/>
      <c r="L74" s="194">
        <v>0.71754385964912282</v>
      </c>
      <c r="M74" s="194">
        <v>0.83594855305466242</v>
      </c>
      <c r="N74" s="71">
        <v>1</v>
      </c>
      <c r="P74" s="69"/>
    </row>
    <row r="75" spans="2:16" ht="14.4" thickBot="1">
      <c r="B75" s="38" t="s">
        <v>127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4.4" thickBot="1">
      <c r="B76" s="418" t="s">
        <v>162</v>
      </c>
      <c r="C76" s="65"/>
      <c r="D76" s="76"/>
      <c r="E76" s="76">
        <v>4.8792508624938291</v>
      </c>
      <c r="F76" s="66">
        <v>4.8</v>
      </c>
      <c r="G76" s="282"/>
      <c r="H76" s="76"/>
      <c r="I76" s="76">
        <v>6.2003723782925313</v>
      </c>
      <c r="J76" s="66">
        <v>4.8</v>
      </c>
      <c r="K76" s="67"/>
      <c r="L76" s="194">
        <v>0</v>
      </c>
      <c r="M76" s="194">
        <v>0.33859649122807017</v>
      </c>
      <c r="N76" s="71">
        <v>1</v>
      </c>
      <c r="O76" s="74"/>
      <c r="P76" s="75"/>
    </row>
    <row r="77" spans="2:16">
      <c r="D77" s="76">
        <v>5.4490089536394182</v>
      </c>
      <c r="E77" s="76">
        <v>6.6633305302909065</v>
      </c>
      <c r="F77" s="341">
        <v>5.5</v>
      </c>
      <c r="H77" s="76">
        <v>5.0476400728192345</v>
      </c>
      <c r="I77" s="76">
        <v>7.6125630949187366</v>
      </c>
      <c r="J77" s="341">
        <v>5.5</v>
      </c>
      <c r="K77" s="67"/>
      <c r="L77" s="194">
        <v>0.81458204334365325</v>
      </c>
      <c r="M77" s="194">
        <v>0.74750131329790481</v>
      </c>
      <c r="N77" s="386">
        <v>1</v>
      </c>
    </row>
    <row r="81" spans="6:6">
      <c r="F81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66:F66"/>
    <mergeCell ref="G66:J66"/>
    <mergeCell ref="K66:N66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982" priority="128" operator="notBetween">
      <formula>#REF!</formula>
      <formula>#REF!</formula>
    </cfRule>
  </conditionalFormatting>
  <conditionalFormatting sqref="C57">
    <cfRule type="cellIs" dxfId="981" priority="160" stopIfTrue="1" operator="greaterThan">
      <formula>100</formula>
    </cfRule>
    <cfRule type="cellIs" dxfId="980" priority="159" stopIfTrue="1" operator="lessThan">
      <formula>96</formula>
    </cfRule>
  </conditionalFormatting>
  <conditionalFormatting sqref="C68:C69">
    <cfRule type="cellIs" dxfId="979" priority="89" stopIfTrue="1" operator="lessThanOrEqual">
      <formula>0</formula>
    </cfRule>
  </conditionalFormatting>
  <conditionalFormatting sqref="C68:C72">
    <cfRule type="cellIs" dxfId="978" priority="88" stopIfTrue="1" operator="greaterThan">
      <formula>$F68</formula>
    </cfRule>
  </conditionalFormatting>
  <conditionalFormatting sqref="C69">
    <cfRule type="cellIs" dxfId="977" priority="163" stopIfTrue="1" operator="greaterThan">
      <formula>$F68</formula>
    </cfRule>
  </conditionalFormatting>
  <conditionalFormatting sqref="C70:C73">
    <cfRule type="cellIs" dxfId="976" priority="112" stopIfTrue="1" operator="lessThanOrEqual">
      <formula>0</formula>
    </cfRule>
  </conditionalFormatting>
  <conditionalFormatting sqref="C73">
    <cfRule type="cellIs" dxfId="975" priority="111" stopIfTrue="1" operator="greaterThan">
      <formula>$J73</formula>
    </cfRule>
  </conditionalFormatting>
  <conditionalFormatting sqref="C79:C83">
    <cfRule type="cellIs" dxfId="974" priority="151" stopIfTrue="1" operator="lessThanOrEqual">
      <formula>0</formula>
    </cfRule>
  </conditionalFormatting>
  <conditionalFormatting sqref="C80:C83">
    <cfRule type="cellIs" dxfId="973" priority="150" stopIfTrue="1" operator="greaterThan">
      <formula>$F$79</formula>
    </cfRule>
  </conditionalFormatting>
  <conditionalFormatting sqref="C85">
    <cfRule type="cellIs" dxfId="972" priority="152" stopIfTrue="1" operator="greaterThan">
      <formula>$F$79</formula>
    </cfRule>
    <cfRule type="cellIs" dxfId="971" priority="153" stopIfTrue="1" operator="lessThanOrEqual">
      <formula>0</formula>
    </cfRule>
  </conditionalFormatting>
  <conditionalFormatting sqref="C79:D79 D81:D87">
    <cfRule type="cellIs" dxfId="970" priority="145" stopIfTrue="1" operator="greaterThan">
      <formula>4.5</formula>
    </cfRule>
  </conditionalFormatting>
  <conditionalFormatting sqref="D53:D54">
    <cfRule type="cellIs" dxfId="969" priority="129" operator="notBetween">
      <formula>#REF!</formula>
      <formula>#REF!</formula>
    </cfRule>
  </conditionalFormatting>
  <conditionalFormatting sqref="D68:D75">
    <cfRule type="cellIs" dxfId="968" priority="122" stopIfTrue="1" operator="lessThanOrEqual">
      <formula>0</formula>
    </cfRule>
  </conditionalFormatting>
  <conditionalFormatting sqref="D76">
    <cfRule type="cellIs" dxfId="967" priority="121" stopIfTrue="1" operator="lessThanOrEqual">
      <formula>0</formula>
    </cfRule>
  </conditionalFormatting>
  <conditionalFormatting sqref="D79 D81:D87">
    <cfRule type="cellIs" dxfId="966" priority="146" stopIfTrue="1" operator="lessThanOrEqual">
      <formula>0</formula>
    </cfRule>
  </conditionalFormatting>
  <conditionalFormatting sqref="D80">
    <cfRule type="cellIs" dxfId="965" priority="137" stopIfTrue="1" operator="greaterThan">
      <formula>$F$79</formula>
    </cfRule>
    <cfRule type="cellIs" dxfId="964" priority="138" stopIfTrue="1" operator="lessThanOrEqual">
      <formula>0</formula>
    </cfRule>
  </conditionalFormatting>
  <conditionalFormatting sqref="D68:E77">
    <cfRule type="cellIs" dxfId="963" priority="85" stopIfTrue="1" operator="greaterThan">
      <formula>$F68</formula>
    </cfRule>
  </conditionalFormatting>
  <conditionalFormatting sqref="D77:E77">
    <cfRule type="cellIs" dxfId="962" priority="86" stopIfTrue="1" operator="lessThanOrEqual">
      <formula>0</formula>
    </cfRule>
  </conditionalFormatting>
  <conditionalFormatting sqref="E10:E28">
    <cfRule type="cellIs" dxfId="961" priority="26" operator="lessThan">
      <formula>48</formula>
    </cfRule>
  </conditionalFormatting>
  <conditionalFormatting sqref="E56 E57:F57">
    <cfRule type="cellIs" dxfId="960" priority="142" stopIfTrue="1" operator="greaterThan">
      <formula>100</formula>
    </cfRule>
  </conditionalFormatting>
  <conditionalFormatting sqref="E57">
    <cfRule type="cellIs" dxfId="959" priority="140" stopIfTrue="1" operator="greaterThan">
      <formula>100</formula>
    </cfRule>
    <cfRule type="cellIs" dxfId="958" priority="139" stopIfTrue="1" operator="lessThan">
      <formula>96.8</formula>
    </cfRule>
  </conditionalFormatting>
  <conditionalFormatting sqref="E68:E76">
    <cfRule type="cellIs" dxfId="957" priority="116" stopIfTrue="1" operator="lessThanOrEqual">
      <formula>0</formula>
    </cfRule>
  </conditionalFormatting>
  <conditionalFormatting sqref="E79:E87">
    <cfRule type="cellIs" dxfId="956" priority="132" stopIfTrue="1" operator="lessThanOrEqual">
      <formula>0</formula>
    </cfRule>
    <cfRule type="cellIs" dxfId="955" priority="131" stopIfTrue="1" operator="greaterThan">
      <formula>4.5</formula>
    </cfRule>
  </conditionalFormatting>
  <conditionalFormatting sqref="E57:F57 E56">
    <cfRule type="cellIs" dxfId="954" priority="141" stopIfTrue="1" operator="lessThan">
      <formula>96.5</formula>
    </cfRule>
  </conditionalFormatting>
  <conditionalFormatting sqref="F10:F28">
    <cfRule type="cellIs" dxfId="953" priority="27" operator="greaterThan">
      <formula>60</formula>
    </cfRule>
  </conditionalFormatting>
  <conditionalFormatting sqref="F57">
    <cfRule type="cellIs" dxfId="952" priority="158" stopIfTrue="1" operator="greaterThan">
      <formula>100</formula>
    </cfRule>
    <cfRule type="cellIs" dxfId="951" priority="157" stopIfTrue="1" operator="lessThan">
      <formula>96.8</formula>
    </cfRule>
  </conditionalFormatting>
  <conditionalFormatting sqref="F77">
    <cfRule type="cellIs" dxfId="950" priority="117" stopIfTrue="1" operator="greaterThan">
      <formula>$F77</formula>
    </cfRule>
    <cfRule type="cellIs" dxfId="949" priority="118" stopIfTrue="1" operator="lessThanOrEqual">
      <formula>0</formula>
    </cfRule>
  </conditionalFormatting>
  <conditionalFormatting sqref="G10:G28">
    <cfRule type="expression" dxfId="948" priority="25">
      <formula>IF(+(IF(G10&lt;#REF!,0,IF(G10&gt;#REF!,0,1)))=0,1)</formula>
    </cfRule>
  </conditionalFormatting>
  <conditionalFormatting sqref="G68:G69 C74:C76">
    <cfRule type="cellIs" dxfId="947" priority="123" stopIfTrue="1" operator="greaterThan">
      <formula>$F68</formula>
    </cfRule>
    <cfRule type="cellIs" dxfId="946" priority="124" stopIfTrue="1" operator="lessThanOrEqual">
      <formula>0</formula>
    </cfRule>
  </conditionalFormatting>
  <conditionalFormatting sqref="G68:G69">
    <cfRule type="cellIs" dxfId="945" priority="90" stopIfTrue="1" operator="greaterThan">
      <formula>$F68</formula>
    </cfRule>
    <cfRule type="cellIs" dxfId="944" priority="91" stopIfTrue="1" operator="lessThanOrEqual">
      <formula>0</formula>
    </cfRule>
  </conditionalFormatting>
  <conditionalFormatting sqref="G70">
    <cfRule type="cellIs" dxfId="943" priority="161" stopIfTrue="1" operator="greaterThan">
      <formula>$F69</formula>
    </cfRule>
    <cfRule type="cellIs" dxfId="942" priority="162" stopIfTrue="1" operator="lessThanOrEqual">
      <formula>0</formula>
    </cfRule>
  </conditionalFormatting>
  <conditionalFormatting sqref="G71">
    <cfRule type="cellIs" dxfId="941" priority="120" stopIfTrue="1" operator="lessThanOrEqual">
      <formula>0</formula>
    </cfRule>
    <cfRule type="cellIs" dxfId="940" priority="119" stopIfTrue="1" operator="greaterThan">
      <formula>$F71</formula>
    </cfRule>
  </conditionalFormatting>
  <conditionalFormatting sqref="G72:G76">
    <cfRule type="cellIs" dxfId="939" priority="125" stopIfTrue="1" operator="greaterThan">
      <formula>$J72</formula>
    </cfRule>
    <cfRule type="cellIs" dxfId="938" priority="126" stopIfTrue="1" operator="lessThanOrEqual">
      <formula>0</formula>
    </cfRule>
  </conditionalFormatting>
  <conditionalFormatting sqref="G81:G86 C84 C86">
    <cfRule type="cellIs" dxfId="937" priority="154" stopIfTrue="1" operator="greaterThan">
      <formula>4.5</formula>
    </cfRule>
    <cfRule type="cellIs" dxfId="936" priority="155" stopIfTrue="1" operator="lessThanOrEqual">
      <formula>0</formula>
    </cfRule>
  </conditionalFormatting>
  <conditionalFormatting sqref="G80:H80">
    <cfRule type="cellIs" dxfId="935" priority="135" stopIfTrue="1" operator="greaterThan">
      <formula>$F$79</formula>
    </cfRule>
    <cfRule type="cellIs" dxfId="934" priority="136" stopIfTrue="1" operator="lessThanOrEqual">
      <formula>0</formula>
    </cfRule>
  </conditionalFormatting>
  <conditionalFormatting sqref="H10:H18">
    <cfRule type="expression" dxfId="933" priority="1">
      <formula>IF(+(IF(H10&lt;#REF!,0,IF(H10&gt;#REF!,0,1)))=0,1)</formula>
    </cfRule>
  </conditionalFormatting>
  <conditionalFormatting sqref="H19:H28">
    <cfRule type="expression" dxfId="932" priority="29">
      <formula>IF(+(IF(H19&lt;T19,0,IF(H19&gt;U19,0,1)))=0,1)</formula>
    </cfRule>
  </conditionalFormatting>
  <conditionalFormatting sqref="H42:H56">
    <cfRule type="cellIs" dxfId="931" priority="133" stopIfTrue="1" operator="greaterThan">
      <formula>0</formula>
    </cfRule>
  </conditionalFormatting>
  <conditionalFormatting sqref="H60">
    <cfRule type="cellIs" dxfId="930" priority="3" stopIfTrue="1" operator="lessThanOrEqual">
      <formula>0</formula>
    </cfRule>
    <cfRule type="cellIs" dxfId="929" priority="4" stopIfTrue="1" operator="greaterThan">
      <formula>#REF!</formula>
    </cfRule>
    <cfRule type="cellIs" dxfId="928" priority="14" stopIfTrue="1" operator="greaterThan">
      <formula>#REF!</formula>
    </cfRule>
    <cfRule type="cellIs" dxfId="927" priority="15" stopIfTrue="1" operator="lessThanOrEqual">
      <formula>0</formula>
    </cfRule>
  </conditionalFormatting>
  <conditionalFormatting sqref="H61:H62">
    <cfRule type="cellIs" dxfId="926" priority="67" stopIfTrue="1" operator="greaterThan">
      <formula>$F$44</formula>
    </cfRule>
    <cfRule type="cellIs" dxfId="925" priority="70" stopIfTrue="1" operator="lessThanOrEqual">
      <formula>0</formula>
    </cfRule>
    <cfRule type="cellIs" dxfId="924" priority="59" stopIfTrue="1" operator="greaterThan">
      <formula>$F$41</formula>
    </cfRule>
    <cfRule type="cellIs" dxfId="923" priority="68" stopIfTrue="1" operator="lessThanOrEqual">
      <formula>0</formula>
    </cfRule>
    <cfRule type="cellIs" dxfId="922" priority="69" stopIfTrue="1" operator="greaterThan">
      <formula>$F$42</formula>
    </cfRule>
    <cfRule type="cellIs" dxfId="921" priority="44" stopIfTrue="1" operator="lessThanOrEqual">
      <formula>0</formula>
    </cfRule>
  </conditionalFormatting>
  <conditionalFormatting sqref="H63">
    <cfRule type="cellIs" dxfId="920" priority="105" stopIfTrue="1" operator="greaterThan">
      <formula>$F$70</formula>
    </cfRule>
    <cfRule type="cellIs" dxfId="919" priority="97" stopIfTrue="1" operator="greaterThan">
      <formula>$F$67</formula>
    </cfRule>
    <cfRule type="cellIs" dxfId="918" priority="96" stopIfTrue="1" operator="lessThanOrEqual">
      <formula>0</formula>
    </cfRule>
    <cfRule type="cellIs" dxfId="917" priority="108" stopIfTrue="1" operator="lessThanOrEqual">
      <formula>0</formula>
    </cfRule>
    <cfRule type="cellIs" dxfId="916" priority="107" stopIfTrue="1" operator="greaterThan">
      <formula>$F$68</formula>
    </cfRule>
    <cfRule type="cellIs" dxfId="915" priority="106" stopIfTrue="1" operator="lessThanOrEqual">
      <formula>0</formula>
    </cfRule>
  </conditionalFormatting>
  <conditionalFormatting sqref="H64">
    <cfRule type="cellIs" dxfId="914" priority="55" stopIfTrue="1" operator="greaterThan">
      <formula>$F$44</formula>
    </cfRule>
    <cfRule type="cellIs" dxfId="913" priority="56" stopIfTrue="1" operator="lessThanOrEqual">
      <formula>0</formula>
    </cfRule>
    <cfRule type="cellIs" dxfId="912" priority="57" stopIfTrue="1" operator="greaterThan">
      <formula>$F$42</formula>
    </cfRule>
    <cfRule type="cellIs" dxfId="911" priority="58" stopIfTrue="1" operator="lessThanOrEqual">
      <formula>0</formula>
    </cfRule>
    <cfRule type="cellIs" dxfId="910" priority="47" stopIfTrue="1" operator="greaterThan">
      <formula>$F$41</formula>
    </cfRule>
    <cfRule type="cellIs" dxfId="909" priority="46" stopIfTrue="1" operator="lessThanOrEqual">
      <formula>0</formula>
    </cfRule>
  </conditionalFormatting>
  <conditionalFormatting sqref="H68:H75">
    <cfRule type="cellIs" dxfId="908" priority="110" stopIfTrue="1" operator="lessThanOrEqual">
      <formula>0</formula>
    </cfRule>
    <cfRule type="cellIs" dxfId="907" priority="109" stopIfTrue="1" operator="greaterThan">
      <formula>$J68</formula>
    </cfRule>
  </conditionalFormatting>
  <conditionalFormatting sqref="H76">
    <cfRule type="cellIs" dxfId="906" priority="113" operator="greaterThan">
      <formula>5.3</formula>
    </cfRule>
  </conditionalFormatting>
  <conditionalFormatting sqref="H79 H81:H87">
    <cfRule type="cellIs" dxfId="905" priority="147" stopIfTrue="1" operator="greaterThan">
      <formula>4.5</formula>
    </cfRule>
    <cfRule type="cellIs" dxfId="904" priority="148" stopIfTrue="1" operator="lessThanOrEqual">
      <formula>0</formula>
    </cfRule>
  </conditionalFormatting>
  <conditionalFormatting sqref="H60:I60">
    <cfRule type="cellIs" dxfId="903" priority="2" stopIfTrue="1" operator="greaterThan">
      <formula>#REF!</formula>
    </cfRule>
    <cfRule type="cellIs" dxfId="902" priority="5" stopIfTrue="1" operator="lessThanOrEqual">
      <formula>0</formula>
    </cfRule>
    <cfRule type="cellIs" dxfId="901" priority="10" stopIfTrue="1" operator="greaterThan">
      <formula>#REF!</formula>
    </cfRule>
    <cfRule type="cellIs" dxfId="900" priority="11" stopIfTrue="1" operator="lessThanOrEqual">
      <formula>0</formula>
    </cfRule>
  </conditionalFormatting>
  <conditionalFormatting sqref="H61:I62">
    <cfRule type="cellIs" dxfId="899" priority="60" stopIfTrue="1" operator="lessThanOrEqual">
      <formula>0</formula>
    </cfRule>
    <cfRule type="cellIs" dxfId="898" priority="43" stopIfTrue="1" operator="greaterThan">
      <formula>$F$43</formula>
    </cfRule>
  </conditionalFormatting>
  <conditionalFormatting sqref="H63:I63">
    <cfRule type="cellIs" dxfId="897" priority="98" stopIfTrue="1" operator="lessThanOrEqual">
      <formula>0</formula>
    </cfRule>
    <cfRule type="cellIs" dxfId="896" priority="95" stopIfTrue="1" operator="greaterThan">
      <formula>$F$69</formula>
    </cfRule>
  </conditionalFormatting>
  <conditionalFormatting sqref="H64:I64">
    <cfRule type="cellIs" dxfId="895" priority="48" stopIfTrue="1" operator="lessThanOrEqual">
      <formula>0</formula>
    </cfRule>
    <cfRule type="cellIs" dxfId="894" priority="45" stopIfTrue="1" operator="greaterThan">
      <formula>$F$43</formula>
    </cfRule>
  </conditionalFormatting>
  <conditionalFormatting sqref="H77:I77">
    <cfRule type="cellIs" dxfId="893" priority="83" stopIfTrue="1" operator="greaterThan">
      <formula>$J77</formula>
    </cfRule>
    <cfRule type="cellIs" dxfId="892" priority="84" stopIfTrue="1" operator="lessThanOrEqual">
      <formula>0</formula>
    </cfRule>
  </conditionalFormatting>
  <conditionalFormatting sqref="I60">
    <cfRule type="cellIs" dxfId="891" priority="9" stopIfTrue="1" operator="lessThanOrEqual">
      <formula>0</formula>
    </cfRule>
    <cfRule type="cellIs" dxfId="890" priority="8" stopIfTrue="1" operator="greaterThan">
      <formula>#REF!</formula>
    </cfRule>
    <cfRule type="cellIs" dxfId="889" priority="7" stopIfTrue="1" operator="lessThanOrEqual">
      <formula>0</formula>
    </cfRule>
    <cfRule type="cellIs" dxfId="888" priority="6" stopIfTrue="1" operator="greaterThan">
      <formula>#REF!</formula>
    </cfRule>
  </conditionalFormatting>
  <conditionalFormatting sqref="I61:I62">
    <cfRule type="cellIs" dxfId="887" priority="63" stopIfTrue="1" operator="greaterThan">
      <formula>$F$43</formula>
    </cfRule>
    <cfRule type="cellIs" dxfId="886" priority="62" stopIfTrue="1" operator="lessThanOrEqual">
      <formula>0</formula>
    </cfRule>
    <cfRule type="cellIs" dxfId="885" priority="61" stopIfTrue="1" operator="greaterThan">
      <formula>$F$41</formula>
    </cfRule>
    <cfRule type="cellIs" dxfId="884" priority="64" stopIfTrue="1" operator="lessThanOrEqual">
      <formula>0</formula>
    </cfRule>
    <cfRule type="cellIs" dxfId="883" priority="65" stopIfTrue="1" operator="greaterThan">
      <formula>$F$41</formula>
    </cfRule>
    <cfRule type="cellIs" dxfId="882" priority="66" stopIfTrue="1" operator="lessThanOrEqual">
      <formula>0</formula>
    </cfRule>
  </conditionalFormatting>
  <conditionalFormatting sqref="I63">
    <cfRule type="cellIs" dxfId="881" priority="99" stopIfTrue="1" operator="greaterThan">
      <formula>$F$67</formula>
    </cfRule>
    <cfRule type="cellIs" dxfId="880" priority="100" stopIfTrue="1" operator="lessThanOrEqual">
      <formula>0</formula>
    </cfRule>
    <cfRule type="cellIs" dxfId="879" priority="101" stopIfTrue="1" operator="greaterThan">
      <formula>$F$69</formula>
    </cfRule>
    <cfRule type="cellIs" dxfId="878" priority="103" stopIfTrue="1" operator="greaterThan">
      <formula>$F$67</formula>
    </cfRule>
    <cfRule type="cellIs" dxfId="877" priority="104" stopIfTrue="1" operator="lessThanOrEqual">
      <formula>0</formula>
    </cfRule>
    <cfRule type="cellIs" dxfId="876" priority="102" stopIfTrue="1" operator="lessThanOrEqual">
      <formula>0</formula>
    </cfRule>
  </conditionalFormatting>
  <conditionalFormatting sqref="I64">
    <cfRule type="cellIs" dxfId="875" priority="53" stopIfTrue="1" operator="greaterThan">
      <formula>$F$41</formula>
    </cfRule>
    <cfRule type="cellIs" dxfId="874" priority="54" stopIfTrue="1" operator="lessThanOrEqual">
      <formula>0</formula>
    </cfRule>
    <cfRule type="cellIs" dxfId="873" priority="52" stopIfTrue="1" operator="lessThanOrEqual">
      <formula>0</formula>
    </cfRule>
    <cfRule type="cellIs" dxfId="872" priority="51" stopIfTrue="1" operator="greaterThan">
      <formula>$F$43</formula>
    </cfRule>
    <cfRule type="cellIs" dxfId="871" priority="50" stopIfTrue="1" operator="lessThanOrEqual">
      <formula>0</formula>
    </cfRule>
    <cfRule type="cellIs" dxfId="870" priority="49" stopIfTrue="1" operator="greaterThan">
      <formula>$F$41</formula>
    </cfRule>
  </conditionalFormatting>
  <conditionalFormatting sqref="I68:I76">
    <cfRule type="cellIs" dxfId="869" priority="114" stopIfTrue="1" operator="greaterThan">
      <formula>$J68</formula>
    </cfRule>
    <cfRule type="cellIs" dxfId="868" priority="115" stopIfTrue="1" operator="lessThanOrEqual">
      <formula>0</formula>
    </cfRule>
  </conditionalFormatting>
  <conditionalFormatting sqref="I79:I87">
    <cfRule type="cellIs" dxfId="867" priority="144" stopIfTrue="1" operator="lessThanOrEqual">
      <formula>0</formula>
    </cfRule>
    <cfRule type="cellIs" dxfId="866" priority="143" stopIfTrue="1" operator="greaterThan">
      <formula>4.5</formula>
    </cfRule>
  </conditionalFormatting>
  <conditionalFormatting sqref="I10:J23 I24:I28">
    <cfRule type="cellIs" dxfId="865" priority="42" operator="lessThan">
      <formula>97.9</formula>
    </cfRule>
  </conditionalFormatting>
  <conditionalFormatting sqref="J24:J28">
    <cfRule type="cellIs" dxfId="864" priority="41" operator="greaterThan">
      <formula>6.4</formula>
    </cfRule>
    <cfRule type="cellIs" dxfId="863" priority="38" operator="lessThan">
      <formula>4</formula>
    </cfRule>
    <cfRule type="cellIs" dxfId="862" priority="37" operator="greaterThan">
      <formula>6</formula>
    </cfRule>
  </conditionalFormatting>
  <conditionalFormatting sqref="J31:J33">
    <cfRule type="cellIs" dxfId="861" priority="73" stopIfTrue="1" operator="lessThan">
      <formula>96.8</formula>
    </cfRule>
    <cfRule type="cellIs" dxfId="860" priority="74" stopIfTrue="1" operator="greaterThan">
      <formula>100</formula>
    </cfRule>
    <cfRule type="cellIs" dxfId="859" priority="75" operator="lessThan">
      <formula>98</formula>
    </cfRule>
  </conditionalFormatting>
  <conditionalFormatting sqref="J31:J35">
    <cfRule type="cellIs" dxfId="858" priority="72" operator="lessThan">
      <formula>97.4</formula>
    </cfRule>
  </conditionalFormatting>
  <conditionalFormatting sqref="J36">
    <cfRule type="cellIs" dxfId="857" priority="76" operator="lessThan">
      <formula>98</formula>
    </cfRule>
  </conditionalFormatting>
  <conditionalFormatting sqref="J37:J39">
    <cfRule type="cellIs" dxfId="856" priority="77" stopIfTrue="1" operator="lessThan">
      <formula>96.8</formula>
    </cfRule>
    <cfRule type="cellIs" dxfId="855" priority="78" stopIfTrue="1" operator="greaterThan">
      <formula>100</formula>
    </cfRule>
  </conditionalFormatting>
  <conditionalFormatting sqref="J37:J40">
    <cfRule type="cellIs" dxfId="854" priority="79" operator="lessThan">
      <formula>98</formula>
    </cfRule>
  </conditionalFormatting>
  <conditionalFormatting sqref="J77">
    <cfRule type="cellIs" dxfId="853" priority="81" stopIfTrue="1" operator="lessThanOrEqual">
      <formula>0</formula>
    </cfRule>
    <cfRule type="cellIs" dxfId="852" priority="80" stopIfTrue="1" operator="greaterThan">
      <formula>$F77</formula>
    </cfRule>
  </conditionalFormatting>
  <conditionalFormatting sqref="K10:K23">
    <cfRule type="cellIs" dxfId="851" priority="35" operator="greaterThan">
      <formula>6.4</formula>
    </cfRule>
    <cfRule type="cellIs" dxfId="850" priority="34" operator="lessThan">
      <formula>4</formula>
    </cfRule>
    <cfRule type="cellIs" dxfId="849" priority="33" operator="greaterThan">
      <formula>6</formula>
    </cfRule>
  </conditionalFormatting>
  <conditionalFormatting sqref="K24:K28">
    <cfRule type="cellIs" dxfId="848" priority="39" operator="between">
      <formula>61</formula>
      <formula>65</formula>
    </cfRule>
    <cfRule type="cellIs" dxfId="847" priority="40" operator="greaterThan">
      <formula>65</formula>
    </cfRule>
  </conditionalFormatting>
  <conditionalFormatting sqref="K45:K54">
    <cfRule type="cellIs" dxfId="846" priority="71" operator="notEqual">
      <formula>#REF!</formula>
    </cfRule>
  </conditionalFormatting>
  <conditionalFormatting sqref="K60:K64 K68:N71 L72:N72">
    <cfRule type="cellIs" dxfId="845" priority="127" stopIfTrue="1" operator="lessThan">
      <formula>100%</formula>
    </cfRule>
  </conditionalFormatting>
  <conditionalFormatting sqref="K79:K84">
    <cfRule type="cellIs" dxfId="844" priority="149" stopIfTrue="1" operator="lessThan">
      <formula>100%</formula>
    </cfRule>
  </conditionalFormatting>
  <conditionalFormatting sqref="K86:K87">
    <cfRule type="cellIs" dxfId="843" priority="156" stopIfTrue="1" operator="lessThan">
      <formula>100%</formula>
    </cfRule>
  </conditionalFormatting>
  <conditionalFormatting sqref="K73:N77">
    <cfRule type="cellIs" dxfId="842" priority="82" stopIfTrue="1" operator="lessThan">
      <formula>100%</formula>
    </cfRule>
  </conditionalFormatting>
  <conditionalFormatting sqref="L10:L23">
    <cfRule type="cellIs" dxfId="841" priority="22" operator="greaterThan">
      <formula>65</formula>
    </cfRule>
    <cfRule type="cellIs" dxfId="840" priority="21" operator="between">
      <formula>61</formula>
      <formula>65</formula>
    </cfRule>
  </conditionalFormatting>
  <conditionalFormatting sqref="L31:M42">
    <cfRule type="cellIs" dxfId="839" priority="87" operator="lessThan">
      <formula>98</formula>
    </cfRule>
  </conditionalFormatting>
  <conditionalFormatting sqref="L46:N46">
    <cfRule type="cellIs" dxfId="838" priority="92" operator="notEqual">
      <formula>#REF!</formula>
    </cfRule>
  </conditionalFormatting>
  <conditionalFormatting sqref="L79:N87">
    <cfRule type="cellIs" dxfId="837" priority="134" stopIfTrue="1" operator="lessThan">
      <formula>100%</formula>
    </cfRule>
  </conditionalFormatting>
  <conditionalFormatting sqref="M10:M23 L24:M28">
    <cfRule type="expression" dxfId="836" priority="36">
      <formula>IF(+(IF(L10&lt;T10,0,IF(L10&gt;U10,0,1)))=0,1)</formula>
    </cfRule>
  </conditionalFormatting>
  <conditionalFormatting sqref="M6:N6">
    <cfRule type="cellIs" dxfId="835" priority="93" operator="greaterThanOrEqual">
      <formula>15</formula>
    </cfRule>
    <cfRule type="cellIs" dxfId="834" priority="94" operator="greaterThanOrEqual">
      <formula>19</formula>
    </cfRule>
  </conditionalFormatting>
  <conditionalFormatting sqref="N10:N28">
    <cfRule type="expression" dxfId="833" priority="31">
      <formula>IF(+(IF(N10&lt;W10,0,IF(N10&gt;X10,0,1)))=0,1)</formula>
    </cfRule>
  </conditionalFormatting>
  <conditionalFormatting sqref="P6">
    <cfRule type="cellIs" dxfId="832" priority="130" operator="greaterThanOrEqual">
      <formula>19</formula>
    </cfRule>
  </conditionalFormatting>
  <dataValidations count="1">
    <dataValidation type="list" allowBlank="1" showInputMessage="1" showErrorMessage="1" sqref="R8" xr:uid="{8292EC76-336D-4EC4-A7B4-D56A6F6141EE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51C5-8934-4C19-B6A4-C9573B57E1FD}">
  <sheetPr>
    <pageSetUpPr fitToPage="1"/>
  </sheetPr>
  <dimension ref="A1:BE81"/>
  <sheetViews>
    <sheetView topLeftCell="E20" zoomScale="90" zoomScaleNormal="90" workbookViewId="0">
      <selection activeCell="I37" sqref="I37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8.6640625" style="275" bestFit="1" customWidth="1"/>
    <col min="7" max="7" width="26.44140625" style="275" customWidth="1"/>
    <col min="8" max="8" width="27" style="275" customWidth="1"/>
    <col min="9" max="9" width="26.109375" style="275" customWidth="1"/>
    <col min="10" max="10" width="31.6640625" style="275" customWidth="1"/>
    <col min="11" max="11" width="25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43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45771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189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14.4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33" t="s">
        <v>9</v>
      </c>
      <c r="C10" s="366" t="str">
        <f>[24]Brewhouse!$A174</f>
        <v>ST157</v>
      </c>
      <c r="D10" s="279">
        <f>[24]Brewhouse!$AD174</f>
        <v>53.3</v>
      </c>
      <c r="E10" s="279">
        <f>[24]Brewhouse!$AG174</f>
        <v>49.3</v>
      </c>
      <c r="F10" s="278">
        <f>[24]Brewhouse!$V174</f>
        <v>69</v>
      </c>
      <c r="G10" s="279">
        <f>[24]Brewhouse!$AE174</f>
        <v>11.8</v>
      </c>
      <c r="H10" s="396">
        <v>11.8</v>
      </c>
      <c r="I10" s="434">
        <f>[24]Brewhouse!$AS174</f>
        <v>96.450818305435675</v>
      </c>
      <c r="J10" s="434">
        <f>[24]Brewhouse!$AT174</f>
        <v>97.747056334806572</v>
      </c>
      <c r="K10" s="398">
        <f>[24]Brewhouse!$Q174</f>
        <v>9.2558983666061732</v>
      </c>
      <c r="L10" s="276">
        <f>[24]Brewhouse!$P174</f>
        <v>61</v>
      </c>
      <c r="M10" s="374">
        <f>[24]Brewhouse!$U174-[24]Brewhouse!$T174</f>
        <v>0.12569444444444444</v>
      </c>
      <c r="N10" s="370">
        <f>[24]Brewhouse!$AW174</f>
        <v>0.25972222222222219</v>
      </c>
      <c r="O10" s="435" t="str">
        <f>[24]Brewhouse!$AV174</f>
        <v>R. Regis</v>
      </c>
      <c r="P10" s="339"/>
      <c r="R10" s="277" t="str">
        <f t="shared" ref="R10:R17" si="0">B10</f>
        <v>STAG</v>
      </c>
      <c r="S10" s="296">
        <f t="shared" ref="S10:S17" si="1">VLOOKUP($B10,$R$3:$X$9,2,FALSE)</f>
        <v>11.6</v>
      </c>
      <c r="T10" s="296">
        <f t="shared" ref="T10:T17" si="2">VLOOKUP($B10,$R$3:$X$9,3,FALSE)</f>
        <v>12</v>
      </c>
      <c r="U10" s="297">
        <f t="shared" ref="U10:U17" si="3">VLOOKUP($B10,$R$3:$X$9,4,FALSE)</f>
        <v>0</v>
      </c>
      <c r="V10" s="297">
        <f t="shared" ref="V10:V17" si="4">VLOOKUP($B10,$R$3:$X$9,5,FALSE)</f>
        <v>0.118055555555556</v>
      </c>
      <c r="W10" s="297">
        <f t="shared" ref="W10:W17" si="5">VLOOKUP($B10,$R$3:$X$9,6,FALSE)</f>
        <v>0.22569444444444445</v>
      </c>
      <c r="X10" s="297">
        <f t="shared" ref="X10:X17" si="6">VLOOKUP($B10,$R$3:$X$9,7,FALSE)</f>
        <v>0.2638888888888889</v>
      </c>
      <c r="Y10" s="297">
        <f t="shared" ref="Y10:Y17" si="7">VLOOKUP($B10,$R$3:$Z$9,8,FALSE)</f>
        <v>0</v>
      </c>
      <c r="Z10" s="296">
        <f t="shared" ref="Z10:Z17" si="8">VLOOKUP($B10,$R$3:$Z$9,9,FALSE)</f>
        <v>60</v>
      </c>
    </row>
    <row r="11" spans="2:29" ht="14.4">
      <c r="B11" s="33" t="s">
        <v>9</v>
      </c>
      <c r="C11" s="366" t="str">
        <f>[24]Brewhouse!$A175</f>
        <v>ST158</v>
      </c>
      <c r="D11" s="279">
        <f>[24]Brewhouse!$AD175</f>
        <v>55.2</v>
      </c>
      <c r="E11" s="279">
        <f>[24]Brewhouse!$AG175</f>
        <v>66.8</v>
      </c>
      <c r="F11" s="278">
        <f>[24]Brewhouse!$V175</f>
        <v>85</v>
      </c>
      <c r="G11" s="454">
        <f>[24]Brewhouse!$AE175</f>
        <v>9.5</v>
      </c>
      <c r="H11" s="451">
        <v>9.4</v>
      </c>
      <c r="I11" s="434">
        <f>[24]Brewhouse!$AS175</f>
        <v>104.47252079158716</v>
      </c>
      <c r="J11" s="434">
        <f>[24]Brewhouse!$AT175</f>
        <v>105.87565151880544</v>
      </c>
      <c r="K11" s="398">
        <f>[24]Brewhouse!$Q175</f>
        <v>4.5787545787545785</v>
      </c>
      <c r="L11" s="276">
        <f>[24]Brewhouse!$P175</f>
        <v>61</v>
      </c>
      <c r="M11" s="374">
        <f>[24]Brewhouse!$U175-[24]Brewhouse!$T175</f>
        <v>0.12569444444444439</v>
      </c>
      <c r="N11" s="370">
        <f>[24]Brewhouse!$AW175</f>
        <v>0.26597222222222217</v>
      </c>
      <c r="O11" s="435" t="str">
        <f>[24]Brewhouse!$AV175</f>
        <v>R.Sookram</v>
      </c>
      <c r="P11" s="339" t="s">
        <v>201</v>
      </c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4.4">
      <c r="B12" s="33" t="s">
        <v>9</v>
      </c>
      <c r="C12" s="366" t="str">
        <f>[24]Brewhouse!$A176</f>
        <v>ST159</v>
      </c>
      <c r="D12" s="279">
        <f>[24]Brewhouse!$AD176</f>
        <v>52.2</v>
      </c>
      <c r="E12" s="279">
        <f>[24]Brewhouse!$AG176</f>
        <v>48.3</v>
      </c>
      <c r="F12" s="278">
        <f>[24]Brewhouse!$V176</f>
        <v>61</v>
      </c>
      <c r="G12" s="454">
        <f>[24]Brewhouse!$AE176</f>
        <v>12.09</v>
      </c>
      <c r="H12" s="367"/>
      <c r="I12" s="434">
        <f>[24]Brewhouse!$AS176</f>
        <v>97.021410313288342</v>
      </c>
      <c r="J12" s="434">
        <f>[24]Brewhouse!$AT176</f>
        <v>98.325316738561199</v>
      </c>
      <c r="K12" s="398">
        <f>[24]Brewhouse!$Q176</f>
        <v>5.698529411764695</v>
      </c>
      <c r="L12" s="276">
        <f>[24]Brewhouse!$P176</f>
        <v>57</v>
      </c>
      <c r="M12" s="374">
        <f>[24]Brewhouse!$U176-[24]Brewhouse!$T176</f>
        <v>0.10694444444444451</v>
      </c>
      <c r="N12" s="370">
        <f>[24]Brewhouse!$AW176</f>
        <v>0.28958333333333336</v>
      </c>
      <c r="O12" s="435" t="str">
        <f>[24]Brewhouse!$AV176</f>
        <v>R.Sookram</v>
      </c>
      <c r="P12" s="339" t="s">
        <v>202</v>
      </c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4.4">
      <c r="B13" s="33" t="s">
        <v>9</v>
      </c>
      <c r="C13" s="366" t="str">
        <f>[24]Brewhouse!$A177</f>
        <v>ST160</v>
      </c>
      <c r="D13" s="279">
        <f>[24]Brewhouse!$AD177</f>
        <v>51.6</v>
      </c>
      <c r="E13" s="279">
        <f>[24]Brewhouse!$AG177</f>
        <v>47.7</v>
      </c>
      <c r="F13" s="278">
        <f>[24]Brewhouse!$V177</f>
        <v>53</v>
      </c>
      <c r="G13" s="454">
        <f>[24]Brewhouse!$AE177</f>
        <v>13.91</v>
      </c>
      <c r="H13" s="451">
        <v>13.4</v>
      </c>
      <c r="I13" s="434">
        <f>[24]Brewhouse!$AS177</f>
        <v>111.42233703913573</v>
      </c>
      <c r="J13" s="434">
        <f>[24]Brewhouse!$AT177</f>
        <v>112.91782851924663</v>
      </c>
      <c r="K13" s="398">
        <f>[24]Brewhouse!$Q177</f>
        <v>7.1428571428571397</v>
      </c>
      <c r="L13" s="276">
        <f>[24]Brewhouse!$P177</f>
        <v>61</v>
      </c>
      <c r="M13" s="374">
        <f>[24]Brewhouse!$U177-[24]Brewhouse!$T177</f>
        <v>0.13541666666666663</v>
      </c>
      <c r="N13" s="370">
        <f>[24]Brewhouse!$AW177</f>
        <v>0.27569444444444446</v>
      </c>
      <c r="O13" s="435" t="str">
        <f>[24]Brewhouse!$AV177</f>
        <v>K. Benjamin</v>
      </c>
      <c r="P13" s="339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4.4">
      <c r="B14" s="33" t="s">
        <v>9</v>
      </c>
      <c r="C14" s="366" t="str">
        <f>[24]Brewhouse!$A178</f>
        <v>ST161</v>
      </c>
      <c r="D14" s="279">
        <f>[24]Brewhouse!$AD178</f>
        <v>51.8</v>
      </c>
      <c r="E14" s="279">
        <f>[24]Brewhouse!$AG178</f>
        <v>49.4</v>
      </c>
      <c r="F14" s="278">
        <f>[24]Brewhouse!$V178</f>
        <v>51</v>
      </c>
      <c r="G14" s="279">
        <f>[24]Brewhouse!$AE178</f>
        <v>11.69</v>
      </c>
      <c r="H14" s="396">
        <v>11.7</v>
      </c>
      <c r="I14" s="434">
        <f>[24]Brewhouse!$AS178</f>
        <v>96.024912228115227</v>
      </c>
      <c r="J14" s="434">
        <f>[24]Brewhouse!$AT178</f>
        <v>97.314586334806805</v>
      </c>
      <c r="K14" s="398">
        <f>[24]Brewhouse!$Q178</f>
        <v>7.6225045372050868</v>
      </c>
      <c r="L14" s="276">
        <f>[24]Brewhouse!$P178</f>
        <v>62</v>
      </c>
      <c r="M14" s="374">
        <f>[24]Brewhouse!$U178-[24]Brewhouse!$T178</f>
        <v>0.10972222222222228</v>
      </c>
      <c r="N14" s="370">
        <f>[24]Brewhouse!$AW178</f>
        <v>0.25694444444444442</v>
      </c>
      <c r="O14" s="435" t="str">
        <f>[24]Brewhouse!$AV178</f>
        <v>K. Benjamin</v>
      </c>
      <c r="P14" s="339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4.4">
      <c r="B15" s="33" t="s">
        <v>9</v>
      </c>
      <c r="C15" s="366" t="str">
        <f>[24]Brewhouse!$A179</f>
        <v>ST162</v>
      </c>
      <c r="D15" s="279">
        <f>[24]Brewhouse!$AD179</f>
        <v>54.7</v>
      </c>
      <c r="E15" s="279">
        <f>[24]Brewhouse!$AG179</f>
        <v>51.5</v>
      </c>
      <c r="F15" s="278">
        <f>[24]Brewhouse!$V179</f>
        <v>65</v>
      </c>
      <c r="G15" s="279">
        <f>[24]Brewhouse!$AE179</f>
        <v>11.81</v>
      </c>
      <c r="H15" s="396">
        <v>11.8</v>
      </c>
      <c r="I15" s="434">
        <f>[24]Brewhouse!$AS179</f>
        <v>100.88096411971219</v>
      </c>
      <c r="J15" s="434">
        <f>[24]Brewhouse!$AT179</f>
        <v>102.23629981137978</v>
      </c>
      <c r="K15" s="398">
        <f>[24]Brewhouse!$Q179</f>
        <v>4.3399638336347177</v>
      </c>
      <c r="L15" s="276">
        <f>[24]Brewhouse!$P179</f>
        <v>60</v>
      </c>
      <c r="M15" s="374">
        <f>[24]Brewhouse!$U179-[24]Brewhouse!$T179</f>
        <v>0.11736111111111103</v>
      </c>
      <c r="N15" s="370">
        <f>[24]Brewhouse!$AW179</f>
        <v>0.25902777777777775</v>
      </c>
      <c r="O15" s="435" t="str">
        <f>[24]Brewhouse!$AV179</f>
        <v>K. Benjamin</v>
      </c>
      <c r="P15" s="339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4.4">
      <c r="B16" s="33" t="s">
        <v>9</v>
      </c>
      <c r="C16" s="366" t="str">
        <f>[24]Brewhouse!$A180</f>
        <v>ST163</v>
      </c>
      <c r="D16" s="279">
        <f>[24]Brewhouse!$AD180</f>
        <v>54.1</v>
      </c>
      <c r="E16" s="279">
        <f>[24]Brewhouse!$AG180</f>
        <v>50.6</v>
      </c>
      <c r="F16" s="278">
        <f>[24]Brewhouse!$V180</f>
        <v>61</v>
      </c>
      <c r="G16" s="279">
        <f>[24]Brewhouse!$AE180</f>
        <v>11.69</v>
      </c>
      <c r="H16" s="396">
        <v>11.7</v>
      </c>
      <c r="I16" s="434">
        <f>[24]Brewhouse!$AS180</f>
        <v>98.35750118912209</v>
      </c>
      <c r="J16" s="434">
        <f>[24]Brewhouse!$AT180</f>
        <v>99.678503411765689</v>
      </c>
      <c r="K16" s="398">
        <f>[24]Brewhouse!$Q180</f>
        <v>3.7974683544303693</v>
      </c>
      <c r="L16" s="276">
        <f>[24]Brewhouse!$P180</f>
        <v>62</v>
      </c>
      <c r="M16" s="374">
        <f>[24]Brewhouse!$U180-[24]Brewhouse!$T180</f>
        <v>9.0277777777777901E-2</v>
      </c>
      <c r="N16" s="370">
        <f>[24]Brewhouse!$AW180</f>
        <v>0.24513888888888902</v>
      </c>
      <c r="O16" s="435" t="str">
        <f>[24]Brewhouse!$AV180</f>
        <v>K. Benjamin</v>
      </c>
      <c r="P16" s="339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4.4">
      <c r="B17" s="33" t="s">
        <v>9</v>
      </c>
      <c r="C17" s="366" t="str">
        <f>[24]Brewhouse!$A181</f>
        <v>ST164</v>
      </c>
      <c r="D17" s="279">
        <f>[24]Brewhouse!$AD181</f>
        <v>54.2</v>
      </c>
      <c r="E17" s="279">
        <f>[24]Brewhouse!$AG181</f>
        <v>50.9</v>
      </c>
      <c r="F17" s="278">
        <f>[24]Brewhouse!$V181</f>
        <v>59</v>
      </c>
      <c r="G17" s="279">
        <f>[24]Brewhouse!$AE181</f>
        <v>11.77</v>
      </c>
      <c r="H17" s="396">
        <v>11.7</v>
      </c>
      <c r="I17" s="434">
        <f>[24]Brewhouse!$AS181</f>
        <v>99.955757308619226</v>
      </c>
      <c r="J17" s="434">
        <f>[24]Brewhouse!$AT181</f>
        <v>101.29778626213222</v>
      </c>
      <c r="K17" s="398">
        <f>[24]Brewhouse!$Q181</f>
        <v>4.1666666666666741</v>
      </c>
      <c r="L17" s="276">
        <f>[24]Brewhouse!$P181</f>
        <v>62</v>
      </c>
      <c r="M17" s="374">
        <f>[24]Brewhouse!$U181-[24]Brewhouse!$T181</f>
        <v>0.10902777777777772</v>
      </c>
      <c r="N17" s="370">
        <f>[24]Brewhouse!$AW181</f>
        <v>0.24444444444444435</v>
      </c>
      <c r="O17" s="435" t="str">
        <f>[24]Brewhouse!$AV181</f>
        <v>R. Regis</v>
      </c>
      <c r="P17" s="339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3"/>
      <c r="R18" s="277">
        <f t="shared" ref="R18:R22" si="9">B18</f>
        <v>0</v>
      </c>
      <c r="S18" s="296" t="e">
        <f t="shared" ref="S18:S22" si="10">VLOOKUP($B18,$R$3:$X$9,2,FALSE)</f>
        <v>#N/A</v>
      </c>
      <c r="T18" s="296" t="e">
        <f t="shared" ref="T18:T22" si="11">VLOOKUP($B18,$R$3:$X$9,3,FALSE)</f>
        <v>#N/A</v>
      </c>
      <c r="U18" s="297" t="e">
        <f t="shared" ref="U18:U22" si="12">VLOOKUP($B18,$R$3:$X$9,4,FALSE)</f>
        <v>#N/A</v>
      </c>
      <c r="V18" s="297" t="e">
        <f t="shared" ref="V18:V22" si="13">VLOOKUP($B18,$R$3:$X$9,5,FALSE)</f>
        <v>#N/A</v>
      </c>
      <c r="W18" s="297" t="e">
        <f t="shared" ref="W18:W22" si="14">VLOOKUP($B18,$R$3:$X$9,6,FALSE)</f>
        <v>#N/A</v>
      </c>
      <c r="X18" s="297" t="e">
        <f t="shared" ref="X18:X22" si="15">VLOOKUP($B18,$R$3:$X$9,7,FALSE)</f>
        <v>#N/A</v>
      </c>
      <c r="Y18" s="297" t="e">
        <f t="shared" ref="Y18:Y22" si="16">VLOOKUP($B18,$R$3:$Z$9,8,FALSE)</f>
        <v>#N/A</v>
      </c>
      <c r="Z18" s="296" t="e">
        <f t="shared" ref="Z18:Z22" si="17">VLOOKUP($B18,$R$3:$Z$9,9,FALSE)</f>
        <v>#N/A</v>
      </c>
    </row>
    <row r="19" spans="1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3"/>
      <c r="R19" s="277">
        <f t="shared" si="9"/>
        <v>0</v>
      </c>
      <c r="S19" s="296" t="e">
        <f t="shared" si="10"/>
        <v>#N/A</v>
      </c>
      <c r="T19" s="296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296" t="e">
        <f t="shared" si="17"/>
        <v>#N/A</v>
      </c>
    </row>
    <row r="20" spans="1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444"/>
      <c r="M20" s="397"/>
      <c r="N20" s="370"/>
      <c r="O20" s="371"/>
      <c r="P20" s="443"/>
      <c r="R20" s="277">
        <f t="shared" si="9"/>
        <v>0</v>
      </c>
      <c r="S20" s="296" t="e">
        <f t="shared" si="10"/>
        <v>#N/A</v>
      </c>
      <c r="T20" s="296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296" t="e">
        <f t="shared" si="17"/>
        <v>#N/A</v>
      </c>
    </row>
    <row r="21" spans="1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444"/>
      <c r="M21" s="397"/>
      <c r="N21" s="370"/>
      <c r="O21" s="371"/>
      <c r="P21" s="443"/>
      <c r="R21" s="277">
        <f t="shared" si="9"/>
        <v>0</v>
      </c>
      <c r="S21" s="296" t="e">
        <f t="shared" si="10"/>
        <v>#N/A</v>
      </c>
      <c r="T21" s="296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296" t="e">
        <f t="shared" si="17"/>
        <v>#N/A</v>
      </c>
    </row>
    <row r="22" spans="1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444"/>
      <c r="M22" s="397"/>
      <c r="N22" s="370"/>
      <c r="O22" s="371"/>
      <c r="P22" s="443"/>
      <c r="R22" s="277">
        <f t="shared" si="9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444"/>
      <c r="M23" s="397"/>
      <c r="N23" s="370"/>
      <c r="O23" s="371"/>
      <c r="P23" s="443"/>
      <c r="R23" s="277">
        <f t="shared" ref="R23:R29" si="18">B23</f>
        <v>0</v>
      </c>
      <c r="S23" s="296" t="e">
        <f t="shared" ref="S23:S29" si="19">VLOOKUP($B23,$R$3:$X$9,2,FALSE)</f>
        <v>#N/A</v>
      </c>
      <c r="T23" s="296" t="e">
        <f t="shared" ref="T23:T29" si="20">VLOOKUP($B23,$R$3:$X$9,3,FALSE)</f>
        <v>#N/A</v>
      </c>
      <c r="U23" s="297" t="e">
        <f t="shared" ref="U23:U29" si="21">VLOOKUP($B23,$R$3:$X$9,4,FALSE)</f>
        <v>#N/A</v>
      </c>
      <c r="V23" s="297" t="e">
        <f t="shared" ref="V23:V29" si="22">VLOOKUP($B23,$R$3:$X$9,5,FALSE)</f>
        <v>#N/A</v>
      </c>
      <c r="W23" s="297" t="e">
        <f t="shared" ref="W23:W29" si="23">VLOOKUP($B23,$R$3:$X$9,6,FALSE)</f>
        <v>#N/A</v>
      </c>
      <c r="X23" s="297" t="e">
        <f t="shared" ref="X23:X29" si="24">VLOOKUP($B23,$R$3:$X$9,7,FALSE)</f>
        <v>#N/A</v>
      </c>
      <c r="Y23" s="297" t="e">
        <f t="shared" ref="Y23:Y29" si="25">VLOOKUP($B23,$R$3:$Z$9,8,FALSE)</f>
        <v>#N/A</v>
      </c>
      <c r="Z23" s="296" t="e">
        <f t="shared" ref="Z23:Z29" si="26">VLOOKUP($B23,$R$3:$Z$9,9,FALSE)</f>
        <v>#N/A</v>
      </c>
    </row>
    <row r="24" spans="1:26" ht="15.75" hidden="1" customHeight="1">
      <c r="B24" s="33"/>
      <c r="C24" s="366"/>
      <c r="D24" s="279"/>
      <c r="E24" s="279"/>
      <c r="F24" s="278"/>
      <c r="G24" s="279"/>
      <c r="H24" s="396"/>
      <c r="I24" s="434"/>
      <c r="J24" s="398"/>
      <c r="K24" s="276"/>
      <c r="L24" s="374"/>
      <c r="M24" s="397"/>
      <c r="N24" s="370"/>
      <c r="O24" s="371"/>
      <c r="P24" s="443"/>
      <c r="R24" s="277">
        <f t="shared" si="18"/>
        <v>0</v>
      </c>
      <c r="S24" s="296" t="e">
        <f t="shared" si="19"/>
        <v>#N/A</v>
      </c>
      <c r="T24" s="296" t="e">
        <f t="shared" si="20"/>
        <v>#N/A</v>
      </c>
      <c r="U24" s="297" t="e">
        <f t="shared" si="21"/>
        <v>#N/A</v>
      </c>
      <c r="V24" s="297" t="e">
        <f t="shared" si="22"/>
        <v>#N/A</v>
      </c>
      <c r="W24" s="297" t="e">
        <f t="shared" si="23"/>
        <v>#N/A</v>
      </c>
      <c r="X24" s="297" t="e">
        <f t="shared" si="24"/>
        <v>#N/A</v>
      </c>
      <c r="Y24" s="297" t="e">
        <f t="shared" si="25"/>
        <v>#N/A</v>
      </c>
      <c r="Z24" s="296" t="e">
        <f t="shared" si="26"/>
        <v>#N/A</v>
      </c>
    </row>
    <row r="25" spans="1:26" ht="15.75" hidden="1" customHeight="1">
      <c r="B25" s="33"/>
      <c r="C25" s="366"/>
      <c r="D25" s="279"/>
      <c r="E25" s="279"/>
      <c r="F25" s="278"/>
      <c r="G25" s="279"/>
      <c r="H25" s="396"/>
      <c r="I25" s="434"/>
      <c r="J25" s="398"/>
      <c r="K25" s="276"/>
      <c r="L25" s="374"/>
      <c r="M25" s="397"/>
      <c r="N25" s="370"/>
      <c r="O25" s="371"/>
      <c r="P25" s="443"/>
      <c r="R25" s="277">
        <f t="shared" si="18"/>
        <v>0</v>
      </c>
      <c r="S25" s="296" t="e">
        <f t="shared" si="19"/>
        <v>#N/A</v>
      </c>
      <c r="T25" s="296" t="e">
        <f t="shared" si="20"/>
        <v>#N/A</v>
      </c>
      <c r="U25" s="297" t="e">
        <f t="shared" si="21"/>
        <v>#N/A</v>
      </c>
      <c r="V25" s="297" t="e">
        <f t="shared" si="22"/>
        <v>#N/A</v>
      </c>
      <c r="W25" s="297" t="e">
        <f t="shared" si="23"/>
        <v>#N/A</v>
      </c>
      <c r="X25" s="297" t="e">
        <f t="shared" si="24"/>
        <v>#N/A</v>
      </c>
      <c r="Y25" s="297" t="e">
        <f t="shared" si="25"/>
        <v>#N/A</v>
      </c>
      <c r="Z25" s="296" t="e">
        <f t="shared" si="26"/>
        <v>#N/A</v>
      </c>
    </row>
    <row r="26" spans="1:26" ht="15.75" hidden="1" customHeight="1">
      <c r="B26" s="33"/>
      <c r="C26" s="366"/>
      <c r="D26" s="279"/>
      <c r="E26" s="279"/>
      <c r="F26" s="278"/>
      <c r="G26" s="279"/>
      <c r="H26" s="396"/>
      <c r="I26" s="434"/>
      <c r="J26" s="398"/>
      <c r="K26" s="276"/>
      <c r="L26" s="374"/>
      <c r="M26" s="397"/>
      <c r="N26" s="370"/>
      <c r="O26" s="371"/>
      <c r="P26" s="443"/>
      <c r="R26" s="277">
        <f t="shared" si="18"/>
        <v>0</v>
      </c>
      <c r="S26" s="296" t="e">
        <f t="shared" si="19"/>
        <v>#N/A</v>
      </c>
      <c r="T26" s="296" t="e">
        <f t="shared" si="20"/>
        <v>#N/A</v>
      </c>
      <c r="U26" s="297" t="e">
        <f t="shared" si="21"/>
        <v>#N/A</v>
      </c>
      <c r="V26" s="297" t="e">
        <f t="shared" si="22"/>
        <v>#N/A</v>
      </c>
      <c r="W26" s="297" t="e">
        <f t="shared" si="23"/>
        <v>#N/A</v>
      </c>
      <c r="X26" s="297" t="e">
        <f t="shared" si="24"/>
        <v>#N/A</v>
      </c>
      <c r="Y26" s="297" t="e">
        <f t="shared" si="25"/>
        <v>#N/A</v>
      </c>
      <c r="Z26" s="296" t="e">
        <f t="shared" si="26"/>
        <v>#N/A</v>
      </c>
    </row>
    <row r="27" spans="1:26" ht="15.75" hidden="1" customHeight="1">
      <c r="B27" s="33"/>
      <c r="C27" s="366"/>
      <c r="D27" s="279"/>
      <c r="E27" s="279"/>
      <c r="F27" s="278"/>
      <c r="G27" s="279"/>
      <c r="H27" s="396"/>
      <c r="I27" s="434"/>
      <c r="J27" s="398"/>
      <c r="K27" s="276"/>
      <c r="L27" s="374"/>
      <c r="M27" s="397"/>
      <c r="N27" s="370"/>
      <c r="O27" s="371"/>
      <c r="P27" s="443"/>
      <c r="R27" s="277">
        <f t="shared" si="18"/>
        <v>0</v>
      </c>
      <c r="S27" s="296" t="e">
        <f t="shared" si="19"/>
        <v>#N/A</v>
      </c>
      <c r="T27" s="296" t="e">
        <f t="shared" si="20"/>
        <v>#N/A</v>
      </c>
      <c r="U27" s="297" t="e">
        <f t="shared" si="21"/>
        <v>#N/A</v>
      </c>
      <c r="V27" s="297" t="e">
        <f t="shared" si="22"/>
        <v>#N/A</v>
      </c>
      <c r="W27" s="297" t="e">
        <f t="shared" si="23"/>
        <v>#N/A</v>
      </c>
      <c r="X27" s="297" t="e">
        <f t="shared" si="24"/>
        <v>#N/A</v>
      </c>
      <c r="Y27" s="297" t="e">
        <f t="shared" si="25"/>
        <v>#N/A</v>
      </c>
      <c r="Z27" s="296" t="e">
        <f t="shared" si="26"/>
        <v>#N/A</v>
      </c>
    </row>
    <row r="28" spans="1:26" ht="15.75" hidden="1" customHeight="1">
      <c r="B28" s="33"/>
      <c r="C28" s="366"/>
      <c r="D28" s="279"/>
      <c r="E28" s="279"/>
      <c r="F28" s="278"/>
      <c r="G28" s="279"/>
      <c r="H28" s="396"/>
      <c r="I28" s="434"/>
      <c r="J28" s="398"/>
      <c r="K28" s="276"/>
      <c r="L28" s="374"/>
      <c r="M28" s="397"/>
      <c r="N28" s="370"/>
      <c r="O28" s="371"/>
      <c r="P28" s="443"/>
      <c r="R28" s="277">
        <f t="shared" si="18"/>
        <v>0</v>
      </c>
      <c r="S28" s="296" t="e">
        <f t="shared" si="19"/>
        <v>#N/A</v>
      </c>
      <c r="T28" s="296" t="e">
        <f t="shared" si="20"/>
        <v>#N/A</v>
      </c>
      <c r="U28" s="297" t="e">
        <f t="shared" si="21"/>
        <v>#N/A</v>
      </c>
      <c r="V28" s="297" t="e">
        <f t="shared" si="22"/>
        <v>#N/A</v>
      </c>
      <c r="W28" s="297" t="e">
        <f t="shared" si="23"/>
        <v>#N/A</v>
      </c>
      <c r="X28" s="297" t="e">
        <f t="shared" si="24"/>
        <v>#N/A</v>
      </c>
      <c r="Y28" s="297" t="e">
        <f t="shared" si="25"/>
        <v>#N/A</v>
      </c>
      <c r="Z28" s="296" t="e">
        <f t="shared" si="26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00" t="s">
        <v>34</v>
      </c>
      <c r="J29" s="500"/>
      <c r="K29" s="500"/>
      <c r="L29" s="500"/>
      <c r="M29" s="500"/>
      <c r="N29" s="500"/>
      <c r="O29" s="1"/>
      <c r="P29" s="12"/>
      <c r="R29" s="277">
        <f t="shared" si="18"/>
        <v>0</v>
      </c>
      <c r="S29" s="296" t="e">
        <f t="shared" si="19"/>
        <v>#N/A</v>
      </c>
      <c r="T29" s="296" t="e">
        <f t="shared" si="20"/>
        <v>#N/A</v>
      </c>
      <c r="U29" s="297" t="e">
        <f t="shared" si="21"/>
        <v>#N/A</v>
      </c>
      <c r="V29" s="297" t="e">
        <f t="shared" si="22"/>
        <v>#N/A</v>
      </c>
      <c r="W29" s="297" t="e">
        <f t="shared" si="23"/>
        <v>#N/A</v>
      </c>
      <c r="X29" s="297" t="e">
        <f t="shared" si="24"/>
        <v>#N/A</v>
      </c>
      <c r="Y29" s="297" t="e">
        <f t="shared" si="25"/>
        <v>#N/A</v>
      </c>
      <c r="Z29" s="296" t="e">
        <f t="shared" si="26"/>
        <v>#N/A</v>
      </c>
    </row>
    <row r="30" spans="1:26" ht="15" thickBot="1">
      <c r="B30" s="388" t="s">
        <v>145</v>
      </c>
      <c r="C30" s="388"/>
      <c r="D30" s="513" t="s">
        <v>35</v>
      </c>
      <c r="E30" s="514"/>
      <c r="F30" s="294"/>
      <c r="G30" s="294"/>
      <c r="H30" s="348"/>
      <c r="I30" s="24" t="s">
        <v>17</v>
      </c>
      <c r="J30" s="25" t="s">
        <v>36</v>
      </c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5" customHeight="1">
      <c r="A31" s="28"/>
      <c r="B31" s="560" t="str">
        <f>I33</f>
        <v>GUINNESS</v>
      </c>
      <c r="C31" s="362" cm="1">
        <f t="array" ref="C31:C32">[22]Process!$D$50:$D$51</f>
        <v>17.600000000000001</v>
      </c>
      <c r="D31" s="504">
        <v>13.83</v>
      </c>
      <c r="E31" s="493"/>
      <c r="F31" s="294"/>
      <c r="G31" s="294"/>
      <c r="H31" s="348"/>
      <c r="I31" s="29" t="s">
        <v>6</v>
      </c>
      <c r="J31" s="280"/>
      <c r="K31" s="284">
        <f>COUNTA([23]Brewhouse!$A$341:$A$399)</f>
        <v>59</v>
      </c>
      <c r="L31" s="302">
        <f>AVERAGE([23]Brewhouse!$AU$341:$AU$346,[23]Brewhouse!$AU$348,[23]Brewhouse!$AU$349:$AU$399)</f>
        <v>99.617659726755718</v>
      </c>
      <c r="M31" s="302">
        <f>AVERAGE([23]Brewhouse!$AU$102:$AU$171,[23]Brewhouse!$AU$173:$AU$253,[23]Brewhouse!$AU$255:$AU$339,[23]Brewhouse!$AU$341:$AU$346,[23]Brewhouse!$AU$348,[23]Brewhouse!$AU$349:$AU$399)</f>
        <v>97.346427666120121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5" customHeight="1">
      <c r="A32" s="28"/>
      <c r="B32" s="561"/>
      <c r="C32" s="349">
        <v>17.3</v>
      </c>
      <c r="D32" s="505"/>
      <c r="E32" s="488"/>
      <c r="F32" s="294"/>
      <c r="G32" s="294"/>
      <c r="H32" s="348"/>
      <c r="I32" s="33" t="s">
        <v>9</v>
      </c>
      <c r="J32" s="280">
        <f>AVERAGE(I10:I17)</f>
        <v>100.57327766187696</v>
      </c>
      <c r="K32" s="284">
        <f>COUNTA([24]Brewhouse!$A$142:$A$181)</f>
        <v>40</v>
      </c>
      <c r="L32" s="302">
        <f>AVERAGE([24]Brewhouse!$AS$142:$AS$181)</f>
        <v>99.230715640335447</v>
      </c>
      <c r="M32" s="302">
        <f>AVERAGE([24]Brewhouse!$AS$15:$AS$64,[24]Brewhouse!$AS$66:$AS$103,[24]Brewhouse!$AS$105:$AS$140,[24]Brewhouse!$AS$142:$AS$181)</f>
        <v>97.321451551026229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27" ht="14.7" customHeight="1">
      <c r="A33" s="28"/>
      <c r="B33" s="561"/>
      <c r="C33" s="349" cm="1">
        <f t="array" ref="C33:C34">[22]Process!$D$54:$D$55</f>
        <v>17.600000000000001</v>
      </c>
      <c r="D33" s="504">
        <v>14.21</v>
      </c>
      <c r="E33" s="493"/>
      <c r="F33" s="294"/>
      <c r="G33" s="294"/>
      <c r="H33" s="348"/>
      <c r="I33" s="34" t="s">
        <v>12</v>
      </c>
      <c r="J33" s="280"/>
      <c r="K33" s="284">
        <f>COUNTA([22]Brewhouse!$A$38:$A$45)</f>
        <v>8</v>
      </c>
      <c r="L33" s="302">
        <f>AVERAGE([22]Brewhouse!$AU$37:$AU$45)</f>
        <v>98.090293320814979</v>
      </c>
      <c r="M33" s="302">
        <f>AVERAGE([22]Brewhouse!$AU$4:$AU$7,[22]Brewhouse!$AU$9:$AU$22,[22]Brewhouse!$AU$24:$AU$35,[22]Brewhouse!$AU$37:$AU$45)</f>
        <v>97.086748546217066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27" ht="14.7" customHeight="1">
      <c r="A34" s="28"/>
      <c r="B34" s="561"/>
      <c r="C34" s="349">
        <v>18</v>
      </c>
      <c r="D34" s="505"/>
      <c r="E34" s="488"/>
      <c r="F34" s="294"/>
      <c r="G34" s="294"/>
      <c r="H34" s="348"/>
      <c r="I34" s="22" t="s">
        <v>33</v>
      </c>
      <c r="J34" s="280"/>
      <c r="K34" s="284">
        <f>COUNTA([25]Brewhouse!$A$26:$A$33)</f>
        <v>8</v>
      </c>
      <c r="L34" s="302">
        <f>AVERAGE([25]Brewhouse!$AV$26:$AV$33)</f>
        <v>99.61038006330628</v>
      </c>
      <c r="M34" s="302">
        <f>AVERAGE([25]Brewhouse!$AV$5:$AV$14,[25]Brewhouse!$AV$16:$AV$19,[25]Brewhouse!$AV$21:$AV$24,[25]Brewhouse!$AV$26:$AV$33)</f>
        <v>98.921974778040592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27" ht="14.7" customHeight="1">
      <c r="A35" s="28"/>
      <c r="B35" s="561"/>
      <c r="C35" s="349"/>
      <c r="D35" s="504"/>
      <c r="E35" s="493"/>
      <c r="F35" s="436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27" ht="14.7" customHeight="1">
      <c r="A36" s="28"/>
      <c r="B36" s="561"/>
      <c r="C36" s="349"/>
      <c r="D36" s="505"/>
      <c r="E36" s="488"/>
      <c r="F36" s="436"/>
      <c r="G36" s="294"/>
      <c r="H36" s="348"/>
      <c r="I36" s="36" t="s">
        <v>15</v>
      </c>
      <c r="J36" s="323"/>
      <c r="K36" s="284">
        <f>COUNTA([26]Brewhouse!$A$13:$A$16)</f>
        <v>4</v>
      </c>
      <c r="L36" s="302">
        <f>AVERAGE([26]Brewhouse!$AT$13:$AT$16)</f>
        <v>95.870696554126312</v>
      </c>
      <c r="M36" s="302">
        <f>AVERAGE([26]Brewhouse!$AT$4:$AT$11,[26]Brewhouse!$AT$13:$AT$16)</f>
        <v>95.165309917257005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27" ht="14.7" customHeight="1">
      <c r="A37" s="28"/>
      <c r="B37" s="561"/>
      <c r="C37" s="349"/>
      <c r="D37" s="504"/>
      <c r="E37" s="493"/>
      <c r="F37" s="436"/>
      <c r="G37" s="294"/>
      <c r="H37" s="348"/>
      <c r="I37" s="37" t="s">
        <v>16</v>
      </c>
      <c r="J37" s="323"/>
      <c r="K37" s="284">
        <f>COUNTA([27]Brewhouse!$A$31:$A$34)</f>
        <v>4</v>
      </c>
      <c r="L37" s="302">
        <f>AVERAGE([27]Brewhouse!$AY$31:$AY$34)</f>
        <v>98.653228650224236</v>
      </c>
      <c r="M37" s="302">
        <f>AVERAGE([27]Brewhouse!$AY$6:$AY$13,[27]Brewhouse!$AY$15:$AY$20,[27]Brewhouse!$AY$22:$AY$29,[27]Brewhouse!$AY$31:$AY$34)</f>
        <v>96.120888038911147</v>
      </c>
      <c r="N37" s="30">
        <v>98</v>
      </c>
      <c r="O37" s="11"/>
      <c r="P37" s="31" t="s">
        <v>41</v>
      </c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27" ht="14.7" customHeight="1">
      <c r="A38" s="28"/>
      <c r="B38" s="561"/>
      <c r="C38" s="349"/>
      <c r="D38" s="505"/>
      <c r="E38" s="488"/>
      <c r="F38" s="294"/>
      <c r="G38" s="294"/>
      <c r="H38" s="348"/>
      <c r="I38" s="412" t="s">
        <v>158</v>
      </c>
      <c r="J38" s="326"/>
      <c r="K38" s="284"/>
      <c r="L38" s="305"/>
      <c r="M38" s="305">
        <f>AVERAGE([28]Brewhouse!$AU$5:$AU$8)</f>
        <v>91.006888337619571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7" customHeight="1">
      <c r="A39" s="28"/>
      <c r="B39" s="561"/>
      <c r="C39" s="349"/>
      <c r="D39" s="504"/>
      <c r="E39" s="493"/>
      <c r="F39" s="294"/>
      <c r="G39" s="294"/>
      <c r="H39" s="348"/>
      <c r="I39" s="411" t="s">
        <v>157</v>
      </c>
      <c r="J39" s="326"/>
      <c r="K39" s="284"/>
      <c r="L39" s="305"/>
      <c r="M39" s="305"/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5" customHeight="1" thickBot="1">
      <c r="A40" s="28"/>
      <c r="B40" s="561"/>
      <c r="C40" s="349"/>
      <c r="D40" s="505"/>
      <c r="E40" s="488"/>
      <c r="F40" s="294"/>
      <c r="G40" s="294"/>
      <c r="H40" s="348"/>
      <c r="I40" s="407" t="s">
        <v>156</v>
      </c>
      <c r="J40" s="327"/>
      <c r="K40" s="408"/>
      <c r="L40" s="409"/>
      <c r="M40" s="409"/>
      <c r="N40" s="41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5" customHeight="1" thickBot="1">
      <c r="A41" s="28"/>
      <c r="B41" s="561"/>
      <c r="C41" s="349"/>
      <c r="D41" s="504"/>
      <c r="E41" s="493"/>
      <c r="F41" s="294"/>
      <c r="G41" s="294"/>
      <c r="H41" s="348"/>
      <c r="I41" s="1"/>
      <c r="J41" s="39"/>
      <c r="K41" s="405">
        <f>SUM(K31:K40)</f>
        <v>123</v>
      </c>
      <c r="L41" s="406">
        <f>((L31*K31)+(L32*K32)+(L33*K33)+(L34*K34)+(L35*K35)+(K38*L38)+(L36*K36)+(L37*K37)+(L40*K40))/(K41)</f>
        <v>99.238793799856737</v>
      </c>
      <c r="M41" s="406">
        <f>AVERAGE('[29]Jan 31st'!$L$65,'[30]Feb 28th'!$L$35,'[31]Mar. 31st'!$L$35,L41)</f>
        <v>97.351002567772511</v>
      </c>
      <c r="N41" s="4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5" thickBot="1">
      <c r="B42" s="562"/>
      <c r="C42" s="350"/>
      <c r="D42" s="505"/>
      <c r="E42" s="488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thickBot="1">
      <c r="B43" s="558"/>
      <c r="C43" s="362"/>
      <c r="D43" s="485"/>
      <c r="E43" s="486"/>
      <c r="F43" s="294"/>
      <c r="G43" s="42"/>
      <c r="H43" s="41"/>
      <c r="I43" s="42"/>
      <c r="J43" s="538" t="s">
        <v>129</v>
      </c>
      <c r="K43" s="538"/>
      <c r="L43" s="294"/>
      <c r="M43" s="294"/>
      <c r="N43" s="294"/>
      <c r="O43" s="294"/>
      <c r="P43" s="12"/>
    </row>
    <row r="44" spans="1:27" ht="13.5" customHeight="1" thickBot="1">
      <c r="B44" s="540"/>
      <c r="C44" s="349"/>
      <c r="D44" s="487"/>
      <c r="E44" s="488"/>
      <c r="F44" s="294"/>
      <c r="G44" s="42"/>
      <c r="H44" s="41"/>
      <c r="I44" s="42"/>
      <c r="J44" s="292" t="s">
        <v>17</v>
      </c>
      <c r="K44" s="293" t="s">
        <v>191</v>
      </c>
      <c r="L44" s="490" t="s">
        <v>136</v>
      </c>
      <c r="M44" s="490"/>
      <c r="N44" s="491"/>
      <c r="O44" s="294"/>
      <c r="P44" s="12"/>
    </row>
    <row r="45" spans="1:27" ht="15" customHeight="1" thickBot="1">
      <c r="B45" s="540"/>
      <c r="C45" s="349"/>
      <c r="D45" s="492"/>
      <c r="E45" s="493"/>
      <c r="F45" s="294"/>
      <c r="G45" s="42"/>
      <c r="H45" s="41"/>
      <c r="I45" s="42"/>
      <c r="J45" s="287" t="s">
        <v>6</v>
      </c>
      <c r="K45" s="324"/>
      <c r="L45" s="343" t="s">
        <v>37</v>
      </c>
      <c r="M45" s="307" t="s">
        <v>38</v>
      </c>
      <c r="N45" s="307" t="s">
        <v>84</v>
      </c>
      <c r="O45" s="294"/>
      <c r="P45" s="12"/>
    </row>
    <row r="46" spans="1:27" ht="15.75" customHeight="1" thickBot="1">
      <c r="B46" s="540"/>
      <c r="C46" s="349"/>
      <c r="D46" s="487"/>
      <c r="E46" s="488"/>
      <c r="F46" s="294"/>
      <c r="G46" s="42"/>
      <c r="H46" s="41"/>
      <c r="I46" s="42"/>
      <c r="J46" s="345" t="s">
        <v>9</v>
      </c>
      <c r="K46" s="324">
        <f>COUNTA(B10:B17)</f>
        <v>8</v>
      </c>
      <c r="L46" s="344">
        <f>AVERAGE('Apr. 1st'!L40,'Apr. 3rd'!L40,'Apr. 4th'!L40,'Apr. 7th '!L41,'Apr. 8th  '!L51,'Apr. 9th   '!L41,'Apr. 10th '!L49,'Apr. 11-12-13th'!L118,'Apr. 14th'!L118,'Apr. 15th'!L46,'Apr. 16th'!L46,'Apr. 17th-20th'!H99,'Apr. 17th-20th'!I99,'Apr. 17th-20th'!J99,'Apr. 17th-20th'!K99,1,'Apr. 22nd'!L46,K55)</f>
        <v>4.654884984296749</v>
      </c>
      <c r="M46" s="325">
        <f>AVERAGE('[29]Jan 29th '!$M$70,'[30]Feb 28th'!$L$40,'[31]Mar. 31st'!$L$40,L46)</f>
        <v>6.1175554553431795</v>
      </c>
      <c r="N46" s="433">
        <v>9.1999999999999993</v>
      </c>
      <c r="O46" s="294"/>
      <c r="P46" s="12"/>
    </row>
    <row r="47" spans="1:27" ht="15" customHeight="1">
      <c r="B47" s="540"/>
      <c r="C47" s="349"/>
      <c r="D47" s="492"/>
      <c r="E47" s="493"/>
      <c r="F47" s="294"/>
      <c r="G47" s="42"/>
      <c r="H47" s="41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40"/>
      <c r="C48" s="349"/>
      <c r="D48" s="487"/>
      <c r="E48" s="488"/>
      <c r="F48" s="294"/>
      <c r="G48" s="42"/>
      <c r="H48" s="41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4.4">
      <c r="B49" s="540"/>
      <c r="C49" s="349"/>
      <c r="D49" s="492"/>
      <c r="E49" s="493"/>
      <c r="F49" s="294"/>
      <c r="G49" s="42"/>
      <c r="H49" s="41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4.4">
      <c r="B50" s="540"/>
      <c r="C50" s="349"/>
      <c r="D50" s="487"/>
      <c r="E50" s="488"/>
      <c r="F50" s="294"/>
      <c r="G50" s="42"/>
      <c r="H50" s="41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4.4">
      <c r="B51" s="540"/>
      <c r="C51" s="349"/>
      <c r="D51" s="494"/>
      <c r="E51" s="495"/>
      <c r="F51" s="294"/>
      <c r="G51" s="42"/>
      <c r="H51" s="41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" thickBot="1">
      <c r="B52" s="553"/>
      <c r="C52" s="350"/>
      <c r="D52" s="496"/>
      <c r="E52" s="497"/>
      <c r="F52" s="294"/>
      <c r="G52" s="42"/>
      <c r="H52" s="41"/>
      <c r="I52" s="42"/>
      <c r="J52" s="291" t="s">
        <v>148</v>
      </c>
      <c r="K52" s="324"/>
      <c r="L52" s="294"/>
      <c r="M52" s="294"/>
      <c r="N52" s="294"/>
      <c r="O52" s="294"/>
      <c r="P52" s="12"/>
      <c r="BC52" s="44"/>
      <c r="BD52" s="44"/>
    </row>
    <row r="53" spans="2:57" ht="17.7" customHeight="1" thickBot="1">
      <c r="B53" s="312" t="s">
        <v>139</v>
      </c>
      <c r="C53" s="313"/>
      <c r="D53" s="476">
        <f>AVERAGE(D31:E52)</f>
        <v>14.02</v>
      </c>
      <c r="E53" s="477"/>
      <c r="F53" s="294"/>
      <c r="G53" s="42"/>
      <c r="H53" s="41"/>
      <c r="I53" s="42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7" customHeight="1">
      <c r="B54" s="363"/>
      <c r="C54" s="364"/>
      <c r="D54" s="365"/>
      <c r="E54" s="365"/>
      <c r="F54" s="294"/>
      <c r="G54" s="42"/>
      <c r="H54" s="41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customHeight="1">
      <c r="B55" s="45"/>
      <c r="C55" s="11"/>
      <c r="D55" s="11"/>
      <c r="E55" s="46"/>
      <c r="F55" s="294"/>
      <c r="G55" s="42"/>
      <c r="H55" s="41"/>
      <c r="I55" s="42"/>
      <c r="J55" s="346" t="s">
        <v>130</v>
      </c>
      <c r="K55" s="324">
        <f>SUM(K45:K54)</f>
        <v>8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294"/>
      <c r="P56" s="334"/>
    </row>
    <row r="57" spans="2:57" ht="15" customHeight="1" thickBot="1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8"/>
      <c r="O57" s="48"/>
      <c r="P57" s="49"/>
    </row>
    <row r="58" spans="2:57" ht="15" customHeight="1" thickBot="1">
      <c r="B58" s="466" t="s">
        <v>17</v>
      </c>
      <c r="C58" s="466" t="s">
        <v>44</v>
      </c>
      <c r="D58" s="478" t="s">
        <v>45</v>
      </c>
      <c r="E58" s="480" t="s">
        <v>46</v>
      </c>
      <c r="F58" s="474" t="s">
        <v>47</v>
      </c>
      <c r="G58" s="464" t="s">
        <v>48</v>
      </c>
      <c r="H58" s="466" t="s">
        <v>49</v>
      </c>
      <c r="I58" s="466" t="s">
        <v>50</v>
      </c>
      <c r="J58" s="458" t="s">
        <v>28</v>
      </c>
      <c r="K58" s="470" t="s">
        <v>51</v>
      </c>
      <c r="L58" s="472" t="s">
        <v>52</v>
      </c>
      <c r="M58" s="458" t="s">
        <v>53</v>
      </c>
      <c r="N58" s="13"/>
      <c r="O58" s="13"/>
      <c r="P58" s="50"/>
    </row>
    <row r="59" spans="2:57" ht="28.5" customHeight="1" thickTop="1" thickBot="1">
      <c r="B59" s="467"/>
      <c r="C59" s="467"/>
      <c r="D59" s="479"/>
      <c r="E59" s="481"/>
      <c r="F59" s="475"/>
      <c r="G59" s="465"/>
      <c r="H59" s="467"/>
      <c r="I59" s="467"/>
      <c r="J59" s="459"/>
      <c r="K59" s="471"/>
      <c r="L59" s="473"/>
      <c r="M59" s="459"/>
      <c r="N59" s="13"/>
      <c r="O59" s="13"/>
      <c r="P59" s="50"/>
      <c r="Q59" s="355"/>
      <c r="AB59" s="51">
        <v>43474</v>
      </c>
      <c r="AC59" s="51">
        <v>43475</v>
      </c>
      <c r="AD59" s="51">
        <v>43476</v>
      </c>
      <c r="AE59" s="51">
        <v>43477</v>
      </c>
      <c r="AF59" s="51">
        <v>43478</v>
      </c>
      <c r="AG59" s="51">
        <v>43479</v>
      </c>
      <c r="AH59" s="51">
        <v>43480</v>
      </c>
      <c r="AI59" s="51">
        <v>43481</v>
      </c>
      <c r="AJ59" s="51">
        <v>43482</v>
      </c>
      <c r="AK59" s="51">
        <v>43483</v>
      </c>
      <c r="AL59" s="51">
        <v>43484</v>
      </c>
      <c r="AM59" s="51">
        <v>43485</v>
      </c>
      <c r="AN59" s="51">
        <v>43486</v>
      </c>
      <c r="AO59" s="51">
        <v>43487</v>
      </c>
      <c r="AP59" s="51">
        <v>43488</v>
      </c>
      <c r="AQ59" s="51">
        <v>43489</v>
      </c>
      <c r="AR59" s="51">
        <v>43490</v>
      </c>
      <c r="AS59" s="51">
        <v>43491</v>
      </c>
      <c r="AT59" s="51">
        <v>43492</v>
      </c>
      <c r="AU59" s="51">
        <v>43493</v>
      </c>
      <c r="AV59" s="51">
        <v>43494</v>
      </c>
      <c r="AW59" s="51">
        <v>43495</v>
      </c>
      <c r="AX59" s="51">
        <v>43496</v>
      </c>
    </row>
    <row r="60" spans="2:57" s="54" customFormat="1" ht="59.25" customHeight="1">
      <c r="B60" s="452" t="str">
        <f>I33</f>
        <v>GUINNESS</v>
      </c>
      <c r="C60" s="283">
        <v>45770</v>
      </c>
      <c r="D60" s="377">
        <f>[32]April_2025!$Z$23</f>
        <v>217.20000000000002</v>
      </c>
      <c r="E60" s="378">
        <f>SUM([34]GUINNESS!$S$12,[34]GUINNESS!$S$16)</f>
        <v>4.6000000000000005</v>
      </c>
      <c r="F60" s="379">
        <f>SUM([34]GUINNESS!$L$12:$L$13,[34]GUINNESS!$L$16:$L$17)</f>
        <v>202</v>
      </c>
      <c r="G60" s="303">
        <f>[32]April_2025!$Z$28</f>
        <v>194.89999999999998</v>
      </c>
      <c r="H60" s="320">
        <f>(D60-F60)/D60*100</f>
        <v>6.998158379373856</v>
      </c>
      <c r="I60" s="322">
        <f>((F60+E60)-G60)/(F60+E60)*100</f>
        <v>5.6631171345595437</v>
      </c>
      <c r="J60" s="360" t="s">
        <v>150</v>
      </c>
      <c r="K60" s="286">
        <f>[33]April_2025!$Z$32</f>
        <v>0.68385964912280695</v>
      </c>
      <c r="L60" s="314">
        <f>(((D60+E60)-G60)/(D60+E60))*100</f>
        <v>12.128043282236263</v>
      </c>
      <c r="M60" s="423" t="s">
        <v>200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9"/>
      <c r="AC60" s="279"/>
      <c r="AD60" s="279"/>
      <c r="AE60" s="279"/>
      <c r="AF60" s="279"/>
      <c r="AG60" s="279"/>
      <c r="AH60" s="279"/>
      <c r="AI60" s="279"/>
      <c r="AJ60" s="279"/>
      <c r="AK60" s="279"/>
      <c r="AL60" s="279"/>
      <c r="AM60" s="279"/>
      <c r="AN60" s="279"/>
      <c r="AO60" s="279"/>
      <c r="AP60" s="279"/>
      <c r="AQ60" s="279"/>
      <c r="AR60" s="279"/>
      <c r="AS60" s="279"/>
      <c r="AT60" s="279"/>
      <c r="AU60" s="279"/>
      <c r="AV60" s="279"/>
      <c r="AW60" s="279"/>
    </row>
    <row r="61" spans="2:57" s="54" customFormat="1">
      <c r="B61" s="415"/>
      <c r="C61" s="283"/>
      <c r="D61" s="377"/>
      <c r="E61" s="378"/>
      <c r="F61" s="379"/>
      <c r="G61" s="303"/>
      <c r="H61" s="320"/>
      <c r="I61" s="322"/>
      <c r="J61" s="398"/>
      <c r="K61" s="286"/>
      <c r="L61" s="314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20"/>
      <c r="AC61" s="420"/>
      <c r="AD61" s="420"/>
      <c r="AE61" s="420"/>
      <c r="AF61" s="420"/>
      <c r="AG61" s="420"/>
      <c r="AH61" s="420"/>
      <c r="AI61" s="420"/>
      <c r="AJ61" s="420"/>
      <c r="AK61" s="420"/>
      <c r="AL61" s="420"/>
      <c r="AM61" s="420"/>
      <c r="AN61" s="420"/>
      <c r="AO61" s="420"/>
      <c r="AP61" s="420"/>
      <c r="AQ61" s="420"/>
      <c r="AR61" s="420"/>
      <c r="AS61" s="420"/>
      <c r="AT61" s="420"/>
      <c r="AU61" s="420"/>
      <c r="AV61" s="420"/>
      <c r="AW61" s="420"/>
    </row>
    <row r="62" spans="2:57" s="54" customFormat="1" ht="59.25" hidden="1" customHeight="1">
      <c r="B62" s="415"/>
      <c r="C62" s="283"/>
      <c r="D62" s="377"/>
      <c r="E62" s="378"/>
      <c r="F62" s="379"/>
      <c r="G62" s="303"/>
      <c r="H62" s="320"/>
      <c r="I62" s="322"/>
      <c r="J62" s="398"/>
      <c r="K62" s="286"/>
      <c r="L62" s="314"/>
      <c r="M62" s="423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20"/>
      <c r="AC62" s="420"/>
      <c r="AD62" s="420"/>
      <c r="AE62" s="420"/>
      <c r="AF62" s="420"/>
      <c r="AG62" s="420"/>
      <c r="AH62" s="420"/>
      <c r="AI62" s="420"/>
      <c r="AJ62" s="420"/>
      <c r="AK62" s="420"/>
      <c r="AL62" s="420"/>
      <c r="AM62" s="420"/>
      <c r="AN62" s="420"/>
      <c r="AO62" s="420"/>
      <c r="AP62" s="420"/>
      <c r="AQ62" s="420"/>
      <c r="AR62" s="420"/>
      <c r="AS62" s="420"/>
      <c r="AT62" s="420"/>
      <c r="AU62" s="420"/>
      <c r="AV62" s="420"/>
      <c r="AW62" s="420"/>
    </row>
    <row r="63" spans="2:57" s="54" customFormat="1">
      <c r="B63" s="387"/>
      <c r="C63" s="283"/>
      <c r="D63" s="279"/>
      <c r="E63" s="279"/>
      <c r="F63" s="279"/>
      <c r="G63" s="279"/>
      <c r="H63" s="320"/>
      <c r="I63" s="322"/>
      <c r="J63" s="281"/>
      <c r="K63" s="417"/>
      <c r="L63" s="314"/>
      <c r="M63" s="42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[20]January_2019!L8</f>
        <v>1.0028070175438597</v>
      </c>
      <c r="AC63" s="57">
        <f>[20]January_2019!M8</f>
        <v>1.7828070175438597</v>
      </c>
      <c r="AD63" s="57" t="e">
        <f>[20]January_2019!N8</f>
        <v>#DIV/0!</v>
      </c>
      <c r="AE63" s="57" t="e">
        <f>[20]January_2019!O8</f>
        <v>#DIV/0!</v>
      </c>
      <c r="AF63" s="57">
        <f>[20]January_2019!P8</f>
        <v>0.19222222222222221</v>
      </c>
      <c r="AG63" s="57">
        <f>[20]January_2019!Q8</f>
        <v>0.52219298245614032</v>
      </c>
      <c r="AH63" s="57">
        <f>[20]January_2019!R8</f>
        <v>0.42912280701754385</v>
      </c>
      <c r="AI63" s="57" t="e">
        <f>[20]January_2019!S8</f>
        <v>#DIV/0!</v>
      </c>
      <c r="AJ63" s="57">
        <f>[20]January_2019!T8</f>
        <v>1.0340350877192983</v>
      </c>
      <c r="AK63" s="57">
        <f>[20]January_2019!U8</f>
        <v>0.98421052631578942</v>
      </c>
      <c r="AL63" s="57" t="e">
        <f>[20]January_2019!V8</f>
        <v>#DIV/0!</v>
      </c>
      <c r="AM63" s="57" t="e">
        <f>[20]January_2019!W8</f>
        <v>#DIV/0!</v>
      </c>
      <c r="AN63" s="57">
        <f>[20]January_2019!X8</f>
        <v>0.66052631578947374</v>
      </c>
      <c r="AO63" s="57">
        <f>[20]January_2019!Y8</f>
        <v>1.0375438596491227</v>
      </c>
      <c r="AP63" s="57">
        <f>[20]January_2019!Z8</f>
        <v>0.90456140350877201</v>
      </c>
      <c r="AQ63" s="57">
        <f>[20]January_2019!AA8</f>
        <v>1.0217543859649123</v>
      </c>
      <c r="AR63" s="57">
        <f>[20]January_2019!AB8</f>
        <v>0.65614035087719302</v>
      </c>
      <c r="AS63" s="57" t="e">
        <f>[20]January_2019!AC8</f>
        <v>#DIV/0!</v>
      </c>
      <c r="AT63" s="57" t="e">
        <f>[20]January_2019!AD8</f>
        <v>#DIV/0!</v>
      </c>
      <c r="AU63" s="57">
        <f>[20]January_2019!AE8</f>
        <v>1.7021052631578948</v>
      </c>
      <c r="AV63" s="57">
        <f>[20]January_2019!AF8</f>
        <v>0.60192982456140354</v>
      </c>
      <c r="AW63" s="57">
        <f>[20]January_2019!AG8</f>
        <v>1.4870175438596491</v>
      </c>
      <c r="AX63" s="277" t="e">
        <f>[20]January_2019!AH8</f>
        <v>#DIV/0!</v>
      </c>
      <c r="AY63" s="277"/>
      <c r="AZ63" s="277"/>
      <c r="BA63" s="277"/>
      <c r="BB63" s="277"/>
      <c r="BC63" s="277"/>
      <c r="BD63" s="277"/>
      <c r="BE63" s="277"/>
    </row>
    <row r="64" spans="2:57" ht="58.5" hidden="1" customHeight="1" thickBot="1">
      <c r="B64" s="426"/>
      <c r="C64" s="427"/>
      <c r="D64" s="428"/>
      <c r="E64" s="428"/>
      <c r="F64" s="428"/>
      <c r="G64" s="428"/>
      <c r="H64" s="429"/>
      <c r="I64" s="430"/>
      <c r="J64" s="390"/>
      <c r="K64" s="431"/>
      <c r="L64" s="432"/>
      <c r="M64" s="424"/>
      <c r="N64" s="13"/>
      <c r="O64" s="13"/>
      <c r="P64" s="56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6"/>
      <c r="P65" s="60"/>
    </row>
    <row r="66" spans="2:16" ht="14.4" thickBot="1">
      <c r="B66" s="460" t="s">
        <v>55</v>
      </c>
      <c r="C66" s="461"/>
      <c r="D66" s="461"/>
      <c r="E66" s="461"/>
      <c r="F66" s="462"/>
      <c r="G66" s="460" t="s">
        <v>56</v>
      </c>
      <c r="H66" s="461"/>
      <c r="I66" s="461"/>
      <c r="J66" s="462"/>
      <c r="K66" s="460" t="s">
        <v>51</v>
      </c>
      <c r="L66" s="461"/>
      <c r="M66" s="461"/>
      <c r="N66" s="463"/>
      <c r="O66" s="56"/>
      <c r="P66" s="50"/>
    </row>
    <row r="67" spans="2:16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>
      <c r="B68" s="29" t="s">
        <v>6</v>
      </c>
      <c r="C68" s="65"/>
      <c r="D68" s="76">
        <v>6.8162461115558459</v>
      </c>
      <c r="E68" s="76">
        <v>6.9511047986919161</v>
      </c>
      <c r="F68" s="66">
        <v>4.8</v>
      </c>
      <c r="G68" s="65"/>
      <c r="H68" s="76">
        <v>5.7023846553087019</v>
      </c>
      <c r="I68" s="76">
        <v>7.3405289920717642</v>
      </c>
      <c r="J68" s="66">
        <v>4.8</v>
      </c>
      <c r="K68" s="67"/>
      <c r="L68" s="194">
        <v>0.72898245614035095</v>
      </c>
      <c r="M68" s="194">
        <v>0.76940873098603424</v>
      </c>
      <c r="N68" s="68">
        <v>1</v>
      </c>
      <c r="O68" s="56"/>
      <c r="P68" s="69"/>
    </row>
    <row r="69" spans="2:16">
      <c r="B69" s="33" t="s">
        <v>9</v>
      </c>
      <c r="C69" s="65"/>
      <c r="D69" s="76">
        <v>4.2450486263931086</v>
      </c>
      <c r="E69" s="76">
        <v>6.1155450770178703</v>
      </c>
      <c r="F69" s="66">
        <v>4.8</v>
      </c>
      <c r="G69" s="65"/>
      <c r="H69" s="76">
        <v>3.4141428210415596</v>
      </c>
      <c r="I69" s="76">
        <v>6.8230563423535244</v>
      </c>
      <c r="J69" s="66">
        <v>4.8</v>
      </c>
      <c r="K69" s="67"/>
      <c r="L69" s="194">
        <v>1.0079824561403508</v>
      </c>
      <c r="M69" s="194">
        <v>0.7648720776226775</v>
      </c>
      <c r="N69" s="68">
        <v>1</v>
      </c>
      <c r="P69" s="69"/>
    </row>
    <row r="70" spans="2:16">
      <c r="B70" s="34" t="s">
        <v>40</v>
      </c>
      <c r="C70" s="65">
        <f>L60</f>
        <v>12.128043282236263</v>
      </c>
      <c r="D70" s="76">
        <v>10.826844642195047</v>
      </c>
      <c r="E70" s="76">
        <v>13.125604223990466</v>
      </c>
      <c r="F70" s="66">
        <v>5.5</v>
      </c>
      <c r="G70" s="65">
        <f>[32]April_2025!$Z$32</f>
        <v>12.977473134780851</v>
      </c>
      <c r="H70" s="76">
        <v>10.823247958374074</v>
      </c>
      <c r="I70" s="76">
        <v>13.879185403587476</v>
      </c>
      <c r="J70" s="66">
        <v>5.5</v>
      </c>
      <c r="K70" s="67">
        <f>K60</f>
        <v>0.68385964912280695</v>
      </c>
      <c r="L70" s="194">
        <v>0.42192982456140349</v>
      </c>
      <c r="M70" s="194">
        <v>0.5124236387782205</v>
      </c>
      <c r="N70" s="68">
        <v>1</v>
      </c>
      <c r="P70" s="69"/>
    </row>
    <row r="71" spans="2:16">
      <c r="B71" s="22" t="s">
        <v>33</v>
      </c>
      <c r="C71" s="65"/>
      <c r="D71" s="76">
        <v>3.2321253672869714</v>
      </c>
      <c r="E71" s="76">
        <v>2.2218158544390558</v>
      </c>
      <c r="F71" s="66">
        <v>3.3</v>
      </c>
      <c r="G71" s="65"/>
      <c r="H71" s="76">
        <v>2.3924874613168265</v>
      </c>
      <c r="I71" s="76">
        <v>5.0359151649923692</v>
      </c>
      <c r="J71" s="66">
        <v>3.3</v>
      </c>
      <c r="K71" s="67"/>
      <c r="L71" s="194">
        <v>1.3866666666666667</v>
      </c>
      <c r="M71" s="194">
        <v>0.87880701754385959</v>
      </c>
      <c r="N71" s="68">
        <v>1</v>
      </c>
      <c r="P71" s="69"/>
    </row>
    <row r="72" spans="2:16">
      <c r="B72" s="35" t="s">
        <v>29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L72" s="194"/>
      <c r="M72" s="194"/>
      <c r="N72" s="68">
        <v>1</v>
      </c>
      <c r="P72" s="69"/>
    </row>
    <row r="73" spans="2:16">
      <c r="B73" s="36" t="s">
        <v>15</v>
      </c>
      <c r="C73" s="282"/>
      <c r="D73" s="76"/>
      <c r="E73" s="76">
        <v>8.7664670658682695</v>
      </c>
      <c r="F73" s="70">
        <f>[21]May_2022!$M$43</f>
        <v>3.4878406700073312</v>
      </c>
      <c r="G73" s="282"/>
      <c r="H73" s="76"/>
      <c r="I73" s="76">
        <v>10.607235567685406</v>
      </c>
      <c r="J73" s="66">
        <v>5.5</v>
      </c>
      <c r="K73" s="67"/>
      <c r="L73" s="194"/>
      <c r="M73" s="194">
        <v>0.66824561403508764</v>
      </c>
      <c r="N73" s="68">
        <v>1</v>
      </c>
      <c r="P73" s="69"/>
    </row>
    <row r="74" spans="2:16">
      <c r="B74" s="37" t="s">
        <v>16</v>
      </c>
      <c r="C74" s="65"/>
      <c r="D74" s="76">
        <v>0.38967364831952411</v>
      </c>
      <c r="E74" s="76">
        <v>1.85607294041028</v>
      </c>
      <c r="F74" s="66">
        <v>3.3</v>
      </c>
      <c r="G74" s="282"/>
      <c r="H74" s="76">
        <v>3.9053322254376623</v>
      </c>
      <c r="I74" s="76">
        <v>4.5764571827076486</v>
      </c>
      <c r="J74" s="66">
        <v>3.3</v>
      </c>
      <c r="K74" s="67"/>
      <c r="L74" s="194">
        <v>0.71754385964912282</v>
      </c>
      <c r="M74" s="194">
        <v>0.83594855305466242</v>
      </c>
      <c r="N74" s="71">
        <v>1</v>
      </c>
      <c r="P74" s="69"/>
    </row>
    <row r="75" spans="2:16" ht="14.4" thickBot="1">
      <c r="B75" s="38" t="s">
        <v>127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4.4" thickBot="1">
      <c r="B76" s="418" t="s">
        <v>162</v>
      </c>
      <c r="C76" s="65"/>
      <c r="D76" s="76"/>
      <c r="E76" s="76">
        <v>4.8792508624938291</v>
      </c>
      <c r="F76" s="66">
        <v>4.8</v>
      </c>
      <c r="G76" s="282"/>
      <c r="H76" s="76"/>
      <c r="I76" s="76">
        <v>6.2003723782925313</v>
      </c>
      <c r="J76" s="66">
        <v>4.8</v>
      </c>
      <c r="K76" s="67"/>
      <c r="L76" s="194">
        <v>0</v>
      </c>
      <c r="M76" s="194">
        <v>0.33859649122807017</v>
      </c>
      <c r="N76" s="71">
        <v>1</v>
      </c>
      <c r="O76" s="74"/>
      <c r="P76" s="75"/>
    </row>
    <row r="77" spans="2:16">
      <c r="D77" s="76">
        <v>5.4490089536394182</v>
      </c>
      <c r="E77" s="76">
        <v>6.6633305302909065</v>
      </c>
      <c r="F77" s="341">
        <v>5.5</v>
      </c>
      <c r="H77" s="76">
        <v>5.0476400728192345</v>
      </c>
      <c r="I77" s="76">
        <v>7.6125630949187366</v>
      </c>
      <c r="J77" s="341">
        <v>5.5</v>
      </c>
      <c r="K77" s="67"/>
      <c r="L77" s="194">
        <v>0.81458204334365325</v>
      </c>
      <c r="M77" s="194">
        <v>0.74750131329790481</v>
      </c>
      <c r="N77" s="386">
        <v>1</v>
      </c>
    </row>
    <row r="81" spans="6:6">
      <c r="F81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66:F66"/>
    <mergeCell ref="G66:J66"/>
    <mergeCell ref="K66:N66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831" priority="160" operator="notBetween">
      <formula>#REF!</formula>
      <formula>#REF!</formula>
    </cfRule>
  </conditionalFormatting>
  <conditionalFormatting sqref="C57">
    <cfRule type="cellIs" dxfId="830" priority="191" stopIfTrue="1" operator="lessThan">
      <formula>96</formula>
    </cfRule>
    <cfRule type="cellIs" dxfId="829" priority="192" stopIfTrue="1" operator="greaterThan">
      <formula>100</formula>
    </cfRule>
  </conditionalFormatting>
  <conditionalFormatting sqref="C68:C69">
    <cfRule type="cellIs" dxfId="828" priority="121" stopIfTrue="1" operator="lessThanOrEqual">
      <formula>0</formula>
    </cfRule>
  </conditionalFormatting>
  <conditionalFormatting sqref="C68:C72">
    <cfRule type="cellIs" dxfId="827" priority="120" stopIfTrue="1" operator="greaterThan">
      <formula>$F68</formula>
    </cfRule>
  </conditionalFormatting>
  <conditionalFormatting sqref="C69">
    <cfRule type="cellIs" dxfId="826" priority="195" stopIfTrue="1" operator="greaterThan">
      <formula>$F68</formula>
    </cfRule>
  </conditionalFormatting>
  <conditionalFormatting sqref="C70:C73">
    <cfRule type="cellIs" dxfId="825" priority="144" stopIfTrue="1" operator="lessThanOrEqual">
      <formula>0</formula>
    </cfRule>
  </conditionalFormatting>
  <conditionalFormatting sqref="C73">
    <cfRule type="cellIs" dxfId="824" priority="143" stopIfTrue="1" operator="greaterThan">
      <formula>$J73</formula>
    </cfRule>
  </conditionalFormatting>
  <conditionalFormatting sqref="C79:C83">
    <cfRule type="cellIs" dxfId="823" priority="183" stopIfTrue="1" operator="lessThanOrEqual">
      <formula>0</formula>
    </cfRule>
  </conditionalFormatting>
  <conditionalFormatting sqref="C80:C83">
    <cfRule type="cellIs" dxfId="822" priority="182" stopIfTrue="1" operator="greaterThan">
      <formula>$F$79</formula>
    </cfRule>
  </conditionalFormatting>
  <conditionalFormatting sqref="C85">
    <cfRule type="cellIs" dxfId="821" priority="184" stopIfTrue="1" operator="greaterThan">
      <formula>$F$79</formula>
    </cfRule>
    <cfRule type="cellIs" dxfId="820" priority="185" stopIfTrue="1" operator="lessThanOrEqual">
      <formula>0</formula>
    </cfRule>
  </conditionalFormatting>
  <conditionalFormatting sqref="C79:D79 D81:D87">
    <cfRule type="cellIs" dxfId="819" priority="177" stopIfTrue="1" operator="greaterThan">
      <formula>4.5</formula>
    </cfRule>
  </conditionalFormatting>
  <conditionalFormatting sqref="D53:D54">
    <cfRule type="cellIs" dxfId="818" priority="161" operator="notBetween">
      <formula>#REF!</formula>
      <formula>#REF!</formula>
    </cfRule>
  </conditionalFormatting>
  <conditionalFormatting sqref="D68:D75">
    <cfRule type="cellIs" dxfId="817" priority="154" stopIfTrue="1" operator="lessThanOrEqual">
      <formula>0</formula>
    </cfRule>
  </conditionalFormatting>
  <conditionalFormatting sqref="D76">
    <cfRule type="cellIs" dxfId="816" priority="153" stopIfTrue="1" operator="lessThanOrEqual">
      <formula>0</formula>
    </cfRule>
  </conditionalFormatting>
  <conditionalFormatting sqref="D79 D81:D87">
    <cfRule type="cellIs" dxfId="815" priority="178" stopIfTrue="1" operator="lessThanOrEqual">
      <formula>0</formula>
    </cfRule>
  </conditionalFormatting>
  <conditionalFormatting sqref="D80">
    <cfRule type="cellIs" dxfId="814" priority="169" stopIfTrue="1" operator="greaterThan">
      <formula>$F$79</formula>
    </cfRule>
    <cfRule type="cellIs" dxfId="813" priority="170" stopIfTrue="1" operator="lessThanOrEqual">
      <formula>0</formula>
    </cfRule>
  </conditionalFormatting>
  <conditionalFormatting sqref="D68:E77">
    <cfRule type="cellIs" dxfId="812" priority="117" stopIfTrue="1" operator="greaterThan">
      <formula>$F68</formula>
    </cfRule>
  </conditionalFormatting>
  <conditionalFormatting sqref="D77:E77">
    <cfRule type="cellIs" dxfId="811" priority="118" stopIfTrue="1" operator="lessThanOrEqual">
      <formula>0</formula>
    </cfRule>
  </conditionalFormatting>
  <conditionalFormatting sqref="E10:E28">
    <cfRule type="cellIs" dxfId="810" priority="61" operator="lessThan">
      <formula>48</formula>
    </cfRule>
  </conditionalFormatting>
  <conditionalFormatting sqref="E56 E57:F57">
    <cfRule type="cellIs" dxfId="809" priority="174" stopIfTrue="1" operator="greaterThan">
      <formula>100</formula>
    </cfRule>
  </conditionalFormatting>
  <conditionalFormatting sqref="E57">
    <cfRule type="cellIs" dxfId="808" priority="171" stopIfTrue="1" operator="lessThan">
      <formula>96.8</formula>
    </cfRule>
    <cfRule type="cellIs" dxfId="807" priority="172" stopIfTrue="1" operator="greaterThan">
      <formula>100</formula>
    </cfRule>
  </conditionalFormatting>
  <conditionalFormatting sqref="E68:E76">
    <cfRule type="cellIs" dxfId="806" priority="148" stopIfTrue="1" operator="lessThanOrEqual">
      <formula>0</formula>
    </cfRule>
  </conditionalFormatting>
  <conditionalFormatting sqref="E79:E87">
    <cfRule type="cellIs" dxfId="805" priority="164" stopIfTrue="1" operator="lessThanOrEqual">
      <formula>0</formula>
    </cfRule>
    <cfRule type="cellIs" dxfId="804" priority="163" stopIfTrue="1" operator="greaterThan">
      <formula>4.5</formula>
    </cfRule>
  </conditionalFormatting>
  <conditionalFormatting sqref="E57:F57 E56">
    <cfRule type="cellIs" dxfId="803" priority="173" stopIfTrue="1" operator="lessThan">
      <formula>96.5</formula>
    </cfRule>
  </conditionalFormatting>
  <conditionalFormatting sqref="F10:F28">
    <cfRule type="cellIs" dxfId="802" priority="62" operator="greaterThan">
      <formula>60</formula>
    </cfRule>
  </conditionalFormatting>
  <conditionalFormatting sqref="F57">
    <cfRule type="cellIs" dxfId="801" priority="189" stopIfTrue="1" operator="lessThan">
      <formula>96.8</formula>
    </cfRule>
    <cfRule type="cellIs" dxfId="800" priority="190" stopIfTrue="1" operator="greaterThan">
      <formula>100</formula>
    </cfRule>
  </conditionalFormatting>
  <conditionalFormatting sqref="F77">
    <cfRule type="cellIs" dxfId="799" priority="150" stopIfTrue="1" operator="lessThanOrEqual">
      <formula>0</formula>
    </cfRule>
    <cfRule type="cellIs" dxfId="798" priority="149" stopIfTrue="1" operator="greaterThan">
      <formula>$F77</formula>
    </cfRule>
  </conditionalFormatting>
  <conditionalFormatting sqref="G68:G69 C74:C76">
    <cfRule type="cellIs" dxfId="797" priority="156" stopIfTrue="1" operator="lessThanOrEqual">
      <formula>0</formula>
    </cfRule>
    <cfRule type="cellIs" dxfId="796" priority="155" stopIfTrue="1" operator="greaterThan">
      <formula>$F68</formula>
    </cfRule>
  </conditionalFormatting>
  <conditionalFormatting sqref="G68:G69">
    <cfRule type="cellIs" dxfId="795" priority="122" stopIfTrue="1" operator="greaterThan">
      <formula>$F68</formula>
    </cfRule>
    <cfRule type="cellIs" dxfId="794" priority="123" stopIfTrue="1" operator="lessThanOrEqual">
      <formula>0</formula>
    </cfRule>
  </conditionalFormatting>
  <conditionalFormatting sqref="G70">
    <cfRule type="cellIs" dxfId="793" priority="194" stopIfTrue="1" operator="lessThanOrEqual">
      <formula>0</formula>
    </cfRule>
    <cfRule type="cellIs" dxfId="792" priority="193" stopIfTrue="1" operator="greaterThan">
      <formula>$F69</formula>
    </cfRule>
  </conditionalFormatting>
  <conditionalFormatting sqref="G71">
    <cfRule type="cellIs" dxfId="791" priority="152" stopIfTrue="1" operator="lessThanOrEqual">
      <formula>0</formula>
    </cfRule>
    <cfRule type="cellIs" dxfId="790" priority="151" stopIfTrue="1" operator="greaterThan">
      <formula>$F71</formula>
    </cfRule>
  </conditionalFormatting>
  <conditionalFormatting sqref="G72:G76">
    <cfRule type="cellIs" dxfId="789" priority="158" stopIfTrue="1" operator="lessThanOrEqual">
      <formula>0</formula>
    </cfRule>
    <cfRule type="cellIs" dxfId="788" priority="157" stopIfTrue="1" operator="greaterThan">
      <formula>$J72</formula>
    </cfRule>
  </conditionalFormatting>
  <conditionalFormatting sqref="G81:G86 C84 C86">
    <cfRule type="cellIs" dxfId="787" priority="187" stopIfTrue="1" operator="lessThanOrEqual">
      <formula>0</formula>
    </cfRule>
    <cfRule type="cellIs" dxfId="786" priority="186" stopIfTrue="1" operator="greaterThan">
      <formula>4.5</formula>
    </cfRule>
  </conditionalFormatting>
  <conditionalFormatting sqref="G10:H19 H20:H22 G20:G28">
    <cfRule type="expression" dxfId="785" priority="60">
      <formula>IF(+(IF(G10&lt;#REF!,0,IF(G10&gt;#REF!,0,1)))=0,1)</formula>
    </cfRule>
  </conditionalFormatting>
  <conditionalFormatting sqref="G80:H80">
    <cfRule type="cellIs" dxfId="784" priority="168" stopIfTrue="1" operator="lessThanOrEqual">
      <formula>0</formula>
    </cfRule>
    <cfRule type="cellIs" dxfId="783" priority="167" stopIfTrue="1" operator="greaterThan">
      <formula>$F$79</formula>
    </cfRule>
  </conditionalFormatting>
  <conditionalFormatting sqref="H23:H28">
    <cfRule type="expression" dxfId="782" priority="63">
      <formula>IF(+(IF(H23&lt;T23,0,IF(H23&gt;U23,0,1)))=0,1)</formula>
    </cfRule>
  </conditionalFormatting>
  <conditionalFormatting sqref="H42:H56">
    <cfRule type="cellIs" dxfId="781" priority="165" stopIfTrue="1" operator="greaterThan">
      <formula>0</formula>
    </cfRule>
  </conditionalFormatting>
  <conditionalFormatting sqref="H60">
    <cfRule type="cellIs" dxfId="780" priority="2" stopIfTrue="1" operator="lessThanOrEqual">
      <formula>0</formula>
    </cfRule>
    <cfRule type="cellIs" dxfId="779" priority="3" stopIfTrue="1" operator="greaterThan">
      <formula>$F$35</formula>
    </cfRule>
    <cfRule type="cellIs" dxfId="778" priority="14" stopIfTrue="1" operator="lessThanOrEqual">
      <formula>0</formula>
    </cfRule>
    <cfRule type="cellIs" dxfId="777" priority="13" stopIfTrue="1" operator="greaterThan">
      <formula>$F$36</formula>
    </cfRule>
    <cfRule type="cellIs" dxfId="776" priority="12" stopIfTrue="1" operator="lessThanOrEqual">
      <formula>0</formula>
    </cfRule>
    <cfRule type="cellIs" dxfId="775" priority="11" stopIfTrue="1" operator="greaterThan">
      <formula>$F$38</formula>
    </cfRule>
  </conditionalFormatting>
  <conditionalFormatting sqref="H61:H62">
    <cfRule type="cellIs" dxfId="774" priority="91" stopIfTrue="1" operator="greaterThan">
      <formula>$F$41</formula>
    </cfRule>
    <cfRule type="cellIs" dxfId="773" priority="99" stopIfTrue="1" operator="greaterThan">
      <formula>$F$44</formula>
    </cfRule>
    <cfRule type="cellIs" dxfId="772" priority="100" stopIfTrue="1" operator="lessThanOrEqual">
      <formula>0</formula>
    </cfRule>
    <cfRule type="cellIs" dxfId="771" priority="76" stopIfTrue="1" operator="lessThanOrEqual">
      <formula>0</formula>
    </cfRule>
    <cfRule type="cellIs" dxfId="770" priority="102" stopIfTrue="1" operator="lessThanOrEqual">
      <formula>0</formula>
    </cfRule>
    <cfRule type="cellIs" dxfId="769" priority="101" stopIfTrue="1" operator="greaterThan">
      <formula>$F$42</formula>
    </cfRule>
  </conditionalFormatting>
  <conditionalFormatting sqref="H63">
    <cfRule type="cellIs" dxfId="768" priority="139" stopIfTrue="1" operator="greaterThan">
      <formula>$F$68</formula>
    </cfRule>
    <cfRule type="cellIs" dxfId="767" priority="128" stopIfTrue="1" operator="lessThanOrEqual">
      <formula>0</formula>
    </cfRule>
    <cfRule type="cellIs" dxfId="766" priority="129" stopIfTrue="1" operator="greaterThan">
      <formula>$F$67</formula>
    </cfRule>
    <cfRule type="cellIs" dxfId="765" priority="137" stopIfTrue="1" operator="greaterThan">
      <formula>$F$70</formula>
    </cfRule>
    <cfRule type="cellIs" dxfId="764" priority="138" stopIfTrue="1" operator="lessThanOrEqual">
      <formula>0</formula>
    </cfRule>
    <cfRule type="cellIs" dxfId="763" priority="140" stopIfTrue="1" operator="lessThanOrEqual">
      <formula>0</formula>
    </cfRule>
  </conditionalFormatting>
  <conditionalFormatting sqref="H64">
    <cfRule type="cellIs" dxfId="762" priority="89" stopIfTrue="1" operator="greaterThan">
      <formula>$F$42</formula>
    </cfRule>
    <cfRule type="cellIs" dxfId="761" priority="78" stopIfTrue="1" operator="lessThanOrEqual">
      <formula>0</formula>
    </cfRule>
    <cfRule type="cellIs" dxfId="760" priority="79" stopIfTrue="1" operator="greaterThan">
      <formula>$F$41</formula>
    </cfRule>
    <cfRule type="cellIs" dxfId="759" priority="88" stopIfTrue="1" operator="lessThanOrEqual">
      <formula>0</formula>
    </cfRule>
    <cfRule type="cellIs" dxfId="758" priority="90" stopIfTrue="1" operator="lessThanOrEqual">
      <formula>0</formula>
    </cfRule>
    <cfRule type="cellIs" dxfId="757" priority="87" stopIfTrue="1" operator="greaterThan">
      <formula>$F$44</formula>
    </cfRule>
  </conditionalFormatting>
  <conditionalFormatting sqref="H68:H75">
    <cfRule type="cellIs" dxfId="756" priority="141" stopIfTrue="1" operator="greaterThan">
      <formula>$J68</formula>
    </cfRule>
    <cfRule type="cellIs" dxfId="755" priority="142" stopIfTrue="1" operator="lessThanOrEqual">
      <formula>0</formula>
    </cfRule>
  </conditionalFormatting>
  <conditionalFormatting sqref="H76">
    <cfRule type="cellIs" dxfId="754" priority="145" operator="greaterThan">
      <formula>5.3</formula>
    </cfRule>
  </conditionalFormatting>
  <conditionalFormatting sqref="H79 H81:H87">
    <cfRule type="cellIs" dxfId="753" priority="179" stopIfTrue="1" operator="greaterThan">
      <formula>4.5</formula>
    </cfRule>
    <cfRule type="cellIs" dxfId="752" priority="180" stopIfTrue="1" operator="lessThanOrEqual">
      <formula>0</formula>
    </cfRule>
  </conditionalFormatting>
  <conditionalFormatting sqref="H60:I60">
    <cfRule type="cellIs" dxfId="751" priority="1" stopIfTrue="1" operator="greaterThan">
      <formula>$F$37</formula>
    </cfRule>
    <cfRule type="cellIs" dxfId="750" priority="4" stopIfTrue="1" operator="lessThanOrEqual">
      <formula>0</formula>
    </cfRule>
  </conditionalFormatting>
  <conditionalFormatting sqref="H61:I62">
    <cfRule type="cellIs" dxfId="749" priority="92" stopIfTrue="1" operator="lessThanOrEqual">
      <formula>0</formula>
    </cfRule>
    <cfRule type="cellIs" dxfId="748" priority="75" stopIfTrue="1" operator="greaterThan">
      <formula>$F$43</formula>
    </cfRule>
  </conditionalFormatting>
  <conditionalFormatting sqref="H63:I63">
    <cfRule type="cellIs" dxfId="747" priority="130" stopIfTrue="1" operator="lessThanOrEqual">
      <formula>0</formula>
    </cfRule>
    <cfRule type="cellIs" dxfId="746" priority="127" stopIfTrue="1" operator="greaterThan">
      <formula>$F$69</formula>
    </cfRule>
  </conditionalFormatting>
  <conditionalFormatting sqref="H64:I64">
    <cfRule type="cellIs" dxfId="745" priority="80" stopIfTrue="1" operator="lessThanOrEqual">
      <formula>0</formula>
    </cfRule>
    <cfRule type="cellIs" dxfId="744" priority="77" stopIfTrue="1" operator="greaterThan">
      <formula>$F$43</formula>
    </cfRule>
  </conditionalFormatting>
  <conditionalFormatting sqref="H77:I77">
    <cfRule type="cellIs" dxfId="743" priority="116" stopIfTrue="1" operator="lessThanOrEqual">
      <formula>0</formula>
    </cfRule>
    <cfRule type="cellIs" dxfId="742" priority="115" stopIfTrue="1" operator="greaterThan">
      <formula>$J77</formula>
    </cfRule>
  </conditionalFormatting>
  <conditionalFormatting sqref="I60">
    <cfRule type="cellIs" dxfId="741" priority="5" stopIfTrue="1" operator="greaterThan">
      <formula>$F$35</formula>
    </cfRule>
    <cfRule type="cellIs" dxfId="740" priority="6" stopIfTrue="1" operator="lessThanOrEqual">
      <formula>0</formula>
    </cfRule>
    <cfRule type="cellIs" dxfId="739" priority="7" stopIfTrue="1" operator="greaterThan">
      <formula>$F$37</formula>
    </cfRule>
    <cfRule type="cellIs" dxfId="738" priority="8" stopIfTrue="1" operator="lessThanOrEqual">
      <formula>0</formula>
    </cfRule>
    <cfRule type="cellIs" dxfId="737" priority="9" stopIfTrue="1" operator="greaterThan">
      <formula>$F$35</formula>
    </cfRule>
    <cfRule type="cellIs" dxfId="736" priority="10" stopIfTrue="1" operator="lessThanOrEqual">
      <formula>0</formula>
    </cfRule>
  </conditionalFormatting>
  <conditionalFormatting sqref="I61:I62">
    <cfRule type="cellIs" dxfId="735" priority="96" stopIfTrue="1" operator="lessThanOrEqual">
      <formula>0</formula>
    </cfRule>
    <cfRule type="cellIs" dxfId="734" priority="97" stopIfTrue="1" operator="greaterThan">
      <formula>$F$41</formula>
    </cfRule>
    <cfRule type="cellIs" dxfId="733" priority="98" stopIfTrue="1" operator="lessThanOrEqual">
      <formula>0</formula>
    </cfRule>
    <cfRule type="cellIs" dxfId="732" priority="95" stopIfTrue="1" operator="greaterThan">
      <formula>$F$43</formula>
    </cfRule>
    <cfRule type="cellIs" dxfId="731" priority="93" stopIfTrue="1" operator="greaterThan">
      <formula>$F$41</formula>
    </cfRule>
    <cfRule type="cellIs" dxfId="730" priority="94" stopIfTrue="1" operator="lessThanOrEqual">
      <formula>0</formula>
    </cfRule>
  </conditionalFormatting>
  <conditionalFormatting sqref="I63">
    <cfRule type="cellIs" dxfId="729" priority="136" stopIfTrue="1" operator="lessThanOrEqual">
      <formula>0</formula>
    </cfRule>
    <cfRule type="cellIs" dxfId="728" priority="135" stopIfTrue="1" operator="greaterThan">
      <formula>$F$67</formula>
    </cfRule>
    <cfRule type="cellIs" dxfId="727" priority="131" stopIfTrue="1" operator="greaterThan">
      <formula>$F$67</formula>
    </cfRule>
    <cfRule type="cellIs" dxfId="726" priority="132" stopIfTrue="1" operator="lessThanOrEqual">
      <formula>0</formula>
    </cfRule>
    <cfRule type="cellIs" dxfId="725" priority="133" stopIfTrue="1" operator="greaterThan">
      <formula>$F$69</formula>
    </cfRule>
    <cfRule type="cellIs" dxfId="724" priority="134" stopIfTrue="1" operator="lessThanOrEqual">
      <formula>0</formula>
    </cfRule>
  </conditionalFormatting>
  <conditionalFormatting sqref="I64">
    <cfRule type="cellIs" dxfId="723" priority="81" stopIfTrue="1" operator="greaterThan">
      <formula>$F$41</formula>
    </cfRule>
    <cfRule type="cellIs" dxfId="722" priority="82" stopIfTrue="1" operator="lessThanOrEqual">
      <formula>0</formula>
    </cfRule>
    <cfRule type="cellIs" dxfId="721" priority="83" stopIfTrue="1" operator="greaterThan">
      <formula>$F$43</formula>
    </cfRule>
    <cfRule type="cellIs" dxfId="720" priority="86" stopIfTrue="1" operator="lessThanOrEqual">
      <formula>0</formula>
    </cfRule>
    <cfRule type="cellIs" dxfId="719" priority="85" stopIfTrue="1" operator="greaterThan">
      <formula>$F$41</formula>
    </cfRule>
    <cfRule type="cellIs" dxfId="718" priority="84" stopIfTrue="1" operator="lessThanOrEqual">
      <formula>0</formula>
    </cfRule>
  </conditionalFormatting>
  <conditionalFormatting sqref="I68:I76">
    <cfRule type="cellIs" dxfId="717" priority="147" stopIfTrue="1" operator="lessThanOrEqual">
      <formula>0</formula>
    </cfRule>
    <cfRule type="cellIs" dxfId="716" priority="146" stopIfTrue="1" operator="greaterThan">
      <formula>$J68</formula>
    </cfRule>
  </conditionalFormatting>
  <conditionalFormatting sqref="I79:I87">
    <cfRule type="cellIs" dxfId="715" priority="175" stopIfTrue="1" operator="greaterThan">
      <formula>4.5</formula>
    </cfRule>
    <cfRule type="cellIs" dxfId="714" priority="176" stopIfTrue="1" operator="lessThanOrEqual">
      <formula>0</formula>
    </cfRule>
  </conditionalFormatting>
  <conditionalFormatting sqref="I10:J23 I24:I28">
    <cfRule type="cellIs" dxfId="713" priority="74" operator="lessThan">
      <formula>97.9</formula>
    </cfRule>
  </conditionalFormatting>
  <conditionalFormatting sqref="J24:J28">
    <cfRule type="cellIs" dxfId="712" priority="73" operator="greaterThan">
      <formula>6.4</formula>
    </cfRule>
    <cfRule type="cellIs" dxfId="711" priority="70" operator="lessThan">
      <formula>4</formula>
    </cfRule>
    <cfRule type="cellIs" dxfId="710" priority="69" operator="greaterThan">
      <formula>6</formula>
    </cfRule>
  </conditionalFormatting>
  <conditionalFormatting sqref="J31:J33">
    <cfRule type="cellIs" dxfId="709" priority="105" stopIfTrue="1" operator="lessThan">
      <formula>96.8</formula>
    </cfRule>
    <cfRule type="cellIs" dxfId="708" priority="107" operator="lessThan">
      <formula>98</formula>
    </cfRule>
    <cfRule type="cellIs" dxfId="707" priority="106" stopIfTrue="1" operator="greaterThan">
      <formula>100</formula>
    </cfRule>
  </conditionalFormatting>
  <conditionalFormatting sqref="J31:J35">
    <cfRule type="cellIs" dxfId="706" priority="104" operator="lessThan">
      <formula>97.4</formula>
    </cfRule>
  </conditionalFormatting>
  <conditionalFormatting sqref="J36">
    <cfRule type="cellIs" dxfId="705" priority="108" operator="lessThan">
      <formula>98</formula>
    </cfRule>
  </conditionalFormatting>
  <conditionalFormatting sqref="J37:J39">
    <cfRule type="cellIs" dxfId="704" priority="109" stopIfTrue="1" operator="lessThan">
      <formula>96.8</formula>
    </cfRule>
    <cfRule type="cellIs" dxfId="703" priority="110" stopIfTrue="1" operator="greaterThan">
      <formula>100</formula>
    </cfRule>
  </conditionalFormatting>
  <conditionalFormatting sqref="J37:J40">
    <cfRule type="cellIs" dxfId="702" priority="111" operator="lessThan">
      <formula>98</formula>
    </cfRule>
  </conditionalFormatting>
  <conditionalFormatting sqref="J77">
    <cfRule type="cellIs" dxfId="701" priority="113" stopIfTrue="1" operator="lessThanOrEqual">
      <formula>0</formula>
    </cfRule>
    <cfRule type="cellIs" dxfId="700" priority="112" stopIfTrue="1" operator="greaterThan">
      <formula>$F77</formula>
    </cfRule>
  </conditionalFormatting>
  <conditionalFormatting sqref="K10:K23">
    <cfRule type="cellIs" dxfId="699" priority="15" operator="greaterThan">
      <formula>6</formula>
    </cfRule>
    <cfRule type="cellIs" dxfId="698" priority="17" operator="greaterThan">
      <formula>6.4</formula>
    </cfRule>
    <cfRule type="cellIs" dxfId="697" priority="16" operator="lessThan">
      <formula>4</formula>
    </cfRule>
  </conditionalFormatting>
  <conditionalFormatting sqref="K45:K54">
    <cfRule type="cellIs" dxfId="696" priority="103" operator="notEqual">
      <formula>#REF!</formula>
    </cfRule>
  </conditionalFormatting>
  <conditionalFormatting sqref="K60:K64 K68:N71 L72:N72">
    <cfRule type="cellIs" dxfId="695" priority="159" stopIfTrue="1" operator="lessThan">
      <formula>100%</formula>
    </cfRule>
  </conditionalFormatting>
  <conditionalFormatting sqref="K79:K84">
    <cfRule type="cellIs" dxfId="694" priority="181" stopIfTrue="1" operator="lessThan">
      <formula>100%</formula>
    </cfRule>
  </conditionalFormatting>
  <conditionalFormatting sqref="K86:K87">
    <cfRule type="cellIs" dxfId="693" priority="188" stopIfTrue="1" operator="lessThan">
      <formula>100%</formula>
    </cfRule>
  </conditionalFormatting>
  <conditionalFormatting sqref="K73:N77">
    <cfRule type="cellIs" dxfId="692" priority="114" stopIfTrue="1" operator="lessThan">
      <formula>100%</formula>
    </cfRule>
  </conditionalFormatting>
  <conditionalFormatting sqref="L10:M17 L18:L23 K24:K28">
    <cfRule type="cellIs" dxfId="691" priority="72" operator="greaterThan">
      <formula>65</formula>
    </cfRule>
    <cfRule type="cellIs" dxfId="690" priority="71" operator="between">
      <formula>61</formula>
      <formula>65</formula>
    </cfRule>
  </conditionalFormatting>
  <conditionalFormatting sqref="L31:M42">
    <cfRule type="cellIs" dxfId="689" priority="119" operator="lessThan">
      <formula>98</formula>
    </cfRule>
  </conditionalFormatting>
  <conditionalFormatting sqref="L46:N46">
    <cfRule type="cellIs" dxfId="688" priority="124" operator="notEqual">
      <formula>#REF!</formula>
    </cfRule>
  </conditionalFormatting>
  <conditionalFormatting sqref="L79:N87">
    <cfRule type="cellIs" dxfId="687" priority="166" stopIfTrue="1" operator="lessThan">
      <formula>100%</formula>
    </cfRule>
  </conditionalFormatting>
  <conditionalFormatting sqref="M10:M23 L24:M28">
    <cfRule type="expression" dxfId="686" priority="68">
      <formula>IF(+(IF(L10&lt;T10,0,IF(L10&gt;U10,0,1)))=0,1)</formula>
    </cfRule>
  </conditionalFormatting>
  <conditionalFormatting sqref="M6:N6">
    <cfRule type="cellIs" dxfId="685" priority="125" operator="greaterThanOrEqual">
      <formula>15</formula>
    </cfRule>
    <cfRule type="cellIs" dxfId="684" priority="126" operator="greaterThanOrEqual">
      <formula>19</formula>
    </cfRule>
  </conditionalFormatting>
  <conditionalFormatting sqref="N10:N28">
    <cfRule type="expression" dxfId="683" priority="64">
      <formula>IF(+(IF(N10&lt;W10,0,IF(N10&gt;X10,0,1)))=0,1)</formula>
    </cfRule>
  </conditionalFormatting>
  <conditionalFormatting sqref="P6">
    <cfRule type="cellIs" dxfId="682" priority="162" operator="greaterThanOrEqual">
      <formula>19</formula>
    </cfRule>
  </conditionalFormatting>
  <dataValidations count="1">
    <dataValidation type="list" allowBlank="1" showInputMessage="1" showErrorMessage="1" sqref="R8" xr:uid="{3DE055DC-FA13-409D-8522-EB26C787A649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16CB-3D3E-480B-BF78-32EF6F1D20B0}">
  <sheetPr>
    <pageSetUpPr fitToPage="1"/>
  </sheetPr>
  <dimension ref="A1:BE84"/>
  <sheetViews>
    <sheetView topLeftCell="A12" zoomScaleNormal="100" workbookViewId="0">
      <selection activeCell="I40" sqref="I40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8.6640625" style="275" bestFit="1" customWidth="1"/>
    <col min="7" max="7" width="26.44140625" style="275" customWidth="1"/>
    <col min="8" max="8" width="27" style="275" customWidth="1"/>
    <col min="9" max="9" width="26.109375" style="275" customWidth="1"/>
    <col min="10" max="10" width="31.6640625" style="275" customWidth="1"/>
    <col min="11" max="11" width="25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45772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189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14.4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[24]Brewhouse!$A182</f>
        <v>ST165</v>
      </c>
      <c r="D10" s="279">
        <f>[24]Brewhouse!$AD182</f>
        <v>53.8</v>
      </c>
      <c r="E10" s="279">
        <f>[24]Brewhouse!$AG182</f>
        <v>50.5</v>
      </c>
      <c r="F10" s="278">
        <f>[24]Brewhouse!$V182</f>
        <v>62</v>
      </c>
      <c r="G10" s="279">
        <f>[24]Brewhouse!$AE182</f>
        <v>11.85</v>
      </c>
      <c r="H10" s="396">
        <v>11.7</v>
      </c>
      <c r="I10" s="434">
        <f>[24]Brewhouse!$AS182</f>
        <v>100.0542639520425</v>
      </c>
      <c r="J10" s="434">
        <f>[24]Brewhouse!$AT182</f>
        <v>101.39761547837318</v>
      </c>
      <c r="K10" s="398">
        <f>[24]Brewhouse!$Q182</f>
        <v>5.8394160583941535</v>
      </c>
      <c r="L10" s="276">
        <f>[24]Brewhouse!$P182</f>
        <v>58</v>
      </c>
      <c r="M10" s="374">
        <f>[24]Brewhouse!$U182-[24]Brewhouse!$T182</f>
        <v>0.11041666666666672</v>
      </c>
      <c r="N10" s="370">
        <f>[24]Brewhouse!$AW182</f>
        <v>0.26388888888888895</v>
      </c>
      <c r="O10" s="435" t="str">
        <f>[24]Brewhouse!$AV182</f>
        <v>R.Sookram</v>
      </c>
      <c r="P10" s="443"/>
      <c r="R10" s="277" t="str">
        <f t="shared" ref="R10:R32" si="0">B10</f>
        <v>STAG</v>
      </c>
      <c r="S10" s="296">
        <f t="shared" ref="S10:S32" si="1">VLOOKUP($B10,$R$3:$X$9,2,FALSE)</f>
        <v>11.6</v>
      </c>
      <c r="T10" s="296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296">
        <f t="shared" ref="Z10:Z32" si="8">VLOOKUP($B10,$R$3:$Z$9,9,FALSE)</f>
        <v>60</v>
      </c>
    </row>
    <row r="11" spans="2:29" ht="15.75" customHeight="1">
      <c r="B11" s="33" t="s">
        <v>9</v>
      </c>
      <c r="C11" s="366" t="str">
        <f>[24]Brewhouse!$A183</f>
        <v>ST166</v>
      </c>
      <c r="D11" s="279">
        <f>[24]Brewhouse!$AD183</f>
        <v>53.2</v>
      </c>
      <c r="E11" s="279">
        <f>[24]Brewhouse!$AG183</f>
        <v>49.6</v>
      </c>
      <c r="F11" s="278">
        <f>[24]Brewhouse!$V183</f>
        <v>57</v>
      </c>
      <c r="G11" s="279">
        <f>[24]Brewhouse!$AE183</f>
        <v>11.9</v>
      </c>
      <c r="H11" s="396">
        <v>11.8</v>
      </c>
      <c r="I11" s="434">
        <f>[24]Brewhouse!$AS183</f>
        <v>97.894867203057146</v>
      </c>
      <c r="J11" s="434">
        <f>[24]Brewhouse!$AT183</f>
        <v>99.342197384027386</v>
      </c>
      <c r="K11" s="398">
        <f>[24]Brewhouse!$Q183</f>
        <v>3.3519553072625774</v>
      </c>
      <c r="L11" s="276">
        <f>[24]Brewhouse!$P183</f>
        <v>58</v>
      </c>
      <c r="M11" s="374">
        <f>[24]Brewhouse!$U183-[24]Brewhouse!$T183</f>
        <v>0.10347222222222219</v>
      </c>
      <c r="N11" s="370">
        <f>[24]Brewhouse!$AW183</f>
        <v>0.25138888888888883</v>
      </c>
      <c r="O11" s="435" t="str">
        <f>[24]Brewhouse!$AV183</f>
        <v>R.Sookram</v>
      </c>
      <c r="P11" s="443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[24]Brewhouse!$A184</f>
        <v>ST167</v>
      </c>
      <c r="D12" s="279">
        <f>[24]Brewhouse!$AD184</f>
        <v>55.1</v>
      </c>
      <c r="E12" s="279">
        <f>[24]Brewhouse!$AG184</f>
        <v>51.7</v>
      </c>
      <c r="F12" s="278">
        <f>[24]Brewhouse!$V184</f>
        <v>57</v>
      </c>
      <c r="G12" s="279">
        <f>[24]Brewhouse!$AE184</f>
        <v>11.81</v>
      </c>
      <c r="H12" s="396">
        <v>11.8</v>
      </c>
      <c r="I12" s="434">
        <f>[24]Brewhouse!$AS184</f>
        <v>101.26478844270513</v>
      </c>
      <c r="J12" s="434">
        <f>[24]Brewhouse!$AT184</f>
        <v>102.76145331998269</v>
      </c>
      <c r="K12" s="398">
        <f>[24]Brewhouse!$Q184</f>
        <v>4.6846846846846875</v>
      </c>
      <c r="L12" s="276">
        <f>[24]Brewhouse!$P184</f>
        <v>60</v>
      </c>
      <c r="M12" s="374">
        <f>[24]Brewhouse!$U184-[24]Brewhouse!$T184</f>
        <v>0.11111111111111105</v>
      </c>
      <c r="N12" s="370">
        <f>[24]Brewhouse!$AW184</f>
        <v>0.27638888888888891</v>
      </c>
      <c r="O12" s="435" t="str">
        <f>[24]Brewhouse!$AV184</f>
        <v>K. Benjamin</v>
      </c>
      <c r="P12" s="443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[24]Brewhouse!$A185</f>
        <v>ST168</v>
      </c>
      <c r="D13" s="279">
        <f>[24]Brewhouse!$AD185</f>
        <v>54.5</v>
      </c>
      <c r="E13" s="279">
        <f>[24]Brewhouse!$AG185</f>
        <v>51.5</v>
      </c>
      <c r="F13" s="278">
        <f>[24]Brewhouse!$V185</f>
        <v>54</v>
      </c>
      <c r="G13" s="279">
        <f>[24]Brewhouse!$AE185</f>
        <v>11.81</v>
      </c>
      <c r="H13" s="396">
        <v>11.8</v>
      </c>
      <c r="I13" s="434">
        <f>[24]Brewhouse!$AS185</f>
        <v>100.87304844872946</v>
      </c>
      <c r="J13" s="434">
        <f>[24]Brewhouse!$AT185</f>
        <v>102.36392351990537</v>
      </c>
      <c r="K13" s="398">
        <f>[24]Brewhouse!$Q185</f>
        <v>3.9783001808318188</v>
      </c>
      <c r="L13" s="276">
        <f>[24]Brewhouse!$P185</f>
        <v>59</v>
      </c>
      <c r="M13" s="374">
        <f>[24]Brewhouse!$U185-[24]Brewhouse!$T185</f>
        <v>0.11736111111111103</v>
      </c>
      <c r="N13" s="370">
        <f>[24]Brewhouse!$AW185</f>
        <v>0.25347222222222221</v>
      </c>
      <c r="O13" s="435" t="str">
        <f>[24]Brewhouse!$AV185</f>
        <v>K. Benjamin</v>
      </c>
      <c r="P13" s="443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34"/>
      <c r="J14" s="434"/>
      <c r="K14" s="398"/>
      <c r="L14" s="276"/>
      <c r="M14" s="374"/>
      <c r="N14" s="370"/>
      <c r="O14" s="435"/>
      <c r="P14" s="443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444"/>
      <c r="M15" s="397"/>
      <c r="N15" s="370"/>
      <c r="O15" s="371"/>
      <c r="P15" s="443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 t="s">
        <v>6</v>
      </c>
      <c r="C16" s="366" t="str">
        <f>[23]Brewhouse!$A396</f>
        <v>CA292</v>
      </c>
      <c r="D16" s="279">
        <f>[23]Brewhouse!$AF396</f>
        <v>49.9</v>
      </c>
      <c r="E16" s="279">
        <f>[23]Brewhouse!$AI396</f>
        <v>50.6</v>
      </c>
      <c r="F16" s="278">
        <f>[23]Brewhouse!$V396</f>
        <v>57</v>
      </c>
      <c r="G16" s="279">
        <f>[23]Brewhouse!$AG396</f>
        <v>11.6</v>
      </c>
      <c r="H16" s="396">
        <v>11.8</v>
      </c>
      <c r="I16" s="368">
        <f>[23]Brewhouse!$AU396</f>
        <v>110.11836123964689</v>
      </c>
      <c r="J16" s="368">
        <f>[23]Brewhouse!$AV396</f>
        <v>111.89388222946664</v>
      </c>
      <c r="K16" s="281">
        <f>[23]Brewhouse!$Q396</f>
        <v>4.5048543689320395</v>
      </c>
      <c r="L16" s="276">
        <f>[23]Brewhouse!$P396</f>
        <v>60</v>
      </c>
      <c r="M16" s="397">
        <f>[23]Brewhouse!$U396-[23]Brewhouse!$T396</f>
        <v>0.1381944444444444</v>
      </c>
      <c r="N16" s="370">
        <f>[23]Brewhouse!$Z396</f>
        <v>0.2722222222222222</v>
      </c>
      <c r="O16" s="371" t="str">
        <f>[23]Brewhouse!$AX396</f>
        <v>R. Regis</v>
      </c>
      <c r="P16" s="443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[23]Brewhouse!$A397</f>
        <v>CA293</v>
      </c>
      <c r="D17" s="279">
        <f>[23]Brewhouse!$AF397</f>
        <v>54.8</v>
      </c>
      <c r="E17" s="279">
        <f>[23]Brewhouse!$AI397</f>
        <v>50.6</v>
      </c>
      <c r="F17" s="278">
        <f>[23]Brewhouse!$V397</f>
        <v>58</v>
      </c>
      <c r="G17" s="279">
        <f>[23]Brewhouse!$AG397</f>
        <v>11.83</v>
      </c>
      <c r="H17" s="396">
        <v>11.8</v>
      </c>
      <c r="I17" s="368">
        <f>[23]Brewhouse!$AU397</f>
        <v>100.93888664190121</v>
      </c>
      <c r="J17" s="368">
        <f>[23]Brewhouse!$AV397</f>
        <v>102.73882038661588</v>
      </c>
      <c r="K17" s="281">
        <f>[23]Brewhouse!$Q397</f>
        <v>5.8866544789762321</v>
      </c>
      <c r="L17" s="276">
        <f>[23]Brewhouse!$P397</f>
        <v>60</v>
      </c>
      <c r="M17" s="397">
        <f>[23]Brewhouse!$U397-[23]Brewhouse!$T397</f>
        <v>0.11319444444444449</v>
      </c>
      <c r="N17" s="370">
        <f>[23]Brewhouse!$Z397</f>
        <v>0.24791666666666667</v>
      </c>
      <c r="O17" s="371" t="str">
        <f>[23]Brewhouse!$AX397</f>
        <v>K.Benjamin</v>
      </c>
      <c r="P17" s="443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 t="s">
        <v>6</v>
      </c>
      <c r="C18" s="366" t="str">
        <f>[23]Brewhouse!$A398</f>
        <v>CA294</v>
      </c>
      <c r="D18" s="279">
        <f>[23]Brewhouse!$AF398</f>
        <v>55.5</v>
      </c>
      <c r="E18" s="279">
        <f>[23]Brewhouse!$AI398</f>
        <v>51.9</v>
      </c>
      <c r="F18" s="278">
        <f>[23]Brewhouse!$V398</f>
        <v>63</v>
      </c>
      <c r="G18" s="279">
        <f>[23]Brewhouse!$AG398</f>
        <v>11.73</v>
      </c>
      <c r="H18" s="396">
        <v>11.6</v>
      </c>
      <c r="I18" s="368">
        <f>[23]Brewhouse!$AU398</f>
        <v>102.6092819559459</v>
      </c>
      <c r="J18" s="368">
        <f>[23]Brewhouse!$AV398</f>
        <v>104.43900204953746</v>
      </c>
      <c r="K18" s="281">
        <f>[23]Brewhouse!$Q398</f>
        <v>7.0503597122302182</v>
      </c>
      <c r="L18" s="276">
        <f>[23]Brewhouse!$P398</f>
        <v>60</v>
      </c>
      <c r="M18" s="397">
        <f>[23]Brewhouse!$U398-[23]Brewhouse!$T398</f>
        <v>0.11111111111111094</v>
      </c>
      <c r="N18" s="370">
        <f>[23]Brewhouse!$Z398</f>
        <v>0.26041666666666663</v>
      </c>
      <c r="O18" s="371" t="str">
        <f>[23]Brewhouse!$AX398</f>
        <v>R. Regis</v>
      </c>
      <c r="P18" s="443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 t="s">
        <v>6</v>
      </c>
      <c r="C19" s="366" t="str">
        <f>[23]Brewhouse!$A399</f>
        <v>CA295</v>
      </c>
      <c r="D19" s="279">
        <f>[23]Brewhouse!$AF399</f>
        <v>54.9</v>
      </c>
      <c r="E19" s="279">
        <f>[23]Brewhouse!$AI399</f>
        <v>51.4</v>
      </c>
      <c r="F19" s="278">
        <f>[23]Brewhouse!$V399</f>
        <v>58</v>
      </c>
      <c r="G19" s="279">
        <f>[23]Brewhouse!$AG399</f>
        <v>11.85</v>
      </c>
      <c r="H19" s="396">
        <v>11.7</v>
      </c>
      <c r="I19" s="368">
        <f>[23]Brewhouse!$AU399</f>
        <v>103.4487635068831</v>
      </c>
      <c r="J19" s="368">
        <f>[23]Brewhouse!$AV399</f>
        <v>105.29345316494944</v>
      </c>
      <c r="K19" s="281">
        <f>[23]Brewhouse!$Q399</f>
        <v>6.6192170818505316</v>
      </c>
      <c r="L19" s="276">
        <f>[23]Brewhouse!$P399</f>
        <v>62</v>
      </c>
      <c r="M19" s="397">
        <f>[23]Brewhouse!$U399-[23]Brewhouse!$T399</f>
        <v>0.10624999999999996</v>
      </c>
      <c r="N19" s="370">
        <f>[23]Brewhouse!$Z399</f>
        <v>0.24305555555555558</v>
      </c>
      <c r="O19" s="371" t="str">
        <f>[23]Brewhouse!$AX399</f>
        <v>R. Regis</v>
      </c>
      <c r="P19" s="443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4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4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444"/>
      <c r="M23" s="397"/>
      <c r="N23" s="370"/>
      <c r="O23" s="371"/>
      <c r="P23" s="443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444"/>
      <c r="M24" s="397"/>
      <c r="N24" s="370"/>
      <c r="O24" s="371"/>
      <c r="P24" s="44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444"/>
      <c r="M25" s="397"/>
      <c r="N25" s="370"/>
      <c r="O25" s="371"/>
      <c r="P25" s="443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444"/>
      <c r="M26" s="397"/>
      <c r="N26" s="370"/>
      <c r="O26" s="371"/>
      <c r="P26" s="443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33"/>
      <c r="C27" s="366"/>
      <c r="D27" s="279"/>
      <c r="E27" s="279"/>
      <c r="F27" s="278"/>
      <c r="G27" s="279"/>
      <c r="H27" s="396"/>
      <c r="I27" s="434"/>
      <c r="J27" s="398"/>
      <c r="K27" s="276"/>
      <c r="L27" s="374"/>
      <c r="M27" s="397"/>
      <c r="N27" s="370"/>
      <c r="O27" s="371"/>
      <c r="P27" s="443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3"/>
      <c r="C28" s="366"/>
      <c r="D28" s="279"/>
      <c r="E28" s="279"/>
      <c r="F28" s="278"/>
      <c r="G28" s="279"/>
      <c r="H28" s="396"/>
      <c r="I28" s="434"/>
      <c r="J28" s="398"/>
      <c r="K28" s="276"/>
      <c r="L28" s="374"/>
      <c r="M28" s="397"/>
      <c r="N28" s="370"/>
      <c r="O28" s="371"/>
      <c r="P28" s="443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33"/>
      <c r="C29" s="366"/>
      <c r="D29" s="279"/>
      <c r="E29" s="279"/>
      <c r="F29" s="278"/>
      <c r="G29" s="279"/>
      <c r="H29" s="396"/>
      <c r="I29" s="434"/>
      <c r="J29" s="398"/>
      <c r="K29" s="276"/>
      <c r="L29" s="374"/>
      <c r="M29" s="397"/>
      <c r="N29" s="370"/>
      <c r="O29" s="371"/>
      <c r="P29" s="443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3"/>
      <c r="C30" s="366"/>
      <c r="D30" s="279"/>
      <c r="E30" s="279"/>
      <c r="F30" s="278"/>
      <c r="G30" s="279"/>
      <c r="H30" s="396"/>
      <c r="I30" s="434"/>
      <c r="J30" s="398"/>
      <c r="K30" s="276"/>
      <c r="L30" s="374"/>
      <c r="M30" s="397"/>
      <c r="N30" s="370"/>
      <c r="O30" s="371"/>
      <c r="P30" s="443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3"/>
      <c r="C31" s="366"/>
      <c r="D31" s="279"/>
      <c r="E31" s="279"/>
      <c r="F31" s="278"/>
      <c r="G31" s="279"/>
      <c r="H31" s="396"/>
      <c r="I31" s="434"/>
      <c r="J31" s="398"/>
      <c r="K31" s="276"/>
      <c r="L31" s="374"/>
      <c r="M31" s="397"/>
      <c r="N31" s="370"/>
      <c r="O31" s="371"/>
      <c r="P31" s="443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00" t="s">
        <v>34</v>
      </c>
      <c r="J32" s="500"/>
      <c r="K32" s="500"/>
      <c r="L32" s="500"/>
      <c r="M32" s="500"/>
      <c r="N32" s="500"/>
      <c r="O32" s="1"/>
      <c r="P32" s="12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" thickBot="1">
      <c r="B33" s="388" t="s">
        <v>145</v>
      </c>
      <c r="C33" s="388"/>
      <c r="D33" s="513" t="s">
        <v>35</v>
      </c>
      <c r="E33" s="514"/>
      <c r="F33" s="294"/>
      <c r="G33" s="294"/>
      <c r="H33" s="348"/>
      <c r="I33" s="24" t="s">
        <v>17</v>
      </c>
      <c r="J33" s="25" t="s">
        <v>36</v>
      </c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27" ht="15" customHeight="1">
      <c r="A34" s="28"/>
      <c r="B34" s="563" t="str">
        <f>I39</f>
        <v>MACKESON</v>
      </c>
      <c r="C34" s="362" cm="1">
        <f t="array" ref="C34:C37">[26]Process!$D$13:$D$16</f>
        <v>12.94</v>
      </c>
      <c r="D34" s="504">
        <v>13.83</v>
      </c>
      <c r="E34" s="493"/>
      <c r="F34" s="294"/>
      <c r="G34" s="294"/>
      <c r="H34" s="348"/>
      <c r="I34" s="29" t="s">
        <v>6</v>
      </c>
      <c r="J34" s="280">
        <f>AVERAGE(I16:I19)</f>
        <v>104.27882333609428</v>
      </c>
      <c r="K34" s="284">
        <f>COUNTA([23]Brewhouse!$A$341:$A$399)</f>
        <v>59</v>
      </c>
      <c r="L34" s="302">
        <f>AVERAGE([23]Brewhouse!$AU$341:$AU$346,[23]Brewhouse!$AU$348,[23]Brewhouse!$AU$349:$AU$399)</f>
        <v>99.617659726755718</v>
      </c>
      <c r="M34" s="302">
        <f>AVERAGE([23]Brewhouse!$AU$102:$AU$171,[23]Brewhouse!$AU$173:$AU$253,[23]Brewhouse!$AU$255:$AU$339,[23]Brewhouse!$AU$341:$AU$346,[23]Brewhouse!$AU$348,[23]Brewhouse!$AU$349:$AU$399)</f>
        <v>97.346427666120121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5" customHeight="1">
      <c r="A35" s="28"/>
      <c r="B35" s="564"/>
      <c r="C35" s="349">
        <v>13.49</v>
      </c>
      <c r="D35" s="505"/>
      <c r="E35" s="488"/>
      <c r="F35" s="294"/>
      <c r="G35" s="294"/>
      <c r="H35" s="348"/>
      <c r="I35" s="33" t="s">
        <v>9</v>
      </c>
      <c r="J35" s="280">
        <f>AVERAGE(I10:I13)</f>
        <v>100.02174201163356</v>
      </c>
      <c r="K35" s="284">
        <f>COUNTA([24]Brewhouse!$A$142:$A$185)</f>
        <v>44</v>
      </c>
      <c r="L35" s="302">
        <f>AVERAGE([24]Brewhouse!$AS$142:$AS$185)</f>
        <v>99.30262712863528</v>
      </c>
      <c r="M35" s="302">
        <f>AVERAGE([24]Brewhouse!$AS$15:$AS$64,[24]Brewhouse!$AS$66:$AS$103,[24]Brewhouse!$AS$105:$AS$140,[24]Brewhouse!$AS$142:$AS$185)</f>
        <v>97.385744181040678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7" customHeight="1">
      <c r="A36" s="28"/>
      <c r="B36" s="564"/>
      <c r="C36" s="349">
        <v>13.38</v>
      </c>
      <c r="D36" s="504">
        <v>14.21</v>
      </c>
      <c r="E36" s="493"/>
      <c r="F36" s="294"/>
      <c r="G36" s="294"/>
      <c r="H36" s="348"/>
      <c r="I36" s="34" t="s">
        <v>12</v>
      </c>
      <c r="J36" s="280"/>
      <c r="K36" s="284">
        <f>COUNTA([22]Brewhouse!$A$38:$A$45)</f>
        <v>8</v>
      </c>
      <c r="L36" s="302">
        <f>AVERAGE([22]Brewhouse!$AU$37:$AU$45)</f>
        <v>98.090293320814979</v>
      </c>
      <c r="M36" s="302">
        <f>AVERAGE([22]Brewhouse!$AU$4:$AU$7,[22]Brewhouse!$AU$9:$AU$22,[22]Brewhouse!$AU$24:$AU$35,[22]Brewhouse!$AU$37:$AU$45)</f>
        <v>97.086748546217066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7" customHeight="1">
      <c r="A37" s="28"/>
      <c r="B37" s="564"/>
      <c r="C37" s="349">
        <v>12.67</v>
      </c>
      <c r="D37" s="505"/>
      <c r="E37" s="488"/>
      <c r="F37" s="294"/>
      <c r="G37" s="294"/>
      <c r="H37" s="348"/>
      <c r="I37" s="22" t="s">
        <v>33</v>
      </c>
      <c r="J37" s="280"/>
      <c r="K37" s="284">
        <f>COUNTA([25]Brewhouse!$A$26:$A$33)</f>
        <v>8</v>
      </c>
      <c r="L37" s="302">
        <f>AVERAGE([25]Brewhouse!$AV$26:$AV$33)</f>
        <v>99.61038006330628</v>
      </c>
      <c r="M37" s="302">
        <f>AVERAGE([25]Brewhouse!$AV$5:$AV$14,[25]Brewhouse!$AV$16:$AV$19,[25]Brewhouse!$AV$21:$AV$24,[25]Brewhouse!$AV$26:$AV$33)</f>
        <v>98.921974778040592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27" ht="14.7" customHeight="1">
      <c r="A38" s="28"/>
      <c r="B38" s="564"/>
      <c r="C38" s="349"/>
      <c r="D38" s="504"/>
      <c r="E38" s="493"/>
      <c r="F38" s="436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7" customHeight="1">
      <c r="A39" s="28"/>
      <c r="B39" s="564"/>
      <c r="C39" s="349"/>
      <c r="D39" s="505"/>
      <c r="E39" s="488"/>
      <c r="F39" s="436"/>
      <c r="G39" s="294"/>
      <c r="H39" s="348"/>
      <c r="I39" s="36" t="s">
        <v>15</v>
      </c>
      <c r="J39" s="323"/>
      <c r="K39" s="284">
        <f>COUNTA([26]Brewhouse!$A$13:$A$16)</f>
        <v>4</v>
      </c>
      <c r="L39" s="302">
        <f>AVERAGE([26]Brewhouse!$AT$13:$AT$16)</f>
        <v>95.870696554126312</v>
      </c>
      <c r="M39" s="302">
        <f>AVERAGE([26]Brewhouse!$AT$4:$AT$11,[26]Brewhouse!$AT$13:$AT$16)</f>
        <v>95.165309917257005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7" customHeight="1">
      <c r="A40" s="28"/>
      <c r="B40" s="564"/>
      <c r="C40" s="349"/>
      <c r="D40" s="504"/>
      <c r="E40" s="493"/>
      <c r="F40" s="436"/>
      <c r="G40" s="294"/>
      <c r="H40" s="348"/>
      <c r="I40" s="37" t="s">
        <v>16</v>
      </c>
      <c r="J40" s="323"/>
      <c r="K40" s="284">
        <f>COUNTA([27]Brewhouse!$A$31:$A$34)</f>
        <v>4</v>
      </c>
      <c r="L40" s="302">
        <f>AVERAGE([27]Brewhouse!$AY$31:$AY$34)</f>
        <v>98.653228650224236</v>
      </c>
      <c r="M40" s="302">
        <f>AVERAGE([27]Brewhouse!$AY$6:$AY$13,[27]Brewhouse!$AY$15:$AY$20,[27]Brewhouse!$AY$22:$AY$29,[27]Brewhouse!$AY$31:$AY$34)</f>
        <v>96.120888038911147</v>
      </c>
      <c r="N40" s="30">
        <v>98</v>
      </c>
      <c r="O40" s="11"/>
      <c r="P40" s="31" t="s">
        <v>41</v>
      </c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7" customHeight="1">
      <c r="A41" s="28"/>
      <c r="B41" s="564"/>
      <c r="C41" s="349"/>
      <c r="D41" s="505"/>
      <c r="E41" s="488"/>
      <c r="F41" s="294"/>
      <c r="G41" s="294"/>
      <c r="H41" s="348"/>
      <c r="I41" s="412" t="s">
        <v>158</v>
      </c>
      <c r="J41" s="326"/>
      <c r="K41" s="284"/>
      <c r="L41" s="305"/>
      <c r="M41" s="305">
        <f>AVERAGE([28]Brewhouse!$AU$5:$AU$8)</f>
        <v>91.006888337619571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564"/>
      <c r="C42" s="349"/>
      <c r="D42" s="504"/>
      <c r="E42" s="493"/>
      <c r="F42" s="294"/>
      <c r="G42" s="294"/>
      <c r="H42" s="348"/>
      <c r="I42" s="411" t="s">
        <v>157</v>
      </c>
      <c r="J42" s="326"/>
      <c r="K42" s="284"/>
      <c r="L42" s="305"/>
      <c r="M42" s="305"/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customHeight="1" thickBot="1">
      <c r="A43" s="28"/>
      <c r="B43" s="564"/>
      <c r="C43" s="349"/>
      <c r="D43" s="505"/>
      <c r="E43" s="488"/>
      <c r="F43" s="294"/>
      <c r="G43" s="294"/>
      <c r="H43" s="348"/>
      <c r="I43" s="407" t="s">
        <v>156</v>
      </c>
      <c r="J43" s="327"/>
      <c r="K43" s="408"/>
      <c r="L43" s="409"/>
      <c r="M43" s="409"/>
      <c r="N43" s="41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564"/>
      <c r="C44" s="349"/>
      <c r="D44" s="504"/>
      <c r="E44" s="493"/>
      <c r="F44" s="294"/>
      <c r="G44" s="294"/>
      <c r="H44" s="348"/>
      <c r="I44" s="1"/>
      <c r="J44" s="39"/>
      <c r="K44" s="405">
        <f>SUM(K34:K43)</f>
        <v>127</v>
      </c>
      <c r="L44" s="406">
        <f>((L34*K34)+(L35*K35)+(L36*K36)+(L37*K37)+(L38*K38)+(K41*L41)+(L39*K39)+(L40*K40)+(L43*K43))/(K44)</f>
        <v>99.263453586054425</v>
      </c>
      <c r="M44" s="406">
        <f>AVERAGE('[29]Jan 31st'!$L$65,'[30]Feb 28th'!$L$35,'[31]Mar. 31st'!$L$35,L44)</f>
        <v>97.35716751432193</v>
      </c>
      <c r="N44" s="4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thickBot="1">
      <c r="B45" s="565"/>
      <c r="C45" s="350"/>
      <c r="D45" s="505"/>
      <c r="E45" s="488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thickBot="1">
      <c r="B46" s="558"/>
      <c r="C46" s="362"/>
      <c r="D46" s="485"/>
      <c r="E46" s="486"/>
      <c r="F46" s="294"/>
      <c r="G46" s="42"/>
      <c r="H46" s="41"/>
      <c r="I46" s="42"/>
      <c r="J46" s="538" t="s">
        <v>129</v>
      </c>
      <c r="K46" s="538"/>
      <c r="L46" s="294"/>
      <c r="M46" s="294"/>
      <c r="N46" s="294"/>
      <c r="O46" s="294"/>
      <c r="P46" s="12"/>
    </row>
    <row r="47" spans="1:27" ht="13.5" customHeight="1" thickBot="1">
      <c r="B47" s="540"/>
      <c r="C47" s="349"/>
      <c r="D47" s="487"/>
      <c r="E47" s="488"/>
      <c r="F47" s="294"/>
      <c r="G47" s="42"/>
      <c r="H47" s="41"/>
      <c r="I47" s="42"/>
      <c r="J47" s="292" t="s">
        <v>17</v>
      </c>
      <c r="K47" s="293" t="s">
        <v>191</v>
      </c>
      <c r="L47" s="490" t="s">
        <v>136</v>
      </c>
      <c r="M47" s="490"/>
      <c r="N47" s="491"/>
      <c r="O47" s="294"/>
      <c r="P47" s="12"/>
    </row>
    <row r="48" spans="1:27" ht="15" customHeight="1" thickBot="1">
      <c r="B48" s="540"/>
      <c r="C48" s="349"/>
      <c r="D48" s="492"/>
      <c r="E48" s="493"/>
      <c r="F48" s="294"/>
      <c r="G48" s="42"/>
      <c r="H48" s="41"/>
      <c r="I48" s="42"/>
      <c r="J48" s="287" t="s">
        <v>6</v>
      </c>
      <c r="K48" s="324">
        <f>COUNTA(B16:B19)</f>
        <v>4</v>
      </c>
      <c r="L48" s="343" t="s">
        <v>37</v>
      </c>
      <c r="M48" s="307" t="s">
        <v>38</v>
      </c>
      <c r="N48" s="307" t="s">
        <v>84</v>
      </c>
      <c r="O48" s="294"/>
      <c r="P48" s="12"/>
    </row>
    <row r="49" spans="2:56" ht="15.75" customHeight="1" thickBot="1">
      <c r="B49" s="540"/>
      <c r="C49" s="349"/>
      <c r="D49" s="487"/>
      <c r="E49" s="488"/>
      <c r="F49" s="294"/>
      <c r="G49" s="42"/>
      <c r="H49" s="41"/>
      <c r="I49" s="42"/>
      <c r="J49" s="345" t="s">
        <v>9</v>
      </c>
      <c r="K49" s="324">
        <f>COUNTA(B10:B13)</f>
        <v>4</v>
      </c>
      <c r="L49" s="344">
        <f>AVERAGE('Apr. 1st'!L40,'Apr. 3rd'!L40,'Apr. 4th'!L40,'Apr. 7th '!L41,'Apr. 8th  '!L51,'Apr. 9th   '!L41,'Apr. 10th '!L49,'Apr. 11-12-13th'!L118,'Apr. 14th'!L118,'Apr. 15th'!L46,'Apr. 16th'!L46,'Apr. 17th-20th'!H99,'Apr. 17th-20th'!I99,'Apr. 17th-20th'!J99,'Apr. 17th-20th'!K99,1,'Apr. 22nd'!L46,'Apr. 23rd'!K55,K58)</f>
        <v>4.8309436693337622</v>
      </c>
      <c r="M49" s="325">
        <f>AVERAGE('[29]Jan 29th '!$M$70,'[30]Feb 28th'!$L$40,'[31]Mar. 31st'!$L$40,L49)</f>
        <v>6.1615701266024328</v>
      </c>
      <c r="N49" s="433">
        <v>9.1999999999999993</v>
      </c>
      <c r="O49" s="294"/>
      <c r="P49" s="12"/>
    </row>
    <row r="50" spans="2:56" ht="15" customHeight="1">
      <c r="B50" s="540"/>
      <c r="C50" s="349"/>
      <c r="D50" s="492"/>
      <c r="E50" s="493"/>
      <c r="F50" s="294"/>
      <c r="G50" s="42"/>
      <c r="H50" s="41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6" ht="15" customHeight="1">
      <c r="B51" s="540"/>
      <c r="C51" s="349"/>
      <c r="D51" s="487"/>
      <c r="E51" s="488"/>
      <c r="F51" s="294"/>
      <c r="G51" s="42"/>
      <c r="H51" s="41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6" ht="14.4">
      <c r="B52" s="540"/>
      <c r="C52" s="349"/>
      <c r="D52" s="492"/>
      <c r="E52" s="493"/>
      <c r="F52" s="294"/>
      <c r="G52" s="42"/>
      <c r="H52" s="41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6" ht="14.4">
      <c r="B53" s="540"/>
      <c r="C53" s="349"/>
      <c r="D53" s="487"/>
      <c r="E53" s="488"/>
      <c r="F53" s="294"/>
      <c r="G53" s="42"/>
      <c r="H53" s="41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6" ht="14.4">
      <c r="B54" s="540"/>
      <c r="C54" s="349"/>
      <c r="D54" s="494"/>
      <c r="E54" s="495"/>
      <c r="F54" s="294"/>
      <c r="G54" s="42"/>
      <c r="H54" s="41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6" ht="15" thickBot="1">
      <c r="B55" s="553"/>
      <c r="C55" s="350"/>
      <c r="D55" s="496"/>
      <c r="E55" s="497"/>
      <c r="F55" s="294"/>
      <c r="G55" s="42"/>
      <c r="H55" s="41"/>
      <c r="I55" s="42"/>
      <c r="J55" s="291" t="s">
        <v>148</v>
      </c>
      <c r="K55" s="324"/>
      <c r="L55" s="294"/>
      <c r="M55" s="294"/>
      <c r="N55" s="294"/>
      <c r="O55" s="294"/>
      <c r="P55" s="12"/>
      <c r="BC55" s="44"/>
      <c r="BD55" s="44"/>
    </row>
    <row r="56" spans="2:56" ht="17.7" customHeight="1" thickBot="1">
      <c r="B56" s="312" t="s">
        <v>139</v>
      </c>
      <c r="C56" s="313"/>
      <c r="D56" s="476">
        <f>AVERAGE(D34:E55)</f>
        <v>14.02</v>
      </c>
      <c r="E56" s="477"/>
      <c r="F56" s="294"/>
      <c r="G56" s="42"/>
      <c r="H56" s="41"/>
      <c r="I56" s="42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6" ht="17.7" customHeight="1">
      <c r="B57" s="363"/>
      <c r="C57" s="364"/>
      <c r="D57" s="365"/>
      <c r="E57" s="365"/>
      <c r="F57" s="294"/>
      <c r="G57" s="42"/>
      <c r="H57" s="41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6" ht="15.75" customHeight="1">
      <c r="B58" s="45"/>
      <c r="C58" s="11"/>
      <c r="D58" s="11"/>
      <c r="E58" s="46"/>
      <c r="F58" s="294"/>
      <c r="G58" s="42"/>
      <c r="H58" s="41"/>
      <c r="I58" s="42"/>
      <c r="J58" s="346" t="s">
        <v>130</v>
      </c>
      <c r="K58" s="324">
        <f>SUM(K48:K57)</f>
        <v>8</v>
      </c>
      <c r="L58" s="294"/>
      <c r="M58" s="294"/>
      <c r="N58" s="294"/>
      <c r="O58" s="294"/>
      <c r="P58" s="12"/>
    </row>
    <row r="59" spans="2:56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294"/>
      <c r="P59" s="334"/>
    </row>
    <row r="60" spans="2:56" ht="15" customHeight="1" thickBot="1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8"/>
      <c r="O60" s="48"/>
      <c r="P60" s="49"/>
    </row>
    <row r="61" spans="2:56" ht="15" customHeight="1" thickBot="1">
      <c r="B61" s="466" t="s">
        <v>17</v>
      </c>
      <c r="C61" s="466" t="s">
        <v>44</v>
      </c>
      <c r="D61" s="478" t="s">
        <v>45</v>
      </c>
      <c r="E61" s="480" t="s">
        <v>46</v>
      </c>
      <c r="F61" s="474" t="s">
        <v>47</v>
      </c>
      <c r="G61" s="464" t="s">
        <v>48</v>
      </c>
      <c r="H61" s="466" t="s">
        <v>49</v>
      </c>
      <c r="I61" s="466" t="s">
        <v>50</v>
      </c>
      <c r="J61" s="458" t="s">
        <v>28</v>
      </c>
      <c r="K61" s="470" t="s">
        <v>51</v>
      </c>
      <c r="L61" s="472" t="s">
        <v>52</v>
      </c>
      <c r="M61" s="458" t="s">
        <v>53</v>
      </c>
      <c r="N61" s="13"/>
      <c r="O61" s="13"/>
      <c r="P61" s="50"/>
    </row>
    <row r="62" spans="2:56" ht="28.5" customHeight="1" thickTop="1" thickBot="1">
      <c r="B62" s="467"/>
      <c r="C62" s="467"/>
      <c r="D62" s="479"/>
      <c r="E62" s="481"/>
      <c r="F62" s="475"/>
      <c r="G62" s="465"/>
      <c r="H62" s="467"/>
      <c r="I62" s="467"/>
      <c r="J62" s="459"/>
      <c r="K62" s="471"/>
      <c r="L62" s="473"/>
      <c r="M62" s="459"/>
      <c r="N62" s="13"/>
      <c r="O62" s="13"/>
      <c r="P62" s="50"/>
      <c r="Q62" s="355"/>
      <c r="AB62" s="51">
        <v>43474</v>
      </c>
      <c r="AC62" s="51">
        <v>43475</v>
      </c>
      <c r="AD62" s="51">
        <v>43476</v>
      </c>
      <c r="AE62" s="51">
        <v>43477</v>
      </c>
      <c r="AF62" s="51">
        <v>43478</v>
      </c>
      <c r="AG62" s="51">
        <v>43479</v>
      </c>
      <c r="AH62" s="51">
        <v>43480</v>
      </c>
      <c r="AI62" s="51">
        <v>43481</v>
      </c>
      <c r="AJ62" s="51">
        <v>43482</v>
      </c>
      <c r="AK62" s="51">
        <v>43483</v>
      </c>
      <c r="AL62" s="51">
        <v>43484</v>
      </c>
      <c r="AM62" s="51">
        <v>43485</v>
      </c>
      <c r="AN62" s="51">
        <v>43486</v>
      </c>
      <c r="AO62" s="51">
        <v>43487</v>
      </c>
      <c r="AP62" s="51">
        <v>43488</v>
      </c>
      <c r="AQ62" s="51">
        <v>43489</v>
      </c>
      <c r="AR62" s="51">
        <v>43490</v>
      </c>
      <c r="AS62" s="51">
        <v>43491</v>
      </c>
      <c r="AT62" s="51">
        <v>43492</v>
      </c>
      <c r="AU62" s="51">
        <v>43493</v>
      </c>
      <c r="AV62" s="51">
        <v>43494</v>
      </c>
      <c r="AW62" s="51">
        <v>43495</v>
      </c>
      <c r="AX62" s="51">
        <v>43496</v>
      </c>
    </row>
    <row r="63" spans="2:56" s="54" customFormat="1" ht="59.25" customHeight="1">
      <c r="B63" s="453" t="str">
        <f>I39</f>
        <v>MACKESON</v>
      </c>
      <c r="C63" s="283">
        <v>45771</v>
      </c>
      <c r="D63" s="377">
        <f>[32]April_2025!$AA$34</f>
        <v>204.8</v>
      </c>
      <c r="E63" s="378">
        <f>SUM([34]MACKESON!$S$7:$S$10)</f>
        <v>3.8</v>
      </c>
      <c r="F63" s="379">
        <f>SUM([34]MACKESON!$L$7:$L$10)</f>
        <v>199.8</v>
      </c>
      <c r="G63" s="303">
        <f>[32]April_2025!$AA$39</f>
        <v>196.2</v>
      </c>
      <c r="H63" s="320">
        <f>(D63-F63)/D63*100</f>
        <v>2.44140625</v>
      </c>
      <c r="I63" s="322">
        <f>((F63+E63)-G63)/(F63+E63)*100</f>
        <v>3.6345776031434349</v>
      </c>
      <c r="J63" s="360" t="s">
        <v>150</v>
      </c>
      <c r="K63" s="286">
        <f>[33]April_2025!$Z$39</f>
        <v>0.68842105263157893</v>
      </c>
      <c r="L63" s="314">
        <f>(((D63+E63)-G63)/(D63+E63))*100</f>
        <v>5.9443911792905233</v>
      </c>
      <c r="M63" s="423" t="s">
        <v>177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279"/>
      <c r="AC63" s="279"/>
      <c r="AD63" s="279"/>
      <c r="AE63" s="279"/>
      <c r="AF63" s="279"/>
      <c r="AG63" s="279"/>
      <c r="AH63" s="279"/>
      <c r="AI63" s="279"/>
      <c r="AJ63" s="279"/>
      <c r="AK63" s="279"/>
      <c r="AL63" s="279"/>
      <c r="AM63" s="279"/>
      <c r="AN63" s="279"/>
      <c r="AO63" s="279"/>
      <c r="AP63" s="279"/>
      <c r="AQ63" s="279"/>
      <c r="AR63" s="279"/>
      <c r="AS63" s="279"/>
      <c r="AT63" s="279"/>
      <c r="AU63" s="279"/>
      <c r="AV63" s="279"/>
      <c r="AW63" s="279"/>
    </row>
    <row r="64" spans="2:56" s="54" customFormat="1">
      <c r="B64" s="415"/>
      <c r="C64" s="283"/>
      <c r="D64" s="377"/>
      <c r="E64" s="378"/>
      <c r="F64" s="379"/>
      <c r="G64" s="303"/>
      <c r="H64" s="320"/>
      <c r="I64" s="322"/>
      <c r="J64" s="398"/>
      <c r="K64" s="286"/>
      <c r="L64" s="314"/>
      <c r="M64" s="423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20"/>
      <c r="AC64" s="420"/>
      <c r="AD64" s="420"/>
      <c r="AE64" s="420"/>
      <c r="AF64" s="420"/>
      <c r="AG64" s="420"/>
      <c r="AH64" s="420"/>
      <c r="AI64" s="420"/>
      <c r="AJ64" s="420"/>
      <c r="AK64" s="420"/>
      <c r="AL64" s="420"/>
      <c r="AM64" s="420"/>
      <c r="AN64" s="420"/>
      <c r="AO64" s="420"/>
      <c r="AP64" s="420"/>
      <c r="AQ64" s="420"/>
      <c r="AR64" s="420"/>
      <c r="AS64" s="420"/>
      <c r="AT64" s="420"/>
      <c r="AU64" s="420"/>
      <c r="AV64" s="420"/>
      <c r="AW64" s="420"/>
    </row>
    <row r="65" spans="2:57" s="54" customFormat="1" ht="59.25" hidden="1" customHeight="1">
      <c r="B65" s="415"/>
      <c r="C65" s="283"/>
      <c r="D65" s="377"/>
      <c r="E65" s="378"/>
      <c r="F65" s="379"/>
      <c r="G65" s="303"/>
      <c r="H65" s="320"/>
      <c r="I65" s="322"/>
      <c r="J65" s="398"/>
      <c r="K65" s="286"/>
      <c r="L65" s="314"/>
      <c r="M65" s="423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20"/>
      <c r="AC65" s="420"/>
      <c r="AD65" s="420"/>
      <c r="AE65" s="420"/>
      <c r="AF65" s="420"/>
      <c r="AG65" s="420"/>
      <c r="AH65" s="420"/>
      <c r="AI65" s="420"/>
      <c r="AJ65" s="420"/>
      <c r="AK65" s="420"/>
      <c r="AL65" s="420"/>
      <c r="AM65" s="420"/>
      <c r="AN65" s="420"/>
      <c r="AO65" s="420"/>
      <c r="AP65" s="420"/>
      <c r="AQ65" s="420"/>
      <c r="AR65" s="420"/>
      <c r="AS65" s="420"/>
      <c r="AT65" s="420"/>
      <c r="AU65" s="420"/>
      <c r="AV65" s="420"/>
      <c r="AW65" s="420"/>
    </row>
    <row r="66" spans="2:57" s="54" customFormat="1">
      <c r="B66" s="387"/>
      <c r="C66" s="283"/>
      <c r="D66" s="279"/>
      <c r="E66" s="279"/>
      <c r="F66" s="279"/>
      <c r="G66" s="279"/>
      <c r="H66" s="320"/>
      <c r="I66" s="322"/>
      <c r="J66" s="281"/>
      <c r="K66" s="417"/>
      <c r="L66" s="314"/>
      <c r="M66" s="42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[20]January_2019!L8</f>
        <v>1.0028070175438597</v>
      </c>
      <c r="AC66" s="57">
        <f>[20]January_2019!M8</f>
        <v>1.7828070175438597</v>
      </c>
      <c r="AD66" s="57" t="e">
        <f>[20]January_2019!N8</f>
        <v>#DIV/0!</v>
      </c>
      <c r="AE66" s="57" t="e">
        <f>[20]January_2019!O8</f>
        <v>#DIV/0!</v>
      </c>
      <c r="AF66" s="57">
        <f>[20]January_2019!P8</f>
        <v>0.19222222222222221</v>
      </c>
      <c r="AG66" s="57">
        <f>[20]January_2019!Q8</f>
        <v>0.52219298245614032</v>
      </c>
      <c r="AH66" s="57">
        <f>[20]January_2019!R8</f>
        <v>0.42912280701754385</v>
      </c>
      <c r="AI66" s="57" t="e">
        <f>[20]January_2019!S8</f>
        <v>#DIV/0!</v>
      </c>
      <c r="AJ66" s="57">
        <f>[20]January_2019!T8</f>
        <v>1.0340350877192983</v>
      </c>
      <c r="AK66" s="57">
        <f>[20]January_2019!U8</f>
        <v>0.98421052631578942</v>
      </c>
      <c r="AL66" s="57" t="e">
        <f>[20]January_2019!V8</f>
        <v>#DIV/0!</v>
      </c>
      <c r="AM66" s="57" t="e">
        <f>[20]January_2019!W8</f>
        <v>#DIV/0!</v>
      </c>
      <c r="AN66" s="57">
        <f>[20]January_2019!X8</f>
        <v>0.66052631578947374</v>
      </c>
      <c r="AO66" s="57">
        <f>[20]January_2019!Y8</f>
        <v>1.0375438596491227</v>
      </c>
      <c r="AP66" s="57">
        <f>[20]January_2019!Z8</f>
        <v>0.90456140350877201</v>
      </c>
      <c r="AQ66" s="57">
        <f>[20]January_2019!AA8</f>
        <v>1.0217543859649123</v>
      </c>
      <c r="AR66" s="57">
        <f>[20]January_2019!AB8</f>
        <v>0.65614035087719302</v>
      </c>
      <c r="AS66" s="57" t="e">
        <f>[20]January_2019!AC8</f>
        <v>#DIV/0!</v>
      </c>
      <c r="AT66" s="57" t="e">
        <f>[20]January_2019!AD8</f>
        <v>#DIV/0!</v>
      </c>
      <c r="AU66" s="57">
        <f>[20]January_2019!AE8</f>
        <v>1.7021052631578948</v>
      </c>
      <c r="AV66" s="57">
        <f>[20]January_2019!AF8</f>
        <v>0.60192982456140354</v>
      </c>
      <c r="AW66" s="57">
        <f>[20]January_2019!AG8</f>
        <v>1.4870175438596491</v>
      </c>
      <c r="AX66" s="277" t="e">
        <f>[20]January_2019!AH8</f>
        <v>#DIV/0!</v>
      </c>
      <c r="AY66" s="277"/>
      <c r="AZ66" s="277"/>
      <c r="BA66" s="277"/>
      <c r="BB66" s="277"/>
      <c r="BC66" s="277"/>
      <c r="BD66" s="277"/>
      <c r="BE66" s="277"/>
    </row>
    <row r="67" spans="2:57" ht="58.5" hidden="1" customHeight="1" thickBot="1">
      <c r="B67" s="426"/>
      <c r="C67" s="427"/>
      <c r="D67" s="428"/>
      <c r="E67" s="428"/>
      <c r="F67" s="428"/>
      <c r="G67" s="428"/>
      <c r="H67" s="429"/>
      <c r="I67" s="430"/>
      <c r="J67" s="390"/>
      <c r="K67" s="431"/>
      <c r="L67" s="432"/>
      <c r="M67" s="424"/>
      <c r="N67" s="13"/>
      <c r="O67" s="13"/>
      <c r="P67" s="56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6"/>
      <c r="P68" s="60"/>
    </row>
    <row r="69" spans="2:57" ht="14.4" thickBot="1">
      <c r="B69" s="460" t="s">
        <v>55</v>
      </c>
      <c r="C69" s="461"/>
      <c r="D69" s="461"/>
      <c r="E69" s="461"/>
      <c r="F69" s="462"/>
      <c r="G69" s="460" t="s">
        <v>56</v>
      </c>
      <c r="H69" s="461"/>
      <c r="I69" s="461"/>
      <c r="J69" s="462"/>
      <c r="K69" s="460" t="s">
        <v>51</v>
      </c>
      <c r="L69" s="461"/>
      <c r="M69" s="461"/>
      <c r="N69" s="463"/>
      <c r="O69" s="56"/>
      <c r="P69" s="50"/>
    </row>
    <row r="70" spans="2:57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>
      <c r="B71" s="29" t="s">
        <v>6</v>
      </c>
      <c r="C71" s="65"/>
      <c r="D71" s="76">
        <v>6.8162461115558459</v>
      </c>
      <c r="E71" s="76">
        <v>6.9511047986919161</v>
      </c>
      <c r="F71" s="66">
        <v>4.8</v>
      </c>
      <c r="G71" s="65"/>
      <c r="H71" s="76">
        <v>6.1516675059266444</v>
      </c>
      <c r="I71" s="76">
        <v>7.4255463220062099</v>
      </c>
      <c r="J71" s="66">
        <v>4.8</v>
      </c>
      <c r="K71" s="67"/>
      <c r="L71" s="194">
        <v>0.72898245614035095</v>
      </c>
      <c r="M71" s="194">
        <v>0.76940873098603424</v>
      </c>
      <c r="N71" s="68">
        <v>1</v>
      </c>
      <c r="O71" s="56"/>
      <c r="P71" s="69"/>
    </row>
    <row r="72" spans="2:57">
      <c r="B72" s="33" t="s">
        <v>9</v>
      </c>
      <c r="C72" s="65"/>
      <c r="D72" s="76">
        <v>4.2450486263931086</v>
      </c>
      <c r="E72" s="76">
        <v>6.1155450770178703</v>
      </c>
      <c r="F72" s="66">
        <v>4.8</v>
      </c>
      <c r="G72" s="65"/>
      <c r="H72" s="76">
        <v>3.4141428210415596</v>
      </c>
      <c r="I72" s="76">
        <v>6.8230563423535244</v>
      </c>
      <c r="J72" s="66">
        <v>4.8</v>
      </c>
      <c r="K72" s="67"/>
      <c r="L72" s="194">
        <v>1.0079824561403508</v>
      </c>
      <c r="M72" s="194">
        <v>0.7648720776226775</v>
      </c>
      <c r="N72" s="68">
        <v>1</v>
      </c>
      <c r="P72" s="69"/>
    </row>
    <row r="73" spans="2:57">
      <c r="B73" s="34" t="s">
        <v>40</v>
      </c>
      <c r="C73" s="65"/>
      <c r="D73" s="76">
        <v>11.45473041709054</v>
      </c>
      <c r="E73" s="76">
        <v>12.997127353973809</v>
      </c>
      <c r="F73" s="66">
        <v>5.5</v>
      </c>
      <c r="G73" s="65"/>
      <c r="H73" s="76">
        <v>11.8393527204503</v>
      </c>
      <c r="I73" s="76">
        <v>13.797090374693724</v>
      </c>
      <c r="J73" s="66">
        <v>5.5</v>
      </c>
      <c r="K73" s="67"/>
      <c r="L73" s="194">
        <v>0.55254385964912278</v>
      </c>
      <c r="M73" s="194">
        <v>0.52983303518187241</v>
      </c>
      <c r="N73" s="68">
        <v>1</v>
      </c>
      <c r="P73" s="69"/>
    </row>
    <row r="74" spans="2:57">
      <c r="B74" s="22" t="s">
        <v>33</v>
      </c>
      <c r="C74" s="65"/>
      <c r="D74" s="76">
        <v>3.2321253672869714</v>
      </c>
      <c r="E74" s="76">
        <v>2.2218158544390558</v>
      </c>
      <c r="F74" s="66">
        <v>3.3</v>
      </c>
      <c r="G74" s="65"/>
      <c r="H74" s="76">
        <v>2.3924874613168265</v>
      </c>
      <c r="I74" s="76">
        <v>5.0359151649923692</v>
      </c>
      <c r="J74" s="66">
        <v>3.3</v>
      </c>
      <c r="K74" s="67"/>
      <c r="L74" s="194">
        <v>1.3866666666666667</v>
      </c>
      <c r="M74" s="194">
        <v>0.87880701754385959</v>
      </c>
      <c r="N74" s="68">
        <v>1</v>
      </c>
      <c r="P74" s="69"/>
    </row>
    <row r="75" spans="2:57">
      <c r="B75" s="35" t="s">
        <v>29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L75" s="194"/>
      <c r="M75" s="194"/>
      <c r="N75" s="68">
        <v>1</v>
      </c>
      <c r="P75" s="69"/>
    </row>
    <row r="76" spans="2:57">
      <c r="B76" s="36" t="s">
        <v>15</v>
      </c>
      <c r="C76" s="282">
        <f>L63</f>
        <v>5.9443911792905233</v>
      </c>
      <c r="D76" s="76">
        <v>5.9443911792905233</v>
      </c>
      <c r="E76" s="76">
        <v>7.8262258425171876</v>
      </c>
      <c r="F76" s="70">
        <f>[21]May_2022!$M$43</f>
        <v>3.4878406700073312</v>
      </c>
      <c r="G76" s="282">
        <f>[32]April_2025!$AA$43</f>
        <v>7.0254499502894436</v>
      </c>
      <c r="H76" s="76">
        <v>7.0254499502894436</v>
      </c>
      <c r="I76" s="76">
        <v>9.4300678869947632</v>
      </c>
      <c r="J76" s="66">
        <v>5.5</v>
      </c>
      <c r="K76" s="67">
        <f>K63</f>
        <v>0.68842105263157893</v>
      </c>
      <c r="L76" s="194">
        <v>0.68842105263157893</v>
      </c>
      <c r="M76" s="194">
        <v>0.674970760233918</v>
      </c>
      <c r="N76" s="68">
        <v>1</v>
      </c>
      <c r="P76" s="69"/>
    </row>
    <row r="77" spans="2:57">
      <c r="B77" s="37" t="s">
        <v>16</v>
      </c>
      <c r="C77" s="65"/>
      <c r="D77" s="76">
        <v>0.38967364831952411</v>
      </c>
      <c r="E77" s="76">
        <v>1.85607294041028</v>
      </c>
      <c r="F77" s="66">
        <v>3.3</v>
      </c>
      <c r="G77" s="282"/>
      <c r="H77" s="76">
        <v>3.9053322254376623</v>
      </c>
      <c r="I77" s="76">
        <v>4.5764571827076486</v>
      </c>
      <c r="J77" s="66">
        <v>3.3</v>
      </c>
      <c r="K77" s="67"/>
      <c r="L77" s="194">
        <v>0.71754385964912282</v>
      </c>
      <c r="M77" s="194">
        <v>0.83594855305466242</v>
      </c>
      <c r="N77" s="71">
        <v>1</v>
      </c>
      <c r="P77" s="69"/>
    </row>
    <row r="78" spans="2:57" ht="14.4" thickBot="1">
      <c r="B78" s="38" t="s">
        <v>127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4.4" thickBot="1">
      <c r="B79" s="418" t="s">
        <v>162</v>
      </c>
      <c r="C79" s="65"/>
      <c r="D79" s="76"/>
      <c r="E79" s="76">
        <v>4.8792508624938291</v>
      </c>
      <c r="F79" s="66">
        <v>4.8</v>
      </c>
      <c r="G79" s="282"/>
      <c r="H79" s="76"/>
      <c r="I79" s="76">
        <v>6.2003723782925313</v>
      </c>
      <c r="J79" s="66">
        <v>4.8</v>
      </c>
      <c r="K79" s="67"/>
      <c r="L79" s="194"/>
      <c r="M79" s="194">
        <v>0.33859649122807017</v>
      </c>
      <c r="N79" s="71">
        <v>1</v>
      </c>
      <c r="O79" s="74"/>
      <c r="P79" s="75"/>
    </row>
    <row r="80" spans="2:57">
      <c r="D80" s="76">
        <v>5.7439031785613981</v>
      </c>
      <c r="E80" s="76">
        <v>6.7179432828137475</v>
      </c>
      <c r="F80" s="341">
        <v>5.5</v>
      </c>
      <c r="H80" s="76">
        <v>5.791063245373655</v>
      </c>
      <c r="I80" s="76">
        <v>7.7115820928528018</v>
      </c>
      <c r="J80" s="341">
        <v>5.5</v>
      </c>
      <c r="K80" s="67"/>
      <c r="L80" s="194">
        <v>0.80102493074792247</v>
      </c>
      <c r="M80" s="194">
        <v>0.74623849697839995</v>
      </c>
      <c r="N80" s="386">
        <v>1</v>
      </c>
    </row>
    <row r="84" spans="6:6">
      <c r="F84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B46:B55"/>
    <mergeCell ref="D46:E47"/>
    <mergeCell ref="J46:K46"/>
    <mergeCell ref="L47:N47"/>
    <mergeCell ref="D48:E49"/>
    <mergeCell ref="D50:E51"/>
    <mergeCell ref="D52:E53"/>
    <mergeCell ref="D54:E55"/>
    <mergeCell ref="D56:E56"/>
    <mergeCell ref="B61:B62"/>
    <mergeCell ref="C61:C62"/>
    <mergeCell ref="D61:D62"/>
    <mergeCell ref="E61:E62"/>
    <mergeCell ref="M61:M62"/>
    <mergeCell ref="B69:F69"/>
    <mergeCell ref="G69:J69"/>
    <mergeCell ref="K69:N69"/>
    <mergeCell ref="G61:G62"/>
    <mergeCell ref="H61:H62"/>
    <mergeCell ref="I61:I62"/>
    <mergeCell ref="J61:J62"/>
    <mergeCell ref="K61:K62"/>
    <mergeCell ref="L61:L62"/>
    <mergeCell ref="F61:F62"/>
  </mergeCells>
  <conditionalFormatting sqref="B56:B57">
    <cfRule type="cellIs" dxfId="681" priority="115" operator="notBetween">
      <formula>#REF!</formula>
      <formula>#REF!</formula>
    </cfRule>
  </conditionalFormatting>
  <conditionalFormatting sqref="C60">
    <cfRule type="cellIs" dxfId="680" priority="146" stopIfTrue="1" operator="lessThan">
      <formula>96</formula>
    </cfRule>
    <cfRule type="cellIs" dxfId="679" priority="147" stopIfTrue="1" operator="greaterThan">
      <formula>100</formula>
    </cfRule>
  </conditionalFormatting>
  <conditionalFormatting sqref="C71:C72">
    <cfRule type="cellIs" dxfId="678" priority="76" stopIfTrue="1" operator="lessThanOrEqual">
      <formula>0</formula>
    </cfRule>
  </conditionalFormatting>
  <conditionalFormatting sqref="C71:C75">
    <cfRule type="cellIs" dxfId="677" priority="75" stopIfTrue="1" operator="greaterThan">
      <formula>$F71</formula>
    </cfRule>
  </conditionalFormatting>
  <conditionalFormatting sqref="C72">
    <cfRule type="cellIs" dxfId="676" priority="150" stopIfTrue="1" operator="greaterThan">
      <formula>$F71</formula>
    </cfRule>
  </conditionalFormatting>
  <conditionalFormatting sqref="C73:C76">
    <cfRule type="cellIs" dxfId="675" priority="99" stopIfTrue="1" operator="lessThanOrEqual">
      <formula>0</formula>
    </cfRule>
  </conditionalFormatting>
  <conditionalFormatting sqref="C76">
    <cfRule type="cellIs" dxfId="674" priority="98" stopIfTrue="1" operator="greaterThan">
      <formula>$J76</formula>
    </cfRule>
  </conditionalFormatting>
  <conditionalFormatting sqref="C82:C86">
    <cfRule type="cellIs" dxfId="673" priority="138" stopIfTrue="1" operator="lessThanOrEqual">
      <formula>0</formula>
    </cfRule>
  </conditionalFormatting>
  <conditionalFormatting sqref="C83:C86">
    <cfRule type="cellIs" dxfId="672" priority="137" stopIfTrue="1" operator="greaterThan">
      <formula>$F$82</formula>
    </cfRule>
  </conditionalFormatting>
  <conditionalFormatting sqref="C88">
    <cfRule type="cellIs" dxfId="671" priority="139" stopIfTrue="1" operator="greaterThan">
      <formula>$F$82</formula>
    </cfRule>
    <cfRule type="cellIs" dxfId="670" priority="140" stopIfTrue="1" operator="lessThanOrEqual">
      <formula>0</formula>
    </cfRule>
  </conditionalFormatting>
  <conditionalFormatting sqref="C82:D82 D84:D90">
    <cfRule type="cellIs" dxfId="669" priority="132" stopIfTrue="1" operator="greaterThan">
      <formula>4.5</formula>
    </cfRule>
  </conditionalFormatting>
  <conditionalFormatting sqref="D56:D57">
    <cfRule type="cellIs" dxfId="668" priority="116" operator="notBetween">
      <formula>#REF!</formula>
      <formula>#REF!</formula>
    </cfRule>
  </conditionalFormatting>
  <conditionalFormatting sqref="D71:D78">
    <cfRule type="cellIs" dxfId="667" priority="109" stopIfTrue="1" operator="lessThanOrEqual">
      <formula>0</formula>
    </cfRule>
  </conditionalFormatting>
  <conditionalFormatting sqref="D79">
    <cfRule type="cellIs" dxfId="666" priority="108" stopIfTrue="1" operator="lessThanOrEqual">
      <formula>0</formula>
    </cfRule>
  </conditionalFormatting>
  <conditionalFormatting sqref="D82 D84:D90">
    <cfRule type="cellIs" dxfId="665" priority="133" stopIfTrue="1" operator="lessThanOrEqual">
      <formula>0</formula>
    </cfRule>
  </conditionalFormatting>
  <conditionalFormatting sqref="D83">
    <cfRule type="cellIs" dxfId="664" priority="124" stopIfTrue="1" operator="greaterThan">
      <formula>$F$82</formula>
    </cfRule>
    <cfRule type="cellIs" dxfId="663" priority="125" stopIfTrue="1" operator="lessThanOrEqual">
      <formula>0</formula>
    </cfRule>
  </conditionalFormatting>
  <conditionalFormatting sqref="D71:E80">
    <cfRule type="cellIs" dxfId="662" priority="72" stopIfTrue="1" operator="greaterThan">
      <formula>$F71</formula>
    </cfRule>
  </conditionalFormatting>
  <conditionalFormatting sqref="D80:E80">
    <cfRule type="cellIs" dxfId="661" priority="73" stopIfTrue="1" operator="lessThanOrEqual">
      <formula>0</formula>
    </cfRule>
  </conditionalFormatting>
  <conditionalFormatting sqref="E10:E31">
    <cfRule type="cellIs" dxfId="660" priority="19" operator="lessThan">
      <formula>48</formula>
    </cfRule>
  </conditionalFormatting>
  <conditionalFormatting sqref="E59 E60:F60">
    <cfRule type="cellIs" dxfId="659" priority="129" stopIfTrue="1" operator="greaterThan">
      <formula>100</formula>
    </cfRule>
  </conditionalFormatting>
  <conditionalFormatting sqref="E60">
    <cfRule type="cellIs" dxfId="658" priority="126" stopIfTrue="1" operator="lessThan">
      <formula>96.8</formula>
    </cfRule>
    <cfRule type="cellIs" dxfId="657" priority="127" stopIfTrue="1" operator="greaterThan">
      <formula>100</formula>
    </cfRule>
  </conditionalFormatting>
  <conditionalFormatting sqref="E71:E79">
    <cfRule type="cellIs" dxfId="656" priority="103" stopIfTrue="1" operator="lessThanOrEqual">
      <formula>0</formula>
    </cfRule>
  </conditionalFormatting>
  <conditionalFormatting sqref="E82:E90">
    <cfRule type="cellIs" dxfId="655" priority="119" stopIfTrue="1" operator="lessThanOrEqual">
      <formula>0</formula>
    </cfRule>
    <cfRule type="cellIs" dxfId="654" priority="118" stopIfTrue="1" operator="greaterThan">
      <formula>4.5</formula>
    </cfRule>
  </conditionalFormatting>
  <conditionalFormatting sqref="E60:F60 E59">
    <cfRule type="cellIs" dxfId="653" priority="128" stopIfTrue="1" operator="lessThan">
      <formula>96.5</formula>
    </cfRule>
  </conditionalFormatting>
  <conditionalFormatting sqref="F10:F31">
    <cfRule type="cellIs" dxfId="652" priority="20" operator="greaterThan">
      <formula>60</formula>
    </cfRule>
  </conditionalFormatting>
  <conditionalFormatting sqref="F60">
    <cfRule type="cellIs" dxfId="651" priority="144" stopIfTrue="1" operator="lessThan">
      <formula>96.8</formula>
    </cfRule>
    <cfRule type="cellIs" dxfId="650" priority="145" stopIfTrue="1" operator="greaterThan">
      <formula>100</formula>
    </cfRule>
  </conditionalFormatting>
  <conditionalFormatting sqref="F80">
    <cfRule type="cellIs" dxfId="649" priority="105" stopIfTrue="1" operator="lessThanOrEqual">
      <formula>0</formula>
    </cfRule>
    <cfRule type="cellIs" dxfId="648" priority="104" stopIfTrue="1" operator="greaterThan">
      <formula>$F80</formula>
    </cfRule>
  </conditionalFormatting>
  <conditionalFormatting sqref="G71:G72 C77:C79">
    <cfRule type="cellIs" dxfId="647" priority="111" stopIfTrue="1" operator="lessThanOrEqual">
      <formula>0</formula>
    </cfRule>
    <cfRule type="cellIs" dxfId="646" priority="110" stopIfTrue="1" operator="greaterThan">
      <formula>$F71</formula>
    </cfRule>
  </conditionalFormatting>
  <conditionalFormatting sqref="G71:G72">
    <cfRule type="cellIs" dxfId="645" priority="77" stopIfTrue="1" operator="greaterThan">
      <formula>$F71</formula>
    </cfRule>
    <cfRule type="cellIs" dxfId="644" priority="78" stopIfTrue="1" operator="lessThanOrEqual">
      <formula>0</formula>
    </cfRule>
  </conditionalFormatting>
  <conditionalFormatting sqref="G73">
    <cfRule type="cellIs" dxfId="643" priority="149" stopIfTrue="1" operator="lessThanOrEqual">
      <formula>0</formula>
    </cfRule>
    <cfRule type="cellIs" dxfId="642" priority="148" stopIfTrue="1" operator="greaterThan">
      <formula>$F72</formula>
    </cfRule>
  </conditionalFormatting>
  <conditionalFormatting sqref="G74">
    <cfRule type="cellIs" dxfId="641" priority="107" stopIfTrue="1" operator="lessThanOrEqual">
      <formula>0</formula>
    </cfRule>
    <cfRule type="cellIs" dxfId="640" priority="106" stopIfTrue="1" operator="greaterThan">
      <formula>$F74</formula>
    </cfRule>
  </conditionalFormatting>
  <conditionalFormatting sqref="G75:G79">
    <cfRule type="cellIs" dxfId="639" priority="113" stopIfTrue="1" operator="lessThanOrEqual">
      <formula>0</formula>
    </cfRule>
    <cfRule type="cellIs" dxfId="638" priority="112" stopIfTrue="1" operator="greaterThan">
      <formula>$J75</formula>
    </cfRule>
  </conditionalFormatting>
  <conditionalFormatting sqref="G84:G89 C87 C89">
    <cfRule type="cellIs" dxfId="637" priority="142" stopIfTrue="1" operator="lessThanOrEqual">
      <formula>0</formula>
    </cfRule>
    <cfRule type="cellIs" dxfId="636" priority="141" stopIfTrue="1" operator="greaterThan">
      <formula>4.5</formula>
    </cfRule>
  </conditionalFormatting>
  <conditionalFormatting sqref="G10:H22 H23:H25 G23:G31">
    <cfRule type="expression" dxfId="635" priority="18">
      <formula>IF(+(IF(G10&lt;#REF!,0,IF(G10&gt;#REF!,0,1)))=0,1)</formula>
    </cfRule>
  </conditionalFormatting>
  <conditionalFormatting sqref="G83:H83">
    <cfRule type="cellIs" dxfId="634" priority="123" stopIfTrue="1" operator="lessThanOrEqual">
      <formula>0</formula>
    </cfRule>
    <cfRule type="cellIs" dxfId="633" priority="122" stopIfTrue="1" operator="greaterThan">
      <formula>$F$82</formula>
    </cfRule>
  </conditionalFormatting>
  <conditionalFormatting sqref="H26:H31">
    <cfRule type="expression" dxfId="632" priority="21">
      <formula>IF(+(IF(H26&lt;T26,0,IF(H26&gt;U26,0,1)))=0,1)</formula>
    </cfRule>
  </conditionalFormatting>
  <conditionalFormatting sqref="H45:H59">
    <cfRule type="cellIs" dxfId="631" priority="120" stopIfTrue="1" operator="greaterThan">
      <formula>0</formula>
    </cfRule>
  </conditionalFormatting>
  <conditionalFormatting sqref="H63">
    <cfRule type="cellIs" dxfId="630" priority="2" stopIfTrue="1" operator="lessThanOrEqual">
      <formula>0</formula>
    </cfRule>
    <cfRule type="cellIs" dxfId="629" priority="3" stopIfTrue="1" operator="greaterThan">
      <formula>$F$35</formula>
    </cfRule>
    <cfRule type="cellIs" dxfId="628" priority="14" stopIfTrue="1" operator="lessThanOrEqual">
      <formula>0</formula>
    </cfRule>
    <cfRule type="cellIs" dxfId="627" priority="13" stopIfTrue="1" operator="greaterThan">
      <formula>$F$36</formula>
    </cfRule>
    <cfRule type="cellIs" dxfId="626" priority="12" stopIfTrue="1" operator="lessThanOrEqual">
      <formula>0</formula>
    </cfRule>
    <cfRule type="cellIs" dxfId="625" priority="11" stopIfTrue="1" operator="greaterThan">
      <formula>$F$38</formula>
    </cfRule>
  </conditionalFormatting>
  <conditionalFormatting sqref="H64:H65">
    <cfRule type="cellIs" dxfId="624" priority="46" stopIfTrue="1" operator="greaterThan">
      <formula>$F$44</formula>
    </cfRule>
    <cfRule type="cellIs" dxfId="623" priority="54" stopIfTrue="1" operator="greaterThan">
      <formula>$F$47</formula>
    </cfRule>
    <cfRule type="cellIs" dxfId="622" priority="55" stopIfTrue="1" operator="lessThanOrEqual">
      <formula>0</formula>
    </cfRule>
    <cfRule type="cellIs" dxfId="621" priority="31" stopIfTrue="1" operator="lessThanOrEqual">
      <formula>0</formula>
    </cfRule>
    <cfRule type="cellIs" dxfId="620" priority="57" stopIfTrue="1" operator="lessThanOrEqual">
      <formula>0</formula>
    </cfRule>
    <cfRule type="cellIs" dxfId="619" priority="56" stopIfTrue="1" operator="greaterThan">
      <formula>$F$45</formula>
    </cfRule>
  </conditionalFormatting>
  <conditionalFormatting sqref="H66">
    <cfRule type="cellIs" dxfId="618" priority="94" stopIfTrue="1" operator="greaterThan">
      <formula>$F$71</formula>
    </cfRule>
    <cfRule type="cellIs" dxfId="617" priority="83" stopIfTrue="1" operator="lessThanOrEqual">
      <formula>0</formula>
    </cfRule>
    <cfRule type="cellIs" dxfId="616" priority="84" stopIfTrue="1" operator="greaterThan">
      <formula>$F$70</formula>
    </cfRule>
    <cfRule type="cellIs" dxfId="615" priority="92" stopIfTrue="1" operator="greaterThan">
      <formula>$F$73</formula>
    </cfRule>
    <cfRule type="cellIs" dxfId="614" priority="93" stopIfTrue="1" operator="lessThanOrEqual">
      <formula>0</formula>
    </cfRule>
    <cfRule type="cellIs" dxfId="613" priority="95" stopIfTrue="1" operator="lessThanOrEqual">
      <formula>0</formula>
    </cfRule>
  </conditionalFormatting>
  <conditionalFormatting sqref="H67">
    <cfRule type="cellIs" dxfId="612" priority="44" stopIfTrue="1" operator="greaterThan">
      <formula>$F$45</formula>
    </cfRule>
    <cfRule type="cellIs" dxfId="611" priority="33" stopIfTrue="1" operator="lessThanOrEqual">
      <formula>0</formula>
    </cfRule>
    <cfRule type="cellIs" dxfId="610" priority="34" stopIfTrue="1" operator="greaterThan">
      <formula>$F$44</formula>
    </cfRule>
    <cfRule type="cellIs" dxfId="609" priority="43" stopIfTrue="1" operator="lessThanOrEqual">
      <formula>0</formula>
    </cfRule>
    <cfRule type="cellIs" dxfId="608" priority="45" stopIfTrue="1" operator="lessThanOrEqual">
      <formula>0</formula>
    </cfRule>
    <cfRule type="cellIs" dxfId="607" priority="42" stopIfTrue="1" operator="greaterThan">
      <formula>$F$47</formula>
    </cfRule>
  </conditionalFormatting>
  <conditionalFormatting sqref="H71:H78">
    <cfRule type="cellIs" dxfId="606" priority="96" stopIfTrue="1" operator="greaterThan">
      <formula>$J71</formula>
    </cfRule>
    <cfRule type="cellIs" dxfId="605" priority="97" stopIfTrue="1" operator="lessThanOrEqual">
      <formula>0</formula>
    </cfRule>
  </conditionalFormatting>
  <conditionalFormatting sqref="H79">
    <cfRule type="cellIs" dxfId="604" priority="100" operator="greaterThan">
      <formula>5.3</formula>
    </cfRule>
  </conditionalFormatting>
  <conditionalFormatting sqref="H82 H84:H90">
    <cfRule type="cellIs" dxfId="603" priority="134" stopIfTrue="1" operator="greaterThan">
      <formula>4.5</formula>
    </cfRule>
    <cfRule type="cellIs" dxfId="602" priority="135" stopIfTrue="1" operator="lessThanOrEqual">
      <formula>0</formula>
    </cfRule>
  </conditionalFormatting>
  <conditionalFormatting sqref="H63:I63">
    <cfRule type="cellIs" dxfId="601" priority="1" stopIfTrue="1" operator="greaterThan">
      <formula>$F$37</formula>
    </cfRule>
    <cfRule type="cellIs" dxfId="600" priority="4" stopIfTrue="1" operator="lessThanOrEqual">
      <formula>0</formula>
    </cfRule>
  </conditionalFormatting>
  <conditionalFormatting sqref="H64:I65">
    <cfRule type="cellIs" dxfId="599" priority="47" stopIfTrue="1" operator="lessThanOrEqual">
      <formula>0</formula>
    </cfRule>
    <cfRule type="cellIs" dxfId="598" priority="30" stopIfTrue="1" operator="greaterThan">
      <formula>$F$46</formula>
    </cfRule>
  </conditionalFormatting>
  <conditionalFormatting sqref="H66:I66">
    <cfRule type="cellIs" dxfId="597" priority="85" stopIfTrue="1" operator="lessThanOrEqual">
      <formula>0</formula>
    </cfRule>
    <cfRule type="cellIs" dxfId="596" priority="82" stopIfTrue="1" operator="greaterThan">
      <formula>$F$72</formula>
    </cfRule>
  </conditionalFormatting>
  <conditionalFormatting sqref="H67:I67">
    <cfRule type="cellIs" dxfId="595" priority="35" stopIfTrue="1" operator="lessThanOrEqual">
      <formula>0</formula>
    </cfRule>
    <cfRule type="cellIs" dxfId="594" priority="32" stopIfTrue="1" operator="greaterThan">
      <formula>$F$46</formula>
    </cfRule>
  </conditionalFormatting>
  <conditionalFormatting sqref="H80:I80">
    <cfRule type="cellIs" dxfId="593" priority="71" stopIfTrue="1" operator="lessThanOrEqual">
      <formula>0</formula>
    </cfRule>
    <cfRule type="cellIs" dxfId="592" priority="70" stopIfTrue="1" operator="greaterThan">
      <formula>$J80</formula>
    </cfRule>
  </conditionalFormatting>
  <conditionalFormatting sqref="I63">
    <cfRule type="cellIs" dxfId="591" priority="5" stopIfTrue="1" operator="greaterThan">
      <formula>$F$35</formula>
    </cfRule>
    <cfRule type="cellIs" dxfId="590" priority="6" stopIfTrue="1" operator="lessThanOrEqual">
      <formula>0</formula>
    </cfRule>
    <cfRule type="cellIs" dxfId="589" priority="7" stopIfTrue="1" operator="greaterThan">
      <formula>$F$37</formula>
    </cfRule>
    <cfRule type="cellIs" dxfId="588" priority="8" stopIfTrue="1" operator="lessThanOrEqual">
      <formula>0</formula>
    </cfRule>
    <cfRule type="cellIs" dxfId="587" priority="9" stopIfTrue="1" operator="greaterThan">
      <formula>$F$35</formula>
    </cfRule>
    <cfRule type="cellIs" dxfId="586" priority="10" stopIfTrue="1" operator="lessThanOrEqual">
      <formula>0</formula>
    </cfRule>
  </conditionalFormatting>
  <conditionalFormatting sqref="I64:I65">
    <cfRule type="cellIs" dxfId="585" priority="51" stopIfTrue="1" operator="lessThanOrEqual">
      <formula>0</formula>
    </cfRule>
    <cfRule type="cellIs" dxfId="584" priority="52" stopIfTrue="1" operator="greaterThan">
      <formula>$F$44</formula>
    </cfRule>
    <cfRule type="cellIs" dxfId="583" priority="53" stopIfTrue="1" operator="lessThanOrEqual">
      <formula>0</formula>
    </cfRule>
    <cfRule type="cellIs" dxfId="582" priority="50" stopIfTrue="1" operator="greaterThan">
      <formula>$F$46</formula>
    </cfRule>
    <cfRule type="cellIs" dxfId="581" priority="48" stopIfTrue="1" operator="greaterThan">
      <formula>$F$44</formula>
    </cfRule>
    <cfRule type="cellIs" dxfId="580" priority="49" stopIfTrue="1" operator="lessThanOrEqual">
      <formula>0</formula>
    </cfRule>
  </conditionalFormatting>
  <conditionalFormatting sqref="I66">
    <cfRule type="cellIs" dxfId="579" priority="91" stopIfTrue="1" operator="lessThanOrEqual">
      <formula>0</formula>
    </cfRule>
    <cfRule type="cellIs" dxfId="578" priority="90" stopIfTrue="1" operator="greaterThan">
      <formula>$F$70</formula>
    </cfRule>
    <cfRule type="cellIs" dxfId="577" priority="86" stopIfTrue="1" operator="greaterThan">
      <formula>$F$70</formula>
    </cfRule>
    <cfRule type="cellIs" dxfId="576" priority="87" stopIfTrue="1" operator="lessThanOrEqual">
      <formula>0</formula>
    </cfRule>
    <cfRule type="cellIs" dxfId="575" priority="88" stopIfTrue="1" operator="greaterThan">
      <formula>$F$72</formula>
    </cfRule>
    <cfRule type="cellIs" dxfId="574" priority="89" stopIfTrue="1" operator="lessThanOrEqual">
      <formula>0</formula>
    </cfRule>
  </conditionalFormatting>
  <conditionalFormatting sqref="I67">
    <cfRule type="cellIs" dxfId="573" priority="36" stopIfTrue="1" operator="greaterThan">
      <formula>$F$44</formula>
    </cfRule>
    <cfRule type="cellIs" dxfId="572" priority="37" stopIfTrue="1" operator="lessThanOrEqual">
      <formula>0</formula>
    </cfRule>
    <cfRule type="cellIs" dxfId="571" priority="38" stopIfTrue="1" operator="greaterThan">
      <formula>$F$46</formula>
    </cfRule>
    <cfRule type="cellIs" dxfId="570" priority="41" stopIfTrue="1" operator="lessThanOrEqual">
      <formula>0</formula>
    </cfRule>
    <cfRule type="cellIs" dxfId="569" priority="40" stopIfTrue="1" operator="greaterThan">
      <formula>$F$44</formula>
    </cfRule>
    <cfRule type="cellIs" dxfId="568" priority="39" stopIfTrue="1" operator="lessThanOrEqual">
      <formula>0</formula>
    </cfRule>
  </conditionalFormatting>
  <conditionalFormatting sqref="I71:I79">
    <cfRule type="cellIs" dxfId="567" priority="102" stopIfTrue="1" operator="lessThanOrEqual">
      <formula>0</formula>
    </cfRule>
    <cfRule type="cellIs" dxfId="566" priority="101" stopIfTrue="1" operator="greaterThan">
      <formula>$J71</formula>
    </cfRule>
  </conditionalFormatting>
  <conditionalFormatting sqref="I82:I90">
    <cfRule type="cellIs" dxfId="565" priority="130" stopIfTrue="1" operator="greaterThan">
      <formula>4.5</formula>
    </cfRule>
    <cfRule type="cellIs" dxfId="564" priority="131" stopIfTrue="1" operator="lessThanOrEqual">
      <formula>0</formula>
    </cfRule>
  </conditionalFormatting>
  <conditionalFormatting sqref="I10:J26 I27:I31">
    <cfRule type="cellIs" dxfId="563" priority="29" operator="lessThan">
      <formula>97.9</formula>
    </cfRule>
  </conditionalFormatting>
  <conditionalFormatting sqref="J27:J31">
    <cfRule type="cellIs" dxfId="562" priority="28" operator="greaterThan">
      <formula>6.4</formula>
    </cfRule>
    <cfRule type="cellIs" dxfId="561" priority="25" operator="lessThan">
      <formula>4</formula>
    </cfRule>
    <cfRule type="cellIs" dxfId="560" priority="24" operator="greaterThan">
      <formula>6</formula>
    </cfRule>
  </conditionalFormatting>
  <conditionalFormatting sqref="J34:J36">
    <cfRule type="cellIs" dxfId="559" priority="60" stopIfTrue="1" operator="lessThan">
      <formula>96.8</formula>
    </cfRule>
    <cfRule type="cellIs" dxfId="558" priority="62" operator="lessThan">
      <formula>98</formula>
    </cfRule>
    <cfRule type="cellIs" dxfId="557" priority="61" stopIfTrue="1" operator="greaterThan">
      <formula>100</formula>
    </cfRule>
  </conditionalFormatting>
  <conditionalFormatting sqref="J34:J38">
    <cfRule type="cellIs" dxfId="556" priority="59" operator="lessThan">
      <formula>97.4</formula>
    </cfRule>
  </conditionalFormatting>
  <conditionalFormatting sqref="J39">
    <cfRule type="cellIs" dxfId="555" priority="63" operator="lessThan">
      <formula>98</formula>
    </cfRule>
  </conditionalFormatting>
  <conditionalFormatting sqref="J40:J42">
    <cfRule type="cellIs" dxfId="554" priority="64" stopIfTrue="1" operator="lessThan">
      <formula>96.8</formula>
    </cfRule>
    <cfRule type="cellIs" dxfId="553" priority="65" stopIfTrue="1" operator="greaterThan">
      <formula>100</formula>
    </cfRule>
  </conditionalFormatting>
  <conditionalFormatting sqref="J40:J43">
    <cfRule type="cellIs" dxfId="552" priority="66" operator="lessThan">
      <formula>98</formula>
    </cfRule>
  </conditionalFormatting>
  <conditionalFormatting sqref="J80">
    <cfRule type="cellIs" dxfId="551" priority="68" stopIfTrue="1" operator="lessThanOrEqual">
      <formula>0</formula>
    </cfRule>
    <cfRule type="cellIs" dxfId="550" priority="67" stopIfTrue="1" operator="greaterThan">
      <formula>$F80</formula>
    </cfRule>
  </conditionalFormatting>
  <conditionalFormatting sqref="K10:K26">
    <cfRule type="cellIs" dxfId="549" priority="15" operator="greaterThan">
      <formula>6</formula>
    </cfRule>
    <cfRule type="cellIs" dxfId="548" priority="17" operator="greaterThan">
      <formula>6.4</formula>
    </cfRule>
    <cfRule type="cellIs" dxfId="547" priority="16" operator="lessThan">
      <formula>4</formula>
    </cfRule>
  </conditionalFormatting>
  <conditionalFormatting sqref="K48:K57">
    <cfRule type="cellIs" dxfId="546" priority="58" operator="notEqual">
      <formula>#REF!</formula>
    </cfRule>
  </conditionalFormatting>
  <conditionalFormatting sqref="K63:K67 K71:N74 L75:N75">
    <cfRule type="cellIs" dxfId="545" priority="114" stopIfTrue="1" operator="lessThan">
      <formula>100%</formula>
    </cfRule>
  </conditionalFormatting>
  <conditionalFormatting sqref="K82:K87">
    <cfRule type="cellIs" dxfId="544" priority="136" stopIfTrue="1" operator="lessThan">
      <formula>100%</formula>
    </cfRule>
  </conditionalFormatting>
  <conditionalFormatting sqref="K89:K90">
    <cfRule type="cellIs" dxfId="543" priority="143" stopIfTrue="1" operator="lessThan">
      <formula>100%</formula>
    </cfRule>
  </conditionalFormatting>
  <conditionalFormatting sqref="K76:N80">
    <cfRule type="cellIs" dxfId="542" priority="69" stopIfTrue="1" operator="lessThan">
      <formula>100%</formula>
    </cfRule>
  </conditionalFormatting>
  <conditionalFormatting sqref="L10:M14 L15:L26 K27:K31">
    <cfRule type="cellIs" dxfId="541" priority="27" operator="greaterThan">
      <formula>65</formula>
    </cfRule>
    <cfRule type="cellIs" dxfId="540" priority="26" operator="between">
      <formula>61</formula>
      <formula>65</formula>
    </cfRule>
  </conditionalFormatting>
  <conditionalFormatting sqref="L34:M45">
    <cfRule type="cellIs" dxfId="539" priority="74" operator="lessThan">
      <formula>98</formula>
    </cfRule>
  </conditionalFormatting>
  <conditionalFormatting sqref="L49:N49">
    <cfRule type="cellIs" dxfId="538" priority="79" operator="notEqual">
      <formula>#REF!</formula>
    </cfRule>
  </conditionalFormatting>
  <conditionalFormatting sqref="L82:N90">
    <cfRule type="cellIs" dxfId="537" priority="121" stopIfTrue="1" operator="lessThan">
      <formula>100%</formula>
    </cfRule>
  </conditionalFormatting>
  <conditionalFormatting sqref="M10:M26 L27:M31">
    <cfRule type="expression" dxfId="536" priority="23">
      <formula>IF(+(IF(L10&lt;T10,0,IF(L10&gt;U10,0,1)))=0,1)</formula>
    </cfRule>
  </conditionalFormatting>
  <conditionalFormatting sqref="M6:N6">
    <cfRule type="cellIs" dxfId="535" priority="80" operator="greaterThanOrEqual">
      <formula>15</formula>
    </cfRule>
    <cfRule type="cellIs" dxfId="534" priority="81" operator="greaterThanOrEqual">
      <formula>19</formula>
    </cfRule>
  </conditionalFormatting>
  <conditionalFormatting sqref="N10:N31">
    <cfRule type="expression" dxfId="533" priority="22">
      <formula>IF(+(IF(N10&lt;W10,0,IF(N10&gt;X10,0,1)))=0,1)</formula>
    </cfRule>
  </conditionalFormatting>
  <conditionalFormatting sqref="P6">
    <cfRule type="cellIs" dxfId="532" priority="117" operator="greaterThanOrEqual">
      <formula>19</formula>
    </cfRule>
  </conditionalFormatting>
  <dataValidations count="1">
    <dataValidation type="list" allowBlank="1" showInputMessage="1" showErrorMessage="1" sqref="R8" xr:uid="{291B0638-5306-4EA9-A596-916AC71191B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3A4D-87B1-4219-A978-3615CA881E94}">
  <sheetPr>
    <pageSetUpPr fitToPage="1"/>
  </sheetPr>
  <dimension ref="A1:BE74"/>
  <sheetViews>
    <sheetView topLeftCell="C44" zoomScaleNormal="100" workbookViewId="0">
      <selection activeCell="J56" sqref="J56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8.6640625" style="275" bestFit="1" customWidth="1"/>
    <col min="7" max="7" width="26.44140625" style="275" customWidth="1"/>
    <col min="8" max="8" width="27" style="275" customWidth="1"/>
    <col min="9" max="9" width="26.109375" style="275" customWidth="1"/>
    <col min="10" max="10" width="31.6640625" style="275" customWidth="1"/>
    <col min="11" max="11" width="25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45775</v>
      </c>
      <c r="J4" s="399" t="s">
        <v>180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189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14.4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[23]Brewhouse!$A400</f>
        <v>CA296</v>
      </c>
      <c r="D10" s="279">
        <f>[23]Brewhouse!$AF400</f>
        <v>57.2</v>
      </c>
      <c r="E10" s="279">
        <f>[23]Brewhouse!$AI400</f>
        <v>53.8</v>
      </c>
      <c r="F10" s="278">
        <f>[23]Brewhouse!$V400</f>
        <v>66</v>
      </c>
      <c r="G10" s="279">
        <f>[23]Brewhouse!$AG400</f>
        <v>11.8</v>
      </c>
      <c r="H10" s="396">
        <v>11.8</v>
      </c>
      <c r="I10" s="368">
        <f>[23]Brewhouse!$AU400</f>
        <v>103.49216064482762</v>
      </c>
      <c r="J10" s="368">
        <f>[23]Brewhouse!$AV400</f>
        <v>105.34062557986434</v>
      </c>
      <c r="K10" s="281">
        <f>[23]Brewhouse!$Q400</f>
        <v>5.2707581227436728</v>
      </c>
      <c r="L10" s="276">
        <f>[23]Brewhouse!$P400</f>
        <v>59</v>
      </c>
      <c r="M10" s="397">
        <f>[23]Brewhouse!$U400-[23]Brewhouse!$T400</f>
        <v>0.11736111111111111</v>
      </c>
      <c r="N10" s="370">
        <f>[23]Brewhouse!$Z400</f>
        <v>0.25624999999999998</v>
      </c>
      <c r="O10" s="371" t="str">
        <f>[23]Brewhouse!$AX400</f>
        <v>R. Regis</v>
      </c>
      <c r="P10" s="443"/>
      <c r="R10" s="277" t="str">
        <f t="shared" ref="R10:R22" si="0">B10</f>
        <v>CARIB</v>
      </c>
      <c r="S10" s="296">
        <f t="shared" ref="S10:S22" si="1">VLOOKUP($B10,$R$3:$X$9,2,FALSE)</f>
        <v>11.6</v>
      </c>
      <c r="T10" s="296">
        <f t="shared" ref="T10:T22" si="2">VLOOKUP($B10,$R$3:$X$9,3,FALSE)</f>
        <v>12</v>
      </c>
      <c r="U10" s="297">
        <f t="shared" ref="U10:U22" si="3">VLOOKUP($B10,$R$3:$X$9,4,FALSE)</f>
        <v>0</v>
      </c>
      <c r="V10" s="297">
        <f t="shared" ref="V10:V22" si="4">VLOOKUP($B10,$R$3:$X$9,5,FALSE)</f>
        <v>0.118055555555556</v>
      </c>
      <c r="W10" s="297">
        <f t="shared" ref="W10:W22" si="5">VLOOKUP($B10,$R$3:$X$9,6,FALSE)</f>
        <v>0.22569444444444445</v>
      </c>
      <c r="X10" s="297">
        <f t="shared" ref="X10:X22" si="6">VLOOKUP($B10,$R$3:$X$9,7,FALSE)</f>
        <v>0.2638888888888889</v>
      </c>
      <c r="Y10" s="297">
        <f t="shared" ref="Y10:Y22" si="7">VLOOKUP($B10,$R$3:$Z$9,8,FALSE)</f>
        <v>0</v>
      </c>
      <c r="Z10" s="296">
        <f t="shared" ref="Z10:Z22" si="8">VLOOKUP($B10,$R$3:$Z$9,9,FALSE)</f>
        <v>60</v>
      </c>
    </row>
    <row r="11" spans="2:29" ht="15.75" customHeight="1">
      <c r="B11" s="29" t="s">
        <v>6</v>
      </c>
      <c r="C11" s="366" t="str">
        <f>[23]Brewhouse!$A401</f>
        <v>CA297</v>
      </c>
      <c r="D11" s="279">
        <f>[23]Brewhouse!$AF401</f>
        <v>53.2</v>
      </c>
      <c r="E11" s="279">
        <f>[23]Brewhouse!$AI401</f>
        <v>48.8</v>
      </c>
      <c r="F11" s="278">
        <f>[23]Brewhouse!$V401</f>
        <v>61</v>
      </c>
      <c r="G11" s="279">
        <f>[23]Brewhouse!$AG401</f>
        <v>11.87</v>
      </c>
      <c r="H11" s="396">
        <v>11.9</v>
      </c>
      <c r="I11" s="368">
        <f>[23]Brewhouse!$AU401</f>
        <v>95.297118868006976</v>
      </c>
      <c r="J11" s="368">
        <f>[23]Brewhouse!$AV401</f>
        <v>96.998750479326063</v>
      </c>
      <c r="K11" s="281">
        <f>[23]Brewhouse!$Q401</f>
        <v>5.2707581227436728</v>
      </c>
      <c r="L11" s="276">
        <f>[23]Brewhouse!$P401</f>
        <v>57</v>
      </c>
      <c r="M11" s="397">
        <f>[23]Brewhouse!$U401-[23]Brewhouse!$T401</f>
        <v>0.10347222222222224</v>
      </c>
      <c r="N11" s="370">
        <f>[23]Brewhouse!$Z401</f>
        <v>0.27500000000000002</v>
      </c>
      <c r="O11" s="371" t="str">
        <f>[23]Brewhouse!$AX401</f>
        <v>R. Sookram</v>
      </c>
      <c r="P11" s="443" t="s">
        <v>203</v>
      </c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[23]Brewhouse!$A402</f>
        <v>CA298</v>
      </c>
      <c r="D12" s="279">
        <f>[23]Brewhouse!$AF402</f>
        <v>54.5</v>
      </c>
      <c r="E12" s="279">
        <f>[23]Brewhouse!$AI402</f>
        <v>50.48</v>
      </c>
      <c r="F12" s="278">
        <f>[23]Brewhouse!$V402</f>
        <v>62</v>
      </c>
      <c r="G12" s="279">
        <f>[23]Brewhouse!$AG402</f>
        <v>11.9</v>
      </c>
      <c r="H12" s="396">
        <v>11.9</v>
      </c>
      <c r="I12" s="368">
        <f>[23]Brewhouse!$AU402</f>
        <v>97.971265135622474</v>
      </c>
      <c r="J12" s="368">
        <f>[23]Brewhouse!$AV402</f>
        <v>99.721121811877268</v>
      </c>
      <c r="K12" s="281">
        <f>[23]Brewhouse!$Q402</f>
        <v>5.7397504456327963</v>
      </c>
      <c r="L12" s="276">
        <f>[23]Brewhouse!$P402</f>
        <v>57</v>
      </c>
      <c r="M12" s="397">
        <f>[23]Brewhouse!$U402-[23]Brewhouse!$T402</f>
        <v>0.10902777777777778</v>
      </c>
      <c r="N12" s="370">
        <f>[23]Brewhouse!$Z402</f>
        <v>0.25069444444444444</v>
      </c>
      <c r="O12" s="371" t="str">
        <f>[23]Brewhouse!$AX402</f>
        <v>R. Sookram</v>
      </c>
      <c r="P12" s="443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[23]Brewhouse!$A403</f>
        <v>CA299</v>
      </c>
      <c r="D13" s="279">
        <f>[23]Brewhouse!$AF403</f>
        <v>55.3</v>
      </c>
      <c r="E13" s="279">
        <f>[23]Brewhouse!$AI403</f>
        <v>51.9</v>
      </c>
      <c r="F13" s="278">
        <f>[23]Brewhouse!$V403</f>
        <v>58</v>
      </c>
      <c r="G13" s="279">
        <f>[23]Brewhouse!$AG403</f>
        <v>11.9</v>
      </c>
      <c r="H13" s="396">
        <v>11.9</v>
      </c>
      <c r="I13" s="368">
        <f>[23]Brewhouse!$AU403</f>
        <v>101.35082928790086</v>
      </c>
      <c r="J13" s="368">
        <f>[23]Brewhouse!$AV403</f>
        <v>103.16055634993899</v>
      </c>
      <c r="K13" s="281">
        <f>[23]Brewhouse!$Q403</f>
        <v>5.4121863799283085</v>
      </c>
      <c r="L13" s="276">
        <f>[23]Brewhouse!$P403</f>
        <v>57</v>
      </c>
      <c r="M13" s="397">
        <f>[23]Brewhouse!$U403-[23]Brewhouse!$T403</f>
        <v>0.10763888888888895</v>
      </c>
      <c r="N13" s="370">
        <f>[23]Brewhouse!$Z403</f>
        <v>0.26180555555555557</v>
      </c>
      <c r="O13" s="371" t="str">
        <f>[23]Brewhouse!$AX403</f>
        <v>K.Benjamin</v>
      </c>
      <c r="P13" s="443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[23]Brewhouse!$A404</f>
        <v>CA300</v>
      </c>
      <c r="D14" s="279">
        <f>[23]Brewhouse!$AF404</f>
        <v>53.9</v>
      </c>
      <c r="E14" s="279">
        <f>[23]Brewhouse!$AI404</f>
        <v>50.6</v>
      </c>
      <c r="F14" s="278">
        <f>[23]Brewhouse!$V404</f>
        <v>58</v>
      </c>
      <c r="G14" s="279">
        <f>[23]Brewhouse!$AG404</f>
        <v>11.9</v>
      </c>
      <c r="H14" s="396">
        <v>11.9</v>
      </c>
      <c r="I14" s="368">
        <f>[23]Brewhouse!$AU404</f>
        <v>98.32516426656413</v>
      </c>
      <c r="J14" s="368">
        <f>[23]Brewhouse!$AV404</f>
        <v>100.08124696572568</v>
      </c>
      <c r="K14" s="281">
        <f>[23]Brewhouse!$Q404</f>
        <v>4.352517985611513</v>
      </c>
      <c r="L14" s="276">
        <f>[23]Brewhouse!$P404</f>
        <v>61</v>
      </c>
      <c r="M14" s="397">
        <f>[23]Brewhouse!$U404-[23]Brewhouse!$T404</f>
        <v>0.11319444444444438</v>
      </c>
      <c r="N14" s="370">
        <f>[23]Brewhouse!$Z404</f>
        <v>0.2631944444444444</v>
      </c>
      <c r="O14" s="371" t="str">
        <f>[23]Brewhouse!$AX404</f>
        <v>K.Benjamin</v>
      </c>
      <c r="P14" s="443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43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43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43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3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customHeight="1">
      <c r="B19" s="33"/>
      <c r="C19" s="366"/>
      <c r="D19" s="279"/>
      <c r="E19" s="279"/>
      <c r="F19" s="278"/>
      <c r="G19" s="279"/>
      <c r="H19" s="396"/>
      <c r="I19" s="434"/>
      <c r="J19" s="398"/>
      <c r="K19" s="276"/>
      <c r="L19" s="374"/>
      <c r="M19" s="397"/>
      <c r="N19" s="370"/>
      <c r="O19" s="371"/>
      <c r="P19" s="443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customHeight="1">
      <c r="B20" s="33"/>
      <c r="C20" s="366"/>
      <c r="D20" s="279"/>
      <c r="E20" s="279"/>
      <c r="F20" s="278"/>
      <c r="G20" s="279"/>
      <c r="H20" s="396"/>
      <c r="I20" s="434"/>
      <c r="J20" s="398"/>
      <c r="K20" s="276"/>
      <c r="L20" s="374"/>
      <c r="M20" s="397"/>
      <c r="N20" s="370"/>
      <c r="O20" s="371"/>
      <c r="P20" s="44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>
      <c r="B21" s="33"/>
      <c r="C21" s="366"/>
      <c r="D21" s="279"/>
      <c r="E21" s="279"/>
      <c r="F21" s="278"/>
      <c r="G21" s="279"/>
      <c r="H21" s="396"/>
      <c r="I21" s="434"/>
      <c r="J21" s="398"/>
      <c r="K21" s="276"/>
      <c r="L21" s="374"/>
      <c r="M21" s="397"/>
      <c r="N21" s="370"/>
      <c r="O21" s="371"/>
      <c r="P21" s="44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00" t="s">
        <v>34</v>
      </c>
      <c r="J22" s="500"/>
      <c r="K22" s="500"/>
      <c r="L22" s="500"/>
      <c r="M22" s="500"/>
      <c r="N22" s="500"/>
      <c r="O22" s="1"/>
      <c r="P22" s="12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thickBot="1">
      <c r="B23" s="388" t="s">
        <v>145</v>
      </c>
      <c r="C23" s="388"/>
      <c r="D23" s="513" t="s">
        <v>35</v>
      </c>
      <c r="E23" s="514"/>
      <c r="F23" s="294"/>
      <c r="G23" s="294"/>
      <c r="H23" s="348"/>
      <c r="I23" s="24" t="s">
        <v>17</v>
      </c>
      <c r="J23" s="25" t="s">
        <v>36</v>
      </c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1:27" ht="15" customHeight="1">
      <c r="A24" s="28"/>
      <c r="B24" s="539" t="str">
        <f>I24</f>
        <v>CARIB</v>
      </c>
      <c r="C24" s="362" cm="1">
        <f t="array" ref="C24:C27">[23]Process!$D$343:$D$346</f>
        <v>11.7</v>
      </c>
      <c r="D24" s="504">
        <v>11.89</v>
      </c>
      <c r="E24" s="493"/>
      <c r="F24" s="294"/>
      <c r="G24" s="294"/>
      <c r="H24" s="348"/>
      <c r="I24" s="29" t="s">
        <v>6</v>
      </c>
      <c r="J24" s="280">
        <f>AVERAGE(I10:I14)</f>
        <v>99.287307640584416</v>
      </c>
      <c r="K24" s="284">
        <f>COUNTA([23]Brewhouse!$A$341:$A$404)</f>
        <v>64</v>
      </c>
      <c r="L24" s="302">
        <f>AVERAGE([23]Brewhouse!$AU$341:$AU$346,[23]Brewhouse!$AU$348,[23]Brewhouse!$AU$349:$AU$404)</f>
        <v>99.591441307218318</v>
      </c>
      <c r="M24" s="302">
        <f>AVERAGE([23]Brewhouse!$AU$102:$AU$171,[23]Brewhouse!$AU$173:$AU$253,[23]Brewhouse!$AU$255:$AU$339,[23]Brewhouse!$AU$341:$AU$346,[23]Brewhouse!$AU$348,[23]Brewhouse!$AU$349:$AU$404)</f>
        <v>97.37888385298406</v>
      </c>
      <c r="N24" s="30">
        <v>98</v>
      </c>
      <c r="O24" s="11"/>
      <c r="P24" s="31"/>
      <c r="R24" s="277"/>
      <c r="S24" s="296"/>
      <c r="T24" s="296"/>
      <c r="U24" s="297"/>
      <c r="V24" s="297"/>
      <c r="W24" s="297"/>
      <c r="X24" s="297"/>
      <c r="Y24" s="297"/>
      <c r="Z24" s="296"/>
    </row>
    <row r="25" spans="1:27" ht="15" customHeight="1">
      <c r="A25" s="28"/>
      <c r="B25" s="540"/>
      <c r="C25" s="349">
        <v>11.8</v>
      </c>
      <c r="D25" s="505"/>
      <c r="E25" s="488"/>
      <c r="F25" s="294"/>
      <c r="G25" s="294"/>
      <c r="H25" s="348"/>
      <c r="I25" s="33" t="s">
        <v>9</v>
      </c>
      <c r="J25" s="280"/>
      <c r="K25" s="284">
        <f>COUNTA([24]Brewhouse!$A$142:$A$185)</f>
        <v>44</v>
      </c>
      <c r="L25" s="302">
        <f>AVERAGE([24]Brewhouse!$AS$142:$AS$185)</f>
        <v>99.30262712863528</v>
      </c>
      <c r="M25" s="302">
        <f>AVERAGE([24]Brewhouse!$AS$15:$AS$64,[24]Brewhouse!$AS$66:$AS$103,[24]Brewhouse!$AS$105:$AS$140,[24]Brewhouse!$AS$142:$AS$185)</f>
        <v>97.385744181040678</v>
      </c>
      <c r="N25" s="30">
        <v>98</v>
      </c>
      <c r="O25" s="11"/>
      <c r="P25" s="31"/>
      <c r="R25" s="277"/>
      <c r="S25" s="296"/>
      <c r="T25" s="296"/>
      <c r="U25" s="297"/>
      <c r="V25" s="297"/>
      <c r="W25" s="297"/>
      <c r="X25" s="297"/>
      <c r="Y25" s="297"/>
      <c r="Z25" s="296"/>
    </row>
    <row r="26" spans="1:27" ht="14.7" customHeight="1">
      <c r="A26" s="28"/>
      <c r="B26" s="540"/>
      <c r="C26" s="349">
        <v>11.8</v>
      </c>
      <c r="D26" s="504">
        <v>11.9</v>
      </c>
      <c r="E26" s="493"/>
      <c r="F26" s="294"/>
      <c r="G26" s="294"/>
      <c r="H26" s="348"/>
      <c r="I26" s="34" t="s">
        <v>12</v>
      </c>
      <c r="J26" s="280"/>
      <c r="K26" s="284">
        <f>COUNTA([22]Brewhouse!$A$38:$A$45)</f>
        <v>8</v>
      </c>
      <c r="L26" s="302">
        <f>AVERAGE([22]Brewhouse!$AU$37:$AU$45)</f>
        <v>98.090293320814979</v>
      </c>
      <c r="M26" s="302">
        <f>AVERAGE([22]Brewhouse!$AU$4:$AU$7,[22]Brewhouse!$AU$9:$AU$22,[22]Brewhouse!$AU$24:$AU$35,[22]Brewhouse!$AU$37:$AU$45)</f>
        <v>97.086748546217066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</row>
    <row r="27" spans="1:27" ht="14.7" customHeight="1">
      <c r="A27" s="28"/>
      <c r="B27" s="540"/>
      <c r="C27" s="349">
        <v>11.8</v>
      </c>
      <c r="D27" s="505"/>
      <c r="E27" s="488"/>
      <c r="F27" s="294"/>
      <c r="G27" s="294"/>
      <c r="H27" s="348"/>
      <c r="I27" s="22" t="s">
        <v>33</v>
      </c>
      <c r="J27" s="280"/>
      <c r="K27" s="284">
        <f>COUNTA([25]Brewhouse!$A$26:$A$33)</f>
        <v>8</v>
      </c>
      <c r="L27" s="302">
        <f>AVERAGE([25]Brewhouse!$AV$26:$AV$33)</f>
        <v>99.61038006330628</v>
      </c>
      <c r="M27" s="302">
        <f>AVERAGE([25]Brewhouse!$AV$5:$AV$14,[25]Brewhouse!$AV$16:$AV$19,[25]Brewhouse!$AV$21:$AV$24,[25]Brewhouse!$AV$26:$AV$33)</f>
        <v>98.921974778040592</v>
      </c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  <c r="AA27" s="296"/>
    </row>
    <row r="28" spans="1:27" ht="14.7" customHeight="1">
      <c r="A28" s="28"/>
      <c r="B28" s="540"/>
      <c r="C28" s="349">
        <f>[23]Process!$D$349</f>
        <v>11.9</v>
      </c>
      <c r="D28" s="504"/>
      <c r="E28" s="493"/>
      <c r="F28" s="436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  <c r="AA28" s="296"/>
    </row>
    <row r="29" spans="1:27" ht="14.7" customHeight="1">
      <c r="A29" s="28"/>
      <c r="B29" s="540"/>
      <c r="C29" s="349"/>
      <c r="D29" s="505"/>
      <c r="E29" s="488"/>
      <c r="F29" s="436"/>
      <c r="G29" s="294"/>
      <c r="H29" s="348"/>
      <c r="I29" s="36" t="s">
        <v>15</v>
      </c>
      <c r="J29" s="323"/>
      <c r="K29" s="284">
        <f>COUNTA([26]Brewhouse!$A$13:$A$16)</f>
        <v>4</v>
      </c>
      <c r="L29" s="302">
        <f>AVERAGE([26]Brewhouse!$AT$13:$AT$16)</f>
        <v>95.870696554126312</v>
      </c>
      <c r="M29" s="302">
        <f>AVERAGE([26]Brewhouse!$AT$4:$AT$11,[26]Brewhouse!$AT$13:$AT$16)</f>
        <v>95.165309917257005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  <c r="AA29" s="296"/>
    </row>
    <row r="30" spans="1:27" ht="14.7" customHeight="1">
      <c r="A30" s="28"/>
      <c r="B30" s="540"/>
      <c r="C30" s="349"/>
      <c r="D30" s="504"/>
      <c r="E30" s="493"/>
      <c r="F30" s="436"/>
      <c r="G30" s="294"/>
      <c r="H30" s="348"/>
      <c r="I30" s="37" t="s">
        <v>16</v>
      </c>
      <c r="J30" s="323"/>
      <c r="K30" s="284">
        <f>COUNTA([27]Brewhouse!$A$31:$A$34)</f>
        <v>4</v>
      </c>
      <c r="L30" s="302">
        <f>AVERAGE([27]Brewhouse!$AY$31:$AY$34)</f>
        <v>98.653228650224236</v>
      </c>
      <c r="M30" s="302">
        <f>AVERAGE([27]Brewhouse!$AY$6:$AY$13,[27]Brewhouse!$AY$15:$AY$20,[27]Brewhouse!$AY$22:$AY$29,[27]Brewhouse!$AY$31:$AY$34)</f>
        <v>96.120888038911147</v>
      </c>
      <c r="N30" s="30">
        <v>98</v>
      </c>
      <c r="O30" s="11"/>
      <c r="P30" s="31" t="s">
        <v>41</v>
      </c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4.7" customHeight="1">
      <c r="A31" s="28"/>
      <c r="B31" s="540"/>
      <c r="C31" s="349"/>
      <c r="D31" s="505"/>
      <c r="E31" s="488"/>
      <c r="F31" s="294"/>
      <c r="G31" s="294"/>
      <c r="H31" s="348"/>
      <c r="I31" s="412" t="s">
        <v>158</v>
      </c>
      <c r="J31" s="326"/>
      <c r="K31" s="284"/>
      <c r="L31" s="305"/>
      <c r="M31" s="305">
        <f>AVERAGE([28]Brewhouse!$AU$5:$AU$8)</f>
        <v>91.006888337619571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7" customHeight="1">
      <c r="A32" s="28"/>
      <c r="B32" s="540"/>
      <c r="C32" s="349"/>
      <c r="D32" s="504"/>
      <c r="E32" s="493"/>
      <c r="F32" s="294"/>
      <c r="G32" s="294"/>
      <c r="H32" s="348"/>
      <c r="I32" s="411" t="s">
        <v>157</v>
      </c>
      <c r="J32" s="326"/>
      <c r="K32" s="284"/>
      <c r="L32" s="305"/>
      <c r="M32" s="305"/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5" customHeight="1" thickBot="1">
      <c r="A33" s="28"/>
      <c r="B33" s="540"/>
      <c r="C33" s="349"/>
      <c r="D33" s="505"/>
      <c r="E33" s="488"/>
      <c r="F33" s="294"/>
      <c r="G33" s="294"/>
      <c r="H33" s="348"/>
      <c r="I33" s="407" t="s">
        <v>156</v>
      </c>
      <c r="J33" s="327"/>
      <c r="K33" s="408"/>
      <c r="L33" s="409"/>
      <c r="M33" s="409"/>
      <c r="N33" s="41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5" customHeight="1" thickBot="1">
      <c r="A34" s="28"/>
      <c r="B34" s="540"/>
      <c r="C34" s="349"/>
      <c r="D34" s="504"/>
      <c r="E34" s="493"/>
      <c r="F34" s="294"/>
      <c r="G34" s="294"/>
      <c r="H34" s="348"/>
      <c r="I34" s="1"/>
      <c r="J34" s="39"/>
      <c r="K34" s="405">
        <f>SUM(K24:K33)</f>
        <v>132</v>
      </c>
      <c r="L34" s="406">
        <f>((L24*K24)+(L25*K25)+(L26*K26)+(L27*K27)+(L28*K28)+(K31*L31)+(L29*K29)+(L30*K30)+(L33*K33))/(K34)</f>
        <v>99.264158524335599</v>
      </c>
      <c r="M34" s="406">
        <f>AVERAGE('[29]Jan 31st'!$L$65,'[30]Feb 28th'!$L$35,'[31]Mar. 31st'!$L$35,L34)</f>
        <v>97.35734374889222</v>
      </c>
      <c r="N34" s="4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" thickBot="1">
      <c r="B35" s="553"/>
      <c r="C35" s="350"/>
      <c r="D35" s="505"/>
      <c r="E35" s="488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thickBot="1">
      <c r="B36" s="566" t="str">
        <f>I25</f>
        <v>STAG</v>
      </c>
      <c r="C36" s="362" cm="1">
        <f t="array" ref="C36:C39">[24]Process!$D$158:$D$161</f>
        <v>11.77</v>
      </c>
      <c r="D36" s="485">
        <v>12.13</v>
      </c>
      <c r="E36" s="486"/>
      <c r="F36" s="294"/>
      <c r="G36" s="42"/>
      <c r="H36" s="41"/>
      <c r="I36" s="42"/>
      <c r="J36" s="538" t="s">
        <v>129</v>
      </c>
      <c r="K36" s="538"/>
      <c r="L36" s="294"/>
      <c r="M36" s="294"/>
      <c r="N36" s="294"/>
      <c r="O36" s="294"/>
      <c r="P36" s="12"/>
    </row>
    <row r="37" spans="1:56" ht="13.5" customHeight="1" thickBot="1">
      <c r="B37" s="502"/>
      <c r="C37" s="349">
        <v>12.13</v>
      </c>
      <c r="D37" s="487"/>
      <c r="E37" s="488"/>
      <c r="F37" s="294"/>
      <c r="G37" s="42"/>
      <c r="H37" s="41"/>
      <c r="I37" s="42"/>
      <c r="J37" s="292" t="s">
        <v>17</v>
      </c>
      <c r="K37" s="293" t="s">
        <v>191</v>
      </c>
      <c r="L37" s="490" t="s">
        <v>136</v>
      </c>
      <c r="M37" s="490"/>
      <c r="N37" s="491"/>
      <c r="O37" s="294"/>
      <c r="P37" s="12"/>
    </row>
    <row r="38" spans="1:56" ht="15" customHeight="1" thickBot="1">
      <c r="B38" s="502"/>
      <c r="C38" s="349">
        <v>11.86</v>
      </c>
      <c r="D38" s="492">
        <v>12.14</v>
      </c>
      <c r="E38" s="493"/>
      <c r="F38" s="294"/>
      <c r="G38" s="42"/>
      <c r="H38" s="41"/>
      <c r="I38" s="42"/>
      <c r="J38" s="287" t="s">
        <v>6</v>
      </c>
      <c r="K38" s="324">
        <f>COUNTA(C10:C14)</f>
        <v>5</v>
      </c>
      <c r="L38" s="343" t="s">
        <v>37</v>
      </c>
      <c r="M38" s="307" t="s">
        <v>38</v>
      </c>
      <c r="N38" s="307" t="s">
        <v>84</v>
      </c>
      <c r="O38" s="294"/>
      <c r="P38" s="12"/>
    </row>
    <row r="39" spans="1:56" ht="15.75" customHeight="1" thickBot="1">
      <c r="B39" s="502"/>
      <c r="C39" s="349">
        <v>11.7</v>
      </c>
      <c r="D39" s="487"/>
      <c r="E39" s="488"/>
      <c r="F39" s="294"/>
      <c r="G39" s="42"/>
      <c r="H39" s="41"/>
      <c r="I39" s="42"/>
      <c r="J39" s="345" t="s">
        <v>9</v>
      </c>
      <c r="K39" s="324"/>
      <c r="L39" s="344">
        <f>AVERAGE('Apr. 1st'!L40,'Apr. 3rd'!L40,'Apr. 4th'!L40,'Apr. 7th '!L41,'Apr. 8th  '!L51,'Apr. 9th   '!L41,'Apr. 10th '!L49,'Apr. 11-12-13th'!L118,'Apr. 14th'!L118,'Apr. 15th'!L46,'Apr. 16th'!L46,'Apr. 17th-20th'!H99,'Apr. 17th-20th'!I99,'Apr. 17th-20th'!J99,'Apr. 17th-20th'!K99,1,'Apr. 22nd'!L46,'Apr. 23rd'!K55,'Apr. 24th'!L49,K48)</f>
        <v>4.6809436693337627</v>
      </c>
      <c r="M39" s="325">
        <f>AVERAGE('[29]Jan 29th '!$M$70,'[30]Feb 28th'!$L$40,'[31]Mar. 31st'!$L$40,L39)</f>
        <v>6.1240701266024331</v>
      </c>
      <c r="N39" s="433">
        <v>9.1999999999999993</v>
      </c>
      <c r="O39" s="294"/>
      <c r="P39" s="12"/>
    </row>
    <row r="40" spans="1:56" ht="15" customHeight="1">
      <c r="B40" s="502"/>
      <c r="C40" s="349"/>
      <c r="D40" s="492"/>
      <c r="E40" s="493"/>
      <c r="F40" s="294"/>
      <c r="G40" s="42"/>
      <c r="H40" s="41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02"/>
      <c r="C41" s="349"/>
      <c r="D41" s="487"/>
      <c r="E41" s="488"/>
      <c r="F41" s="294"/>
      <c r="G41" s="42"/>
      <c r="H41" s="41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4.4">
      <c r="B42" s="502"/>
      <c r="C42" s="349"/>
      <c r="D42" s="492"/>
      <c r="E42" s="493"/>
      <c r="F42" s="294"/>
      <c r="G42" s="42"/>
      <c r="H42" s="41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4.4">
      <c r="B43" s="502"/>
      <c r="C43" s="349"/>
      <c r="D43" s="487"/>
      <c r="E43" s="488"/>
      <c r="F43" s="294"/>
      <c r="G43" s="42"/>
      <c r="H43" s="41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4.4">
      <c r="B44" s="502"/>
      <c r="C44" s="349"/>
      <c r="D44" s="494"/>
      <c r="E44" s="495"/>
      <c r="F44" s="294"/>
      <c r="G44" s="42"/>
      <c r="H44" s="41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" thickBot="1">
      <c r="B45" s="503"/>
      <c r="C45" s="350"/>
      <c r="D45" s="496"/>
      <c r="E45" s="497"/>
      <c r="F45" s="294"/>
      <c r="G45" s="42"/>
      <c r="H45" s="41"/>
      <c r="I45" s="42"/>
      <c r="J45" s="291" t="s">
        <v>148</v>
      </c>
      <c r="K45" s="324"/>
      <c r="L45" s="294"/>
      <c r="M45" s="294"/>
      <c r="N45" s="294"/>
      <c r="O45" s="294"/>
      <c r="P45" s="12"/>
      <c r="BC45" s="44"/>
      <c r="BD45" s="44"/>
    </row>
    <row r="46" spans="1:56" ht="17.7" customHeight="1" thickBot="1">
      <c r="B46" s="312" t="s">
        <v>139</v>
      </c>
      <c r="C46" s="313"/>
      <c r="D46" s="476">
        <f>AVERAGE(D24:E45)</f>
        <v>12.015000000000001</v>
      </c>
      <c r="E46" s="477"/>
      <c r="F46" s="294"/>
      <c r="G46" s="42"/>
      <c r="H46" s="41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7" customHeight="1">
      <c r="B47" s="363"/>
      <c r="C47" s="364"/>
      <c r="D47" s="365"/>
      <c r="E47" s="365"/>
      <c r="F47" s="294"/>
      <c r="G47" s="42"/>
      <c r="H47" s="41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customHeight="1">
      <c r="B48" s="45"/>
      <c r="C48" s="11"/>
      <c r="D48" s="11"/>
      <c r="E48" s="46"/>
      <c r="F48" s="294"/>
      <c r="G48" s="42"/>
      <c r="H48" s="41"/>
      <c r="I48" s="42"/>
      <c r="J48" s="346" t="s">
        <v>130</v>
      </c>
      <c r="K48" s="324">
        <f>SUM(K38:K47)</f>
        <v>5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P49" s="334"/>
    </row>
    <row r="50" spans="2:57" ht="15" customHeight="1" thickBot="1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48"/>
      <c r="P50" s="49"/>
    </row>
    <row r="51" spans="2:57" ht="15" customHeight="1" thickBot="1">
      <c r="B51" s="466" t="s">
        <v>17</v>
      </c>
      <c r="C51" s="466" t="s">
        <v>44</v>
      </c>
      <c r="D51" s="478" t="s">
        <v>45</v>
      </c>
      <c r="E51" s="480" t="s">
        <v>46</v>
      </c>
      <c r="F51" s="474" t="s">
        <v>47</v>
      </c>
      <c r="G51" s="464" t="s">
        <v>48</v>
      </c>
      <c r="H51" s="466" t="s">
        <v>49</v>
      </c>
      <c r="I51" s="466" t="s">
        <v>50</v>
      </c>
      <c r="J51" s="458" t="s">
        <v>28</v>
      </c>
      <c r="K51" s="470" t="s">
        <v>51</v>
      </c>
      <c r="L51" s="472" t="s">
        <v>52</v>
      </c>
      <c r="M51" s="458" t="s">
        <v>53</v>
      </c>
      <c r="N51" s="13"/>
      <c r="O51" s="13"/>
      <c r="P51" s="50"/>
    </row>
    <row r="52" spans="2:57" ht="28.5" customHeight="1" thickTop="1" thickBot="1">
      <c r="B52" s="467"/>
      <c r="C52" s="467"/>
      <c r="D52" s="479"/>
      <c r="E52" s="481"/>
      <c r="F52" s="475"/>
      <c r="G52" s="465"/>
      <c r="H52" s="467"/>
      <c r="I52" s="467"/>
      <c r="J52" s="459"/>
      <c r="K52" s="471"/>
      <c r="L52" s="473"/>
      <c r="M52" s="459"/>
      <c r="N52" s="13"/>
      <c r="O52" s="13"/>
      <c r="P52" s="50"/>
      <c r="Q52" s="355"/>
      <c r="AB52" s="51">
        <v>43474</v>
      </c>
      <c r="AC52" s="51">
        <v>43475</v>
      </c>
      <c r="AD52" s="51">
        <v>43476</v>
      </c>
      <c r="AE52" s="51">
        <v>43477</v>
      </c>
      <c r="AF52" s="51">
        <v>43478</v>
      </c>
      <c r="AG52" s="51">
        <v>43479</v>
      </c>
      <c r="AH52" s="51">
        <v>43480</v>
      </c>
      <c r="AI52" s="51">
        <v>43481</v>
      </c>
      <c r="AJ52" s="51">
        <v>43482</v>
      </c>
      <c r="AK52" s="51">
        <v>43483</v>
      </c>
      <c r="AL52" s="51">
        <v>43484</v>
      </c>
      <c r="AM52" s="51">
        <v>43485</v>
      </c>
      <c r="AN52" s="51">
        <v>43486</v>
      </c>
      <c r="AO52" s="51">
        <v>43487</v>
      </c>
      <c r="AP52" s="51">
        <v>43488</v>
      </c>
      <c r="AQ52" s="51">
        <v>43489</v>
      </c>
      <c r="AR52" s="51">
        <v>43490</v>
      </c>
      <c r="AS52" s="51">
        <v>43491</v>
      </c>
      <c r="AT52" s="51">
        <v>43492</v>
      </c>
      <c r="AU52" s="51">
        <v>43493</v>
      </c>
      <c r="AV52" s="51">
        <v>43494</v>
      </c>
      <c r="AW52" s="51">
        <v>43495</v>
      </c>
      <c r="AX52" s="51">
        <v>43496</v>
      </c>
    </row>
    <row r="53" spans="2:57" s="54" customFormat="1" ht="59.25" customHeight="1">
      <c r="B53" s="415" t="str">
        <f>J38</f>
        <v>CARIB</v>
      </c>
      <c r="C53" s="283">
        <v>45772</v>
      </c>
      <c r="D53" s="377">
        <f>[32]April_2025!$AB$3</f>
        <v>213.70000000000002</v>
      </c>
      <c r="E53" s="378"/>
      <c r="F53" s="379"/>
      <c r="G53" s="303">
        <f>[32]April_2025!$AB$7</f>
        <v>203</v>
      </c>
      <c r="H53" s="320"/>
      <c r="I53" s="322"/>
      <c r="J53" s="360" t="s">
        <v>150</v>
      </c>
      <c r="K53" s="286">
        <f>[33]April_2025!$AB$18</f>
        <v>0.71228070175438596</v>
      </c>
      <c r="L53" s="314">
        <f>(((D53+E53)-G53)/(D53+E53))*100</f>
        <v>5.0070191857744577</v>
      </c>
      <c r="M53" s="423" t="s">
        <v>204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9"/>
      <c r="AC53" s="279"/>
      <c r="AD53" s="279"/>
      <c r="AE53" s="279"/>
      <c r="AF53" s="279"/>
      <c r="AG53" s="279"/>
      <c r="AH53" s="279"/>
      <c r="AI53" s="279"/>
      <c r="AJ53" s="279"/>
      <c r="AK53" s="279"/>
      <c r="AL53" s="279"/>
      <c r="AM53" s="279"/>
      <c r="AN53" s="279"/>
      <c r="AO53" s="279"/>
      <c r="AP53" s="279"/>
      <c r="AQ53" s="279"/>
      <c r="AR53" s="279"/>
      <c r="AS53" s="279"/>
      <c r="AT53" s="279"/>
      <c r="AU53" s="279"/>
      <c r="AV53" s="279"/>
      <c r="AW53" s="279"/>
    </row>
    <row r="54" spans="2:57" s="54" customFormat="1" ht="14.4" thickBot="1">
      <c r="B54" s="415"/>
      <c r="C54" s="283"/>
      <c r="D54" s="377"/>
      <c r="E54" s="378"/>
      <c r="F54" s="379"/>
      <c r="G54" s="303"/>
      <c r="H54" s="320"/>
      <c r="I54" s="322"/>
      <c r="J54" s="398"/>
      <c r="K54" s="286"/>
      <c r="L54" s="314"/>
      <c r="M54" s="423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20"/>
      <c r="AC54" s="420"/>
      <c r="AD54" s="420"/>
      <c r="AE54" s="420"/>
      <c r="AF54" s="420"/>
      <c r="AG54" s="420"/>
      <c r="AH54" s="420"/>
      <c r="AI54" s="420"/>
      <c r="AJ54" s="420"/>
      <c r="AK54" s="420"/>
      <c r="AL54" s="420"/>
      <c r="AM54" s="420"/>
      <c r="AN54" s="420"/>
      <c r="AO54" s="420"/>
      <c r="AP54" s="420"/>
      <c r="AQ54" s="420"/>
      <c r="AR54" s="420"/>
      <c r="AS54" s="420"/>
      <c r="AT54" s="420"/>
      <c r="AU54" s="420"/>
      <c r="AV54" s="420"/>
      <c r="AW54" s="420"/>
    </row>
    <row r="55" spans="2:57" s="54" customFormat="1" ht="59.25" hidden="1" customHeight="1">
      <c r="B55" s="415"/>
      <c r="C55" s="283"/>
      <c r="D55" s="377"/>
      <c r="E55" s="378"/>
      <c r="F55" s="379"/>
      <c r="G55" s="303"/>
      <c r="H55" s="320"/>
      <c r="I55" s="322"/>
      <c r="J55" s="398"/>
      <c r="K55" s="286"/>
      <c r="L55" s="314"/>
      <c r="M55" s="423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420"/>
      <c r="AC55" s="420"/>
      <c r="AD55" s="420"/>
      <c r="AE55" s="420"/>
      <c r="AF55" s="420"/>
      <c r="AG55" s="420"/>
      <c r="AH55" s="420"/>
      <c r="AI55" s="420"/>
      <c r="AJ55" s="420"/>
      <c r="AK55" s="420"/>
      <c r="AL55" s="420"/>
      <c r="AM55" s="420"/>
      <c r="AN55" s="420"/>
      <c r="AO55" s="420"/>
      <c r="AP55" s="420"/>
      <c r="AQ55" s="420"/>
      <c r="AR55" s="420"/>
      <c r="AS55" s="420"/>
      <c r="AT55" s="420"/>
      <c r="AU55" s="420"/>
      <c r="AV55" s="420"/>
      <c r="AW55" s="420"/>
    </row>
    <row r="56" spans="2:57" s="54" customFormat="1" ht="35.25" customHeight="1">
      <c r="B56" s="450" t="str">
        <f>I25</f>
        <v>STAG</v>
      </c>
      <c r="C56" s="283">
        <v>45772</v>
      </c>
      <c r="D56" s="279">
        <f>[32]April_2025!$AB$13</f>
        <v>207.50000000000003</v>
      </c>
      <c r="E56" s="279"/>
      <c r="F56" s="279"/>
      <c r="G56" s="279">
        <f>[32]April_2025!$AB$17</f>
        <v>198.3</v>
      </c>
      <c r="H56" s="320"/>
      <c r="I56" s="322"/>
      <c r="J56" s="457" t="s">
        <v>150</v>
      </c>
      <c r="K56" s="417">
        <f>[33]April_2025!$AB$25</f>
        <v>0.69578947368421051</v>
      </c>
      <c r="L56" s="314">
        <f>(((D56+E56)-G56)/(D56+E56))*100</f>
        <v>4.4337349397590442</v>
      </c>
      <c r="M56" s="455" t="s">
        <v>169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[20]January_2019!L8</f>
        <v>1.0028070175438597</v>
      </c>
      <c r="AC56" s="57">
        <f>[20]January_2019!M8</f>
        <v>1.7828070175438597</v>
      </c>
      <c r="AD56" s="57" t="e">
        <f>[20]January_2019!N8</f>
        <v>#DIV/0!</v>
      </c>
      <c r="AE56" s="57" t="e">
        <f>[20]January_2019!O8</f>
        <v>#DIV/0!</v>
      </c>
      <c r="AF56" s="57">
        <f>[20]January_2019!P8</f>
        <v>0.19222222222222221</v>
      </c>
      <c r="AG56" s="57">
        <f>[20]January_2019!Q8</f>
        <v>0.52219298245614032</v>
      </c>
      <c r="AH56" s="57">
        <f>[20]January_2019!R8</f>
        <v>0.42912280701754385</v>
      </c>
      <c r="AI56" s="57" t="e">
        <f>[20]January_2019!S8</f>
        <v>#DIV/0!</v>
      </c>
      <c r="AJ56" s="57">
        <f>[20]January_2019!T8</f>
        <v>1.0340350877192983</v>
      </c>
      <c r="AK56" s="57">
        <f>[20]January_2019!U8</f>
        <v>0.98421052631578942</v>
      </c>
      <c r="AL56" s="57" t="e">
        <f>[20]January_2019!V8</f>
        <v>#DIV/0!</v>
      </c>
      <c r="AM56" s="57" t="e">
        <f>[20]January_2019!W8</f>
        <v>#DIV/0!</v>
      </c>
      <c r="AN56" s="57">
        <f>[20]January_2019!X8</f>
        <v>0.66052631578947374</v>
      </c>
      <c r="AO56" s="57">
        <f>[20]January_2019!Y8</f>
        <v>1.0375438596491227</v>
      </c>
      <c r="AP56" s="57">
        <f>[20]January_2019!Z8</f>
        <v>0.90456140350877201</v>
      </c>
      <c r="AQ56" s="57">
        <f>[20]January_2019!AA8</f>
        <v>1.0217543859649123</v>
      </c>
      <c r="AR56" s="57">
        <f>[20]January_2019!AB8</f>
        <v>0.65614035087719302</v>
      </c>
      <c r="AS56" s="57" t="e">
        <f>[20]January_2019!AC8</f>
        <v>#DIV/0!</v>
      </c>
      <c r="AT56" s="57" t="e">
        <f>[20]January_2019!AD8</f>
        <v>#DIV/0!</v>
      </c>
      <c r="AU56" s="57">
        <f>[20]January_2019!AE8</f>
        <v>1.7021052631578948</v>
      </c>
      <c r="AV56" s="57">
        <f>[20]January_2019!AF8</f>
        <v>0.60192982456140354</v>
      </c>
      <c r="AW56" s="57">
        <f>[20]January_2019!AG8</f>
        <v>1.4870175438596491</v>
      </c>
      <c r="AX56" s="277" t="e">
        <f>[20]January_2019!AH8</f>
        <v>#DIV/0!</v>
      </c>
      <c r="AY56" s="277"/>
      <c r="AZ56" s="277"/>
      <c r="BA56" s="277"/>
      <c r="BB56" s="277"/>
      <c r="BC56" s="277"/>
      <c r="BD56" s="277"/>
      <c r="BE56" s="277"/>
    </row>
    <row r="57" spans="2:57" ht="58.5" hidden="1" customHeight="1" thickBot="1">
      <c r="B57" s="426"/>
      <c r="C57" s="427"/>
      <c r="D57" s="428"/>
      <c r="E57" s="428"/>
      <c r="F57" s="428"/>
      <c r="G57" s="428"/>
      <c r="H57" s="429"/>
      <c r="I57" s="430"/>
      <c r="J57" s="456"/>
      <c r="K57" s="431"/>
      <c r="L57" s="432"/>
      <c r="M57" s="424"/>
      <c r="N57" s="13"/>
      <c r="O57" s="13"/>
      <c r="P57" s="56"/>
    </row>
    <row r="58" spans="2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6"/>
      <c r="P58" s="60"/>
    </row>
    <row r="59" spans="2:57" ht="14.4" thickBot="1">
      <c r="B59" s="460" t="s">
        <v>55</v>
      </c>
      <c r="C59" s="461"/>
      <c r="D59" s="461"/>
      <c r="E59" s="461"/>
      <c r="F59" s="462"/>
      <c r="G59" s="460" t="s">
        <v>56</v>
      </c>
      <c r="H59" s="461"/>
      <c r="I59" s="461"/>
      <c r="J59" s="462"/>
      <c r="K59" s="460" t="s">
        <v>51</v>
      </c>
      <c r="L59" s="461"/>
      <c r="M59" s="461"/>
      <c r="N59" s="463"/>
      <c r="O59" s="56"/>
      <c r="P59" s="50"/>
    </row>
    <row r="60" spans="2:57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/>
      <c r="L60" s="62" t="s">
        <v>37</v>
      </c>
      <c r="M60" s="62" t="s">
        <v>38</v>
      </c>
      <c r="N60" s="63" t="s">
        <v>39</v>
      </c>
      <c r="O60" s="56"/>
      <c r="P60" s="64"/>
    </row>
    <row r="61" spans="2:57">
      <c r="B61" s="29" t="s">
        <v>6</v>
      </c>
      <c r="C61" s="65">
        <f>L53</f>
        <v>5.0070191857744577</v>
      </c>
      <c r="D61" s="76">
        <v>6.6851564910472421</v>
      </c>
      <c r="E61" s="76">
        <v>6.9111912358520806</v>
      </c>
      <c r="F61" s="66">
        <v>4.8</v>
      </c>
      <c r="G61" s="65">
        <f>[32]April_2025!$AB$11</f>
        <v>4.16024220931053</v>
      </c>
      <c r="H61" s="76">
        <v>6.0078893529737742</v>
      </c>
      <c r="I61" s="76">
        <v>7.3773364299540845</v>
      </c>
      <c r="J61" s="66">
        <v>4.8</v>
      </c>
      <c r="K61" s="67">
        <f>K53</f>
        <v>0.71228070175438596</v>
      </c>
      <c r="L61" s="194">
        <v>0.72746411483253604</v>
      </c>
      <c r="M61" s="194">
        <v>0.76826642361654429</v>
      </c>
      <c r="N61" s="68">
        <v>1</v>
      </c>
      <c r="O61" s="56"/>
      <c r="P61" s="69"/>
    </row>
    <row r="62" spans="2:57">
      <c r="B62" s="33" t="s">
        <v>9</v>
      </c>
      <c r="C62" s="65">
        <f>L56</f>
        <v>4.4337349397590442</v>
      </c>
      <c r="D62" s="76">
        <v>4.3284689586940388</v>
      </c>
      <c r="E62" s="76">
        <v>6.0684544852068134</v>
      </c>
      <c r="F62" s="66">
        <v>4.8</v>
      </c>
      <c r="G62" s="65">
        <f>[32]April_2025!$AB$21</f>
        <v>2.1235109657000195</v>
      </c>
      <c r="H62" s="76">
        <v>3.307852222865368</v>
      </c>
      <c r="I62" s="76">
        <v>6.7023647967956377</v>
      </c>
      <c r="J62" s="66">
        <v>4.8</v>
      </c>
      <c r="K62" s="67">
        <f>K56</f>
        <v>0.69578947368421051</v>
      </c>
      <c r="L62" s="194">
        <v>0.94554385964912269</v>
      </c>
      <c r="M62" s="194">
        <v>0.76215897676121325</v>
      </c>
      <c r="N62" s="68">
        <v>1</v>
      </c>
      <c r="P62" s="69"/>
    </row>
    <row r="63" spans="2:57">
      <c r="B63" s="34" t="s">
        <v>40</v>
      </c>
      <c r="C63" s="65"/>
      <c r="D63" s="76">
        <v>11.414038657171938</v>
      </c>
      <c r="E63" s="76">
        <v>12.98436003830194</v>
      </c>
      <c r="F63" s="66">
        <v>5.5</v>
      </c>
      <c r="G63" s="65"/>
      <c r="H63" s="76">
        <v>11.798908408664529</v>
      </c>
      <c r="I63" s="76">
        <v>13.788066562341831</v>
      </c>
      <c r="J63" s="66">
        <v>5.5</v>
      </c>
      <c r="K63" s="67"/>
      <c r="L63" s="194">
        <v>0.55289473684210522</v>
      </c>
      <c r="M63" s="194">
        <v>0.52990459153249858</v>
      </c>
      <c r="N63" s="68">
        <v>1</v>
      </c>
      <c r="P63" s="69"/>
    </row>
    <row r="64" spans="2:57">
      <c r="B64" s="22" t="s">
        <v>33</v>
      </c>
      <c r="C64" s="65"/>
      <c r="D64" s="76">
        <v>3.2321253672869714</v>
      </c>
      <c r="E64" s="76">
        <v>2.2218158544390558</v>
      </c>
      <c r="F64" s="66">
        <v>3.3</v>
      </c>
      <c r="G64" s="65"/>
      <c r="H64" s="76">
        <v>2.3924874613168265</v>
      </c>
      <c r="I64" s="76">
        <v>5.0359151649923692</v>
      </c>
      <c r="J64" s="66">
        <v>3.3</v>
      </c>
      <c r="K64" s="67"/>
      <c r="L64" s="194">
        <v>1.3866666666666667</v>
      </c>
      <c r="M64" s="194">
        <v>0.87880701754385959</v>
      </c>
      <c r="N64" s="68">
        <v>1</v>
      </c>
      <c r="P64" s="69"/>
    </row>
    <row r="65" spans="2:16">
      <c r="B65" s="35" t="s">
        <v>29</v>
      </c>
      <c r="C65" s="65"/>
      <c r="D65" s="76"/>
      <c r="E65" s="76"/>
      <c r="F65" s="66">
        <v>3.3</v>
      </c>
      <c r="G65" s="282"/>
      <c r="H65" s="76"/>
      <c r="I65" s="76"/>
      <c r="J65" s="66">
        <v>3</v>
      </c>
      <c r="L65" s="194"/>
      <c r="M65" s="194"/>
      <c r="N65" s="68">
        <v>1</v>
      </c>
      <c r="P65" s="69"/>
    </row>
    <row r="66" spans="2:16">
      <c r="B66" s="36" t="s">
        <v>15</v>
      </c>
      <c r="C66" s="282"/>
      <c r="D66" s="76">
        <v>5.9443911792905233</v>
      </c>
      <c r="E66" s="76">
        <v>7.8262258425171876</v>
      </c>
      <c r="F66" s="70">
        <f>[21]May_2022!$M$43</f>
        <v>3.4878406700073312</v>
      </c>
      <c r="G66" s="282"/>
      <c r="H66" s="76">
        <v>7.0254499502894436</v>
      </c>
      <c r="I66" s="76">
        <v>9.4300678869947632</v>
      </c>
      <c r="J66" s="66">
        <v>5.5</v>
      </c>
      <c r="K66" s="67"/>
      <c r="L66" s="194">
        <v>0.68842105263157893</v>
      </c>
      <c r="M66" s="194">
        <v>0.674970760233918</v>
      </c>
      <c r="N66" s="68">
        <v>1</v>
      </c>
      <c r="P66" s="69"/>
    </row>
    <row r="67" spans="2:16">
      <c r="B67" s="37" t="s">
        <v>16</v>
      </c>
      <c r="C67" s="65"/>
      <c r="D67" s="76">
        <v>0.38967364831952411</v>
      </c>
      <c r="E67" s="76">
        <v>1.85607294041028</v>
      </c>
      <c r="F67" s="66">
        <v>3.3</v>
      </c>
      <c r="G67" s="282"/>
      <c r="H67" s="76">
        <v>3.9053322254376623</v>
      </c>
      <c r="I67" s="76">
        <v>4.5764571827076486</v>
      </c>
      <c r="J67" s="66">
        <v>3.3</v>
      </c>
      <c r="K67" s="67"/>
      <c r="L67" s="194">
        <v>0.71754385964912282</v>
      </c>
      <c r="M67" s="194">
        <v>0.83594855305466242</v>
      </c>
      <c r="N67" s="71">
        <v>1</v>
      </c>
      <c r="P67" s="69"/>
    </row>
    <row r="68" spans="2:16" ht="14.4" thickBot="1">
      <c r="B68" s="38" t="s">
        <v>127</v>
      </c>
      <c r="C68" s="65"/>
      <c r="D68" s="76"/>
      <c r="E68" s="76"/>
      <c r="F68" s="66">
        <v>7.5</v>
      </c>
      <c r="G68" s="282"/>
      <c r="H68" s="76"/>
      <c r="I68" s="76"/>
      <c r="J68" s="66">
        <v>7.5</v>
      </c>
      <c r="K68" s="67"/>
      <c r="L68" s="194"/>
      <c r="M68" s="194"/>
      <c r="N68" s="71">
        <v>1</v>
      </c>
      <c r="P68" s="69"/>
    </row>
    <row r="69" spans="2:16" ht="14.4" thickBot="1">
      <c r="B69" s="418" t="s">
        <v>162</v>
      </c>
      <c r="C69" s="65"/>
      <c r="D69" s="76"/>
      <c r="E69" s="76">
        <v>4.8792508624938291</v>
      </c>
      <c r="F69" s="66">
        <v>4.8</v>
      </c>
      <c r="G69" s="282"/>
      <c r="H69" s="76"/>
      <c r="I69" s="76">
        <v>6.2003723782925313</v>
      </c>
      <c r="J69" s="66">
        <v>4.8</v>
      </c>
      <c r="K69" s="67"/>
      <c r="L69" s="194"/>
      <c r="M69" s="194">
        <v>0.33859649122807017</v>
      </c>
      <c r="N69" s="71">
        <v>1</v>
      </c>
      <c r="O69" s="74"/>
      <c r="P69" s="75"/>
    </row>
    <row r="70" spans="2:16">
      <c r="D70" s="76">
        <v>5.6833510403361762</v>
      </c>
      <c r="E70" s="76">
        <v>6.6800749148806986</v>
      </c>
      <c r="F70" s="341">
        <v>5.5</v>
      </c>
      <c r="H70" s="76">
        <v>5.6290822304353068</v>
      </c>
      <c r="I70" s="76">
        <v>7.6496824296116399</v>
      </c>
      <c r="J70" s="341">
        <v>5.5</v>
      </c>
      <c r="K70" s="67"/>
      <c r="L70" s="194">
        <v>0.79182121971595654</v>
      </c>
      <c r="M70" s="194">
        <v>0.74539923776018757</v>
      </c>
      <c r="N70" s="386">
        <v>1</v>
      </c>
    </row>
    <row r="74" spans="2:16">
      <c r="F74" s="315"/>
    </row>
  </sheetData>
  <mergeCells count="51">
    <mergeCell ref="M51:M52"/>
    <mergeCell ref="B59:F59"/>
    <mergeCell ref="G59:J59"/>
    <mergeCell ref="K59:N59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531" priority="115" operator="notBetween">
      <formula>#REF!</formula>
      <formula>#REF!</formula>
    </cfRule>
  </conditionalFormatting>
  <conditionalFormatting sqref="C50">
    <cfRule type="cellIs" dxfId="530" priority="147" stopIfTrue="1" operator="greaterThan">
      <formula>100</formula>
    </cfRule>
    <cfRule type="cellIs" dxfId="529" priority="146" stopIfTrue="1" operator="lessThan">
      <formula>96</formula>
    </cfRule>
  </conditionalFormatting>
  <conditionalFormatting sqref="C61:C62">
    <cfRule type="cellIs" dxfId="528" priority="76" stopIfTrue="1" operator="lessThanOrEqual">
      <formula>0</formula>
    </cfRule>
  </conditionalFormatting>
  <conditionalFormatting sqref="C61:C65">
    <cfRule type="cellIs" dxfId="527" priority="75" stopIfTrue="1" operator="greaterThan">
      <formula>$F61</formula>
    </cfRule>
  </conditionalFormatting>
  <conditionalFormatting sqref="C62">
    <cfRule type="cellIs" dxfId="526" priority="150" stopIfTrue="1" operator="greaterThan">
      <formula>$F61</formula>
    </cfRule>
  </conditionalFormatting>
  <conditionalFormatting sqref="C63:C66">
    <cfRule type="cellIs" dxfId="525" priority="99" stopIfTrue="1" operator="lessThanOrEqual">
      <formula>0</formula>
    </cfRule>
  </conditionalFormatting>
  <conditionalFormatting sqref="C66">
    <cfRule type="cellIs" dxfId="524" priority="98" stopIfTrue="1" operator="greaterThan">
      <formula>$J66</formula>
    </cfRule>
  </conditionalFormatting>
  <conditionalFormatting sqref="C72:C76">
    <cfRule type="cellIs" dxfId="523" priority="138" stopIfTrue="1" operator="lessThanOrEqual">
      <formula>0</formula>
    </cfRule>
  </conditionalFormatting>
  <conditionalFormatting sqref="C73:C76">
    <cfRule type="cellIs" dxfId="522" priority="137" stopIfTrue="1" operator="greaterThan">
      <formula>$F$72</formula>
    </cfRule>
  </conditionalFormatting>
  <conditionalFormatting sqref="C78">
    <cfRule type="cellIs" dxfId="521" priority="140" stopIfTrue="1" operator="lessThanOrEqual">
      <formula>0</formula>
    </cfRule>
    <cfRule type="cellIs" dxfId="520" priority="139" stopIfTrue="1" operator="greaterThan">
      <formula>$F$72</formula>
    </cfRule>
  </conditionalFormatting>
  <conditionalFormatting sqref="C72:D72 D74:D80">
    <cfRule type="cellIs" dxfId="519" priority="132" stopIfTrue="1" operator="greaterThan">
      <formula>4.5</formula>
    </cfRule>
  </conditionalFormatting>
  <conditionalFormatting sqref="D46:D47">
    <cfRule type="cellIs" dxfId="518" priority="116" operator="notBetween">
      <formula>#REF!</formula>
      <formula>#REF!</formula>
    </cfRule>
  </conditionalFormatting>
  <conditionalFormatting sqref="D61:D68">
    <cfRule type="cellIs" dxfId="517" priority="109" stopIfTrue="1" operator="lessThanOrEqual">
      <formula>0</formula>
    </cfRule>
  </conditionalFormatting>
  <conditionalFormatting sqref="D69">
    <cfRule type="cellIs" dxfId="516" priority="108" stopIfTrue="1" operator="lessThanOrEqual">
      <formula>0</formula>
    </cfRule>
  </conditionalFormatting>
  <conditionalFormatting sqref="D72 D74:D80">
    <cfRule type="cellIs" dxfId="515" priority="133" stopIfTrue="1" operator="lessThanOrEqual">
      <formula>0</formula>
    </cfRule>
  </conditionalFormatting>
  <conditionalFormatting sqref="D73">
    <cfRule type="cellIs" dxfId="514" priority="124" stopIfTrue="1" operator="greaterThan">
      <formula>$F$72</formula>
    </cfRule>
    <cfRule type="cellIs" dxfId="513" priority="125" stopIfTrue="1" operator="lessThanOrEqual">
      <formula>0</formula>
    </cfRule>
  </conditionalFormatting>
  <conditionalFormatting sqref="D61:E70">
    <cfRule type="cellIs" dxfId="512" priority="72" stopIfTrue="1" operator="greaterThan">
      <formula>$F61</formula>
    </cfRule>
  </conditionalFormatting>
  <conditionalFormatting sqref="D70:E70">
    <cfRule type="cellIs" dxfId="511" priority="73" stopIfTrue="1" operator="lessThanOrEqual">
      <formula>0</formula>
    </cfRule>
  </conditionalFormatting>
  <conditionalFormatting sqref="E10:E21">
    <cfRule type="cellIs" dxfId="510" priority="19" operator="lessThan">
      <formula>48</formula>
    </cfRule>
  </conditionalFormatting>
  <conditionalFormatting sqref="E49 E50:F50">
    <cfRule type="cellIs" dxfId="509" priority="129" stopIfTrue="1" operator="greaterThan">
      <formula>100</formula>
    </cfRule>
  </conditionalFormatting>
  <conditionalFormatting sqref="E50">
    <cfRule type="cellIs" dxfId="508" priority="126" stopIfTrue="1" operator="lessThan">
      <formula>96.8</formula>
    </cfRule>
    <cfRule type="cellIs" dxfId="507" priority="127" stopIfTrue="1" operator="greaterThan">
      <formula>100</formula>
    </cfRule>
  </conditionalFormatting>
  <conditionalFormatting sqref="E61:E69">
    <cfRule type="cellIs" dxfId="506" priority="103" stopIfTrue="1" operator="lessThanOrEqual">
      <formula>0</formula>
    </cfRule>
  </conditionalFormatting>
  <conditionalFormatting sqref="E72:E80">
    <cfRule type="cellIs" dxfId="505" priority="118" stopIfTrue="1" operator="greaterThan">
      <formula>4.5</formula>
    </cfRule>
    <cfRule type="cellIs" dxfId="504" priority="119" stopIfTrue="1" operator="lessThanOrEqual">
      <formula>0</formula>
    </cfRule>
  </conditionalFormatting>
  <conditionalFormatting sqref="E50:F50 E49">
    <cfRule type="cellIs" dxfId="503" priority="128" stopIfTrue="1" operator="lessThan">
      <formula>96.5</formula>
    </cfRule>
  </conditionalFormatting>
  <conditionalFormatting sqref="F10:F21">
    <cfRule type="cellIs" dxfId="502" priority="20" operator="greaterThan">
      <formula>60</formula>
    </cfRule>
  </conditionalFormatting>
  <conditionalFormatting sqref="F50">
    <cfRule type="cellIs" dxfId="501" priority="145" stopIfTrue="1" operator="greaterThan">
      <formula>100</formula>
    </cfRule>
    <cfRule type="cellIs" dxfId="500" priority="144" stopIfTrue="1" operator="lessThan">
      <formula>96.8</formula>
    </cfRule>
  </conditionalFormatting>
  <conditionalFormatting sqref="F70">
    <cfRule type="cellIs" dxfId="499" priority="104" stopIfTrue="1" operator="greaterThan">
      <formula>$F70</formula>
    </cfRule>
    <cfRule type="cellIs" dxfId="498" priority="105" stopIfTrue="1" operator="lessThanOrEqual">
      <formula>0</formula>
    </cfRule>
  </conditionalFormatting>
  <conditionalFormatting sqref="G61:G62 C67:C69">
    <cfRule type="cellIs" dxfId="497" priority="111" stopIfTrue="1" operator="lessThanOrEqual">
      <formula>0</formula>
    </cfRule>
    <cfRule type="cellIs" dxfId="496" priority="110" stopIfTrue="1" operator="greaterThan">
      <formula>$F61</formula>
    </cfRule>
  </conditionalFormatting>
  <conditionalFormatting sqref="G61:G62">
    <cfRule type="cellIs" dxfId="495" priority="78" stopIfTrue="1" operator="lessThanOrEqual">
      <formula>0</formula>
    </cfRule>
    <cfRule type="cellIs" dxfId="494" priority="77" stopIfTrue="1" operator="greaterThan">
      <formula>$F61</formula>
    </cfRule>
  </conditionalFormatting>
  <conditionalFormatting sqref="G63">
    <cfRule type="cellIs" dxfId="493" priority="148" stopIfTrue="1" operator="greaterThan">
      <formula>$F62</formula>
    </cfRule>
    <cfRule type="cellIs" dxfId="492" priority="149" stopIfTrue="1" operator="lessThanOrEqual">
      <formula>0</formula>
    </cfRule>
  </conditionalFormatting>
  <conditionalFormatting sqref="G64">
    <cfRule type="cellIs" dxfId="491" priority="107" stopIfTrue="1" operator="lessThanOrEqual">
      <formula>0</formula>
    </cfRule>
    <cfRule type="cellIs" dxfId="490" priority="106" stopIfTrue="1" operator="greaterThan">
      <formula>$F64</formula>
    </cfRule>
  </conditionalFormatting>
  <conditionalFormatting sqref="G65:G69">
    <cfRule type="cellIs" dxfId="489" priority="113" stopIfTrue="1" operator="lessThanOrEqual">
      <formula>0</formula>
    </cfRule>
    <cfRule type="cellIs" dxfId="488" priority="112" stopIfTrue="1" operator="greaterThan">
      <formula>$J65</formula>
    </cfRule>
  </conditionalFormatting>
  <conditionalFormatting sqref="G74:G79 C77 C79">
    <cfRule type="cellIs" dxfId="487" priority="141" stopIfTrue="1" operator="greaterThan">
      <formula>4.5</formula>
    </cfRule>
    <cfRule type="cellIs" dxfId="486" priority="142" stopIfTrue="1" operator="lessThanOrEqual">
      <formula>0</formula>
    </cfRule>
  </conditionalFormatting>
  <conditionalFormatting sqref="G10:H18 G19:G21">
    <cfRule type="expression" dxfId="485" priority="18">
      <formula>IF(+(IF(G10&lt;#REF!,0,IF(G10&gt;#REF!,0,1)))=0,1)</formula>
    </cfRule>
  </conditionalFormatting>
  <conditionalFormatting sqref="G73:H73">
    <cfRule type="cellIs" dxfId="484" priority="123" stopIfTrue="1" operator="lessThanOrEqual">
      <formula>0</formula>
    </cfRule>
    <cfRule type="cellIs" dxfId="483" priority="122" stopIfTrue="1" operator="greaterThan">
      <formula>$F$72</formula>
    </cfRule>
  </conditionalFormatting>
  <conditionalFormatting sqref="H19:H21">
    <cfRule type="expression" dxfId="482" priority="21">
      <formula>IF(+(IF(H19&lt;T19,0,IF(H19&gt;U19,0,1)))=0,1)</formula>
    </cfRule>
  </conditionalFormatting>
  <conditionalFormatting sqref="H35:H49">
    <cfRule type="cellIs" dxfId="481" priority="120" stopIfTrue="1" operator="greaterThan">
      <formula>0</formula>
    </cfRule>
  </conditionalFormatting>
  <conditionalFormatting sqref="H53">
    <cfRule type="cellIs" dxfId="480" priority="14" stopIfTrue="1" operator="lessThanOrEqual">
      <formula>0</formula>
    </cfRule>
    <cfRule type="cellIs" dxfId="479" priority="13" stopIfTrue="1" operator="greaterThan">
      <formula>$F$26</formula>
    </cfRule>
    <cfRule type="cellIs" dxfId="478" priority="12" stopIfTrue="1" operator="lessThanOrEqual">
      <formula>0</formula>
    </cfRule>
    <cfRule type="cellIs" dxfId="477" priority="11" stopIfTrue="1" operator="greaterThan">
      <formula>$F$28</formula>
    </cfRule>
    <cfRule type="cellIs" dxfId="476" priority="3" stopIfTrue="1" operator="greaterThan">
      <formula>$F$25</formula>
    </cfRule>
    <cfRule type="cellIs" dxfId="475" priority="2" stopIfTrue="1" operator="lessThanOrEqual">
      <formula>0</formula>
    </cfRule>
  </conditionalFormatting>
  <conditionalFormatting sqref="H54:H55">
    <cfRule type="cellIs" dxfId="474" priority="31" stopIfTrue="1" operator="lessThanOrEqual">
      <formula>0</formula>
    </cfRule>
    <cfRule type="cellIs" dxfId="473" priority="46" stopIfTrue="1" operator="greaterThan">
      <formula>$F$34</formula>
    </cfRule>
    <cfRule type="cellIs" dxfId="472" priority="54" stopIfTrue="1" operator="greaterThan">
      <formula>$F$37</formula>
    </cfRule>
    <cfRule type="cellIs" dxfId="471" priority="55" stopIfTrue="1" operator="lessThanOrEqual">
      <formula>0</formula>
    </cfRule>
    <cfRule type="cellIs" dxfId="470" priority="56" stopIfTrue="1" operator="greaterThan">
      <formula>$F$35</formula>
    </cfRule>
    <cfRule type="cellIs" dxfId="469" priority="57" stopIfTrue="1" operator="lessThanOrEqual">
      <formula>0</formula>
    </cfRule>
  </conditionalFormatting>
  <conditionalFormatting sqref="H56">
    <cfRule type="cellIs" dxfId="468" priority="84" stopIfTrue="1" operator="greaterThan">
      <formula>$F$60</formula>
    </cfRule>
    <cfRule type="cellIs" dxfId="467" priority="92" stopIfTrue="1" operator="greaterThan">
      <formula>$F$63</formula>
    </cfRule>
    <cfRule type="cellIs" dxfId="466" priority="93" stopIfTrue="1" operator="lessThanOrEqual">
      <formula>0</formula>
    </cfRule>
    <cfRule type="cellIs" dxfId="465" priority="94" stopIfTrue="1" operator="greaterThan">
      <formula>$F$61</formula>
    </cfRule>
    <cfRule type="cellIs" dxfId="464" priority="95" stopIfTrue="1" operator="lessThanOrEqual">
      <formula>0</formula>
    </cfRule>
    <cfRule type="cellIs" dxfId="463" priority="83" stopIfTrue="1" operator="lessThanOrEqual">
      <formula>0</formula>
    </cfRule>
  </conditionalFormatting>
  <conditionalFormatting sqref="H57">
    <cfRule type="cellIs" dxfId="462" priority="34" stopIfTrue="1" operator="greaterThan">
      <formula>$F$34</formula>
    </cfRule>
    <cfRule type="cellIs" dxfId="461" priority="43" stopIfTrue="1" operator="lessThanOrEqual">
      <formula>0</formula>
    </cfRule>
    <cfRule type="cellIs" dxfId="460" priority="42" stopIfTrue="1" operator="greaterThan">
      <formula>$F$37</formula>
    </cfRule>
    <cfRule type="cellIs" dxfId="459" priority="33" stopIfTrue="1" operator="lessThanOrEqual">
      <formula>0</formula>
    </cfRule>
    <cfRule type="cellIs" dxfId="458" priority="45" stopIfTrue="1" operator="lessThanOrEqual">
      <formula>0</formula>
    </cfRule>
    <cfRule type="cellIs" dxfId="457" priority="44" stopIfTrue="1" operator="greaterThan">
      <formula>$F$35</formula>
    </cfRule>
  </conditionalFormatting>
  <conditionalFormatting sqref="H61:H68">
    <cfRule type="cellIs" dxfId="456" priority="97" stopIfTrue="1" operator="lessThanOrEqual">
      <formula>0</formula>
    </cfRule>
    <cfRule type="cellIs" dxfId="455" priority="96" stopIfTrue="1" operator="greaterThan">
      <formula>$J61</formula>
    </cfRule>
  </conditionalFormatting>
  <conditionalFormatting sqref="H69">
    <cfRule type="cellIs" dxfId="454" priority="100" operator="greaterThan">
      <formula>5.3</formula>
    </cfRule>
  </conditionalFormatting>
  <conditionalFormatting sqref="H72 H74:H80">
    <cfRule type="cellIs" dxfId="453" priority="135" stopIfTrue="1" operator="lessThanOrEqual">
      <formula>0</formula>
    </cfRule>
    <cfRule type="cellIs" dxfId="452" priority="134" stopIfTrue="1" operator="greaterThan">
      <formula>4.5</formula>
    </cfRule>
  </conditionalFormatting>
  <conditionalFormatting sqref="H53:I53">
    <cfRule type="cellIs" dxfId="451" priority="4" stopIfTrue="1" operator="lessThanOrEqual">
      <formula>0</formula>
    </cfRule>
    <cfRule type="cellIs" dxfId="450" priority="1" stopIfTrue="1" operator="greaterThan">
      <formula>$F$27</formula>
    </cfRule>
  </conditionalFormatting>
  <conditionalFormatting sqref="H54:I55">
    <cfRule type="cellIs" dxfId="449" priority="30" stopIfTrue="1" operator="greaterThan">
      <formula>$F$36</formula>
    </cfRule>
    <cfRule type="cellIs" dxfId="448" priority="47" stopIfTrue="1" operator="lessThanOrEqual">
      <formula>0</formula>
    </cfRule>
  </conditionalFormatting>
  <conditionalFormatting sqref="H56:I56">
    <cfRule type="cellIs" dxfId="447" priority="82" stopIfTrue="1" operator="greaterThan">
      <formula>$F$62</formula>
    </cfRule>
    <cfRule type="cellIs" dxfId="446" priority="85" stopIfTrue="1" operator="lessThanOrEqual">
      <formula>0</formula>
    </cfRule>
  </conditionalFormatting>
  <conditionalFormatting sqref="H57:I57">
    <cfRule type="cellIs" dxfId="445" priority="35" stopIfTrue="1" operator="lessThanOrEqual">
      <formula>0</formula>
    </cfRule>
    <cfRule type="cellIs" dxfId="444" priority="32" stopIfTrue="1" operator="greaterThan">
      <formula>$F$36</formula>
    </cfRule>
  </conditionalFormatting>
  <conditionalFormatting sqref="H70:I70">
    <cfRule type="cellIs" dxfId="443" priority="71" stopIfTrue="1" operator="lessThanOrEqual">
      <formula>0</formula>
    </cfRule>
    <cfRule type="cellIs" dxfId="442" priority="70" stopIfTrue="1" operator="greaterThan">
      <formula>$J70</formula>
    </cfRule>
  </conditionalFormatting>
  <conditionalFormatting sqref="I53">
    <cfRule type="cellIs" dxfId="441" priority="5" stopIfTrue="1" operator="greaterThan">
      <formula>$F$25</formula>
    </cfRule>
    <cfRule type="cellIs" dxfId="440" priority="6" stopIfTrue="1" operator="lessThanOrEqual">
      <formula>0</formula>
    </cfRule>
    <cfRule type="cellIs" dxfId="439" priority="7" stopIfTrue="1" operator="greaterThan">
      <formula>$F$27</formula>
    </cfRule>
    <cfRule type="cellIs" dxfId="438" priority="8" stopIfTrue="1" operator="lessThanOrEqual">
      <formula>0</formula>
    </cfRule>
    <cfRule type="cellIs" dxfId="437" priority="9" stopIfTrue="1" operator="greaterThan">
      <formula>$F$25</formula>
    </cfRule>
    <cfRule type="cellIs" dxfId="436" priority="10" stopIfTrue="1" operator="lessThanOrEqual">
      <formula>0</formula>
    </cfRule>
  </conditionalFormatting>
  <conditionalFormatting sqref="I54:I55">
    <cfRule type="cellIs" dxfId="435" priority="48" stopIfTrue="1" operator="greaterThan">
      <formula>$F$34</formula>
    </cfRule>
    <cfRule type="cellIs" dxfId="434" priority="49" stopIfTrue="1" operator="lessThanOrEqual">
      <formula>0</formula>
    </cfRule>
    <cfRule type="cellIs" dxfId="433" priority="50" stopIfTrue="1" operator="greaterThan">
      <formula>$F$36</formula>
    </cfRule>
    <cfRule type="cellIs" dxfId="432" priority="51" stopIfTrue="1" operator="lessThanOrEqual">
      <formula>0</formula>
    </cfRule>
    <cfRule type="cellIs" dxfId="431" priority="52" stopIfTrue="1" operator="greaterThan">
      <formula>$F$34</formula>
    </cfRule>
    <cfRule type="cellIs" dxfId="430" priority="53" stopIfTrue="1" operator="lessThanOrEqual">
      <formula>0</formula>
    </cfRule>
  </conditionalFormatting>
  <conditionalFormatting sqref="I56">
    <cfRule type="cellIs" dxfId="429" priority="90" stopIfTrue="1" operator="greaterThan">
      <formula>$F$60</formula>
    </cfRule>
    <cfRule type="cellIs" dxfId="428" priority="89" stopIfTrue="1" operator="lessThanOrEqual">
      <formula>0</formula>
    </cfRule>
    <cfRule type="cellIs" dxfId="427" priority="88" stopIfTrue="1" operator="greaterThan">
      <formula>$F$62</formula>
    </cfRule>
    <cfRule type="cellIs" dxfId="426" priority="87" stopIfTrue="1" operator="lessThanOrEqual">
      <formula>0</formula>
    </cfRule>
    <cfRule type="cellIs" dxfId="425" priority="86" stopIfTrue="1" operator="greaterThan">
      <formula>$F$60</formula>
    </cfRule>
    <cfRule type="cellIs" dxfId="424" priority="91" stopIfTrue="1" operator="lessThanOrEqual">
      <formula>0</formula>
    </cfRule>
  </conditionalFormatting>
  <conditionalFormatting sqref="I57">
    <cfRule type="cellIs" dxfId="423" priority="40" stopIfTrue="1" operator="greaterThan">
      <formula>$F$34</formula>
    </cfRule>
    <cfRule type="cellIs" dxfId="422" priority="41" stopIfTrue="1" operator="lessThanOrEqual">
      <formula>0</formula>
    </cfRule>
    <cfRule type="cellIs" dxfId="421" priority="39" stopIfTrue="1" operator="lessThanOrEqual">
      <formula>0</formula>
    </cfRule>
    <cfRule type="cellIs" dxfId="420" priority="38" stopIfTrue="1" operator="greaterThan">
      <formula>$F$36</formula>
    </cfRule>
    <cfRule type="cellIs" dxfId="419" priority="37" stopIfTrue="1" operator="lessThanOrEqual">
      <formula>0</formula>
    </cfRule>
    <cfRule type="cellIs" dxfId="418" priority="36" stopIfTrue="1" operator="greaterThan">
      <formula>$F$34</formula>
    </cfRule>
  </conditionalFormatting>
  <conditionalFormatting sqref="I61:I69">
    <cfRule type="cellIs" dxfId="417" priority="102" stopIfTrue="1" operator="lessThanOrEqual">
      <formula>0</formula>
    </cfRule>
    <cfRule type="cellIs" dxfId="416" priority="101" stopIfTrue="1" operator="greaterThan">
      <formula>$J61</formula>
    </cfRule>
  </conditionalFormatting>
  <conditionalFormatting sqref="I72:I80">
    <cfRule type="cellIs" dxfId="415" priority="130" stopIfTrue="1" operator="greaterThan">
      <formula>4.5</formula>
    </cfRule>
    <cfRule type="cellIs" dxfId="414" priority="131" stopIfTrue="1" operator="lessThanOrEqual">
      <formula>0</formula>
    </cfRule>
  </conditionalFormatting>
  <conditionalFormatting sqref="I10:J18 I19:I21">
    <cfRule type="cellIs" dxfId="413" priority="29" operator="lessThan">
      <formula>97.9</formula>
    </cfRule>
  </conditionalFormatting>
  <conditionalFormatting sqref="J24:J26">
    <cfRule type="cellIs" dxfId="412" priority="60" stopIfTrue="1" operator="lessThan">
      <formula>96.8</formula>
    </cfRule>
    <cfRule type="cellIs" dxfId="411" priority="61" stopIfTrue="1" operator="greaterThan">
      <formula>100</formula>
    </cfRule>
    <cfRule type="cellIs" dxfId="410" priority="62" operator="lessThan">
      <formula>98</formula>
    </cfRule>
  </conditionalFormatting>
  <conditionalFormatting sqref="J24:J28">
    <cfRule type="cellIs" dxfId="409" priority="59" operator="lessThan">
      <formula>97.4</formula>
    </cfRule>
  </conditionalFormatting>
  <conditionalFormatting sqref="J29">
    <cfRule type="cellIs" dxfId="408" priority="63" operator="lessThan">
      <formula>98</formula>
    </cfRule>
  </conditionalFormatting>
  <conditionalFormatting sqref="J30:J32">
    <cfRule type="cellIs" dxfId="407" priority="64" stopIfTrue="1" operator="lessThan">
      <formula>96.8</formula>
    </cfRule>
    <cfRule type="cellIs" dxfId="406" priority="65" stopIfTrue="1" operator="greaterThan">
      <formula>100</formula>
    </cfRule>
  </conditionalFormatting>
  <conditionalFormatting sqref="J30:J33">
    <cfRule type="cellIs" dxfId="405" priority="66" operator="lessThan">
      <formula>98</formula>
    </cfRule>
  </conditionalFormatting>
  <conditionalFormatting sqref="J70">
    <cfRule type="cellIs" dxfId="404" priority="67" stopIfTrue="1" operator="greaterThan">
      <formula>$F70</formula>
    </cfRule>
    <cfRule type="cellIs" dxfId="403" priority="68" stopIfTrue="1" operator="lessThanOrEqual">
      <formula>0</formula>
    </cfRule>
  </conditionalFormatting>
  <conditionalFormatting sqref="K10:K18 J19:J21">
    <cfRule type="cellIs" dxfId="402" priority="24" operator="greaterThan">
      <formula>6</formula>
    </cfRule>
    <cfRule type="cellIs" dxfId="401" priority="28" operator="greaterThan">
      <formula>6.4</formula>
    </cfRule>
    <cfRule type="cellIs" dxfId="400" priority="25" operator="lessThan">
      <formula>4</formula>
    </cfRule>
  </conditionalFormatting>
  <conditionalFormatting sqref="K38:K47">
    <cfRule type="cellIs" dxfId="399" priority="58" operator="notEqual">
      <formula>#REF!</formula>
    </cfRule>
  </conditionalFormatting>
  <conditionalFormatting sqref="K53:K57 K61:N64 L65:N65">
    <cfRule type="cellIs" dxfId="398" priority="114" stopIfTrue="1" operator="lessThan">
      <formula>100%</formula>
    </cfRule>
  </conditionalFormatting>
  <conditionalFormatting sqref="K72:K77">
    <cfRule type="cellIs" dxfId="397" priority="136" stopIfTrue="1" operator="lessThan">
      <formula>100%</formula>
    </cfRule>
  </conditionalFormatting>
  <conditionalFormatting sqref="K79:K80">
    <cfRule type="cellIs" dxfId="396" priority="143" stopIfTrue="1" operator="lessThan">
      <formula>100%</formula>
    </cfRule>
  </conditionalFormatting>
  <conditionalFormatting sqref="K66:N70">
    <cfRule type="cellIs" dxfId="395" priority="69" stopIfTrue="1" operator="lessThan">
      <formula>100%</formula>
    </cfRule>
  </conditionalFormatting>
  <conditionalFormatting sqref="L10:L18 K19:K21">
    <cfRule type="cellIs" dxfId="394" priority="27" operator="greaterThan">
      <formula>65</formula>
    </cfRule>
    <cfRule type="cellIs" dxfId="393" priority="26" operator="between">
      <formula>61</formula>
      <formula>65</formula>
    </cfRule>
  </conditionalFormatting>
  <conditionalFormatting sqref="L24:M35">
    <cfRule type="cellIs" dxfId="392" priority="74" operator="lessThan">
      <formula>98</formula>
    </cfRule>
  </conditionalFormatting>
  <conditionalFormatting sqref="L39:N39">
    <cfRule type="cellIs" dxfId="391" priority="79" operator="notEqual">
      <formula>#REF!</formula>
    </cfRule>
  </conditionalFormatting>
  <conditionalFormatting sqref="L72:N80">
    <cfRule type="cellIs" dxfId="390" priority="121" stopIfTrue="1" operator="lessThan">
      <formula>100%</formula>
    </cfRule>
  </conditionalFormatting>
  <conditionalFormatting sqref="M10:M18 L19:M21">
    <cfRule type="expression" dxfId="389" priority="23">
      <formula>IF(+(IF(L10&lt;T10,0,IF(L10&gt;U10,0,1)))=0,1)</formula>
    </cfRule>
  </conditionalFormatting>
  <conditionalFormatting sqref="M6:N6">
    <cfRule type="cellIs" dxfId="388" priority="80" operator="greaterThanOrEqual">
      <formula>15</formula>
    </cfRule>
    <cfRule type="cellIs" dxfId="387" priority="81" operator="greaterThanOrEqual">
      <formula>19</formula>
    </cfRule>
  </conditionalFormatting>
  <conditionalFormatting sqref="N10:N21">
    <cfRule type="expression" dxfId="386" priority="22">
      <formula>IF(+(IF(N10&lt;W10,0,IF(N10&gt;X10,0,1)))=0,1)</formula>
    </cfRule>
  </conditionalFormatting>
  <conditionalFormatting sqref="P6">
    <cfRule type="cellIs" dxfId="385" priority="117" operator="greaterThanOrEqual">
      <formula>19</formula>
    </cfRule>
  </conditionalFormatting>
  <dataValidations count="1">
    <dataValidation type="list" allowBlank="1" showInputMessage="1" showErrorMessage="1" sqref="R8" xr:uid="{86CFE167-EA21-4E5C-94BD-5E678DFD5EEC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D0F3-E124-4FDE-96B7-576CD1B12749}">
  <sheetPr>
    <pageSetUpPr fitToPage="1"/>
  </sheetPr>
  <dimension ref="A1:BE85"/>
  <sheetViews>
    <sheetView topLeftCell="A60" zoomScaleNormal="100" workbookViewId="0">
      <selection activeCell="G66" sqref="G66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9" style="275" customWidth="1"/>
    <col min="4" max="4" width="15.33203125" style="275" customWidth="1"/>
    <col min="5" max="5" width="15.109375" style="275" customWidth="1"/>
    <col min="6" max="6" width="16.6640625" style="275" customWidth="1"/>
    <col min="7" max="7" width="22.5546875" style="275" customWidth="1"/>
    <col min="8" max="8" width="23.109375" style="275" customWidth="1"/>
    <col min="9" max="9" width="17.5546875" style="275" customWidth="1"/>
    <col min="10" max="10" width="45.44140625" style="275" customWidth="1"/>
    <col min="11" max="11" width="25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45776</v>
      </c>
      <c r="J4" s="399" t="s">
        <v>207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206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33" t="s">
        <v>9</v>
      </c>
      <c r="C10" s="366" t="str">
        <f>[24]Brewhouse!$A186</f>
        <v>ST169</v>
      </c>
      <c r="D10" s="279">
        <f>[24]Brewhouse!$AD186</f>
        <v>53.9</v>
      </c>
      <c r="E10" s="279">
        <f>[24]Brewhouse!$AG186</f>
        <v>49.9</v>
      </c>
      <c r="F10" s="278">
        <f>[24]Brewhouse!$V186</f>
        <v>68</v>
      </c>
      <c r="G10" s="279">
        <f>[24]Brewhouse!$AE186</f>
        <v>11.78</v>
      </c>
      <c r="H10" s="396">
        <v>11.8</v>
      </c>
      <c r="I10" s="434">
        <f>[24]Brewhouse!$AS186</f>
        <v>97.739128496924266</v>
      </c>
      <c r="J10" s="434">
        <f>[24]Brewhouse!$AT186</f>
        <v>99.183685119286963</v>
      </c>
      <c r="K10" s="398">
        <f>[24]Brewhouse!$Q186</f>
        <v>6.1151079136690623</v>
      </c>
      <c r="L10" s="276">
        <f>[24]Brewhouse!$P186</f>
        <v>57</v>
      </c>
      <c r="M10" s="374">
        <f>[24]Brewhouse!$U186-[24]Brewhouse!$T186</f>
        <v>0.11041666666666664</v>
      </c>
      <c r="N10" s="370">
        <f>[24]Brewhouse!$AW186</f>
        <v>0.25555555555555554</v>
      </c>
      <c r="O10" s="435" t="str">
        <f>[24]Brewhouse!$AV186</f>
        <v>G. Mason</v>
      </c>
      <c r="P10" s="339"/>
      <c r="R10" s="277" t="str">
        <f t="shared" ref="R10:R13" si="0">B10</f>
        <v>STAG</v>
      </c>
      <c r="S10" s="296">
        <f t="shared" ref="S10:S13" si="1">VLOOKUP($B10,$R$3:$X$9,2,FALSE)</f>
        <v>11.6</v>
      </c>
      <c r="T10" s="296">
        <f t="shared" ref="T10:T13" si="2">VLOOKUP($B10,$R$3:$X$9,3,FALSE)</f>
        <v>12</v>
      </c>
      <c r="U10" s="297">
        <f t="shared" ref="U10:U13" si="3">VLOOKUP($B10,$R$3:$X$9,4,FALSE)</f>
        <v>0</v>
      </c>
      <c r="V10" s="297">
        <f t="shared" ref="V10:V13" si="4">VLOOKUP($B10,$R$3:$X$9,5,FALSE)</f>
        <v>0.118055555555556</v>
      </c>
      <c r="W10" s="297">
        <f t="shared" ref="W10:W13" si="5">VLOOKUP($B10,$R$3:$X$9,6,FALSE)</f>
        <v>0.22569444444444445</v>
      </c>
      <c r="X10" s="297">
        <f t="shared" ref="X10:X13" si="6">VLOOKUP($B10,$R$3:$X$9,7,FALSE)</f>
        <v>0.2638888888888889</v>
      </c>
      <c r="Y10" s="297">
        <f t="shared" ref="Y10:Y13" si="7">VLOOKUP($B10,$R$3:$Z$9,8,FALSE)</f>
        <v>0</v>
      </c>
      <c r="Z10" s="296">
        <f t="shared" ref="Z10:Z13" si="8">VLOOKUP($B10,$R$3:$Z$9,9,FALSE)</f>
        <v>60</v>
      </c>
    </row>
    <row r="11" spans="2:29" ht="14.4">
      <c r="B11" s="33" t="s">
        <v>9</v>
      </c>
      <c r="C11" s="366" t="str">
        <f>[24]Brewhouse!$A187</f>
        <v>ST170</v>
      </c>
      <c r="D11" s="279">
        <f>[24]Brewhouse!$AD187</f>
        <v>52.8</v>
      </c>
      <c r="E11" s="279">
        <f>[24]Brewhouse!$AG187</f>
        <v>49.4</v>
      </c>
      <c r="F11" s="278">
        <f>[24]Brewhouse!$V187</f>
        <v>66</v>
      </c>
      <c r="G11" s="279">
        <f>[24]Brewhouse!$AE187</f>
        <v>12</v>
      </c>
      <c r="H11" s="396">
        <v>12</v>
      </c>
      <c r="I11" s="434">
        <f>[24]Brewhouse!$AS187</f>
        <v>98.608395095224694</v>
      </c>
      <c r="J11" s="434">
        <f>[24]Brewhouse!$AT187</f>
        <v>100.06532282026856</v>
      </c>
      <c r="K11" s="398">
        <f>[24]Brewhouse!$Q187</f>
        <v>6.0218978102189737</v>
      </c>
      <c r="L11" s="276">
        <f>[24]Brewhouse!$P187</f>
        <v>62</v>
      </c>
      <c r="M11" s="374">
        <f>[24]Brewhouse!$U187-[24]Brewhouse!$T187</f>
        <v>0.11458333333333331</v>
      </c>
      <c r="N11" s="370">
        <f>[24]Brewhouse!$AW187</f>
        <v>0.25624999999999998</v>
      </c>
      <c r="O11" s="435" t="str">
        <f>[24]Brewhouse!$AV187</f>
        <v>D. Gomaz</v>
      </c>
      <c r="P11" s="339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4.4">
      <c r="B12" s="33" t="s">
        <v>9</v>
      </c>
      <c r="C12" s="366" t="str">
        <f>[24]Brewhouse!$A188</f>
        <v>ST171</v>
      </c>
      <c r="D12" s="279">
        <f>[24]Brewhouse!$AD188</f>
        <v>53.9</v>
      </c>
      <c r="E12" s="279">
        <f>[24]Brewhouse!$AG188</f>
        <v>50.4</v>
      </c>
      <c r="F12" s="278">
        <f>[24]Brewhouse!$V188</f>
        <v>69</v>
      </c>
      <c r="G12" s="279">
        <f>[24]Brewhouse!$AE188</f>
        <v>11.94</v>
      </c>
      <c r="H12" s="396">
        <v>11.9</v>
      </c>
      <c r="I12" s="434">
        <f>[24]Brewhouse!$AS188</f>
        <v>99.473816674074172</v>
      </c>
      <c r="J12" s="434">
        <f>[24]Brewhouse!$AT188</f>
        <v>100.94449089022137</v>
      </c>
      <c r="K12" s="398">
        <f>[24]Brewhouse!$Q188</f>
        <v>5.2252252252252225</v>
      </c>
      <c r="L12" s="276">
        <f>[24]Brewhouse!$P188</f>
        <v>61</v>
      </c>
      <c r="M12" s="374">
        <f>[24]Brewhouse!$U188-[24]Brewhouse!$T188</f>
        <v>0.11736111111111108</v>
      </c>
      <c r="N12" s="370">
        <f>[24]Brewhouse!$AW188</f>
        <v>0.26527777777777778</v>
      </c>
      <c r="O12" s="435" t="str">
        <f>[24]Brewhouse!$AV188</f>
        <v>D. Gomaz</v>
      </c>
      <c r="P12" s="339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4.4">
      <c r="B13" s="33" t="s">
        <v>9</v>
      </c>
      <c r="C13" s="366" t="str">
        <f>[24]Brewhouse!$A189</f>
        <v>ST172</v>
      </c>
      <c r="D13" s="279">
        <f>[24]Brewhouse!$AD189</f>
        <v>54.1</v>
      </c>
      <c r="E13" s="279">
        <f>[24]Brewhouse!$AG189</f>
        <v>50.7</v>
      </c>
      <c r="F13" s="278">
        <f>[24]Brewhouse!$V189</f>
        <v>70</v>
      </c>
      <c r="G13" s="279">
        <f>[24]Brewhouse!$AE189</f>
        <v>11.53</v>
      </c>
      <c r="H13" s="396">
        <v>11.7</v>
      </c>
      <c r="I13" s="434">
        <f>[24]Brewhouse!$AS189</f>
        <v>96.771677377330477</v>
      </c>
      <c r="J13" s="434">
        <f>[24]Brewhouse!$AT189</f>
        <v>98.201467808803216</v>
      </c>
      <c r="K13" s="398">
        <f>[24]Brewhouse!$Q189</f>
        <v>4.8300536672629626</v>
      </c>
      <c r="L13" s="276">
        <f>[24]Brewhouse!$P189</f>
        <v>64</v>
      </c>
      <c r="M13" s="374">
        <f>[24]Brewhouse!$U189-[24]Brewhouse!$T189</f>
        <v>0.11874999999999991</v>
      </c>
      <c r="N13" s="370">
        <f>[24]Brewhouse!$AW189</f>
        <v>0.26388888888888884</v>
      </c>
      <c r="O13" s="435" t="str">
        <f>[24]Brewhouse!$AV189</f>
        <v>D. Gomaz</v>
      </c>
      <c r="P13" s="339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[24]Brewhouse!$A190</f>
        <v>ST173</v>
      </c>
      <c r="D14" s="279">
        <f>[24]Brewhouse!$AD190</f>
        <v>54</v>
      </c>
      <c r="E14" s="279">
        <f>[24]Brewhouse!$AG190</f>
        <v>50.3</v>
      </c>
      <c r="F14" s="278">
        <f>[24]Brewhouse!$V190</f>
        <v>63</v>
      </c>
      <c r="G14" s="279">
        <f>[24]Brewhouse!$AE190</f>
        <v>11.8</v>
      </c>
      <c r="H14" s="396">
        <v>11.81</v>
      </c>
      <c r="I14" s="434">
        <f>[24]Brewhouse!$AS190</f>
        <v>98.031246107368958</v>
      </c>
      <c r="J14" s="434">
        <f>[24]Brewhouse!$AT190</f>
        <v>99.482002870944854</v>
      </c>
      <c r="K14" s="398">
        <f>[24]Brewhouse!$Q190</f>
        <v>4.1516245487364571</v>
      </c>
      <c r="L14" s="276">
        <f>[24]Brewhouse!$P190</f>
        <v>67</v>
      </c>
      <c r="M14" s="374">
        <f>[24]Brewhouse!$U190-[24]Brewhouse!$T190</f>
        <v>0.11041666666666661</v>
      </c>
      <c r="N14" s="370">
        <f>[24]Brewhouse!$AW190</f>
        <v>0.27013888888888887</v>
      </c>
      <c r="O14" s="435" t="str">
        <f>[24]Brewhouse!$AV190</f>
        <v>R.Sookram</v>
      </c>
      <c r="P14" s="443"/>
      <c r="R14" s="277" t="str">
        <f t="shared" ref="R14:R33" si="9">B14</f>
        <v>STAG</v>
      </c>
      <c r="S14" s="296">
        <f t="shared" ref="S14:S33" si="10">VLOOKUP($B14,$R$3:$X$9,2,FALSE)</f>
        <v>11.6</v>
      </c>
      <c r="T14" s="296">
        <f t="shared" ref="T14:T33" si="11">VLOOKUP($B14,$R$3:$X$9,3,FALSE)</f>
        <v>12</v>
      </c>
      <c r="U14" s="297">
        <f t="shared" ref="U14:U33" si="12">VLOOKUP($B14,$R$3:$X$9,4,FALSE)</f>
        <v>0</v>
      </c>
      <c r="V14" s="297">
        <f t="shared" ref="V14:V33" si="13">VLOOKUP($B14,$R$3:$X$9,5,FALSE)</f>
        <v>0.118055555555556</v>
      </c>
      <c r="W14" s="297">
        <f t="shared" ref="W14:W33" si="14">VLOOKUP($B14,$R$3:$X$9,6,FALSE)</f>
        <v>0.22569444444444445</v>
      </c>
      <c r="X14" s="297">
        <f t="shared" ref="X14:X33" si="15">VLOOKUP($B14,$R$3:$X$9,7,FALSE)</f>
        <v>0.2638888888888889</v>
      </c>
      <c r="Y14" s="297">
        <f t="shared" ref="Y14:Y33" si="16">VLOOKUP($B14,$R$3:$Z$9,8,FALSE)</f>
        <v>0</v>
      </c>
      <c r="Z14" s="296">
        <f t="shared" ref="Z14:Z33" si="17">VLOOKUP($B14,$R$3:$Z$9,9,FALSE)</f>
        <v>60</v>
      </c>
    </row>
    <row r="15" spans="2:29" ht="15.75" customHeight="1">
      <c r="B15" s="33" t="s">
        <v>9</v>
      </c>
      <c r="C15" s="366" t="str">
        <f>[24]Brewhouse!$A191</f>
        <v>ST174</v>
      </c>
      <c r="D15" s="279">
        <f>[24]Brewhouse!$AD191</f>
        <v>54.8</v>
      </c>
      <c r="E15" s="279">
        <f>[24]Brewhouse!$AG191</f>
        <v>50.4</v>
      </c>
      <c r="F15" s="278">
        <f>[24]Brewhouse!$V191</f>
        <v>73</v>
      </c>
      <c r="G15" s="279">
        <f>[24]Brewhouse!$AE191</f>
        <v>11.8</v>
      </c>
      <c r="H15" s="396">
        <v>11.9</v>
      </c>
      <c r="I15" s="434">
        <f>[24]Brewhouse!$AS191</f>
        <v>98.226139240783183</v>
      </c>
      <c r="J15" s="434">
        <f>[24]Brewhouse!$AT191</f>
        <v>99.679780212636587</v>
      </c>
      <c r="K15" s="398">
        <f>[24]Brewhouse!$Q191</f>
        <v>3.0852994555353952</v>
      </c>
      <c r="L15" s="276">
        <f>[24]Brewhouse!$P191</f>
        <v>58</v>
      </c>
      <c r="M15" s="374">
        <f>[24]Brewhouse!$U191-[24]Brewhouse!$T191</f>
        <v>0.12152777777777779</v>
      </c>
      <c r="N15" s="370">
        <f>[24]Brewhouse!$AW191</f>
        <v>0.26875000000000004</v>
      </c>
      <c r="O15" s="435" t="str">
        <f>[24]Brewhouse!$AV191</f>
        <v>R.Sookram</v>
      </c>
      <c r="P15" s="443"/>
      <c r="R15" s="277" t="str">
        <f t="shared" si="9"/>
        <v>STAG</v>
      </c>
      <c r="S15" s="296">
        <f t="shared" si="10"/>
        <v>11.6</v>
      </c>
      <c r="T15" s="296">
        <f t="shared" si="11"/>
        <v>12</v>
      </c>
      <c r="U15" s="297">
        <f t="shared" si="12"/>
        <v>0</v>
      </c>
      <c r="V15" s="297">
        <f t="shared" si="13"/>
        <v>0.118055555555556</v>
      </c>
      <c r="W15" s="297">
        <f t="shared" si="14"/>
        <v>0.22569444444444445</v>
      </c>
      <c r="X15" s="297">
        <f t="shared" si="15"/>
        <v>0.2638888888888889</v>
      </c>
      <c r="Y15" s="297">
        <f t="shared" si="16"/>
        <v>0</v>
      </c>
      <c r="Z15" s="296">
        <f t="shared" si="17"/>
        <v>60</v>
      </c>
    </row>
    <row r="16" spans="2:29" ht="15.75" customHeight="1">
      <c r="B16" s="33" t="s">
        <v>9</v>
      </c>
      <c r="C16" s="366" t="str">
        <f>[24]Brewhouse!$A192</f>
        <v>ST175</v>
      </c>
      <c r="D16" s="279">
        <f>[24]Brewhouse!$AD192</f>
        <v>54.8</v>
      </c>
      <c r="E16" s="279">
        <f>[24]Brewhouse!$AG192</f>
        <v>51.6</v>
      </c>
      <c r="F16" s="278">
        <f>[24]Brewhouse!$V192</f>
        <v>67</v>
      </c>
      <c r="G16" s="279">
        <f>[24]Brewhouse!$AE192</f>
        <v>11.6</v>
      </c>
      <c r="H16" s="396">
        <v>11.9</v>
      </c>
      <c r="I16" s="434">
        <f>[24]Brewhouse!$AS192</f>
        <v>99.142807989788679</v>
      </c>
      <c r="J16" s="434">
        <f>[24]Brewhouse!$AT192</f>
        <v>100.60858839615179</v>
      </c>
      <c r="K16" s="398">
        <f>[24]Brewhouse!$Q192</f>
        <v>3.4358047016274837</v>
      </c>
      <c r="L16" s="276">
        <f>[24]Brewhouse!$P192</f>
        <v>56</v>
      </c>
      <c r="M16" s="374">
        <f>[24]Brewhouse!$U192-[24]Brewhouse!$T192</f>
        <v>0.11249999999999993</v>
      </c>
      <c r="N16" s="370">
        <f>[24]Brewhouse!$AW192</f>
        <v>0.24861111111111112</v>
      </c>
      <c r="O16" s="435" t="str">
        <f>[24]Brewhouse!$AV192</f>
        <v>R.Sookram</v>
      </c>
      <c r="P16" s="443"/>
      <c r="R16" s="277" t="str">
        <f t="shared" si="9"/>
        <v>STAG</v>
      </c>
      <c r="S16" s="296">
        <f t="shared" si="10"/>
        <v>11.6</v>
      </c>
      <c r="T16" s="296">
        <f t="shared" si="11"/>
        <v>12</v>
      </c>
      <c r="U16" s="297">
        <f t="shared" si="12"/>
        <v>0</v>
      </c>
      <c r="V16" s="297">
        <f t="shared" si="13"/>
        <v>0.118055555555556</v>
      </c>
      <c r="W16" s="297">
        <f t="shared" si="14"/>
        <v>0.22569444444444445</v>
      </c>
      <c r="X16" s="297">
        <f t="shared" si="15"/>
        <v>0.2638888888888889</v>
      </c>
      <c r="Y16" s="297">
        <f t="shared" si="16"/>
        <v>0</v>
      </c>
      <c r="Z16" s="296">
        <f t="shared" si="17"/>
        <v>60</v>
      </c>
    </row>
    <row r="17" spans="2:26" ht="15.75" customHeight="1">
      <c r="B17" s="33" t="s">
        <v>9</v>
      </c>
      <c r="C17" s="366" t="str">
        <f>[24]Brewhouse!$A193</f>
        <v>ST176</v>
      </c>
      <c r="D17" s="279">
        <f>[24]Brewhouse!$AD193</f>
        <v>54.6</v>
      </c>
      <c r="E17" s="279">
        <f>[24]Brewhouse!$AG193</f>
        <v>51.8</v>
      </c>
      <c r="F17" s="278">
        <f>[24]Brewhouse!$V193</f>
        <v>66</v>
      </c>
      <c r="G17" s="279">
        <f>[24]Brewhouse!$AE193</f>
        <v>11.9</v>
      </c>
      <c r="H17" s="396">
        <v>11.9</v>
      </c>
      <c r="I17" s="434">
        <f>[24]Brewhouse!$AS193</f>
        <v>102.23697824835402</v>
      </c>
      <c r="J17" s="434">
        <f>[24]Brewhouse!$AT193</f>
        <v>103.74850452606086</v>
      </c>
      <c r="K17" s="398">
        <f>[24]Brewhouse!$Q193</f>
        <v>2.3636363636363584</v>
      </c>
      <c r="L17" s="276">
        <f>[24]Brewhouse!$P193</f>
        <v>57</v>
      </c>
      <c r="M17" s="374">
        <f>[24]Brewhouse!$U193-[24]Brewhouse!$T193</f>
        <v>0.11180555555555549</v>
      </c>
      <c r="N17" s="370">
        <f>[24]Brewhouse!$AW193</f>
        <v>0.26111111111111107</v>
      </c>
      <c r="O17" s="435" t="str">
        <f>[24]Brewhouse!$AV193</f>
        <v>R.Sookram</v>
      </c>
      <c r="P17" s="443"/>
      <c r="R17" s="277" t="str">
        <f t="shared" ref="R17:R25" si="18">B17</f>
        <v>STAG</v>
      </c>
      <c r="S17" s="296">
        <f t="shared" si="10"/>
        <v>11.6</v>
      </c>
      <c r="T17" s="296">
        <f t="shared" si="11"/>
        <v>12</v>
      </c>
      <c r="U17" s="297">
        <f t="shared" si="12"/>
        <v>0</v>
      </c>
      <c r="V17" s="297">
        <f t="shared" si="13"/>
        <v>0.118055555555556</v>
      </c>
      <c r="W17" s="297">
        <f t="shared" si="14"/>
        <v>0.22569444444444445</v>
      </c>
      <c r="X17" s="297">
        <f t="shared" si="15"/>
        <v>0.2638888888888889</v>
      </c>
      <c r="Y17" s="297">
        <f t="shared" si="16"/>
        <v>0</v>
      </c>
      <c r="Z17" s="296">
        <f t="shared" si="17"/>
        <v>60</v>
      </c>
    </row>
    <row r="18" spans="2:26" ht="15.75" customHeight="1">
      <c r="B18" s="33"/>
      <c r="C18" s="366"/>
      <c r="D18" s="279"/>
      <c r="E18" s="279"/>
      <c r="F18" s="278"/>
      <c r="G18" s="279"/>
      <c r="H18" s="396"/>
      <c r="I18" s="434"/>
      <c r="J18" s="434"/>
      <c r="K18" s="398"/>
      <c r="L18" s="276"/>
      <c r="M18" s="374"/>
      <c r="N18" s="370"/>
      <c r="O18" s="435"/>
      <c r="P18" s="443"/>
      <c r="R18" s="277">
        <f t="shared" si="18"/>
        <v>0</v>
      </c>
      <c r="S18" s="296" t="e">
        <f t="shared" si="10"/>
        <v>#N/A</v>
      </c>
      <c r="T18" s="296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296" t="e">
        <f t="shared" si="17"/>
        <v>#N/A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3"/>
      <c r="R19" s="277">
        <f t="shared" si="18"/>
        <v>0</v>
      </c>
      <c r="S19" s="296" t="e">
        <f t="shared" si="10"/>
        <v>#N/A</v>
      </c>
      <c r="T19" s="296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296" t="e">
        <f t="shared" si="17"/>
        <v>#N/A</v>
      </c>
    </row>
    <row r="20" spans="2:26" ht="15.75" customHeight="1">
      <c r="B20" s="29" t="s">
        <v>6</v>
      </c>
      <c r="C20" s="366" t="str">
        <f>[23]Brewhouse!$A405</f>
        <v>CA301</v>
      </c>
      <c r="D20" s="279">
        <f>[23]Brewhouse!$AF405</f>
        <v>53</v>
      </c>
      <c r="E20" s="279">
        <f>[23]Brewhouse!$AI405</f>
        <v>48</v>
      </c>
      <c r="F20" s="278">
        <f>[23]Brewhouse!$V405</f>
        <v>54</v>
      </c>
      <c r="G20" s="279">
        <f>[23]Brewhouse!$AG405</f>
        <v>12.18</v>
      </c>
      <c r="H20" s="396">
        <v>12.2</v>
      </c>
      <c r="I20" s="368">
        <f>[23]Brewhouse!$AU405</f>
        <v>96.338703059118458</v>
      </c>
      <c r="J20" s="368">
        <f>[23]Brewhouse!$AV405</f>
        <v>98.05883908871877</v>
      </c>
      <c r="K20" s="281">
        <f>[23]Brewhouse!$Q405</f>
        <v>8.280701754385964</v>
      </c>
      <c r="L20" s="276">
        <f>[23]Brewhouse!$P405</f>
        <v>58</v>
      </c>
      <c r="M20" s="397">
        <f>[23]Brewhouse!$U405-[23]Brewhouse!$T405</f>
        <v>0.97361111111111109</v>
      </c>
      <c r="N20" s="370">
        <f>[23]Brewhouse!$Z405</f>
        <v>0.25555555555555554</v>
      </c>
      <c r="O20" s="371" t="str">
        <f>[23]Brewhouse!$AX405</f>
        <v>G. Mason</v>
      </c>
      <c r="P20" s="443"/>
      <c r="R20" s="277" t="str">
        <f t="shared" si="18"/>
        <v>CARIB</v>
      </c>
      <c r="S20" s="296">
        <f t="shared" si="10"/>
        <v>11.6</v>
      </c>
      <c r="T20" s="296">
        <f t="shared" si="11"/>
        <v>12</v>
      </c>
      <c r="U20" s="297">
        <f t="shared" si="12"/>
        <v>0</v>
      </c>
      <c r="V20" s="297">
        <f t="shared" si="13"/>
        <v>0.118055555555556</v>
      </c>
      <c r="W20" s="297">
        <f t="shared" si="14"/>
        <v>0.22569444444444445</v>
      </c>
      <c r="X20" s="297">
        <f t="shared" si="15"/>
        <v>0.2638888888888889</v>
      </c>
      <c r="Y20" s="297">
        <f t="shared" si="16"/>
        <v>0</v>
      </c>
      <c r="Z20" s="296">
        <f t="shared" si="17"/>
        <v>60</v>
      </c>
    </row>
    <row r="21" spans="2:26" ht="15.75" customHeight="1">
      <c r="B21" s="29" t="s">
        <v>6</v>
      </c>
      <c r="C21" s="366" t="str">
        <f>[23]Brewhouse!$A406</f>
        <v>CA302</v>
      </c>
      <c r="D21" s="279">
        <f>[23]Brewhouse!$AF406</f>
        <v>54.6</v>
      </c>
      <c r="E21" s="279">
        <f>[23]Brewhouse!$AI406</f>
        <v>50.9</v>
      </c>
      <c r="F21" s="278">
        <f>[23]Brewhouse!$V406</f>
        <v>65</v>
      </c>
      <c r="G21" s="279">
        <f>[23]Brewhouse!$AG406</f>
        <v>12.04</v>
      </c>
      <c r="H21" s="396">
        <v>11.8</v>
      </c>
      <c r="I21" s="368">
        <f>[23]Brewhouse!$AU406</f>
        <v>103.61202517173329</v>
      </c>
      <c r="J21" s="368">
        <f>[23]Brewhouse!$AV406</f>
        <v>105.45941065064164</v>
      </c>
      <c r="K21" s="281">
        <f>[23]Brewhouse!$Q406</f>
        <v>6.889279437609833</v>
      </c>
      <c r="L21" s="276">
        <f>[23]Brewhouse!$P406</f>
        <v>59</v>
      </c>
      <c r="M21" s="397">
        <f>[23]Brewhouse!$U406-[23]Brewhouse!$T406</f>
        <v>0.10972222222222228</v>
      </c>
      <c r="N21" s="370">
        <f>[23]Brewhouse!$Z406</f>
        <v>0.26111111111111118</v>
      </c>
      <c r="O21" s="371" t="str">
        <f>[23]Brewhouse!$AX406</f>
        <v>G. Mason</v>
      </c>
      <c r="P21" s="443"/>
      <c r="R21" s="277" t="str">
        <f t="shared" si="18"/>
        <v>CARIB</v>
      </c>
      <c r="S21" s="296">
        <f t="shared" si="10"/>
        <v>11.6</v>
      </c>
      <c r="T21" s="296">
        <f t="shared" si="11"/>
        <v>12</v>
      </c>
      <c r="U21" s="297">
        <f t="shared" si="12"/>
        <v>0</v>
      </c>
      <c r="V21" s="297">
        <f t="shared" si="13"/>
        <v>0.118055555555556</v>
      </c>
      <c r="W21" s="297">
        <f t="shared" si="14"/>
        <v>0.22569444444444445</v>
      </c>
      <c r="X21" s="297">
        <f t="shared" si="15"/>
        <v>0.2638888888888889</v>
      </c>
      <c r="Y21" s="297">
        <f t="shared" si="16"/>
        <v>0</v>
      </c>
      <c r="Z21" s="296">
        <f t="shared" si="17"/>
        <v>60</v>
      </c>
    </row>
    <row r="22" spans="2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43"/>
      <c r="R22" s="277">
        <f t="shared" si="18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2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43"/>
      <c r="R23" s="277">
        <f t="shared" si="18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2:26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43"/>
      <c r="R24" s="277">
        <f t="shared" si="18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2:26" ht="15.7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43"/>
      <c r="R25" s="277">
        <f t="shared" si="18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43"/>
      <c r="R26" s="277"/>
      <c r="S26" s="296"/>
      <c r="T26" s="296"/>
      <c r="U26" s="297"/>
      <c r="V26" s="297"/>
      <c r="W26" s="297"/>
      <c r="X26" s="297"/>
      <c r="Y26" s="297"/>
      <c r="Z26" s="296"/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43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43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43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2:26" ht="15.75" hidden="1" customHeight="1">
      <c r="B30" s="33"/>
      <c r="C30" s="366"/>
      <c r="D30" s="279"/>
      <c r="E30" s="279"/>
      <c r="F30" s="278"/>
      <c r="G30" s="279"/>
      <c r="H30" s="396"/>
      <c r="I30" s="434"/>
      <c r="J30" s="398"/>
      <c r="K30" s="276"/>
      <c r="L30" s="374"/>
      <c r="M30" s="397"/>
      <c r="N30" s="370"/>
      <c r="O30" s="371"/>
      <c r="P30" s="443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2:26" ht="15.75" hidden="1" customHeight="1">
      <c r="B31" s="33"/>
      <c r="C31" s="366"/>
      <c r="D31" s="279"/>
      <c r="E31" s="279"/>
      <c r="F31" s="278"/>
      <c r="G31" s="279"/>
      <c r="H31" s="396"/>
      <c r="I31" s="434"/>
      <c r="J31" s="398"/>
      <c r="K31" s="276"/>
      <c r="L31" s="374"/>
      <c r="M31" s="397"/>
      <c r="N31" s="370"/>
      <c r="O31" s="371"/>
      <c r="P31" s="443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2:26" ht="15.75" hidden="1" customHeight="1">
      <c r="B32" s="33"/>
      <c r="C32" s="366"/>
      <c r="D32" s="279"/>
      <c r="E32" s="279"/>
      <c r="F32" s="278"/>
      <c r="G32" s="279"/>
      <c r="H32" s="396"/>
      <c r="I32" s="434"/>
      <c r="J32" s="398"/>
      <c r="K32" s="276"/>
      <c r="L32" s="374"/>
      <c r="M32" s="397"/>
      <c r="N32" s="370"/>
      <c r="O32" s="371"/>
      <c r="P32" s="443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27" ht="15.75" customHeight="1" thickBot="1">
      <c r="B33" s="358"/>
      <c r="C33" s="358"/>
      <c r="D33" s="358"/>
      <c r="E33" s="358"/>
      <c r="F33" s="294"/>
      <c r="G33" s="294"/>
      <c r="H33" s="348"/>
      <c r="I33" s="500" t="s">
        <v>34</v>
      </c>
      <c r="J33" s="500"/>
      <c r="K33" s="500"/>
      <c r="L33" s="500"/>
      <c r="M33" s="500"/>
      <c r="N33" s="500"/>
      <c r="O33" s="1"/>
      <c r="P33" s="12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27" ht="15" thickBot="1">
      <c r="B34" s="388" t="s">
        <v>145</v>
      </c>
      <c r="C34" s="388"/>
      <c r="D34" s="513" t="s">
        <v>35</v>
      </c>
      <c r="E34" s="514"/>
      <c r="F34" s="294"/>
      <c r="G34" s="294"/>
      <c r="H34" s="348"/>
      <c r="I34" s="24" t="s">
        <v>17</v>
      </c>
      <c r="J34" s="25" t="s">
        <v>36</v>
      </c>
      <c r="K34" s="26" t="s">
        <v>138</v>
      </c>
      <c r="L34" s="25" t="s">
        <v>37</v>
      </c>
      <c r="M34" s="25" t="s">
        <v>38</v>
      </c>
      <c r="N34" s="27" t="s">
        <v>39</v>
      </c>
      <c r="O34" s="294"/>
      <c r="P34" s="12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5" customHeight="1">
      <c r="A35" s="28"/>
      <c r="B35" s="539" t="str">
        <f>I35</f>
        <v>CARIB</v>
      </c>
      <c r="C35" s="362" cm="1">
        <f t="array" ref="C35:C38">[23]Process!$D$353:$D$356</f>
        <v>11.9</v>
      </c>
      <c r="D35" s="504">
        <v>12.06</v>
      </c>
      <c r="E35" s="493"/>
      <c r="F35" s="294"/>
      <c r="G35" s="294"/>
      <c r="H35" s="348"/>
      <c r="I35" s="29" t="s">
        <v>6</v>
      </c>
      <c r="J35" s="280">
        <f>AVERAGE(I20:I21)</f>
        <v>99.975364115425876</v>
      </c>
      <c r="K35" s="284">
        <f>COUNTA([23]Brewhouse!$A$341:$A$406)</f>
        <v>66</v>
      </c>
      <c r="L35" s="302">
        <f>AVERAGE([23]Brewhouse!$AU$341:$AU$346,[23]Brewhouse!$AU$348,[23]Brewhouse!$AU$349:$AU$406)</f>
        <v>99.603254316701623</v>
      </c>
      <c r="M35" s="302">
        <f>AVERAGE([23]Brewhouse!$AU$102:$AU$171,[23]Brewhouse!$AU$173:$AU$253,[23]Brewhouse!$AU$255:$AU$339,[23]Brewhouse!$AU$341:$AU$346,[23]Brewhouse!$AU$348,[23]Brewhouse!$AU$349:$AU$406)</f>
        <v>97.396136213531847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5" customHeight="1">
      <c r="A36" s="28"/>
      <c r="B36" s="540"/>
      <c r="C36" s="349">
        <v>11.8</v>
      </c>
      <c r="D36" s="505"/>
      <c r="E36" s="488"/>
      <c r="F36" s="294"/>
      <c r="G36" s="294"/>
      <c r="H36" s="348"/>
      <c r="I36" s="33" t="s">
        <v>9</v>
      </c>
      <c r="J36" s="280">
        <f>AVERAGE(I10:I17)</f>
        <v>98.778773653731051</v>
      </c>
      <c r="K36" s="284">
        <f>COUNTA([24]Brewhouse!$A$142:$A$193)</f>
        <v>52</v>
      </c>
      <c r="L36" s="302">
        <f>AVERAGE([24]Brewhouse!$AS$142:$AS$193)</f>
        <v>99.222034286342335</v>
      </c>
      <c r="M36" s="302">
        <f>AVERAGE([24]Brewhouse!$AS$15:$AS$64,[24]Brewhouse!$AS$66:$AS$103,[24]Brewhouse!$AS$105:$AS$140,[24]Brewhouse!$AS$142:$AS$193)</f>
        <v>97.449063702526615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7" customHeight="1">
      <c r="A37" s="28"/>
      <c r="B37" s="540"/>
      <c r="C37" s="349">
        <v>11.9</v>
      </c>
      <c r="D37" s="504">
        <v>11.98</v>
      </c>
      <c r="E37" s="493"/>
      <c r="F37" s="294"/>
      <c r="G37" s="294"/>
      <c r="H37" s="348"/>
      <c r="I37" s="34" t="s">
        <v>12</v>
      </c>
      <c r="J37" s="280"/>
      <c r="K37" s="284">
        <f>COUNTA([22]Brewhouse!$A$38:$A$45)</f>
        <v>8</v>
      </c>
      <c r="L37" s="302">
        <f>AVERAGE([22]Brewhouse!$AU$37:$AU$45)</f>
        <v>98.090293320814979</v>
      </c>
      <c r="M37" s="302">
        <f>AVERAGE([22]Brewhouse!$AU$4:$AU$7,[22]Brewhouse!$AU$9:$AU$22,[22]Brewhouse!$AU$24:$AU$35,[22]Brewhouse!$AU$37:$AU$45)</f>
        <v>97.086748546217066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540"/>
      <c r="C38" s="349">
        <v>11.7</v>
      </c>
      <c r="D38" s="505"/>
      <c r="E38" s="488"/>
      <c r="F38" s="294"/>
      <c r="G38" s="294"/>
      <c r="H38" s="348"/>
      <c r="I38" s="22" t="s">
        <v>33</v>
      </c>
      <c r="J38" s="280"/>
      <c r="K38" s="284">
        <f>COUNTA([25]Brewhouse!$A$26:$A$33)</f>
        <v>8</v>
      </c>
      <c r="L38" s="302">
        <f>AVERAGE([25]Brewhouse!$AV$26:$AV$33)</f>
        <v>99.61038006330628</v>
      </c>
      <c r="M38" s="302">
        <f>AVERAGE([25]Brewhouse!$AV$5:$AV$14,[25]Brewhouse!$AV$16:$AV$19,[25]Brewhouse!$AV$21:$AV$24,[25]Brewhouse!$AV$26:$AV$33)</f>
        <v>98.921974778040592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7" customHeight="1">
      <c r="A39" s="28"/>
      <c r="B39" s="540"/>
      <c r="C39" s="349" cm="1">
        <f t="array" ref="C39:C41">[23]Process!$D$363:$D$365</f>
        <v>11.9</v>
      </c>
      <c r="D39" s="504">
        <v>12.05</v>
      </c>
      <c r="E39" s="493"/>
      <c r="F39" s="436"/>
      <c r="G39" s="294"/>
      <c r="H39" s="348"/>
      <c r="I39" s="35" t="s">
        <v>29</v>
      </c>
      <c r="J39" s="280"/>
      <c r="K39" s="284"/>
      <c r="L39" s="302"/>
      <c r="M39" s="302"/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7" customHeight="1">
      <c r="A40" s="28"/>
      <c r="B40" s="540"/>
      <c r="C40" s="349">
        <v>12</v>
      </c>
      <c r="D40" s="505"/>
      <c r="E40" s="488"/>
      <c r="F40" s="436"/>
      <c r="G40" s="294"/>
      <c r="H40" s="348"/>
      <c r="I40" s="36" t="s">
        <v>15</v>
      </c>
      <c r="J40" s="323"/>
      <c r="K40" s="284">
        <f>COUNTA([26]Brewhouse!$A$13:$A$16)</f>
        <v>4</v>
      </c>
      <c r="L40" s="302">
        <f>AVERAGE([26]Brewhouse!$AT$13:$AT$16)</f>
        <v>95.870696554126312</v>
      </c>
      <c r="M40" s="302">
        <f>AVERAGE([26]Brewhouse!$AT$4:$AT$11,[26]Brewhouse!$AT$13:$AT$16)</f>
        <v>95.165309917257005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7" customHeight="1">
      <c r="A41" s="28"/>
      <c r="B41" s="540"/>
      <c r="C41" s="349">
        <v>12</v>
      </c>
      <c r="D41" s="504"/>
      <c r="E41" s="493"/>
      <c r="F41" s="436"/>
      <c r="G41" s="294"/>
      <c r="H41" s="348"/>
      <c r="I41" s="37" t="s">
        <v>16</v>
      </c>
      <c r="J41" s="323"/>
      <c r="K41" s="284">
        <f>COUNTA([27]Brewhouse!$A$31:$A$34)</f>
        <v>4</v>
      </c>
      <c r="L41" s="302">
        <f>AVERAGE([27]Brewhouse!$AY$31:$AY$34)</f>
        <v>98.653228650224236</v>
      </c>
      <c r="M41" s="302">
        <f>AVERAGE([27]Brewhouse!$AY$6:$AY$13,[27]Brewhouse!$AY$15:$AY$20,[27]Brewhouse!$AY$22:$AY$29,[27]Brewhouse!$AY$31:$AY$34)</f>
        <v>96.120888038911147</v>
      </c>
      <c r="N41" s="30">
        <v>98</v>
      </c>
      <c r="O41" s="11"/>
      <c r="P41" s="31" t="s">
        <v>41</v>
      </c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540"/>
      <c r="C42" s="349"/>
      <c r="D42" s="505"/>
      <c r="E42" s="488"/>
      <c r="F42" s="294"/>
      <c r="G42" s="294"/>
      <c r="H42" s="348"/>
      <c r="I42" s="412" t="s">
        <v>158</v>
      </c>
      <c r="J42" s="326"/>
      <c r="K42" s="284"/>
      <c r="L42" s="305"/>
      <c r="M42" s="305">
        <f>AVERAGE([28]Brewhouse!$AU$5:$AU$8)</f>
        <v>91.006888337619571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540"/>
      <c r="C43" s="349"/>
      <c r="D43" s="504"/>
      <c r="E43" s="493"/>
      <c r="F43" s="294"/>
      <c r="G43" s="294"/>
      <c r="H43" s="348"/>
      <c r="I43" s="411" t="s">
        <v>157</v>
      </c>
      <c r="J43" s="326"/>
      <c r="K43" s="284"/>
      <c r="L43" s="305"/>
      <c r="M43" s="305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540"/>
      <c r="C44" s="349"/>
      <c r="D44" s="505"/>
      <c r="E44" s="488"/>
      <c r="F44" s="294"/>
      <c r="G44" s="294"/>
      <c r="H44" s="348"/>
      <c r="I44" s="407" t="s">
        <v>156</v>
      </c>
      <c r="J44" s="327"/>
      <c r="K44" s="408"/>
      <c r="L44" s="409"/>
      <c r="M44" s="409"/>
      <c r="N44" s="41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540"/>
      <c r="C45" s="349"/>
      <c r="D45" s="504"/>
      <c r="E45" s="493"/>
      <c r="F45" s="294"/>
      <c r="G45" s="294"/>
      <c r="H45" s="348"/>
      <c r="I45" s="1"/>
      <c r="J45" s="39"/>
      <c r="K45" s="405">
        <f>SUM(K35:K44)</f>
        <v>142</v>
      </c>
      <c r="L45" s="406">
        <f>((L35*K35)+(L36*K36)+(L37*K37)+(L38*K38)+(L39*K39)+(K42*L42)+(L40*K40)+(L41*K41)+(L44*K44))/(K45)</f>
        <v>99.246913068186487</v>
      </c>
      <c r="M45" s="406">
        <f>AVERAGE('[29]Jan 31st'!$L$65,'[30]Feb 28th'!$L$35,'[31]Mar. 31st'!$L$35,L45)</f>
        <v>97.353032384854941</v>
      </c>
      <c r="N45" s="4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thickBot="1">
      <c r="B46" s="553"/>
      <c r="C46" s="350"/>
      <c r="D46" s="505"/>
      <c r="E46" s="488"/>
      <c r="F46" s="294"/>
      <c r="G46" s="42"/>
      <c r="H46" s="41"/>
      <c r="I46" s="42"/>
      <c r="J46" s="42"/>
      <c r="K46" s="351"/>
      <c r="L46" s="348"/>
      <c r="M46" s="348"/>
      <c r="N46" s="11"/>
      <c r="O46" s="294"/>
      <c r="P46" s="12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66" t="str">
        <f>I36</f>
        <v>STAG</v>
      </c>
      <c r="C47" s="362" cm="1">
        <f t="array" ref="C47:C52">[24]Process!$D$152:$D$157</f>
        <v>12</v>
      </c>
      <c r="D47" s="485">
        <v>12.06</v>
      </c>
      <c r="E47" s="486"/>
      <c r="F47" s="294"/>
      <c r="G47" s="42"/>
      <c r="H47" s="41"/>
      <c r="I47" s="42"/>
      <c r="J47" s="538" t="s">
        <v>129</v>
      </c>
      <c r="K47" s="538"/>
      <c r="L47" s="294"/>
      <c r="M47" s="294"/>
      <c r="N47" s="294"/>
      <c r="O47" s="294"/>
      <c r="P47" s="12"/>
    </row>
    <row r="48" spans="1:27" ht="13.5" customHeight="1" thickBot="1">
      <c r="B48" s="502"/>
      <c r="C48" s="349">
        <v>11.9</v>
      </c>
      <c r="D48" s="487"/>
      <c r="E48" s="488"/>
      <c r="F48" s="294"/>
      <c r="G48" s="42"/>
      <c r="H48" s="41"/>
      <c r="I48" s="42"/>
      <c r="J48" s="292" t="s">
        <v>17</v>
      </c>
      <c r="K48" s="293" t="s">
        <v>191</v>
      </c>
      <c r="L48" s="490" t="s">
        <v>136</v>
      </c>
      <c r="M48" s="490"/>
      <c r="N48" s="491"/>
      <c r="O48" s="294"/>
      <c r="P48" s="12"/>
    </row>
    <row r="49" spans="2:56" ht="15" customHeight="1" thickBot="1">
      <c r="B49" s="502"/>
      <c r="C49" s="349">
        <v>11.8</v>
      </c>
      <c r="D49" s="492">
        <v>12.13</v>
      </c>
      <c r="E49" s="493"/>
      <c r="F49" s="294"/>
      <c r="G49" s="42"/>
      <c r="H49" s="41"/>
      <c r="I49" s="42"/>
      <c r="J49" s="287" t="s">
        <v>6</v>
      </c>
      <c r="K49" s="324">
        <f>COUNTA(B20:B21)</f>
        <v>2</v>
      </c>
      <c r="L49" s="343" t="s">
        <v>37</v>
      </c>
      <c r="M49" s="307" t="s">
        <v>38</v>
      </c>
      <c r="N49" s="307" t="s">
        <v>84</v>
      </c>
      <c r="O49" s="294"/>
      <c r="P49" s="12"/>
    </row>
    <row r="50" spans="2:56" ht="15.75" customHeight="1" thickBot="1">
      <c r="B50" s="502"/>
      <c r="C50" s="349">
        <v>12</v>
      </c>
      <c r="D50" s="487"/>
      <c r="E50" s="488"/>
      <c r="F50" s="294"/>
      <c r="G50" s="42"/>
      <c r="H50" s="41"/>
      <c r="I50" s="42"/>
      <c r="J50" s="345" t="s">
        <v>9</v>
      </c>
      <c r="K50" s="324">
        <f>COUNTA(B10:B17)</f>
        <v>8</v>
      </c>
      <c r="L50" s="344">
        <f>AVERAGE('Apr. 1st'!K49,'Apr. 3rd'!K49,'Apr. 4th'!K49,'Apr. 7th '!K50,'Apr. 8th  '!K60,'Apr. 9th   '!K50,'Apr. 10th '!K58,'Apr. 11-12-13th'!I127,'Apr. 11-12-13th'!J127,'Apr. 11-12-13th'!K127,'Apr. 14th'!K127,'Apr. 15th'!K55,'Apr. 16th'!K55,'Apr. 17th-20th'!H99,'Apr. 17th-20th'!I99,'Apr. 17th-20th'!J99,'Apr. 17th-20th'!K99,'Apr. 22nd'!K55,'Apr. 23rd'!K55,'Apr. 24th'!K58,'Apr. 25th '!K48,K59)</f>
        <v>6.4090909090909092</v>
      </c>
      <c r="M50" s="325">
        <f>AVERAGE('[29]Jan 29th '!$M$70,'[30]Feb 28th'!$L$40,'[31]Mar. 31st'!$L$40,L50)</f>
        <v>6.5561069365417195</v>
      </c>
      <c r="N50" s="433">
        <v>9.1999999999999993</v>
      </c>
      <c r="O50" s="294"/>
      <c r="P50" s="12"/>
    </row>
    <row r="51" spans="2:56" ht="15" customHeight="1">
      <c r="B51" s="502"/>
      <c r="C51" s="349">
        <v>11.8</v>
      </c>
      <c r="D51" s="492">
        <v>12.14</v>
      </c>
      <c r="E51" s="493"/>
      <c r="F51" s="294"/>
      <c r="G51" s="42"/>
      <c r="H51" s="41"/>
      <c r="I51" s="42"/>
      <c r="J51" s="288" t="s">
        <v>40</v>
      </c>
      <c r="K51" s="324"/>
      <c r="L51" s="294"/>
      <c r="M51" s="294"/>
      <c r="N51" s="294"/>
      <c r="O51" s="294"/>
      <c r="P51" s="12"/>
    </row>
    <row r="52" spans="2:56" ht="15" customHeight="1">
      <c r="B52" s="502"/>
      <c r="C52" s="349">
        <v>12</v>
      </c>
      <c r="D52" s="487"/>
      <c r="E52" s="488"/>
      <c r="F52" s="294"/>
      <c r="G52" s="42"/>
      <c r="H52" s="41"/>
      <c r="I52" s="42"/>
      <c r="J52" s="289" t="s">
        <v>33</v>
      </c>
      <c r="K52" s="324"/>
      <c r="L52" s="294"/>
      <c r="M52" s="294"/>
      <c r="N52" s="294"/>
      <c r="O52" s="294"/>
      <c r="P52" s="12"/>
    </row>
    <row r="53" spans="2:56" ht="14.4">
      <c r="B53" s="502"/>
      <c r="C53" s="349" cm="1">
        <f t="array" ref="C53:C56">[24]Process!$D$162:$D$165</f>
        <v>11.68</v>
      </c>
      <c r="D53" s="492">
        <v>11.94</v>
      </c>
      <c r="E53" s="493"/>
      <c r="F53" s="294"/>
      <c r="G53" s="42"/>
      <c r="H53" s="41"/>
      <c r="I53" s="42"/>
      <c r="J53" s="290" t="s">
        <v>16</v>
      </c>
      <c r="K53" s="324"/>
      <c r="L53" s="294"/>
      <c r="M53" s="294"/>
      <c r="N53" s="294"/>
      <c r="O53" s="294"/>
      <c r="P53" s="12"/>
      <c r="BC53" s="44"/>
      <c r="BD53" s="44"/>
    </row>
    <row r="54" spans="2:56" ht="14.4">
      <c r="B54" s="502"/>
      <c r="C54" s="349">
        <v>11.71</v>
      </c>
      <c r="D54" s="487"/>
      <c r="E54" s="488"/>
      <c r="F54" s="294"/>
      <c r="G54" s="42"/>
      <c r="H54" s="41"/>
      <c r="I54" s="42"/>
      <c r="J54" s="291" t="s">
        <v>15</v>
      </c>
      <c r="K54" s="324"/>
      <c r="L54" s="294"/>
      <c r="M54" s="294"/>
      <c r="N54" s="294"/>
      <c r="O54" s="294"/>
      <c r="P54" s="12"/>
      <c r="BC54" s="44"/>
      <c r="BD54" s="44"/>
    </row>
    <row r="55" spans="2:56" ht="14.4">
      <c r="B55" s="502"/>
      <c r="C55" s="349">
        <v>11.69</v>
      </c>
      <c r="D55" s="494">
        <v>12.16</v>
      </c>
      <c r="E55" s="495"/>
      <c r="F55" s="294"/>
      <c r="G55" s="42"/>
      <c r="H55" s="41"/>
      <c r="I55" s="42"/>
      <c r="J55" s="291" t="s">
        <v>149</v>
      </c>
      <c r="K55" s="324"/>
      <c r="L55" s="294"/>
      <c r="M55" s="294"/>
      <c r="N55" s="294"/>
      <c r="O55" s="294"/>
      <c r="P55" s="12"/>
      <c r="BC55" s="44"/>
      <c r="BD55" s="44"/>
    </row>
    <row r="56" spans="2:56" ht="15" thickBot="1">
      <c r="B56" s="503"/>
      <c r="C56" s="350">
        <v>11.8</v>
      </c>
      <c r="D56" s="496"/>
      <c r="E56" s="497"/>
      <c r="F56" s="294"/>
      <c r="G56" s="42"/>
      <c r="H56" s="41"/>
      <c r="I56" s="42"/>
      <c r="J56" s="291" t="s">
        <v>148</v>
      </c>
      <c r="K56" s="324"/>
      <c r="L56" s="294"/>
      <c r="M56" s="294"/>
      <c r="N56" s="294"/>
      <c r="O56" s="294"/>
      <c r="P56" s="12"/>
      <c r="BC56" s="44"/>
      <c r="BD56" s="44"/>
    </row>
    <row r="57" spans="2:56" ht="17.7" customHeight="1" thickBot="1">
      <c r="B57" s="312" t="s">
        <v>139</v>
      </c>
      <c r="C57" s="313"/>
      <c r="D57" s="476">
        <f>AVERAGE(D35:E56)</f>
        <v>12.065000000000001</v>
      </c>
      <c r="E57" s="477"/>
      <c r="F57" s="294"/>
      <c r="G57" s="42"/>
      <c r="H57" s="41"/>
      <c r="I57" s="42"/>
      <c r="J57" s="295" t="s">
        <v>134</v>
      </c>
      <c r="K57" s="324"/>
      <c r="L57" s="294"/>
      <c r="M57" s="294"/>
      <c r="N57" s="294"/>
      <c r="O57" s="294"/>
      <c r="P57" s="12"/>
      <c r="BC57" s="44"/>
      <c r="BD57" s="44"/>
    </row>
    <row r="58" spans="2:56" ht="17.7" customHeight="1">
      <c r="B58" s="363"/>
      <c r="C58" s="364"/>
      <c r="D58" s="365"/>
      <c r="E58" s="365"/>
      <c r="F58" s="294"/>
      <c r="G58" s="42"/>
      <c r="H58" s="41"/>
      <c r="I58" s="42"/>
      <c r="J58" s="295" t="s">
        <v>131</v>
      </c>
      <c r="K58" s="324"/>
      <c r="L58" s="294"/>
      <c r="M58" s="294"/>
      <c r="N58" s="294"/>
      <c r="O58" s="294"/>
      <c r="P58" s="12"/>
      <c r="BC58" s="44"/>
      <c r="BD58" s="44"/>
    </row>
    <row r="59" spans="2:56" ht="15.75" customHeight="1">
      <c r="B59" s="45"/>
      <c r="C59" s="11"/>
      <c r="D59" s="11"/>
      <c r="E59" s="46"/>
      <c r="F59" s="294"/>
      <c r="G59" s="42"/>
      <c r="H59" s="41"/>
      <c r="I59" s="42"/>
      <c r="J59" s="346" t="s">
        <v>130</v>
      </c>
      <c r="K59" s="324">
        <f>SUM(K49:K58)</f>
        <v>10</v>
      </c>
      <c r="L59" s="294"/>
      <c r="M59" s="294"/>
      <c r="N59" s="294"/>
      <c r="O59" s="294"/>
      <c r="P59" s="12"/>
    </row>
    <row r="60" spans="2:56" ht="20.25" customHeight="1">
      <c r="B60" s="15" t="s">
        <v>42</v>
      </c>
      <c r="C60" s="1" t="s">
        <v>43</v>
      </c>
      <c r="D60" s="1"/>
      <c r="E60" s="1"/>
      <c r="F60" s="294"/>
      <c r="G60" s="42"/>
      <c r="H60" s="41"/>
      <c r="I60" s="42"/>
      <c r="L60" s="294"/>
      <c r="P60" s="334"/>
    </row>
    <row r="61" spans="2:56" ht="15" customHeight="1" thickBot="1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8"/>
      <c r="O61" s="48"/>
      <c r="P61" s="49"/>
    </row>
    <row r="62" spans="2:56" ht="15" customHeight="1" thickBot="1">
      <c r="B62" s="466" t="s">
        <v>17</v>
      </c>
      <c r="C62" s="466" t="s">
        <v>44</v>
      </c>
      <c r="D62" s="478" t="s">
        <v>45</v>
      </c>
      <c r="E62" s="480" t="s">
        <v>46</v>
      </c>
      <c r="F62" s="474" t="s">
        <v>47</v>
      </c>
      <c r="G62" s="464" t="s">
        <v>48</v>
      </c>
      <c r="H62" s="466" t="s">
        <v>49</v>
      </c>
      <c r="I62" s="466" t="s">
        <v>50</v>
      </c>
      <c r="J62" s="458" t="s">
        <v>28</v>
      </c>
      <c r="K62" s="470" t="s">
        <v>51</v>
      </c>
      <c r="L62" s="472" t="s">
        <v>52</v>
      </c>
      <c r="M62" s="458" t="s">
        <v>53</v>
      </c>
      <c r="N62" s="13"/>
      <c r="O62" s="13"/>
      <c r="P62" s="50"/>
    </row>
    <row r="63" spans="2:56" ht="28.5" customHeight="1" thickTop="1" thickBot="1">
      <c r="B63" s="467"/>
      <c r="C63" s="467"/>
      <c r="D63" s="479"/>
      <c r="E63" s="481"/>
      <c r="F63" s="475"/>
      <c r="G63" s="465"/>
      <c r="H63" s="467"/>
      <c r="I63" s="467"/>
      <c r="J63" s="459"/>
      <c r="K63" s="471"/>
      <c r="L63" s="473"/>
      <c r="M63" s="459"/>
      <c r="N63" s="13"/>
      <c r="O63" s="13"/>
      <c r="P63" s="50"/>
      <c r="Q63" s="355"/>
      <c r="AB63" s="51">
        <v>43474</v>
      </c>
      <c r="AC63" s="51">
        <v>43475</v>
      </c>
      <c r="AD63" s="51">
        <v>43476</v>
      </c>
      <c r="AE63" s="51">
        <v>43477</v>
      </c>
      <c r="AF63" s="51">
        <v>43478</v>
      </c>
      <c r="AG63" s="51">
        <v>43479</v>
      </c>
      <c r="AH63" s="51">
        <v>43480</v>
      </c>
      <c r="AI63" s="51">
        <v>43481</v>
      </c>
      <c r="AJ63" s="51">
        <v>43482</v>
      </c>
      <c r="AK63" s="51">
        <v>43483</v>
      </c>
      <c r="AL63" s="51">
        <v>43484</v>
      </c>
      <c r="AM63" s="51">
        <v>43485</v>
      </c>
      <c r="AN63" s="51">
        <v>43486</v>
      </c>
      <c r="AO63" s="51">
        <v>43487</v>
      </c>
      <c r="AP63" s="51">
        <v>43488</v>
      </c>
      <c r="AQ63" s="51">
        <v>43489</v>
      </c>
      <c r="AR63" s="51">
        <v>43490</v>
      </c>
      <c r="AS63" s="51">
        <v>43491</v>
      </c>
      <c r="AT63" s="51">
        <v>43492</v>
      </c>
      <c r="AU63" s="51">
        <v>43493</v>
      </c>
      <c r="AV63" s="51">
        <v>43494</v>
      </c>
      <c r="AW63" s="51">
        <v>43495</v>
      </c>
      <c r="AX63" s="51">
        <v>43496</v>
      </c>
    </row>
    <row r="64" spans="2:56" s="54" customFormat="1" ht="59.25" customHeight="1">
      <c r="B64" s="450" t="str">
        <f>I36</f>
        <v>STAG</v>
      </c>
      <c r="C64" s="283">
        <v>45775</v>
      </c>
      <c r="D64" s="377">
        <f>[32]April_2025!$AD$13</f>
        <v>294.89999999999998</v>
      </c>
      <c r="E64" s="378"/>
      <c r="F64" s="379"/>
      <c r="G64" s="303">
        <f>[32]April_2025!$AD$17</f>
        <v>279.3</v>
      </c>
      <c r="H64" s="320"/>
      <c r="I64" s="322"/>
      <c r="J64" s="360" t="s">
        <v>205</v>
      </c>
      <c r="K64" s="286">
        <f>[33]April_2025!$AE$18</f>
        <v>0.84859649122807024</v>
      </c>
      <c r="L64" s="314">
        <f>(((D64+E64)-G64)/(D64+E64))*100</f>
        <v>5.2899287894201317</v>
      </c>
      <c r="M64" s="423" t="s">
        <v>174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279"/>
      <c r="AC64" s="279"/>
      <c r="AD64" s="279"/>
      <c r="AE64" s="279"/>
      <c r="AF64" s="279"/>
      <c r="AG64" s="279"/>
      <c r="AH64" s="279"/>
      <c r="AI64" s="279"/>
      <c r="AJ64" s="279"/>
      <c r="AK64" s="279"/>
      <c r="AL64" s="279"/>
      <c r="AM64" s="279"/>
      <c r="AN64" s="279"/>
      <c r="AO64" s="279"/>
      <c r="AP64" s="279"/>
      <c r="AQ64" s="279"/>
      <c r="AR64" s="279"/>
      <c r="AS64" s="279"/>
      <c r="AT64" s="279"/>
      <c r="AU64" s="279"/>
      <c r="AV64" s="279"/>
      <c r="AW64" s="279"/>
    </row>
    <row r="65" spans="2:57" s="54" customFormat="1" ht="8.25" customHeight="1" thickBot="1">
      <c r="B65" s="415"/>
      <c r="C65" s="283"/>
      <c r="D65" s="377"/>
      <c r="E65" s="378"/>
      <c r="F65" s="379"/>
      <c r="G65" s="303"/>
      <c r="H65" s="320"/>
      <c r="I65" s="322"/>
      <c r="J65" s="398"/>
      <c r="K65" s="286"/>
      <c r="L65" s="314"/>
      <c r="M65" s="423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20"/>
      <c r="AC65" s="420"/>
      <c r="AD65" s="420"/>
      <c r="AE65" s="420"/>
      <c r="AF65" s="420"/>
      <c r="AG65" s="420"/>
      <c r="AH65" s="420"/>
      <c r="AI65" s="420"/>
      <c r="AJ65" s="420"/>
      <c r="AK65" s="420"/>
      <c r="AL65" s="420"/>
      <c r="AM65" s="420"/>
      <c r="AN65" s="420"/>
      <c r="AO65" s="420"/>
      <c r="AP65" s="420"/>
      <c r="AQ65" s="420"/>
      <c r="AR65" s="420"/>
      <c r="AS65" s="420"/>
      <c r="AT65" s="420"/>
      <c r="AU65" s="420"/>
      <c r="AV65" s="420"/>
      <c r="AW65" s="420"/>
    </row>
    <row r="66" spans="2:57" s="54" customFormat="1" ht="43.5" customHeight="1">
      <c r="B66" s="415" t="str">
        <f>I35</f>
        <v>CARIB</v>
      </c>
      <c r="C66" s="283">
        <v>45775</v>
      </c>
      <c r="D66" s="279">
        <f>[32]April_2025!$AE$3</f>
        <v>315.60000000000002</v>
      </c>
      <c r="E66" s="279"/>
      <c r="F66" s="279"/>
      <c r="G66" s="279">
        <f>[32]April_2025!$AE$7</f>
        <v>300.8</v>
      </c>
      <c r="H66" s="320"/>
      <c r="I66" s="322"/>
      <c r="J66" s="457" t="s">
        <v>176</v>
      </c>
      <c r="K66" s="417">
        <f>AVERAGE([33]April_2025!$AD$25:$AE$25)</f>
        <v>0.66929824561403517</v>
      </c>
      <c r="L66" s="391">
        <f>(((D66+E66)-G66)/(D66+E66))*100</f>
        <v>4.6894803548795982</v>
      </c>
      <c r="M66" s="455" t="s">
        <v>169</v>
      </c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 t="e">
        <f>[20]January_2019!L7</f>
        <v>#REF!</v>
      </c>
      <c r="AC66" s="57" t="e">
        <f>[20]January_2019!M7</f>
        <v>#REF!</v>
      </c>
      <c r="AD66" s="57" t="e">
        <f>[20]January_2019!N7</f>
        <v>#REF!</v>
      </c>
      <c r="AE66" s="57" t="e">
        <f>[20]January_2019!O7</f>
        <v>#REF!</v>
      </c>
      <c r="AF66" s="57" t="e">
        <f>[20]January_2019!P7</f>
        <v>#REF!</v>
      </c>
      <c r="AG66" s="57" t="e">
        <f>[20]January_2019!Q7</f>
        <v>#REF!</v>
      </c>
      <c r="AH66" s="57" t="e">
        <f>[20]January_2019!R7</f>
        <v>#REF!</v>
      </c>
      <c r="AI66" s="57" t="e">
        <f>[20]January_2019!S7</f>
        <v>#REF!</v>
      </c>
      <c r="AJ66" s="57" t="e">
        <f>[20]January_2019!T7</f>
        <v>#REF!</v>
      </c>
      <c r="AK66" s="57" t="e">
        <f>[20]January_2019!U7</f>
        <v>#REF!</v>
      </c>
      <c r="AL66" s="57" t="e">
        <f>[20]January_2019!V7</f>
        <v>#REF!</v>
      </c>
      <c r="AM66" s="57" t="e">
        <f>[20]January_2019!W7</f>
        <v>#REF!</v>
      </c>
      <c r="AN66" s="57" t="e">
        <f>[20]January_2019!X7</f>
        <v>#REF!</v>
      </c>
      <c r="AO66" s="57" t="e">
        <f>[20]January_2019!Y7</f>
        <v>#REF!</v>
      </c>
      <c r="AP66" s="57" t="e">
        <f>[20]January_2019!Z7</f>
        <v>#REF!</v>
      </c>
      <c r="AQ66" s="57" t="e">
        <f>[20]January_2019!AA7</f>
        <v>#REF!</v>
      </c>
      <c r="AR66" s="57" t="e">
        <f>[20]January_2019!AB7</f>
        <v>#REF!</v>
      </c>
      <c r="AS66" s="57" t="e">
        <f>[20]January_2019!AC7</f>
        <v>#REF!</v>
      </c>
      <c r="AT66" s="57" t="e">
        <f>[20]January_2019!AD7</f>
        <v>#REF!</v>
      </c>
      <c r="AU66" s="57" t="e">
        <f>[20]January_2019!AE7</f>
        <v>#REF!</v>
      </c>
      <c r="AV66" s="57" t="e">
        <f>[20]January_2019!AF7</f>
        <v>#REF!</v>
      </c>
      <c r="AW66" s="57" t="e">
        <f>[20]January_2019!AG7</f>
        <v>#REF!</v>
      </c>
      <c r="AX66" s="277" t="e">
        <f>[20]January_2019!AH7</f>
        <v>#REF!</v>
      </c>
      <c r="AY66" s="277"/>
      <c r="AZ66" s="277"/>
      <c r="BA66" s="277"/>
      <c r="BB66" s="277"/>
      <c r="BC66" s="277"/>
      <c r="BD66" s="277"/>
      <c r="BE66" s="277"/>
    </row>
    <row r="67" spans="2:57" s="54" customFormat="1" ht="10.5" customHeight="1" thickBot="1">
      <c r="B67" s="415"/>
      <c r="C67" s="283"/>
      <c r="D67" s="377"/>
      <c r="E67" s="378"/>
      <c r="F67" s="379"/>
      <c r="G67" s="303"/>
      <c r="H67" s="320"/>
      <c r="I67" s="322"/>
      <c r="J67" s="398"/>
      <c r="K67" s="286"/>
      <c r="L67" s="314"/>
      <c r="M67" s="423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20"/>
      <c r="AC67" s="420"/>
      <c r="AD67" s="420"/>
      <c r="AE67" s="420"/>
      <c r="AF67" s="420"/>
      <c r="AG67" s="420"/>
      <c r="AH67" s="420"/>
      <c r="AI67" s="420"/>
      <c r="AJ67" s="420"/>
      <c r="AK67" s="420"/>
      <c r="AL67" s="420"/>
      <c r="AM67" s="420"/>
      <c r="AN67" s="420"/>
      <c r="AO67" s="420"/>
      <c r="AP67" s="420"/>
      <c r="AQ67" s="420"/>
      <c r="AR67" s="420"/>
      <c r="AS67" s="420"/>
      <c r="AT67" s="420"/>
      <c r="AU67" s="420"/>
      <c r="AV67" s="420"/>
      <c r="AW67" s="420"/>
    </row>
    <row r="68" spans="2:57" s="54" customFormat="1" ht="43.5" customHeight="1">
      <c r="B68" s="450" t="str">
        <f>I36</f>
        <v>STAG</v>
      </c>
      <c r="C68" s="283">
        <v>45775</v>
      </c>
      <c r="D68" s="279">
        <f>[32]April_2025!$AE$13</f>
        <v>202.20000000000002</v>
      </c>
      <c r="E68" s="279"/>
      <c r="F68" s="279"/>
      <c r="G68" s="279">
        <f>[32]April_2025!$AE$17</f>
        <v>182.9</v>
      </c>
      <c r="H68" s="320"/>
      <c r="I68" s="322"/>
      <c r="J68" s="457" t="s">
        <v>176</v>
      </c>
      <c r="K68" s="417">
        <f>AVERAGE([33]April_2025!$AD$25:$AE$25)</f>
        <v>0.66929824561403517</v>
      </c>
      <c r="L68" s="314">
        <f>(((D68+E68)-G68)/(D68+E68))*100</f>
        <v>9.5450049455984214</v>
      </c>
      <c r="M68" s="455" t="s">
        <v>169</v>
      </c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 t="e">
        <f>[20]January_2019!L9</f>
        <v>#REF!</v>
      </c>
      <c r="AC68" s="57" t="e">
        <f>[20]January_2019!M9</f>
        <v>#REF!</v>
      </c>
      <c r="AD68" s="57" t="e">
        <f>[20]January_2019!N9</f>
        <v>#REF!</v>
      </c>
      <c r="AE68" s="57" t="e">
        <f>[20]January_2019!O9</f>
        <v>#REF!</v>
      </c>
      <c r="AF68" s="57" t="e">
        <f>[20]January_2019!P9</f>
        <v>#REF!</v>
      </c>
      <c r="AG68" s="57" t="e">
        <f>[20]January_2019!Q9</f>
        <v>#REF!</v>
      </c>
      <c r="AH68" s="57" t="e">
        <f>[20]January_2019!R9</f>
        <v>#REF!</v>
      </c>
      <c r="AI68" s="57" t="e">
        <f>[20]January_2019!S9</f>
        <v>#REF!</v>
      </c>
      <c r="AJ68" s="57" t="e">
        <f>[20]January_2019!T9</f>
        <v>#REF!</v>
      </c>
      <c r="AK68" s="57" t="e">
        <f>[20]January_2019!U9</f>
        <v>#REF!</v>
      </c>
      <c r="AL68" s="57" t="e">
        <f>[20]January_2019!V9</f>
        <v>#REF!</v>
      </c>
      <c r="AM68" s="57" t="e">
        <f>[20]January_2019!W9</f>
        <v>#REF!</v>
      </c>
      <c r="AN68" s="57" t="e">
        <f>[20]January_2019!X9</f>
        <v>#REF!</v>
      </c>
      <c r="AO68" s="57" t="e">
        <f>[20]January_2019!Y9</f>
        <v>#REF!</v>
      </c>
      <c r="AP68" s="57" t="e">
        <f>[20]January_2019!Z9</f>
        <v>#REF!</v>
      </c>
      <c r="AQ68" s="57" t="e">
        <f>[20]January_2019!AA9</f>
        <v>#REF!</v>
      </c>
      <c r="AR68" s="57" t="e">
        <f>[20]January_2019!AB9</f>
        <v>#REF!</v>
      </c>
      <c r="AS68" s="57" t="e">
        <f>[20]January_2019!AC9</f>
        <v>#REF!</v>
      </c>
      <c r="AT68" s="57" t="e">
        <f>[20]January_2019!AD9</f>
        <v>#REF!</v>
      </c>
      <c r="AU68" s="57" t="e">
        <f>[20]January_2019!AE9</f>
        <v>#REF!</v>
      </c>
      <c r="AV68" s="57" t="e">
        <f>[20]January_2019!AF9</f>
        <v>#REF!</v>
      </c>
      <c r="AW68" s="57" t="e">
        <f>[20]January_2019!AG9</f>
        <v>#REF!</v>
      </c>
      <c r="AX68" s="277" t="e">
        <f>[20]January_2019!AH9</f>
        <v>#REF!</v>
      </c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6"/>
      <c r="P69" s="60"/>
    </row>
    <row r="70" spans="2:57" ht="14.4" thickBot="1">
      <c r="B70" s="460" t="s">
        <v>55</v>
      </c>
      <c r="C70" s="461"/>
      <c r="D70" s="461"/>
      <c r="E70" s="461"/>
      <c r="F70" s="462"/>
      <c r="G70" s="460" t="s">
        <v>56</v>
      </c>
      <c r="H70" s="461"/>
      <c r="I70" s="461"/>
      <c r="J70" s="462"/>
      <c r="K70" s="460" t="s">
        <v>51</v>
      </c>
      <c r="L70" s="461"/>
      <c r="M70" s="461"/>
      <c r="N70" s="463"/>
      <c r="O70" s="56"/>
      <c r="P70" s="50"/>
    </row>
    <row r="71" spans="2:57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/>
      <c r="L71" s="62" t="s">
        <v>37</v>
      </c>
      <c r="M71" s="62" t="s">
        <v>38</v>
      </c>
      <c r="N71" s="63" t="s">
        <v>39</v>
      </c>
      <c r="O71" s="56"/>
      <c r="P71" s="64"/>
    </row>
    <row r="72" spans="2:57">
      <c r="B72" s="29" t="s">
        <v>6</v>
      </c>
      <c r="C72" s="65">
        <f>L66</f>
        <v>4.6894803548795982</v>
      </c>
      <c r="D72" s="76">
        <v>6.4922495459376295</v>
      </c>
      <c r="E72" s="76">
        <v>6.845810056907772</v>
      </c>
      <c r="F72" s="66">
        <v>4.8</v>
      </c>
      <c r="G72" s="65">
        <f>[32]April_2025!$AE$11</f>
        <v>3.4626353715152187</v>
      </c>
      <c r="H72" s="76">
        <v>5.7610339350518487</v>
      </c>
      <c r="I72" s="76">
        <v>7.2932038521435389</v>
      </c>
      <c r="J72" s="66">
        <v>4.8</v>
      </c>
      <c r="K72" s="67">
        <f>K66</f>
        <v>0.66929824561403517</v>
      </c>
      <c r="L72" s="194">
        <v>0.7339457689853025</v>
      </c>
      <c r="M72" s="194">
        <v>0.76925303606225626</v>
      </c>
      <c r="N72" s="68">
        <v>1</v>
      </c>
      <c r="O72" s="56"/>
      <c r="P72" s="69"/>
    </row>
    <row r="73" spans="2:57">
      <c r="B73" s="33" t="s">
        <v>9</v>
      </c>
      <c r="C73" s="65">
        <f>AVERAGE(L64,L68)</f>
        <v>7.4174668675092761</v>
      </c>
      <c r="D73" s="76">
        <v>4.9164813325131247</v>
      </c>
      <c r="E73" s="76">
        <v>6.1326235005825733</v>
      </c>
      <c r="F73" s="66">
        <v>4.8</v>
      </c>
      <c r="G73" s="65">
        <f>AVERAGE([32]April_2025!$AD$21:$AE$21)</f>
        <v>5.7637713951840359</v>
      </c>
      <c r="H73" s="76">
        <v>3.7311899747361132</v>
      </c>
      <c r="I73" s="76">
        <v>6.6012405294716094</v>
      </c>
      <c r="J73" s="66">
        <v>4.8</v>
      </c>
      <c r="K73" s="67">
        <f>AVERAGE(K68,K64)</f>
        <v>0.7589473684210527</v>
      </c>
      <c r="L73" s="194">
        <v>0.86837351230333448</v>
      </c>
      <c r="M73" s="194">
        <v>0.75323691521525205</v>
      </c>
      <c r="N73" s="68">
        <v>1</v>
      </c>
      <c r="P73" s="69"/>
    </row>
    <row r="74" spans="2:57">
      <c r="B74" s="34" t="s">
        <v>40</v>
      </c>
      <c r="C74" s="65"/>
      <c r="D74" s="76">
        <v>11.414038657171938</v>
      </c>
      <c r="E74" s="76">
        <v>12.98436003830194</v>
      </c>
      <c r="F74" s="66">
        <v>5.5</v>
      </c>
      <c r="G74" s="65"/>
      <c r="H74" s="76">
        <v>11.798908408664529</v>
      </c>
      <c r="I74" s="76">
        <v>13.788066562341831</v>
      </c>
      <c r="J74" s="66">
        <v>5.5</v>
      </c>
      <c r="K74" s="67"/>
      <c r="L74" s="194">
        <v>0.55289473684210522</v>
      </c>
      <c r="M74" s="194">
        <v>0.52990459153249858</v>
      </c>
      <c r="N74" s="68">
        <v>1</v>
      </c>
      <c r="P74" s="69"/>
    </row>
    <row r="75" spans="2:57">
      <c r="B75" s="22" t="s">
        <v>33</v>
      </c>
      <c r="C75" s="65"/>
      <c r="D75" s="76">
        <v>3.2321253672869714</v>
      </c>
      <c r="E75" s="76">
        <v>2.2218158544390558</v>
      </c>
      <c r="F75" s="66">
        <v>3.3</v>
      </c>
      <c r="G75" s="65"/>
      <c r="H75" s="76">
        <v>2.3924874613168265</v>
      </c>
      <c r="I75" s="76">
        <v>5.0359151649923692</v>
      </c>
      <c r="J75" s="66">
        <v>3.3</v>
      </c>
      <c r="K75" s="67"/>
      <c r="L75" s="194">
        <v>1.3866666666666667</v>
      </c>
      <c r="M75" s="194">
        <v>0.87880701754385959</v>
      </c>
      <c r="N75" s="68">
        <v>1</v>
      </c>
      <c r="P75" s="69"/>
    </row>
    <row r="76" spans="2:57">
      <c r="B76" s="35" t="s">
        <v>29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L76" s="194"/>
      <c r="M76" s="194"/>
      <c r="N76" s="68">
        <v>1</v>
      </c>
      <c r="P76" s="69"/>
    </row>
    <row r="77" spans="2:57">
      <c r="B77" s="36" t="s">
        <v>15</v>
      </c>
      <c r="C77" s="282"/>
      <c r="D77" s="76">
        <v>5.9443911792905233</v>
      </c>
      <c r="E77" s="76">
        <v>7.8262258425171876</v>
      </c>
      <c r="F77" s="70">
        <f>[21]May_2022!$M$43</f>
        <v>3.4878406700073312</v>
      </c>
      <c r="G77" s="282"/>
      <c r="H77" s="76">
        <v>7.0254499502894436</v>
      </c>
      <c r="I77" s="76">
        <v>9.4300678869947632</v>
      </c>
      <c r="J77" s="66">
        <v>5.5</v>
      </c>
      <c r="K77" s="67"/>
      <c r="L77" s="194">
        <v>0.68842105263157893</v>
      </c>
      <c r="M77" s="194">
        <v>0.674970760233918</v>
      </c>
      <c r="N77" s="68">
        <v>1</v>
      </c>
      <c r="P77" s="69"/>
    </row>
    <row r="78" spans="2:57">
      <c r="B78" s="37" t="s">
        <v>16</v>
      </c>
      <c r="C78" s="65"/>
      <c r="D78" s="76">
        <v>0.38967364831952411</v>
      </c>
      <c r="E78" s="76">
        <v>1.85607294041028</v>
      </c>
      <c r="F78" s="66">
        <v>3.3</v>
      </c>
      <c r="G78" s="282"/>
      <c r="H78" s="76">
        <v>3.9053322254376623</v>
      </c>
      <c r="I78" s="76">
        <v>4.5764571827076486</v>
      </c>
      <c r="J78" s="66">
        <v>3.3</v>
      </c>
      <c r="K78" s="67"/>
      <c r="L78" s="194">
        <v>0.71754385964912282</v>
      </c>
      <c r="M78" s="194">
        <v>0.83594855305466242</v>
      </c>
      <c r="N78" s="71">
        <v>1</v>
      </c>
      <c r="P78" s="69"/>
    </row>
    <row r="79" spans="2:57" ht="14.4" thickBot="1">
      <c r="B79" s="38" t="s">
        <v>127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4.4" thickBot="1">
      <c r="B80" s="418" t="s">
        <v>162</v>
      </c>
      <c r="C80" s="65"/>
      <c r="D80" s="76"/>
      <c r="E80" s="76">
        <v>4.8792508624938291</v>
      </c>
      <c r="F80" s="66">
        <v>4.8</v>
      </c>
      <c r="G80" s="282"/>
      <c r="H80" s="76"/>
      <c r="I80" s="76">
        <v>6.2003723782925313</v>
      </c>
      <c r="J80" s="66">
        <v>4.8</v>
      </c>
      <c r="K80" s="67"/>
      <c r="L80" s="194"/>
      <c r="M80" s="194">
        <v>0.33859649122807017</v>
      </c>
      <c r="N80" s="71">
        <v>1</v>
      </c>
      <c r="O80" s="74"/>
      <c r="P80" s="75"/>
    </row>
    <row r="81" spans="4:14">
      <c r="D81" s="76">
        <v>5.7218226784727388</v>
      </c>
      <c r="E81" s="76">
        <v>6.6538388445458008</v>
      </c>
      <c r="F81" s="341">
        <v>5.5</v>
      </c>
      <c r="H81" s="76">
        <v>5.4991860172442539</v>
      </c>
      <c r="I81" s="76">
        <v>7.565694097665153</v>
      </c>
      <c r="J81" s="341">
        <v>5.5</v>
      </c>
      <c r="K81" s="67"/>
      <c r="L81" s="194">
        <v>0.78116704805491999</v>
      </c>
      <c r="M81" s="194">
        <v>0.74390320170144275</v>
      </c>
      <c r="N81" s="386">
        <v>1</v>
      </c>
    </row>
    <row r="85" spans="4:14">
      <c r="F85" s="315"/>
    </row>
  </sheetData>
  <mergeCells count="51">
    <mergeCell ref="M62:M63"/>
    <mergeCell ref="B70:F70"/>
    <mergeCell ref="G70:J70"/>
    <mergeCell ref="K70:N70"/>
    <mergeCell ref="G62:G63"/>
    <mergeCell ref="H62:H63"/>
    <mergeCell ref="I62:I63"/>
    <mergeCell ref="J62:J63"/>
    <mergeCell ref="K62:K63"/>
    <mergeCell ref="L62:L63"/>
    <mergeCell ref="F62:F63"/>
    <mergeCell ref="D57:E57"/>
    <mergeCell ref="B62:B63"/>
    <mergeCell ref="C62:C63"/>
    <mergeCell ref="D62:D63"/>
    <mergeCell ref="E62:E63"/>
    <mergeCell ref="B47:B56"/>
    <mergeCell ref="D47:E48"/>
    <mergeCell ref="J47:K47"/>
    <mergeCell ref="L48:N48"/>
    <mergeCell ref="D49:E50"/>
    <mergeCell ref="D51:E52"/>
    <mergeCell ref="D53:E54"/>
    <mergeCell ref="D55:E56"/>
    <mergeCell ref="I33:N33"/>
    <mergeCell ref="D34:E34"/>
    <mergeCell ref="B35:B46"/>
    <mergeCell ref="D35:E36"/>
    <mergeCell ref="D37:E38"/>
    <mergeCell ref="D39:E40"/>
    <mergeCell ref="D41:E42"/>
    <mergeCell ref="D43:E44"/>
    <mergeCell ref="D45:E4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7:B58">
    <cfRule type="cellIs" dxfId="384" priority="137" operator="notBetween">
      <formula>#REF!</formula>
      <formula>#REF!</formula>
    </cfRule>
  </conditionalFormatting>
  <conditionalFormatting sqref="C61">
    <cfRule type="cellIs" dxfId="383" priority="169" stopIfTrue="1" operator="greaterThan">
      <formula>100</formula>
    </cfRule>
    <cfRule type="cellIs" dxfId="382" priority="168" stopIfTrue="1" operator="lessThan">
      <formula>96</formula>
    </cfRule>
  </conditionalFormatting>
  <conditionalFormatting sqref="C72:C73">
    <cfRule type="cellIs" dxfId="381" priority="98" stopIfTrue="1" operator="lessThanOrEqual">
      <formula>0</formula>
    </cfRule>
  </conditionalFormatting>
  <conditionalFormatting sqref="C72:C76">
    <cfRule type="cellIs" dxfId="380" priority="97" stopIfTrue="1" operator="greaterThan">
      <formula>$F72</formula>
    </cfRule>
  </conditionalFormatting>
  <conditionalFormatting sqref="C73">
    <cfRule type="cellIs" dxfId="379" priority="172" stopIfTrue="1" operator="greaterThan">
      <formula>$F72</formula>
    </cfRule>
  </conditionalFormatting>
  <conditionalFormatting sqref="C74:C77">
    <cfRule type="cellIs" dxfId="378" priority="121" stopIfTrue="1" operator="lessThanOrEqual">
      <formula>0</formula>
    </cfRule>
  </conditionalFormatting>
  <conditionalFormatting sqref="C77">
    <cfRule type="cellIs" dxfId="377" priority="120" stopIfTrue="1" operator="greaterThan">
      <formula>$J77</formula>
    </cfRule>
  </conditionalFormatting>
  <conditionalFormatting sqref="C83:C87">
    <cfRule type="cellIs" dxfId="376" priority="160" stopIfTrue="1" operator="lessThanOrEqual">
      <formula>0</formula>
    </cfRule>
  </conditionalFormatting>
  <conditionalFormatting sqref="C84:C87">
    <cfRule type="cellIs" dxfId="375" priority="159" stopIfTrue="1" operator="greaterThan">
      <formula>$F$83</formula>
    </cfRule>
  </conditionalFormatting>
  <conditionalFormatting sqref="C89">
    <cfRule type="cellIs" dxfId="374" priority="162" stopIfTrue="1" operator="lessThanOrEqual">
      <formula>0</formula>
    </cfRule>
    <cfRule type="cellIs" dxfId="373" priority="161" stopIfTrue="1" operator="greaterThan">
      <formula>$F$83</formula>
    </cfRule>
  </conditionalFormatting>
  <conditionalFormatting sqref="C83:D83 D85:D91">
    <cfRule type="cellIs" dxfId="372" priority="154" stopIfTrue="1" operator="greaterThan">
      <formula>4.5</formula>
    </cfRule>
  </conditionalFormatting>
  <conditionalFormatting sqref="D57:D58">
    <cfRule type="cellIs" dxfId="371" priority="138" operator="notBetween">
      <formula>#REF!</formula>
      <formula>#REF!</formula>
    </cfRule>
  </conditionalFormatting>
  <conditionalFormatting sqref="D72:D79">
    <cfRule type="cellIs" dxfId="370" priority="131" stopIfTrue="1" operator="lessThanOrEqual">
      <formula>0</formula>
    </cfRule>
  </conditionalFormatting>
  <conditionalFormatting sqref="D80">
    <cfRule type="cellIs" dxfId="369" priority="130" stopIfTrue="1" operator="lessThanOrEqual">
      <formula>0</formula>
    </cfRule>
  </conditionalFormatting>
  <conditionalFormatting sqref="D83 D85:D91">
    <cfRule type="cellIs" dxfId="368" priority="155" stopIfTrue="1" operator="lessThanOrEqual">
      <formula>0</formula>
    </cfRule>
  </conditionalFormatting>
  <conditionalFormatting sqref="D84">
    <cfRule type="cellIs" dxfId="367" priority="146" stopIfTrue="1" operator="greaterThan">
      <formula>$F$83</formula>
    </cfRule>
    <cfRule type="cellIs" dxfId="366" priority="147" stopIfTrue="1" operator="lessThanOrEqual">
      <formula>0</formula>
    </cfRule>
  </conditionalFormatting>
  <conditionalFormatting sqref="D72:E81">
    <cfRule type="cellIs" dxfId="365" priority="94" stopIfTrue="1" operator="greaterThan">
      <formula>$F72</formula>
    </cfRule>
  </conditionalFormatting>
  <conditionalFormatting sqref="D81:E81">
    <cfRule type="cellIs" dxfId="364" priority="95" stopIfTrue="1" operator="lessThanOrEqual">
      <formula>0</formula>
    </cfRule>
  </conditionalFormatting>
  <conditionalFormatting sqref="E10:E32">
    <cfRule type="cellIs" dxfId="363" priority="41" operator="lessThan">
      <formula>48</formula>
    </cfRule>
  </conditionalFormatting>
  <conditionalFormatting sqref="E60 E61:F61">
    <cfRule type="cellIs" dxfId="362" priority="151" stopIfTrue="1" operator="greaterThan">
      <formula>100</formula>
    </cfRule>
  </conditionalFormatting>
  <conditionalFormatting sqref="E61">
    <cfRule type="cellIs" dxfId="361" priority="149" stopIfTrue="1" operator="greaterThan">
      <formula>100</formula>
    </cfRule>
    <cfRule type="cellIs" dxfId="360" priority="148" stopIfTrue="1" operator="lessThan">
      <formula>96.8</formula>
    </cfRule>
  </conditionalFormatting>
  <conditionalFormatting sqref="E72:E80">
    <cfRule type="cellIs" dxfId="359" priority="125" stopIfTrue="1" operator="lessThanOrEqual">
      <formula>0</formula>
    </cfRule>
  </conditionalFormatting>
  <conditionalFormatting sqref="E83:E91">
    <cfRule type="cellIs" dxfId="358" priority="140" stopIfTrue="1" operator="greaterThan">
      <formula>4.5</formula>
    </cfRule>
    <cfRule type="cellIs" dxfId="357" priority="141" stopIfTrue="1" operator="lessThanOrEqual">
      <formula>0</formula>
    </cfRule>
  </conditionalFormatting>
  <conditionalFormatting sqref="E61:F61 E60">
    <cfRule type="cellIs" dxfId="356" priority="150" stopIfTrue="1" operator="lessThan">
      <formula>96.5</formula>
    </cfRule>
  </conditionalFormatting>
  <conditionalFormatting sqref="F10:F32">
    <cfRule type="cellIs" dxfId="355" priority="42" operator="greaterThan">
      <formula>60</formula>
    </cfRule>
  </conditionalFormatting>
  <conditionalFormatting sqref="F61">
    <cfRule type="cellIs" dxfId="354" priority="166" stopIfTrue="1" operator="lessThan">
      <formula>96.8</formula>
    </cfRule>
    <cfRule type="cellIs" dxfId="353" priority="167" stopIfTrue="1" operator="greaterThan">
      <formula>100</formula>
    </cfRule>
  </conditionalFormatting>
  <conditionalFormatting sqref="F81">
    <cfRule type="cellIs" dxfId="352" priority="126" stopIfTrue="1" operator="greaterThan">
      <formula>$F81</formula>
    </cfRule>
    <cfRule type="cellIs" dxfId="351" priority="127" stopIfTrue="1" operator="lessThanOrEqual">
      <formula>0</formula>
    </cfRule>
  </conditionalFormatting>
  <conditionalFormatting sqref="G72:G73 C78:C80">
    <cfRule type="cellIs" dxfId="350" priority="132" stopIfTrue="1" operator="greaterThan">
      <formula>$F72</formula>
    </cfRule>
    <cfRule type="cellIs" dxfId="349" priority="133" stopIfTrue="1" operator="lessThanOrEqual">
      <formula>0</formula>
    </cfRule>
  </conditionalFormatting>
  <conditionalFormatting sqref="G72:G73">
    <cfRule type="cellIs" dxfId="348" priority="100" stopIfTrue="1" operator="lessThanOrEqual">
      <formula>0</formula>
    </cfRule>
    <cfRule type="cellIs" dxfId="347" priority="99" stopIfTrue="1" operator="greaterThan">
      <formula>$F72</formula>
    </cfRule>
  </conditionalFormatting>
  <conditionalFormatting sqref="G74">
    <cfRule type="cellIs" dxfId="346" priority="171" stopIfTrue="1" operator="lessThanOrEqual">
      <formula>0</formula>
    </cfRule>
    <cfRule type="cellIs" dxfId="345" priority="170" stopIfTrue="1" operator="greaterThan">
      <formula>$F73</formula>
    </cfRule>
  </conditionalFormatting>
  <conditionalFormatting sqref="G75">
    <cfRule type="cellIs" dxfId="344" priority="129" stopIfTrue="1" operator="lessThanOrEqual">
      <formula>0</formula>
    </cfRule>
    <cfRule type="cellIs" dxfId="343" priority="128" stopIfTrue="1" operator="greaterThan">
      <formula>$F75</formula>
    </cfRule>
  </conditionalFormatting>
  <conditionalFormatting sqref="G76:G80">
    <cfRule type="cellIs" dxfId="342" priority="135" stopIfTrue="1" operator="lessThanOrEqual">
      <formula>0</formula>
    </cfRule>
    <cfRule type="cellIs" dxfId="341" priority="134" stopIfTrue="1" operator="greaterThan">
      <formula>$J76</formula>
    </cfRule>
  </conditionalFormatting>
  <conditionalFormatting sqref="G85:G90 C88 C90">
    <cfRule type="cellIs" dxfId="340" priority="164" stopIfTrue="1" operator="lessThanOrEqual">
      <formula>0</formula>
    </cfRule>
    <cfRule type="cellIs" dxfId="339" priority="163" stopIfTrue="1" operator="greaterThan">
      <formula>4.5</formula>
    </cfRule>
  </conditionalFormatting>
  <conditionalFormatting sqref="G10:H29 G30:G32">
    <cfRule type="expression" dxfId="338" priority="40">
      <formula>IF(+(IF(G10&lt;#REF!,0,IF(G10&gt;#REF!,0,1)))=0,1)</formula>
    </cfRule>
  </conditionalFormatting>
  <conditionalFormatting sqref="G84:H84">
    <cfRule type="cellIs" dxfId="337" priority="144" stopIfTrue="1" operator="greaterThan">
      <formula>$F$83</formula>
    </cfRule>
    <cfRule type="cellIs" dxfId="336" priority="145" stopIfTrue="1" operator="lessThanOrEqual">
      <formula>0</formula>
    </cfRule>
  </conditionalFormatting>
  <conditionalFormatting sqref="H30:H32">
    <cfRule type="expression" dxfId="335" priority="43">
      <formula>IF(+(IF(H30&lt;T30,0,IF(H30&gt;U30,0,1)))=0,1)</formula>
    </cfRule>
  </conditionalFormatting>
  <conditionalFormatting sqref="H46:H60">
    <cfRule type="cellIs" dxfId="334" priority="142" stopIfTrue="1" operator="greaterThan">
      <formula>0</formula>
    </cfRule>
  </conditionalFormatting>
  <conditionalFormatting sqref="H64">
    <cfRule type="cellIs" dxfId="333" priority="39" stopIfTrue="1" operator="lessThanOrEqual">
      <formula>0</formula>
    </cfRule>
    <cfRule type="cellIs" dxfId="332" priority="37" stopIfTrue="1" operator="lessThanOrEqual">
      <formula>0</formula>
    </cfRule>
    <cfRule type="cellIs" dxfId="331" priority="38" stopIfTrue="1" operator="greaterThan">
      <formula>$F$37</formula>
    </cfRule>
    <cfRule type="cellIs" dxfId="330" priority="28" stopIfTrue="1" operator="greaterThan">
      <formula>$F$36</formula>
    </cfRule>
    <cfRule type="cellIs" dxfId="329" priority="27" stopIfTrue="1" operator="lessThanOrEqual">
      <formula>0</formula>
    </cfRule>
    <cfRule type="cellIs" dxfId="328" priority="36" stopIfTrue="1" operator="greaterThan">
      <formula>$F$39</formula>
    </cfRule>
  </conditionalFormatting>
  <conditionalFormatting sqref="H65 H67">
    <cfRule type="cellIs" dxfId="327" priority="76" stopIfTrue="1" operator="greaterThan">
      <formula>$F$48</formula>
    </cfRule>
    <cfRule type="cellIs" dxfId="326" priority="77" stopIfTrue="1" operator="lessThanOrEqual">
      <formula>0</formula>
    </cfRule>
    <cfRule type="cellIs" dxfId="325" priority="68" stopIfTrue="1" operator="greaterThan">
      <formula>$F$45</formula>
    </cfRule>
    <cfRule type="cellIs" dxfId="324" priority="79" stopIfTrue="1" operator="lessThanOrEqual">
      <formula>0</formula>
    </cfRule>
    <cfRule type="cellIs" dxfId="323" priority="53" stopIfTrue="1" operator="lessThanOrEqual">
      <formula>0</formula>
    </cfRule>
    <cfRule type="cellIs" dxfId="322" priority="78" stopIfTrue="1" operator="greaterThan">
      <formula>$F$46</formula>
    </cfRule>
  </conditionalFormatting>
  <conditionalFormatting sqref="H66">
    <cfRule type="cellIs" dxfId="321" priority="3" stopIfTrue="1" operator="greaterThan">
      <formula>$F$71</formula>
    </cfRule>
    <cfRule type="cellIs" dxfId="320" priority="11" stopIfTrue="1" operator="greaterThan">
      <formula>$F$74</formula>
    </cfRule>
    <cfRule type="cellIs" dxfId="319" priority="13" stopIfTrue="1" operator="greaterThan">
      <formula>$F$72</formula>
    </cfRule>
    <cfRule type="cellIs" dxfId="318" priority="12" stopIfTrue="1" operator="lessThanOrEqual">
      <formula>0</formula>
    </cfRule>
    <cfRule type="cellIs" dxfId="317" priority="2" stopIfTrue="1" operator="lessThanOrEqual">
      <formula>0</formula>
    </cfRule>
    <cfRule type="cellIs" dxfId="316" priority="14" stopIfTrue="1" operator="lessThanOrEqual">
      <formula>0</formula>
    </cfRule>
  </conditionalFormatting>
  <conditionalFormatting sqref="H68">
    <cfRule type="cellIs" dxfId="315" priority="106" stopIfTrue="1" operator="greaterThan">
      <formula>$F$71</formula>
    </cfRule>
    <cfRule type="cellIs" dxfId="314" priority="114" stopIfTrue="1" operator="greaterThan">
      <formula>$F$74</formula>
    </cfRule>
    <cfRule type="cellIs" dxfId="313" priority="115" stopIfTrue="1" operator="lessThanOrEqual">
      <formula>0</formula>
    </cfRule>
    <cfRule type="cellIs" dxfId="312" priority="116" stopIfTrue="1" operator="greaterThan">
      <formula>$F$72</formula>
    </cfRule>
    <cfRule type="cellIs" dxfId="311" priority="117" stopIfTrue="1" operator="lessThanOrEqual">
      <formula>0</formula>
    </cfRule>
    <cfRule type="cellIs" dxfId="310" priority="105" stopIfTrue="1" operator="lessThanOrEqual">
      <formula>0</formula>
    </cfRule>
  </conditionalFormatting>
  <conditionalFormatting sqref="H72:H79">
    <cfRule type="cellIs" dxfId="309" priority="119" stopIfTrue="1" operator="lessThanOrEqual">
      <formula>0</formula>
    </cfRule>
    <cfRule type="cellIs" dxfId="308" priority="118" stopIfTrue="1" operator="greaterThan">
      <formula>$J72</formula>
    </cfRule>
  </conditionalFormatting>
  <conditionalFormatting sqref="H80">
    <cfRule type="cellIs" dxfId="307" priority="122" operator="greaterThan">
      <formula>5.3</formula>
    </cfRule>
  </conditionalFormatting>
  <conditionalFormatting sqref="H83 H85:H91">
    <cfRule type="cellIs" dxfId="306" priority="157" stopIfTrue="1" operator="lessThanOrEqual">
      <formula>0</formula>
    </cfRule>
    <cfRule type="cellIs" dxfId="305" priority="156" stopIfTrue="1" operator="greaterThan">
      <formula>4.5</formula>
    </cfRule>
  </conditionalFormatting>
  <conditionalFormatting sqref="H64:I64">
    <cfRule type="cellIs" dxfId="304" priority="26" stopIfTrue="1" operator="greaterThan">
      <formula>$F$38</formula>
    </cfRule>
    <cfRule type="cellIs" dxfId="303" priority="29" stopIfTrue="1" operator="lessThanOrEqual">
      <formula>0</formula>
    </cfRule>
  </conditionalFormatting>
  <conditionalFormatting sqref="H65:I65 H67:I67">
    <cfRule type="cellIs" dxfId="302" priority="52" stopIfTrue="1" operator="greaterThan">
      <formula>$F$47</formula>
    </cfRule>
    <cfRule type="cellIs" dxfId="301" priority="69" stopIfTrue="1" operator="lessThanOrEqual">
      <formula>0</formula>
    </cfRule>
  </conditionalFormatting>
  <conditionalFormatting sqref="H66:I66">
    <cfRule type="cellIs" dxfId="300" priority="4" stopIfTrue="1" operator="lessThanOrEqual">
      <formula>0</formula>
    </cfRule>
    <cfRule type="cellIs" dxfId="299" priority="1" stopIfTrue="1" operator="greaterThan">
      <formula>$F$73</formula>
    </cfRule>
  </conditionalFormatting>
  <conditionalFormatting sqref="H68:I68">
    <cfRule type="cellIs" dxfId="298" priority="104" stopIfTrue="1" operator="greaterThan">
      <formula>$F$73</formula>
    </cfRule>
    <cfRule type="cellIs" dxfId="297" priority="107" stopIfTrue="1" operator="lessThanOrEqual">
      <formula>0</formula>
    </cfRule>
  </conditionalFormatting>
  <conditionalFormatting sqref="H81:I81">
    <cfRule type="cellIs" dxfId="296" priority="93" stopIfTrue="1" operator="lessThanOrEqual">
      <formula>0</formula>
    </cfRule>
    <cfRule type="cellIs" dxfId="295" priority="92" stopIfTrue="1" operator="greaterThan">
      <formula>$J81</formula>
    </cfRule>
  </conditionalFormatting>
  <conditionalFormatting sqref="I64">
    <cfRule type="cellIs" dxfId="294" priority="34" stopIfTrue="1" operator="greaterThan">
      <formula>$F$36</formula>
    </cfRule>
    <cfRule type="cellIs" dxfId="293" priority="33" stopIfTrue="1" operator="lessThanOrEqual">
      <formula>0</formula>
    </cfRule>
    <cfRule type="cellIs" dxfId="292" priority="31" stopIfTrue="1" operator="lessThanOrEqual">
      <formula>0</formula>
    </cfRule>
    <cfRule type="cellIs" dxfId="291" priority="32" stopIfTrue="1" operator="greaterThan">
      <formula>$F$38</formula>
    </cfRule>
    <cfRule type="cellIs" dxfId="290" priority="30" stopIfTrue="1" operator="greaterThan">
      <formula>$F$36</formula>
    </cfRule>
    <cfRule type="cellIs" dxfId="289" priority="35" stopIfTrue="1" operator="lessThanOrEqual">
      <formula>0</formula>
    </cfRule>
  </conditionalFormatting>
  <conditionalFormatting sqref="I65 I67">
    <cfRule type="cellIs" dxfId="288" priority="70" stopIfTrue="1" operator="greaterThan">
      <formula>$F$45</formula>
    </cfRule>
    <cfRule type="cellIs" dxfId="287" priority="71" stopIfTrue="1" operator="lessThanOrEqual">
      <formula>0</formula>
    </cfRule>
    <cfRule type="cellIs" dxfId="286" priority="72" stopIfTrue="1" operator="greaterThan">
      <formula>$F$47</formula>
    </cfRule>
    <cfRule type="cellIs" dxfId="285" priority="74" stopIfTrue="1" operator="greaterThan">
      <formula>$F$45</formula>
    </cfRule>
    <cfRule type="cellIs" dxfId="284" priority="75" stopIfTrue="1" operator="lessThanOrEqual">
      <formula>0</formula>
    </cfRule>
    <cfRule type="cellIs" dxfId="283" priority="73" stopIfTrue="1" operator="lessThanOrEqual">
      <formula>0</formula>
    </cfRule>
  </conditionalFormatting>
  <conditionalFormatting sqref="I66">
    <cfRule type="cellIs" dxfId="282" priority="5" stopIfTrue="1" operator="greaterThan">
      <formula>$F$71</formula>
    </cfRule>
    <cfRule type="cellIs" dxfId="281" priority="6" stopIfTrue="1" operator="lessThanOrEqual">
      <formula>0</formula>
    </cfRule>
    <cfRule type="cellIs" dxfId="280" priority="10" stopIfTrue="1" operator="lessThanOrEqual">
      <formula>0</formula>
    </cfRule>
    <cfRule type="cellIs" dxfId="279" priority="9" stopIfTrue="1" operator="greaterThan">
      <formula>$F$71</formula>
    </cfRule>
    <cfRule type="cellIs" dxfId="278" priority="8" stopIfTrue="1" operator="lessThanOrEqual">
      <formula>0</formula>
    </cfRule>
    <cfRule type="cellIs" dxfId="277" priority="7" stopIfTrue="1" operator="greaterThan">
      <formula>$F$73</formula>
    </cfRule>
  </conditionalFormatting>
  <conditionalFormatting sqref="I68">
    <cfRule type="cellIs" dxfId="276" priority="108" stopIfTrue="1" operator="greaterThan">
      <formula>$F$71</formula>
    </cfRule>
    <cfRule type="cellIs" dxfId="275" priority="109" stopIfTrue="1" operator="lessThanOrEqual">
      <formula>0</formula>
    </cfRule>
    <cfRule type="cellIs" dxfId="274" priority="111" stopIfTrue="1" operator="lessThanOrEqual">
      <formula>0</formula>
    </cfRule>
    <cfRule type="cellIs" dxfId="273" priority="112" stopIfTrue="1" operator="greaterThan">
      <formula>$F$71</formula>
    </cfRule>
    <cfRule type="cellIs" dxfId="272" priority="113" stopIfTrue="1" operator="lessThanOrEqual">
      <formula>0</formula>
    </cfRule>
    <cfRule type="cellIs" dxfId="271" priority="110" stopIfTrue="1" operator="greaterThan">
      <formula>$F$73</formula>
    </cfRule>
  </conditionalFormatting>
  <conditionalFormatting sqref="I72:I80">
    <cfRule type="cellIs" dxfId="270" priority="123" stopIfTrue="1" operator="greaterThan">
      <formula>$J72</formula>
    </cfRule>
    <cfRule type="cellIs" dxfId="269" priority="124" stopIfTrue="1" operator="lessThanOrEqual">
      <formula>0</formula>
    </cfRule>
  </conditionalFormatting>
  <conditionalFormatting sqref="I83:I91">
    <cfRule type="cellIs" dxfId="268" priority="153" stopIfTrue="1" operator="lessThanOrEqual">
      <formula>0</formula>
    </cfRule>
    <cfRule type="cellIs" dxfId="267" priority="152" stopIfTrue="1" operator="greaterThan">
      <formula>4.5</formula>
    </cfRule>
  </conditionalFormatting>
  <conditionalFormatting sqref="I10:J29 I30:I32">
    <cfRule type="cellIs" dxfId="266" priority="51" operator="lessThan">
      <formula>97.9</formula>
    </cfRule>
  </conditionalFormatting>
  <conditionalFormatting sqref="J35:J37">
    <cfRule type="cellIs" dxfId="265" priority="84" operator="lessThan">
      <formula>98</formula>
    </cfRule>
    <cfRule type="cellIs" dxfId="264" priority="83" stopIfTrue="1" operator="greaterThan">
      <formula>100</formula>
    </cfRule>
    <cfRule type="cellIs" dxfId="263" priority="82" stopIfTrue="1" operator="lessThan">
      <formula>96.8</formula>
    </cfRule>
  </conditionalFormatting>
  <conditionalFormatting sqref="J35:J39">
    <cfRule type="cellIs" dxfId="262" priority="81" operator="lessThan">
      <formula>97.4</formula>
    </cfRule>
  </conditionalFormatting>
  <conditionalFormatting sqref="J40">
    <cfRule type="cellIs" dxfId="261" priority="85" operator="lessThan">
      <formula>98</formula>
    </cfRule>
  </conditionalFormatting>
  <conditionalFormatting sqref="J41:J43">
    <cfRule type="cellIs" dxfId="260" priority="86" stopIfTrue="1" operator="lessThan">
      <formula>96.8</formula>
    </cfRule>
    <cfRule type="cellIs" dxfId="259" priority="87" stopIfTrue="1" operator="greaterThan">
      <formula>100</formula>
    </cfRule>
  </conditionalFormatting>
  <conditionalFormatting sqref="J41:J44">
    <cfRule type="cellIs" dxfId="258" priority="88" operator="lessThan">
      <formula>98</formula>
    </cfRule>
  </conditionalFormatting>
  <conditionalFormatting sqref="J81">
    <cfRule type="cellIs" dxfId="257" priority="89" stopIfTrue="1" operator="greaterThan">
      <formula>$F81</formula>
    </cfRule>
    <cfRule type="cellIs" dxfId="256" priority="90" stopIfTrue="1" operator="lessThanOrEqual">
      <formula>0</formula>
    </cfRule>
  </conditionalFormatting>
  <conditionalFormatting sqref="K10:K29 J30:J32">
    <cfRule type="cellIs" dxfId="255" priority="50" operator="greaterThan">
      <formula>6.4</formula>
    </cfRule>
    <cfRule type="cellIs" dxfId="254" priority="47" operator="lessThan">
      <formula>4</formula>
    </cfRule>
    <cfRule type="cellIs" dxfId="253" priority="46" operator="greaterThan">
      <formula>6</formula>
    </cfRule>
  </conditionalFormatting>
  <conditionalFormatting sqref="K49:K58">
    <cfRule type="cellIs" dxfId="252" priority="80" operator="notEqual">
      <formula>#REF!</formula>
    </cfRule>
  </conditionalFormatting>
  <conditionalFormatting sqref="K64:K68 K72:N75 L76:N76">
    <cfRule type="cellIs" dxfId="251" priority="136" stopIfTrue="1" operator="lessThan">
      <formula>100%</formula>
    </cfRule>
  </conditionalFormatting>
  <conditionalFormatting sqref="K83:K88">
    <cfRule type="cellIs" dxfId="250" priority="158" stopIfTrue="1" operator="lessThan">
      <formula>100%</formula>
    </cfRule>
  </conditionalFormatting>
  <conditionalFormatting sqref="K90:K91">
    <cfRule type="cellIs" dxfId="249" priority="165" stopIfTrue="1" operator="lessThan">
      <formula>100%</formula>
    </cfRule>
  </conditionalFormatting>
  <conditionalFormatting sqref="K77:N81">
    <cfRule type="cellIs" dxfId="248" priority="91" stopIfTrue="1" operator="lessThan">
      <formula>100%</formula>
    </cfRule>
  </conditionalFormatting>
  <conditionalFormatting sqref="L10:M18 L19:L29 K30:K32">
    <cfRule type="cellIs" dxfId="247" priority="49" operator="greaterThan">
      <formula>65</formula>
    </cfRule>
    <cfRule type="cellIs" dxfId="246" priority="48" operator="between">
      <formula>61</formula>
      <formula>65</formula>
    </cfRule>
  </conditionalFormatting>
  <conditionalFormatting sqref="L35:M46">
    <cfRule type="cellIs" dxfId="245" priority="96" operator="lessThan">
      <formula>98</formula>
    </cfRule>
  </conditionalFormatting>
  <conditionalFormatting sqref="L50:N50">
    <cfRule type="cellIs" dxfId="244" priority="101" operator="notEqual">
      <formula>#REF!</formula>
    </cfRule>
  </conditionalFormatting>
  <conditionalFormatting sqref="L83:N91">
    <cfRule type="cellIs" dxfId="243" priority="143" stopIfTrue="1" operator="lessThan">
      <formula>100%</formula>
    </cfRule>
  </conditionalFormatting>
  <conditionalFormatting sqref="M10:M29 L30:M32">
    <cfRule type="expression" dxfId="242" priority="45">
      <formula>IF(+(IF(L10&lt;T10,0,IF(L10&gt;U10,0,1)))=0,1)</formula>
    </cfRule>
  </conditionalFormatting>
  <conditionalFormatting sqref="M6:N6">
    <cfRule type="cellIs" dxfId="241" priority="103" operator="greaterThanOrEqual">
      <formula>19</formula>
    </cfRule>
    <cfRule type="cellIs" dxfId="240" priority="102" operator="greaterThanOrEqual">
      <formula>15</formula>
    </cfRule>
  </conditionalFormatting>
  <conditionalFormatting sqref="N10:N32">
    <cfRule type="expression" dxfId="239" priority="44">
      <formula>IF(+(IF(N10&lt;W10,0,IF(N10&gt;X10,0,1)))=0,1)</formula>
    </cfRule>
  </conditionalFormatting>
  <conditionalFormatting sqref="P6">
    <cfRule type="cellIs" dxfId="238" priority="139" operator="greaterThanOrEqual">
      <formula>19</formula>
    </cfRule>
  </conditionalFormatting>
  <dataValidations count="1">
    <dataValidation type="list" allowBlank="1" showInputMessage="1" showErrorMessage="1" sqref="R8" xr:uid="{F7DBA43E-A99F-4893-8321-72F30F48F9F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2721-7D02-46C9-8C74-6B502203EE35}">
  <sheetPr>
    <pageSetUpPr fitToPage="1"/>
  </sheetPr>
  <dimension ref="A1:BE83"/>
  <sheetViews>
    <sheetView topLeftCell="A58" zoomScaleNormal="100" workbookViewId="0">
      <selection activeCell="D64" sqref="D64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9" style="275" customWidth="1"/>
    <col min="4" max="4" width="15.33203125" style="275" customWidth="1"/>
    <col min="5" max="5" width="15.109375" style="275" customWidth="1"/>
    <col min="6" max="6" width="16.6640625" style="275" customWidth="1"/>
    <col min="7" max="7" width="22.5546875" style="275" customWidth="1"/>
    <col min="8" max="8" width="23.109375" style="275" customWidth="1"/>
    <col min="9" max="9" width="17.5546875" style="275" customWidth="1"/>
    <col min="10" max="10" width="45.44140625" style="275" customWidth="1"/>
    <col min="11" max="11" width="25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45777</v>
      </c>
      <c r="J4" s="399" t="s">
        <v>207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206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33"/>
      <c r="C10" s="366"/>
      <c r="D10" s="279"/>
      <c r="E10" s="279"/>
      <c r="F10" s="278"/>
      <c r="G10" s="279"/>
      <c r="H10" s="396"/>
      <c r="I10" s="434"/>
      <c r="J10" s="434"/>
      <c r="K10" s="398"/>
      <c r="L10" s="276"/>
      <c r="M10" s="374"/>
      <c r="N10" s="370"/>
      <c r="O10" s="435"/>
      <c r="P10" s="339"/>
      <c r="R10" s="277">
        <f t="shared" ref="R10:R33" si="0">B10</f>
        <v>0</v>
      </c>
      <c r="S10" s="296" t="e">
        <f t="shared" ref="S10:S33" si="1">VLOOKUP($B10,$R$3:$X$9,2,FALSE)</f>
        <v>#N/A</v>
      </c>
      <c r="T10" s="296" t="e">
        <f t="shared" ref="T10:T33" si="2">VLOOKUP($B10,$R$3:$X$9,3,FALSE)</f>
        <v>#N/A</v>
      </c>
      <c r="U10" s="297" t="e">
        <f t="shared" ref="U10:U33" si="3">VLOOKUP($B10,$R$3:$X$9,4,FALSE)</f>
        <v>#N/A</v>
      </c>
      <c r="V10" s="297" t="e">
        <f t="shared" ref="V10:V33" si="4">VLOOKUP($B10,$R$3:$X$9,5,FALSE)</f>
        <v>#N/A</v>
      </c>
      <c r="W10" s="297" t="e">
        <f t="shared" ref="W10:W33" si="5">VLOOKUP($B10,$R$3:$X$9,6,FALSE)</f>
        <v>#N/A</v>
      </c>
      <c r="X10" s="297" t="e">
        <f t="shared" ref="X10:X33" si="6">VLOOKUP($B10,$R$3:$X$9,7,FALSE)</f>
        <v>#N/A</v>
      </c>
      <c r="Y10" s="297" t="e">
        <f t="shared" ref="Y10:Y33" si="7">VLOOKUP($B10,$R$3:$Z$9,8,FALSE)</f>
        <v>#N/A</v>
      </c>
      <c r="Z10" s="296" t="e">
        <f t="shared" ref="Z10:Z33" si="8">VLOOKUP($B10,$R$3:$Z$9,9,FALSE)</f>
        <v>#N/A</v>
      </c>
    </row>
    <row r="11" spans="2:29" ht="14.4">
      <c r="B11" s="33"/>
      <c r="C11" s="366"/>
      <c r="D11" s="279"/>
      <c r="E11" s="279"/>
      <c r="F11" s="278"/>
      <c r="G11" s="279"/>
      <c r="H11" s="396"/>
      <c r="I11" s="434"/>
      <c r="J11" s="434"/>
      <c r="K11" s="398"/>
      <c r="L11" s="276"/>
      <c r="M11" s="374"/>
      <c r="N11" s="370"/>
      <c r="O11" s="435"/>
      <c r="P11" s="33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4.4">
      <c r="B12" s="33"/>
      <c r="C12" s="366"/>
      <c r="D12" s="279"/>
      <c r="E12" s="279"/>
      <c r="F12" s="278"/>
      <c r="G12" s="279"/>
      <c r="H12" s="396"/>
      <c r="I12" s="434"/>
      <c r="J12" s="434"/>
      <c r="K12" s="398"/>
      <c r="L12" s="276"/>
      <c r="M12" s="374"/>
      <c r="N12" s="370"/>
      <c r="O12" s="435"/>
      <c r="P12" s="33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4.4">
      <c r="B13" s="33"/>
      <c r="C13" s="366"/>
      <c r="D13" s="279"/>
      <c r="E13" s="279"/>
      <c r="F13" s="278"/>
      <c r="G13" s="279"/>
      <c r="H13" s="396"/>
      <c r="I13" s="434"/>
      <c r="J13" s="434"/>
      <c r="K13" s="398"/>
      <c r="L13" s="276"/>
      <c r="M13" s="374"/>
      <c r="N13" s="370"/>
      <c r="O13" s="435"/>
      <c r="P13" s="33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34"/>
      <c r="J14" s="434"/>
      <c r="K14" s="398"/>
      <c r="L14" s="276"/>
      <c r="M14" s="374"/>
      <c r="N14" s="370"/>
      <c r="O14" s="435"/>
      <c r="P14" s="443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33"/>
      <c r="C15" s="366"/>
      <c r="D15" s="279"/>
      <c r="E15" s="279"/>
      <c r="F15" s="278"/>
      <c r="G15" s="279"/>
      <c r="H15" s="396"/>
      <c r="I15" s="434"/>
      <c r="J15" s="434"/>
      <c r="K15" s="398"/>
      <c r="L15" s="276"/>
      <c r="M15" s="374"/>
      <c r="N15" s="370"/>
      <c r="O15" s="435"/>
      <c r="P15" s="443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33"/>
      <c r="C16" s="366"/>
      <c r="D16" s="279"/>
      <c r="E16" s="279"/>
      <c r="F16" s="278"/>
      <c r="G16" s="279"/>
      <c r="H16" s="396"/>
      <c r="I16" s="434"/>
      <c r="J16" s="434"/>
      <c r="K16" s="398"/>
      <c r="L16" s="276"/>
      <c r="M16" s="374"/>
      <c r="N16" s="370"/>
      <c r="O16" s="435"/>
      <c r="P16" s="443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33"/>
      <c r="C17" s="366"/>
      <c r="D17" s="279"/>
      <c r="E17" s="279"/>
      <c r="F17" s="278"/>
      <c r="G17" s="279"/>
      <c r="H17" s="396"/>
      <c r="I17" s="434"/>
      <c r="J17" s="434"/>
      <c r="K17" s="398"/>
      <c r="L17" s="276"/>
      <c r="M17" s="374"/>
      <c r="N17" s="370"/>
      <c r="O17" s="435"/>
      <c r="P17" s="443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33"/>
      <c r="C18" s="366"/>
      <c r="D18" s="279"/>
      <c r="E18" s="279"/>
      <c r="F18" s="278"/>
      <c r="G18" s="279"/>
      <c r="H18" s="396"/>
      <c r="I18" s="434"/>
      <c r="J18" s="434"/>
      <c r="K18" s="398"/>
      <c r="L18" s="276"/>
      <c r="M18" s="374"/>
      <c r="N18" s="370"/>
      <c r="O18" s="435"/>
      <c r="P18" s="443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3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4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4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43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4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43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43"/>
      <c r="R26" s="277"/>
      <c r="S26" s="296"/>
      <c r="T26" s="296"/>
      <c r="U26" s="297"/>
      <c r="V26" s="297"/>
      <c r="W26" s="297"/>
      <c r="X26" s="297"/>
      <c r="Y26" s="297"/>
      <c r="Z26" s="296"/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43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43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43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3"/>
      <c r="C30" s="366"/>
      <c r="D30" s="279"/>
      <c r="E30" s="279"/>
      <c r="F30" s="278"/>
      <c r="G30" s="279"/>
      <c r="H30" s="396"/>
      <c r="I30" s="434"/>
      <c r="J30" s="398"/>
      <c r="K30" s="276"/>
      <c r="L30" s="374"/>
      <c r="M30" s="397"/>
      <c r="N30" s="370"/>
      <c r="O30" s="371"/>
      <c r="P30" s="443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3"/>
      <c r="C31" s="366"/>
      <c r="D31" s="279"/>
      <c r="E31" s="279"/>
      <c r="F31" s="278"/>
      <c r="G31" s="279"/>
      <c r="H31" s="396"/>
      <c r="I31" s="434"/>
      <c r="J31" s="398"/>
      <c r="K31" s="276"/>
      <c r="L31" s="374"/>
      <c r="M31" s="397"/>
      <c r="N31" s="370"/>
      <c r="O31" s="371"/>
      <c r="P31" s="443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33"/>
      <c r="C32" s="366"/>
      <c r="D32" s="279"/>
      <c r="E32" s="279"/>
      <c r="F32" s="278"/>
      <c r="G32" s="279"/>
      <c r="H32" s="396"/>
      <c r="I32" s="434"/>
      <c r="J32" s="398"/>
      <c r="K32" s="276"/>
      <c r="L32" s="374"/>
      <c r="M32" s="397"/>
      <c r="N32" s="370"/>
      <c r="O32" s="371"/>
      <c r="P32" s="443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customHeight="1" thickBot="1">
      <c r="B33" s="358"/>
      <c r="C33" s="358"/>
      <c r="D33" s="358"/>
      <c r="E33" s="358"/>
      <c r="F33" s="294"/>
      <c r="G33" s="294"/>
      <c r="H33" s="348"/>
      <c r="I33" s="500" t="s">
        <v>34</v>
      </c>
      <c r="J33" s="500"/>
      <c r="K33" s="500"/>
      <c r="L33" s="500"/>
      <c r="M33" s="500"/>
      <c r="N33" s="500"/>
      <c r="O33" s="1"/>
      <c r="P33" s="12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" thickBot="1">
      <c r="B34" s="388" t="s">
        <v>145</v>
      </c>
      <c r="C34" s="388"/>
      <c r="D34" s="513" t="s">
        <v>35</v>
      </c>
      <c r="E34" s="514"/>
      <c r="F34" s="294"/>
      <c r="G34" s="294"/>
      <c r="H34" s="348"/>
      <c r="I34" s="24" t="s">
        <v>17</v>
      </c>
      <c r="J34" s="25" t="s">
        <v>36</v>
      </c>
      <c r="K34" s="26" t="s">
        <v>138</v>
      </c>
      <c r="L34" s="25" t="s">
        <v>37</v>
      </c>
      <c r="M34" s="25" t="s">
        <v>38</v>
      </c>
      <c r="N34" s="27" t="s">
        <v>39</v>
      </c>
      <c r="O34" s="294"/>
      <c r="P34" s="12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5" customHeight="1">
      <c r="A35" s="28"/>
      <c r="B35" s="539" t="str">
        <f>I35</f>
        <v>CARIB</v>
      </c>
      <c r="C35" s="362" cm="1">
        <f t="array" ref="C35:C36">[23]Process!$D$350:$D$351</f>
        <v>12</v>
      </c>
      <c r="D35" s="504">
        <v>12.07</v>
      </c>
      <c r="E35" s="493"/>
      <c r="F35" s="294"/>
      <c r="G35" s="294"/>
      <c r="H35" s="348"/>
      <c r="I35" s="29" t="s">
        <v>6</v>
      </c>
      <c r="J35" s="280"/>
      <c r="K35" s="284">
        <f>COUNTA([23]Brewhouse!$A$341:$A$406)</f>
        <v>66</v>
      </c>
      <c r="L35" s="302">
        <f>AVERAGE([23]Brewhouse!$AU$341:$AU$346,[23]Brewhouse!$AU$348,[23]Brewhouse!$AU$349:$AU$406)</f>
        <v>99.603254316701623</v>
      </c>
      <c r="M35" s="302">
        <f>AVERAGE([23]Brewhouse!$AU$102:$AU$171,[23]Brewhouse!$AU$173:$AU$253,[23]Brewhouse!$AU$255:$AU$339,[23]Brewhouse!$AU$341:$AU$346,[23]Brewhouse!$AU$348,[23]Brewhouse!$AU$349:$AU$406)</f>
        <v>97.396136213531847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5" customHeight="1">
      <c r="A36" s="28"/>
      <c r="B36" s="540"/>
      <c r="C36" s="349">
        <v>11.9</v>
      </c>
      <c r="D36" s="505"/>
      <c r="E36" s="488"/>
      <c r="F36" s="294"/>
      <c r="G36" s="294"/>
      <c r="H36" s="348"/>
      <c r="I36" s="33" t="s">
        <v>9</v>
      </c>
      <c r="J36" s="280"/>
      <c r="K36" s="284">
        <f>COUNTA([24]Brewhouse!$A$142:$A$193)</f>
        <v>52</v>
      </c>
      <c r="L36" s="302">
        <f>AVERAGE([24]Brewhouse!$AS$142:$AS$193)</f>
        <v>99.222034286342335</v>
      </c>
      <c r="M36" s="302">
        <f>AVERAGE([24]Brewhouse!$AS$15:$AS$64,[24]Brewhouse!$AS$66:$AS$103,[24]Brewhouse!$AS$105:$AS$140,[24]Brewhouse!$AS$142:$AS$193)</f>
        <v>97.449063702526615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7" customHeight="1">
      <c r="A37" s="28"/>
      <c r="B37" s="540"/>
      <c r="C37" s="349" cm="1">
        <f t="array" ref="C37:C42">[23]Process!$D$351:$D$356</f>
        <v>11.9</v>
      </c>
      <c r="D37" s="504">
        <v>12.02</v>
      </c>
      <c r="E37" s="493"/>
      <c r="F37" s="294"/>
      <c r="G37" s="294"/>
      <c r="H37" s="348"/>
      <c r="I37" s="34" t="s">
        <v>12</v>
      </c>
      <c r="J37" s="280"/>
      <c r="K37" s="284">
        <f>COUNTA([22]Brewhouse!$A$38:$A$45)</f>
        <v>8</v>
      </c>
      <c r="L37" s="302">
        <f>AVERAGE([22]Brewhouse!$AU$37:$AU$45)</f>
        <v>98.090293320814979</v>
      </c>
      <c r="M37" s="302">
        <f>AVERAGE([22]Brewhouse!$AU$4:$AU$7,[22]Brewhouse!$AU$9:$AU$22,[22]Brewhouse!$AU$24:$AU$35,[22]Brewhouse!$AU$37:$AU$45)</f>
        <v>97.086748546217066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540"/>
      <c r="C38" s="349">
        <v>12</v>
      </c>
      <c r="D38" s="505"/>
      <c r="E38" s="488"/>
      <c r="F38" s="294"/>
      <c r="G38" s="294"/>
      <c r="H38" s="348"/>
      <c r="I38" s="22" t="s">
        <v>33</v>
      </c>
      <c r="J38" s="280"/>
      <c r="K38" s="284">
        <f>COUNTA([25]Brewhouse!$A$26:$A$33)</f>
        <v>8</v>
      </c>
      <c r="L38" s="302">
        <f>AVERAGE([25]Brewhouse!$AV$26:$AV$33)</f>
        <v>99.61038006330628</v>
      </c>
      <c r="M38" s="302">
        <f>AVERAGE([25]Brewhouse!$AV$5:$AV$14,[25]Brewhouse!$AV$16:$AV$19,[25]Brewhouse!$AV$21:$AV$24,[25]Brewhouse!$AV$26:$AV$33)</f>
        <v>98.921974778040592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7" customHeight="1">
      <c r="A39" s="28"/>
      <c r="B39" s="540"/>
      <c r="C39" s="349">
        <v>11.9</v>
      </c>
      <c r="D39" s="504">
        <v>11.96</v>
      </c>
      <c r="E39" s="493"/>
      <c r="F39" s="436"/>
      <c r="G39" s="294"/>
      <c r="H39" s="348"/>
      <c r="I39" s="35" t="s">
        <v>29</v>
      </c>
      <c r="J39" s="280"/>
      <c r="K39" s="284"/>
      <c r="L39" s="302"/>
      <c r="M39" s="302"/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7" customHeight="1">
      <c r="A40" s="28"/>
      <c r="B40" s="540"/>
      <c r="C40" s="349">
        <v>11.8</v>
      </c>
      <c r="D40" s="505"/>
      <c r="E40" s="488"/>
      <c r="F40" s="436"/>
      <c r="G40" s="294"/>
      <c r="H40" s="348"/>
      <c r="I40" s="36" t="s">
        <v>15</v>
      </c>
      <c r="J40" s="323"/>
      <c r="K40" s="284">
        <f>COUNTA([26]Brewhouse!$A$13:$A$16)</f>
        <v>4</v>
      </c>
      <c r="L40" s="302">
        <f>AVERAGE([26]Brewhouse!$AT$13:$AT$16)</f>
        <v>95.870696554126312</v>
      </c>
      <c r="M40" s="302">
        <f>AVERAGE([26]Brewhouse!$AT$4:$AT$11,[26]Brewhouse!$AT$13:$AT$16)</f>
        <v>95.165309917257005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7" customHeight="1">
      <c r="A41" s="28"/>
      <c r="B41" s="540"/>
      <c r="C41" s="349">
        <v>11.9</v>
      </c>
      <c r="D41" s="504">
        <v>12.01</v>
      </c>
      <c r="E41" s="493"/>
      <c r="F41" s="436"/>
      <c r="G41" s="294"/>
      <c r="H41" s="348"/>
      <c r="I41" s="37" t="s">
        <v>16</v>
      </c>
      <c r="J41" s="323"/>
      <c r="K41" s="284">
        <f>COUNTA([27]Brewhouse!$A$31:$A$34)</f>
        <v>4</v>
      </c>
      <c r="L41" s="302">
        <f>AVERAGE([27]Brewhouse!$AY$31:$AY$34)</f>
        <v>98.653228650224236</v>
      </c>
      <c r="M41" s="302">
        <f>AVERAGE([27]Brewhouse!$AY$6:$AY$13,[27]Brewhouse!$AY$15:$AY$20,[27]Brewhouse!$AY$22:$AY$29,[27]Brewhouse!$AY$31:$AY$34)</f>
        <v>96.120888038911147</v>
      </c>
      <c r="N41" s="30">
        <v>98</v>
      </c>
      <c r="O41" s="11"/>
      <c r="P41" s="31" t="s">
        <v>41</v>
      </c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540"/>
      <c r="C42" s="349">
        <v>11.7</v>
      </c>
      <c r="D42" s="505"/>
      <c r="E42" s="488"/>
      <c r="F42" s="294"/>
      <c r="G42" s="294"/>
      <c r="H42" s="348"/>
      <c r="I42" s="412" t="s">
        <v>158</v>
      </c>
      <c r="J42" s="326"/>
      <c r="K42" s="284"/>
      <c r="L42" s="305"/>
      <c r="M42" s="305">
        <f>AVERAGE([28]Brewhouse!$AU$5:$AU$8)</f>
        <v>91.006888337619571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540"/>
      <c r="C43" s="349"/>
      <c r="D43" s="504"/>
      <c r="E43" s="493"/>
      <c r="F43" s="294"/>
      <c r="G43" s="294"/>
      <c r="H43" s="348"/>
      <c r="I43" s="411" t="s">
        <v>157</v>
      </c>
      <c r="J43" s="326"/>
      <c r="K43" s="284"/>
      <c r="L43" s="305"/>
      <c r="M43" s="305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540"/>
      <c r="C44" s="349"/>
      <c r="D44" s="505"/>
      <c r="E44" s="488"/>
      <c r="F44" s="294"/>
      <c r="G44" s="294"/>
      <c r="H44" s="348"/>
      <c r="I44" s="407" t="s">
        <v>156</v>
      </c>
      <c r="J44" s="327"/>
      <c r="K44" s="408"/>
      <c r="L44" s="409"/>
      <c r="M44" s="409"/>
      <c r="N44" s="41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540"/>
      <c r="C45" s="349"/>
      <c r="D45" s="504"/>
      <c r="E45" s="493"/>
      <c r="F45" s="294"/>
      <c r="G45" s="294"/>
      <c r="H45" s="348"/>
      <c r="I45" s="1"/>
      <c r="J45" s="39"/>
      <c r="K45" s="405">
        <f>SUM(K35:K44)</f>
        <v>142</v>
      </c>
      <c r="L45" s="406">
        <f>((L35*K35)+(L36*K36)+(L37*K37)+(L38*K38)+(L39*K39)+(K42*L42)+(L40*K40)+(L41*K41)+(L44*K44))/(K45)</f>
        <v>99.246913068186487</v>
      </c>
      <c r="M45" s="406">
        <f>AVERAGE('[29]Jan 31st'!$L$65,'[30]Feb 28th'!$L$35,'[31]Mar. 31st'!$L$35,L45)</f>
        <v>97.353032384854941</v>
      </c>
      <c r="N45" s="4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thickBot="1">
      <c r="B46" s="553"/>
      <c r="C46" s="350"/>
      <c r="D46" s="505"/>
      <c r="E46" s="488"/>
      <c r="F46" s="294"/>
      <c r="G46" s="42"/>
      <c r="H46" s="41"/>
      <c r="I46" s="42"/>
      <c r="J46" s="42"/>
      <c r="K46" s="351"/>
      <c r="L46" s="348"/>
      <c r="M46" s="348"/>
      <c r="N46" s="11"/>
      <c r="O46" s="294"/>
      <c r="P46" s="12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66"/>
      <c r="C47" s="362"/>
      <c r="D47" s="485"/>
      <c r="E47" s="486"/>
      <c r="F47" s="294"/>
      <c r="G47" s="42"/>
      <c r="H47" s="41"/>
      <c r="I47" s="42"/>
      <c r="J47" s="538" t="s">
        <v>129</v>
      </c>
      <c r="K47" s="538"/>
      <c r="L47" s="294"/>
      <c r="M47" s="294"/>
      <c r="N47" s="294"/>
      <c r="O47" s="294"/>
      <c r="P47" s="12"/>
    </row>
    <row r="48" spans="1:27" ht="13.5" customHeight="1" thickBot="1">
      <c r="B48" s="502"/>
      <c r="C48" s="349"/>
      <c r="D48" s="487"/>
      <c r="E48" s="488"/>
      <c r="F48" s="294"/>
      <c r="G48" s="42"/>
      <c r="H48" s="41"/>
      <c r="I48" s="42"/>
      <c r="J48" s="292" t="s">
        <v>17</v>
      </c>
      <c r="K48" s="293" t="s">
        <v>191</v>
      </c>
      <c r="L48" s="490" t="s">
        <v>136</v>
      </c>
      <c r="M48" s="490"/>
      <c r="N48" s="491"/>
      <c r="O48" s="294"/>
      <c r="P48" s="12"/>
    </row>
    <row r="49" spans="2:57" ht="15" customHeight="1" thickBot="1">
      <c r="B49" s="502"/>
      <c r="C49" s="349"/>
      <c r="D49" s="492"/>
      <c r="E49" s="493"/>
      <c r="F49" s="294"/>
      <c r="G49" s="42"/>
      <c r="H49" s="41"/>
      <c r="I49" s="42"/>
      <c r="J49" s="287" t="s">
        <v>6</v>
      </c>
      <c r="K49" s="324"/>
      <c r="L49" s="343" t="s">
        <v>37</v>
      </c>
      <c r="M49" s="307" t="s">
        <v>38</v>
      </c>
      <c r="N49" s="307" t="s">
        <v>84</v>
      </c>
      <c r="O49" s="294"/>
      <c r="P49" s="12"/>
    </row>
    <row r="50" spans="2:57" ht="15.75" customHeight="1" thickBot="1">
      <c r="B50" s="502"/>
      <c r="C50" s="349"/>
      <c r="D50" s="487"/>
      <c r="E50" s="488"/>
      <c r="F50" s="294"/>
      <c r="G50" s="42"/>
      <c r="H50" s="41"/>
      <c r="I50" s="42"/>
      <c r="J50" s="345" t="s">
        <v>9</v>
      </c>
      <c r="K50" s="324"/>
      <c r="L50" s="344">
        <f>AVERAGE('Apr. 1st'!K49,'Apr. 3rd'!K49,'Apr. 4th'!K49,'Apr. 7th '!K50,'Apr. 8th  '!K60,'Apr. 9th   '!K50,'Apr. 10th '!K58,'Apr. 11-12-13th'!I127,'Apr. 11-12-13th'!J127,'Apr. 11-12-13th'!K127,'Apr. 14th'!K127,'Apr. 15th'!K55,'Apr. 16th'!K55,'Apr. 17th-20th'!H99,'Apr. 17th-20th'!I99,'Apr. 17th-20th'!J99,'Apr. 17th-20th'!K99,'Apr. 22nd'!K55,'Apr. 23rd'!K55,'Apr. 24th'!K58,'Apr. 25th '!K48,'Apr. 28th'!K59,K59)</f>
        <v>6.1304347826086953</v>
      </c>
      <c r="M50" s="325">
        <f>AVERAGE('[29]Jan 29th '!$M$70,'[30]Feb 28th'!$L$40,'[31]Mar. 31st'!$L$40,L50)</f>
        <v>6.4864429049211658</v>
      </c>
      <c r="N50" s="433">
        <v>9.1999999999999993</v>
      </c>
      <c r="O50" s="294"/>
      <c r="P50" s="12"/>
    </row>
    <row r="51" spans="2:57" ht="15" customHeight="1">
      <c r="B51" s="502"/>
      <c r="C51" s="349"/>
      <c r="D51" s="492"/>
      <c r="E51" s="493"/>
      <c r="F51" s="294"/>
      <c r="G51" s="42"/>
      <c r="H51" s="41"/>
      <c r="I51" s="42"/>
      <c r="J51" s="288" t="s">
        <v>40</v>
      </c>
      <c r="K51" s="324"/>
      <c r="L51" s="294"/>
      <c r="M51" s="294"/>
      <c r="N51" s="294"/>
      <c r="O51" s="294"/>
      <c r="P51" s="12"/>
    </row>
    <row r="52" spans="2:57" ht="15" customHeight="1">
      <c r="B52" s="502"/>
      <c r="C52" s="349"/>
      <c r="D52" s="487"/>
      <c r="E52" s="488"/>
      <c r="F52" s="294"/>
      <c r="G52" s="42"/>
      <c r="H52" s="41"/>
      <c r="I52" s="42"/>
      <c r="J52" s="289" t="s">
        <v>33</v>
      </c>
      <c r="K52" s="324"/>
      <c r="L52" s="294"/>
      <c r="M52" s="294"/>
      <c r="N52" s="294"/>
      <c r="O52" s="294"/>
      <c r="P52" s="12"/>
    </row>
    <row r="53" spans="2:57" ht="14.4">
      <c r="B53" s="502"/>
      <c r="C53" s="349"/>
      <c r="D53" s="492"/>
      <c r="E53" s="493"/>
      <c r="F53" s="294"/>
      <c r="G53" s="42"/>
      <c r="H53" s="41"/>
      <c r="I53" s="42"/>
      <c r="J53" s="290" t="s">
        <v>16</v>
      </c>
      <c r="K53" s="324"/>
      <c r="L53" s="294"/>
      <c r="M53" s="294"/>
      <c r="N53" s="294"/>
      <c r="O53" s="294"/>
      <c r="P53" s="12"/>
      <c r="BC53" s="44"/>
      <c r="BD53" s="44"/>
    </row>
    <row r="54" spans="2:57" ht="14.4">
      <c r="B54" s="502"/>
      <c r="C54" s="349"/>
      <c r="D54" s="487"/>
      <c r="E54" s="488"/>
      <c r="F54" s="294"/>
      <c r="G54" s="42"/>
      <c r="H54" s="41"/>
      <c r="I54" s="42"/>
      <c r="J54" s="291" t="s">
        <v>15</v>
      </c>
      <c r="K54" s="324"/>
      <c r="L54" s="294"/>
      <c r="M54" s="294"/>
      <c r="N54" s="294"/>
      <c r="O54" s="294"/>
      <c r="P54" s="12"/>
      <c r="BC54" s="44"/>
      <c r="BD54" s="44"/>
    </row>
    <row r="55" spans="2:57" ht="14.4">
      <c r="B55" s="502"/>
      <c r="C55" s="349"/>
      <c r="D55" s="494"/>
      <c r="E55" s="495"/>
      <c r="F55" s="294"/>
      <c r="G55" s="42"/>
      <c r="H55" s="41"/>
      <c r="I55" s="42"/>
      <c r="J55" s="291" t="s">
        <v>149</v>
      </c>
      <c r="K55" s="324"/>
      <c r="L55" s="294"/>
      <c r="M55" s="294"/>
      <c r="N55" s="294"/>
      <c r="O55" s="294"/>
      <c r="P55" s="12"/>
      <c r="BC55" s="44"/>
      <c r="BD55" s="44"/>
    </row>
    <row r="56" spans="2:57" ht="15" thickBot="1">
      <c r="B56" s="503"/>
      <c r="C56" s="350"/>
      <c r="D56" s="496"/>
      <c r="E56" s="497"/>
      <c r="F56" s="294"/>
      <c r="G56" s="42"/>
      <c r="H56" s="41"/>
      <c r="I56" s="42"/>
      <c r="J56" s="291" t="s">
        <v>148</v>
      </c>
      <c r="K56" s="324"/>
      <c r="L56" s="294"/>
      <c r="M56" s="294"/>
      <c r="N56" s="294"/>
      <c r="O56" s="294"/>
      <c r="P56" s="12"/>
      <c r="BC56" s="44"/>
      <c r="BD56" s="44"/>
    </row>
    <row r="57" spans="2:57" ht="17.7" customHeight="1" thickBot="1">
      <c r="B57" s="312" t="s">
        <v>139</v>
      </c>
      <c r="C57" s="313"/>
      <c r="D57" s="476">
        <f>AVERAGE(D35:E56)</f>
        <v>12.014999999999999</v>
      </c>
      <c r="E57" s="477"/>
      <c r="F57" s="294"/>
      <c r="G57" s="42"/>
      <c r="H57" s="41"/>
      <c r="I57" s="42"/>
      <c r="J57" s="295" t="s">
        <v>134</v>
      </c>
      <c r="K57" s="324"/>
      <c r="L57" s="294"/>
      <c r="M57" s="294"/>
      <c r="N57" s="294"/>
      <c r="O57" s="294"/>
      <c r="P57" s="12"/>
      <c r="BC57" s="44"/>
      <c r="BD57" s="44"/>
    </row>
    <row r="58" spans="2:57" ht="17.7" customHeight="1">
      <c r="B58" s="363"/>
      <c r="C58" s="364"/>
      <c r="D58" s="365"/>
      <c r="E58" s="365"/>
      <c r="F58" s="294"/>
      <c r="G58" s="42"/>
      <c r="H58" s="41"/>
      <c r="I58" s="42"/>
      <c r="J58" s="295" t="s">
        <v>131</v>
      </c>
      <c r="K58" s="324"/>
      <c r="L58" s="294"/>
      <c r="M58" s="294"/>
      <c r="N58" s="294"/>
      <c r="O58" s="294"/>
      <c r="P58" s="12"/>
      <c r="BC58" s="44"/>
      <c r="BD58" s="44"/>
    </row>
    <row r="59" spans="2:57" ht="15.75" customHeight="1">
      <c r="B59" s="45"/>
      <c r="C59" s="11"/>
      <c r="D59" s="11"/>
      <c r="E59" s="46"/>
      <c r="F59" s="294"/>
      <c r="G59" s="42"/>
      <c r="H59" s="41"/>
      <c r="I59" s="42"/>
      <c r="J59" s="346" t="s">
        <v>130</v>
      </c>
      <c r="K59" s="324">
        <f>SUM(K49:K58)</f>
        <v>0</v>
      </c>
      <c r="L59" s="294"/>
      <c r="M59" s="294"/>
      <c r="N59" s="294"/>
      <c r="O59" s="294"/>
      <c r="P59" s="12"/>
    </row>
    <row r="60" spans="2:57" ht="20.25" customHeight="1">
      <c r="B60" s="15" t="s">
        <v>42</v>
      </c>
      <c r="C60" s="1" t="s">
        <v>43</v>
      </c>
      <c r="D60" s="1"/>
      <c r="E60" s="1"/>
      <c r="F60" s="294"/>
      <c r="G60" s="42"/>
      <c r="H60" s="41"/>
      <c r="I60" s="42"/>
      <c r="L60" s="294"/>
      <c r="P60" s="334"/>
    </row>
    <row r="61" spans="2:57" ht="15" customHeight="1" thickBot="1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8"/>
      <c r="O61" s="48"/>
      <c r="P61" s="49"/>
    </row>
    <row r="62" spans="2:57" ht="15" customHeight="1" thickBot="1">
      <c r="B62" s="466" t="s">
        <v>17</v>
      </c>
      <c r="C62" s="466" t="s">
        <v>44</v>
      </c>
      <c r="D62" s="478" t="s">
        <v>45</v>
      </c>
      <c r="E62" s="480" t="s">
        <v>46</v>
      </c>
      <c r="F62" s="474" t="s">
        <v>47</v>
      </c>
      <c r="G62" s="464" t="s">
        <v>48</v>
      </c>
      <c r="H62" s="466" t="s">
        <v>49</v>
      </c>
      <c r="I62" s="466" t="s">
        <v>50</v>
      </c>
      <c r="J62" s="458" t="s">
        <v>28</v>
      </c>
      <c r="K62" s="470" t="s">
        <v>51</v>
      </c>
      <c r="L62" s="472" t="s">
        <v>52</v>
      </c>
      <c r="M62" s="458" t="s">
        <v>53</v>
      </c>
      <c r="N62" s="13"/>
      <c r="O62" s="13"/>
      <c r="P62" s="50"/>
    </row>
    <row r="63" spans="2:57" ht="28.5" customHeight="1" thickTop="1" thickBot="1">
      <c r="B63" s="467"/>
      <c r="C63" s="467"/>
      <c r="D63" s="479"/>
      <c r="E63" s="481"/>
      <c r="F63" s="475"/>
      <c r="G63" s="465"/>
      <c r="H63" s="467"/>
      <c r="I63" s="467"/>
      <c r="J63" s="459"/>
      <c r="K63" s="471"/>
      <c r="L63" s="473"/>
      <c r="M63" s="459"/>
      <c r="N63" s="13"/>
      <c r="O63" s="13"/>
      <c r="P63" s="50"/>
      <c r="Q63" s="355"/>
      <c r="AB63" s="51">
        <v>43474</v>
      </c>
      <c r="AC63" s="51">
        <v>43475</v>
      </c>
      <c r="AD63" s="51">
        <v>43476</v>
      </c>
      <c r="AE63" s="51">
        <v>43477</v>
      </c>
      <c r="AF63" s="51">
        <v>43478</v>
      </c>
      <c r="AG63" s="51">
        <v>43479</v>
      </c>
      <c r="AH63" s="51">
        <v>43480</v>
      </c>
      <c r="AI63" s="51">
        <v>43481</v>
      </c>
      <c r="AJ63" s="51">
        <v>43482</v>
      </c>
      <c r="AK63" s="51">
        <v>43483</v>
      </c>
      <c r="AL63" s="51">
        <v>43484</v>
      </c>
      <c r="AM63" s="51">
        <v>43485</v>
      </c>
      <c r="AN63" s="51">
        <v>43486</v>
      </c>
      <c r="AO63" s="51">
        <v>43487</v>
      </c>
      <c r="AP63" s="51">
        <v>43488</v>
      </c>
      <c r="AQ63" s="51">
        <v>43489</v>
      </c>
      <c r="AR63" s="51">
        <v>43490</v>
      </c>
      <c r="AS63" s="51">
        <v>43491</v>
      </c>
      <c r="AT63" s="51">
        <v>43492</v>
      </c>
      <c r="AU63" s="51">
        <v>43493</v>
      </c>
      <c r="AV63" s="51">
        <v>43494</v>
      </c>
      <c r="AW63" s="51">
        <v>43495</v>
      </c>
      <c r="AX63" s="51">
        <v>43496</v>
      </c>
    </row>
    <row r="64" spans="2:57" s="54" customFormat="1" ht="43.5" customHeight="1">
      <c r="B64" s="415" t="str">
        <f>I35</f>
        <v>CARIB</v>
      </c>
      <c r="C64" s="283">
        <v>45776</v>
      </c>
      <c r="D64" s="279">
        <f>[32]April_2025!$AF$3</f>
        <v>482.7</v>
      </c>
      <c r="E64" s="279"/>
      <c r="F64" s="279"/>
      <c r="G64" s="279">
        <f>[32]April_2025!$AF$7</f>
        <v>409.7</v>
      </c>
      <c r="H64" s="320"/>
      <c r="I64" s="322"/>
      <c r="J64" s="457" t="s">
        <v>208</v>
      </c>
      <c r="K64" s="417">
        <f>[33]April_2025!$AF$18</f>
        <v>0.7187719298245614</v>
      </c>
      <c r="L64" s="314">
        <f>(((D64+E64)-G64)/(D64+E64))*100</f>
        <v>15.123264967888957</v>
      </c>
      <c r="M64" s="455" t="s">
        <v>177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 t="e">
        <f>[20]January_2019!L7</f>
        <v>#REF!</v>
      </c>
      <c r="AC64" s="57" t="e">
        <f>[20]January_2019!M7</f>
        <v>#REF!</v>
      </c>
      <c r="AD64" s="57" t="e">
        <f>[20]January_2019!N7</f>
        <v>#REF!</v>
      </c>
      <c r="AE64" s="57" t="e">
        <f>[20]January_2019!O7</f>
        <v>#REF!</v>
      </c>
      <c r="AF64" s="57" t="e">
        <f>[20]January_2019!P7</f>
        <v>#REF!</v>
      </c>
      <c r="AG64" s="57" t="e">
        <f>[20]January_2019!Q7</f>
        <v>#REF!</v>
      </c>
      <c r="AH64" s="57" t="e">
        <f>[20]January_2019!R7</f>
        <v>#REF!</v>
      </c>
      <c r="AI64" s="57" t="e">
        <f>[20]January_2019!S7</f>
        <v>#REF!</v>
      </c>
      <c r="AJ64" s="57" t="e">
        <f>[20]January_2019!T7</f>
        <v>#REF!</v>
      </c>
      <c r="AK64" s="57" t="e">
        <f>[20]January_2019!U7</f>
        <v>#REF!</v>
      </c>
      <c r="AL64" s="57" t="e">
        <f>[20]January_2019!V7</f>
        <v>#REF!</v>
      </c>
      <c r="AM64" s="57" t="e">
        <f>[20]January_2019!W7</f>
        <v>#REF!</v>
      </c>
      <c r="AN64" s="57" t="e">
        <f>[20]January_2019!X7</f>
        <v>#REF!</v>
      </c>
      <c r="AO64" s="57" t="e">
        <f>[20]January_2019!Y7</f>
        <v>#REF!</v>
      </c>
      <c r="AP64" s="57" t="e">
        <f>[20]January_2019!Z7</f>
        <v>#REF!</v>
      </c>
      <c r="AQ64" s="57" t="e">
        <f>[20]January_2019!AA7</f>
        <v>#REF!</v>
      </c>
      <c r="AR64" s="57" t="e">
        <f>[20]January_2019!AB7</f>
        <v>#REF!</v>
      </c>
      <c r="AS64" s="57" t="e">
        <f>[20]January_2019!AC7</f>
        <v>#REF!</v>
      </c>
      <c r="AT64" s="57" t="e">
        <f>[20]January_2019!AD7</f>
        <v>#REF!</v>
      </c>
      <c r="AU64" s="57" t="e">
        <f>[20]January_2019!AE7</f>
        <v>#REF!</v>
      </c>
      <c r="AV64" s="57" t="e">
        <f>[20]January_2019!AF7</f>
        <v>#REF!</v>
      </c>
      <c r="AW64" s="57" t="e">
        <f>[20]January_2019!AG7</f>
        <v>#REF!</v>
      </c>
      <c r="AX64" s="277" t="e">
        <f>[20]January_2019!AH7</f>
        <v>#REF!</v>
      </c>
      <c r="AY64" s="277"/>
      <c r="AZ64" s="277"/>
      <c r="BA64" s="277"/>
      <c r="BB64" s="277"/>
      <c r="BC64" s="277"/>
      <c r="BD64" s="277"/>
      <c r="BE64" s="277"/>
    </row>
    <row r="65" spans="2:49" s="54" customFormat="1" ht="10.5" customHeight="1">
      <c r="B65" s="415"/>
      <c r="C65" s="283"/>
      <c r="D65" s="377"/>
      <c r="E65" s="378"/>
      <c r="F65" s="379"/>
      <c r="G65" s="303"/>
      <c r="H65" s="320"/>
      <c r="I65" s="322"/>
      <c r="J65" s="398"/>
      <c r="K65" s="286"/>
      <c r="L65" s="314"/>
      <c r="M65" s="423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20"/>
      <c r="AC65" s="420"/>
      <c r="AD65" s="420"/>
      <c r="AE65" s="420"/>
      <c r="AF65" s="420"/>
      <c r="AG65" s="420"/>
      <c r="AH65" s="420"/>
      <c r="AI65" s="420"/>
      <c r="AJ65" s="420"/>
      <c r="AK65" s="420"/>
      <c r="AL65" s="420"/>
      <c r="AM65" s="420"/>
      <c r="AN65" s="420"/>
      <c r="AO65" s="420"/>
      <c r="AP65" s="420"/>
      <c r="AQ65" s="420"/>
      <c r="AR65" s="420"/>
      <c r="AS65" s="420"/>
      <c r="AT65" s="420"/>
      <c r="AU65" s="420"/>
      <c r="AV65" s="420"/>
      <c r="AW65" s="420"/>
    </row>
    <row r="66" spans="2:49" s="54" customFormat="1" ht="39.75" customHeight="1">
      <c r="B66" s="415"/>
      <c r="C66" s="283"/>
      <c r="D66" s="377"/>
      <c r="E66" s="378"/>
      <c r="F66" s="379"/>
      <c r="G66" s="303"/>
      <c r="H66" s="320"/>
      <c r="I66" s="322"/>
      <c r="J66" s="398"/>
      <c r="K66" s="286"/>
      <c r="L66" s="314"/>
      <c r="M66" s="423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20"/>
      <c r="AC66" s="420"/>
      <c r="AD66" s="420"/>
      <c r="AE66" s="420"/>
      <c r="AF66" s="420"/>
      <c r="AG66" s="420"/>
      <c r="AH66" s="420"/>
      <c r="AI66" s="420"/>
      <c r="AJ66" s="420"/>
      <c r="AK66" s="420"/>
      <c r="AL66" s="420"/>
      <c r="AM66" s="420"/>
      <c r="AN66" s="420"/>
      <c r="AO66" s="420"/>
      <c r="AP66" s="420"/>
      <c r="AQ66" s="420"/>
      <c r="AR66" s="420"/>
      <c r="AS66" s="420"/>
      <c r="AT66" s="420"/>
      <c r="AU66" s="420"/>
      <c r="AV66" s="420"/>
      <c r="AW66" s="420"/>
    </row>
    <row r="67" spans="2:49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6"/>
      <c r="P67" s="60"/>
    </row>
    <row r="68" spans="2:49" ht="14.4" thickBot="1">
      <c r="B68" s="460" t="s">
        <v>55</v>
      </c>
      <c r="C68" s="461"/>
      <c r="D68" s="461"/>
      <c r="E68" s="461"/>
      <c r="F68" s="462"/>
      <c r="G68" s="460" t="s">
        <v>56</v>
      </c>
      <c r="H68" s="461"/>
      <c r="I68" s="461"/>
      <c r="J68" s="462"/>
      <c r="K68" s="460" t="s">
        <v>51</v>
      </c>
      <c r="L68" s="461"/>
      <c r="M68" s="461"/>
      <c r="N68" s="463"/>
      <c r="O68" s="56"/>
      <c r="P68" s="50"/>
    </row>
    <row r="69" spans="2:49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/>
      <c r="L69" s="62" t="s">
        <v>37</v>
      </c>
      <c r="M69" s="62" t="s">
        <v>38</v>
      </c>
      <c r="N69" s="63" t="s">
        <v>39</v>
      </c>
      <c r="O69" s="56"/>
      <c r="P69" s="64"/>
    </row>
    <row r="70" spans="2:49">
      <c r="B70" s="29" t="s">
        <v>6</v>
      </c>
      <c r="C70" s="65">
        <f>L64</f>
        <v>15.123264967888957</v>
      </c>
      <c r="D70" s="76">
        <v>6.2987928463767791</v>
      </c>
      <c r="E70" s="76">
        <v>6.7680752890889897</v>
      </c>
      <c r="F70" s="66">
        <v>4.8</v>
      </c>
      <c r="G70" s="65">
        <f>[32]April_2025!$AF$11</f>
        <v>14.443162924362438</v>
      </c>
      <c r="H70" s="76">
        <v>5.5537657385474146</v>
      </c>
      <c r="I70" s="76">
        <v>7.1988915027699978</v>
      </c>
      <c r="J70" s="66">
        <v>4.8</v>
      </c>
      <c r="K70" s="67">
        <f>K64</f>
        <v>0.7187719298245614</v>
      </c>
      <c r="L70" s="194">
        <v>0.73274358297959419</v>
      </c>
      <c r="M70" s="194">
        <v>0.76827534449460633</v>
      </c>
      <c r="N70" s="68">
        <v>1</v>
      </c>
      <c r="O70" s="56"/>
      <c r="P70" s="69"/>
    </row>
    <row r="71" spans="2:49">
      <c r="B71" s="33" t="s">
        <v>9</v>
      </c>
      <c r="C71" s="65"/>
      <c r="D71" s="76">
        <v>4.9164813325131247</v>
      </c>
      <c r="E71" s="76">
        <v>6.1326235005825733</v>
      </c>
      <c r="F71" s="66">
        <v>4.8</v>
      </c>
      <c r="G71" s="65"/>
      <c r="H71" s="76">
        <v>3.7311899747361132</v>
      </c>
      <c r="I71" s="76">
        <v>6.6012405294716094</v>
      </c>
      <c r="J71" s="66">
        <v>4.8</v>
      </c>
      <c r="K71" s="67"/>
      <c r="L71" s="194">
        <v>0.86837351230333448</v>
      </c>
      <c r="M71" s="194">
        <v>0.75323691521525205</v>
      </c>
      <c r="N71" s="68">
        <v>1</v>
      </c>
      <c r="P71" s="69"/>
    </row>
    <row r="72" spans="2:49">
      <c r="B72" s="34" t="s">
        <v>40</v>
      </c>
      <c r="C72" s="65"/>
      <c r="D72" s="76">
        <v>11.414038657171938</v>
      </c>
      <c r="E72" s="76">
        <v>12.98436003830194</v>
      </c>
      <c r="F72" s="66">
        <v>5.5</v>
      </c>
      <c r="G72" s="65"/>
      <c r="H72" s="76">
        <v>11.798908408664529</v>
      </c>
      <c r="I72" s="76">
        <v>13.788066562341831</v>
      </c>
      <c r="J72" s="66">
        <v>5.5</v>
      </c>
      <c r="K72" s="67"/>
      <c r="L72" s="194">
        <v>0.55289473684210522</v>
      </c>
      <c r="M72" s="194">
        <v>0.52990459153249858</v>
      </c>
      <c r="N72" s="68">
        <v>1</v>
      </c>
      <c r="P72" s="69"/>
    </row>
    <row r="73" spans="2:49">
      <c r="B73" s="22" t="s">
        <v>33</v>
      </c>
      <c r="C73" s="65"/>
      <c r="D73" s="76">
        <v>3.2321253672869714</v>
      </c>
      <c r="E73" s="76">
        <v>2.2218158544390558</v>
      </c>
      <c r="F73" s="66">
        <v>3.3</v>
      </c>
      <c r="G73" s="65"/>
      <c r="H73" s="76">
        <v>2.3924874613168265</v>
      </c>
      <c r="I73" s="76">
        <v>5.0359151649923692</v>
      </c>
      <c r="J73" s="66">
        <v>3.3</v>
      </c>
      <c r="K73" s="67"/>
      <c r="L73" s="194">
        <v>1.3866666666666667</v>
      </c>
      <c r="M73" s="194">
        <v>0.87880701754385959</v>
      </c>
      <c r="N73" s="68">
        <v>1</v>
      </c>
      <c r="P73" s="69"/>
    </row>
    <row r="74" spans="2:49">
      <c r="B74" s="35" t="s">
        <v>29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L74" s="194"/>
      <c r="M74" s="194"/>
      <c r="N74" s="68">
        <v>1</v>
      </c>
      <c r="P74" s="69"/>
    </row>
    <row r="75" spans="2:49">
      <c r="B75" s="36" t="s">
        <v>15</v>
      </c>
      <c r="C75" s="282"/>
      <c r="D75" s="76">
        <v>5.9443911792905233</v>
      </c>
      <c r="E75" s="76">
        <v>7.8262258425171876</v>
      </c>
      <c r="F75" s="70">
        <f>[21]May_2022!$M$43</f>
        <v>3.4878406700073312</v>
      </c>
      <c r="G75" s="282"/>
      <c r="H75" s="76">
        <v>7.0254499502894436</v>
      </c>
      <c r="I75" s="76">
        <v>9.4300678869947632</v>
      </c>
      <c r="J75" s="66">
        <v>5.5</v>
      </c>
      <c r="K75" s="67"/>
      <c r="L75" s="194">
        <v>0.68842105263157893</v>
      </c>
      <c r="M75" s="194">
        <v>0.674970760233918</v>
      </c>
      <c r="N75" s="68">
        <v>1</v>
      </c>
      <c r="P75" s="69"/>
    </row>
    <row r="76" spans="2:49">
      <c r="B76" s="37" t="s">
        <v>16</v>
      </c>
      <c r="C76" s="65"/>
      <c r="D76" s="76">
        <v>0.38967364831952411</v>
      </c>
      <c r="E76" s="76">
        <v>1.85607294041028</v>
      </c>
      <c r="F76" s="66">
        <v>3.3</v>
      </c>
      <c r="G76" s="282"/>
      <c r="H76" s="76">
        <v>3.9053322254376623</v>
      </c>
      <c r="I76" s="76">
        <v>4.5764571827076486</v>
      </c>
      <c r="J76" s="66">
        <v>3.3</v>
      </c>
      <c r="K76" s="67"/>
      <c r="L76" s="194">
        <v>0.71754385964912282</v>
      </c>
      <c r="M76" s="194">
        <v>0.83594855305466242</v>
      </c>
      <c r="N76" s="71">
        <v>1</v>
      </c>
      <c r="P76" s="69"/>
    </row>
    <row r="77" spans="2:49" ht="14.4" thickBot="1">
      <c r="B77" s="38" t="s">
        <v>127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49" ht="14.4" thickBot="1">
      <c r="B78" s="418" t="s">
        <v>162</v>
      </c>
      <c r="C78" s="65"/>
      <c r="D78" s="76"/>
      <c r="E78" s="76">
        <v>4.8792508624938291</v>
      </c>
      <c r="F78" s="66">
        <v>4.8</v>
      </c>
      <c r="G78" s="282"/>
      <c r="H78" s="76"/>
      <c r="I78" s="76">
        <v>6.2003723782925313</v>
      </c>
      <c r="J78" s="66">
        <v>4.8</v>
      </c>
      <c r="K78" s="67"/>
      <c r="L78" s="194"/>
      <c r="M78" s="194">
        <v>0.33859649122807017</v>
      </c>
      <c r="N78" s="71">
        <v>1</v>
      </c>
      <c r="O78" s="74"/>
      <c r="P78" s="75"/>
    </row>
    <row r="79" spans="2:49">
      <c r="D79" s="76">
        <v>5.6678914239316152</v>
      </c>
      <c r="E79" s="76">
        <v>6.6173149894080092</v>
      </c>
      <c r="F79" s="341">
        <v>5.5</v>
      </c>
      <c r="H79" s="76">
        <v>5.4143917619608724</v>
      </c>
      <c r="I79" s="76">
        <v>7.5160998752887105</v>
      </c>
      <c r="J79" s="341">
        <v>5.5</v>
      </c>
      <c r="K79" s="67"/>
      <c r="L79" s="194">
        <v>0.77856725146198824</v>
      </c>
      <c r="M79" s="194">
        <v>0.74365858378870675</v>
      </c>
      <c r="N79" s="386">
        <v>1</v>
      </c>
    </row>
    <row r="83" spans="6:6">
      <c r="F83" s="315"/>
    </row>
  </sheetData>
  <mergeCells count="51">
    <mergeCell ref="M62:M63"/>
    <mergeCell ref="B68:F68"/>
    <mergeCell ref="G68:J68"/>
    <mergeCell ref="K68:N68"/>
    <mergeCell ref="G62:G63"/>
    <mergeCell ref="H62:H63"/>
    <mergeCell ref="I62:I63"/>
    <mergeCell ref="J62:J63"/>
    <mergeCell ref="K62:K63"/>
    <mergeCell ref="L62:L63"/>
    <mergeCell ref="F62:F63"/>
    <mergeCell ref="D57:E57"/>
    <mergeCell ref="B62:B63"/>
    <mergeCell ref="C62:C63"/>
    <mergeCell ref="D62:D63"/>
    <mergeCell ref="E62:E63"/>
    <mergeCell ref="B47:B56"/>
    <mergeCell ref="D47:E48"/>
    <mergeCell ref="J47:K47"/>
    <mergeCell ref="L48:N48"/>
    <mergeCell ref="D49:E50"/>
    <mergeCell ref="D51:E52"/>
    <mergeCell ref="D53:E54"/>
    <mergeCell ref="D55:E56"/>
    <mergeCell ref="I33:N33"/>
    <mergeCell ref="D34:E34"/>
    <mergeCell ref="B35:B46"/>
    <mergeCell ref="D35:E36"/>
    <mergeCell ref="D37:E38"/>
    <mergeCell ref="D39:E40"/>
    <mergeCell ref="D41:E42"/>
    <mergeCell ref="D43:E44"/>
    <mergeCell ref="D45:E4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7:B58">
    <cfRule type="cellIs" dxfId="237" priority="112" operator="notBetween">
      <formula>#REF!</formula>
      <formula>#REF!</formula>
    </cfRule>
  </conditionalFormatting>
  <conditionalFormatting sqref="C61">
    <cfRule type="cellIs" dxfId="236" priority="144" stopIfTrue="1" operator="greaterThan">
      <formula>100</formula>
    </cfRule>
    <cfRule type="cellIs" dxfId="235" priority="143" stopIfTrue="1" operator="lessThan">
      <formula>96</formula>
    </cfRule>
  </conditionalFormatting>
  <conditionalFormatting sqref="C70:C71">
    <cfRule type="cellIs" dxfId="234" priority="73" stopIfTrue="1" operator="lessThanOrEqual">
      <formula>0</formula>
    </cfRule>
  </conditionalFormatting>
  <conditionalFormatting sqref="C70:C74">
    <cfRule type="cellIs" dxfId="233" priority="72" stopIfTrue="1" operator="greaterThan">
      <formula>$F70</formula>
    </cfRule>
  </conditionalFormatting>
  <conditionalFormatting sqref="C71">
    <cfRule type="cellIs" dxfId="232" priority="147" stopIfTrue="1" operator="greaterThan">
      <formula>$F70</formula>
    </cfRule>
  </conditionalFormatting>
  <conditionalFormatting sqref="C72:C75">
    <cfRule type="cellIs" dxfId="231" priority="96" stopIfTrue="1" operator="lessThanOrEqual">
      <formula>0</formula>
    </cfRule>
  </conditionalFormatting>
  <conditionalFormatting sqref="C75">
    <cfRule type="cellIs" dxfId="230" priority="95" stopIfTrue="1" operator="greaterThan">
      <formula>$J75</formula>
    </cfRule>
  </conditionalFormatting>
  <conditionalFormatting sqref="C81:C85">
    <cfRule type="cellIs" dxfId="229" priority="135" stopIfTrue="1" operator="lessThanOrEqual">
      <formula>0</formula>
    </cfRule>
  </conditionalFormatting>
  <conditionalFormatting sqref="C82:C85">
    <cfRule type="cellIs" dxfId="228" priority="134" stopIfTrue="1" operator="greaterThan">
      <formula>$F$81</formula>
    </cfRule>
  </conditionalFormatting>
  <conditionalFormatting sqref="C87">
    <cfRule type="cellIs" dxfId="227" priority="136" stopIfTrue="1" operator="greaterThan">
      <formula>$F$81</formula>
    </cfRule>
    <cfRule type="cellIs" dxfId="226" priority="137" stopIfTrue="1" operator="lessThanOrEqual">
      <formula>0</formula>
    </cfRule>
  </conditionalFormatting>
  <conditionalFormatting sqref="C81:D81 D83:D89">
    <cfRule type="cellIs" dxfId="225" priority="129" stopIfTrue="1" operator="greaterThan">
      <formula>4.5</formula>
    </cfRule>
  </conditionalFormatting>
  <conditionalFormatting sqref="D57:D58">
    <cfRule type="cellIs" dxfId="224" priority="113" operator="notBetween">
      <formula>#REF!</formula>
      <formula>#REF!</formula>
    </cfRule>
  </conditionalFormatting>
  <conditionalFormatting sqref="D70:D77">
    <cfRule type="cellIs" dxfId="223" priority="106" stopIfTrue="1" operator="lessThanOrEqual">
      <formula>0</formula>
    </cfRule>
  </conditionalFormatting>
  <conditionalFormatting sqref="D78">
    <cfRule type="cellIs" dxfId="222" priority="105" stopIfTrue="1" operator="lessThanOrEqual">
      <formula>0</formula>
    </cfRule>
  </conditionalFormatting>
  <conditionalFormatting sqref="D81 D83:D89">
    <cfRule type="cellIs" dxfId="221" priority="130" stopIfTrue="1" operator="lessThanOrEqual">
      <formula>0</formula>
    </cfRule>
  </conditionalFormatting>
  <conditionalFormatting sqref="D82">
    <cfRule type="cellIs" dxfId="220" priority="122" stopIfTrue="1" operator="lessThanOrEqual">
      <formula>0</formula>
    </cfRule>
    <cfRule type="cellIs" dxfId="219" priority="121" stopIfTrue="1" operator="greaterThan">
      <formula>$F$81</formula>
    </cfRule>
  </conditionalFormatting>
  <conditionalFormatting sqref="D70:E79">
    <cfRule type="cellIs" dxfId="218" priority="69" stopIfTrue="1" operator="greaterThan">
      <formula>$F70</formula>
    </cfRule>
  </conditionalFormatting>
  <conditionalFormatting sqref="D79:E79">
    <cfRule type="cellIs" dxfId="217" priority="70" stopIfTrue="1" operator="lessThanOrEqual">
      <formula>0</formula>
    </cfRule>
  </conditionalFormatting>
  <conditionalFormatting sqref="E10:E32">
    <cfRule type="cellIs" dxfId="216" priority="30" operator="lessThan">
      <formula>48</formula>
    </cfRule>
  </conditionalFormatting>
  <conditionalFormatting sqref="E60 E61:F61">
    <cfRule type="cellIs" dxfId="215" priority="126" stopIfTrue="1" operator="greaterThan">
      <formula>100</formula>
    </cfRule>
  </conditionalFormatting>
  <conditionalFormatting sqref="E61">
    <cfRule type="cellIs" dxfId="214" priority="124" stopIfTrue="1" operator="greaterThan">
      <formula>100</formula>
    </cfRule>
    <cfRule type="cellIs" dxfId="213" priority="123" stopIfTrue="1" operator="lessThan">
      <formula>96.8</formula>
    </cfRule>
  </conditionalFormatting>
  <conditionalFormatting sqref="E70:E78">
    <cfRule type="cellIs" dxfId="212" priority="100" stopIfTrue="1" operator="lessThanOrEqual">
      <formula>0</formula>
    </cfRule>
  </conditionalFormatting>
  <conditionalFormatting sqref="E81:E89">
    <cfRule type="cellIs" dxfId="211" priority="116" stopIfTrue="1" operator="lessThanOrEqual">
      <formula>0</formula>
    </cfRule>
    <cfRule type="cellIs" dxfId="210" priority="115" stopIfTrue="1" operator="greaterThan">
      <formula>4.5</formula>
    </cfRule>
  </conditionalFormatting>
  <conditionalFormatting sqref="E61:F61 E60">
    <cfRule type="cellIs" dxfId="209" priority="125" stopIfTrue="1" operator="lessThan">
      <formula>96.5</formula>
    </cfRule>
  </conditionalFormatting>
  <conditionalFormatting sqref="F10:F32">
    <cfRule type="cellIs" dxfId="208" priority="31" operator="greaterThan">
      <formula>60</formula>
    </cfRule>
  </conditionalFormatting>
  <conditionalFormatting sqref="F61">
    <cfRule type="cellIs" dxfId="207" priority="141" stopIfTrue="1" operator="lessThan">
      <formula>96.8</formula>
    </cfRule>
    <cfRule type="cellIs" dxfId="206" priority="142" stopIfTrue="1" operator="greaterThan">
      <formula>100</formula>
    </cfRule>
  </conditionalFormatting>
  <conditionalFormatting sqref="F79">
    <cfRule type="cellIs" dxfId="205" priority="101" stopIfTrue="1" operator="greaterThan">
      <formula>$F79</formula>
    </cfRule>
    <cfRule type="cellIs" dxfId="204" priority="102" stopIfTrue="1" operator="lessThanOrEqual">
      <formula>0</formula>
    </cfRule>
  </conditionalFormatting>
  <conditionalFormatting sqref="G70:G71 C76:C78">
    <cfRule type="cellIs" dxfId="203" priority="108" stopIfTrue="1" operator="lessThanOrEqual">
      <formula>0</formula>
    </cfRule>
    <cfRule type="cellIs" dxfId="202" priority="107" stopIfTrue="1" operator="greaterThan">
      <formula>$F70</formula>
    </cfRule>
  </conditionalFormatting>
  <conditionalFormatting sqref="G70:G71">
    <cfRule type="cellIs" dxfId="201" priority="74" stopIfTrue="1" operator="greaterThan">
      <formula>$F70</formula>
    </cfRule>
    <cfRule type="cellIs" dxfId="200" priority="75" stopIfTrue="1" operator="lessThanOrEqual">
      <formula>0</formula>
    </cfRule>
  </conditionalFormatting>
  <conditionalFormatting sqref="G72">
    <cfRule type="cellIs" dxfId="199" priority="145" stopIfTrue="1" operator="greaterThan">
      <formula>$F71</formula>
    </cfRule>
    <cfRule type="cellIs" dxfId="198" priority="146" stopIfTrue="1" operator="lessThanOrEqual">
      <formula>0</formula>
    </cfRule>
  </conditionalFormatting>
  <conditionalFormatting sqref="G73">
    <cfRule type="cellIs" dxfId="197" priority="104" stopIfTrue="1" operator="lessThanOrEqual">
      <formula>0</formula>
    </cfRule>
    <cfRule type="cellIs" dxfId="196" priority="103" stopIfTrue="1" operator="greaterThan">
      <formula>$F73</formula>
    </cfRule>
  </conditionalFormatting>
  <conditionalFormatting sqref="G74:G78">
    <cfRule type="cellIs" dxfId="195" priority="109" stopIfTrue="1" operator="greaterThan">
      <formula>$J74</formula>
    </cfRule>
    <cfRule type="cellIs" dxfId="194" priority="110" stopIfTrue="1" operator="lessThanOrEqual">
      <formula>0</formula>
    </cfRule>
  </conditionalFormatting>
  <conditionalFormatting sqref="G83:G88 C86 C88">
    <cfRule type="cellIs" dxfId="193" priority="139" stopIfTrue="1" operator="lessThanOrEqual">
      <formula>0</formula>
    </cfRule>
    <cfRule type="cellIs" dxfId="192" priority="138" stopIfTrue="1" operator="greaterThan">
      <formula>4.5</formula>
    </cfRule>
  </conditionalFormatting>
  <conditionalFormatting sqref="G10:H29 G30:G32">
    <cfRule type="expression" dxfId="191" priority="29">
      <formula>IF(+(IF(G10&lt;#REF!,0,IF(G10&gt;#REF!,0,1)))=0,1)</formula>
    </cfRule>
  </conditionalFormatting>
  <conditionalFormatting sqref="G82:H82">
    <cfRule type="cellIs" dxfId="190" priority="119" stopIfTrue="1" operator="greaterThan">
      <formula>$F$81</formula>
    </cfRule>
    <cfRule type="cellIs" dxfId="189" priority="120" stopIfTrue="1" operator="lessThanOrEqual">
      <formula>0</formula>
    </cfRule>
  </conditionalFormatting>
  <conditionalFormatting sqref="H30:H32">
    <cfRule type="expression" dxfId="188" priority="32">
      <formula>IF(+(IF(H30&lt;T30,0,IF(H30&gt;U30,0,1)))=0,1)</formula>
    </cfRule>
  </conditionalFormatting>
  <conditionalFormatting sqref="H46:H60">
    <cfRule type="cellIs" dxfId="187" priority="117" stopIfTrue="1" operator="greaterThan">
      <formula>0</formula>
    </cfRule>
  </conditionalFormatting>
  <conditionalFormatting sqref="H64">
    <cfRule type="cellIs" dxfId="186" priority="2" stopIfTrue="1" operator="lessThanOrEqual">
      <formula>0</formula>
    </cfRule>
    <cfRule type="cellIs" dxfId="185" priority="3" stopIfTrue="1" operator="greaterThan">
      <formula>$F$69</formula>
    </cfRule>
    <cfRule type="cellIs" dxfId="184" priority="11" stopIfTrue="1" operator="greaterThan">
      <formula>$F$72</formula>
    </cfRule>
    <cfRule type="cellIs" dxfId="183" priority="12" stopIfTrue="1" operator="lessThanOrEqual">
      <formula>0</formula>
    </cfRule>
    <cfRule type="cellIs" dxfId="182" priority="13" stopIfTrue="1" operator="greaterThan">
      <formula>$F$70</formula>
    </cfRule>
    <cfRule type="cellIs" dxfId="181" priority="14" stopIfTrue="1" operator="lessThanOrEqual">
      <formula>0</formula>
    </cfRule>
  </conditionalFormatting>
  <conditionalFormatting sqref="H65:H66">
    <cfRule type="cellIs" dxfId="180" priority="51" stopIfTrue="1" operator="greaterThan">
      <formula>$F$48</formula>
    </cfRule>
    <cfRule type="cellIs" dxfId="179" priority="52" stopIfTrue="1" operator="lessThanOrEqual">
      <formula>0</formula>
    </cfRule>
    <cfRule type="cellIs" dxfId="178" priority="53" stopIfTrue="1" operator="greaterThan">
      <formula>$F$46</formula>
    </cfRule>
    <cfRule type="cellIs" dxfId="177" priority="42" stopIfTrue="1" operator="lessThanOrEqual">
      <formula>0</formula>
    </cfRule>
    <cfRule type="cellIs" dxfId="176" priority="43" stopIfTrue="1" operator="greaterThan">
      <formula>$F$45</formula>
    </cfRule>
    <cfRule type="cellIs" dxfId="175" priority="54" stopIfTrue="1" operator="lessThanOrEqual">
      <formula>0</formula>
    </cfRule>
  </conditionalFormatting>
  <conditionalFormatting sqref="H70:H77">
    <cfRule type="cellIs" dxfId="174" priority="94" stopIfTrue="1" operator="lessThanOrEqual">
      <formula>0</formula>
    </cfRule>
    <cfRule type="cellIs" dxfId="173" priority="93" stopIfTrue="1" operator="greaterThan">
      <formula>$J70</formula>
    </cfRule>
  </conditionalFormatting>
  <conditionalFormatting sqref="H78">
    <cfRule type="cellIs" dxfId="172" priority="97" operator="greaterThan">
      <formula>5.3</formula>
    </cfRule>
  </conditionalFormatting>
  <conditionalFormatting sqref="H81 H83:H89">
    <cfRule type="cellIs" dxfId="171" priority="132" stopIfTrue="1" operator="lessThanOrEqual">
      <formula>0</formula>
    </cfRule>
    <cfRule type="cellIs" dxfId="170" priority="131" stopIfTrue="1" operator="greaterThan">
      <formula>4.5</formula>
    </cfRule>
  </conditionalFormatting>
  <conditionalFormatting sqref="H64:I64">
    <cfRule type="cellIs" dxfId="169" priority="4" stopIfTrue="1" operator="lessThanOrEqual">
      <formula>0</formula>
    </cfRule>
    <cfRule type="cellIs" dxfId="168" priority="1" stopIfTrue="1" operator="greaterThan">
      <formula>$F$71</formula>
    </cfRule>
  </conditionalFormatting>
  <conditionalFormatting sqref="H65:I66">
    <cfRule type="cellIs" dxfId="167" priority="41" stopIfTrue="1" operator="greaterThan">
      <formula>$F$47</formula>
    </cfRule>
    <cfRule type="cellIs" dxfId="166" priority="44" stopIfTrue="1" operator="lessThanOrEqual">
      <formula>0</formula>
    </cfRule>
  </conditionalFormatting>
  <conditionalFormatting sqref="H79:I79">
    <cfRule type="cellIs" dxfId="165" priority="68" stopIfTrue="1" operator="lessThanOrEqual">
      <formula>0</formula>
    </cfRule>
    <cfRule type="cellIs" dxfId="164" priority="67" stopIfTrue="1" operator="greaterThan">
      <formula>$J79</formula>
    </cfRule>
  </conditionalFormatting>
  <conditionalFormatting sqref="I64">
    <cfRule type="cellIs" dxfId="163" priority="5" stopIfTrue="1" operator="greaterThan">
      <formula>$F$69</formula>
    </cfRule>
    <cfRule type="cellIs" dxfId="162" priority="6" stopIfTrue="1" operator="lessThanOrEqual">
      <formula>0</formula>
    </cfRule>
    <cfRule type="cellIs" dxfId="161" priority="7" stopIfTrue="1" operator="greaterThan">
      <formula>$F$71</formula>
    </cfRule>
    <cfRule type="cellIs" dxfId="160" priority="8" stopIfTrue="1" operator="lessThanOrEqual">
      <formula>0</formula>
    </cfRule>
    <cfRule type="cellIs" dxfId="159" priority="9" stopIfTrue="1" operator="greaterThan">
      <formula>$F$69</formula>
    </cfRule>
    <cfRule type="cellIs" dxfId="158" priority="10" stopIfTrue="1" operator="lessThanOrEqual">
      <formula>0</formula>
    </cfRule>
  </conditionalFormatting>
  <conditionalFormatting sqref="I65:I66">
    <cfRule type="cellIs" dxfId="157" priority="48" stopIfTrue="1" operator="lessThanOrEqual">
      <formula>0</formula>
    </cfRule>
    <cfRule type="cellIs" dxfId="156" priority="47" stopIfTrue="1" operator="greaterThan">
      <formula>$F$47</formula>
    </cfRule>
    <cfRule type="cellIs" dxfId="155" priority="46" stopIfTrue="1" operator="lessThanOrEqual">
      <formula>0</formula>
    </cfRule>
    <cfRule type="cellIs" dxfId="154" priority="45" stopIfTrue="1" operator="greaterThan">
      <formula>$F$45</formula>
    </cfRule>
    <cfRule type="cellIs" dxfId="153" priority="50" stopIfTrue="1" operator="lessThanOrEqual">
      <formula>0</formula>
    </cfRule>
    <cfRule type="cellIs" dxfId="152" priority="49" stopIfTrue="1" operator="greaterThan">
      <formula>$F$45</formula>
    </cfRule>
  </conditionalFormatting>
  <conditionalFormatting sqref="I70:I78">
    <cfRule type="cellIs" dxfId="151" priority="98" stopIfTrue="1" operator="greaterThan">
      <formula>$J70</formula>
    </cfRule>
    <cfRule type="cellIs" dxfId="150" priority="99" stopIfTrue="1" operator="lessThanOrEqual">
      <formula>0</formula>
    </cfRule>
  </conditionalFormatting>
  <conditionalFormatting sqref="I81:I89">
    <cfRule type="cellIs" dxfId="149" priority="127" stopIfTrue="1" operator="greaterThan">
      <formula>4.5</formula>
    </cfRule>
    <cfRule type="cellIs" dxfId="148" priority="128" stopIfTrue="1" operator="lessThanOrEqual">
      <formula>0</formula>
    </cfRule>
  </conditionalFormatting>
  <conditionalFormatting sqref="I10:J29 I30:I32">
    <cfRule type="cellIs" dxfId="147" priority="40" operator="lessThan">
      <formula>97.9</formula>
    </cfRule>
  </conditionalFormatting>
  <conditionalFormatting sqref="J35:J37">
    <cfRule type="cellIs" dxfId="146" priority="57" stopIfTrue="1" operator="lessThan">
      <formula>96.8</formula>
    </cfRule>
    <cfRule type="cellIs" dxfId="145" priority="58" stopIfTrue="1" operator="greaterThan">
      <formula>100</formula>
    </cfRule>
    <cfRule type="cellIs" dxfId="144" priority="59" operator="lessThan">
      <formula>98</formula>
    </cfRule>
  </conditionalFormatting>
  <conditionalFormatting sqref="J35:J39">
    <cfRule type="cellIs" dxfId="143" priority="56" operator="lessThan">
      <formula>97.4</formula>
    </cfRule>
  </conditionalFormatting>
  <conditionalFormatting sqref="J40">
    <cfRule type="cellIs" dxfId="142" priority="60" operator="lessThan">
      <formula>98</formula>
    </cfRule>
  </conditionalFormatting>
  <conditionalFormatting sqref="J41:J43">
    <cfRule type="cellIs" dxfId="141" priority="61" stopIfTrue="1" operator="lessThan">
      <formula>96.8</formula>
    </cfRule>
    <cfRule type="cellIs" dxfId="140" priority="62" stopIfTrue="1" operator="greaterThan">
      <formula>100</formula>
    </cfRule>
  </conditionalFormatting>
  <conditionalFormatting sqref="J41:J44">
    <cfRule type="cellIs" dxfId="139" priority="63" operator="lessThan">
      <formula>98</formula>
    </cfRule>
  </conditionalFormatting>
  <conditionalFormatting sqref="J79">
    <cfRule type="cellIs" dxfId="138" priority="65" stopIfTrue="1" operator="lessThanOrEqual">
      <formula>0</formula>
    </cfRule>
    <cfRule type="cellIs" dxfId="137" priority="64" stopIfTrue="1" operator="greaterThan">
      <formula>$F79</formula>
    </cfRule>
  </conditionalFormatting>
  <conditionalFormatting sqref="K10:K29 J30:J32">
    <cfRule type="cellIs" dxfId="136" priority="39" operator="greaterThan">
      <formula>6.4</formula>
    </cfRule>
    <cfRule type="cellIs" dxfId="135" priority="36" operator="lessThan">
      <formula>4</formula>
    </cfRule>
    <cfRule type="cellIs" dxfId="134" priority="35" operator="greaterThan">
      <formula>6</formula>
    </cfRule>
  </conditionalFormatting>
  <conditionalFormatting sqref="K49:K58">
    <cfRule type="cellIs" dxfId="133" priority="55" operator="notEqual">
      <formula>#REF!</formula>
    </cfRule>
  </conditionalFormatting>
  <conditionalFormatting sqref="K64:K66 K70:N73 L74:N74">
    <cfRule type="cellIs" dxfId="132" priority="111" stopIfTrue="1" operator="lessThan">
      <formula>100%</formula>
    </cfRule>
  </conditionalFormatting>
  <conditionalFormatting sqref="K81:K86">
    <cfRule type="cellIs" dxfId="131" priority="133" stopIfTrue="1" operator="lessThan">
      <formula>100%</formula>
    </cfRule>
  </conditionalFormatting>
  <conditionalFormatting sqref="K88:K89">
    <cfRule type="cellIs" dxfId="130" priority="140" stopIfTrue="1" operator="lessThan">
      <formula>100%</formula>
    </cfRule>
  </conditionalFormatting>
  <conditionalFormatting sqref="K75:N79">
    <cfRule type="cellIs" dxfId="129" priority="66" stopIfTrue="1" operator="lessThan">
      <formula>100%</formula>
    </cfRule>
  </conditionalFormatting>
  <conditionalFormatting sqref="L10:M18 L19:L29 K30:K32">
    <cfRule type="cellIs" dxfId="128" priority="37" operator="between">
      <formula>61</formula>
      <formula>65</formula>
    </cfRule>
    <cfRule type="cellIs" dxfId="127" priority="38" operator="greaterThan">
      <formula>65</formula>
    </cfRule>
  </conditionalFormatting>
  <conditionalFormatting sqref="L35:M46">
    <cfRule type="cellIs" dxfId="126" priority="71" operator="lessThan">
      <formula>98</formula>
    </cfRule>
  </conditionalFormatting>
  <conditionalFormatting sqref="L50:N50">
    <cfRule type="cellIs" dxfId="125" priority="76" operator="notEqual">
      <formula>#REF!</formula>
    </cfRule>
  </conditionalFormatting>
  <conditionalFormatting sqref="L81:N89">
    <cfRule type="cellIs" dxfId="124" priority="118" stopIfTrue="1" operator="lessThan">
      <formula>100%</formula>
    </cfRule>
  </conditionalFormatting>
  <conditionalFormatting sqref="M10:M29 L30:M32">
    <cfRule type="expression" dxfId="123" priority="34">
      <formula>IF(+(IF(L10&lt;T10,0,IF(L10&gt;U10,0,1)))=0,1)</formula>
    </cfRule>
  </conditionalFormatting>
  <conditionalFormatting sqref="M6:N6">
    <cfRule type="cellIs" dxfId="122" priority="78" operator="greaterThanOrEqual">
      <formula>19</formula>
    </cfRule>
    <cfRule type="cellIs" dxfId="121" priority="77" operator="greaterThanOrEqual">
      <formula>15</formula>
    </cfRule>
  </conditionalFormatting>
  <conditionalFormatting sqref="N10:N32">
    <cfRule type="expression" dxfId="120" priority="33">
      <formula>IF(+(IF(N10&lt;W10,0,IF(N10&gt;X10,0,1)))=0,1)</formula>
    </cfRule>
  </conditionalFormatting>
  <conditionalFormatting sqref="P6">
    <cfRule type="cellIs" dxfId="119" priority="114" operator="greaterThanOrEqual">
      <formula>19</formula>
    </cfRule>
  </conditionalFormatting>
  <dataValidations count="1">
    <dataValidation type="list" allowBlank="1" showInputMessage="1" showErrorMessage="1" sqref="R8" xr:uid="{BF841D43-C75A-48E7-ACE1-9EA4714569F4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48CA-DD20-4920-8672-6D866CB006F6}">
  <sheetPr>
    <pageSetUpPr fitToPage="1"/>
  </sheetPr>
  <dimension ref="A1:BE83"/>
  <sheetViews>
    <sheetView tabSelected="1" topLeftCell="A9" zoomScale="60" zoomScaleNormal="60" workbookViewId="0">
      <selection activeCell="G54" sqref="G54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9" style="275" customWidth="1"/>
    <col min="4" max="4" width="15.33203125" style="275" customWidth="1"/>
    <col min="5" max="5" width="15.109375" style="275" customWidth="1"/>
    <col min="6" max="6" width="16.6640625" style="275" customWidth="1"/>
    <col min="7" max="7" width="22.5546875" style="275" customWidth="1"/>
    <col min="8" max="8" width="23.109375" style="275" customWidth="1"/>
    <col min="9" max="9" width="17.5546875" style="275" customWidth="1"/>
    <col min="10" max="10" width="45.44140625" style="275" customWidth="1"/>
    <col min="11" max="11" width="25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11" t="s">
        <v>0</v>
      </c>
      <c r="T1" s="511"/>
      <c r="U1" s="511" t="s">
        <v>1</v>
      </c>
      <c r="V1" s="511"/>
      <c r="W1" s="511" t="s">
        <v>2</v>
      </c>
      <c r="X1" s="511"/>
      <c r="Y1" s="511" t="s">
        <v>124</v>
      </c>
      <c r="Z1" s="511"/>
    </row>
    <row r="2" spans="2:29" ht="14.4">
      <c r="B2" s="512" t="s">
        <v>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46">
        <v>45778</v>
      </c>
      <c r="J4" s="399" t="s">
        <v>207</v>
      </c>
      <c r="K4" s="399"/>
      <c r="L4" s="11"/>
      <c r="M4" s="533" t="s">
        <v>8</v>
      </c>
      <c r="N4" s="534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30"/>
      <c r="D5" s="530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206</v>
      </c>
      <c r="K6" s="401"/>
      <c r="L6" s="311" t="s">
        <v>14</v>
      </c>
      <c r="M6" s="340">
        <v>12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70" t="s">
        <v>17</v>
      </c>
      <c r="C8" s="480" t="s">
        <v>18</v>
      </c>
      <c r="D8" s="480" t="s">
        <v>19</v>
      </c>
      <c r="E8" s="356" t="s">
        <v>20</v>
      </c>
      <c r="F8" s="356" t="s">
        <v>21</v>
      </c>
      <c r="G8" s="480" t="s">
        <v>22</v>
      </c>
      <c r="H8" s="521" t="s">
        <v>144</v>
      </c>
      <c r="I8" s="480" t="s">
        <v>173</v>
      </c>
      <c r="J8" s="523" t="s">
        <v>23</v>
      </c>
      <c r="K8" s="525" t="s">
        <v>142</v>
      </c>
      <c r="L8" s="527" t="s">
        <v>24</v>
      </c>
      <c r="M8" s="359" t="s">
        <v>25</v>
      </c>
      <c r="N8" s="17" t="s">
        <v>26</v>
      </c>
      <c r="O8" s="474" t="s">
        <v>155</v>
      </c>
      <c r="P8" s="554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19"/>
      <c r="C9" s="520"/>
      <c r="D9" s="520"/>
      <c r="E9" s="357" t="s">
        <v>30</v>
      </c>
      <c r="F9" s="357" t="s">
        <v>31</v>
      </c>
      <c r="G9" s="520"/>
      <c r="H9" s="522"/>
      <c r="I9" s="520"/>
      <c r="J9" s="524"/>
      <c r="K9" s="526"/>
      <c r="L9" s="528"/>
      <c r="M9" s="20" t="s">
        <v>32</v>
      </c>
      <c r="N9" s="21" t="s">
        <v>41</v>
      </c>
      <c r="O9" s="555"/>
      <c r="P9" s="55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33"/>
      <c r="C10" s="366"/>
      <c r="D10" s="279"/>
      <c r="E10" s="279"/>
      <c r="F10" s="278"/>
      <c r="G10" s="279"/>
      <c r="H10" s="396"/>
      <c r="I10" s="434"/>
      <c r="J10" s="434"/>
      <c r="K10" s="398"/>
      <c r="L10" s="276"/>
      <c r="M10" s="374"/>
      <c r="N10" s="370"/>
      <c r="O10" s="435"/>
      <c r="P10" s="339"/>
      <c r="R10" s="277">
        <f t="shared" ref="R10:R33" si="0">B10</f>
        <v>0</v>
      </c>
      <c r="S10" s="296" t="e">
        <f t="shared" ref="S10:S33" si="1">VLOOKUP($B10,$R$3:$X$9,2,FALSE)</f>
        <v>#N/A</v>
      </c>
      <c r="T10" s="296" t="e">
        <f t="shared" ref="T10:T33" si="2">VLOOKUP($B10,$R$3:$X$9,3,FALSE)</f>
        <v>#N/A</v>
      </c>
      <c r="U10" s="297" t="e">
        <f t="shared" ref="U10:U33" si="3">VLOOKUP($B10,$R$3:$X$9,4,FALSE)</f>
        <v>#N/A</v>
      </c>
      <c r="V10" s="297" t="e">
        <f t="shared" ref="V10:V33" si="4">VLOOKUP($B10,$R$3:$X$9,5,FALSE)</f>
        <v>#N/A</v>
      </c>
      <c r="W10" s="297" t="e">
        <f t="shared" ref="W10:W33" si="5">VLOOKUP($B10,$R$3:$X$9,6,FALSE)</f>
        <v>#N/A</v>
      </c>
      <c r="X10" s="297" t="e">
        <f t="shared" ref="X10:X33" si="6">VLOOKUP($B10,$R$3:$X$9,7,FALSE)</f>
        <v>#N/A</v>
      </c>
      <c r="Y10" s="297" t="e">
        <f t="shared" ref="Y10:Y33" si="7">VLOOKUP($B10,$R$3:$Z$9,8,FALSE)</f>
        <v>#N/A</v>
      </c>
      <c r="Z10" s="296" t="e">
        <f t="shared" ref="Z10:Z33" si="8">VLOOKUP($B10,$R$3:$Z$9,9,FALSE)</f>
        <v>#N/A</v>
      </c>
    </row>
    <row r="11" spans="2:29" ht="14.4">
      <c r="B11" s="33"/>
      <c r="C11" s="366"/>
      <c r="D11" s="279"/>
      <c r="E11" s="279"/>
      <c r="F11" s="278"/>
      <c r="G11" s="279"/>
      <c r="H11" s="396"/>
      <c r="I11" s="434"/>
      <c r="J11" s="434"/>
      <c r="K11" s="398"/>
      <c r="L11" s="276"/>
      <c r="M11" s="374"/>
      <c r="N11" s="370"/>
      <c r="O11" s="435"/>
      <c r="P11" s="33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4.4">
      <c r="B12" s="33"/>
      <c r="C12" s="366"/>
      <c r="D12" s="279"/>
      <c r="E12" s="279"/>
      <c r="F12" s="278"/>
      <c r="G12" s="279"/>
      <c r="H12" s="396"/>
      <c r="I12" s="434"/>
      <c r="J12" s="434"/>
      <c r="K12" s="398"/>
      <c r="L12" s="276"/>
      <c r="M12" s="374"/>
      <c r="N12" s="370"/>
      <c r="O12" s="435"/>
      <c r="P12" s="33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4.4">
      <c r="B13" s="33"/>
      <c r="C13" s="366"/>
      <c r="D13" s="279"/>
      <c r="E13" s="279"/>
      <c r="F13" s="278"/>
      <c r="G13" s="279"/>
      <c r="H13" s="396"/>
      <c r="I13" s="434"/>
      <c r="J13" s="434"/>
      <c r="K13" s="398"/>
      <c r="L13" s="276"/>
      <c r="M13" s="374"/>
      <c r="N13" s="370"/>
      <c r="O13" s="435"/>
      <c r="P13" s="33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34"/>
      <c r="J14" s="434"/>
      <c r="K14" s="398"/>
      <c r="L14" s="276"/>
      <c r="M14" s="374"/>
      <c r="N14" s="370"/>
      <c r="O14" s="435"/>
      <c r="P14" s="443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33"/>
      <c r="C15" s="366"/>
      <c r="D15" s="279"/>
      <c r="E15" s="279"/>
      <c r="F15" s="278"/>
      <c r="G15" s="279"/>
      <c r="H15" s="396"/>
      <c r="I15" s="434"/>
      <c r="J15" s="434"/>
      <c r="K15" s="398"/>
      <c r="L15" s="276"/>
      <c r="M15" s="374"/>
      <c r="N15" s="370"/>
      <c r="O15" s="435"/>
      <c r="P15" s="443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33"/>
      <c r="C16" s="366"/>
      <c r="D16" s="279"/>
      <c r="E16" s="279"/>
      <c r="F16" s="278"/>
      <c r="G16" s="279"/>
      <c r="H16" s="396"/>
      <c r="I16" s="434"/>
      <c r="J16" s="434"/>
      <c r="K16" s="398"/>
      <c r="L16" s="276"/>
      <c r="M16" s="374"/>
      <c r="N16" s="370"/>
      <c r="O16" s="435"/>
      <c r="P16" s="443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33"/>
      <c r="C17" s="366"/>
      <c r="D17" s="279"/>
      <c r="E17" s="279"/>
      <c r="F17" s="278"/>
      <c r="G17" s="279"/>
      <c r="H17" s="396"/>
      <c r="I17" s="434"/>
      <c r="J17" s="434"/>
      <c r="K17" s="398"/>
      <c r="L17" s="276"/>
      <c r="M17" s="374"/>
      <c r="N17" s="370"/>
      <c r="O17" s="435"/>
      <c r="P17" s="443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33"/>
      <c r="C18" s="366"/>
      <c r="D18" s="279"/>
      <c r="E18" s="279"/>
      <c r="F18" s="278"/>
      <c r="G18" s="279"/>
      <c r="H18" s="396"/>
      <c r="I18" s="434"/>
      <c r="J18" s="434"/>
      <c r="K18" s="398"/>
      <c r="L18" s="276"/>
      <c r="M18" s="374"/>
      <c r="N18" s="370"/>
      <c r="O18" s="435"/>
      <c r="P18" s="443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3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4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4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43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4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43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43"/>
      <c r="R26" s="277"/>
      <c r="S26" s="296"/>
      <c r="T26" s="296"/>
      <c r="U26" s="297"/>
      <c r="V26" s="297"/>
      <c r="W26" s="297"/>
      <c r="X26" s="297"/>
      <c r="Y26" s="297"/>
      <c r="Z26" s="296"/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43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43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43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3"/>
      <c r="C30" s="366"/>
      <c r="D30" s="279"/>
      <c r="E30" s="279"/>
      <c r="F30" s="278"/>
      <c r="G30" s="279"/>
      <c r="H30" s="396"/>
      <c r="I30" s="434"/>
      <c r="J30" s="398"/>
      <c r="K30" s="276"/>
      <c r="L30" s="374"/>
      <c r="M30" s="397"/>
      <c r="N30" s="370"/>
      <c r="O30" s="371"/>
      <c r="P30" s="443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3"/>
      <c r="C31" s="366"/>
      <c r="D31" s="279"/>
      <c r="E31" s="279"/>
      <c r="F31" s="278"/>
      <c r="G31" s="279"/>
      <c r="H31" s="396"/>
      <c r="I31" s="434"/>
      <c r="J31" s="398"/>
      <c r="K31" s="276"/>
      <c r="L31" s="374"/>
      <c r="M31" s="397"/>
      <c r="N31" s="370"/>
      <c r="O31" s="371"/>
      <c r="P31" s="443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33"/>
      <c r="C32" s="366"/>
      <c r="D32" s="279"/>
      <c r="E32" s="279"/>
      <c r="F32" s="278"/>
      <c r="G32" s="279"/>
      <c r="H32" s="396"/>
      <c r="I32" s="434"/>
      <c r="J32" s="398"/>
      <c r="K32" s="276"/>
      <c r="L32" s="374"/>
      <c r="M32" s="397"/>
      <c r="N32" s="370"/>
      <c r="O32" s="371"/>
      <c r="P32" s="443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customHeight="1" thickBot="1">
      <c r="B33" s="358"/>
      <c r="C33" s="358"/>
      <c r="D33" s="358"/>
      <c r="E33" s="358"/>
      <c r="F33" s="294"/>
      <c r="G33" s="294"/>
      <c r="H33" s="348"/>
      <c r="I33" s="500" t="s">
        <v>34</v>
      </c>
      <c r="J33" s="500"/>
      <c r="K33" s="500"/>
      <c r="L33" s="500"/>
      <c r="M33" s="500"/>
      <c r="N33" s="500"/>
      <c r="O33" s="1"/>
      <c r="P33" s="12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" thickBot="1">
      <c r="B34" s="388" t="s">
        <v>145</v>
      </c>
      <c r="C34" s="388"/>
      <c r="D34" s="513" t="s">
        <v>35</v>
      </c>
      <c r="E34" s="514"/>
      <c r="F34" s="294"/>
      <c r="G34" s="294"/>
      <c r="H34" s="348"/>
      <c r="I34" s="24" t="s">
        <v>17</v>
      </c>
      <c r="J34" s="25" t="s">
        <v>36</v>
      </c>
      <c r="K34" s="26" t="s">
        <v>138</v>
      </c>
      <c r="L34" s="25" t="s">
        <v>37</v>
      </c>
      <c r="M34" s="25" t="s">
        <v>38</v>
      </c>
      <c r="N34" s="27" t="s">
        <v>39</v>
      </c>
      <c r="O34" s="294"/>
      <c r="P34" s="12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5" customHeight="1">
      <c r="A35" s="28"/>
      <c r="B35" s="539" t="str">
        <f>I35</f>
        <v>CARIB</v>
      </c>
      <c r="C35" s="362" cm="1">
        <f t="array" ref="C35:C38">[23]Process!$D$373:$D$376</f>
        <v>12.03</v>
      </c>
      <c r="D35" s="504">
        <v>11.98</v>
      </c>
      <c r="E35" s="493"/>
      <c r="F35" s="294"/>
      <c r="G35" s="294"/>
      <c r="H35" s="348"/>
      <c r="I35" s="29" t="s">
        <v>6</v>
      </c>
      <c r="J35" s="280"/>
      <c r="K35" s="284">
        <f>COUNTA([23]Brewhouse!$A$341:$A$406)</f>
        <v>66</v>
      </c>
      <c r="L35" s="302">
        <f>AVERAGE([23]Brewhouse!$AU$341:$AU$346,[23]Brewhouse!$AU$348,[23]Brewhouse!$AU$349:$AU$406)</f>
        <v>99.603254316701623</v>
      </c>
      <c r="M35" s="302">
        <f>AVERAGE([23]Brewhouse!$AU$102:$AU$171,[23]Brewhouse!$AU$173:$AU$253,[23]Brewhouse!$AU$255:$AU$339,[23]Brewhouse!$AU$341:$AU$346,[23]Brewhouse!$AU$348,[23]Brewhouse!$AU$349:$AU$406)</f>
        <v>97.396136213531847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5" customHeight="1">
      <c r="A36" s="28"/>
      <c r="B36" s="540"/>
      <c r="C36" s="349">
        <v>11.81</v>
      </c>
      <c r="D36" s="505"/>
      <c r="E36" s="488"/>
      <c r="F36" s="294"/>
      <c r="G36" s="294"/>
      <c r="H36" s="348"/>
      <c r="I36" s="33" t="s">
        <v>9</v>
      </c>
      <c r="J36" s="280"/>
      <c r="K36" s="284">
        <f>COUNTA([24]Brewhouse!$A$142:$A$193)</f>
        <v>52</v>
      </c>
      <c r="L36" s="302">
        <f>AVERAGE([24]Brewhouse!$AS$142:$AS$193)</f>
        <v>99.222034286342335</v>
      </c>
      <c r="M36" s="302">
        <f>AVERAGE([24]Brewhouse!$AS$15:$AS$64,[24]Brewhouse!$AS$66:$AS$103,[24]Brewhouse!$AS$105:$AS$140,[24]Brewhouse!$AS$142:$AS$193)</f>
        <v>97.449063702526615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7" customHeight="1">
      <c r="A37" s="28"/>
      <c r="B37" s="540"/>
      <c r="C37" s="349">
        <v>11.82</v>
      </c>
      <c r="D37" s="504">
        <v>12.08</v>
      </c>
      <c r="E37" s="493"/>
      <c r="F37" s="294"/>
      <c r="G37" s="294"/>
      <c r="H37" s="348"/>
      <c r="I37" s="34" t="s">
        <v>12</v>
      </c>
      <c r="J37" s="280"/>
      <c r="K37" s="284">
        <f>COUNTA([22]Brewhouse!$A$37:$A$45)</f>
        <v>9</v>
      </c>
      <c r="L37" s="302">
        <f>AVERAGE([22]Brewhouse!$AU$37:$AU$45)</f>
        <v>98.090293320814979</v>
      </c>
      <c r="M37" s="302">
        <f>AVERAGE([22]Brewhouse!$AU$4:$AU$7,[22]Brewhouse!$AU$9:$AU$22,[22]Brewhouse!$AU$24:$AU$35,[22]Brewhouse!$AU$37:$AU$45)</f>
        <v>97.086748546217066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540"/>
      <c r="C38" s="349">
        <v>11.83</v>
      </c>
      <c r="D38" s="505"/>
      <c r="E38" s="488"/>
      <c r="F38" s="294"/>
      <c r="G38" s="294"/>
      <c r="H38" s="348"/>
      <c r="I38" s="22" t="s">
        <v>33</v>
      </c>
      <c r="J38" s="280"/>
      <c r="K38" s="284">
        <f>COUNTA([25]Brewhouse!$A$26:$A$33)</f>
        <v>8</v>
      </c>
      <c r="L38" s="302">
        <f>AVERAGE([25]Brewhouse!$AV$26:$AV$33)</f>
        <v>99.61038006330628</v>
      </c>
      <c r="M38" s="302">
        <f>AVERAGE([25]Brewhouse!$AV$5:$AV$14,[25]Brewhouse!$AV$16:$AV$19,[25]Brewhouse!$AV$21:$AV$24,[25]Brewhouse!$AV$26:$AV$33)</f>
        <v>98.921974778040592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7" customHeight="1">
      <c r="A39" s="28"/>
      <c r="B39" s="540"/>
      <c r="C39" s="349"/>
      <c r="D39" s="504"/>
      <c r="E39" s="493"/>
      <c r="F39" s="436"/>
      <c r="G39" s="294"/>
      <c r="H39" s="348"/>
      <c r="I39" s="35" t="s">
        <v>29</v>
      </c>
      <c r="J39" s="280"/>
      <c r="K39" s="284"/>
      <c r="L39" s="302"/>
      <c r="M39" s="302"/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7" customHeight="1">
      <c r="A40" s="28"/>
      <c r="B40" s="540"/>
      <c r="C40" s="349"/>
      <c r="D40" s="505"/>
      <c r="E40" s="488"/>
      <c r="F40" s="436"/>
      <c r="G40" s="294"/>
      <c r="H40" s="348"/>
      <c r="I40" s="36" t="s">
        <v>15</v>
      </c>
      <c r="J40" s="323"/>
      <c r="K40" s="284">
        <f>COUNTA([26]Brewhouse!$A$13:$A$16)</f>
        <v>4</v>
      </c>
      <c r="L40" s="302">
        <f>AVERAGE([26]Brewhouse!$AT$13:$AT$16)</f>
        <v>95.870696554126312</v>
      </c>
      <c r="M40" s="302">
        <f>AVERAGE([26]Brewhouse!$AT$4:$AT$11,[26]Brewhouse!$AT$13:$AT$16)</f>
        <v>95.165309917257005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7" customHeight="1">
      <c r="A41" s="28"/>
      <c r="B41" s="540"/>
      <c r="C41" s="349"/>
      <c r="D41" s="504"/>
      <c r="E41" s="493"/>
      <c r="F41" s="436"/>
      <c r="G41" s="294"/>
      <c r="H41" s="348"/>
      <c r="I41" s="37" t="s">
        <v>16</v>
      </c>
      <c r="J41" s="323"/>
      <c r="K41" s="284">
        <f>COUNTA([27]Brewhouse!$A$31:$A$34)</f>
        <v>4</v>
      </c>
      <c r="L41" s="302">
        <f>AVERAGE([27]Brewhouse!$AY$31:$AY$34)</f>
        <v>98.653228650224236</v>
      </c>
      <c r="M41" s="302">
        <f>AVERAGE([27]Brewhouse!$AY$6:$AY$13,[27]Brewhouse!$AY$15:$AY$20,[27]Brewhouse!$AY$22:$AY$29,[27]Brewhouse!$AY$31:$AY$34)</f>
        <v>96.120888038911147</v>
      </c>
      <c r="N41" s="30">
        <v>98</v>
      </c>
      <c r="O41" s="11"/>
      <c r="P41" s="31" t="s">
        <v>41</v>
      </c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540"/>
      <c r="C42" s="349"/>
      <c r="D42" s="505"/>
      <c r="E42" s="488"/>
      <c r="F42" s="294"/>
      <c r="G42" s="294"/>
      <c r="H42" s="348"/>
      <c r="I42" s="412" t="s">
        <v>158</v>
      </c>
      <c r="J42" s="326"/>
      <c r="K42" s="284"/>
      <c r="L42" s="305"/>
      <c r="M42" s="305">
        <f>AVERAGE([28]Brewhouse!$AU$5:$AU$8)</f>
        <v>91.006888337619571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540"/>
      <c r="C43" s="349"/>
      <c r="D43" s="504"/>
      <c r="E43" s="493"/>
      <c r="F43" s="294"/>
      <c r="G43" s="294"/>
      <c r="H43" s="348"/>
      <c r="I43" s="411" t="s">
        <v>157</v>
      </c>
      <c r="J43" s="326"/>
      <c r="K43" s="284"/>
      <c r="L43" s="305"/>
      <c r="M43" s="305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540"/>
      <c r="C44" s="349"/>
      <c r="D44" s="505"/>
      <c r="E44" s="488"/>
      <c r="F44" s="294"/>
      <c r="G44" s="294"/>
      <c r="H44" s="348"/>
      <c r="I44" s="407" t="s">
        <v>156</v>
      </c>
      <c r="J44" s="327"/>
      <c r="K44" s="408"/>
      <c r="L44" s="409"/>
      <c r="M44" s="409"/>
      <c r="N44" s="41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540"/>
      <c r="C45" s="349"/>
      <c r="D45" s="504"/>
      <c r="E45" s="493"/>
      <c r="F45" s="294"/>
      <c r="G45" s="294"/>
      <c r="H45" s="348"/>
      <c r="I45" s="1"/>
      <c r="J45" s="39"/>
      <c r="K45" s="405">
        <f>SUM(K35:K44)</f>
        <v>143</v>
      </c>
      <c r="L45" s="406">
        <f>((L35*K35)+(L36*K36)+(L37*K37)+(L38*K38)+(L39*K39)+(K42*L42)+(L40*K40)+(L41*K41)+(L44*K44))/(K45)</f>
        <v>99.238824818204876</v>
      </c>
      <c r="M45" s="406">
        <f>AVERAGE('[29]Jan 31st'!$L$65,'[30]Feb 28th'!$L$35,'[31]Mar. 31st'!$L$35,L45)</f>
        <v>97.351010322359542</v>
      </c>
      <c r="N45" s="4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thickBot="1">
      <c r="B46" s="553"/>
      <c r="C46" s="350"/>
      <c r="D46" s="505"/>
      <c r="E46" s="488"/>
      <c r="F46" s="294"/>
      <c r="G46" s="42"/>
      <c r="H46" s="41"/>
      <c r="I46" s="42"/>
      <c r="J46" s="42"/>
      <c r="K46" s="351"/>
      <c r="L46" s="348"/>
      <c r="M46" s="348"/>
      <c r="N46" s="11"/>
      <c r="O46" s="294"/>
      <c r="P46" s="12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67" t="str">
        <f>I37</f>
        <v>GUINNESS</v>
      </c>
      <c r="C47" s="362" cm="1">
        <f t="array" ref="C47:C48">[22]Process!$D$52:$D$53</f>
        <v>17.5</v>
      </c>
      <c r="D47" s="485">
        <v>17.7</v>
      </c>
      <c r="E47" s="486"/>
      <c r="F47" s="294"/>
      <c r="G47" s="42"/>
      <c r="H47" s="41"/>
      <c r="I47" s="42"/>
      <c r="J47" s="538" t="s">
        <v>129</v>
      </c>
      <c r="K47" s="538"/>
      <c r="L47" s="294"/>
      <c r="M47" s="294"/>
      <c r="N47" s="294"/>
      <c r="O47" s="294"/>
      <c r="P47" s="12"/>
    </row>
    <row r="48" spans="1:27" ht="13.5" customHeight="1" thickBot="1">
      <c r="B48" s="561"/>
      <c r="C48" s="349">
        <v>17.5</v>
      </c>
      <c r="D48" s="487"/>
      <c r="E48" s="488"/>
      <c r="F48" s="294"/>
      <c r="G48" s="42"/>
      <c r="H48" s="41"/>
      <c r="I48" s="42"/>
      <c r="J48" s="292" t="s">
        <v>17</v>
      </c>
      <c r="K48" s="293" t="s">
        <v>191</v>
      </c>
      <c r="L48" s="490" t="s">
        <v>136</v>
      </c>
      <c r="M48" s="490"/>
      <c r="N48" s="491"/>
      <c r="O48" s="294"/>
      <c r="P48" s="12"/>
    </row>
    <row r="49" spans="2:57" ht="15" customHeight="1" thickBot="1">
      <c r="B49" s="561"/>
      <c r="C49" s="349" cm="1">
        <f t="array" ref="C49:C50">[22]Process!$D$56:$D$57</f>
        <v>18.100000000000001</v>
      </c>
      <c r="D49" s="492">
        <v>17.84</v>
      </c>
      <c r="E49" s="493"/>
      <c r="F49" s="294"/>
      <c r="G49" s="42"/>
      <c r="H49" s="41"/>
      <c r="I49" s="42"/>
      <c r="J49" s="287" t="s">
        <v>6</v>
      </c>
      <c r="K49" s="324"/>
      <c r="L49" s="343" t="s">
        <v>37</v>
      </c>
      <c r="M49" s="307" t="s">
        <v>38</v>
      </c>
      <c r="N49" s="307" t="s">
        <v>84</v>
      </c>
      <c r="O49" s="294"/>
      <c r="P49" s="12"/>
    </row>
    <row r="50" spans="2:57" ht="15.75" customHeight="1" thickBot="1">
      <c r="B50" s="561"/>
      <c r="C50" s="349">
        <v>17.3</v>
      </c>
      <c r="D50" s="487"/>
      <c r="E50" s="488"/>
      <c r="F50" s="294"/>
      <c r="G50" s="42"/>
      <c r="H50" s="41"/>
      <c r="I50" s="42"/>
      <c r="J50" s="345" t="s">
        <v>9</v>
      </c>
      <c r="K50" s="324"/>
      <c r="L50" s="344">
        <f>AVERAGE('Apr. 1st'!K49,'Apr. 3rd'!K49,'Apr. 4th'!K49,'Apr. 7th '!K50,'Apr. 8th  '!K60,'Apr. 9th   '!K50,'Apr. 10th '!K58,'Apr. 11-12-13th'!I127,'Apr. 11-12-13th'!J127,'Apr. 11-12-13th'!K127,'Apr. 14th'!K127,'Apr. 15th'!K55,'Apr. 16th'!K55,'Apr. 17th-20th'!H99,'Apr. 17th-20th'!I99,'Apr. 17th-20th'!J99,'Apr. 17th-20th'!K99,'Apr. 22nd'!K55,'Apr. 23rd'!K55,'Apr. 24th'!K58,'Apr. 25th '!K48,'Apr. 28th'!K59,K59)</f>
        <v>6.1304347826086953</v>
      </c>
      <c r="M50" s="325">
        <f>AVERAGE('[29]Jan 29th '!$M$70,'[30]Feb 28th'!$L$40,'[31]Mar. 31st'!$L$40,L50)</f>
        <v>6.4864429049211658</v>
      </c>
      <c r="N50" s="433">
        <v>9.1999999999999993</v>
      </c>
      <c r="O50" s="294"/>
      <c r="P50" s="12"/>
    </row>
    <row r="51" spans="2:57" ht="15" customHeight="1">
      <c r="B51" s="561"/>
      <c r="C51" s="349"/>
      <c r="D51" s="492"/>
      <c r="E51" s="493"/>
      <c r="F51" s="294"/>
      <c r="G51" s="42"/>
      <c r="H51" s="41"/>
      <c r="I51" s="42"/>
      <c r="J51" s="288" t="s">
        <v>40</v>
      </c>
      <c r="K51" s="324"/>
      <c r="L51" s="294"/>
      <c r="M51" s="294"/>
      <c r="N51" s="294"/>
      <c r="O51" s="294"/>
      <c r="P51" s="12"/>
    </row>
    <row r="52" spans="2:57" ht="15" customHeight="1">
      <c r="B52" s="561"/>
      <c r="C52" s="349"/>
      <c r="D52" s="487"/>
      <c r="E52" s="488"/>
      <c r="F52" s="294"/>
      <c r="G52" s="42"/>
      <c r="H52" s="41"/>
      <c r="I52" s="42"/>
      <c r="J52" s="289" t="s">
        <v>33</v>
      </c>
      <c r="K52" s="324"/>
      <c r="L52" s="294"/>
      <c r="M52" s="294"/>
      <c r="N52" s="294"/>
      <c r="O52" s="294"/>
      <c r="P52" s="12"/>
    </row>
    <row r="53" spans="2:57" ht="14.4">
      <c r="B53" s="561"/>
      <c r="C53" s="349"/>
      <c r="D53" s="492"/>
      <c r="E53" s="493"/>
      <c r="F53" s="294"/>
      <c r="G53" s="42"/>
      <c r="H53" s="41"/>
      <c r="I53" s="42"/>
      <c r="J53" s="290" t="s">
        <v>16</v>
      </c>
      <c r="K53" s="324"/>
      <c r="L53" s="294"/>
      <c r="M53" s="294"/>
      <c r="N53" s="294"/>
      <c r="O53" s="294"/>
      <c r="P53" s="12"/>
      <c r="BC53" s="44"/>
      <c r="BD53" s="44"/>
    </row>
    <row r="54" spans="2:57" ht="14.4">
      <c r="B54" s="561"/>
      <c r="C54" s="349"/>
      <c r="D54" s="487"/>
      <c r="E54" s="488"/>
      <c r="F54" s="294"/>
      <c r="G54" s="42"/>
      <c r="H54" s="41"/>
      <c r="I54" s="42"/>
      <c r="J54" s="291" t="s">
        <v>15</v>
      </c>
      <c r="K54" s="324"/>
      <c r="L54" s="294"/>
      <c r="M54" s="294"/>
      <c r="N54" s="294"/>
      <c r="O54" s="294"/>
      <c r="P54" s="12"/>
      <c r="BC54" s="44"/>
      <c r="BD54" s="44"/>
    </row>
    <row r="55" spans="2:57" ht="14.4">
      <c r="B55" s="561"/>
      <c r="C55" s="349"/>
      <c r="D55" s="494"/>
      <c r="E55" s="495"/>
      <c r="F55" s="294"/>
      <c r="G55" s="42"/>
      <c r="H55" s="41"/>
      <c r="I55" s="42"/>
      <c r="J55" s="291" t="s">
        <v>149</v>
      </c>
      <c r="K55" s="324"/>
      <c r="L55" s="294"/>
      <c r="M55" s="294"/>
      <c r="N55" s="294"/>
      <c r="O55" s="294"/>
      <c r="P55" s="12"/>
      <c r="BC55" s="44"/>
      <c r="BD55" s="44"/>
    </row>
    <row r="56" spans="2:57" ht="15" thickBot="1">
      <c r="B56" s="562"/>
      <c r="C56" s="350"/>
      <c r="D56" s="496"/>
      <c r="E56" s="497"/>
      <c r="F56" s="294"/>
      <c r="G56" s="42"/>
      <c r="H56" s="41"/>
      <c r="I56" s="42"/>
      <c r="J56" s="291" t="s">
        <v>148</v>
      </c>
      <c r="K56" s="324"/>
      <c r="L56" s="294"/>
      <c r="M56" s="294"/>
      <c r="N56" s="294"/>
      <c r="O56" s="294"/>
      <c r="P56" s="12"/>
      <c r="BC56" s="44"/>
      <c r="BD56" s="44"/>
    </row>
    <row r="57" spans="2:57" ht="17.7" customHeight="1" thickBot="1">
      <c r="B57" s="312" t="s">
        <v>139</v>
      </c>
      <c r="C57" s="313"/>
      <c r="D57" s="476">
        <f>AVERAGE(D35:E56)</f>
        <v>14.900000000000002</v>
      </c>
      <c r="E57" s="477"/>
      <c r="F57" s="294"/>
      <c r="G57" s="42"/>
      <c r="H57" s="41"/>
      <c r="I57" s="42"/>
      <c r="J57" s="295" t="s">
        <v>134</v>
      </c>
      <c r="K57" s="324"/>
      <c r="L57" s="294"/>
      <c r="M57" s="294"/>
      <c r="N57" s="294"/>
      <c r="O57" s="294"/>
      <c r="P57" s="12"/>
      <c r="BC57" s="44"/>
      <c r="BD57" s="44"/>
    </row>
    <row r="58" spans="2:57" ht="17.7" customHeight="1">
      <c r="B58" s="363"/>
      <c r="C58" s="364"/>
      <c r="D58" s="365"/>
      <c r="E58" s="365"/>
      <c r="F58" s="294"/>
      <c r="G58" s="42"/>
      <c r="H58" s="41"/>
      <c r="I58" s="42"/>
      <c r="J58" s="295" t="s">
        <v>131</v>
      </c>
      <c r="K58" s="324"/>
      <c r="L58" s="294"/>
      <c r="M58" s="294"/>
      <c r="N58" s="294"/>
      <c r="O58" s="294"/>
      <c r="P58" s="12"/>
      <c r="BC58" s="44"/>
      <c r="BD58" s="44"/>
    </row>
    <row r="59" spans="2:57" ht="15.75" customHeight="1">
      <c r="B59" s="45"/>
      <c r="C59" s="11"/>
      <c r="D59" s="11"/>
      <c r="E59" s="46"/>
      <c r="F59" s="294"/>
      <c r="G59" s="42"/>
      <c r="H59" s="41"/>
      <c r="I59" s="42"/>
      <c r="J59" s="346" t="s">
        <v>130</v>
      </c>
      <c r="K59" s="324">
        <f>SUM(K49:K58)</f>
        <v>0</v>
      </c>
      <c r="L59" s="294"/>
      <c r="M59" s="294"/>
      <c r="N59" s="294"/>
      <c r="O59" s="294"/>
      <c r="P59" s="12"/>
    </row>
    <row r="60" spans="2:57" ht="20.25" customHeight="1">
      <c r="B60" s="15" t="s">
        <v>42</v>
      </c>
      <c r="C60" s="1" t="s">
        <v>43</v>
      </c>
      <c r="D60" s="1"/>
      <c r="E60" s="1"/>
      <c r="F60" s="294"/>
      <c r="G60" s="42"/>
      <c r="H60" s="41"/>
      <c r="I60" s="42"/>
      <c r="L60" s="294"/>
      <c r="P60" s="334"/>
    </row>
    <row r="61" spans="2:57" ht="15" customHeight="1" thickBot="1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8"/>
      <c r="O61" s="48"/>
      <c r="P61" s="49"/>
    </row>
    <row r="62" spans="2:57" ht="15" customHeight="1" thickBot="1">
      <c r="B62" s="466" t="s">
        <v>17</v>
      </c>
      <c r="C62" s="466" t="s">
        <v>44</v>
      </c>
      <c r="D62" s="478" t="s">
        <v>45</v>
      </c>
      <c r="E62" s="480" t="s">
        <v>46</v>
      </c>
      <c r="F62" s="474" t="s">
        <v>47</v>
      </c>
      <c r="G62" s="464" t="s">
        <v>48</v>
      </c>
      <c r="H62" s="466" t="s">
        <v>49</v>
      </c>
      <c r="I62" s="466" t="s">
        <v>50</v>
      </c>
      <c r="J62" s="458" t="s">
        <v>28</v>
      </c>
      <c r="K62" s="470" t="s">
        <v>51</v>
      </c>
      <c r="L62" s="472" t="s">
        <v>52</v>
      </c>
      <c r="M62" s="458" t="s">
        <v>53</v>
      </c>
      <c r="N62" s="13"/>
      <c r="O62" s="13"/>
      <c r="P62" s="50"/>
    </row>
    <row r="63" spans="2:57" ht="28.5" customHeight="1" thickTop="1" thickBot="1">
      <c r="B63" s="467"/>
      <c r="C63" s="467"/>
      <c r="D63" s="479"/>
      <c r="E63" s="481"/>
      <c r="F63" s="475"/>
      <c r="G63" s="465"/>
      <c r="H63" s="467"/>
      <c r="I63" s="467"/>
      <c r="J63" s="459"/>
      <c r="K63" s="471"/>
      <c r="L63" s="473"/>
      <c r="M63" s="459"/>
      <c r="N63" s="13"/>
      <c r="O63" s="13"/>
      <c r="P63" s="50"/>
      <c r="Q63" s="355"/>
      <c r="AB63" s="51">
        <v>43474</v>
      </c>
      <c r="AC63" s="51">
        <v>43475</v>
      </c>
      <c r="AD63" s="51">
        <v>43476</v>
      </c>
      <c r="AE63" s="51">
        <v>43477</v>
      </c>
      <c r="AF63" s="51">
        <v>43478</v>
      </c>
      <c r="AG63" s="51">
        <v>43479</v>
      </c>
      <c r="AH63" s="51">
        <v>43480</v>
      </c>
      <c r="AI63" s="51">
        <v>43481</v>
      </c>
      <c r="AJ63" s="51">
        <v>43482</v>
      </c>
      <c r="AK63" s="51">
        <v>43483</v>
      </c>
      <c r="AL63" s="51">
        <v>43484</v>
      </c>
      <c r="AM63" s="51">
        <v>43485</v>
      </c>
      <c r="AN63" s="51">
        <v>43486</v>
      </c>
      <c r="AO63" s="51">
        <v>43487</v>
      </c>
      <c r="AP63" s="51">
        <v>43488</v>
      </c>
      <c r="AQ63" s="51">
        <v>43489</v>
      </c>
      <c r="AR63" s="51">
        <v>43490</v>
      </c>
      <c r="AS63" s="51">
        <v>43491</v>
      </c>
      <c r="AT63" s="51">
        <v>43492</v>
      </c>
      <c r="AU63" s="51">
        <v>43493</v>
      </c>
      <c r="AV63" s="51">
        <v>43494</v>
      </c>
      <c r="AW63" s="51">
        <v>43495</v>
      </c>
      <c r="AX63" s="51">
        <v>43496</v>
      </c>
    </row>
    <row r="64" spans="2:57" s="54" customFormat="1" ht="43.5" customHeight="1">
      <c r="B64" s="415" t="str">
        <f>I35</f>
        <v>CARIB</v>
      </c>
      <c r="C64" s="283">
        <v>45777</v>
      </c>
      <c r="D64" s="279">
        <f>[32]April_2025!$AG$3</f>
        <v>192.7</v>
      </c>
      <c r="E64" s="279"/>
      <c r="F64" s="279"/>
      <c r="G64" s="279">
        <f>[32]April_2025!$AG$7</f>
        <v>180.8</v>
      </c>
      <c r="H64" s="320"/>
      <c r="I64" s="322"/>
      <c r="J64" s="457" t="s">
        <v>176</v>
      </c>
      <c r="K64" s="417">
        <f>[33]April_2025!$AG$18</f>
        <v>0.31719298245614036</v>
      </c>
      <c r="L64" s="314">
        <f>(((D64+E64)-G64)/(D64+E64))*100</f>
        <v>6.1754021795536991</v>
      </c>
      <c r="M64" s="455" t="s">
        <v>164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 t="e">
        <f>[20]January_2019!L7</f>
        <v>#REF!</v>
      </c>
      <c r="AC64" s="57" t="e">
        <f>[20]January_2019!M7</f>
        <v>#REF!</v>
      </c>
      <c r="AD64" s="57" t="e">
        <f>[20]January_2019!N7</f>
        <v>#REF!</v>
      </c>
      <c r="AE64" s="57" t="e">
        <f>[20]January_2019!O7</f>
        <v>#REF!</v>
      </c>
      <c r="AF64" s="57" t="e">
        <f>[20]January_2019!P7</f>
        <v>#REF!</v>
      </c>
      <c r="AG64" s="57" t="e">
        <f>[20]January_2019!Q7</f>
        <v>#REF!</v>
      </c>
      <c r="AH64" s="57" t="e">
        <f>[20]January_2019!R7</f>
        <v>#REF!</v>
      </c>
      <c r="AI64" s="57" t="e">
        <f>[20]January_2019!S7</f>
        <v>#REF!</v>
      </c>
      <c r="AJ64" s="57" t="e">
        <f>[20]January_2019!T7</f>
        <v>#REF!</v>
      </c>
      <c r="AK64" s="57" t="e">
        <f>[20]January_2019!U7</f>
        <v>#REF!</v>
      </c>
      <c r="AL64" s="57" t="e">
        <f>[20]January_2019!V7</f>
        <v>#REF!</v>
      </c>
      <c r="AM64" s="57" t="e">
        <f>[20]January_2019!W7</f>
        <v>#REF!</v>
      </c>
      <c r="AN64" s="57" t="e">
        <f>[20]January_2019!X7</f>
        <v>#REF!</v>
      </c>
      <c r="AO64" s="57" t="e">
        <f>[20]January_2019!Y7</f>
        <v>#REF!</v>
      </c>
      <c r="AP64" s="57" t="e">
        <f>[20]January_2019!Z7</f>
        <v>#REF!</v>
      </c>
      <c r="AQ64" s="57" t="e">
        <f>[20]January_2019!AA7</f>
        <v>#REF!</v>
      </c>
      <c r="AR64" s="57" t="e">
        <f>[20]January_2019!AB7</f>
        <v>#REF!</v>
      </c>
      <c r="AS64" s="57" t="e">
        <f>[20]January_2019!AC7</f>
        <v>#REF!</v>
      </c>
      <c r="AT64" s="57" t="e">
        <f>[20]January_2019!AD7</f>
        <v>#REF!</v>
      </c>
      <c r="AU64" s="57" t="e">
        <f>[20]January_2019!AE7</f>
        <v>#REF!</v>
      </c>
      <c r="AV64" s="57" t="e">
        <f>[20]January_2019!AF7</f>
        <v>#REF!</v>
      </c>
      <c r="AW64" s="57" t="e">
        <f>[20]January_2019!AG7</f>
        <v>#REF!</v>
      </c>
      <c r="AX64" s="277" t="e">
        <f>[20]January_2019!AH7</f>
        <v>#REF!</v>
      </c>
      <c r="AY64" s="277"/>
      <c r="AZ64" s="277"/>
      <c r="BA64" s="277"/>
      <c r="BB64" s="277"/>
      <c r="BC64" s="277"/>
      <c r="BD64" s="277"/>
      <c r="BE64" s="277"/>
    </row>
    <row r="65" spans="2:49" s="54" customFormat="1" ht="10.5" customHeight="1" thickBot="1">
      <c r="B65" s="415"/>
      <c r="C65" s="283"/>
      <c r="D65" s="377"/>
      <c r="E65" s="378"/>
      <c r="F65" s="379"/>
      <c r="G65" s="303"/>
      <c r="H65" s="320"/>
      <c r="I65" s="322"/>
      <c r="J65" s="398"/>
      <c r="K65" s="286"/>
      <c r="L65" s="314"/>
      <c r="M65" s="423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20"/>
      <c r="AC65" s="420"/>
      <c r="AD65" s="420"/>
      <c r="AE65" s="420"/>
      <c r="AF65" s="420"/>
      <c r="AG65" s="420"/>
      <c r="AH65" s="420"/>
      <c r="AI65" s="420"/>
      <c r="AJ65" s="420"/>
      <c r="AK65" s="420"/>
      <c r="AL65" s="420"/>
      <c r="AM65" s="420"/>
      <c r="AN65" s="420"/>
      <c r="AO65" s="420"/>
      <c r="AP65" s="420"/>
      <c r="AQ65" s="420"/>
      <c r="AR65" s="420"/>
      <c r="AS65" s="420"/>
      <c r="AT65" s="420"/>
      <c r="AU65" s="420"/>
      <c r="AV65" s="420"/>
      <c r="AW65" s="420"/>
    </row>
    <row r="66" spans="2:49" s="54" customFormat="1" ht="39.75" customHeight="1">
      <c r="B66" s="452" t="str">
        <f>I37</f>
        <v>GUINNESS</v>
      </c>
      <c r="C66" s="283">
        <v>45777</v>
      </c>
      <c r="D66" s="377">
        <f>[32]April_2025!$AG$23</f>
        <v>215.10000000000002</v>
      </c>
      <c r="E66" s="378">
        <f>SUM([34]GUINNESS!$S$14)</f>
        <v>5</v>
      </c>
      <c r="F66" s="379"/>
      <c r="G66" s="303">
        <f>[32]April_2025!$AG$28</f>
        <v>199.2</v>
      </c>
      <c r="H66" s="320"/>
      <c r="I66" s="322"/>
      <c r="J66" s="457" t="s">
        <v>150</v>
      </c>
      <c r="K66" s="286">
        <f>[33]April_2025!$AG$32</f>
        <v>0.69894736842105254</v>
      </c>
      <c r="L66" s="314">
        <f>(((D66+E66)-G66)/(D66+E66))*100</f>
        <v>9.4956837800999683</v>
      </c>
      <c r="M66" s="423" t="s">
        <v>174</v>
      </c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20"/>
      <c r="AC66" s="420"/>
      <c r="AD66" s="420"/>
      <c r="AE66" s="420"/>
      <c r="AF66" s="420"/>
      <c r="AG66" s="420"/>
      <c r="AH66" s="420"/>
      <c r="AI66" s="420"/>
      <c r="AJ66" s="420"/>
      <c r="AK66" s="420"/>
      <c r="AL66" s="420"/>
      <c r="AM66" s="420"/>
      <c r="AN66" s="420"/>
      <c r="AO66" s="420"/>
      <c r="AP66" s="420"/>
      <c r="AQ66" s="420"/>
      <c r="AR66" s="420"/>
      <c r="AS66" s="420"/>
      <c r="AT66" s="420"/>
      <c r="AU66" s="420"/>
      <c r="AV66" s="420"/>
      <c r="AW66" s="420"/>
    </row>
    <row r="67" spans="2:49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6"/>
      <c r="P67" s="60"/>
    </row>
    <row r="68" spans="2:49" ht="14.4" thickBot="1">
      <c r="B68" s="460" t="s">
        <v>55</v>
      </c>
      <c r="C68" s="461"/>
      <c r="D68" s="461"/>
      <c r="E68" s="461"/>
      <c r="F68" s="462"/>
      <c r="G68" s="460" t="s">
        <v>56</v>
      </c>
      <c r="H68" s="461"/>
      <c r="I68" s="461"/>
      <c r="J68" s="462"/>
      <c r="K68" s="460" t="s">
        <v>51</v>
      </c>
      <c r="L68" s="461"/>
      <c r="M68" s="461"/>
      <c r="N68" s="463"/>
      <c r="O68" s="56"/>
      <c r="P68" s="50"/>
    </row>
    <row r="69" spans="2:49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/>
      <c r="L69" s="62" t="s">
        <v>37</v>
      </c>
      <c r="M69" s="62" t="s">
        <v>38</v>
      </c>
      <c r="N69" s="63" t="s">
        <v>39</v>
      </c>
      <c r="O69" s="56"/>
      <c r="P69" s="64"/>
    </row>
    <row r="70" spans="2:49">
      <c r="B70" s="29" t="s">
        <v>6</v>
      </c>
      <c r="C70" s="65">
        <f>L64</f>
        <v>6.1754021795536991</v>
      </c>
      <c r="D70" s="76">
        <v>6.2926775321037809</v>
      </c>
      <c r="E70" s="76">
        <v>6.9531818654466129</v>
      </c>
      <c r="F70" s="66">
        <v>4.8</v>
      </c>
      <c r="G70" s="65">
        <f>[32]April_2025!$AG$11</f>
        <v>4.8145296890073404</v>
      </c>
      <c r="H70" s="76">
        <v>5.5316685773910379</v>
      </c>
      <c r="I70" s="76">
        <v>7.1725551897553945</v>
      </c>
      <c r="J70" s="66">
        <v>4.8</v>
      </c>
      <c r="K70" s="67">
        <f>K64</f>
        <v>0.31719298245614036</v>
      </c>
      <c r="L70" s="194">
        <v>0.70223745517780711</v>
      </c>
      <c r="M70" s="194">
        <v>0.75970500394081208</v>
      </c>
      <c r="N70" s="68">
        <v>1</v>
      </c>
      <c r="O70" s="56"/>
      <c r="P70" s="69"/>
    </row>
    <row r="71" spans="2:49">
      <c r="B71" s="33" t="s">
        <v>9</v>
      </c>
      <c r="C71" s="65"/>
      <c r="D71" s="76">
        <v>4.9164813325131247</v>
      </c>
      <c r="E71" s="76">
        <v>6.6626746660217995</v>
      </c>
      <c r="F71" s="66">
        <v>4.8</v>
      </c>
      <c r="G71" s="65"/>
      <c r="H71" s="76">
        <v>3.7311899747361132</v>
      </c>
      <c r="I71" s="76">
        <v>6.6012405294716094</v>
      </c>
      <c r="J71" s="66">
        <v>4.8</v>
      </c>
      <c r="K71" s="67"/>
      <c r="L71" s="194">
        <v>0.86837351230333448</v>
      </c>
      <c r="M71" s="194">
        <v>0.75323691521525205</v>
      </c>
      <c r="N71" s="68">
        <v>1</v>
      </c>
      <c r="P71" s="69"/>
    </row>
    <row r="72" spans="2:49">
      <c r="B72" s="34" t="s">
        <v>40</v>
      </c>
      <c r="C72" s="65">
        <f>L66</f>
        <v>9.4956837800999683</v>
      </c>
      <c r="D72" s="76">
        <v>10.820685778527247</v>
      </c>
      <c r="E72" s="76">
        <v>11.956968054529007</v>
      </c>
      <c r="F72" s="66">
        <v>5.5</v>
      </c>
      <c r="G72" s="65">
        <f>[32]April_2025!$AG$32</f>
        <v>10.07708540501152</v>
      </c>
      <c r="H72" s="76">
        <v>11.265054002593653</v>
      </c>
      <c r="I72" s="76">
        <v>13.449891307585697</v>
      </c>
      <c r="J72" s="66">
        <v>5.5</v>
      </c>
      <c r="K72" s="67">
        <f>K66</f>
        <v>0.69894736842105254</v>
      </c>
      <c r="L72" s="194">
        <v>0.60157894736842099</v>
      </c>
      <c r="M72" s="194">
        <v>0.54554653679653675</v>
      </c>
      <c r="N72" s="68">
        <v>1</v>
      </c>
      <c r="P72" s="69"/>
    </row>
    <row r="73" spans="2:49">
      <c r="B73" s="22" t="s">
        <v>33</v>
      </c>
      <c r="C73" s="65"/>
      <c r="D73" s="76">
        <v>3.2321253672869714</v>
      </c>
      <c r="E73" s="76">
        <v>4.6593071945184654</v>
      </c>
      <c r="F73" s="66">
        <v>3.3</v>
      </c>
      <c r="G73" s="65"/>
      <c r="H73" s="76">
        <v>2.3924874613168265</v>
      </c>
      <c r="I73" s="76">
        <v>5.0359151649923692</v>
      </c>
      <c r="J73" s="66">
        <v>3.3</v>
      </c>
      <c r="K73" s="67"/>
      <c r="L73" s="194">
        <v>1.3866666666666667</v>
      </c>
      <c r="M73" s="194">
        <v>0.87880701754385959</v>
      </c>
      <c r="N73" s="68">
        <v>1</v>
      </c>
      <c r="P73" s="69"/>
    </row>
    <row r="74" spans="2:49">
      <c r="B74" s="35" t="s">
        <v>29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L74" s="194"/>
      <c r="M74" s="194"/>
      <c r="N74" s="68">
        <v>1</v>
      </c>
      <c r="P74" s="69"/>
    </row>
    <row r="75" spans="2:49">
      <c r="B75" s="36" t="s">
        <v>15</v>
      </c>
      <c r="C75" s="282"/>
      <c r="D75" s="76">
        <v>5.9443911792905233</v>
      </c>
      <c r="E75" s="76">
        <v>7.8262258425171876</v>
      </c>
      <c r="F75" s="70">
        <f>[21]May_2022!$M$43</f>
        <v>3.4878406700073312</v>
      </c>
      <c r="G75" s="282"/>
      <c r="H75" s="76">
        <v>7.0254499502894436</v>
      </c>
      <c r="I75" s="76">
        <v>9.4300678869947632</v>
      </c>
      <c r="J75" s="66">
        <v>5.5</v>
      </c>
      <c r="K75" s="67"/>
      <c r="L75" s="194">
        <v>0.68842105263157893</v>
      </c>
      <c r="M75" s="194">
        <v>0.674970760233918</v>
      </c>
      <c r="N75" s="68">
        <v>1</v>
      </c>
      <c r="P75" s="69"/>
    </row>
    <row r="76" spans="2:49">
      <c r="B76" s="37" t="s">
        <v>16</v>
      </c>
      <c r="C76" s="65"/>
      <c r="D76" s="76">
        <v>0.38967364831952411</v>
      </c>
      <c r="E76" s="76">
        <v>2.2264009025949534</v>
      </c>
      <c r="F76" s="66">
        <v>3.3</v>
      </c>
      <c r="G76" s="282"/>
      <c r="H76" s="76">
        <v>3.9053322254376623</v>
      </c>
      <c r="I76" s="76">
        <v>4.5764571827076486</v>
      </c>
      <c r="J76" s="66">
        <v>3.3</v>
      </c>
      <c r="K76" s="67"/>
      <c r="L76" s="194">
        <v>0.71754385964912282</v>
      </c>
      <c r="M76" s="194">
        <v>0.83594855305466242</v>
      </c>
      <c r="N76" s="71">
        <v>1</v>
      </c>
      <c r="P76" s="69"/>
    </row>
    <row r="77" spans="2:49" ht="14.4" thickBot="1">
      <c r="B77" s="38" t="s">
        <v>127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49" ht="14.4" thickBot="1">
      <c r="B78" s="418" t="s">
        <v>162</v>
      </c>
      <c r="C78" s="65"/>
      <c r="D78" s="76"/>
      <c r="E78" s="76">
        <v>4.8792508624938291</v>
      </c>
      <c r="F78" s="66">
        <v>4.8</v>
      </c>
      <c r="G78" s="282"/>
      <c r="H78" s="76"/>
      <c r="I78" s="76">
        <v>6.2003723782925313</v>
      </c>
      <c r="J78" s="66">
        <v>4.8</v>
      </c>
      <c r="K78" s="67"/>
      <c r="L78" s="194"/>
      <c r="M78" s="194">
        <v>0.33859649122807017</v>
      </c>
      <c r="N78" s="71">
        <v>1</v>
      </c>
      <c r="O78" s="74"/>
      <c r="P78" s="75"/>
    </row>
    <row r="79" spans="2:49">
      <c r="D79" s="76">
        <v>5.9979801920808047</v>
      </c>
      <c r="E79" s="76">
        <v>6.9787493949721418</v>
      </c>
      <c r="F79" s="341">
        <v>5.5</v>
      </c>
      <c r="H79" s="76">
        <v>5.5998779636172795</v>
      </c>
      <c r="I79" s="76">
        <v>7.5288675324499499</v>
      </c>
      <c r="J79" s="341">
        <v>5.5</v>
      </c>
      <c r="K79" s="67"/>
      <c r="L79" s="194">
        <v>0.75775978407557354</v>
      </c>
      <c r="M79" s="194">
        <v>0.73915991066443321</v>
      </c>
      <c r="N79" s="386">
        <v>1</v>
      </c>
    </row>
    <row r="83" spans="6:6">
      <c r="F83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3:N33"/>
    <mergeCell ref="D34:E34"/>
    <mergeCell ref="B35:B46"/>
    <mergeCell ref="D35:E36"/>
    <mergeCell ref="D37:E38"/>
    <mergeCell ref="D39:E40"/>
    <mergeCell ref="D41:E42"/>
    <mergeCell ref="D43:E44"/>
    <mergeCell ref="D45:E46"/>
    <mergeCell ref="B47:B56"/>
    <mergeCell ref="D47:E48"/>
    <mergeCell ref="J47:K47"/>
    <mergeCell ref="L48:N48"/>
    <mergeCell ref="D49:E50"/>
    <mergeCell ref="D51:E52"/>
    <mergeCell ref="D53:E54"/>
    <mergeCell ref="D55:E56"/>
    <mergeCell ref="D57:E57"/>
    <mergeCell ref="B62:B63"/>
    <mergeCell ref="C62:C63"/>
    <mergeCell ref="D62:D63"/>
    <mergeCell ref="E62:E63"/>
    <mergeCell ref="M62:M63"/>
    <mergeCell ref="B68:F68"/>
    <mergeCell ref="G68:J68"/>
    <mergeCell ref="K68:N68"/>
    <mergeCell ref="G62:G63"/>
    <mergeCell ref="H62:H63"/>
    <mergeCell ref="I62:I63"/>
    <mergeCell ref="J62:J63"/>
    <mergeCell ref="K62:K63"/>
    <mergeCell ref="L62:L63"/>
    <mergeCell ref="F62:F63"/>
  </mergeCells>
  <conditionalFormatting sqref="B57:B58">
    <cfRule type="cellIs" dxfId="118" priority="84" operator="notBetween">
      <formula>#REF!</formula>
      <formula>#REF!</formula>
    </cfRule>
  </conditionalFormatting>
  <conditionalFormatting sqref="C61">
    <cfRule type="cellIs" dxfId="117" priority="116" stopIfTrue="1" operator="greaterThan">
      <formula>100</formula>
    </cfRule>
    <cfRule type="cellIs" dxfId="116" priority="115" stopIfTrue="1" operator="lessThan">
      <formula>96</formula>
    </cfRule>
  </conditionalFormatting>
  <conditionalFormatting sqref="C70:C71">
    <cfRule type="cellIs" dxfId="115" priority="59" stopIfTrue="1" operator="lessThanOrEqual">
      <formula>0</formula>
    </cfRule>
  </conditionalFormatting>
  <conditionalFormatting sqref="C70:C74">
    <cfRule type="cellIs" dxfId="114" priority="58" stopIfTrue="1" operator="greaterThan">
      <formula>$F70</formula>
    </cfRule>
  </conditionalFormatting>
  <conditionalFormatting sqref="C71">
    <cfRule type="cellIs" dxfId="113" priority="119" stopIfTrue="1" operator="greaterThan">
      <formula>$F70</formula>
    </cfRule>
  </conditionalFormatting>
  <conditionalFormatting sqref="C72:C75">
    <cfRule type="cellIs" dxfId="112" priority="68" stopIfTrue="1" operator="lessThanOrEqual">
      <formula>0</formula>
    </cfRule>
  </conditionalFormatting>
  <conditionalFormatting sqref="C75">
    <cfRule type="cellIs" dxfId="111" priority="67" stopIfTrue="1" operator="greaterThan">
      <formula>$J75</formula>
    </cfRule>
  </conditionalFormatting>
  <conditionalFormatting sqref="C81:C85">
    <cfRule type="cellIs" dxfId="110" priority="107" stopIfTrue="1" operator="lessThanOrEqual">
      <formula>0</formula>
    </cfRule>
  </conditionalFormatting>
  <conditionalFormatting sqref="C82:C85">
    <cfRule type="cellIs" dxfId="109" priority="106" stopIfTrue="1" operator="greaterThan">
      <formula>$F$81</formula>
    </cfRule>
  </conditionalFormatting>
  <conditionalFormatting sqref="C87">
    <cfRule type="cellIs" dxfId="108" priority="108" stopIfTrue="1" operator="greaterThan">
      <formula>$F$81</formula>
    </cfRule>
    <cfRule type="cellIs" dxfId="107" priority="109" stopIfTrue="1" operator="lessThanOrEqual">
      <formula>0</formula>
    </cfRule>
  </conditionalFormatting>
  <conditionalFormatting sqref="C81:D81 D83:D89">
    <cfRule type="cellIs" dxfId="106" priority="101" stopIfTrue="1" operator="greaterThan">
      <formula>4.5</formula>
    </cfRule>
  </conditionalFormatting>
  <conditionalFormatting sqref="D57:D58">
    <cfRule type="cellIs" dxfId="105" priority="85" operator="notBetween">
      <formula>#REF!</formula>
      <formula>#REF!</formula>
    </cfRule>
  </conditionalFormatting>
  <conditionalFormatting sqref="D70:D77">
    <cfRule type="cellIs" dxfId="104" priority="78" stopIfTrue="1" operator="lessThanOrEqual">
      <formula>0</formula>
    </cfRule>
  </conditionalFormatting>
  <conditionalFormatting sqref="D78">
    <cfRule type="cellIs" dxfId="103" priority="77" stopIfTrue="1" operator="lessThanOrEqual">
      <formula>0</formula>
    </cfRule>
  </conditionalFormatting>
  <conditionalFormatting sqref="D81 D83:D89">
    <cfRule type="cellIs" dxfId="102" priority="102" stopIfTrue="1" operator="lessThanOrEqual">
      <formula>0</formula>
    </cfRule>
  </conditionalFormatting>
  <conditionalFormatting sqref="D82">
    <cfRule type="cellIs" dxfId="101" priority="94" stopIfTrue="1" operator="lessThanOrEqual">
      <formula>0</formula>
    </cfRule>
    <cfRule type="cellIs" dxfId="100" priority="93" stopIfTrue="1" operator="greaterThan">
      <formula>$F$81</formula>
    </cfRule>
  </conditionalFormatting>
  <conditionalFormatting sqref="D70:E79">
    <cfRule type="cellIs" dxfId="99" priority="55" stopIfTrue="1" operator="greaterThan">
      <formula>$F70</formula>
    </cfRule>
  </conditionalFormatting>
  <conditionalFormatting sqref="D79:E79">
    <cfRule type="cellIs" dxfId="98" priority="56" stopIfTrue="1" operator="lessThanOrEqual">
      <formula>0</formula>
    </cfRule>
  </conditionalFormatting>
  <conditionalFormatting sqref="E10:E32">
    <cfRule type="cellIs" dxfId="97" priority="16" operator="lessThan">
      <formula>48</formula>
    </cfRule>
  </conditionalFormatting>
  <conditionalFormatting sqref="E60 E61:F61">
    <cfRule type="cellIs" dxfId="96" priority="98" stopIfTrue="1" operator="greaterThan">
      <formula>100</formula>
    </cfRule>
  </conditionalFormatting>
  <conditionalFormatting sqref="E61">
    <cfRule type="cellIs" dxfId="95" priority="96" stopIfTrue="1" operator="greaterThan">
      <formula>100</formula>
    </cfRule>
    <cfRule type="cellIs" dxfId="94" priority="95" stopIfTrue="1" operator="lessThan">
      <formula>96.8</formula>
    </cfRule>
  </conditionalFormatting>
  <conditionalFormatting sqref="E70:E78">
    <cfRule type="cellIs" dxfId="93" priority="72" stopIfTrue="1" operator="lessThanOrEqual">
      <formula>0</formula>
    </cfRule>
  </conditionalFormatting>
  <conditionalFormatting sqref="E81:E89">
    <cfRule type="cellIs" dxfId="92" priority="88" stopIfTrue="1" operator="lessThanOrEqual">
      <formula>0</formula>
    </cfRule>
    <cfRule type="cellIs" dxfId="91" priority="87" stopIfTrue="1" operator="greaterThan">
      <formula>4.5</formula>
    </cfRule>
  </conditionalFormatting>
  <conditionalFormatting sqref="E61:F61 E60">
    <cfRule type="cellIs" dxfId="90" priority="97" stopIfTrue="1" operator="lessThan">
      <formula>96.5</formula>
    </cfRule>
  </conditionalFormatting>
  <conditionalFormatting sqref="F10:F32">
    <cfRule type="cellIs" dxfId="89" priority="17" operator="greaterThan">
      <formula>60</formula>
    </cfRule>
  </conditionalFormatting>
  <conditionalFormatting sqref="F61">
    <cfRule type="cellIs" dxfId="88" priority="113" stopIfTrue="1" operator="lessThan">
      <formula>96.8</formula>
    </cfRule>
    <cfRule type="cellIs" dxfId="87" priority="114" stopIfTrue="1" operator="greaterThan">
      <formula>100</formula>
    </cfRule>
  </conditionalFormatting>
  <conditionalFormatting sqref="F79">
    <cfRule type="cellIs" dxfId="86" priority="73" stopIfTrue="1" operator="greaterThan">
      <formula>$F79</formula>
    </cfRule>
    <cfRule type="cellIs" dxfId="85" priority="74" stopIfTrue="1" operator="lessThanOrEqual">
      <formula>0</formula>
    </cfRule>
  </conditionalFormatting>
  <conditionalFormatting sqref="G70:G71 C76:C78">
    <cfRule type="cellIs" dxfId="84" priority="80" stopIfTrue="1" operator="lessThanOrEqual">
      <formula>0</formula>
    </cfRule>
    <cfRule type="cellIs" dxfId="83" priority="79" stopIfTrue="1" operator="greaterThan">
      <formula>$F70</formula>
    </cfRule>
  </conditionalFormatting>
  <conditionalFormatting sqref="G70:G71">
    <cfRule type="cellIs" dxfId="82" priority="60" stopIfTrue="1" operator="greaterThan">
      <formula>$F70</formula>
    </cfRule>
    <cfRule type="cellIs" dxfId="81" priority="61" stopIfTrue="1" operator="lessThanOrEqual">
      <formula>0</formula>
    </cfRule>
  </conditionalFormatting>
  <conditionalFormatting sqref="G72">
    <cfRule type="cellIs" dxfId="80" priority="117" stopIfTrue="1" operator="greaterThan">
      <formula>$F71</formula>
    </cfRule>
    <cfRule type="cellIs" dxfId="79" priority="118" stopIfTrue="1" operator="lessThanOrEqual">
      <formula>0</formula>
    </cfRule>
  </conditionalFormatting>
  <conditionalFormatting sqref="G73">
    <cfRule type="cellIs" dxfId="78" priority="76" stopIfTrue="1" operator="lessThanOrEqual">
      <formula>0</formula>
    </cfRule>
    <cfRule type="cellIs" dxfId="77" priority="75" stopIfTrue="1" operator="greaterThan">
      <formula>$F73</formula>
    </cfRule>
  </conditionalFormatting>
  <conditionalFormatting sqref="G74:G78">
    <cfRule type="cellIs" dxfId="76" priority="81" stopIfTrue="1" operator="greaterThan">
      <formula>$J74</formula>
    </cfRule>
    <cfRule type="cellIs" dxfId="75" priority="82" stopIfTrue="1" operator="lessThanOrEqual">
      <formula>0</formula>
    </cfRule>
  </conditionalFormatting>
  <conditionalFormatting sqref="G83:G88 C86 C88">
    <cfRule type="cellIs" dxfId="74" priority="111" stopIfTrue="1" operator="lessThanOrEqual">
      <formula>0</formula>
    </cfRule>
    <cfRule type="cellIs" dxfId="73" priority="110" stopIfTrue="1" operator="greaterThan">
      <formula>4.5</formula>
    </cfRule>
  </conditionalFormatting>
  <conditionalFormatting sqref="G10:H29 G30:G32">
    <cfRule type="expression" dxfId="72" priority="15">
      <formula>IF(+(IF(G10&lt;#REF!,0,IF(G10&gt;#REF!,0,1)))=0,1)</formula>
    </cfRule>
  </conditionalFormatting>
  <conditionalFormatting sqref="G82:H82">
    <cfRule type="cellIs" dxfId="71" priority="91" stopIfTrue="1" operator="greaterThan">
      <formula>$F$81</formula>
    </cfRule>
    <cfRule type="cellIs" dxfId="70" priority="92" stopIfTrue="1" operator="lessThanOrEqual">
      <formula>0</formula>
    </cfRule>
  </conditionalFormatting>
  <conditionalFormatting sqref="H30:H32">
    <cfRule type="expression" dxfId="69" priority="18">
      <formula>IF(+(IF(H30&lt;T30,0,IF(H30&gt;U30,0,1)))=0,1)</formula>
    </cfRule>
  </conditionalFormatting>
  <conditionalFormatting sqref="H46:H60">
    <cfRule type="cellIs" dxfId="68" priority="89" stopIfTrue="1" operator="greaterThan">
      <formula>0</formula>
    </cfRule>
  </conditionalFormatting>
  <conditionalFormatting sqref="H64">
    <cfRule type="cellIs" dxfId="67" priority="2" stopIfTrue="1" operator="lessThanOrEqual">
      <formula>0</formula>
    </cfRule>
    <cfRule type="cellIs" dxfId="66" priority="3" stopIfTrue="1" operator="greaterThan">
      <formula>$F$69</formula>
    </cfRule>
    <cfRule type="cellIs" dxfId="65" priority="11" stopIfTrue="1" operator="greaterThan">
      <formula>$F$72</formula>
    </cfRule>
    <cfRule type="cellIs" dxfId="64" priority="12" stopIfTrue="1" operator="lessThanOrEqual">
      <formula>0</formula>
    </cfRule>
    <cfRule type="cellIs" dxfId="63" priority="13" stopIfTrue="1" operator="greaterThan">
      <formula>$F$70</formula>
    </cfRule>
    <cfRule type="cellIs" dxfId="62" priority="14" stopIfTrue="1" operator="lessThanOrEqual">
      <formula>0</formula>
    </cfRule>
  </conditionalFormatting>
  <conditionalFormatting sqref="H65:H66">
    <cfRule type="cellIs" dxfId="61" priority="37" stopIfTrue="1" operator="greaterThan">
      <formula>$F$48</formula>
    </cfRule>
    <cfRule type="cellIs" dxfId="60" priority="38" stopIfTrue="1" operator="lessThanOrEqual">
      <formula>0</formula>
    </cfRule>
    <cfRule type="cellIs" dxfId="59" priority="39" stopIfTrue="1" operator="greaterThan">
      <formula>$F$46</formula>
    </cfRule>
    <cfRule type="cellIs" dxfId="58" priority="28" stopIfTrue="1" operator="lessThanOrEqual">
      <formula>0</formula>
    </cfRule>
    <cfRule type="cellIs" dxfId="57" priority="29" stopIfTrue="1" operator="greaterThan">
      <formula>$F$45</formula>
    </cfRule>
    <cfRule type="cellIs" dxfId="56" priority="40" stopIfTrue="1" operator="lessThanOrEqual">
      <formula>0</formula>
    </cfRule>
  </conditionalFormatting>
  <conditionalFormatting sqref="H70:H77">
    <cfRule type="cellIs" dxfId="55" priority="66" stopIfTrue="1" operator="lessThanOrEqual">
      <formula>0</formula>
    </cfRule>
    <cfRule type="cellIs" dxfId="54" priority="65" stopIfTrue="1" operator="greaterThan">
      <formula>$J70</formula>
    </cfRule>
  </conditionalFormatting>
  <conditionalFormatting sqref="H78">
    <cfRule type="cellIs" dxfId="53" priority="69" operator="greaterThan">
      <formula>5.3</formula>
    </cfRule>
  </conditionalFormatting>
  <conditionalFormatting sqref="H81 H83:H89">
    <cfRule type="cellIs" dxfId="52" priority="104" stopIfTrue="1" operator="lessThanOrEqual">
      <formula>0</formula>
    </cfRule>
    <cfRule type="cellIs" dxfId="51" priority="103" stopIfTrue="1" operator="greaterThan">
      <formula>4.5</formula>
    </cfRule>
  </conditionalFormatting>
  <conditionalFormatting sqref="H64:I64">
    <cfRule type="cellIs" dxfId="50" priority="4" stopIfTrue="1" operator="lessThanOrEqual">
      <formula>0</formula>
    </cfRule>
    <cfRule type="cellIs" dxfId="49" priority="1" stopIfTrue="1" operator="greaterThan">
      <formula>$F$71</formula>
    </cfRule>
  </conditionalFormatting>
  <conditionalFormatting sqref="H65:I66">
    <cfRule type="cellIs" dxfId="48" priority="27" stopIfTrue="1" operator="greaterThan">
      <formula>$F$47</formula>
    </cfRule>
    <cfRule type="cellIs" dxfId="47" priority="30" stopIfTrue="1" operator="lessThanOrEqual">
      <formula>0</formula>
    </cfRule>
  </conditionalFormatting>
  <conditionalFormatting sqref="H79:I79">
    <cfRule type="cellIs" dxfId="46" priority="54" stopIfTrue="1" operator="lessThanOrEqual">
      <formula>0</formula>
    </cfRule>
    <cfRule type="cellIs" dxfId="45" priority="53" stopIfTrue="1" operator="greaterThan">
      <formula>$J79</formula>
    </cfRule>
  </conditionalFormatting>
  <conditionalFormatting sqref="I64">
    <cfRule type="cellIs" dxfId="44" priority="5" stopIfTrue="1" operator="greaterThan">
      <formula>$F$69</formula>
    </cfRule>
    <cfRule type="cellIs" dxfId="43" priority="6" stopIfTrue="1" operator="lessThanOrEqual">
      <formula>0</formula>
    </cfRule>
    <cfRule type="cellIs" dxfId="42" priority="7" stopIfTrue="1" operator="greaterThan">
      <formula>$F$71</formula>
    </cfRule>
    <cfRule type="cellIs" dxfId="41" priority="8" stopIfTrue="1" operator="lessThanOrEqual">
      <formula>0</formula>
    </cfRule>
    <cfRule type="cellIs" dxfId="40" priority="9" stopIfTrue="1" operator="greaterThan">
      <formula>$F$69</formula>
    </cfRule>
    <cfRule type="cellIs" dxfId="39" priority="10" stopIfTrue="1" operator="lessThanOrEqual">
      <formula>0</formula>
    </cfRule>
  </conditionalFormatting>
  <conditionalFormatting sqref="I65:I66">
    <cfRule type="cellIs" dxfId="38" priority="34" stopIfTrue="1" operator="lessThanOrEqual">
      <formula>0</formula>
    </cfRule>
    <cfRule type="cellIs" dxfId="37" priority="33" stopIfTrue="1" operator="greaterThan">
      <formula>$F$47</formula>
    </cfRule>
    <cfRule type="cellIs" dxfId="36" priority="32" stopIfTrue="1" operator="lessThanOrEqual">
      <formula>0</formula>
    </cfRule>
    <cfRule type="cellIs" dxfId="35" priority="31" stopIfTrue="1" operator="greaterThan">
      <formula>$F$45</formula>
    </cfRule>
    <cfRule type="cellIs" dxfId="34" priority="36" stopIfTrue="1" operator="lessThanOrEqual">
      <formula>0</formula>
    </cfRule>
    <cfRule type="cellIs" dxfId="33" priority="35" stopIfTrue="1" operator="greaterThan">
      <formula>$F$45</formula>
    </cfRule>
  </conditionalFormatting>
  <conditionalFormatting sqref="I70:I78">
    <cfRule type="cellIs" dxfId="32" priority="70" stopIfTrue="1" operator="greaterThan">
      <formula>$J70</formula>
    </cfRule>
    <cfRule type="cellIs" dxfId="31" priority="71" stopIfTrue="1" operator="lessThanOrEqual">
      <formula>0</formula>
    </cfRule>
  </conditionalFormatting>
  <conditionalFormatting sqref="I81:I89">
    <cfRule type="cellIs" dxfId="30" priority="99" stopIfTrue="1" operator="greaterThan">
      <formula>4.5</formula>
    </cfRule>
    <cfRule type="cellIs" dxfId="29" priority="100" stopIfTrue="1" operator="lessThanOrEqual">
      <formula>0</formula>
    </cfRule>
  </conditionalFormatting>
  <conditionalFormatting sqref="I10:J29 I30:I32">
    <cfRule type="cellIs" dxfId="28" priority="26" operator="lessThan">
      <formula>97.9</formula>
    </cfRule>
  </conditionalFormatting>
  <conditionalFormatting sqref="J35:J37">
    <cfRule type="cellIs" dxfId="27" priority="43" stopIfTrue="1" operator="lessThan">
      <formula>96.8</formula>
    </cfRule>
    <cfRule type="cellIs" dxfId="26" priority="44" stopIfTrue="1" operator="greaterThan">
      <formula>100</formula>
    </cfRule>
    <cfRule type="cellIs" dxfId="25" priority="45" operator="lessThan">
      <formula>98</formula>
    </cfRule>
  </conditionalFormatting>
  <conditionalFormatting sqref="J35:J39">
    <cfRule type="cellIs" dxfId="24" priority="42" operator="lessThan">
      <formula>97.4</formula>
    </cfRule>
  </conditionalFormatting>
  <conditionalFormatting sqref="J40">
    <cfRule type="cellIs" dxfId="23" priority="46" operator="lessThan">
      <formula>98</formula>
    </cfRule>
  </conditionalFormatting>
  <conditionalFormatting sqref="J41:J43">
    <cfRule type="cellIs" dxfId="22" priority="47" stopIfTrue="1" operator="lessThan">
      <formula>96.8</formula>
    </cfRule>
    <cfRule type="cellIs" dxfId="21" priority="48" stopIfTrue="1" operator="greaterThan">
      <formula>100</formula>
    </cfRule>
  </conditionalFormatting>
  <conditionalFormatting sqref="J41:J44">
    <cfRule type="cellIs" dxfId="20" priority="49" operator="lessThan">
      <formula>98</formula>
    </cfRule>
  </conditionalFormatting>
  <conditionalFormatting sqref="J79">
    <cfRule type="cellIs" dxfId="19" priority="51" stopIfTrue="1" operator="lessThanOrEqual">
      <formula>0</formula>
    </cfRule>
    <cfRule type="cellIs" dxfId="18" priority="50" stopIfTrue="1" operator="greaterThan">
      <formula>$F79</formula>
    </cfRule>
  </conditionalFormatting>
  <conditionalFormatting sqref="K10:K29 J30:J32">
    <cfRule type="cellIs" dxfId="17" priority="25" operator="greaterThan">
      <formula>6.4</formula>
    </cfRule>
    <cfRule type="cellIs" dxfId="16" priority="22" operator="lessThan">
      <formula>4</formula>
    </cfRule>
    <cfRule type="cellIs" dxfId="15" priority="21" operator="greaterThan">
      <formula>6</formula>
    </cfRule>
  </conditionalFormatting>
  <conditionalFormatting sqref="K49:K58">
    <cfRule type="cellIs" dxfId="14" priority="41" operator="notEqual">
      <formula>#REF!</formula>
    </cfRule>
  </conditionalFormatting>
  <conditionalFormatting sqref="K64:K66 K70:N73 L74:N74">
    <cfRule type="cellIs" dxfId="13" priority="83" stopIfTrue="1" operator="lessThan">
      <formula>100%</formula>
    </cfRule>
  </conditionalFormatting>
  <conditionalFormatting sqref="K81:K86">
    <cfRule type="cellIs" dxfId="12" priority="105" stopIfTrue="1" operator="lessThan">
      <formula>100%</formula>
    </cfRule>
  </conditionalFormatting>
  <conditionalFormatting sqref="K88:K89">
    <cfRule type="cellIs" dxfId="11" priority="112" stopIfTrue="1" operator="lessThan">
      <formula>100%</formula>
    </cfRule>
  </conditionalFormatting>
  <conditionalFormatting sqref="K75:N79">
    <cfRule type="cellIs" dxfId="10" priority="52" stopIfTrue="1" operator="lessThan">
      <formula>100%</formula>
    </cfRule>
  </conditionalFormatting>
  <conditionalFormatting sqref="L10:M18 L19:L29 K30:K32">
    <cfRule type="cellIs" dxfId="9" priority="23" operator="between">
      <formula>61</formula>
      <formula>65</formula>
    </cfRule>
    <cfRule type="cellIs" dxfId="8" priority="24" operator="greaterThan">
      <formula>65</formula>
    </cfRule>
  </conditionalFormatting>
  <conditionalFormatting sqref="L35:M46">
    <cfRule type="cellIs" dxfId="7" priority="57" operator="lessThan">
      <formula>98</formula>
    </cfRule>
  </conditionalFormatting>
  <conditionalFormatting sqref="L50:N50">
    <cfRule type="cellIs" dxfId="6" priority="62" operator="notEqual">
      <formula>#REF!</formula>
    </cfRule>
  </conditionalFormatting>
  <conditionalFormatting sqref="L81:N89">
    <cfRule type="cellIs" dxfId="5" priority="90" stopIfTrue="1" operator="lessThan">
      <formula>100%</formula>
    </cfRule>
  </conditionalFormatting>
  <conditionalFormatting sqref="M10:M29 L30:M32">
    <cfRule type="expression" dxfId="4" priority="20">
      <formula>IF(+(IF(L10&lt;T10,0,IF(L10&gt;U10,0,1)))=0,1)</formula>
    </cfRule>
  </conditionalFormatting>
  <conditionalFormatting sqref="M6:N6">
    <cfRule type="cellIs" dxfId="3" priority="64" operator="greaterThanOrEqual">
      <formula>19</formula>
    </cfRule>
    <cfRule type="cellIs" dxfId="2" priority="63" operator="greaterThanOrEqual">
      <formula>15</formula>
    </cfRule>
  </conditionalFormatting>
  <conditionalFormatting sqref="N10:N32">
    <cfRule type="expression" dxfId="1" priority="19">
      <formula>IF(+(IF(N10&lt;W10,0,IF(N10&gt;X10,0,1)))=0,1)</formula>
    </cfRule>
  </conditionalFormatting>
  <conditionalFormatting sqref="P6">
    <cfRule type="cellIs" dxfId="0" priority="86" operator="greaterThanOrEqual">
      <formula>19</formula>
    </cfRule>
  </conditionalFormatting>
  <dataValidations count="1">
    <dataValidation type="list" allowBlank="1" showInputMessage="1" showErrorMessage="1" sqref="R8" xr:uid="{F839DB61-8B11-4D2F-A9E6-5991067B426A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hidden="1" customWidth="1"/>
    <col min="4" max="4" width="9.5546875" style="78" customWidth="1"/>
    <col min="5" max="5" width="8.5546875" style="78" customWidth="1"/>
    <col min="6" max="6" width="14.44140625" style="78" hidden="1" customWidth="1"/>
    <col min="7" max="8" width="9.44140625" style="78" bestFit="1" customWidth="1"/>
    <col min="9" max="9" width="11.5546875" style="78" hidden="1" customWidth="1"/>
    <col min="10" max="10" width="10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95" t="s">
        <v>58</v>
      </c>
      <c r="C2" s="595"/>
      <c r="D2" s="595"/>
      <c r="E2" s="595"/>
      <c r="F2" s="595"/>
      <c r="G2" s="595"/>
      <c r="H2" s="595"/>
      <c r="I2" s="595"/>
      <c r="J2" s="595"/>
      <c r="K2" s="595"/>
    </row>
    <row r="3" spans="2:14" ht="15.6" hidden="1" thickBot="1">
      <c r="B3" s="79"/>
    </row>
    <row r="4" spans="2:14" ht="13.8" hidden="1" thickBot="1">
      <c r="B4" s="78" t="s">
        <v>7</v>
      </c>
      <c r="C4" s="596">
        <v>41431</v>
      </c>
      <c r="D4" s="596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93" t="s">
        <v>17</v>
      </c>
      <c r="C8" s="579" t="s">
        <v>18</v>
      </c>
      <c r="D8" s="579" t="s">
        <v>59</v>
      </c>
      <c r="E8" s="80" t="s">
        <v>20</v>
      </c>
      <c r="F8" s="81" t="s">
        <v>21</v>
      </c>
      <c r="G8" s="579" t="s">
        <v>60</v>
      </c>
      <c r="H8" s="579" t="s">
        <v>61</v>
      </c>
      <c r="I8" s="599" t="s">
        <v>62</v>
      </c>
      <c r="J8" s="82" t="s">
        <v>25</v>
      </c>
      <c r="K8" s="589" t="s">
        <v>28</v>
      </c>
    </row>
    <row r="9" spans="2:14" ht="27" hidden="1" thickBot="1">
      <c r="B9" s="597"/>
      <c r="C9" s="598"/>
      <c r="D9" s="598"/>
      <c r="E9" s="83" t="s">
        <v>30</v>
      </c>
      <c r="F9" s="84" t="s">
        <v>63</v>
      </c>
      <c r="G9" s="598"/>
      <c r="H9" s="598"/>
      <c r="I9" s="600"/>
      <c r="J9" s="85" t="s">
        <v>32</v>
      </c>
      <c r="K9" s="601"/>
      <c r="L9" s="86"/>
      <c r="M9" s="86"/>
      <c r="N9" s="86"/>
    </row>
    <row r="10" spans="2:14" ht="13.8" hidden="1" thickBot="1">
      <c r="B10" s="87" t="s">
        <v>64</v>
      </c>
      <c r="C10" s="88" t="str">
        <f>[35]Brewhouse!A5359</f>
        <v>CA236</v>
      </c>
      <c r="D10" s="88">
        <f>[35]Brewhouse!B5359</f>
        <v>41437</v>
      </c>
      <c r="E10" s="89">
        <f>[35]Brewhouse!AG5359</f>
        <v>49.011000000000003</v>
      </c>
      <c r="F10" s="90">
        <f>[35]Brewhouse!T5359</f>
        <v>60</v>
      </c>
      <c r="G10" s="91">
        <f>[35]Brewhouse!I5359</f>
        <v>19.79</v>
      </c>
      <c r="H10" s="92">
        <f>[35]Brewhouse!AS5359</f>
        <v>94.981545664755075</v>
      </c>
      <c r="I10" s="92">
        <f>[35]Brewhouse!AT5359</f>
        <v>97.074072469002047</v>
      </c>
      <c r="J10" s="93">
        <f>[35]Brewhouse!S5359-[35]Brewhouse!R5359</f>
        <v>0.10694444444444451</v>
      </c>
      <c r="K10" s="94"/>
      <c r="N10" s="95"/>
    </row>
    <row r="11" spans="2:14" ht="13.8" hidden="1" thickBot="1">
      <c r="B11" s="96"/>
      <c r="C11" s="88" t="str">
        <f>[35]Brewhouse!A5360</f>
        <v>CA237</v>
      </c>
      <c r="D11" s="88">
        <f>[35]Brewhouse!B5360</f>
        <v>41437</v>
      </c>
      <c r="E11" s="89">
        <f>[35]Brewhouse!AG5360</f>
        <v>48.531999999999996</v>
      </c>
      <c r="F11" s="90">
        <f>[35]Brewhouse!T5360</f>
        <v>68</v>
      </c>
      <c r="G11" s="91">
        <f>[35]Brewhouse!I5360</f>
        <v>17.7</v>
      </c>
      <c r="H11" s="92">
        <f>[35]Brewhouse!AS5360</f>
        <v>94.053260986347809</v>
      </c>
      <c r="I11" s="92">
        <f>[35]Brewhouse!AT5360</f>
        <v>96.1253368644918</v>
      </c>
      <c r="J11" s="93">
        <f>[35]Brewhouse!S5360-[35]Brewhouse!R5360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[35]Brewhouse!A5361</f>
        <v>CA238</v>
      </c>
      <c r="D12" s="88">
        <f>[35]Brewhouse!B5361</f>
        <v>41437</v>
      </c>
      <c r="E12" s="89">
        <f>[35]Brewhouse!AG5361</f>
        <v>50.466999999999999</v>
      </c>
      <c r="F12" s="90">
        <f>[35]Brewhouse!T5361</f>
        <v>61</v>
      </c>
      <c r="G12" s="91">
        <f>[35]Brewhouse!I5361</f>
        <v>19.7</v>
      </c>
      <c r="H12" s="92">
        <f>[35]Brewhouse!AS5361</f>
        <v>96.931393272913695</v>
      </c>
      <c r="I12" s="92">
        <f>[35]Brewhouse!AT5361</f>
        <v>99.066876931102286</v>
      </c>
      <c r="J12" s="93">
        <f>[35]Brewhouse!S5361-[35]Brewhouse!R5361</f>
        <v>0.10208333333333341</v>
      </c>
      <c r="K12" s="98"/>
    </row>
    <row r="13" spans="2:14" ht="13.8" hidden="1" thickBot="1">
      <c r="B13" s="99"/>
      <c r="C13" s="88" t="str">
        <f>[35]Brewhouse!A5362</f>
        <v>CA239</v>
      </c>
      <c r="D13" s="88">
        <f>[35]Brewhouse!B5362</f>
        <v>41437</v>
      </c>
      <c r="E13" s="89">
        <f>[35]Brewhouse!AG5362</f>
        <v>49.374000000000002</v>
      </c>
      <c r="F13" s="90">
        <f>[35]Brewhouse!T5362</f>
        <v>62</v>
      </c>
      <c r="G13" s="91">
        <f>[35]Brewhouse!I5362</f>
        <v>19</v>
      </c>
      <c r="H13" s="92">
        <f>[35]Brewhouse!AS5362</f>
        <v>95.68502653795305</v>
      </c>
      <c r="I13" s="92">
        <f>[35]Brewhouse!AT5362</f>
        <v>97.793051643192499</v>
      </c>
      <c r="J13" s="93">
        <f>[35]Brewhouse!S5362-[35]Brewhouse!R5362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587" t="s">
        <v>69</v>
      </c>
      <c r="G21" s="588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[35]Brewhouse!N5359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[35]Brewhouse!N5360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[35]Brewhouse!N5361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[35]Brewhouse!N5362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AVERAGE([35]Brewhouse!$AS$5347:$AS$5362)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AVERAGE([36]Brewhouse!$AQ$641:$AQ$644)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AVERAGE([37]Brewhouse!$AU$708:$AU$711)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AVERAGE([38]Brewhouse!$AY$943:$AY$946)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93" t="s">
        <v>17</v>
      </c>
      <c r="C43" s="579" t="s">
        <v>18</v>
      </c>
      <c r="D43" s="579" t="s">
        <v>44</v>
      </c>
      <c r="E43" s="579" t="s">
        <v>79</v>
      </c>
      <c r="F43" s="579" t="s">
        <v>51</v>
      </c>
      <c r="G43" s="579" t="s">
        <v>48</v>
      </c>
      <c r="H43" s="581" t="s">
        <v>28</v>
      </c>
      <c r="I43" s="582"/>
      <c r="J43" s="582"/>
      <c r="K43" s="589" t="s">
        <v>27</v>
      </c>
    </row>
    <row r="44" spans="2:15" ht="15.75" hidden="1" customHeight="1" thickBot="1">
      <c r="B44" s="594"/>
      <c r="C44" s="580"/>
      <c r="D44" s="580"/>
      <c r="E44" s="580"/>
      <c r="F44" s="580"/>
      <c r="G44" s="580"/>
      <c r="H44" s="583"/>
      <c r="I44" s="584"/>
      <c r="J44" s="584"/>
      <c r="K44" s="590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591"/>
      <c r="I45" s="592"/>
      <c r="J45" s="592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585"/>
      <c r="I46" s="586"/>
      <c r="J46" s="586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585"/>
      <c r="I47" s="586"/>
      <c r="J47" s="586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585"/>
      <c r="I48" s="586"/>
      <c r="J48" s="586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77"/>
      <c r="I49" s="578"/>
      <c r="J49" s="578"/>
      <c r="K49" s="172"/>
    </row>
    <row r="50" spans="2:11" ht="13.8" hidden="1" thickBot="1">
      <c r="B50" s="173"/>
      <c r="C50" s="160"/>
      <c r="E50" s="168"/>
      <c r="F50" s="168"/>
      <c r="G50" s="145"/>
      <c r="H50" s="577"/>
      <c r="I50" s="578"/>
      <c r="J50" s="578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77"/>
      <c r="I51" s="578"/>
      <c r="J51" s="578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568"/>
      <c r="I52" s="569"/>
      <c r="J52" s="569"/>
      <c r="K52" s="183"/>
    </row>
    <row r="53" spans="2:11" ht="13.8" thickBot="1">
      <c r="B53" s="184"/>
      <c r="C53" s="117"/>
      <c r="D53" s="570" t="s">
        <v>80</v>
      </c>
      <c r="E53" s="570"/>
      <c r="F53" s="570"/>
      <c r="G53" s="570"/>
      <c r="H53" s="570"/>
      <c r="I53" s="570"/>
      <c r="J53" s="570"/>
      <c r="K53" s="185"/>
    </row>
    <row r="54" spans="2:11" ht="13.8" thickBot="1">
      <c r="B54" s="571" t="s">
        <v>55</v>
      </c>
      <c r="C54" s="572"/>
      <c r="D54" s="572"/>
      <c r="E54" s="573"/>
      <c r="F54" s="571" t="s">
        <v>56</v>
      </c>
      <c r="G54" s="572"/>
      <c r="H54" s="573"/>
      <c r="I54" s="574" t="s">
        <v>81</v>
      </c>
      <c r="J54" s="575"/>
      <c r="K54" s="576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3.8">
      <c r="B56" s="29" t="s">
        <v>64</v>
      </c>
      <c r="C56" s="191"/>
      <c r="D56" s="76">
        <f>[34]MTD!E5</f>
        <v>6.2926775321037809</v>
      </c>
      <c r="E56" s="192">
        <v>5</v>
      </c>
      <c r="F56" s="191"/>
      <c r="G56" s="76">
        <f>[32]April_2025!AN3</f>
        <v>5.5316685773910379</v>
      </c>
      <c r="H56" s="192">
        <v>5</v>
      </c>
      <c r="I56" s="193"/>
      <c r="J56" s="194">
        <f>[33]April_2025!AN13</f>
        <v>0.70223745517780711</v>
      </c>
      <c r="K56" s="195">
        <v>1</v>
      </c>
    </row>
    <row r="57" spans="2:11" ht="13.8">
      <c r="B57" s="33" t="s">
        <v>72</v>
      </c>
      <c r="C57" s="191"/>
      <c r="D57" s="76">
        <f>[34]MTD!E6</f>
        <v>4.9164813325131247</v>
      </c>
      <c r="E57" s="192">
        <v>5</v>
      </c>
      <c r="F57" s="191"/>
      <c r="G57" s="76">
        <f>[32]April_2025!AN4</f>
        <v>3.7311899747361132</v>
      </c>
      <c r="H57" s="192">
        <v>5</v>
      </c>
      <c r="I57" s="196"/>
      <c r="J57" s="194">
        <f>[33]April_2025!AN14</f>
        <v>0.86837351230333448</v>
      </c>
      <c r="K57" s="195">
        <v>1</v>
      </c>
    </row>
    <row r="58" spans="2:11" ht="13.8">
      <c r="B58" s="34" t="s">
        <v>73</v>
      </c>
      <c r="C58" s="191"/>
      <c r="D58" s="76">
        <f>[34]MTD!E7</f>
        <v>10.820685778527247</v>
      </c>
      <c r="E58" s="192">
        <v>5</v>
      </c>
      <c r="F58" s="191"/>
      <c r="G58" s="76">
        <f>[32]April_2025!AN5</f>
        <v>11.265054002593653</v>
      </c>
      <c r="H58" s="192">
        <v>5</v>
      </c>
      <c r="I58" s="196"/>
      <c r="J58" s="194">
        <f>[33]April_2025!AN15</f>
        <v>0.60157894736842099</v>
      </c>
      <c r="K58" s="195">
        <v>1</v>
      </c>
    </row>
    <row r="59" spans="2:11" ht="13.8">
      <c r="B59" s="197" t="s">
        <v>74</v>
      </c>
      <c r="C59" s="191"/>
      <c r="D59" s="76">
        <f>[34]MTD!E8</f>
        <v>3.2321253672869714</v>
      </c>
      <c r="E59" s="192">
        <v>3.5</v>
      </c>
      <c r="F59" s="191"/>
      <c r="G59" s="76">
        <f>[32]April_2025!AN6</f>
        <v>2.3924874613168265</v>
      </c>
      <c r="H59" s="192">
        <v>3.5</v>
      </c>
      <c r="I59" s="196"/>
      <c r="J59" s="194">
        <f>[33]April_2025!AN16</f>
        <v>1.3866666666666667</v>
      </c>
      <c r="K59" s="195">
        <v>1</v>
      </c>
    </row>
    <row r="60" spans="2:11" ht="14.4" thickBot="1">
      <c r="B60" s="38" t="s">
        <v>161</v>
      </c>
      <c r="C60" s="191"/>
      <c r="D60" s="76" t="e">
        <f>[34]MTD!E9</f>
        <v>#DIV/0!</v>
      </c>
      <c r="E60" s="192">
        <v>3.5</v>
      </c>
      <c r="F60" s="198"/>
      <c r="G60" s="76" t="e">
        <f>[32]April_2025!AN7</f>
        <v>#DIV/0!</v>
      </c>
      <c r="H60" s="192">
        <v>3.5</v>
      </c>
      <c r="I60" s="196"/>
      <c r="J60" s="194" t="e">
        <f>[33]April_2025!AN17</f>
        <v>#DIV/0!</v>
      </c>
      <c r="K60" s="195">
        <v>1</v>
      </c>
    </row>
    <row r="61" spans="2:11" ht="13.8">
      <c r="B61" s="199" t="s">
        <v>76</v>
      </c>
      <c r="C61" s="191"/>
      <c r="D61" s="76">
        <f>[34]MTD!E10</f>
        <v>5.9443911792905233</v>
      </c>
      <c r="E61" s="200">
        <v>5</v>
      </c>
      <c r="F61" s="191"/>
      <c r="G61" s="76">
        <f>[32]April_2025!AN8</f>
        <v>7.0254499502894436</v>
      </c>
      <c r="H61" s="200">
        <v>5</v>
      </c>
      <c r="I61" s="196"/>
      <c r="J61" s="194">
        <f>[33]April_2025!AN18</f>
        <v>0.68842105263157893</v>
      </c>
      <c r="K61" s="195">
        <v>1</v>
      </c>
    </row>
    <row r="62" spans="2:11" ht="13.8">
      <c r="B62" s="201" t="s">
        <v>82</v>
      </c>
      <c r="C62" s="202"/>
      <c r="D62" s="76">
        <f>[34]MTD!E11</f>
        <v>0.38967364831952411</v>
      </c>
      <c r="E62" s="200">
        <v>3.3</v>
      </c>
      <c r="F62" s="202"/>
      <c r="G62" s="76">
        <f>[32]April_2025!AN9</f>
        <v>3.9053322254376623</v>
      </c>
      <c r="H62" s="200">
        <v>3.3</v>
      </c>
      <c r="I62" s="203"/>
      <c r="J62" s="194">
        <f>[33]April_2025!AN19</f>
        <v>0.71754385964912282</v>
      </c>
      <c r="K62" s="204">
        <v>1</v>
      </c>
    </row>
    <row r="63" spans="2:11" ht="14.4" thickBot="1">
      <c r="B63" s="38" t="s">
        <v>128</v>
      </c>
      <c r="C63" s="205"/>
      <c r="D63" s="76" t="e">
        <f>[34]MTD!E12</f>
        <v>#DIV/0!</v>
      </c>
      <c r="E63" s="206">
        <v>3.5</v>
      </c>
      <c r="F63" s="205"/>
      <c r="G63" s="76" t="e">
        <f>[32]April_2025!AN10</f>
        <v>#DIV/0!</v>
      </c>
      <c r="H63" s="206">
        <v>3.5</v>
      </c>
      <c r="I63" s="207"/>
      <c r="J63" s="194" t="e">
        <f>[33]April_2025!AN20</f>
        <v>#DIV/0!</v>
      </c>
      <c r="K63" s="208">
        <v>1</v>
      </c>
    </row>
    <row r="64" spans="2:11" ht="14.4" thickBot="1">
      <c r="B64" s="414" t="s">
        <v>160</v>
      </c>
      <c r="C64" s="198"/>
      <c r="D64" s="76" t="e">
        <f>[34]MTD!E13</f>
        <v>#DIV/0!</v>
      </c>
      <c r="E64" s="192">
        <v>5</v>
      </c>
      <c r="F64" s="198"/>
      <c r="G64" s="76" t="e">
        <f>[32]April_2025!AN11</f>
        <v>#DIV/0!</v>
      </c>
      <c r="H64" s="192">
        <v>5</v>
      </c>
      <c r="I64" s="413"/>
      <c r="J64" s="194">
        <f>[33]April_2025!AN21</f>
        <v>0</v>
      </c>
      <c r="K64" s="208">
        <v>1</v>
      </c>
    </row>
    <row r="65" spans="2:11">
      <c r="B65" s="209"/>
      <c r="C65" s="210"/>
      <c r="D65" s="76">
        <f>[34]MTD!E14</f>
        <v>5.9979801920808047</v>
      </c>
      <c r="E65" s="210"/>
      <c r="F65" s="210"/>
      <c r="G65" s="76">
        <f>[32]April_2025!AN12</f>
        <v>5.5998779636172795</v>
      </c>
      <c r="H65" s="211"/>
      <c r="I65" s="212"/>
      <c r="J65" s="194">
        <f>[33]April_2025!AN22</f>
        <v>0.75775978407557354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J56" sqref="J56:J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customWidth="1"/>
    <col min="4" max="4" width="9.5546875" style="78" customWidth="1"/>
    <col min="5" max="5" width="8.5546875" style="78" customWidth="1"/>
    <col min="6" max="6" width="14.44140625" style="78" customWidth="1"/>
    <col min="7" max="7" width="11.44140625" style="78" customWidth="1"/>
    <col min="8" max="8" width="9.44140625" style="78" bestFit="1" customWidth="1"/>
    <col min="9" max="9" width="11.5546875" style="78" customWidth="1"/>
    <col min="10" max="10" width="11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95" t="s">
        <v>58</v>
      </c>
      <c r="C2" s="595"/>
      <c r="D2" s="595"/>
      <c r="E2" s="595"/>
      <c r="F2" s="595"/>
      <c r="G2" s="595"/>
      <c r="H2" s="595"/>
      <c r="I2" s="595"/>
      <c r="J2" s="595"/>
      <c r="K2" s="595"/>
    </row>
    <row r="3" spans="2:14" ht="15.6" hidden="1" thickBot="1">
      <c r="B3" s="79"/>
    </row>
    <row r="4" spans="2:14" ht="13.8" hidden="1" thickBot="1">
      <c r="B4" s="78" t="s">
        <v>7</v>
      </c>
      <c r="C4" s="596">
        <v>41431</v>
      </c>
      <c r="D4" s="596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93" t="s">
        <v>17</v>
      </c>
      <c r="C8" s="579" t="s">
        <v>18</v>
      </c>
      <c r="D8" s="579" t="s">
        <v>59</v>
      </c>
      <c r="E8" s="80" t="s">
        <v>20</v>
      </c>
      <c r="F8" s="81" t="s">
        <v>21</v>
      </c>
      <c r="G8" s="579" t="s">
        <v>60</v>
      </c>
      <c r="H8" s="579" t="s">
        <v>61</v>
      </c>
      <c r="I8" s="599" t="s">
        <v>62</v>
      </c>
      <c r="J8" s="82" t="s">
        <v>25</v>
      </c>
      <c r="K8" s="589" t="s">
        <v>28</v>
      </c>
    </row>
    <row r="9" spans="2:14" ht="27" hidden="1" thickBot="1">
      <c r="B9" s="597"/>
      <c r="C9" s="598"/>
      <c r="D9" s="598"/>
      <c r="E9" s="83" t="s">
        <v>30</v>
      </c>
      <c r="F9" s="84" t="s">
        <v>63</v>
      </c>
      <c r="G9" s="598"/>
      <c r="H9" s="598"/>
      <c r="I9" s="600"/>
      <c r="J9" s="85" t="s">
        <v>32</v>
      </c>
      <c r="K9" s="601"/>
      <c r="L9" s="86"/>
      <c r="M9" s="86"/>
      <c r="N9" s="86"/>
    </row>
    <row r="10" spans="2:14" ht="13.8" hidden="1" thickBot="1">
      <c r="B10" s="87" t="s">
        <v>64</v>
      </c>
      <c r="C10" s="88" t="str">
        <f>[35]Brewhouse!A5359</f>
        <v>CA236</v>
      </c>
      <c r="D10" s="88">
        <f>[35]Brewhouse!B5359</f>
        <v>41437</v>
      </c>
      <c r="E10" s="89">
        <f>[35]Brewhouse!AG5359</f>
        <v>49.011000000000003</v>
      </c>
      <c r="F10" s="90">
        <f>[35]Brewhouse!T5359</f>
        <v>60</v>
      </c>
      <c r="G10" s="91">
        <f>[35]Brewhouse!I5359</f>
        <v>19.79</v>
      </c>
      <c r="H10" s="92">
        <f>[35]Brewhouse!AS5359</f>
        <v>94.981545664755075</v>
      </c>
      <c r="I10" s="92">
        <f>[35]Brewhouse!AT5359</f>
        <v>97.074072469002047</v>
      </c>
      <c r="J10" s="93">
        <f>[35]Brewhouse!S5359-[35]Brewhouse!R5359</f>
        <v>0.10694444444444451</v>
      </c>
      <c r="K10" s="94"/>
      <c r="N10" s="95"/>
    </row>
    <row r="11" spans="2:14" ht="13.8" hidden="1" thickBot="1">
      <c r="B11" s="96"/>
      <c r="C11" s="88" t="str">
        <f>[35]Brewhouse!A5360</f>
        <v>CA237</v>
      </c>
      <c r="D11" s="88">
        <f>[35]Brewhouse!B5360</f>
        <v>41437</v>
      </c>
      <c r="E11" s="89">
        <f>[35]Brewhouse!AG5360</f>
        <v>48.531999999999996</v>
      </c>
      <c r="F11" s="90">
        <f>[35]Brewhouse!T5360</f>
        <v>68</v>
      </c>
      <c r="G11" s="91">
        <f>[35]Brewhouse!I5360</f>
        <v>17.7</v>
      </c>
      <c r="H11" s="92">
        <f>[35]Brewhouse!AS5360</f>
        <v>94.053260986347809</v>
      </c>
      <c r="I11" s="92">
        <f>[35]Brewhouse!AT5360</f>
        <v>96.1253368644918</v>
      </c>
      <c r="J11" s="93">
        <f>[35]Brewhouse!S5360-[35]Brewhouse!R5360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[35]Brewhouse!A5361</f>
        <v>CA238</v>
      </c>
      <c r="D12" s="88">
        <f>[35]Brewhouse!B5361</f>
        <v>41437</v>
      </c>
      <c r="E12" s="89">
        <f>[35]Brewhouse!AG5361</f>
        <v>50.466999999999999</v>
      </c>
      <c r="F12" s="90">
        <f>[35]Brewhouse!T5361</f>
        <v>61</v>
      </c>
      <c r="G12" s="91">
        <f>[35]Brewhouse!I5361</f>
        <v>19.7</v>
      </c>
      <c r="H12" s="92">
        <f>[35]Brewhouse!AS5361</f>
        <v>96.931393272913695</v>
      </c>
      <c r="I12" s="92">
        <f>[35]Brewhouse!AT5361</f>
        <v>99.066876931102286</v>
      </c>
      <c r="J12" s="93">
        <f>[35]Brewhouse!S5361-[35]Brewhouse!R5361</f>
        <v>0.10208333333333341</v>
      </c>
      <c r="K12" s="98"/>
    </row>
    <row r="13" spans="2:14" ht="13.8" hidden="1" thickBot="1">
      <c r="B13" s="99"/>
      <c r="C13" s="88" t="str">
        <f>[35]Brewhouse!A5362</f>
        <v>CA239</v>
      </c>
      <c r="D13" s="88">
        <f>[35]Brewhouse!B5362</f>
        <v>41437</v>
      </c>
      <c r="E13" s="89">
        <f>[35]Brewhouse!AG5362</f>
        <v>49.374000000000002</v>
      </c>
      <c r="F13" s="90">
        <f>[35]Brewhouse!T5362</f>
        <v>62</v>
      </c>
      <c r="G13" s="91">
        <f>[35]Brewhouse!I5362</f>
        <v>19</v>
      </c>
      <c r="H13" s="92">
        <f>[35]Brewhouse!AS5362</f>
        <v>95.68502653795305</v>
      </c>
      <c r="I13" s="92">
        <f>[35]Brewhouse!AT5362</f>
        <v>97.793051643192499</v>
      </c>
      <c r="J13" s="93">
        <f>[35]Brewhouse!S5362-[35]Brewhouse!R5362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587" t="s">
        <v>69</v>
      </c>
      <c r="G21" s="588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[35]Brewhouse!N5359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[35]Brewhouse!N5360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[35]Brewhouse!N5361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[35]Brewhouse!N5362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AVERAGE([35]Brewhouse!$AS$5347:$AS$5362)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AVERAGE([36]Brewhouse!$AQ$641:$AQ$644)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AVERAGE([37]Brewhouse!$AU$708:$AU$711)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AVERAGE([38]Brewhouse!$AY$943:$AY$946)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93" t="s">
        <v>17</v>
      </c>
      <c r="C43" s="579" t="s">
        <v>18</v>
      </c>
      <c r="D43" s="579" t="s">
        <v>44</v>
      </c>
      <c r="E43" s="579" t="s">
        <v>79</v>
      </c>
      <c r="F43" s="579" t="s">
        <v>51</v>
      </c>
      <c r="G43" s="579" t="s">
        <v>48</v>
      </c>
      <c r="H43" s="581" t="s">
        <v>28</v>
      </c>
      <c r="I43" s="582"/>
      <c r="J43" s="582"/>
      <c r="K43" s="589" t="s">
        <v>27</v>
      </c>
    </row>
    <row r="44" spans="2:15" ht="15.75" hidden="1" customHeight="1" thickBot="1">
      <c r="B44" s="594"/>
      <c r="C44" s="580"/>
      <c r="D44" s="580"/>
      <c r="E44" s="580"/>
      <c r="F44" s="580"/>
      <c r="G44" s="580"/>
      <c r="H44" s="583"/>
      <c r="I44" s="584"/>
      <c r="J44" s="584"/>
      <c r="K44" s="590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591"/>
      <c r="I45" s="592"/>
      <c r="J45" s="592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585"/>
      <c r="I46" s="586"/>
      <c r="J46" s="586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585"/>
      <c r="I47" s="586"/>
      <c r="J47" s="586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585"/>
      <c r="I48" s="586"/>
      <c r="J48" s="586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77"/>
      <c r="I49" s="578"/>
      <c r="J49" s="578"/>
      <c r="K49" s="172"/>
    </row>
    <row r="50" spans="2:11" ht="13.8" hidden="1" thickBot="1">
      <c r="B50" s="173"/>
      <c r="C50" s="160"/>
      <c r="E50" s="168"/>
      <c r="F50" s="168"/>
      <c r="G50" s="145"/>
      <c r="H50" s="577"/>
      <c r="I50" s="578"/>
      <c r="J50" s="578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77"/>
      <c r="I51" s="578"/>
      <c r="J51" s="578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568"/>
      <c r="I52" s="569"/>
      <c r="J52" s="569"/>
      <c r="K52" s="183"/>
    </row>
    <row r="53" spans="2:11" ht="13.8" thickBot="1">
      <c r="B53" s="184"/>
      <c r="C53" s="117"/>
      <c r="D53" s="570" t="s">
        <v>80</v>
      </c>
      <c r="E53" s="570"/>
      <c r="F53" s="570"/>
      <c r="G53" s="570"/>
      <c r="H53" s="570"/>
      <c r="I53" s="570"/>
      <c r="J53" s="570"/>
      <c r="K53" s="185"/>
    </row>
    <row r="54" spans="2:11" ht="13.8" thickBot="1">
      <c r="B54" s="571" t="s">
        <v>55</v>
      </c>
      <c r="C54" s="572"/>
      <c r="D54" s="572"/>
      <c r="E54" s="573"/>
      <c r="F54" s="571" t="s">
        <v>56</v>
      </c>
      <c r="G54" s="572"/>
      <c r="H54" s="573"/>
      <c r="I54" s="574" t="s">
        <v>81</v>
      </c>
      <c r="J54" s="575"/>
      <c r="K54" s="576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3.8">
      <c r="B56" s="29" t="s">
        <v>64</v>
      </c>
      <c r="C56" s="191"/>
      <c r="D56" s="76">
        <f>'[34]YTD 2025'!$E5</f>
        <v>6.9531818654466129</v>
      </c>
      <c r="E56" s="192">
        <v>5</v>
      </c>
      <c r="F56" s="191"/>
      <c r="G56" s="76">
        <f>[32]April_2025!AQ3</f>
        <v>7.1725551897553945</v>
      </c>
      <c r="H56" s="192">
        <v>5</v>
      </c>
      <c r="I56" s="193"/>
      <c r="J56" s="194">
        <f>[33]April_2025!AQ13</f>
        <v>0.75970500394081208</v>
      </c>
      <c r="K56" s="195">
        <v>1</v>
      </c>
    </row>
    <row r="57" spans="2:11" ht="13.8">
      <c r="B57" s="33" t="s">
        <v>72</v>
      </c>
      <c r="C57" s="191"/>
      <c r="D57" s="76">
        <f>'[34]YTD 2025'!$E6</f>
        <v>6.6626746660217995</v>
      </c>
      <c r="E57" s="192">
        <v>5</v>
      </c>
      <c r="F57" s="191"/>
      <c r="G57" s="76">
        <f>[32]April_2025!AQ4</f>
        <v>6.6012405294716094</v>
      </c>
      <c r="H57" s="192">
        <v>5</v>
      </c>
      <c r="I57" s="196"/>
      <c r="J57" s="194">
        <f>[33]April_2025!AQ14</f>
        <v>0.75323691521525205</v>
      </c>
      <c r="K57" s="195">
        <v>1</v>
      </c>
    </row>
    <row r="58" spans="2:11" ht="13.8">
      <c r="B58" s="34" t="s">
        <v>73</v>
      </c>
      <c r="C58" s="191"/>
      <c r="D58" s="76">
        <f>'[34]YTD 2025'!$E7</f>
        <v>11.956968054529007</v>
      </c>
      <c r="E58" s="192">
        <v>5</v>
      </c>
      <c r="F58" s="191"/>
      <c r="G58" s="76">
        <f>[32]April_2025!AQ5</f>
        <v>13.449891307585697</v>
      </c>
      <c r="H58" s="192">
        <v>5</v>
      </c>
      <c r="I58" s="196"/>
      <c r="J58" s="194">
        <f>[33]April_2025!AQ15</f>
        <v>0.54554653679653675</v>
      </c>
      <c r="K58" s="195">
        <v>1</v>
      </c>
    </row>
    <row r="59" spans="2:11" ht="13.8">
      <c r="B59" s="197" t="s">
        <v>74</v>
      </c>
      <c r="C59" s="191"/>
      <c r="D59" s="76">
        <f>'[34]YTD 2025'!$E8</f>
        <v>4.6593071945184654</v>
      </c>
      <c r="E59" s="192">
        <v>3.5</v>
      </c>
      <c r="F59" s="191"/>
      <c r="G59" s="76">
        <f>[32]April_2025!AQ6</f>
        <v>5.0359151649923692</v>
      </c>
      <c r="H59" s="192">
        <v>3.5</v>
      </c>
      <c r="I59" s="196"/>
      <c r="J59" s="194">
        <f>[33]April_2025!AQ16</f>
        <v>0.87880701754385959</v>
      </c>
      <c r="K59" s="195">
        <v>1</v>
      </c>
    </row>
    <row r="60" spans="2:11" ht="14.4" thickBot="1">
      <c r="B60" s="38" t="s">
        <v>161</v>
      </c>
      <c r="C60" s="191"/>
      <c r="D60" s="76" t="e">
        <f>'[34]YTD 2025'!$E9</f>
        <v>#DIV/0!</v>
      </c>
      <c r="E60" s="192">
        <v>3.5</v>
      </c>
      <c r="F60" s="198"/>
      <c r="G60" s="76" t="e">
        <f>[32]April_2025!AQ7</f>
        <v>#DIV/0!</v>
      </c>
      <c r="H60" s="192">
        <v>3.5</v>
      </c>
      <c r="I60" s="196"/>
      <c r="J60" s="194" t="e">
        <f>[33]April_2025!AQ17</f>
        <v>#DIV/0!</v>
      </c>
      <c r="K60" s="195">
        <v>1</v>
      </c>
    </row>
    <row r="61" spans="2:11" ht="13.8">
      <c r="B61" s="199" t="s">
        <v>76</v>
      </c>
      <c r="C61" s="191"/>
      <c r="D61" s="76">
        <f>'[34]YTD 2025'!$E10</f>
        <v>7.8262258425171876</v>
      </c>
      <c r="E61" s="200">
        <v>5</v>
      </c>
      <c r="F61" s="191"/>
      <c r="G61" s="76">
        <f>[32]April_2025!AQ8</f>
        <v>9.4300678869947632</v>
      </c>
      <c r="H61" s="200">
        <v>5</v>
      </c>
      <c r="I61" s="196"/>
      <c r="J61" s="194">
        <f>[33]April_2025!AQ18</f>
        <v>0.674970760233918</v>
      </c>
      <c r="K61" s="195">
        <v>1</v>
      </c>
    </row>
    <row r="62" spans="2:11" ht="13.8">
      <c r="B62" s="201" t="s">
        <v>82</v>
      </c>
      <c r="C62" s="202"/>
      <c r="D62" s="76">
        <f>'[34]YTD 2025'!$E11</f>
        <v>2.2264009025949534</v>
      </c>
      <c r="E62" s="200">
        <v>3.3</v>
      </c>
      <c r="F62" s="202"/>
      <c r="G62" s="76">
        <f>[32]April_2025!AQ9</f>
        <v>4.5764571827076486</v>
      </c>
      <c r="H62" s="200">
        <v>3.3</v>
      </c>
      <c r="I62" s="203"/>
      <c r="J62" s="194">
        <f>[33]April_2025!AQ19</f>
        <v>0.83594855305466242</v>
      </c>
      <c r="K62" s="204">
        <v>1</v>
      </c>
    </row>
    <row r="63" spans="2:11" ht="14.4" thickBot="1">
      <c r="B63" s="38" t="s">
        <v>128</v>
      </c>
      <c r="C63" s="205"/>
      <c r="D63" s="76" t="e">
        <f>'[34]YTD 2025'!$E12</f>
        <v>#DIV/0!</v>
      </c>
      <c r="E63" s="206">
        <v>3.5</v>
      </c>
      <c r="F63" s="205"/>
      <c r="G63" s="76" t="e">
        <f>[32]April_2025!AQ10</f>
        <v>#DIV/0!</v>
      </c>
      <c r="H63" s="206">
        <v>3.5</v>
      </c>
      <c r="I63" s="207"/>
      <c r="J63" s="194" t="e">
        <f>[33]April_2025!AQ20</f>
        <v>#DIV/0!</v>
      </c>
      <c r="K63" s="208">
        <v>1</v>
      </c>
    </row>
    <row r="64" spans="2:11" ht="14.4" thickBot="1">
      <c r="B64" s="414" t="s">
        <v>160</v>
      </c>
      <c r="C64" s="205"/>
      <c r="D64" s="76">
        <f>'[34]YTD 2025'!$E13</f>
        <v>4.8792508624938291</v>
      </c>
      <c r="E64" s="206">
        <v>5</v>
      </c>
      <c r="F64" s="205"/>
      <c r="G64" s="76">
        <f>[32]April_2025!AQ11</f>
        <v>6.2003723782925313</v>
      </c>
      <c r="H64" s="206">
        <v>5</v>
      </c>
      <c r="I64" s="207"/>
      <c r="J64" s="194">
        <f>[33]April_2025!AQ21</f>
        <v>0.33859649122807017</v>
      </c>
      <c r="K64" s="208">
        <v>1</v>
      </c>
    </row>
    <row r="65" spans="2:11">
      <c r="B65" s="209"/>
      <c r="C65" s="210"/>
      <c r="D65" s="76">
        <f>'[34]YTD 2025'!$E14</f>
        <v>6.9787493949721418</v>
      </c>
      <c r="E65" s="210"/>
      <c r="F65" s="210"/>
      <c r="G65" s="76">
        <f>[32]April_2025!AQ12</f>
        <v>7.5288675324499499</v>
      </c>
      <c r="H65" s="211"/>
      <c r="I65" s="212"/>
      <c r="J65" s="194">
        <f>[33]April_2025!AQ22</f>
        <v>0.73915991066443321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3.2"/>
  <cols>
    <col min="2" max="2" width="9.5546875" customWidth="1"/>
    <col min="3" max="3" width="11" customWidth="1"/>
    <col min="4" max="4" width="13.5546875" customWidth="1"/>
    <col min="5" max="5" width="15.5546875" customWidth="1"/>
    <col min="11" max="11" width="10.44140625" bestFit="1" customWidth="1"/>
    <col min="12" max="12" width="15.44140625" bestFit="1" customWidth="1"/>
    <col min="13" max="13" width="12.332031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6">
      <c r="A2" s="215"/>
      <c r="B2" s="602" t="s">
        <v>34</v>
      </c>
      <c r="C2" s="602"/>
      <c r="D2" s="602"/>
      <c r="E2" s="215"/>
      <c r="F2" s="215"/>
      <c r="G2" s="215"/>
      <c r="H2" s="215"/>
      <c r="I2" s="215"/>
      <c r="J2" s="215"/>
      <c r="K2" s="215"/>
    </row>
    <row r="3" spans="1:13" s="219" customFormat="1" ht="15.6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6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6">
      <c r="A14" s="215"/>
      <c r="B14" s="602" t="s">
        <v>100</v>
      </c>
      <c r="C14" s="602"/>
      <c r="D14" s="602"/>
      <c r="E14" s="215"/>
      <c r="F14" s="215"/>
      <c r="G14" s="215"/>
      <c r="H14" s="215"/>
      <c r="I14" s="215"/>
      <c r="J14" s="215"/>
      <c r="K14" s="215"/>
    </row>
    <row r="15" spans="1:13" ht="15.6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6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6">
      <c r="A27" s="215"/>
      <c r="B27" s="602" t="s">
        <v>101</v>
      </c>
      <c r="C27" s="602"/>
      <c r="D27" s="602"/>
      <c r="E27" s="215"/>
      <c r="F27" s="215"/>
      <c r="G27" s="215"/>
      <c r="H27" s="215"/>
      <c r="I27" s="215"/>
      <c r="J27" s="215"/>
      <c r="K27" s="215"/>
    </row>
    <row r="28" spans="1:13" ht="15.6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6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3.2"/>
  <cols>
    <col min="1" max="1" width="2.44140625" customWidth="1"/>
    <col min="2" max="2" width="6.44140625" customWidth="1"/>
    <col min="3" max="3" width="25.44140625" customWidth="1"/>
    <col min="4" max="4" width="19.44140625" customWidth="1"/>
    <col min="5" max="5" width="15" customWidth="1"/>
    <col min="6" max="6" width="17.5546875" customWidth="1"/>
    <col min="7" max="7" width="13.44140625" customWidth="1"/>
    <col min="8" max="11" width="13.5546875" customWidth="1"/>
    <col min="12" max="12" width="17.44140625" bestFit="1" customWidth="1"/>
    <col min="13" max="15" width="17.44140625" customWidth="1"/>
    <col min="16" max="16" width="13.44140625" customWidth="1"/>
    <col min="17" max="17" width="8.5546875" customWidth="1"/>
    <col min="18" max="20" width="11.5546875" customWidth="1"/>
  </cols>
  <sheetData>
    <row r="2" spans="3:23" ht="1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04" t="s">
        <v>102</v>
      </c>
      <c r="D3" s="605"/>
      <c r="E3" s="606">
        <f ca="1">TODAY()</f>
        <v>45784</v>
      </c>
      <c r="F3" s="606"/>
      <c r="G3" s="606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8.600000000000001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07" t="s">
        <v>143</v>
      </c>
      <c r="D14" s="607"/>
      <c r="E14" s="607"/>
      <c r="F14" s="607"/>
      <c r="G14" s="607"/>
      <c r="H14" s="607"/>
    </row>
    <row r="15" spans="3:23" ht="15" customHeight="1">
      <c r="C15" s="607"/>
      <c r="D15" s="607"/>
      <c r="E15" s="607"/>
      <c r="F15" s="607"/>
      <c r="G15" s="607"/>
      <c r="H15" s="607"/>
    </row>
    <row r="16" spans="3:23" ht="15" customHeight="1">
      <c r="C16" s="607"/>
      <c r="D16" s="607"/>
      <c r="E16" s="607"/>
      <c r="F16" s="607"/>
      <c r="G16" s="607"/>
      <c r="H16" s="607"/>
    </row>
    <row r="17" spans="3:8" ht="15" customHeight="1">
      <c r="C17" s="607"/>
      <c r="D17" s="607"/>
      <c r="E17" s="607"/>
      <c r="F17" s="607"/>
      <c r="G17" s="607"/>
      <c r="H17" s="607"/>
    </row>
    <row r="18" spans="3:8" ht="15" customHeight="1">
      <c r="C18" s="607"/>
      <c r="D18" s="607"/>
      <c r="E18" s="607"/>
      <c r="F18" s="607"/>
      <c r="G18" s="607"/>
      <c r="H18" s="607"/>
    </row>
    <row r="19" spans="3:8" ht="15" customHeight="1">
      <c r="C19" s="607"/>
      <c r="D19" s="607"/>
      <c r="E19" s="607"/>
      <c r="F19" s="607"/>
      <c r="G19" s="607"/>
      <c r="H19" s="607"/>
    </row>
    <row r="20" spans="3:8" ht="15" customHeight="1">
      <c r="C20" s="607"/>
      <c r="D20" s="607"/>
      <c r="E20" s="607"/>
      <c r="F20" s="607"/>
      <c r="G20" s="607"/>
      <c r="H20" s="607"/>
    </row>
    <row r="21" spans="3:8" ht="15" customHeight="1">
      <c r="C21" s="607"/>
      <c r="D21" s="607"/>
      <c r="E21" s="607"/>
      <c r="F21" s="607"/>
      <c r="G21" s="607"/>
      <c r="H21" s="607"/>
    </row>
    <row r="22" spans="3:8" ht="15" customHeight="1">
      <c r="C22" s="607"/>
      <c r="D22" s="607"/>
      <c r="E22" s="607"/>
      <c r="F22" s="607"/>
      <c r="G22" s="607"/>
      <c r="H22" s="607"/>
    </row>
    <row r="23" spans="3:8" ht="15" customHeight="1">
      <c r="C23" s="607"/>
      <c r="D23" s="607"/>
      <c r="E23" s="607"/>
      <c r="F23" s="607"/>
      <c r="G23" s="607"/>
      <c r="H23" s="607"/>
    </row>
    <row r="24" spans="3:8" ht="15" customHeight="1">
      <c r="C24" s="607"/>
      <c r="D24" s="607"/>
      <c r="E24" s="607"/>
      <c r="F24" s="607"/>
      <c r="G24" s="607"/>
      <c r="H24" s="607"/>
    </row>
    <row r="25" spans="3:8" ht="15" customHeight="1">
      <c r="C25" s="607"/>
      <c r="D25" s="607"/>
      <c r="E25" s="607"/>
      <c r="F25" s="607"/>
      <c r="G25" s="607"/>
      <c r="H25" s="607"/>
    </row>
    <row r="26" spans="3:8" ht="15" customHeight="1">
      <c r="C26" s="607"/>
      <c r="D26" s="607"/>
      <c r="E26" s="607"/>
      <c r="F26" s="607"/>
      <c r="G26" s="607"/>
      <c r="H26" s="607"/>
    </row>
    <row r="27" spans="3:8" ht="15" customHeight="1">
      <c r="C27" s="607"/>
      <c r="D27" s="607"/>
      <c r="E27" s="607"/>
      <c r="F27" s="607"/>
      <c r="G27" s="607"/>
      <c r="H27" s="607"/>
    </row>
    <row r="28" spans="3:8" ht="15" customHeight="1">
      <c r="C28" s="607"/>
      <c r="D28" s="607"/>
      <c r="E28" s="607"/>
      <c r="F28" s="607"/>
      <c r="G28" s="607"/>
      <c r="H28" s="607"/>
    </row>
    <row r="29" spans="3:8" ht="15" customHeight="1">
      <c r="C29" s="607"/>
      <c r="D29" s="607"/>
      <c r="E29" s="607"/>
      <c r="F29" s="607"/>
      <c r="G29" s="607"/>
      <c r="H29" s="607"/>
    </row>
    <row r="30" spans="3:8" ht="15" customHeight="1">
      <c r="C30" s="607"/>
      <c r="D30" s="607"/>
      <c r="E30" s="607"/>
      <c r="F30" s="607"/>
      <c r="G30" s="607"/>
      <c r="H30" s="607"/>
    </row>
    <row r="31" spans="3:8" ht="15" customHeight="1">
      <c r="C31" s="607"/>
      <c r="D31" s="607"/>
      <c r="E31" s="607"/>
      <c r="F31" s="607"/>
      <c r="G31" s="607"/>
      <c r="H31" s="607"/>
    </row>
    <row r="36" spans="2:17" ht="15" customHeight="1"/>
    <row r="37" spans="2:17" ht="15" customHeight="1"/>
    <row r="38" spans="2:17" ht="30.75" customHeight="1" thickBot="1">
      <c r="C38" s="608" t="s">
        <v>109</v>
      </c>
      <c r="D38" s="608"/>
      <c r="E38" s="608"/>
      <c r="F38" s="609">
        <f ca="1">TODAY()</f>
        <v>45784</v>
      </c>
      <c r="G38" s="609"/>
      <c r="H38" s="609"/>
      <c r="I38" s="609"/>
      <c r="J38" s="610" t="s">
        <v>110</v>
      </c>
      <c r="K38" s="610"/>
      <c r="L38" s="610"/>
      <c r="M38" s="610"/>
      <c r="N38" s="610"/>
      <c r="O38" s="610"/>
      <c r="P38" s="610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'[39]Brewer Performance'!D40</f>
        <v>96.507822129582451</v>
      </c>
      <c r="E40" s="259">
        <f>AVERAGE('[40]Feb. 1'!I12:I13,'[40]Feb. 2'!I11:I14,[40]Feb.4!I13,[40]Feb.8!I14:I16,[40]Feb.9!I14,[40]Feb.9!I17:I18,[40]Feb10!I13:I16,[40]Feb14!I17,[40]Feb14!I15:I17,[40]Feb17!I10,[40]Feb17!I19:I21,'[40]Feb 21'!I10:I12,'[40]Feb 22'!I11:I13,'[40]Feb 23'!I14:I16,'[40]Feb 24'!I10:I12,'[40]Feb 25'!I13:I15,'[40]Feb 28'!I15:I18)</f>
        <v>98.284801217583563</v>
      </c>
      <c r="F40" s="259">
        <v>98.226686244092193</v>
      </c>
      <c r="G40" s="259">
        <v>98.210530202427222</v>
      </c>
      <c r="H40" s="259">
        <f>'[41]Brewer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'[39]Brewer Performance'!D41</f>
        <v>97.99738587335284</v>
      </c>
      <c r="E41" s="259">
        <f>AVERAGE('[40]Feb. 1'!I10:I11,'[40]Feb. 2'!I10,[40]Feb.3!I11:I13,[40]Feb.4!I10:I12,[40]Feb.8!I10,[40]Feb.8!I13,[40]Feb.9!I10:I13,[40]Feb10!I10:I12,[40]Feb11!I11:I13,[40]Feb14!I13:I14,[40]Feb17!I16:I18,[40]Feb18!I13:I15,'[40]Feb 21'!I17:I19,'[40]Feb 22'!I10,'[40]Feb 22'!I20:I22,'[40]Feb 23'!I10:I11,'[40]Feb 23'!I21,'[40]Feb 25'!I10:I12,'[40]Feb 28'!I11:I14)</f>
        <v>97.918121549662388</v>
      </c>
      <c r="F41" s="259">
        <v>98.070081368185257</v>
      </c>
      <c r="G41" s="259">
        <v>97.79453968977019</v>
      </c>
      <c r="H41" s="259">
        <f>'[41]Brewer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'[39]Brewer Performance'!D43</f>
        <v>98.304611060419475</v>
      </c>
      <c r="E44" s="259">
        <f>AVERAGE('[40]Feb. 2'!I15,[40]Feb.3!I10,[40]Feb.4!I16:I17,[40]Feb.8!I19:I21,[40]Feb.9!I19:I20,[40]Feb10!I17:I18,[40]Feb11!I10,[40]Feb14!I10:I12,[40]Feb17!I11:I13,[40]Feb18!I10:I12,'[40]Feb 21'!I13,'[40]Feb 21'!I16,'[40]Feb 22'!I16:I19,'[40]Feb 23'!I17:I20,'[40]Feb 24'!I15:I18,'[40]Feb 25'!I16:I17,'[40]Feb 28'!I10,'[40]Feb 28'!I19:I20)</f>
        <v>97.289162940824014</v>
      </c>
      <c r="F44" s="259">
        <v>98.163642226187022</v>
      </c>
      <c r="G44" s="259">
        <v>97.964054285784258</v>
      </c>
      <c r="H44" s="259">
        <f>'[41]Brewer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'[39]Brewer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'[39]Brewer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03" t="s">
        <v>123</v>
      </c>
      <c r="C48" s="603"/>
      <c r="D48" s="603"/>
      <c r="E48" s="603"/>
      <c r="F48" s="603"/>
      <c r="G48" s="603"/>
      <c r="H48" s="603"/>
      <c r="I48" s="603"/>
      <c r="J48" s="603"/>
      <c r="K48" s="603"/>
      <c r="L48" s="603"/>
      <c r="M48" s="603"/>
      <c r="N48" s="603"/>
      <c r="O48" s="603"/>
      <c r="P48" s="603"/>
      <c r="Q48" s="603"/>
    </row>
    <row r="49" spans="2:17" ht="15" customHeight="1">
      <c r="B49" s="603"/>
      <c r="C49" s="603"/>
      <c r="D49" s="603"/>
      <c r="E49" s="603"/>
      <c r="F49" s="603"/>
      <c r="G49" s="603"/>
      <c r="H49" s="603"/>
      <c r="I49" s="603"/>
      <c r="J49" s="603"/>
      <c r="K49" s="603"/>
      <c r="L49" s="603"/>
      <c r="M49" s="603"/>
      <c r="N49" s="603"/>
      <c r="O49" s="603"/>
      <c r="P49" s="603"/>
      <c r="Q49" s="603"/>
    </row>
    <row r="50" spans="2:17" ht="15" customHeight="1">
      <c r="B50" s="603"/>
      <c r="C50" s="603"/>
      <c r="D50" s="603"/>
      <c r="E50" s="603"/>
      <c r="F50" s="603"/>
      <c r="G50" s="603"/>
      <c r="H50" s="603"/>
      <c r="I50" s="603"/>
      <c r="J50" s="603"/>
      <c r="K50" s="603"/>
      <c r="L50" s="603"/>
      <c r="M50" s="603"/>
      <c r="N50" s="603"/>
      <c r="O50" s="603"/>
      <c r="P50" s="603"/>
      <c r="Q50" s="603"/>
    </row>
    <row r="51" spans="2:17" ht="15" customHeight="1">
      <c r="B51" s="603"/>
      <c r="C51" s="603"/>
      <c r="D51" s="603"/>
      <c r="E51" s="603"/>
      <c r="F51" s="603"/>
      <c r="G51" s="603"/>
      <c r="H51" s="603"/>
      <c r="I51" s="603"/>
      <c r="J51" s="603"/>
      <c r="K51" s="603"/>
      <c r="L51" s="603"/>
      <c r="M51" s="603"/>
      <c r="N51" s="603"/>
      <c r="O51" s="603"/>
      <c r="P51" s="603"/>
      <c r="Q51" s="603"/>
    </row>
    <row r="52" spans="2:17" ht="15" customHeight="1">
      <c r="B52" s="603"/>
      <c r="C52" s="603"/>
      <c r="D52" s="603"/>
      <c r="E52" s="603"/>
      <c r="F52" s="603"/>
      <c r="G52" s="603"/>
      <c r="H52" s="603"/>
      <c r="I52" s="603"/>
      <c r="J52" s="603"/>
      <c r="K52" s="603"/>
      <c r="L52" s="603"/>
      <c r="M52" s="603"/>
      <c r="N52" s="603"/>
      <c r="O52" s="603"/>
      <c r="P52" s="603"/>
      <c r="Q52" s="603"/>
    </row>
    <row r="53" spans="2:17" ht="15" customHeight="1">
      <c r="B53" s="603"/>
      <c r="C53" s="603"/>
      <c r="D53" s="603"/>
      <c r="E53" s="603"/>
      <c r="F53" s="603"/>
      <c r="G53" s="603"/>
      <c r="H53" s="603"/>
      <c r="I53" s="603"/>
      <c r="J53" s="603"/>
      <c r="K53" s="603"/>
      <c r="L53" s="603"/>
      <c r="M53" s="603"/>
      <c r="N53" s="603"/>
      <c r="O53" s="603"/>
      <c r="P53" s="603"/>
      <c r="Q53" s="603"/>
    </row>
    <row r="54" spans="2:17" ht="15" customHeight="1">
      <c r="B54" s="603"/>
      <c r="C54" s="603"/>
      <c r="D54" s="603"/>
      <c r="E54" s="603"/>
      <c r="F54" s="603"/>
      <c r="G54" s="603"/>
      <c r="H54" s="603"/>
      <c r="I54" s="603"/>
      <c r="J54" s="603"/>
      <c r="K54" s="603"/>
      <c r="L54" s="603"/>
      <c r="M54" s="603"/>
      <c r="N54" s="603"/>
      <c r="O54" s="603"/>
      <c r="P54" s="603"/>
      <c r="Q54" s="603"/>
    </row>
    <row r="55" spans="2:17" ht="15" customHeight="1"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</row>
    <row r="56" spans="2:17" ht="15" customHeight="1">
      <c r="B56" s="603"/>
      <c r="C56" s="603"/>
      <c r="D56" s="603"/>
      <c r="E56" s="603"/>
      <c r="F56" s="603"/>
      <c r="G56" s="603"/>
      <c r="H56" s="603"/>
      <c r="I56" s="603"/>
      <c r="J56" s="603"/>
      <c r="K56" s="603"/>
      <c r="L56" s="603"/>
      <c r="M56" s="603"/>
      <c r="N56" s="603"/>
      <c r="O56" s="603"/>
      <c r="P56" s="603"/>
      <c r="Q56" s="603"/>
    </row>
    <row r="57" spans="2:17" ht="15" customHeight="1">
      <c r="B57" s="603"/>
      <c r="C57" s="603"/>
      <c r="D57" s="603"/>
      <c r="E57" s="603"/>
      <c r="F57" s="603"/>
      <c r="G57" s="603"/>
      <c r="H57" s="603"/>
      <c r="I57" s="603"/>
      <c r="J57" s="603"/>
      <c r="K57" s="603"/>
      <c r="L57" s="603"/>
      <c r="M57" s="603"/>
      <c r="N57" s="603"/>
      <c r="O57" s="603"/>
      <c r="P57" s="603"/>
      <c r="Q57" s="603"/>
    </row>
    <row r="58" spans="2:17" ht="15" customHeight="1">
      <c r="B58" s="603"/>
      <c r="C58" s="603"/>
      <c r="D58" s="603"/>
      <c r="E58" s="603"/>
      <c r="F58" s="603"/>
      <c r="G58" s="603"/>
      <c r="H58" s="603"/>
      <c r="I58" s="603"/>
      <c r="J58" s="603"/>
      <c r="K58" s="603"/>
      <c r="L58" s="603"/>
      <c r="M58" s="603"/>
      <c r="N58" s="603"/>
      <c r="O58" s="603"/>
      <c r="P58" s="603"/>
      <c r="Q58" s="603"/>
    </row>
    <row r="59" spans="2:17" ht="15" customHeight="1">
      <c r="B59" s="603"/>
      <c r="C59" s="603"/>
      <c r="D59" s="603"/>
      <c r="E59" s="603"/>
      <c r="F59" s="603"/>
      <c r="G59" s="603"/>
      <c r="H59" s="603"/>
      <c r="I59" s="603"/>
      <c r="J59" s="603"/>
      <c r="K59" s="603"/>
      <c r="L59" s="603"/>
      <c r="M59" s="603"/>
      <c r="N59" s="603"/>
      <c r="O59" s="603"/>
      <c r="P59" s="603"/>
      <c r="Q59" s="603"/>
    </row>
    <row r="60" spans="2:17" ht="15" customHeight="1">
      <c r="B60" s="603"/>
      <c r="C60" s="603"/>
      <c r="D60" s="603"/>
      <c r="E60" s="603"/>
      <c r="F60" s="603"/>
      <c r="G60" s="603"/>
      <c r="H60" s="603"/>
      <c r="I60" s="603"/>
      <c r="J60" s="603"/>
      <c r="K60" s="603"/>
      <c r="L60" s="603"/>
      <c r="M60" s="603"/>
      <c r="N60" s="603"/>
      <c r="O60" s="603"/>
      <c r="P60" s="603"/>
      <c r="Q60" s="603"/>
    </row>
    <row r="61" spans="2:17" ht="15" customHeight="1">
      <c r="B61" s="603"/>
      <c r="C61" s="603"/>
      <c r="D61" s="603"/>
      <c r="E61" s="603"/>
      <c r="F61" s="603"/>
      <c r="G61" s="603"/>
      <c r="H61" s="603"/>
      <c r="I61" s="603"/>
      <c r="J61" s="603"/>
      <c r="K61" s="603"/>
      <c r="L61" s="603"/>
      <c r="M61" s="603"/>
      <c r="N61" s="603"/>
      <c r="O61" s="603"/>
      <c r="P61" s="603"/>
      <c r="Q61" s="603"/>
    </row>
    <row r="62" spans="2:17" ht="15" customHeight="1">
      <c r="B62" s="603"/>
      <c r="C62" s="603"/>
      <c r="D62" s="603"/>
      <c r="E62" s="603"/>
      <c r="F62" s="603"/>
      <c r="G62" s="603"/>
      <c r="H62" s="603"/>
      <c r="I62" s="603"/>
      <c r="J62" s="603"/>
      <c r="K62" s="603"/>
      <c r="L62" s="603"/>
      <c r="M62" s="603"/>
      <c r="N62" s="603"/>
      <c r="O62" s="603"/>
      <c r="P62" s="603"/>
      <c r="Q62" s="603"/>
    </row>
    <row r="63" spans="2:17" ht="15" customHeight="1">
      <c r="B63" s="603"/>
      <c r="C63" s="603"/>
      <c r="D63" s="603"/>
      <c r="E63" s="603"/>
      <c r="F63" s="603"/>
      <c r="G63" s="603"/>
      <c r="H63" s="603"/>
      <c r="I63" s="603"/>
      <c r="J63" s="603"/>
      <c r="K63" s="603"/>
      <c r="L63" s="603"/>
      <c r="M63" s="603"/>
      <c r="N63" s="603"/>
      <c r="O63" s="603"/>
      <c r="P63" s="603"/>
      <c r="Q63" s="603"/>
    </row>
    <row r="64" spans="2:17" ht="15" customHeight="1">
      <c r="B64" s="603"/>
      <c r="C64" s="603"/>
      <c r="D64" s="603"/>
      <c r="E64" s="603"/>
      <c r="F64" s="603"/>
      <c r="G64" s="603"/>
      <c r="H64" s="603"/>
      <c r="I64" s="603"/>
      <c r="J64" s="603"/>
      <c r="K64" s="603"/>
      <c r="L64" s="603"/>
      <c r="M64" s="603"/>
      <c r="N64" s="603"/>
      <c r="O64" s="603"/>
      <c r="P64" s="603"/>
      <c r="Q64" s="603"/>
    </row>
    <row r="65" spans="2:17" ht="15" customHeight="1"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3"/>
      <c r="Q65" s="603"/>
    </row>
    <row r="66" spans="2:17" ht="15" customHeight="1">
      <c r="B66" s="603"/>
      <c r="C66" s="603"/>
      <c r="D66" s="603"/>
      <c r="E66" s="603"/>
      <c r="F66" s="603"/>
      <c r="G66" s="603"/>
      <c r="H66" s="603"/>
      <c r="I66" s="603"/>
      <c r="J66" s="603"/>
      <c r="K66" s="603"/>
      <c r="L66" s="603"/>
      <c r="M66" s="603"/>
      <c r="N66" s="603"/>
      <c r="O66" s="603"/>
      <c r="P66" s="603"/>
      <c r="Q66" s="603"/>
    </row>
    <row r="67" spans="2:17" ht="15" customHeight="1">
      <c r="B67" s="603"/>
      <c r="C67" s="603"/>
      <c r="D67" s="603"/>
      <c r="E67" s="603"/>
      <c r="F67" s="603"/>
      <c r="G67" s="603"/>
      <c r="H67" s="603"/>
      <c r="I67" s="603"/>
      <c r="J67" s="603"/>
      <c r="K67" s="603"/>
      <c r="L67" s="603"/>
      <c r="M67" s="603"/>
      <c r="N67" s="603"/>
      <c r="O67" s="603"/>
      <c r="P67" s="603"/>
      <c r="Q67" s="603"/>
    </row>
    <row r="68" spans="2:17" ht="15" customHeight="1">
      <c r="B68" s="603"/>
      <c r="C68" s="603"/>
      <c r="D68" s="603"/>
      <c r="E68" s="603"/>
      <c r="F68" s="603"/>
      <c r="G68" s="603"/>
      <c r="H68" s="603"/>
      <c r="I68" s="603"/>
      <c r="J68" s="603"/>
      <c r="K68" s="603"/>
      <c r="L68" s="603"/>
      <c r="M68" s="603"/>
      <c r="N68" s="603"/>
      <c r="O68" s="603"/>
      <c r="P68" s="603"/>
      <c r="Q68" s="603"/>
    </row>
    <row r="69" spans="2:17" ht="15" customHeight="1">
      <c r="B69" s="603"/>
      <c r="C69" s="603"/>
      <c r="D69" s="603"/>
      <c r="E69" s="603"/>
      <c r="F69" s="603"/>
      <c r="G69" s="603"/>
      <c r="H69" s="603"/>
      <c r="I69" s="603"/>
      <c r="J69" s="603"/>
      <c r="K69" s="603"/>
      <c r="L69" s="603"/>
      <c r="M69" s="603"/>
      <c r="N69" s="603"/>
      <c r="O69" s="603"/>
      <c r="P69" s="603"/>
      <c r="Q69" s="603"/>
    </row>
    <row r="70" spans="2:17" ht="15" customHeight="1">
      <c r="B70" s="603"/>
      <c r="C70" s="603"/>
      <c r="D70" s="603"/>
      <c r="E70" s="603"/>
      <c r="F70" s="603"/>
      <c r="G70" s="603"/>
      <c r="H70" s="603"/>
      <c r="I70" s="603"/>
      <c r="J70" s="603"/>
      <c r="K70" s="603"/>
      <c r="L70" s="603"/>
      <c r="M70" s="603"/>
      <c r="N70" s="603"/>
      <c r="O70" s="603"/>
      <c r="P70" s="603"/>
      <c r="Q70" s="603"/>
    </row>
    <row r="71" spans="2:17" ht="15" customHeight="1">
      <c r="B71" s="603"/>
      <c r="C71" s="603"/>
      <c r="D71" s="603"/>
      <c r="E71" s="603"/>
      <c r="F71" s="603"/>
      <c r="G71" s="603"/>
      <c r="H71" s="603"/>
      <c r="I71" s="603"/>
      <c r="J71" s="603"/>
      <c r="K71" s="603"/>
      <c r="L71" s="603"/>
      <c r="M71" s="603"/>
      <c r="N71" s="603"/>
      <c r="O71" s="603"/>
      <c r="P71" s="603"/>
      <c r="Q71" s="603"/>
    </row>
    <row r="72" spans="2:17" ht="15" customHeight="1">
      <c r="B72" s="603"/>
      <c r="C72" s="603"/>
      <c r="D72" s="603"/>
      <c r="E72" s="603"/>
      <c r="F72" s="603"/>
      <c r="G72" s="603"/>
      <c r="H72" s="603"/>
      <c r="I72" s="603"/>
      <c r="J72" s="603"/>
      <c r="K72" s="603"/>
      <c r="L72" s="603"/>
      <c r="M72" s="603"/>
      <c r="N72" s="603"/>
      <c r="O72" s="603"/>
      <c r="P72" s="603"/>
      <c r="Q72" s="603"/>
    </row>
    <row r="73" spans="2:17" ht="15" customHeight="1">
      <c r="B73" s="603"/>
      <c r="C73" s="603"/>
      <c r="D73" s="603"/>
      <c r="E73" s="603"/>
      <c r="F73" s="603"/>
      <c r="G73" s="603"/>
      <c r="H73" s="603"/>
      <c r="I73" s="603"/>
      <c r="J73" s="603"/>
      <c r="K73" s="603"/>
      <c r="L73" s="603"/>
      <c r="M73" s="603"/>
      <c r="N73" s="603"/>
      <c r="O73" s="603"/>
      <c r="P73" s="603"/>
      <c r="Q73" s="603"/>
    </row>
    <row r="74" spans="2:17" ht="15" customHeight="1">
      <c r="B74" s="603"/>
      <c r="C74" s="603"/>
      <c r="D74" s="603"/>
      <c r="E74" s="603"/>
      <c r="F74" s="603"/>
      <c r="G74" s="603"/>
      <c r="H74" s="603"/>
      <c r="I74" s="603"/>
      <c r="J74" s="603"/>
      <c r="K74" s="603"/>
      <c r="L74" s="603"/>
      <c r="M74" s="603"/>
      <c r="N74" s="603"/>
      <c r="O74" s="603"/>
      <c r="P74" s="603"/>
      <c r="Q74" s="603"/>
    </row>
    <row r="75" spans="2:17" ht="15" customHeight="1">
      <c r="B75" s="603"/>
      <c r="C75" s="603"/>
      <c r="D75" s="603"/>
      <c r="E75" s="603"/>
      <c r="F75" s="603"/>
      <c r="G75" s="603"/>
      <c r="H75" s="603"/>
      <c r="I75" s="603"/>
      <c r="J75" s="603"/>
      <c r="K75" s="603"/>
      <c r="L75" s="603"/>
      <c r="M75" s="603"/>
      <c r="N75" s="603"/>
      <c r="O75" s="603"/>
      <c r="P75" s="603"/>
      <c r="Q75" s="603"/>
    </row>
    <row r="76" spans="2:17">
      <c r="B76" s="603"/>
      <c r="C76" s="603"/>
      <c r="D76" s="603"/>
      <c r="E76" s="603"/>
      <c r="F76" s="603"/>
      <c r="G76" s="603"/>
      <c r="H76" s="603"/>
      <c r="I76" s="603"/>
      <c r="J76" s="603"/>
      <c r="K76" s="603"/>
      <c r="L76" s="603"/>
      <c r="M76" s="603"/>
      <c r="N76" s="603"/>
      <c r="O76" s="603"/>
      <c r="P76" s="603"/>
      <c r="Q76" s="603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Dec 18th</vt:lpstr>
      <vt:lpstr>Apr. 1st</vt:lpstr>
      <vt:lpstr>Apr. 3rd</vt:lpstr>
      <vt:lpstr>Apr. 4th</vt:lpstr>
      <vt:lpstr>Apr. 7th </vt:lpstr>
      <vt:lpstr>Apr. 8th  </vt:lpstr>
      <vt:lpstr>Apr. 9th   </vt:lpstr>
      <vt:lpstr>Apr. 10th </vt:lpstr>
      <vt:lpstr>Apr. 11-12-13th</vt:lpstr>
      <vt:lpstr>Apr. 14th</vt:lpstr>
      <vt:lpstr>Apr. 15th</vt:lpstr>
      <vt:lpstr>Apr. 16th</vt:lpstr>
      <vt:lpstr>Apr. 17th-20th</vt:lpstr>
      <vt:lpstr>Apr. 22nd</vt:lpstr>
      <vt:lpstr>Apr. 23rd</vt:lpstr>
      <vt:lpstr>Apr. 24th</vt:lpstr>
      <vt:lpstr>Apr. 25th </vt:lpstr>
      <vt:lpstr>Apr. 28th</vt:lpstr>
      <vt:lpstr>Apr. 29th</vt:lpstr>
      <vt:lpstr>Apr. 30th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Reshelle Fleming</cp:lastModifiedBy>
  <cp:lastPrinted>2024-01-26T11:36:30Z</cp:lastPrinted>
  <dcterms:created xsi:type="dcterms:W3CDTF">2020-01-28T18:21:11Z</dcterms:created>
  <dcterms:modified xsi:type="dcterms:W3CDTF">2025-05-07T11:46:08Z</dcterms:modified>
</cp:coreProperties>
</file>