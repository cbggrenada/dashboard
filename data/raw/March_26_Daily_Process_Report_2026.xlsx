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drawings/drawing1.xml" ContentType="application/vnd.openxmlformats-officedocument.drawing+xml"/>
  <Override PartName="/xl/comments2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Operations\Brewing\Reports Local\Daily Process Report\2026 Daily Process Report\"/>
    </mc:Choice>
  </mc:AlternateContent>
  <xr:revisionPtr revIDLastSave="0" documentId="13_ncr:1_{95E67EC1-0C81-4BBF-9372-A19E317531A2}" xr6:coauthVersionLast="47" xr6:coauthVersionMax="47" xr10:uidLastSave="{00000000-0000-0000-0000-000000000000}"/>
  <bookViews>
    <workbookView xWindow="-120" yWindow="-120" windowWidth="29040" windowHeight="15720" tabRatio="599" firstSheet="15" activeTab="22" xr2:uid="{1120807F-7390-4E10-A66F-84111922E872}"/>
  </bookViews>
  <sheets>
    <sheet name="Dec 18th" sheetId="658" state="hidden" r:id="rId1"/>
    <sheet name="Mar 1st" sheetId="940" r:id="rId2"/>
    <sheet name="Mar 2nd" sheetId="941" r:id="rId3"/>
    <sheet name="Mar 3rd" sheetId="942" r:id="rId4"/>
    <sheet name="Mar 4th" sheetId="943" r:id="rId5"/>
    <sheet name="Mar 5th" sheetId="944" r:id="rId6"/>
    <sheet name="Mar 6th " sheetId="945" r:id="rId7"/>
    <sheet name="Mar 9th" sheetId="946" r:id="rId8"/>
    <sheet name="Mar 10th" sheetId="947" r:id="rId9"/>
    <sheet name="Mar 11th" sheetId="948" r:id="rId10"/>
    <sheet name="Mar 12th" sheetId="949" r:id="rId11"/>
    <sheet name="Mar 13th-15th" sheetId="950" r:id="rId12"/>
    <sheet name="Mar 16th" sheetId="951" r:id="rId13"/>
    <sheet name="Mar 18th" sheetId="952" r:id="rId14"/>
    <sheet name="Mar 19th" sheetId="953" r:id="rId15"/>
    <sheet name="Mar 20th -22nd" sheetId="954" r:id="rId16"/>
    <sheet name="Mar 23rd " sheetId="955" r:id="rId17"/>
    <sheet name="Mar 24th" sheetId="956" r:id="rId18"/>
    <sheet name="Mar 25th " sheetId="957" r:id="rId19"/>
    <sheet name="Mar 26th" sheetId="958" r:id="rId20"/>
    <sheet name="Mar 27th" sheetId="959" r:id="rId21"/>
    <sheet name="Mar 30th " sheetId="960" r:id="rId22"/>
    <sheet name="Mar 31st" sheetId="961" r:id="rId23"/>
    <sheet name="MTD_Links" sheetId="18" r:id="rId24"/>
    <sheet name="YTD_Links" sheetId="19" r:id="rId25"/>
    <sheet name="KPIs" sheetId="20" state="hidden" r:id="rId26"/>
    <sheet name="Brewer Performance" sheetId="21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</externalReferences>
  <definedNames>
    <definedName name="_xlnm.Print_Area" localSheetId="26">'Brewer Performance'!$B$2:$K$35</definedName>
    <definedName name="_xlnm.Print_Area" localSheetId="23">MTD_Links!$B$2:$K$65</definedName>
    <definedName name="_xlnm.Print_Area" localSheetId="24">YTD_Links!$B$2:$K$65</definedName>
    <definedName name="ProductList" localSheetId="26">[1]November15!$R$3:$R$9</definedName>
    <definedName name="ProductList">[2]November15!$R$3:$R$9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38" i="961" l="1"/>
  <c r="L38" i="961"/>
  <c r="K77" i="961"/>
  <c r="K61" i="961" l="1"/>
  <c r="G61" i="961"/>
  <c r="D61" i="961"/>
  <c r="G77" i="961"/>
  <c r="E61" i="961"/>
  <c r="B61" i="961"/>
  <c r="M33" i="961"/>
  <c r="L33" i="961"/>
  <c r="K33" i="961"/>
  <c r="M32" i="961"/>
  <c r="L32" i="961"/>
  <c r="K32" i="961"/>
  <c r="C17" i="961"/>
  <c r="D17" i="961"/>
  <c r="E17" i="961"/>
  <c r="F17" i="961"/>
  <c r="G17" i="961"/>
  <c r="I17" i="961"/>
  <c r="J17" i="961"/>
  <c r="K17" i="961"/>
  <c r="L17" i="961"/>
  <c r="M17" i="961"/>
  <c r="N17" i="961"/>
  <c r="O17" i="961"/>
  <c r="C18" i="961"/>
  <c r="D18" i="961"/>
  <c r="E18" i="961"/>
  <c r="F18" i="961"/>
  <c r="G18" i="961"/>
  <c r="I18" i="961"/>
  <c r="J18" i="961"/>
  <c r="K18" i="961"/>
  <c r="L18" i="961"/>
  <c r="M18" i="961"/>
  <c r="O18" i="961"/>
  <c r="C19" i="961"/>
  <c r="D19" i="961"/>
  <c r="E19" i="961"/>
  <c r="F19" i="961"/>
  <c r="G19" i="961"/>
  <c r="I19" i="961"/>
  <c r="J19" i="961"/>
  <c r="K19" i="961"/>
  <c r="L19" i="961"/>
  <c r="M19" i="961"/>
  <c r="N19" i="961"/>
  <c r="O19" i="961"/>
  <c r="C20" i="961"/>
  <c r="D20" i="961"/>
  <c r="E20" i="961"/>
  <c r="F20" i="961"/>
  <c r="G20" i="961"/>
  <c r="I20" i="961"/>
  <c r="J20" i="961"/>
  <c r="K20" i="961"/>
  <c r="L20" i="961"/>
  <c r="M20" i="961"/>
  <c r="O20" i="961"/>
  <c r="O16" i="961"/>
  <c r="M16" i="961"/>
  <c r="L16" i="961"/>
  <c r="K16" i="961"/>
  <c r="J16" i="961"/>
  <c r="I16" i="961"/>
  <c r="G16" i="961"/>
  <c r="F16" i="961"/>
  <c r="E16" i="961"/>
  <c r="D16" i="961"/>
  <c r="C16" i="961"/>
  <c r="N18" i="961"/>
  <c r="N20" i="961"/>
  <c r="R11" i="961"/>
  <c r="S11" i="961"/>
  <c r="T11" i="961"/>
  <c r="U11" i="961"/>
  <c r="V11" i="961"/>
  <c r="W11" i="961"/>
  <c r="X11" i="961"/>
  <c r="Y11" i="961"/>
  <c r="Z11" i="961"/>
  <c r="R12" i="961"/>
  <c r="S12" i="961"/>
  <c r="T12" i="961"/>
  <c r="U12" i="961"/>
  <c r="V12" i="961"/>
  <c r="W12" i="961"/>
  <c r="X12" i="961"/>
  <c r="Y12" i="961"/>
  <c r="Z12" i="961"/>
  <c r="R13" i="961"/>
  <c r="S13" i="961"/>
  <c r="T13" i="961"/>
  <c r="U13" i="961"/>
  <c r="V13" i="961"/>
  <c r="W13" i="961"/>
  <c r="X13" i="961"/>
  <c r="Y13" i="961"/>
  <c r="Z13" i="961"/>
  <c r="R14" i="961"/>
  <c r="S14" i="961"/>
  <c r="T14" i="961"/>
  <c r="U14" i="961"/>
  <c r="V14" i="961"/>
  <c r="W14" i="961"/>
  <c r="X14" i="961"/>
  <c r="Y14" i="961"/>
  <c r="Z14" i="961"/>
  <c r="R15" i="961"/>
  <c r="S15" i="961"/>
  <c r="T15" i="961"/>
  <c r="U15" i="961"/>
  <c r="V15" i="961"/>
  <c r="W15" i="961"/>
  <c r="X15" i="961"/>
  <c r="Y15" i="961"/>
  <c r="Z15" i="961"/>
  <c r="R16" i="961"/>
  <c r="S16" i="961"/>
  <c r="T16" i="961"/>
  <c r="U16" i="961"/>
  <c r="V16" i="961"/>
  <c r="W16" i="961"/>
  <c r="X16" i="961"/>
  <c r="Y16" i="961"/>
  <c r="Z16" i="961"/>
  <c r="R17" i="961"/>
  <c r="S17" i="961"/>
  <c r="T17" i="961"/>
  <c r="U17" i="961"/>
  <c r="V17" i="961"/>
  <c r="W17" i="961"/>
  <c r="X17" i="961"/>
  <c r="Y17" i="961"/>
  <c r="Z17" i="961"/>
  <c r="R18" i="961"/>
  <c r="S18" i="961"/>
  <c r="T18" i="961"/>
  <c r="U18" i="961"/>
  <c r="V18" i="961"/>
  <c r="W18" i="961"/>
  <c r="X18" i="961"/>
  <c r="Y18" i="961"/>
  <c r="Z18" i="961"/>
  <c r="R19" i="961"/>
  <c r="S19" i="961"/>
  <c r="T19" i="961"/>
  <c r="U19" i="961"/>
  <c r="V19" i="961"/>
  <c r="W19" i="961"/>
  <c r="X19" i="961"/>
  <c r="Y19" i="961"/>
  <c r="Z19" i="961"/>
  <c r="R20" i="961"/>
  <c r="S20" i="961"/>
  <c r="T20" i="961"/>
  <c r="U20" i="961"/>
  <c r="V20" i="961"/>
  <c r="W20" i="961"/>
  <c r="X20" i="961"/>
  <c r="Y20" i="961"/>
  <c r="Z20" i="961"/>
  <c r="R21" i="961"/>
  <c r="S21" i="961"/>
  <c r="T21" i="961"/>
  <c r="U21" i="961"/>
  <c r="V21" i="961"/>
  <c r="W21" i="961"/>
  <c r="X21" i="961"/>
  <c r="Y21" i="961"/>
  <c r="Z21" i="961"/>
  <c r="R22" i="961"/>
  <c r="S22" i="961"/>
  <c r="T22" i="961"/>
  <c r="U22" i="961"/>
  <c r="V22" i="961"/>
  <c r="W22" i="961"/>
  <c r="X22" i="961"/>
  <c r="Y22" i="961"/>
  <c r="Z22" i="961"/>
  <c r="R23" i="961"/>
  <c r="S23" i="961"/>
  <c r="T23" i="961"/>
  <c r="U23" i="961"/>
  <c r="V23" i="961"/>
  <c r="W23" i="961"/>
  <c r="X23" i="961"/>
  <c r="Y23" i="961"/>
  <c r="Z23" i="961"/>
  <c r="R24" i="961"/>
  <c r="S24" i="961"/>
  <c r="T24" i="961"/>
  <c r="U24" i="961"/>
  <c r="V24" i="961"/>
  <c r="W24" i="961"/>
  <c r="X24" i="961"/>
  <c r="Y24" i="961"/>
  <c r="Z24" i="961"/>
  <c r="J32" i="961" l="1"/>
  <c r="N16" i="961"/>
  <c r="C14" i="961" l="1"/>
  <c r="L11" i="961"/>
  <c r="M11" i="961"/>
  <c r="O11" i="961"/>
  <c r="L12" i="961"/>
  <c r="M12" i="961"/>
  <c r="O12" i="961"/>
  <c r="L13" i="961"/>
  <c r="M13" i="961"/>
  <c r="N13" i="961"/>
  <c r="O13" i="961"/>
  <c r="L14" i="961"/>
  <c r="M14" i="961"/>
  <c r="O14" i="961"/>
  <c r="D11" i="961"/>
  <c r="E11" i="961"/>
  <c r="F11" i="961"/>
  <c r="G11" i="961"/>
  <c r="C12" i="961"/>
  <c r="D12" i="961"/>
  <c r="E12" i="961"/>
  <c r="F12" i="961"/>
  <c r="G12" i="961"/>
  <c r="C13" i="961"/>
  <c r="D13" i="961"/>
  <c r="E13" i="961"/>
  <c r="F13" i="961"/>
  <c r="G13" i="961"/>
  <c r="D14" i="961"/>
  <c r="E14" i="961"/>
  <c r="F14" i="961"/>
  <c r="G14" i="961"/>
  <c r="F79" i="961"/>
  <c r="L65" i="961"/>
  <c r="AX63" i="961"/>
  <c r="AW63" i="961"/>
  <c r="AV63" i="961"/>
  <c r="AU63" i="961"/>
  <c r="AT63" i="961"/>
  <c r="AS63" i="961"/>
  <c r="AR63" i="961"/>
  <c r="AQ63" i="961"/>
  <c r="AP63" i="961"/>
  <c r="AO63" i="961"/>
  <c r="AN63" i="961"/>
  <c r="AM63" i="961"/>
  <c r="AL63" i="961"/>
  <c r="AK63" i="961"/>
  <c r="AJ63" i="961"/>
  <c r="AI63" i="961"/>
  <c r="AH63" i="961"/>
  <c r="AG63" i="961"/>
  <c r="AF63" i="961"/>
  <c r="AE63" i="961"/>
  <c r="AD63" i="961"/>
  <c r="AC63" i="961"/>
  <c r="AB63" i="961"/>
  <c r="AX62" i="961"/>
  <c r="AW62" i="961"/>
  <c r="AV62" i="961"/>
  <c r="AU62" i="961"/>
  <c r="AT62" i="961"/>
  <c r="AS62" i="961"/>
  <c r="AR62" i="961"/>
  <c r="AQ62" i="961"/>
  <c r="AP62" i="961"/>
  <c r="AO62" i="961"/>
  <c r="AN62" i="961"/>
  <c r="AM62" i="961"/>
  <c r="AL62" i="961"/>
  <c r="AK62" i="961"/>
  <c r="AJ62" i="961"/>
  <c r="AI62" i="961"/>
  <c r="AH62" i="961"/>
  <c r="AG62" i="961"/>
  <c r="AF62" i="961"/>
  <c r="AE62" i="961"/>
  <c r="AD62" i="961"/>
  <c r="AC62" i="961"/>
  <c r="AB62" i="961"/>
  <c r="AX61" i="961"/>
  <c r="AW61" i="961"/>
  <c r="AV61" i="961"/>
  <c r="AU61" i="961"/>
  <c r="AT61" i="961"/>
  <c r="AS61" i="961"/>
  <c r="AR61" i="961"/>
  <c r="AQ61" i="961"/>
  <c r="AP61" i="961"/>
  <c r="AO61" i="961"/>
  <c r="AN61" i="961"/>
  <c r="AM61" i="961"/>
  <c r="AL61" i="961"/>
  <c r="AK61" i="961"/>
  <c r="AJ61" i="961"/>
  <c r="AI61" i="961"/>
  <c r="AH61" i="961"/>
  <c r="AG61" i="961"/>
  <c r="AF61" i="961"/>
  <c r="AE61" i="961"/>
  <c r="AD61" i="961"/>
  <c r="AC61" i="961"/>
  <c r="AB61" i="961"/>
  <c r="K56" i="961"/>
  <c r="Z43" i="961"/>
  <c r="Y43" i="961"/>
  <c r="X43" i="961"/>
  <c r="W43" i="961"/>
  <c r="V43" i="961"/>
  <c r="U43" i="961"/>
  <c r="T43" i="961"/>
  <c r="S43" i="961"/>
  <c r="R43" i="961"/>
  <c r="Z42" i="961"/>
  <c r="Y42" i="961"/>
  <c r="X42" i="961"/>
  <c r="W42" i="961"/>
  <c r="V42" i="961"/>
  <c r="U42" i="961"/>
  <c r="T42" i="961"/>
  <c r="S42" i="961"/>
  <c r="R42" i="961"/>
  <c r="Z41" i="961"/>
  <c r="Y41" i="961"/>
  <c r="X41" i="961"/>
  <c r="W41" i="961"/>
  <c r="V41" i="961"/>
  <c r="U41" i="961"/>
  <c r="T41" i="961"/>
  <c r="S41" i="961"/>
  <c r="R41" i="961"/>
  <c r="Z40" i="961"/>
  <c r="Y40" i="961"/>
  <c r="X40" i="961"/>
  <c r="W40" i="961"/>
  <c r="V40" i="961"/>
  <c r="U40" i="961"/>
  <c r="T40" i="961"/>
  <c r="S40" i="961"/>
  <c r="R40" i="961"/>
  <c r="Z39" i="961"/>
  <c r="Y39" i="961"/>
  <c r="X39" i="961"/>
  <c r="W39" i="961"/>
  <c r="V39" i="961"/>
  <c r="U39" i="961"/>
  <c r="T39" i="961"/>
  <c r="S39" i="961"/>
  <c r="R39" i="961"/>
  <c r="Z38" i="961"/>
  <c r="Y38" i="961"/>
  <c r="X38" i="961"/>
  <c r="W38" i="961"/>
  <c r="V38" i="961"/>
  <c r="U38" i="961"/>
  <c r="T38" i="961"/>
  <c r="S38" i="961"/>
  <c r="R38" i="961"/>
  <c r="K38" i="961"/>
  <c r="Z37" i="961"/>
  <c r="Y37" i="961"/>
  <c r="X37" i="961"/>
  <c r="W37" i="961"/>
  <c r="V37" i="961"/>
  <c r="U37" i="961"/>
  <c r="T37" i="961"/>
  <c r="S37" i="961"/>
  <c r="R37" i="961"/>
  <c r="M37" i="961"/>
  <c r="Z36" i="961"/>
  <c r="Y36" i="961"/>
  <c r="X36" i="961"/>
  <c r="W36" i="961"/>
  <c r="V36" i="961"/>
  <c r="U36" i="961"/>
  <c r="T36" i="961"/>
  <c r="S36" i="961"/>
  <c r="R36" i="961"/>
  <c r="Z35" i="961"/>
  <c r="Y35" i="961"/>
  <c r="X35" i="961"/>
  <c r="W35" i="961"/>
  <c r="V35" i="961"/>
  <c r="U35" i="961"/>
  <c r="T35" i="961"/>
  <c r="S35" i="961"/>
  <c r="R35" i="961"/>
  <c r="M35" i="961"/>
  <c r="L35" i="961"/>
  <c r="K35" i="961"/>
  <c r="Z34" i="961"/>
  <c r="Y34" i="961"/>
  <c r="X34" i="961"/>
  <c r="W34" i="961"/>
  <c r="V34" i="961"/>
  <c r="U34" i="961"/>
  <c r="T34" i="961"/>
  <c r="S34" i="961"/>
  <c r="R34" i="961"/>
  <c r="M34" i="961"/>
  <c r="L34" i="961"/>
  <c r="K34" i="961"/>
  <c r="Z33" i="961"/>
  <c r="Y33" i="961"/>
  <c r="X33" i="961"/>
  <c r="W33" i="961"/>
  <c r="V33" i="961"/>
  <c r="U33" i="961"/>
  <c r="T33" i="961"/>
  <c r="S33" i="961"/>
  <c r="R33" i="961"/>
  <c r="Z32" i="961"/>
  <c r="Z31" i="961"/>
  <c r="Y31" i="961"/>
  <c r="X31" i="961"/>
  <c r="W31" i="961"/>
  <c r="V31" i="961"/>
  <c r="U31" i="961"/>
  <c r="T31" i="961"/>
  <c r="S31" i="961"/>
  <c r="R31" i="961"/>
  <c r="Z30" i="961"/>
  <c r="Y30" i="961"/>
  <c r="X30" i="961"/>
  <c r="W30" i="961"/>
  <c r="V30" i="961"/>
  <c r="U30" i="961"/>
  <c r="T30" i="961"/>
  <c r="S30" i="961"/>
  <c r="R30" i="961"/>
  <c r="Z29" i="961"/>
  <c r="Y29" i="961"/>
  <c r="X29" i="961"/>
  <c r="W29" i="961"/>
  <c r="V29" i="961"/>
  <c r="U29" i="961"/>
  <c r="T29" i="961"/>
  <c r="S29" i="961"/>
  <c r="R29" i="961"/>
  <c r="Z28" i="961"/>
  <c r="Y28" i="961"/>
  <c r="X28" i="961"/>
  <c r="W28" i="961"/>
  <c r="V28" i="961"/>
  <c r="U28" i="961"/>
  <c r="T28" i="961"/>
  <c r="S28" i="961"/>
  <c r="R28" i="961"/>
  <c r="Z27" i="961"/>
  <c r="Y27" i="961"/>
  <c r="X27" i="961"/>
  <c r="W27" i="961"/>
  <c r="V27" i="961"/>
  <c r="U27" i="961"/>
  <c r="T27" i="961"/>
  <c r="S27" i="961"/>
  <c r="R27" i="961"/>
  <c r="Z26" i="961"/>
  <c r="Y26" i="961"/>
  <c r="X26" i="961"/>
  <c r="W26" i="961"/>
  <c r="V26" i="961"/>
  <c r="U26" i="961"/>
  <c r="T26" i="961"/>
  <c r="S26" i="961"/>
  <c r="R26" i="961"/>
  <c r="Z25" i="961"/>
  <c r="Y25" i="961"/>
  <c r="X25" i="961"/>
  <c r="W25" i="961"/>
  <c r="V25" i="961"/>
  <c r="U25" i="961"/>
  <c r="T25" i="961"/>
  <c r="S25" i="961"/>
  <c r="R25" i="961"/>
  <c r="Z10" i="961"/>
  <c r="Y10" i="961"/>
  <c r="X10" i="961"/>
  <c r="W10" i="961"/>
  <c r="V10" i="961"/>
  <c r="U10" i="961"/>
  <c r="T10" i="961"/>
  <c r="S10" i="961"/>
  <c r="R10" i="961"/>
  <c r="O10" i="961"/>
  <c r="N10" i="961"/>
  <c r="M10" i="961"/>
  <c r="L10" i="961"/>
  <c r="J10" i="961"/>
  <c r="I10" i="961"/>
  <c r="G10" i="961"/>
  <c r="F10" i="961"/>
  <c r="E10" i="961"/>
  <c r="D10" i="961"/>
  <c r="C10" i="961"/>
  <c r="K10" i="961"/>
  <c r="K11" i="961"/>
  <c r="K12" i="961"/>
  <c r="K13" i="961"/>
  <c r="K14" i="961"/>
  <c r="N11" i="961"/>
  <c r="N12" i="961"/>
  <c r="N14" i="961"/>
  <c r="C11" i="961"/>
  <c r="C35" i="960" a="1"/>
  <c r="C35" i="960" s="1"/>
  <c r="C33" i="960" a="1"/>
  <c r="C33" i="960" s="1"/>
  <c r="B33" i="960"/>
  <c r="L48" i="960"/>
  <c r="G62" i="960"/>
  <c r="K62" i="960"/>
  <c r="L47" i="961" l="1"/>
  <c r="M47" i="961" s="1"/>
  <c r="I14" i="961"/>
  <c r="J14" i="961"/>
  <c r="J12" i="961"/>
  <c r="I11" i="961"/>
  <c r="J13" i="961"/>
  <c r="J11" i="961"/>
  <c r="I12" i="961"/>
  <c r="T32" i="961"/>
  <c r="U32" i="961"/>
  <c r="V32" i="961"/>
  <c r="W32" i="961"/>
  <c r="S32" i="961"/>
  <c r="X32" i="961"/>
  <c r="K42" i="961"/>
  <c r="L42" i="961" s="1"/>
  <c r="M42" i="961" s="1"/>
  <c r="Y32" i="961"/>
  <c r="R32" i="961"/>
  <c r="O14" i="960"/>
  <c r="O12" i="960"/>
  <c r="O11" i="960"/>
  <c r="O10" i="960"/>
  <c r="M34" i="960"/>
  <c r="L34" i="960"/>
  <c r="K34" i="960"/>
  <c r="R10" i="960"/>
  <c r="S10" i="960"/>
  <c r="T10" i="960"/>
  <c r="U10" i="960"/>
  <c r="V10" i="960"/>
  <c r="W10" i="960"/>
  <c r="X10" i="960"/>
  <c r="Y10" i="960"/>
  <c r="Z10" i="960"/>
  <c r="R11" i="960"/>
  <c r="S11" i="960"/>
  <c r="T11" i="960"/>
  <c r="U11" i="960"/>
  <c r="V11" i="960"/>
  <c r="W11" i="960"/>
  <c r="X11" i="960"/>
  <c r="Y11" i="960"/>
  <c r="Z11" i="960"/>
  <c r="R12" i="960"/>
  <c r="S12" i="960"/>
  <c r="T12" i="960"/>
  <c r="U12" i="960"/>
  <c r="V12" i="960"/>
  <c r="W12" i="960"/>
  <c r="X12" i="960"/>
  <c r="Y12" i="960"/>
  <c r="Z12" i="960"/>
  <c r="R14" i="960"/>
  <c r="S14" i="960"/>
  <c r="T14" i="960"/>
  <c r="U14" i="960"/>
  <c r="V14" i="960"/>
  <c r="W14" i="960"/>
  <c r="X14" i="960"/>
  <c r="Y14" i="960"/>
  <c r="Z14" i="960"/>
  <c r="R15" i="960"/>
  <c r="S15" i="960"/>
  <c r="T15" i="960"/>
  <c r="U15" i="960"/>
  <c r="V15" i="960"/>
  <c r="W15" i="960"/>
  <c r="X15" i="960"/>
  <c r="Y15" i="960"/>
  <c r="Z15" i="960"/>
  <c r="R16" i="960"/>
  <c r="S16" i="960"/>
  <c r="T16" i="960"/>
  <c r="U16" i="960"/>
  <c r="V16" i="960"/>
  <c r="W16" i="960"/>
  <c r="X16" i="960"/>
  <c r="Y16" i="960"/>
  <c r="Z16" i="960"/>
  <c r="R17" i="960"/>
  <c r="S17" i="960"/>
  <c r="T17" i="960"/>
  <c r="U17" i="960"/>
  <c r="V17" i="960"/>
  <c r="W17" i="960"/>
  <c r="X17" i="960"/>
  <c r="Y17" i="960"/>
  <c r="Z17" i="960"/>
  <c r="R18" i="960"/>
  <c r="S18" i="960"/>
  <c r="T18" i="960"/>
  <c r="U18" i="960"/>
  <c r="V18" i="960"/>
  <c r="W18" i="960"/>
  <c r="X18" i="960"/>
  <c r="Y18" i="960"/>
  <c r="Z18" i="960"/>
  <c r="R19" i="960"/>
  <c r="S19" i="960"/>
  <c r="T19" i="960"/>
  <c r="U19" i="960"/>
  <c r="V19" i="960"/>
  <c r="W19" i="960"/>
  <c r="X19" i="960"/>
  <c r="Y19" i="960"/>
  <c r="Z19" i="960"/>
  <c r="R20" i="960"/>
  <c r="S20" i="960"/>
  <c r="T20" i="960"/>
  <c r="U20" i="960"/>
  <c r="V20" i="960"/>
  <c r="W20" i="960"/>
  <c r="X20" i="960"/>
  <c r="Y20" i="960"/>
  <c r="Z20" i="960"/>
  <c r="R21" i="960"/>
  <c r="S21" i="960"/>
  <c r="T21" i="960"/>
  <c r="U21" i="960"/>
  <c r="V21" i="960"/>
  <c r="W21" i="960"/>
  <c r="X21" i="960"/>
  <c r="Y21" i="960"/>
  <c r="Z21" i="960"/>
  <c r="R22" i="960"/>
  <c r="S22" i="960"/>
  <c r="T22" i="960"/>
  <c r="U22" i="960"/>
  <c r="V22" i="960"/>
  <c r="W22" i="960"/>
  <c r="X22" i="960"/>
  <c r="Y22" i="960"/>
  <c r="Z22" i="960"/>
  <c r="R23" i="960"/>
  <c r="S23" i="960"/>
  <c r="T23" i="960"/>
  <c r="U23" i="960"/>
  <c r="V23" i="960"/>
  <c r="W23" i="960"/>
  <c r="X23" i="960"/>
  <c r="Y23" i="960"/>
  <c r="Z23" i="960"/>
  <c r="R24" i="960"/>
  <c r="S24" i="960"/>
  <c r="T24" i="960"/>
  <c r="U24" i="960"/>
  <c r="V24" i="960"/>
  <c r="W24" i="960"/>
  <c r="X24" i="960"/>
  <c r="Y24" i="960"/>
  <c r="Z24" i="960"/>
  <c r="R25" i="960"/>
  <c r="S25" i="960"/>
  <c r="T25" i="960"/>
  <c r="U25" i="960"/>
  <c r="V25" i="960"/>
  <c r="W25" i="960"/>
  <c r="X25" i="960"/>
  <c r="Y25" i="960"/>
  <c r="Z25" i="960"/>
  <c r="R26" i="960"/>
  <c r="S26" i="960"/>
  <c r="T26" i="960"/>
  <c r="U26" i="960"/>
  <c r="V26" i="960"/>
  <c r="W26" i="960"/>
  <c r="X26" i="960"/>
  <c r="Y26" i="960"/>
  <c r="Z26" i="960"/>
  <c r="R27" i="960"/>
  <c r="S27" i="960"/>
  <c r="T27" i="960"/>
  <c r="U27" i="960"/>
  <c r="V27" i="960"/>
  <c r="W27" i="960"/>
  <c r="X27" i="960"/>
  <c r="Y27" i="960"/>
  <c r="Z27" i="960"/>
  <c r="R28" i="960"/>
  <c r="S28" i="960"/>
  <c r="T28" i="960"/>
  <c r="U28" i="960"/>
  <c r="V28" i="960"/>
  <c r="W28" i="960"/>
  <c r="X28" i="960"/>
  <c r="Y28" i="960"/>
  <c r="Z28" i="960"/>
  <c r="R29" i="960"/>
  <c r="S29" i="960"/>
  <c r="T29" i="960"/>
  <c r="U29" i="960"/>
  <c r="V29" i="960"/>
  <c r="W29" i="960"/>
  <c r="X29" i="960"/>
  <c r="Y29" i="960"/>
  <c r="Z29" i="960"/>
  <c r="R30" i="960"/>
  <c r="S30" i="960"/>
  <c r="T30" i="960"/>
  <c r="U30" i="960"/>
  <c r="V30" i="960"/>
  <c r="W30" i="960"/>
  <c r="X30" i="960"/>
  <c r="Y30" i="960"/>
  <c r="Z30" i="960"/>
  <c r="I10" i="960"/>
  <c r="J10" i="960"/>
  <c r="K10" i="960"/>
  <c r="L10" i="960"/>
  <c r="M10" i="960"/>
  <c r="N10" i="960"/>
  <c r="I11" i="960"/>
  <c r="J11" i="960"/>
  <c r="K11" i="960"/>
  <c r="L11" i="960"/>
  <c r="M11" i="960"/>
  <c r="N11" i="960"/>
  <c r="I12" i="960"/>
  <c r="J12" i="960"/>
  <c r="K12" i="960"/>
  <c r="L12" i="960"/>
  <c r="M12" i="960"/>
  <c r="N12" i="960"/>
  <c r="I14" i="960"/>
  <c r="J14" i="960"/>
  <c r="K14" i="960"/>
  <c r="L14" i="960"/>
  <c r="M14" i="960"/>
  <c r="N14" i="960"/>
  <c r="C10" i="960"/>
  <c r="D10" i="960"/>
  <c r="E10" i="960"/>
  <c r="F10" i="960"/>
  <c r="G10" i="960"/>
  <c r="C11" i="960"/>
  <c r="D11" i="960"/>
  <c r="E11" i="960"/>
  <c r="F11" i="960"/>
  <c r="G11" i="960"/>
  <c r="C12" i="960"/>
  <c r="D12" i="960"/>
  <c r="E12" i="960"/>
  <c r="F12" i="960"/>
  <c r="G12" i="960"/>
  <c r="C14" i="960"/>
  <c r="D14" i="960"/>
  <c r="E14" i="960"/>
  <c r="F14" i="960"/>
  <c r="G14" i="960"/>
  <c r="F80" i="960"/>
  <c r="L66" i="960"/>
  <c r="AX64" i="960"/>
  <c r="AW64" i="960"/>
  <c r="AV64" i="960"/>
  <c r="AU64" i="960"/>
  <c r="AT64" i="960"/>
  <c r="AS64" i="960"/>
  <c r="AR64" i="960"/>
  <c r="AQ64" i="960"/>
  <c r="AP64" i="960"/>
  <c r="AO64" i="960"/>
  <c r="AN64" i="960"/>
  <c r="AM64" i="960"/>
  <c r="AL64" i="960"/>
  <c r="AK64" i="960"/>
  <c r="AJ64" i="960"/>
  <c r="AI64" i="960"/>
  <c r="AH64" i="960"/>
  <c r="AG64" i="960"/>
  <c r="AF64" i="960"/>
  <c r="AE64" i="960"/>
  <c r="AD64" i="960"/>
  <c r="AC64" i="960"/>
  <c r="AB64" i="960"/>
  <c r="AX63" i="960"/>
  <c r="AW63" i="960"/>
  <c r="AV63" i="960"/>
  <c r="AU63" i="960"/>
  <c r="AT63" i="960"/>
  <c r="AS63" i="960"/>
  <c r="AR63" i="960"/>
  <c r="AQ63" i="960"/>
  <c r="AP63" i="960"/>
  <c r="AO63" i="960"/>
  <c r="AN63" i="960"/>
  <c r="AM63" i="960"/>
  <c r="AL63" i="960"/>
  <c r="AK63" i="960"/>
  <c r="AJ63" i="960"/>
  <c r="AI63" i="960"/>
  <c r="AH63" i="960"/>
  <c r="AG63" i="960"/>
  <c r="AF63" i="960"/>
  <c r="AE63" i="960"/>
  <c r="AD63" i="960"/>
  <c r="AC63" i="960"/>
  <c r="AB63" i="960"/>
  <c r="AX62" i="960"/>
  <c r="AW62" i="960"/>
  <c r="AV62" i="960"/>
  <c r="AU62" i="960"/>
  <c r="AT62" i="960"/>
  <c r="AS62" i="960"/>
  <c r="AR62" i="960"/>
  <c r="AQ62" i="960"/>
  <c r="AP62" i="960"/>
  <c r="AO62" i="960"/>
  <c r="AN62" i="960"/>
  <c r="AM62" i="960"/>
  <c r="AL62" i="960"/>
  <c r="AK62" i="960"/>
  <c r="AJ62" i="960"/>
  <c r="AI62" i="960"/>
  <c r="AH62" i="960"/>
  <c r="AG62" i="960"/>
  <c r="AF62" i="960"/>
  <c r="AE62" i="960"/>
  <c r="AD62" i="960"/>
  <c r="AC62" i="960"/>
  <c r="AB62" i="960"/>
  <c r="K75" i="960"/>
  <c r="B62" i="960"/>
  <c r="K57" i="960"/>
  <c r="M48" i="960" s="1"/>
  <c r="Z44" i="960"/>
  <c r="Y44" i="960"/>
  <c r="X44" i="960"/>
  <c r="W44" i="960"/>
  <c r="V44" i="960"/>
  <c r="U44" i="960"/>
  <c r="T44" i="960"/>
  <c r="S44" i="960"/>
  <c r="R44" i="960"/>
  <c r="Z43" i="960"/>
  <c r="Y43" i="960"/>
  <c r="X43" i="960"/>
  <c r="W43" i="960"/>
  <c r="V43" i="960"/>
  <c r="U43" i="960"/>
  <c r="T43" i="960"/>
  <c r="S43" i="960"/>
  <c r="R43" i="960"/>
  <c r="Z42" i="960"/>
  <c r="Y42" i="960"/>
  <c r="X42" i="960"/>
  <c r="W42" i="960"/>
  <c r="V42" i="960"/>
  <c r="U42" i="960"/>
  <c r="T42" i="960"/>
  <c r="S42" i="960"/>
  <c r="R42" i="960"/>
  <c r="Z41" i="960"/>
  <c r="Y41" i="960"/>
  <c r="X41" i="960"/>
  <c r="W41" i="960"/>
  <c r="V41" i="960"/>
  <c r="U41" i="960"/>
  <c r="T41" i="960"/>
  <c r="S41" i="960"/>
  <c r="R41" i="960"/>
  <c r="Z40" i="960"/>
  <c r="Y40" i="960"/>
  <c r="X40" i="960"/>
  <c r="W40" i="960"/>
  <c r="V40" i="960"/>
  <c r="U40" i="960"/>
  <c r="T40" i="960"/>
  <c r="S40" i="960"/>
  <c r="R40" i="960"/>
  <c r="Z39" i="960"/>
  <c r="Y39" i="960"/>
  <c r="X39" i="960"/>
  <c r="W39" i="960"/>
  <c r="V39" i="960"/>
  <c r="U39" i="960"/>
  <c r="T39" i="960"/>
  <c r="S39" i="960"/>
  <c r="R39" i="960"/>
  <c r="M39" i="960"/>
  <c r="L39" i="960"/>
  <c r="K39" i="960"/>
  <c r="Z38" i="960"/>
  <c r="Y38" i="960"/>
  <c r="X38" i="960"/>
  <c r="W38" i="960"/>
  <c r="V38" i="960"/>
  <c r="U38" i="960"/>
  <c r="T38" i="960"/>
  <c r="S38" i="960"/>
  <c r="R38" i="960"/>
  <c r="M38" i="960"/>
  <c r="Z37" i="960"/>
  <c r="Y37" i="960"/>
  <c r="X37" i="960"/>
  <c r="W37" i="960"/>
  <c r="V37" i="960"/>
  <c r="U37" i="960"/>
  <c r="T37" i="960"/>
  <c r="S37" i="960"/>
  <c r="R37" i="960"/>
  <c r="Z36" i="960"/>
  <c r="Y36" i="960"/>
  <c r="X36" i="960"/>
  <c r="W36" i="960"/>
  <c r="V36" i="960"/>
  <c r="U36" i="960"/>
  <c r="T36" i="960"/>
  <c r="S36" i="960"/>
  <c r="R36" i="960"/>
  <c r="M36" i="960"/>
  <c r="L36" i="960"/>
  <c r="K36" i="960"/>
  <c r="Z35" i="960"/>
  <c r="Y35" i="960"/>
  <c r="X35" i="960"/>
  <c r="W35" i="960"/>
  <c r="V35" i="960"/>
  <c r="U35" i="960"/>
  <c r="T35" i="960"/>
  <c r="S35" i="960"/>
  <c r="R35" i="960"/>
  <c r="M35" i="960"/>
  <c r="L35" i="960"/>
  <c r="K35" i="960"/>
  <c r="Z34" i="960"/>
  <c r="Y34" i="960"/>
  <c r="X34" i="960"/>
  <c r="W34" i="960"/>
  <c r="V34" i="960"/>
  <c r="U34" i="960"/>
  <c r="T34" i="960"/>
  <c r="S34" i="960"/>
  <c r="R34" i="960"/>
  <c r="Z33" i="960"/>
  <c r="Y33" i="960"/>
  <c r="X33" i="960"/>
  <c r="W33" i="960"/>
  <c r="V33" i="960"/>
  <c r="U33" i="960"/>
  <c r="T33" i="960"/>
  <c r="S33" i="960"/>
  <c r="R33" i="960"/>
  <c r="M33" i="960"/>
  <c r="L33" i="960"/>
  <c r="K33" i="960"/>
  <c r="Z32" i="960"/>
  <c r="Y32" i="960"/>
  <c r="X32" i="960"/>
  <c r="W32" i="960"/>
  <c r="V32" i="960"/>
  <c r="U32" i="960"/>
  <c r="T32" i="960"/>
  <c r="S32" i="960"/>
  <c r="R32" i="960"/>
  <c r="Z31" i="960"/>
  <c r="Y31" i="960"/>
  <c r="X31" i="960"/>
  <c r="W31" i="960"/>
  <c r="V31" i="960"/>
  <c r="U31" i="960"/>
  <c r="T31" i="960"/>
  <c r="S31" i="960"/>
  <c r="R31" i="960"/>
  <c r="G47" i="959"/>
  <c r="B47" i="959"/>
  <c r="I13" i="961" l="1"/>
  <c r="J33" i="961" s="1"/>
  <c r="J34" i="960"/>
  <c r="K43" i="960"/>
  <c r="L43" i="960"/>
  <c r="M43" i="960" s="1"/>
  <c r="K47" i="959" l="1"/>
  <c r="K60" i="959" s="1"/>
  <c r="M18" i="959"/>
  <c r="L18" i="959"/>
  <c r="K18" i="959"/>
  <c r="C10" i="959"/>
  <c r="D10" i="959"/>
  <c r="E10" i="959"/>
  <c r="F10" i="959"/>
  <c r="G10" i="959"/>
  <c r="I10" i="959"/>
  <c r="J18" i="959" s="1"/>
  <c r="J10" i="959"/>
  <c r="K10" i="959"/>
  <c r="L10" i="959"/>
  <c r="M10" i="959"/>
  <c r="N10" i="959"/>
  <c r="O10" i="959"/>
  <c r="L33" i="959"/>
  <c r="M33" i="959" s="1"/>
  <c r="F65" i="959"/>
  <c r="L51" i="959"/>
  <c r="AX49" i="959"/>
  <c r="AW49" i="959"/>
  <c r="AV49" i="959"/>
  <c r="AU49" i="959"/>
  <c r="AT49" i="959"/>
  <c r="AS49" i="959"/>
  <c r="AR49" i="959"/>
  <c r="AQ49" i="959"/>
  <c r="AP49" i="959"/>
  <c r="AO49" i="959"/>
  <c r="AN49" i="959"/>
  <c r="AM49" i="959"/>
  <c r="AL49" i="959"/>
  <c r="AK49" i="959"/>
  <c r="AJ49" i="959"/>
  <c r="AI49" i="959"/>
  <c r="AH49" i="959"/>
  <c r="AG49" i="959"/>
  <c r="AF49" i="959"/>
  <c r="AE49" i="959"/>
  <c r="AD49" i="959"/>
  <c r="AC49" i="959"/>
  <c r="AB49" i="959"/>
  <c r="AX48" i="959"/>
  <c r="AW48" i="959"/>
  <c r="AV48" i="959"/>
  <c r="AU48" i="959"/>
  <c r="AT48" i="959"/>
  <c r="AS48" i="959"/>
  <c r="AR48" i="959"/>
  <c r="AQ48" i="959"/>
  <c r="AP48" i="959"/>
  <c r="AO48" i="959"/>
  <c r="AN48" i="959"/>
  <c r="AM48" i="959"/>
  <c r="AL48" i="959"/>
  <c r="AK48" i="959"/>
  <c r="AJ48" i="959"/>
  <c r="AI48" i="959"/>
  <c r="AH48" i="959"/>
  <c r="AG48" i="959"/>
  <c r="AF48" i="959"/>
  <c r="AE48" i="959"/>
  <c r="AD48" i="959"/>
  <c r="AC48" i="959"/>
  <c r="AB48" i="959"/>
  <c r="AX47" i="959"/>
  <c r="AW47" i="959"/>
  <c r="AV47" i="959"/>
  <c r="AU47" i="959"/>
  <c r="AT47" i="959"/>
  <c r="AS47" i="959"/>
  <c r="AR47" i="959"/>
  <c r="AQ47" i="959"/>
  <c r="AP47" i="959"/>
  <c r="AO47" i="959"/>
  <c r="AN47" i="959"/>
  <c r="AM47" i="959"/>
  <c r="AL47" i="959"/>
  <c r="AK47" i="959"/>
  <c r="AJ47" i="959"/>
  <c r="AI47" i="959"/>
  <c r="AH47" i="959"/>
  <c r="AG47" i="959"/>
  <c r="AF47" i="959"/>
  <c r="AE47" i="959"/>
  <c r="AD47" i="959"/>
  <c r="AC47" i="959"/>
  <c r="AB47" i="959"/>
  <c r="K42" i="959"/>
  <c r="Z29" i="959"/>
  <c r="Y29" i="959"/>
  <c r="X29" i="959"/>
  <c r="W29" i="959"/>
  <c r="V29" i="959"/>
  <c r="U29" i="959"/>
  <c r="T29" i="959"/>
  <c r="S29" i="959"/>
  <c r="R29" i="959"/>
  <c r="Z28" i="959"/>
  <c r="Y28" i="959"/>
  <c r="X28" i="959"/>
  <c r="W28" i="959"/>
  <c r="V28" i="959"/>
  <c r="U28" i="959"/>
  <c r="T28" i="959"/>
  <c r="S28" i="959"/>
  <c r="R28" i="959"/>
  <c r="Z27" i="959"/>
  <c r="Y27" i="959"/>
  <c r="X27" i="959"/>
  <c r="W27" i="959"/>
  <c r="V27" i="959"/>
  <c r="U27" i="959"/>
  <c r="T27" i="959"/>
  <c r="S27" i="959"/>
  <c r="R27" i="959"/>
  <c r="Z26" i="959"/>
  <c r="Y26" i="959"/>
  <c r="X26" i="959"/>
  <c r="W26" i="959"/>
  <c r="V26" i="959"/>
  <c r="U26" i="959"/>
  <c r="T26" i="959"/>
  <c r="S26" i="959"/>
  <c r="R26" i="959"/>
  <c r="Z25" i="959"/>
  <c r="Y25" i="959"/>
  <c r="X25" i="959"/>
  <c r="W25" i="959"/>
  <c r="V25" i="959"/>
  <c r="U25" i="959"/>
  <c r="T25" i="959"/>
  <c r="S25" i="959"/>
  <c r="R25" i="959"/>
  <c r="Z24" i="959"/>
  <c r="Y24" i="959"/>
  <c r="X24" i="959"/>
  <c r="W24" i="959"/>
  <c r="V24" i="959"/>
  <c r="U24" i="959"/>
  <c r="T24" i="959"/>
  <c r="S24" i="959"/>
  <c r="R24" i="959"/>
  <c r="M24" i="959"/>
  <c r="L24" i="959"/>
  <c r="K24" i="959"/>
  <c r="Z23" i="959"/>
  <c r="Y23" i="959"/>
  <c r="X23" i="959"/>
  <c r="W23" i="959"/>
  <c r="V23" i="959"/>
  <c r="U23" i="959"/>
  <c r="T23" i="959"/>
  <c r="S23" i="959"/>
  <c r="R23" i="959"/>
  <c r="M23" i="959"/>
  <c r="Z22" i="959"/>
  <c r="Y22" i="959"/>
  <c r="X22" i="959"/>
  <c r="W22" i="959"/>
  <c r="V22" i="959"/>
  <c r="U22" i="959"/>
  <c r="T22" i="959"/>
  <c r="S22" i="959"/>
  <c r="R22" i="959"/>
  <c r="Z21" i="959"/>
  <c r="Y21" i="959"/>
  <c r="X21" i="959"/>
  <c r="W21" i="959"/>
  <c r="V21" i="959"/>
  <c r="U21" i="959"/>
  <c r="T21" i="959"/>
  <c r="S21" i="959"/>
  <c r="R21" i="959"/>
  <c r="M21" i="959"/>
  <c r="L21" i="959"/>
  <c r="K21" i="959"/>
  <c r="Z20" i="959"/>
  <c r="Y20" i="959"/>
  <c r="X20" i="959"/>
  <c r="W20" i="959"/>
  <c r="V20" i="959"/>
  <c r="U20" i="959"/>
  <c r="T20" i="959"/>
  <c r="S20" i="959"/>
  <c r="R20" i="959"/>
  <c r="M20" i="959"/>
  <c r="L20" i="959"/>
  <c r="K20" i="959"/>
  <c r="Z19" i="959"/>
  <c r="Y19" i="959"/>
  <c r="X19" i="959"/>
  <c r="W19" i="959"/>
  <c r="V19" i="959"/>
  <c r="U19" i="959"/>
  <c r="T19" i="959"/>
  <c r="S19" i="959"/>
  <c r="R19" i="959"/>
  <c r="M19" i="959"/>
  <c r="L19" i="959"/>
  <c r="K19" i="959"/>
  <c r="Z18" i="959"/>
  <c r="Y18" i="959"/>
  <c r="X18" i="959"/>
  <c r="W18" i="959"/>
  <c r="V18" i="959"/>
  <c r="U18" i="959"/>
  <c r="T18" i="959"/>
  <c r="S18" i="959"/>
  <c r="R18" i="959"/>
  <c r="Z17" i="959"/>
  <c r="Y17" i="959"/>
  <c r="X17" i="959"/>
  <c r="W17" i="959"/>
  <c r="V17" i="959"/>
  <c r="U17" i="959"/>
  <c r="T17" i="959"/>
  <c r="S17" i="959"/>
  <c r="R17" i="959"/>
  <c r="Z16" i="959"/>
  <c r="Y16" i="959"/>
  <c r="X16" i="959"/>
  <c r="W16" i="959"/>
  <c r="V16" i="959"/>
  <c r="U16" i="959"/>
  <c r="T16" i="959"/>
  <c r="S16" i="959"/>
  <c r="R16" i="959"/>
  <c r="Z15" i="959"/>
  <c r="Y15" i="959"/>
  <c r="X15" i="959"/>
  <c r="W15" i="959"/>
  <c r="V15" i="959"/>
  <c r="U15" i="959"/>
  <c r="T15" i="959"/>
  <c r="S15" i="959"/>
  <c r="R15" i="959"/>
  <c r="Z14" i="959"/>
  <c r="Y14" i="959"/>
  <c r="X14" i="959"/>
  <c r="W14" i="959"/>
  <c r="V14" i="959"/>
  <c r="U14" i="959"/>
  <c r="T14" i="959"/>
  <c r="S14" i="959"/>
  <c r="R14" i="959"/>
  <c r="Z13" i="959"/>
  <c r="Y13" i="959"/>
  <c r="X13" i="959"/>
  <c r="W13" i="959"/>
  <c r="V13" i="959"/>
  <c r="U13" i="959"/>
  <c r="T13" i="959"/>
  <c r="S13" i="959"/>
  <c r="R13" i="959"/>
  <c r="Z12" i="959"/>
  <c r="Y12" i="959"/>
  <c r="X12" i="959"/>
  <c r="W12" i="959"/>
  <c r="V12" i="959"/>
  <c r="U12" i="959"/>
  <c r="T12" i="959"/>
  <c r="S12" i="959"/>
  <c r="R12" i="959"/>
  <c r="Z11" i="959"/>
  <c r="Y11" i="959"/>
  <c r="X11" i="959"/>
  <c r="W11" i="959"/>
  <c r="V11" i="959"/>
  <c r="U11" i="959"/>
  <c r="T11" i="959"/>
  <c r="S11" i="959"/>
  <c r="R11" i="959"/>
  <c r="Z10" i="959"/>
  <c r="Y10" i="959"/>
  <c r="X10" i="959"/>
  <c r="W10" i="959"/>
  <c r="V10" i="959"/>
  <c r="U10" i="959"/>
  <c r="T10" i="959"/>
  <c r="S10" i="959"/>
  <c r="R10" i="959"/>
  <c r="K28" i="959" l="1"/>
  <c r="L28" i="959" s="1"/>
  <c r="M28" i="959" s="1"/>
  <c r="L37" i="958"/>
  <c r="I19" i="957"/>
  <c r="J19" i="957"/>
  <c r="K19" i="957"/>
  <c r="L19" i="957"/>
  <c r="M19" i="957"/>
  <c r="N19" i="957"/>
  <c r="O19" i="957"/>
  <c r="C19" i="957"/>
  <c r="D19" i="957"/>
  <c r="E19" i="957"/>
  <c r="F19" i="957"/>
  <c r="G19" i="957"/>
  <c r="M25" i="958" l="1"/>
  <c r="L25" i="958"/>
  <c r="K25" i="958"/>
  <c r="R13" i="958"/>
  <c r="S13" i="958"/>
  <c r="T13" i="958"/>
  <c r="U13" i="958"/>
  <c r="V13" i="958"/>
  <c r="W13" i="958"/>
  <c r="X13" i="958"/>
  <c r="Y13" i="958"/>
  <c r="Z13" i="958"/>
  <c r="R14" i="958"/>
  <c r="S14" i="958"/>
  <c r="T14" i="958"/>
  <c r="U14" i="958"/>
  <c r="V14" i="958"/>
  <c r="W14" i="958"/>
  <c r="X14" i="958"/>
  <c r="Y14" i="958"/>
  <c r="Z14" i="958"/>
  <c r="R15" i="958"/>
  <c r="S15" i="958"/>
  <c r="T15" i="958"/>
  <c r="U15" i="958"/>
  <c r="V15" i="958"/>
  <c r="W15" i="958"/>
  <c r="X15" i="958"/>
  <c r="Y15" i="958"/>
  <c r="Z15" i="958"/>
  <c r="R16" i="958"/>
  <c r="S16" i="958"/>
  <c r="T16" i="958"/>
  <c r="U16" i="958"/>
  <c r="V16" i="958"/>
  <c r="W16" i="958"/>
  <c r="X16" i="958"/>
  <c r="Y16" i="958"/>
  <c r="Z16" i="958"/>
  <c r="R17" i="958"/>
  <c r="S17" i="958"/>
  <c r="T17" i="958"/>
  <c r="U17" i="958"/>
  <c r="V17" i="958"/>
  <c r="W17" i="958"/>
  <c r="X17" i="958"/>
  <c r="Y17" i="958"/>
  <c r="Z17" i="958"/>
  <c r="R18" i="958"/>
  <c r="S18" i="958"/>
  <c r="T18" i="958"/>
  <c r="U18" i="958"/>
  <c r="V18" i="958"/>
  <c r="W18" i="958"/>
  <c r="X18" i="958"/>
  <c r="Y18" i="958"/>
  <c r="Z18" i="958"/>
  <c r="R19" i="958"/>
  <c r="S19" i="958"/>
  <c r="T19" i="958"/>
  <c r="U19" i="958"/>
  <c r="V19" i="958"/>
  <c r="W19" i="958"/>
  <c r="X19" i="958"/>
  <c r="Y19" i="958"/>
  <c r="Z19" i="958"/>
  <c r="R20" i="958"/>
  <c r="S20" i="958"/>
  <c r="T20" i="958"/>
  <c r="U20" i="958"/>
  <c r="V20" i="958"/>
  <c r="W20" i="958"/>
  <c r="X20" i="958"/>
  <c r="Y20" i="958"/>
  <c r="Z20" i="958"/>
  <c r="R21" i="958"/>
  <c r="S21" i="958"/>
  <c r="T21" i="958"/>
  <c r="U21" i="958"/>
  <c r="V21" i="958"/>
  <c r="W21" i="958"/>
  <c r="X21" i="958"/>
  <c r="Y21" i="958"/>
  <c r="Z21" i="958"/>
  <c r="R22" i="958"/>
  <c r="S22" i="958"/>
  <c r="T22" i="958"/>
  <c r="U22" i="958"/>
  <c r="V22" i="958"/>
  <c r="W22" i="958"/>
  <c r="X22" i="958"/>
  <c r="Y22" i="958"/>
  <c r="Z22" i="958"/>
  <c r="R23" i="958"/>
  <c r="S23" i="958"/>
  <c r="T23" i="958"/>
  <c r="U23" i="958"/>
  <c r="V23" i="958"/>
  <c r="W23" i="958"/>
  <c r="X23" i="958"/>
  <c r="Y23" i="958"/>
  <c r="Z23" i="958"/>
  <c r="R24" i="958"/>
  <c r="S24" i="958"/>
  <c r="T24" i="958"/>
  <c r="U24" i="958"/>
  <c r="V24" i="958"/>
  <c r="W24" i="958"/>
  <c r="X24" i="958"/>
  <c r="Y24" i="958"/>
  <c r="Z24" i="958"/>
  <c r="R25" i="958"/>
  <c r="S25" i="958"/>
  <c r="T25" i="958"/>
  <c r="U25" i="958"/>
  <c r="V25" i="958"/>
  <c r="W25" i="958"/>
  <c r="X25" i="958"/>
  <c r="Y25" i="958"/>
  <c r="Z25" i="958"/>
  <c r="R26" i="958"/>
  <c r="S26" i="958"/>
  <c r="T26" i="958"/>
  <c r="U26" i="958"/>
  <c r="V26" i="958"/>
  <c r="W26" i="958"/>
  <c r="X26" i="958"/>
  <c r="Y26" i="958"/>
  <c r="Z26" i="958"/>
  <c r="R27" i="958"/>
  <c r="S27" i="958"/>
  <c r="T27" i="958"/>
  <c r="U27" i="958"/>
  <c r="V27" i="958"/>
  <c r="W27" i="958"/>
  <c r="X27" i="958"/>
  <c r="Y27" i="958"/>
  <c r="Z27" i="958"/>
  <c r="R28" i="958"/>
  <c r="S28" i="958"/>
  <c r="T28" i="958"/>
  <c r="U28" i="958"/>
  <c r="V28" i="958"/>
  <c r="W28" i="958"/>
  <c r="X28" i="958"/>
  <c r="Y28" i="958"/>
  <c r="Z28" i="958"/>
  <c r="R29" i="958"/>
  <c r="S29" i="958"/>
  <c r="T29" i="958"/>
  <c r="U29" i="958"/>
  <c r="V29" i="958"/>
  <c r="W29" i="958"/>
  <c r="X29" i="958"/>
  <c r="Y29" i="958"/>
  <c r="Z29" i="958"/>
  <c r="R30" i="958"/>
  <c r="S30" i="958"/>
  <c r="T30" i="958"/>
  <c r="U30" i="958"/>
  <c r="V30" i="958"/>
  <c r="W30" i="958"/>
  <c r="X30" i="958"/>
  <c r="Y30" i="958"/>
  <c r="Z30" i="958"/>
  <c r="C10" i="958"/>
  <c r="D10" i="958"/>
  <c r="E10" i="958"/>
  <c r="F10" i="958"/>
  <c r="G10" i="958"/>
  <c r="I10" i="958"/>
  <c r="J10" i="958"/>
  <c r="K10" i="958"/>
  <c r="L10" i="958"/>
  <c r="M10" i="958"/>
  <c r="N10" i="958"/>
  <c r="O10" i="958"/>
  <c r="C11" i="958"/>
  <c r="D11" i="958"/>
  <c r="E11" i="958"/>
  <c r="F11" i="958"/>
  <c r="G11" i="958"/>
  <c r="I11" i="958"/>
  <c r="J11" i="958"/>
  <c r="K11" i="958"/>
  <c r="L11" i="958"/>
  <c r="M11" i="958"/>
  <c r="N11" i="958"/>
  <c r="O11" i="958"/>
  <c r="C12" i="958"/>
  <c r="D12" i="958"/>
  <c r="E12" i="958"/>
  <c r="F12" i="958"/>
  <c r="G12" i="958"/>
  <c r="I12" i="958"/>
  <c r="J12" i="958"/>
  <c r="K12" i="958"/>
  <c r="L12" i="958"/>
  <c r="M12" i="958"/>
  <c r="N12" i="958"/>
  <c r="O12" i="958"/>
  <c r="C13" i="958"/>
  <c r="D13" i="958"/>
  <c r="E13" i="958"/>
  <c r="F13" i="958"/>
  <c r="G13" i="958"/>
  <c r="I13" i="958"/>
  <c r="J13" i="958"/>
  <c r="K13" i="958"/>
  <c r="L13" i="958"/>
  <c r="M13" i="958"/>
  <c r="N13" i="958"/>
  <c r="O13" i="958"/>
  <c r="F69" i="958"/>
  <c r="L55" i="958"/>
  <c r="AX53" i="958"/>
  <c r="AW53" i="958"/>
  <c r="AV53" i="958"/>
  <c r="AU53" i="958"/>
  <c r="AT53" i="958"/>
  <c r="AS53" i="958"/>
  <c r="AR53" i="958"/>
  <c r="AQ53" i="958"/>
  <c r="AP53" i="958"/>
  <c r="AO53" i="958"/>
  <c r="AN53" i="958"/>
  <c r="AM53" i="958"/>
  <c r="AL53" i="958"/>
  <c r="AK53" i="958"/>
  <c r="AJ53" i="958"/>
  <c r="AI53" i="958"/>
  <c r="AH53" i="958"/>
  <c r="AG53" i="958"/>
  <c r="AF53" i="958"/>
  <c r="AE53" i="958"/>
  <c r="AD53" i="958"/>
  <c r="AC53" i="958"/>
  <c r="AB53" i="958"/>
  <c r="AX52" i="958"/>
  <c r="AW52" i="958"/>
  <c r="AV52" i="958"/>
  <c r="AU52" i="958"/>
  <c r="AT52" i="958"/>
  <c r="AS52" i="958"/>
  <c r="AR52" i="958"/>
  <c r="AQ52" i="958"/>
  <c r="AP52" i="958"/>
  <c r="AO52" i="958"/>
  <c r="AN52" i="958"/>
  <c r="AM52" i="958"/>
  <c r="AL52" i="958"/>
  <c r="AK52" i="958"/>
  <c r="AJ52" i="958"/>
  <c r="AI52" i="958"/>
  <c r="AH52" i="958"/>
  <c r="AG52" i="958"/>
  <c r="AF52" i="958"/>
  <c r="AE52" i="958"/>
  <c r="AD52" i="958"/>
  <c r="AC52" i="958"/>
  <c r="AB52" i="958"/>
  <c r="AX51" i="958"/>
  <c r="AW51" i="958"/>
  <c r="AV51" i="958"/>
  <c r="AU51" i="958"/>
  <c r="AT51" i="958"/>
  <c r="AS51" i="958"/>
  <c r="AR51" i="958"/>
  <c r="AQ51" i="958"/>
  <c r="AP51" i="958"/>
  <c r="AO51" i="958"/>
  <c r="AN51" i="958"/>
  <c r="AM51" i="958"/>
  <c r="AL51" i="958"/>
  <c r="AK51" i="958"/>
  <c r="AJ51" i="958"/>
  <c r="AI51" i="958"/>
  <c r="AH51" i="958"/>
  <c r="AG51" i="958"/>
  <c r="AF51" i="958"/>
  <c r="AE51" i="958"/>
  <c r="AD51" i="958"/>
  <c r="AC51" i="958"/>
  <c r="AB51" i="958"/>
  <c r="K46" i="958"/>
  <c r="M37" i="958"/>
  <c r="Z33" i="958"/>
  <c r="Y33" i="958"/>
  <c r="X33" i="958"/>
  <c r="W33" i="958"/>
  <c r="V33" i="958"/>
  <c r="U33" i="958"/>
  <c r="T33" i="958"/>
  <c r="S33" i="958"/>
  <c r="R33" i="958"/>
  <c r="Z32" i="958"/>
  <c r="Y32" i="958"/>
  <c r="X32" i="958"/>
  <c r="W32" i="958"/>
  <c r="V32" i="958"/>
  <c r="U32" i="958"/>
  <c r="T32" i="958"/>
  <c r="S32" i="958"/>
  <c r="R32" i="958"/>
  <c r="Z31" i="958"/>
  <c r="Y31" i="958"/>
  <c r="X31" i="958"/>
  <c r="W31" i="958"/>
  <c r="V31" i="958"/>
  <c r="U31" i="958"/>
  <c r="T31" i="958"/>
  <c r="S31" i="958"/>
  <c r="R31" i="958"/>
  <c r="M28" i="958"/>
  <c r="L28" i="958"/>
  <c r="K28" i="958"/>
  <c r="M27" i="958"/>
  <c r="M24" i="958"/>
  <c r="L24" i="958"/>
  <c r="K24" i="958"/>
  <c r="M23" i="958"/>
  <c r="L23" i="958"/>
  <c r="K23" i="958"/>
  <c r="M22" i="958"/>
  <c r="L22" i="958"/>
  <c r="K22" i="958"/>
  <c r="Z12" i="958"/>
  <c r="Y12" i="958"/>
  <c r="X12" i="958"/>
  <c r="W12" i="958"/>
  <c r="V12" i="958"/>
  <c r="U12" i="958"/>
  <c r="T12" i="958"/>
  <c r="S12" i="958"/>
  <c r="R12" i="958"/>
  <c r="Z11" i="958"/>
  <c r="Y11" i="958"/>
  <c r="X11" i="958"/>
  <c r="W11" i="958"/>
  <c r="V11" i="958"/>
  <c r="U11" i="958"/>
  <c r="T11" i="958"/>
  <c r="S11" i="958"/>
  <c r="R11" i="958"/>
  <c r="Z10" i="958"/>
  <c r="Y10" i="958"/>
  <c r="X10" i="958"/>
  <c r="W10" i="958"/>
  <c r="V10" i="958"/>
  <c r="U10" i="958"/>
  <c r="T10" i="958"/>
  <c r="S10" i="958"/>
  <c r="R10" i="958"/>
  <c r="K62" i="957"/>
  <c r="K76" i="957" s="1"/>
  <c r="B62" i="957"/>
  <c r="M33" i="957"/>
  <c r="L33" i="957"/>
  <c r="K33" i="957"/>
  <c r="M36" i="957"/>
  <c r="L36" i="957"/>
  <c r="K36" i="957"/>
  <c r="C16" i="957"/>
  <c r="D16" i="957"/>
  <c r="E16" i="957"/>
  <c r="F16" i="957"/>
  <c r="G16" i="957"/>
  <c r="I16" i="957"/>
  <c r="J16" i="957"/>
  <c r="K16" i="957"/>
  <c r="L16" i="957"/>
  <c r="M16" i="957"/>
  <c r="N16" i="957"/>
  <c r="O16" i="957"/>
  <c r="C17" i="957"/>
  <c r="D17" i="957"/>
  <c r="E17" i="957"/>
  <c r="F17" i="957"/>
  <c r="G17" i="957"/>
  <c r="I17" i="957"/>
  <c r="J17" i="957"/>
  <c r="K17" i="957"/>
  <c r="L17" i="957"/>
  <c r="M17" i="957"/>
  <c r="N17" i="957"/>
  <c r="O17" i="957"/>
  <c r="C18" i="957"/>
  <c r="D18" i="957"/>
  <c r="E18" i="957"/>
  <c r="F18" i="957"/>
  <c r="G18" i="957"/>
  <c r="I18" i="957"/>
  <c r="J18" i="957"/>
  <c r="K18" i="957"/>
  <c r="L18" i="957"/>
  <c r="M18" i="957"/>
  <c r="N18" i="957"/>
  <c r="O18" i="957"/>
  <c r="R10" i="957"/>
  <c r="S10" i="957"/>
  <c r="T10" i="957"/>
  <c r="U10" i="957"/>
  <c r="V10" i="957"/>
  <c r="W10" i="957"/>
  <c r="X10" i="957"/>
  <c r="Y10" i="957"/>
  <c r="Z10" i="957"/>
  <c r="R11" i="957"/>
  <c r="S11" i="957"/>
  <c r="T11" i="957"/>
  <c r="U11" i="957"/>
  <c r="V11" i="957"/>
  <c r="W11" i="957"/>
  <c r="X11" i="957"/>
  <c r="Y11" i="957"/>
  <c r="Z11" i="957"/>
  <c r="R12" i="957"/>
  <c r="S12" i="957"/>
  <c r="T12" i="957"/>
  <c r="U12" i="957"/>
  <c r="V12" i="957"/>
  <c r="W12" i="957"/>
  <c r="X12" i="957"/>
  <c r="Y12" i="957"/>
  <c r="Z12" i="957"/>
  <c r="R13" i="957"/>
  <c r="S13" i="957"/>
  <c r="T13" i="957"/>
  <c r="U13" i="957"/>
  <c r="V13" i="957"/>
  <c r="W13" i="957"/>
  <c r="X13" i="957"/>
  <c r="Y13" i="957"/>
  <c r="Z13" i="957"/>
  <c r="R14" i="957"/>
  <c r="S14" i="957"/>
  <c r="T14" i="957"/>
  <c r="U14" i="957"/>
  <c r="V14" i="957"/>
  <c r="W14" i="957"/>
  <c r="X14" i="957"/>
  <c r="Y14" i="957"/>
  <c r="Z14" i="957"/>
  <c r="R15" i="957"/>
  <c r="S15" i="957"/>
  <c r="T15" i="957"/>
  <c r="U15" i="957"/>
  <c r="V15" i="957"/>
  <c r="W15" i="957"/>
  <c r="X15" i="957"/>
  <c r="Y15" i="957"/>
  <c r="Z15" i="957"/>
  <c r="R16" i="957"/>
  <c r="S16" i="957"/>
  <c r="T16" i="957"/>
  <c r="U16" i="957"/>
  <c r="V16" i="957"/>
  <c r="W16" i="957"/>
  <c r="X16" i="957"/>
  <c r="Y16" i="957"/>
  <c r="Z16" i="957"/>
  <c r="R17" i="957"/>
  <c r="S17" i="957"/>
  <c r="T17" i="957"/>
  <c r="U17" i="957"/>
  <c r="V17" i="957"/>
  <c r="W17" i="957"/>
  <c r="X17" i="957"/>
  <c r="Y17" i="957"/>
  <c r="Z17" i="957"/>
  <c r="R18" i="957"/>
  <c r="S18" i="957"/>
  <c r="T18" i="957"/>
  <c r="U18" i="957"/>
  <c r="V18" i="957"/>
  <c r="W18" i="957"/>
  <c r="X18" i="957"/>
  <c r="Y18" i="957"/>
  <c r="Z18" i="957"/>
  <c r="R19" i="957"/>
  <c r="S19" i="957"/>
  <c r="T19" i="957"/>
  <c r="U19" i="957"/>
  <c r="V19" i="957"/>
  <c r="W19" i="957"/>
  <c r="X19" i="957"/>
  <c r="Y19" i="957"/>
  <c r="Z19" i="957"/>
  <c r="I10" i="957"/>
  <c r="J10" i="957"/>
  <c r="L10" i="957"/>
  <c r="M10" i="957"/>
  <c r="N10" i="957"/>
  <c r="O10" i="957"/>
  <c r="I11" i="957"/>
  <c r="J11" i="957"/>
  <c r="L11" i="957"/>
  <c r="M11" i="957"/>
  <c r="O11" i="957"/>
  <c r="I12" i="957"/>
  <c r="J12" i="957"/>
  <c r="L12" i="957"/>
  <c r="M12" i="957"/>
  <c r="N12" i="957"/>
  <c r="O12" i="957"/>
  <c r="I13" i="957"/>
  <c r="J13" i="957"/>
  <c r="L13" i="957"/>
  <c r="M13" i="957"/>
  <c r="N13" i="957"/>
  <c r="O13" i="957"/>
  <c r="C13" i="957"/>
  <c r="D13" i="957"/>
  <c r="E13" i="957"/>
  <c r="F13" i="957"/>
  <c r="G13" i="957"/>
  <c r="C10" i="957"/>
  <c r="D10" i="957"/>
  <c r="E10" i="957"/>
  <c r="F10" i="957"/>
  <c r="G10" i="957"/>
  <c r="C11" i="957"/>
  <c r="D11" i="957"/>
  <c r="E11" i="957"/>
  <c r="F11" i="957"/>
  <c r="G11" i="957"/>
  <c r="C12" i="957"/>
  <c r="D12" i="957"/>
  <c r="E12" i="957"/>
  <c r="F12" i="957"/>
  <c r="G12" i="957"/>
  <c r="F80" i="957"/>
  <c r="L66" i="957"/>
  <c r="AX64" i="957"/>
  <c r="AW64" i="957"/>
  <c r="AV64" i="957"/>
  <c r="AU64" i="957"/>
  <c r="AT64" i="957"/>
  <c r="AS64" i="957"/>
  <c r="AR64" i="957"/>
  <c r="AQ64" i="957"/>
  <c r="AP64" i="957"/>
  <c r="AO64" i="957"/>
  <c r="AN64" i="957"/>
  <c r="AM64" i="957"/>
  <c r="AL64" i="957"/>
  <c r="AK64" i="957"/>
  <c r="AJ64" i="957"/>
  <c r="AI64" i="957"/>
  <c r="AH64" i="957"/>
  <c r="AG64" i="957"/>
  <c r="AF64" i="957"/>
  <c r="AE64" i="957"/>
  <c r="AD64" i="957"/>
  <c r="AC64" i="957"/>
  <c r="AB64" i="957"/>
  <c r="AX63" i="957"/>
  <c r="AW63" i="957"/>
  <c r="AV63" i="957"/>
  <c r="AU63" i="957"/>
  <c r="AT63" i="957"/>
  <c r="AS63" i="957"/>
  <c r="AR63" i="957"/>
  <c r="AQ63" i="957"/>
  <c r="AP63" i="957"/>
  <c r="AO63" i="957"/>
  <c r="AN63" i="957"/>
  <c r="AM63" i="957"/>
  <c r="AL63" i="957"/>
  <c r="AK63" i="957"/>
  <c r="AJ63" i="957"/>
  <c r="AI63" i="957"/>
  <c r="AH63" i="957"/>
  <c r="AG63" i="957"/>
  <c r="AF63" i="957"/>
  <c r="AE63" i="957"/>
  <c r="AD63" i="957"/>
  <c r="AC63" i="957"/>
  <c r="AB63" i="957"/>
  <c r="AX62" i="957"/>
  <c r="AW62" i="957"/>
  <c r="AV62" i="957"/>
  <c r="AU62" i="957"/>
  <c r="AT62" i="957"/>
  <c r="AS62" i="957"/>
  <c r="AR62" i="957"/>
  <c r="AQ62" i="957"/>
  <c r="AP62" i="957"/>
  <c r="AO62" i="957"/>
  <c r="AN62" i="957"/>
  <c r="AM62" i="957"/>
  <c r="AL62" i="957"/>
  <c r="AK62" i="957"/>
  <c r="AJ62" i="957"/>
  <c r="AI62" i="957"/>
  <c r="AH62" i="957"/>
  <c r="AG62" i="957"/>
  <c r="AF62" i="957"/>
  <c r="AE62" i="957"/>
  <c r="AD62" i="957"/>
  <c r="AC62" i="957"/>
  <c r="AB62" i="957"/>
  <c r="K57" i="957"/>
  <c r="L48" i="957"/>
  <c r="M48" i="957" s="1"/>
  <c r="R44" i="957"/>
  <c r="R43" i="957"/>
  <c r="R42" i="957"/>
  <c r="R41" i="957"/>
  <c r="R40" i="957"/>
  <c r="R39" i="957"/>
  <c r="M39" i="957"/>
  <c r="L39" i="957"/>
  <c r="K39" i="957"/>
  <c r="R38" i="957"/>
  <c r="M38" i="957"/>
  <c r="R37" i="957"/>
  <c r="R36" i="957"/>
  <c r="R35" i="957"/>
  <c r="M35" i="957"/>
  <c r="L35" i="957"/>
  <c r="K35" i="957"/>
  <c r="R34" i="957"/>
  <c r="M34" i="957"/>
  <c r="L34" i="957"/>
  <c r="K34" i="957"/>
  <c r="R33" i="957"/>
  <c r="Z32" i="957"/>
  <c r="Y32" i="957"/>
  <c r="X32" i="957"/>
  <c r="W32" i="957"/>
  <c r="V32" i="957"/>
  <c r="U32" i="957"/>
  <c r="T32" i="957"/>
  <c r="S32" i="957"/>
  <c r="R32" i="957"/>
  <c r="R31" i="957"/>
  <c r="R30" i="957"/>
  <c r="R29" i="957"/>
  <c r="R28" i="957"/>
  <c r="R27" i="957"/>
  <c r="R26" i="957"/>
  <c r="R25" i="957"/>
  <c r="R24" i="957"/>
  <c r="R23" i="957"/>
  <c r="R22" i="957"/>
  <c r="R21" i="957"/>
  <c r="R20" i="957"/>
  <c r="N11" i="956"/>
  <c r="M31" i="956"/>
  <c r="L31" i="956"/>
  <c r="K31" i="956"/>
  <c r="L46" i="956"/>
  <c r="I10" i="956"/>
  <c r="J10" i="956"/>
  <c r="L10" i="956"/>
  <c r="M10" i="956"/>
  <c r="N10" i="956"/>
  <c r="O10" i="956"/>
  <c r="I11" i="956"/>
  <c r="J11" i="956"/>
  <c r="L11" i="956"/>
  <c r="M11" i="956"/>
  <c r="O11" i="956"/>
  <c r="I12" i="956"/>
  <c r="J12" i="956"/>
  <c r="L12" i="956"/>
  <c r="M12" i="956"/>
  <c r="N12" i="956"/>
  <c r="O12" i="956"/>
  <c r="I13" i="956"/>
  <c r="J13" i="956"/>
  <c r="L13" i="956"/>
  <c r="M13" i="956"/>
  <c r="N13" i="956"/>
  <c r="O13" i="956"/>
  <c r="I14" i="956"/>
  <c r="J14" i="956"/>
  <c r="L14" i="956"/>
  <c r="M14" i="956"/>
  <c r="N14" i="956"/>
  <c r="O14" i="956"/>
  <c r="I15" i="956"/>
  <c r="J15" i="956"/>
  <c r="L15" i="956"/>
  <c r="M15" i="956"/>
  <c r="N15" i="956"/>
  <c r="O15" i="956"/>
  <c r="I16" i="956"/>
  <c r="J16" i="956"/>
  <c r="L16" i="956"/>
  <c r="M16" i="956"/>
  <c r="N16" i="956"/>
  <c r="O16" i="956"/>
  <c r="I17" i="956"/>
  <c r="J17" i="956"/>
  <c r="L17" i="956"/>
  <c r="M17" i="956"/>
  <c r="N17" i="956"/>
  <c r="O17" i="956"/>
  <c r="C10" i="956"/>
  <c r="D10" i="956"/>
  <c r="E10" i="956"/>
  <c r="F10" i="956"/>
  <c r="G10" i="956"/>
  <c r="C11" i="956"/>
  <c r="D11" i="956"/>
  <c r="E11" i="956"/>
  <c r="F11" i="956"/>
  <c r="G11" i="956"/>
  <c r="C12" i="956"/>
  <c r="D12" i="956"/>
  <c r="E12" i="956"/>
  <c r="F12" i="956"/>
  <c r="G12" i="956"/>
  <c r="C13" i="956"/>
  <c r="D13" i="956"/>
  <c r="E13" i="956"/>
  <c r="F13" i="956"/>
  <c r="G13" i="956"/>
  <c r="C14" i="956"/>
  <c r="D14" i="956"/>
  <c r="E14" i="956"/>
  <c r="F14" i="956"/>
  <c r="G14" i="956"/>
  <c r="C15" i="956"/>
  <c r="D15" i="956"/>
  <c r="E15" i="956"/>
  <c r="F15" i="956"/>
  <c r="G15" i="956"/>
  <c r="C16" i="956"/>
  <c r="D16" i="956"/>
  <c r="E16" i="956"/>
  <c r="F16" i="956"/>
  <c r="G16" i="956"/>
  <c r="C17" i="956"/>
  <c r="D17" i="956"/>
  <c r="E17" i="956"/>
  <c r="F17" i="956"/>
  <c r="G17" i="956"/>
  <c r="J25" i="958" l="1"/>
  <c r="J33" i="957"/>
  <c r="K32" i="958"/>
  <c r="L32" i="958" s="1"/>
  <c r="M32" i="958" s="1"/>
  <c r="J36" i="957"/>
  <c r="J31" i="956"/>
  <c r="K43" i="957"/>
  <c r="L43" i="957"/>
  <c r="M43" i="957" s="1"/>
  <c r="G60" i="956"/>
  <c r="K60" i="956"/>
  <c r="K79" i="956" s="1"/>
  <c r="G75" i="956"/>
  <c r="B60" i="956"/>
  <c r="F78" i="956"/>
  <c r="L64" i="956"/>
  <c r="AX62" i="956"/>
  <c r="AW62" i="956"/>
  <c r="AV62" i="956"/>
  <c r="AU62" i="956"/>
  <c r="AT62" i="956"/>
  <c r="AS62" i="956"/>
  <c r="AR62" i="956"/>
  <c r="AQ62" i="956"/>
  <c r="AP62" i="956"/>
  <c r="AO62" i="956"/>
  <c r="AN62" i="956"/>
  <c r="AM62" i="956"/>
  <c r="AL62" i="956"/>
  <c r="AK62" i="956"/>
  <c r="AJ62" i="956"/>
  <c r="AI62" i="956"/>
  <c r="AH62" i="956"/>
  <c r="AG62" i="956"/>
  <c r="AF62" i="956"/>
  <c r="AE62" i="956"/>
  <c r="AD62" i="956"/>
  <c r="AC62" i="956"/>
  <c r="AB62" i="956"/>
  <c r="AX61" i="956"/>
  <c r="AW61" i="956"/>
  <c r="AV61" i="956"/>
  <c r="AU61" i="956"/>
  <c r="AT61" i="956"/>
  <c r="AS61" i="956"/>
  <c r="AR61" i="956"/>
  <c r="AQ61" i="956"/>
  <c r="AP61" i="956"/>
  <c r="AO61" i="956"/>
  <c r="AN61" i="956"/>
  <c r="AM61" i="956"/>
  <c r="AL61" i="956"/>
  <c r="AK61" i="956"/>
  <c r="AJ61" i="956"/>
  <c r="AI61" i="956"/>
  <c r="AH61" i="956"/>
  <c r="AG61" i="956"/>
  <c r="AF61" i="956"/>
  <c r="AE61" i="956"/>
  <c r="AD61" i="956"/>
  <c r="AC61" i="956"/>
  <c r="AB61" i="956"/>
  <c r="AX60" i="956"/>
  <c r="AW60" i="956"/>
  <c r="AV60" i="956"/>
  <c r="AU60" i="956"/>
  <c r="AT60" i="956"/>
  <c r="AS60" i="956"/>
  <c r="AR60" i="956"/>
  <c r="AQ60" i="956"/>
  <c r="AP60" i="956"/>
  <c r="AO60" i="956"/>
  <c r="AN60" i="956"/>
  <c r="AM60" i="956"/>
  <c r="AL60" i="956"/>
  <c r="AK60" i="956"/>
  <c r="AJ60" i="956"/>
  <c r="AI60" i="956"/>
  <c r="AH60" i="956"/>
  <c r="AG60" i="956"/>
  <c r="AF60" i="956"/>
  <c r="AE60" i="956"/>
  <c r="AD60" i="956"/>
  <c r="AC60" i="956"/>
  <c r="AB60" i="956"/>
  <c r="K55" i="956"/>
  <c r="M46" i="956" s="1"/>
  <c r="Z42" i="956"/>
  <c r="Y42" i="956"/>
  <c r="X42" i="956"/>
  <c r="W42" i="956"/>
  <c r="V42" i="956"/>
  <c r="U42" i="956"/>
  <c r="T42" i="956"/>
  <c r="S42" i="956"/>
  <c r="R42" i="956"/>
  <c r="Z41" i="956"/>
  <c r="Y41" i="956"/>
  <c r="X41" i="956"/>
  <c r="W41" i="956"/>
  <c r="V41" i="956"/>
  <c r="U41" i="956"/>
  <c r="T41" i="956"/>
  <c r="S41" i="956"/>
  <c r="R41" i="956"/>
  <c r="Z40" i="956"/>
  <c r="Y40" i="956"/>
  <c r="X40" i="956"/>
  <c r="W40" i="956"/>
  <c r="V40" i="956"/>
  <c r="U40" i="956"/>
  <c r="T40" i="956"/>
  <c r="S40" i="956"/>
  <c r="R40" i="956"/>
  <c r="Z39" i="956"/>
  <c r="Y39" i="956"/>
  <c r="X39" i="956"/>
  <c r="W39" i="956"/>
  <c r="V39" i="956"/>
  <c r="U39" i="956"/>
  <c r="T39" i="956"/>
  <c r="S39" i="956"/>
  <c r="R39" i="956"/>
  <c r="Z38" i="956"/>
  <c r="Y38" i="956"/>
  <c r="X38" i="956"/>
  <c r="W38" i="956"/>
  <c r="V38" i="956"/>
  <c r="U38" i="956"/>
  <c r="T38" i="956"/>
  <c r="S38" i="956"/>
  <c r="R38" i="956"/>
  <c r="Z37" i="956"/>
  <c r="Y37" i="956"/>
  <c r="X37" i="956"/>
  <c r="W37" i="956"/>
  <c r="V37" i="956"/>
  <c r="U37" i="956"/>
  <c r="T37" i="956"/>
  <c r="S37" i="956"/>
  <c r="R37" i="956"/>
  <c r="M37" i="956"/>
  <c r="L37" i="956"/>
  <c r="K37" i="956"/>
  <c r="Z36" i="956"/>
  <c r="Y36" i="956"/>
  <c r="X36" i="956"/>
  <c r="W36" i="956"/>
  <c r="V36" i="956"/>
  <c r="U36" i="956"/>
  <c r="T36" i="956"/>
  <c r="S36" i="956"/>
  <c r="R36" i="956"/>
  <c r="M36" i="956"/>
  <c r="Z35" i="956"/>
  <c r="Y35" i="956"/>
  <c r="X35" i="956"/>
  <c r="W35" i="956"/>
  <c r="V35" i="956"/>
  <c r="U35" i="956"/>
  <c r="T35" i="956"/>
  <c r="S35" i="956"/>
  <c r="R35" i="956"/>
  <c r="Z34" i="956"/>
  <c r="Y34" i="956"/>
  <c r="X34" i="956"/>
  <c r="W34" i="956"/>
  <c r="V34" i="956"/>
  <c r="U34" i="956"/>
  <c r="T34" i="956"/>
  <c r="S34" i="956"/>
  <c r="R34" i="956"/>
  <c r="M34" i="956"/>
  <c r="L34" i="956"/>
  <c r="K34" i="956"/>
  <c r="Z33" i="956"/>
  <c r="Y33" i="956"/>
  <c r="X33" i="956"/>
  <c r="W33" i="956"/>
  <c r="V33" i="956"/>
  <c r="U33" i="956"/>
  <c r="T33" i="956"/>
  <c r="S33" i="956"/>
  <c r="R33" i="956"/>
  <c r="M33" i="956"/>
  <c r="L33" i="956"/>
  <c r="K33" i="956"/>
  <c r="Z32" i="956"/>
  <c r="Y32" i="956"/>
  <c r="X32" i="956"/>
  <c r="W32" i="956"/>
  <c r="V32" i="956"/>
  <c r="U32" i="956"/>
  <c r="T32" i="956"/>
  <c r="S32" i="956"/>
  <c r="R32" i="956"/>
  <c r="M32" i="956"/>
  <c r="L32" i="956"/>
  <c r="K32" i="956"/>
  <c r="Z31" i="956"/>
  <c r="Y31" i="956"/>
  <c r="X31" i="956"/>
  <c r="W31" i="956"/>
  <c r="V31" i="956"/>
  <c r="U31" i="956"/>
  <c r="T31" i="956"/>
  <c r="S31" i="956"/>
  <c r="R31" i="956"/>
  <c r="Z30" i="956"/>
  <c r="Y30" i="956"/>
  <c r="X30" i="956"/>
  <c r="W30" i="956"/>
  <c r="V30" i="956"/>
  <c r="U30" i="956"/>
  <c r="T30" i="956"/>
  <c r="S30" i="956"/>
  <c r="R30" i="956"/>
  <c r="Z29" i="956"/>
  <c r="Y29" i="956"/>
  <c r="X29" i="956"/>
  <c r="W29" i="956"/>
  <c r="V29" i="956"/>
  <c r="U29" i="956"/>
  <c r="T29" i="956"/>
  <c r="S29" i="956"/>
  <c r="R29" i="956"/>
  <c r="Z28" i="956"/>
  <c r="Y28" i="956"/>
  <c r="X28" i="956"/>
  <c r="W28" i="956"/>
  <c r="V28" i="956"/>
  <c r="U28" i="956"/>
  <c r="T28" i="956"/>
  <c r="S28" i="956"/>
  <c r="R28" i="956"/>
  <c r="Z27" i="956"/>
  <c r="Y27" i="956"/>
  <c r="X27" i="956"/>
  <c r="W27" i="956"/>
  <c r="V27" i="956"/>
  <c r="U27" i="956"/>
  <c r="T27" i="956"/>
  <c r="S27" i="956"/>
  <c r="R27" i="956"/>
  <c r="Z26" i="956"/>
  <c r="Y26" i="956"/>
  <c r="X26" i="956"/>
  <c r="W26" i="956"/>
  <c r="V26" i="956"/>
  <c r="U26" i="956"/>
  <c r="T26" i="956"/>
  <c r="S26" i="956"/>
  <c r="R26" i="956"/>
  <c r="Z25" i="956"/>
  <c r="Y25" i="956"/>
  <c r="X25" i="956"/>
  <c r="W25" i="956"/>
  <c r="V25" i="956"/>
  <c r="U25" i="956"/>
  <c r="T25" i="956"/>
  <c r="S25" i="956"/>
  <c r="R25" i="956"/>
  <c r="Z24" i="956"/>
  <c r="Y24" i="956"/>
  <c r="X24" i="956"/>
  <c r="W24" i="956"/>
  <c r="V24" i="956"/>
  <c r="U24" i="956"/>
  <c r="T24" i="956"/>
  <c r="S24" i="956"/>
  <c r="R24" i="956"/>
  <c r="Z23" i="956"/>
  <c r="Y23" i="956"/>
  <c r="X23" i="956"/>
  <c r="W23" i="956"/>
  <c r="V23" i="956"/>
  <c r="U23" i="956"/>
  <c r="T23" i="956"/>
  <c r="S23" i="956"/>
  <c r="R23" i="956"/>
  <c r="Z22" i="956"/>
  <c r="Y22" i="956"/>
  <c r="X22" i="956"/>
  <c r="W22" i="956"/>
  <c r="V22" i="956"/>
  <c r="U22" i="956"/>
  <c r="T22" i="956"/>
  <c r="S22" i="956"/>
  <c r="R22" i="956"/>
  <c r="Z21" i="956"/>
  <c r="Y21" i="956"/>
  <c r="X21" i="956"/>
  <c r="W21" i="956"/>
  <c r="V21" i="956"/>
  <c r="U21" i="956"/>
  <c r="T21" i="956"/>
  <c r="S21" i="956"/>
  <c r="R21" i="956"/>
  <c r="Z20" i="956"/>
  <c r="Y20" i="956"/>
  <c r="X20" i="956"/>
  <c r="W20" i="956"/>
  <c r="V20" i="956"/>
  <c r="U20" i="956"/>
  <c r="T20" i="956"/>
  <c r="S20" i="956"/>
  <c r="R20" i="956"/>
  <c r="Z19" i="956"/>
  <c r="Y19" i="956"/>
  <c r="X19" i="956"/>
  <c r="W19" i="956"/>
  <c r="V19" i="956"/>
  <c r="U19" i="956"/>
  <c r="T19" i="956"/>
  <c r="S19" i="956"/>
  <c r="R19" i="956"/>
  <c r="Z18" i="956"/>
  <c r="Y18" i="956"/>
  <c r="X18" i="956"/>
  <c r="W18" i="956"/>
  <c r="V18" i="956"/>
  <c r="U18" i="956"/>
  <c r="T18" i="956"/>
  <c r="S18" i="956"/>
  <c r="R18" i="956"/>
  <c r="Z17" i="956"/>
  <c r="Y17" i="956"/>
  <c r="X17" i="956"/>
  <c r="W17" i="956"/>
  <c r="V17" i="956"/>
  <c r="U17" i="956"/>
  <c r="T17" i="956"/>
  <c r="S17" i="956"/>
  <c r="R17" i="956"/>
  <c r="Z16" i="956"/>
  <c r="Y16" i="956"/>
  <c r="X16" i="956"/>
  <c r="W16" i="956"/>
  <c r="V16" i="956"/>
  <c r="U16" i="956"/>
  <c r="T16" i="956"/>
  <c r="S16" i="956"/>
  <c r="R16" i="956"/>
  <c r="Z15" i="956"/>
  <c r="Y15" i="956"/>
  <c r="X15" i="956"/>
  <c r="W15" i="956"/>
  <c r="V15" i="956"/>
  <c r="U15" i="956"/>
  <c r="T15" i="956"/>
  <c r="S15" i="956"/>
  <c r="R15" i="956"/>
  <c r="Z14" i="956"/>
  <c r="Y14" i="956"/>
  <c r="X14" i="956"/>
  <c r="W14" i="956"/>
  <c r="V14" i="956"/>
  <c r="U14" i="956"/>
  <c r="T14" i="956"/>
  <c r="S14" i="956"/>
  <c r="R14" i="956"/>
  <c r="Z13" i="956"/>
  <c r="Y13" i="956"/>
  <c r="X13" i="956"/>
  <c r="W13" i="956"/>
  <c r="V13" i="956"/>
  <c r="U13" i="956"/>
  <c r="T13" i="956"/>
  <c r="S13" i="956"/>
  <c r="R13" i="956"/>
  <c r="Z12" i="956"/>
  <c r="Y12" i="956"/>
  <c r="X12" i="956"/>
  <c r="W12" i="956"/>
  <c r="V12" i="956"/>
  <c r="U12" i="956"/>
  <c r="T12" i="956"/>
  <c r="S12" i="956"/>
  <c r="R12" i="956"/>
  <c r="Z11" i="956"/>
  <c r="Y11" i="956"/>
  <c r="X11" i="956"/>
  <c r="W11" i="956"/>
  <c r="V11" i="956"/>
  <c r="U11" i="956"/>
  <c r="T11" i="956"/>
  <c r="S11" i="956"/>
  <c r="R11" i="956"/>
  <c r="Z10" i="956"/>
  <c r="Y10" i="956"/>
  <c r="X10" i="956"/>
  <c r="W10" i="956"/>
  <c r="V10" i="956"/>
  <c r="U10" i="956"/>
  <c r="T10" i="956"/>
  <c r="S10" i="956"/>
  <c r="R10" i="956"/>
  <c r="K41" i="956" l="1"/>
  <c r="L41" i="956"/>
  <c r="M41" i="956" s="1"/>
  <c r="G77" i="954" l="1"/>
  <c r="G75" i="954"/>
  <c r="B75" i="954"/>
  <c r="B77" i="954"/>
  <c r="G72" i="954" l="1"/>
  <c r="B72" i="954"/>
  <c r="I33" i="954" l="1"/>
  <c r="J33" i="954"/>
  <c r="K33" i="954"/>
  <c r="L33" i="954"/>
  <c r="M33" i="954"/>
  <c r="N33" i="954"/>
  <c r="O33" i="954"/>
  <c r="C33" i="954"/>
  <c r="D33" i="954"/>
  <c r="E33" i="954"/>
  <c r="F33" i="954"/>
  <c r="G33" i="954"/>
  <c r="C10" i="955"/>
  <c r="D10" i="955"/>
  <c r="E10" i="955"/>
  <c r="F10" i="955"/>
  <c r="G10" i="955"/>
  <c r="I10" i="955"/>
  <c r="J10" i="955"/>
  <c r="K10" i="955"/>
  <c r="L10" i="955"/>
  <c r="M10" i="955"/>
  <c r="N10" i="955"/>
  <c r="O10" i="955"/>
  <c r="R10" i="955"/>
  <c r="S10" i="955"/>
  <c r="T10" i="955"/>
  <c r="U10" i="955"/>
  <c r="V10" i="955"/>
  <c r="W10" i="955"/>
  <c r="X10" i="955"/>
  <c r="Y10" i="955"/>
  <c r="Z10" i="955"/>
  <c r="R39" i="954"/>
  <c r="S39" i="954"/>
  <c r="T39" i="954"/>
  <c r="U39" i="954"/>
  <c r="V39" i="954"/>
  <c r="W39" i="954"/>
  <c r="X39" i="954"/>
  <c r="Y39" i="954"/>
  <c r="Z39" i="954"/>
  <c r="R40" i="954"/>
  <c r="S40" i="954"/>
  <c r="T40" i="954"/>
  <c r="U40" i="954"/>
  <c r="V40" i="954"/>
  <c r="W40" i="954"/>
  <c r="X40" i="954"/>
  <c r="Y40" i="954"/>
  <c r="Z40" i="954"/>
  <c r="R41" i="954"/>
  <c r="S41" i="954"/>
  <c r="T41" i="954"/>
  <c r="U41" i="954"/>
  <c r="V41" i="954"/>
  <c r="W41" i="954"/>
  <c r="X41" i="954"/>
  <c r="Y41" i="954"/>
  <c r="Z41" i="954"/>
  <c r="R42" i="954"/>
  <c r="S42" i="954"/>
  <c r="T42" i="954"/>
  <c r="U42" i="954"/>
  <c r="V42" i="954"/>
  <c r="W42" i="954"/>
  <c r="X42" i="954"/>
  <c r="Y42" i="954"/>
  <c r="Z42" i="954"/>
  <c r="R43" i="954"/>
  <c r="S43" i="954"/>
  <c r="T43" i="954"/>
  <c r="U43" i="954"/>
  <c r="V43" i="954"/>
  <c r="W43" i="954"/>
  <c r="X43" i="954"/>
  <c r="Y43" i="954"/>
  <c r="Z43" i="954"/>
  <c r="R44" i="954"/>
  <c r="S44" i="954"/>
  <c r="T44" i="954"/>
  <c r="U44" i="954"/>
  <c r="V44" i="954"/>
  <c r="W44" i="954"/>
  <c r="X44" i="954"/>
  <c r="Y44" i="954"/>
  <c r="Z44" i="954"/>
  <c r="R45" i="954"/>
  <c r="S45" i="954"/>
  <c r="T45" i="954"/>
  <c r="U45" i="954"/>
  <c r="V45" i="954"/>
  <c r="W45" i="954"/>
  <c r="X45" i="954"/>
  <c r="Y45" i="954"/>
  <c r="Z45" i="954"/>
  <c r="R18" i="954"/>
  <c r="S18" i="954"/>
  <c r="T18" i="954"/>
  <c r="U18" i="954"/>
  <c r="V18" i="954"/>
  <c r="W18" i="954"/>
  <c r="X18" i="954"/>
  <c r="Y18" i="954"/>
  <c r="Z18" i="954"/>
  <c r="R19" i="954"/>
  <c r="S19" i="954"/>
  <c r="T19" i="954"/>
  <c r="U19" i="954"/>
  <c r="V19" i="954"/>
  <c r="W19" i="954"/>
  <c r="X19" i="954"/>
  <c r="Y19" i="954"/>
  <c r="Z19" i="954"/>
  <c r="R20" i="954"/>
  <c r="S20" i="954"/>
  <c r="T20" i="954"/>
  <c r="U20" i="954"/>
  <c r="V20" i="954"/>
  <c r="W20" i="954"/>
  <c r="X20" i="954"/>
  <c r="Y20" i="954"/>
  <c r="Z20" i="954"/>
  <c r="R21" i="954"/>
  <c r="S21" i="954"/>
  <c r="T21" i="954"/>
  <c r="U21" i="954"/>
  <c r="V21" i="954"/>
  <c r="W21" i="954"/>
  <c r="X21" i="954"/>
  <c r="Y21" i="954"/>
  <c r="Z21" i="954"/>
  <c r="R22" i="954"/>
  <c r="S22" i="954"/>
  <c r="T22" i="954"/>
  <c r="U22" i="954"/>
  <c r="V22" i="954"/>
  <c r="W22" i="954"/>
  <c r="X22" i="954"/>
  <c r="Y22" i="954"/>
  <c r="Z22" i="954"/>
  <c r="R23" i="954"/>
  <c r="S23" i="954"/>
  <c r="T23" i="954"/>
  <c r="U23" i="954"/>
  <c r="V23" i="954"/>
  <c r="W23" i="954"/>
  <c r="X23" i="954"/>
  <c r="Y23" i="954"/>
  <c r="Z23" i="954"/>
  <c r="R24" i="954"/>
  <c r="S24" i="954"/>
  <c r="T24" i="954"/>
  <c r="U24" i="954"/>
  <c r="V24" i="954"/>
  <c r="W24" i="954"/>
  <c r="X24" i="954"/>
  <c r="Y24" i="954"/>
  <c r="Z24" i="954"/>
  <c r="R25" i="954"/>
  <c r="S25" i="954"/>
  <c r="T25" i="954"/>
  <c r="U25" i="954"/>
  <c r="V25" i="954"/>
  <c r="W25" i="954"/>
  <c r="X25" i="954"/>
  <c r="Y25" i="954"/>
  <c r="Z25" i="954"/>
  <c r="R26" i="954"/>
  <c r="S26" i="954"/>
  <c r="T26" i="954"/>
  <c r="U26" i="954"/>
  <c r="V26" i="954"/>
  <c r="W26" i="954"/>
  <c r="X26" i="954"/>
  <c r="Y26" i="954"/>
  <c r="Z26" i="954"/>
  <c r="R27" i="954"/>
  <c r="S27" i="954"/>
  <c r="T27" i="954"/>
  <c r="U27" i="954"/>
  <c r="V27" i="954"/>
  <c r="W27" i="954"/>
  <c r="X27" i="954"/>
  <c r="Y27" i="954"/>
  <c r="Z27" i="954"/>
  <c r="R28" i="954"/>
  <c r="S28" i="954"/>
  <c r="T28" i="954"/>
  <c r="U28" i="954"/>
  <c r="V28" i="954"/>
  <c r="W28" i="954"/>
  <c r="X28" i="954"/>
  <c r="Y28" i="954"/>
  <c r="Z28" i="954"/>
  <c r="R29" i="954"/>
  <c r="S29" i="954"/>
  <c r="T29" i="954"/>
  <c r="U29" i="954"/>
  <c r="V29" i="954"/>
  <c r="W29" i="954"/>
  <c r="X29" i="954"/>
  <c r="Y29" i="954"/>
  <c r="Z29" i="954"/>
  <c r="R16" i="955" l="1"/>
  <c r="S16" i="955"/>
  <c r="T16" i="955"/>
  <c r="U16" i="955"/>
  <c r="V16" i="955"/>
  <c r="W16" i="955"/>
  <c r="X16" i="955"/>
  <c r="Y16" i="955"/>
  <c r="Z16" i="955"/>
  <c r="R17" i="955"/>
  <c r="S17" i="955"/>
  <c r="T17" i="955"/>
  <c r="U17" i="955"/>
  <c r="V17" i="955"/>
  <c r="W17" i="955"/>
  <c r="X17" i="955"/>
  <c r="Y17" i="955"/>
  <c r="Z17" i="955"/>
  <c r="R18" i="955"/>
  <c r="S18" i="955"/>
  <c r="T18" i="955"/>
  <c r="U18" i="955"/>
  <c r="V18" i="955"/>
  <c r="W18" i="955"/>
  <c r="X18" i="955"/>
  <c r="Y18" i="955"/>
  <c r="Z18" i="955"/>
  <c r="R19" i="955"/>
  <c r="S19" i="955"/>
  <c r="T19" i="955"/>
  <c r="U19" i="955"/>
  <c r="V19" i="955"/>
  <c r="W19" i="955"/>
  <c r="X19" i="955"/>
  <c r="Y19" i="955"/>
  <c r="Z19" i="955"/>
  <c r="R20" i="955"/>
  <c r="S20" i="955"/>
  <c r="T20" i="955"/>
  <c r="U20" i="955"/>
  <c r="V20" i="955"/>
  <c r="W20" i="955"/>
  <c r="X20" i="955"/>
  <c r="Y20" i="955"/>
  <c r="Z20" i="955"/>
  <c r="R21" i="955"/>
  <c r="S21" i="955"/>
  <c r="T21" i="955"/>
  <c r="U21" i="955"/>
  <c r="V21" i="955"/>
  <c r="W21" i="955"/>
  <c r="X21" i="955"/>
  <c r="Y21" i="955"/>
  <c r="Z21" i="955"/>
  <c r="R22" i="955"/>
  <c r="S22" i="955"/>
  <c r="T22" i="955"/>
  <c r="U22" i="955"/>
  <c r="V22" i="955"/>
  <c r="W22" i="955"/>
  <c r="X22" i="955"/>
  <c r="Y22" i="955"/>
  <c r="Z22" i="955"/>
  <c r="R23" i="955"/>
  <c r="S23" i="955"/>
  <c r="T23" i="955"/>
  <c r="U23" i="955"/>
  <c r="V23" i="955"/>
  <c r="W23" i="955"/>
  <c r="X23" i="955"/>
  <c r="Y23" i="955"/>
  <c r="Z23" i="955"/>
  <c r="R24" i="955"/>
  <c r="S24" i="955"/>
  <c r="T24" i="955"/>
  <c r="U24" i="955"/>
  <c r="V24" i="955"/>
  <c r="W24" i="955"/>
  <c r="X24" i="955"/>
  <c r="Y24" i="955"/>
  <c r="Z24" i="955"/>
  <c r="R25" i="955"/>
  <c r="S25" i="955"/>
  <c r="T25" i="955"/>
  <c r="U25" i="955"/>
  <c r="V25" i="955"/>
  <c r="W25" i="955"/>
  <c r="X25" i="955"/>
  <c r="Y25" i="955"/>
  <c r="Z25" i="955"/>
  <c r="R26" i="955"/>
  <c r="S26" i="955"/>
  <c r="T26" i="955"/>
  <c r="U26" i="955"/>
  <c r="V26" i="955"/>
  <c r="W26" i="955"/>
  <c r="X26" i="955"/>
  <c r="Y26" i="955"/>
  <c r="Z26" i="955"/>
  <c r="R27" i="955"/>
  <c r="S27" i="955"/>
  <c r="T27" i="955"/>
  <c r="U27" i="955"/>
  <c r="V27" i="955"/>
  <c r="W27" i="955"/>
  <c r="X27" i="955"/>
  <c r="Y27" i="955"/>
  <c r="Z27" i="955"/>
  <c r="R28" i="955"/>
  <c r="S28" i="955"/>
  <c r="T28" i="955"/>
  <c r="U28" i="955"/>
  <c r="V28" i="955"/>
  <c r="W28" i="955"/>
  <c r="X28" i="955"/>
  <c r="Y28" i="955"/>
  <c r="Z28" i="955"/>
  <c r="R29" i="955"/>
  <c r="S29" i="955"/>
  <c r="T29" i="955"/>
  <c r="U29" i="955"/>
  <c r="V29" i="955"/>
  <c r="W29" i="955"/>
  <c r="X29" i="955"/>
  <c r="Y29" i="955"/>
  <c r="Z29" i="955"/>
  <c r="R30" i="955"/>
  <c r="S30" i="955"/>
  <c r="T30" i="955"/>
  <c r="U30" i="955"/>
  <c r="V30" i="955"/>
  <c r="W30" i="955"/>
  <c r="X30" i="955"/>
  <c r="Y30" i="955"/>
  <c r="Z30" i="955"/>
  <c r="R31" i="955"/>
  <c r="S31" i="955"/>
  <c r="T31" i="955"/>
  <c r="U31" i="955"/>
  <c r="V31" i="955"/>
  <c r="W31" i="955"/>
  <c r="X31" i="955"/>
  <c r="Y31" i="955"/>
  <c r="Z31" i="955"/>
  <c r="R32" i="955"/>
  <c r="S32" i="955"/>
  <c r="T32" i="955"/>
  <c r="U32" i="955"/>
  <c r="V32" i="955"/>
  <c r="W32" i="955"/>
  <c r="X32" i="955"/>
  <c r="Y32" i="955"/>
  <c r="Z32" i="955"/>
  <c r="R33" i="955"/>
  <c r="S33" i="955"/>
  <c r="T33" i="955"/>
  <c r="U33" i="955"/>
  <c r="V33" i="955"/>
  <c r="W33" i="955"/>
  <c r="X33" i="955"/>
  <c r="Y33" i="955"/>
  <c r="Z33" i="955"/>
  <c r="R34" i="955"/>
  <c r="S34" i="955"/>
  <c r="T34" i="955"/>
  <c r="U34" i="955"/>
  <c r="V34" i="955"/>
  <c r="W34" i="955"/>
  <c r="X34" i="955"/>
  <c r="Y34" i="955"/>
  <c r="Z34" i="955"/>
  <c r="R35" i="955"/>
  <c r="S35" i="955"/>
  <c r="T35" i="955"/>
  <c r="U35" i="955"/>
  <c r="V35" i="955"/>
  <c r="W35" i="955"/>
  <c r="X35" i="955"/>
  <c r="Y35" i="955"/>
  <c r="Z35" i="955"/>
  <c r="R36" i="955"/>
  <c r="S36" i="955"/>
  <c r="T36" i="955"/>
  <c r="U36" i="955"/>
  <c r="V36" i="955"/>
  <c r="W36" i="955"/>
  <c r="X36" i="955"/>
  <c r="Y36" i="955"/>
  <c r="Z36" i="955"/>
  <c r="R37" i="955"/>
  <c r="S37" i="955"/>
  <c r="T37" i="955"/>
  <c r="U37" i="955"/>
  <c r="V37" i="955"/>
  <c r="W37" i="955"/>
  <c r="X37" i="955"/>
  <c r="Y37" i="955"/>
  <c r="Z37" i="955"/>
  <c r="R38" i="955"/>
  <c r="S38" i="955"/>
  <c r="T38" i="955"/>
  <c r="U38" i="955"/>
  <c r="V38" i="955"/>
  <c r="W38" i="955"/>
  <c r="X38" i="955"/>
  <c r="Y38" i="955"/>
  <c r="Z38" i="955"/>
  <c r="R39" i="955"/>
  <c r="S39" i="955"/>
  <c r="T39" i="955"/>
  <c r="U39" i="955"/>
  <c r="V39" i="955"/>
  <c r="W39" i="955"/>
  <c r="X39" i="955"/>
  <c r="Y39" i="955"/>
  <c r="Z39" i="955"/>
  <c r="R40" i="955"/>
  <c r="S40" i="955"/>
  <c r="T40" i="955"/>
  <c r="U40" i="955"/>
  <c r="V40" i="955"/>
  <c r="W40" i="955"/>
  <c r="X40" i="955"/>
  <c r="Y40" i="955"/>
  <c r="Z40" i="955"/>
  <c r="R41" i="955"/>
  <c r="S41" i="955"/>
  <c r="T41" i="955"/>
  <c r="U41" i="955"/>
  <c r="V41" i="955"/>
  <c r="W41" i="955"/>
  <c r="X41" i="955"/>
  <c r="Y41" i="955"/>
  <c r="Z41" i="955"/>
  <c r="R42" i="955"/>
  <c r="S42" i="955"/>
  <c r="T42" i="955"/>
  <c r="U42" i="955"/>
  <c r="V42" i="955"/>
  <c r="W42" i="955"/>
  <c r="X42" i="955"/>
  <c r="Y42" i="955"/>
  <c r="Z42" i="955"/>
  <c r="R43" i="955"/>
  <c r="S43" i="955"/>
  <c r="T43" i="955"/>
  <c r="U43" i="955"/>
  <c r="V43" i="955"/>
  <c r="W43" i="955"/>
  <c r="X43" i="955"/>
  <c r="Y43" i="955"/>
  <c r="Z43" i="955"/>
  <c r="R44" i="955"/>
  <c r="S44" i="955"/>
  <c r="T44" i="955"/>
  <c r="U44" i="955"/>
  <c r="V44" i="955"/>
  <c r="W44" i="955"/>
  <c r="X44" i="955"/>
  <c r="Y44" i="955"/>
  <c r="Z44" i="955"/>
  <c r="R45" i="955"/>
  <c r="S45" i="955"/>
  <c r="T45" i="955"/>
  <c r="U45" i="955"/>
  <c r="V45" i="955"/>
  <c r="W45" i="955"/>
  <c r="X45" i="955"/>
  <c r="Y45" i="955"/>
  <c r="Z45" i="955"/>
  <c r="R46" i="955"/>
  <c r="S46" i="955"/>
  <c r="T46" i="955"/>
  <c r="U46" i="955"/>
  <c r="V46" i="955"/>
  <c r="W46" i="955"/>
  <c r="X46" i="955"/>
  <c r="Y46" i="955"/>
  <c r="Z46" i="955"/>
  <c r="R47" i="955"/>
  <c r="S47" i="955"/>
  <c r="T47" i="955"/>
  <c r="U47" i="955"/>
  <c r="V47" i="955"/>
  <c r="W47" i="955"/>
  <c r="X47" i="955"/>
  <c r="Y47" i="955"/>
  <c r="Z47" i="955"/>
  <c r="R48" i="955"/>
  <c r="S48" i="955"/>
  <c r="T48" i="955"/>
  <c r="U48" i="955"/>
  <c r="V48" i="955"/>
  <c r="W48" i="955"/>
  <c r="X48" i="955"/>
  <c r="Y48" i="955"/>
  <c r="Z48" i="955"/>
  <c r="M49" i="955"/>
  <c r="L49" i="955"/>
  <c r="K49" i="955"/>
  <c r="M43" i="955"/>
  <c r="L43" i="955"/>
  <c r="K43" i="955"/>
  <c r="N17" i="955"/>
  <c r="N19" i="955"/>
  <c r="N21" i="955"/>
  <c r="J19" i="955"/>
  <c r="I20" i="955"/>
  <c r="I21" i="955"/>
  <c r="C17" i="955"/>
  <c r="D17" i="955"/>
  <c r="E17" i="955"/>
  <c r="F17" i="955"/>
  <c r="G17" i="955"/>
  <c r="L17" i="955"/>
  <c r="M17" i="955"/>
  <c r="O17" i="955"/>
  <c r="C18" i="955"/>
  <c r="D18" i="955"/>
  <c r="E18" i="955"/>
  <c r="F18" i="955"/>
  <c r="G18" i="955"/>
  <c r="L18" i="955"/>
  <c r="M18" i="955"/>
  <c r="N18" i="955"/>
  <c r="O18" i="955"/>
  <c r="C19" i="955"/>
  <c r="D19" i="955"/>
  <c r="E19" i="955"/>
  <c r="F19" i="955"/>
  <c r="G19" i="955"/>
  <c r="L19" i="955"/>
  <c r="M19" i="955"/>
  <c r="O19" i="955"/>
  <c r="C20" i="955"/>
  <c r="D20" i="955"/>
  <c r="E20" i="955"/>
  <c r="F20" i="955"/>
  <c r="G20" i="955"/>
  <c r="L20" i="955"/>
  <c r="M20" i="955"/>
  <c r="N20" i="955"/>
  <c r="O20" i="955"/>
  <c r="C21" i="955"/>
  <c r="D21" i="955"/>
  <c r="E21" i="955"/>
  <c r="F21" i="955"/>
  <c r="G21" i="955"/>
  <c r="L21" i="955"/>
  <c r="M21" i="955"/>
  <c r="O21" i="955"/>
  <c r="R11" i="955"/>
  <c r="S11" i="955"/>
  <c r="T11" i="955"/>
  <c r="U11" i="955"/>
  <c r="V11" i="955"/>
  <c r="W11" i="955"/>
  <c r="X11" i="955"/>
  <c r="Y11" i="955"/>
  <c r="Z11" i="955"/>
  <c r="R12" i="955"/>
  <c r="S12" i="955"/>
  <c r="T12" i="955"/>
  <c r="U12" i="955"/>
  <c r="V12" i="955"/>
  <c r="W12" i="955"/>
  <c r="X12" i="955"/>
  <c r="Y12" i="955"/>
  <c r="Z12" i="955"/>
  <c r="R13" i="955"/>
  <c r="S13" i="955"/>
  <c r="T13" i="955"/>
  <c r="U13" i="955"/>
  <c r="V13" i="955"/>
  <c r="W13" i="955"/>
  <c r="X13" i="955"/>
  <c r="Y13" i="955"/>
  <c r="Z13" i="955"/>
  <c r="R14" i="955"/>
  <c r="S14" i="955"/>
  <c r="T14" i="955"/>
  <c r="U14" i="955"/>
  <c r="V14" i="955"/>
  <c r="W14" i="955"/>
  <c r="X14" i="955"/>
  <c r="Y14" i="955"/>
  <c r="Z14" i="955"/>
  <c r="R15" i="955"/>
  <c r="S15" i="955"/>
  <c r="T15" i="955"/>
  <c r="U15" i="955"/>
  <c r="V15" i="955"/>
  <c r="W15" i="955"/>
  <c r="X15" i="955"/>
  <c r="Y15" i="955"/>
  <c r="Z15" i="955"/>
  <c r="I11" i="955"/>
  <c r="J11" i="955"/>
  <c r="K11" i="955"/>
  <c r="L11" i="955"/>
  <c r="M11" i="955"/>
  <c r="N11" i="955"/>
  <c r="O11" i="955"/>
  <c r="I12" i="955"/>
  <c r="J12" i="955"/>
  <c r="K12" i="955"/>
  <c r="L12" i="955"/>
  <c r="M12" i="955"/>
  <c r="N12" i="955"/>
  <c r="O12" i="955"/>
  <c r="I13" i="955"/>
  <c r="J13" i="955"/>
  <c r="K13" i="955"/>
  <c r="L13" i="955"/>
  <c r="M13" i="955"/>
  <c r="O13" i="955"/>
  <c r="C11" i="955"/>
  <c r="D11" i="955"/>
  <c r="E11" i="955"/>
  <c r="F11" i="955"/>
  <c r="G11" i="955"/>
  <c r="C12" i="955"/>
  <c r="D12" i="955"/>
  <c r="E12" i="955"/>
  <c r="F12" i="955"/>
  <c r="G12" i="955"/>
  <c r="C13" i="955"/>
  <c r="D13" i="955"/>
  <c r="E13" i="955"/>
  <c r="F13" i="955"/>
  <c r="G13" i="955"/>
  <c r="I67" i="954"/>
  <c r="J67" i="954"/>
  <c r="F90" i="955"/>
  <c r="L76" i="955"/>
  <c r="AX74" i="955"/>
  <c r="AW74" i="955"/>
  <c r="AV74" i="955"/>
  <c r="AU74" i="955"/>
  <c r="AT74" i="955"/>
  <c r="AS74" i="955"/>
  <c r="AR74" i="955"/>
  <c r="AQ74" i="955"/>
  <c r="AP74" i="955"/>
  <c r="AO74" i="955"/>
  <c r="AN74" i="955"/>
  <c r="AM74" i="955"/>
  <c r="AL74" i="955"/>
  <c r="AK74" i="955"/>
  <c r="AJ74" i="955"/>
  <c r="AI74" i="955"/>
  <c r="AH74" i="955"/>
  <c r="AG74" i="955"/>
  <c r="AF74" i="955"/>
  <c r="AE74" i="955"/>
  <c r="AD74" i="955"/>
  <c r="AC74" i="955"/>
  <c r="AB74" i="955"/>
  <c r="AX73" i="955"/>
  <c r="AW73" i="955"/>
  <c r="AV73" i="955"/>
  <c r="AU73" i="955"/>
  <c r="AT73" i="955"/>
  <c r="AS73" i="955"/>
  <c r="AR73" i="955"/>
  <c r="AQ73" i="955"/>
  <c r="AP73" i="955"/>
  <c r="AO73" i="955"/>
  <c r="AN73" i="955"/>
  <c r="AM73" i="955"/>
  <c r="AL73" i="955"/>
  <c r="AK73" i="955"/>
  <c r="AJ73" i="955"/>
  <c r="AI73" i="955"/>
  <c r="AH73" i="955"/>
  <c r="AG73" i="955"/>
  <c r="AF73" i="955"/>
  <c r="AE73" i="955"/>
  <c r="AD73" i="955"/>
  <c r="AC73" i="955"/>
  <c r="AB73" i="955"/>
  <c r="AX72" i="955"/>
  <c r="AW72" i="955"/>
  <c r="AV72" i="955"/>
  <c r="AU72" i="955"/>
  <c r="AT72" i="955"/>
  <c r="AS72" i="955"/>
  <c r="AR72" i="955"/>
  <c r="AQ72" i="955"/>
  <c r="AP72" i="955"/>
  <c r="AO72" i="955"/>
  <c r="AN72" i="955"/>
  <c r="AM72" i="955"/>
  <c r="AL72" i="955"/>
  <c r="AK72" i="955"/>
  <c r="AJ72" i="955"/>
  <c r="AI72" i="955"/>
  <c r="AH72" i="955"/>
  <c r="AG72" i="955"/>
  <c r="AF72" i="955"/>
  <c r="AE72" i="955"/>
  <c r="AD72" i="955"/>
  <c r="AC72" i="955"/>
  <c r="AB72" i="955"/>
  <c r="B72" i="955"/>
  <c r="K67" i="955"/>
  <c r="Z54" i="955"/>
  <c r="Y54" i="955"/>
  <c r="X54" i="955"/>
  <c r="W54" i="955"/>
  <c r="V54" i="955"/>
  <c r="U54" i="955"/>
  <c r="T54" i="955"/>
  <c r="S54" i="955"/>
  <c r="R54" i="955"/>
  <c r="Z53" i="955"/>
  <c r="Y53" i="955"/>
  <c r="X53" i="955"/>
  <c r="W53" i="955"/>
  <c r="V53" i="955"/>
  <c r="U53" i="955"/>
  <c r="T53" i="955"/>
  <c r="S53" i="955"/>
  <c r="R53" i="955"/>
  <c r="Z52" i="955"/>
  <c r="Y52" i="955"/>
  <c r="X52" i="955"/>
  <c r="W52" i="955"/>
  <c r="V52" i="955"/>
  <c r="U52" i="955"/>
  <c r="T52" i="955"/>
  <c r="S52" i="955"/>
  <c r="R52" i="955"/>
  <c r="Z51" i="955"/>
  <c r="Y51" i="955"/>
  <c r="X51" i="955"/>
  <c r="W51" i="955"/>
  <c r="V51" i="955"/>
  <c r="U51" i="955"/>
  <c r="T51" i="955"/>
  <c r="S51" i="955"/>
  <c r="R51" i="955"/>
  <c r="Z50" i="955"/>
  <c r="Y50" i="955"/>
  <c r="X50" i="955"/>
  <c r="W50" i="955"/>
  <c r="V50" i="955"/>
  <c r="U50" i="955"/>
  <c r="T50" i="955"/>
  <c r="S50" i="955"/>
  <c r="R50" i="955"/>
  <c r="Z49" i="955"/>
  <c r="Y49" i="955"/>
  <c r="X49" i="955"/>
  <c r="W49" i="955"/>
  <c r="V49" i="955"/>
  <c r="U49" i="955"/>
  <c r="T49" i="955"/>
  <c r="S49" i="955"/>
  <c r="R49" i="955"/>
  <c r="M48" i="955"/>
  <c r="M46" i="955"/>
  <c r="L46" i="955"/>
  <c r="K46" i="955"/>
  <c r="M45" i="955"/>
  <c r="L45" i="955"/>
  <c r="K45" i="955"/>
  <c r="M44" i="955"/>
  <c r="L44" i="955"/>
  <c r="K44" i="955"/>
  <c r="M43" i="954"/>
  <c r="L43" i="954"/>
  <c r="K43" i="954"/>
  <c r="M44" i="954"/>
  <c r="L44" i="954"/>
  <c r="K44" i="954"/>
  <c r="M49" i="954"/>
  <c r="L49" i="954"/>
  <c r="K49" i="954"/>
  <c r="R30" i="954"/>
  <c r="S30" i="954"/>
  <c r="T30" i="954"/>
  <c r="U30" i="954"/>
  <c r="V30" i="954"/>
  <c r="W30" i="954"/>
  <c r="X30" i="954"/>
  <c r="Y30" i="954"/>
  <c r="Z30" i="954"/>
  <c r="R31" i="954"/>
  <c r="S31" i="954"/>
  <c r="T31" i="954"/>
  <c r="U31" i="954"/>
  <c r="V31" i="954"/>
  <c r="W31" i="954"/>
  <c r="X31" i="954"/>
  <c r="Y31" i="954"/>
  <c r="Z31" i="954"/>
  <c r="R32" i="954"/>
  <c r="S32" i="954"/>
  <c r="T32" i="954"/>
  <c r="U32" i="954"/>
  <c r="V32" i="954"/>
  <c r="W32" i="954"/>
  <c r="X32" i="954"/>
  <c r="Y32" i="954"/>
  <c r="Z32" i="954"/>
  <c r="R34" i="954"/>
  <c r="S34" i="954"/>
  <c r="T34" i="954"/>
  <c r="U34" i="954"/>
  <c r="V34" i="954"/>
  <c r="W34" i="954"/>
  <c r="X34" i="954"/>
  <c r="Y34" i="954"/>
  <c r="Z34" i="954"/>
  <c r="R35" i="954"/>
  <c r="S35" i="954"/>
  <c r="T35" i="954"/>
  <c r="U35" i="954"/>
  <c r="V35" i="954"/>
  <c r="W35" i="954"/>
  <c r="X35" i="954"/>
  <c r="Y35" i="954"/>
  <c r="Z35" i="954"/>
  <c r="R36" i="954"/>
  <c r="S36" i="954"/>
  <c r="T36" i="954"/>
  <c r="U36" i="954"/>
  <c r="V36" i="954"/>
  <c r="W36" i="954"/>
  <c r="X36" i="954"/>
  <c r="Y36" i="954"/>
  <c r="Z36" i="954"/>
  <c r="R37" i="954"/>
  <c r="S37" i="954"/>
  <c r="T37" i="954"/>
  <c r="U37" i="954"/>
  <c r="V37" i="954"/>
  <c r="W37" i="954"/>
  <c r="X37" i="954"/>
  <c r="Y37" i="954"/>
  <c r="Z37" i="954"/>
  <c r="R38" i="954"/>
  <c r="S38" i="954"/>
  <c r="T38" i="954"/>
  <c r="U38" i="954"/>
  <c r="V38" i="954"/>
  <c r="W38" i="954"/>
  <c r="X38" i="954"/>
  <c r="Y38" i="954"/>
  <c r="Z38" i="954"/>
  <c r="I35" i="954"/>
  <c r="J35" i="954"/>
  <c r="K35" i="954"/>
  <c r="L35" i="954"/>
  <c r="M35" i="954"/>
  <c r="N35" i="954"/>
  <c r="O35" i="954"/>
  <c r="I36" i="954"/>
  <c r="J36" i="954"/>
  <c r="K36" i="954"/>
  <c r="L36" i="954"/>
  <c r="M36" i="954"/>
  <c r="N36" i="954"/>
  <c r="O36" i="954"/>
  <c r="I37" i="954"/>
  <c r="J37" i="954"/>
  <c r="K37" i="954"/>
  <c r="L37" i="954"/>
  <c r="M37" i="954"/>
  <c r="N37" i="954"/>
  <c r="O37" i="954"/>
  <c r="I38" i="954"/>
  <c r="J38" i="954"/>
  <c r="K38" i="954"/>
  <c r="L38" i="954"/>
  <c r="M38" i="954"/>
  <c r="N38" i="954"/>
  <c r="O38" i="954"/>
  <c r="C35" i="954"/>
  <c r="D35" i="954"/>
  <c r="E35" i="954"/>
  <c r="F35" i="954"/>
  <c r="G35" i="954"/>
  <c r="C36" i="954"/>
  <c r="D36" i="954"/>
  <c r="E36" i="954"/>
  <c r="F36" i="954"/>
  <c r="G36" i="954"/>
  <c r="C37" i="954"/>
  <c r="D37" i="954"/>
  <c r="E37" i="954"/>
  <c r="F37" i="954"/>
  <c r="G37" i="954"/>
  <c r="C38" i="954"/>
  <c r="D38" i="954"/>
  <c r="E38" i="954"/>
  <c r="F38" i="954"/>
  <c r="G38" i="954"/>
  <c r="O34" i="954"/>
  <c r="N34" i="954"/>
  <c r="M34" i="954"/>
  <c r="L34" i="954"/>
  <c r="K34" i="954"/>
  <c r="J34" i="954"/>
  <c r="I34" i="954"/>
  <c r="G34" i="954"/>
  <c r="F34" i="954"/>
  <c r="E34" i="954"/>
  <c r="D34" i="954"/>
  <c r="C34" i="954"/>
  <c r="C27" i="954"/>
  <c r="D27" i="954"/>
  <c r="E27" i="954"/>
  <c r="F27" i="954"/>
  <c r="G27" i="954"/>
  <c r="I27" i="954"/>
  <c r="J27" i="954"/>
  <c r="K27" i="954"/>
  <c r="L27" i="954"/>
  <c r="M27" i="954"/>
  <c r="N27" i="954"/>
  <c r="O27" i="954"/>
  <c r="C28" i="954"/>
  <c r="D28" i="954"/>
  <c r="E28" i="954"/>
  <c r="F28" i="954"/>
  <c r="G28" i="954"/>
  <c r="I28" i="954"/>
  <c r="J28" i="954"/>
  <c r="K28" i="954"/>
  <c r="L28" i="954"/>
  <c r="M28" i="954"/>
  <c r="N28" i="954"/>
  <c r="O28" i="954"/>
  <c r="C29" i="954"/>
  <c r="D29" i="954"/>
  <c r="E29" i="954"/>
  <c r="F29" i="954"/>
  <c r="G29" i="954"/>
  <c r="I29" i="954"/>
  <c r="J29" i="954"/>
  <c r="K29" i="954"/>
  <c r="L29" i="954"/>
  <c r="M29" i="954"/>
  <c r="N29" i="954"/>
  <c r="O29" i="954"/>
  <c r="C23" i="954"/>
  <c r="D23" i="954"/>
  <c r="E23" i="954"/>
  <c r="F23" i="954"/>
  <c r="G23" i="954"/>
  <c r="I23" i="954"/>
  <c r="J23" i="954"/>
  <c r="K23" i="954"/>
  <c r="L23" i="954"/>
  <c r="M23" i="954"/>
  <c r="N23" i="954"/>
  <c r="O23" i="954"/>
  <c r="C24" i="954"/>
  <c r="D24" i="954"/>
  <c r="E24" i="954"/>
  <c r="F24" i="954"/>
  <c r="G24" i="954"/>
  <c r="I24" i="954"/>
  <c r="J24" i="954"/>
  <c r="K24" i="954"/>
  <c r="L24" i="954"/>
  <c r="M24" i="954"/>
  <c r="N24" i="954"/>
  <c r="O24" i="954"/>
  <c r="C25" i="954"/>
  <c r="D25" i="954"/>
  <c r="E25" i="954"/>
  <c r="F25" i="954"/>
  <c r="G25" i="954"/>
  <c r="I25" i="954"/>
  <c r="J25" i="954"/>
  <c r="K25" i="954"/>
  <c r="L25" i="954"/>
  <c r="M25" i="954"/>
  <c r="N25" i="954"/>
  <c r="O25" i="954"/>
  <c r="C26" i="954"/>
  <c r="D26" i="954"/>
  <c r="E26" i="954"/>
  <c r="F26" i="954"/>
  <c r="G26" i="954"/>
  <c r="I26" i="954"/>
  <c r="J26" i="954"/>
  <c r="K26" i="954"/>
  <c r="L26" i="954"/>
  <c r="M26" i="954"/>
  <c r="N26" i="954"/>
  <c r="O26" i="954"/>
  <c r="I17" i="954"/>
  <c r="J17" i="954"/>
  <c r="K17" i="954"/>
  <c r="L17" i="954"/>
  <c r="M17" i="954"/>
  <c r="N17" i="954"/>
  <c r="O17" i="954"/>
  <c r="I18" i="954"/>
  <c r="J18" i="954"/>
  <c r="K18" i="954"/>
  <c r="L18" i="954"/>
  <c r="M18" i="954"/>
  <c r="N18" i="954"/>
  <c r="O18" i="954"/>
  <c r="I19" i="954"/>
  <c r="J19" i="954"/>
  <c r="K19" i="954"/>
  <c r="L19" i="954"/>
  <c r="M19" i="954"/>
  <c r="N19" i="954"/>
  <c r="O19" i="954"/>
  <c r="I20" i="954"/>
  <c r="J20" i="954"/>
  <c r="K20" i="954"/>
  <c r="L20" i="954"/>
  <c r="M20" i="954"/>
  <c r="N20" i="954"/>
  <c r="O20" i="954"/>
  <c r="C17" i="954"/>
  <c r="D17" i="954"/>
  <c r="E17" i="954"/>
  <c r="F17" i="954"/>
  <c r="G17" i="954"/>
  <c r="C18" i="954"/>
  <c r="D18" i="954"/>
  <c r="E18" i="954"/>
  <c r="F18" i="954"/>
  <c r="G18" i="954"/>
  <c r="C19" i="954"/>
  <c r="D19" i="954"/>
  <c r="E19" i="954"/>
  <c r="F19" i="954"/>
  <c r="G19" i="954"/>
  <c r="C20" i="954"/>
  <c r="D20" i="954"/>
  <c r="E20" i="954"/>
  <c r="F20" i="954"/>
  <c r="G20" i="954"/>
  <c r="O16" i="954"/>
  <c r="N16" i="954"/>
  <c r="M16" i="954"/>
  <c r="L16" i="954"/>
  <c r="K16" i="954"/>
  <c r="J16" i="954"/>
  <c r="I16" i="954"/>
  <c r="G16" i="954"/>
  <c r="F16" i="954"/>
  <c r="E16" i="954"/>
  <c r="D16" i="954"/>
  <c r="C16" i="954"/>
  <c r="I10" i="954"/>
  <c r="J10" i="954"/>
  <c r="L10" i="954"/>
  <c r="M10" i="954"/>
  <c r="N10" i="954"/>
  <c r="O10" i="954"/>
  <c r="I11" i="954"/>
  <c r="J11" i="954"/>
  <c r="L11" i="954"/>
  <c r="M11" i="954"/>
  <c r="N11" i="954"/>
  <c r="O11" i="954"/>
  <c r="I12" i="954"/>
  <c r="J12" i="954"/>
  <c r="L12" i="954"/>
  <c r="M12" i="954"/>
  <c r="N12" i="954"/>
  <c r="O12" i="954"/>
  <c r="I13" i="954"/>
  <c r="J13" i="954"/>
  <c r="L13" i="954"/>
  <c r="M13" i="954"/>
  <c r="N13" i="954"/>
  <c r="O13" i="954"/>
  <c r="I14" i="954"/>
  <c r="J14" i="954"/>
  <c r="L14" i="954"/>
  <c r="M14" i="954"/>
  <c r="N14" i="954"/>
  <c r="O14" i="954"/>
  <c r="C10" i="954"/>
  <c r="D10" i="954"/>
  <c r="E10" i="954"/>
  <c r="F10" i="954"/>
  <c r="G10" i="954"/>
  <c r="C11" i="954"/>
  <c r="D11" i="954"/>
  <c r="E11" i="954"/>
  <c r="F11" i="954"/>
  <c r="G11" i="954"/>
  <c r="C12" i="954"/>
  <c r="D12" i="954"/>
  <c r="E12" i="954"/>
  <c r="F12" i="954"/>
  <c r="G12" i="954"/>
  <c r="C13" i="954"/>
  <c r="D13" i="954"/>
  <c r="E13" i="954"/>
  <c r="F13" i="954"/>
  <c r="G13" i="954"/>
  <c r="C14" i="954"/>
  <c r="D14" i="954"/>
  <c r="E14" i="954"/>
  <c r="F14" i="954"/>
  <c r="G14" i="954"/>
  <c r="R10" i="954"/>
  <c r="S10" i="954"/>
  <c r="T10" i="954"/>
  <c r="U10" i="954"/>
  <c r="V10" i="954"/>
  <c r="W10" i="954"/>
  <c r="X10" i="954"/>
  <c r="Y10" i="954"/>
  <c r="Z10" i="954"/>
  <c r="R11" i="954"/>
  <c r="S11" i="954"/>
  <c r="T11" i="954"/>
  <c r="U11" i="954"/>
  <c r="V11" i="954"/>
  <c r="W11" i="954"/>
  <c r="X11" i="954"/>
  <c r="Y11" i="954"/>
  <c r="Z11" i="954"/>
  <c r="R12" i="954"/>
  <c r="S12" i="954"/>
  <c r="T12" i="954"/>
  <c r="U12" i="954"/>
  <c r="V12" i="954"/>
  <c r="W12" i="954"/>
  <c r="X12" i="954"/>
  <c r="Y12" i="954"/>
  <c r="Z12" i="954"/>
  <c r="R13" i="954"/>
  <c r="S13" i="954"/>
  <c r="T13" i="954"/>
  <c r="U13" i="954"/>
  <c r="V13" i="954"/>
  <c r="W13" i="954"/>
  <c r="X13" i="954"/>
  <c r="Y13" i="954"/>
  <c r="Z13" i="954"/>
  <c r="R14" i="954"/>
  <c r="S14" i="954"/>
  <c r="T14" i="954"/>
  <c r="U14" i="954"/>
  <c r="V14" i="954"/>
  <c r="W14" i="954"/>
  <c r="X14" i="954"/>
  <c r="Y14" i="954"/>
  <c r="Z14" i="954"/>
  <c r="R15" i="954"/>
  <c r="S15" i="954"/>
  <c r="T15" i="954"/>
  <c r="U15" i="954"/>
  <c r="V15" i="954"/>
  <c r="W15" i="954"/>
  <c r="X15" i="954"/>
  <c r="Y15" i="954"/>
  <c r="Z15" i="954"/>
  <c r="R16" i="954"/>
  <c r="S16" i="954"/>
  <c r="T16" i="954"/>
  <c r="U16" i="954"/>
  <c r="V16" i="954"/>
  <c r="W16" i="954"/>
  <c r="X16" i="954"/>
  <c r="Y16" i="954"/>
  <c r="Z16" i="954"/>
  <c r="R17" i="954"/>
  <c r="S17" i="954"/>
  <c r="T17" i="954"/>
  <c r="U17" i="954"/>
  <c r="V17" i="954"/>
  <c r="W17" i="954"/>
  <c r="X17" i="954"/>
  <c r="Y17" i="954"/>
  <c r="Z17" i="954"/>
  <c r="F93" i="954"/>
  <c r="L79" i="954"/>
  <c r="AX77" i="954"/>
  <c r="AW77" i="954"/>
  <c r="AV77" i="954"/>
  <c r="AU77" i="954"/>
  <c r="AT77" i="954"/>
  <c r="AS77" i="954"/>
  <c r="AR77" i="954"/>
  <c r="AQ77" i="954"/>
  <c r="AP77" i="954"/>
  <c r="AO77" i="954"/>
  <c r="AN77" i="954"/>
  <c r="AM77" i="954"/>
  <c r="AL77" i="954"/>
  <c r="AK77" i="954"/>
  <c r="AJ77" i="954"/>
  <c r="AI77" i="954"/>
  <c r="AH77" i="954"/>
  <c r="AG77" i="954"/>
  <c r="AF77" i="954"/>
  <c r="AE77" i="954"/>
  <c r="AD77" i="954"/>
  <c r="AC77" i="954"/>
  <c r="AB77" i="954"/>
  <c r="AX76" i="954"/>
  <c r="AW76" i="954"/>
  <c r="AV76" i="954"/>
  <c r="AU76" i="954"/>
  <c r="AT76" i="954"/>
  <c r="AS76" i="954"/>
  <c r="AR76" i="954"/>
  <c r="AQ76" i="954"/>
  <c r="AP76" i="954"/>
  <c r="AO76" i="954"/>
  <c r="AN76" i="954"/>
  <c r="AM76" i="954"/>
  <c r="AL76" i="954"/>
  <c r="AK76" i="954"/>
  <c r="AJ76" i="954"/>
  <c r="AI76" i="954"/>
  <c r="AH76" i="954"/>
  <c r="AG76" i="954"/>
  <c r="AF76" i="954"/>
  <c r="AE76" i="954"/>
  <c r="AD76" i="954"/>
  <c r="AC76" i="954"/>
  <c r="AB76" i="954"/>
  <c r="AX72" i="954"/>
  <c r="AW72" i="954"/>
  <c r="AV72" i="954"/>
  <c r="AU72" i="954"/>
  <c r="AT72" i="954"/>
  <c r="AS72" i="954"/>
  <c r="AR72" i="954"/>
  <c r="AQ72" i="954"/>
  <c r="AP72" i="954"/>
  <c r="AO72" i="954"/>
  <c r="AN72" i="954"/>
  <c r="AM72" i="954"/>
  <c r="AL72" i="954"/>
  <c r="AK72" i="954"/>
  <c r="AJ72" i="954"/>
  <c r="AI72" i="954"/>
  <c r="AH72" i="954"/>
  <c r="AG72" i="954"/>
  <c r="AF72" i="954"/>
  <c r="AE72" i="954"/>
  <c r="AD72" i="954"/>
  <c r="AC72" i="954"/>
  <c r="AB72" i="954"/>
  <c r="K67" i="954"/>
  <c r="Z54" i="954"/>
  <c r="Y54" i="954"/>
  <c r="X54" i="954"/>
  <c r="W54" i="954"/>
  <c r="V54" i="954"/>
  <c r="U54" i="954"/>
  <c r="T54" i="954"/>
  <c r="S54" i="954"/>
  <c r="R54" i="954"/>
  <c r="Z53" i="954"/>
  <c r="Y53" i="954"/>
  <c r="X53" i="954"/>
  <c r="W53" i="954"/>
  <c r="V53" i="954"/>
  <c r="U53" i="954"/>
  <c r="T53" i="954"/>
  <c r="S53" i="954"/>
  <c r="R53" i="954"/>
  <c r="Z52" i="954"/>
  <c r="Y52" i="954"/>
  <c r="X52" i="954"/>
  <c r="W52" i="954"/>
  <c r="V52" i="954"/>
  <c r="U52" i="954"/>
  <c r="T52" i="954"/>
  <c r="S52" i="954"/>
  <c r="R52" i="954"/>
  <c r="Z51" i="954"/>
  <c r="Y51" i="954"/>
  <c r="X51" i="954"/>
  <c r="W51" i="954"/>
  <c r="V51" i="954"/>
  <c r="U51" i="954"/>
  <c r="T51" i="954"/>
  <c r="S51" i="954"/>
  <c r="R51" i="954"/>
  <c r="Z50" i="954"/>
  <c r="Y50" i="954"/>
  <c r="X50" i="954"/>
  <c r="W50" i="954"/>
  <c r="V50" i="954"/>
  <c r="U50" i="954"/>
  <c r="T50" i="954"/>
  <c r="S50" i="954"/>
  <c r="R50" i="954"/>
  <c r="Z49" i="954"/>
  <c r="Y49" i="954"/>
  <c r="X49" i="954"/>
  <c r="W49" i="954"/>
  <c r="V49" i="954"/>
  <c r="U49" i="954"/>
  <c r="T49" i="954"/>
  <c r="S49" i="954"/>
  <c r="R49" i="954"/>
  <c r="Z48" i="954"/>
  <c r="Y48" i="954"/>
  <c r="X48" i="954"/>
  <c r="W48" i="954"/>
  <c r="V48" i="954"/>
  <c r="U48" i="954"/>
  <c r="T48" i="954"/>
  <c r="S48" i="954"/>
  <c r="R48" i="954"/>
  <c r="M48" i="954"/>
  <c r="Z47" i="954"/>
  <c r="Y47" i="954"/>
  <c r="X47" i="954"/>
  <c r="W47" i="954"/>
  <c r="V47" i="954"/>
  <c r="U47" i="954"/>
  <c r="T47" i="954"/>
  <c r="S47" i="954"/>
  <c r="R47" i="954"/>
  <c r="Z46" i="954"/>
  <c r="Y46" i="954"/>
  <c r="X46" i="954"/>
  <c r="W46" i="954"/>
  <c r="V46" i="954"/>
  <c r="U46" i="954"/>
  <c r="T46" i="954"/>
  <c r="S46" i="954"/>
  <c r="R46" i="954"/>
  <c r="M46" i="954"/>
  <c r="L46" i="954"/>
  <c r="K46" i="954"/>
  <c r="M45" i="954"/>
  <c r="L45" i="954"/>
  <c r="K45" i="954"/>
  <c r="J49" i="955" l="1"/>
  <c r="L58" i="954"/>
  <c r="M58" i="954" s="1"/>
  <c r="J43" i="954"/>
  <c r="J49" i="954"/>
  <c r="J44" i="954"/>
  <c r="J21" i="955"/>
  <c r="J20" i="955"/>
  <c r="I19" i="955"/>
  <c r="K53" i="955"/>
  <c r="L53" i="955" s="1"/>
  <c r="M53" i="955" s="1"/>
  <c r="L58" i="955"/>
  <c r="M58" i="955" s="1"/>
  <c r="K53" i="954"/>
  <c r="L53" i="954" s="1"/>
  <c r="M53" i="954" s="1"/>
  <c r="L43" i="953"/>
  <c r="M28" i="953" l="1"/>
  <c r="L28" i="953"/>
  <c r="K28" i="953"/>
  <c r="I11" i="953"/>
  <c r="J11" i="953"/>
  <c r="L11" i="953"/>
  <c r="M11" i="953"/>
  <c r="N11" i="953"/>
  <c r="O11" i="953"/>
  <c r="I12" i="953"/>
  <c r="J12" i="953"/>
  <c r="L12" i="953"/>
  <c r="M12" i="953"/>
  <c r="N12" i="953"/>
  <c r="O12" i="953"/>
  <c r="I13" i="953"/>
  <c r="J13" i="953"/>
  <c r="L13" i="953"/>
  <c r="M13" i="953"/>
  <c r="N13" i="953"/>
  <c r="O13" i="953"/>
  <c r="I14" i="953"/>
  <c r="J14" i="953"/>
  <c r="L14" i="953"/>
  <c r="M14" i="953"/>
  <c r="N14" i="953"/>
  <c r="O14" i="953"/>
  <c r="I15" i="953"/>
  <c r="J15" i="953"/>
  <c r="L15" i="953"/>
  <c r="M15" i="953"/>
  <c r="N15" i="953"/>
  <c r="O15" i="953"/>
  <c r="I16" i="953"/>
  <c r="J16" i="953"/>
  <c r="L16" i="953"/>
  <c r="M16" i="953"/>
  <c r="N16" i="953"/>
  <c r="O16" i="953"/>
  <c r="I17" i="953"/>
  <c r="J17" i="953"/>
  <c r="L17" i="953"/>
  <c r="M17" i="953"/>
  <c r="N17" i="953"/>
  <c r="O17" i="953"/>
  <c r="I18" i="953"/>
  <c r="J18" i="953"/>
  <c r="L18" i="953"/>
  <c r="M18" i="953"/>
  <c r="N18" i="953"/>
  <c r="O18" i="953"/>
  <c r="D11" i="953"/>
  <c r="E11" i="953"/>
  <c r="F11" i="953"/>
  <c r="G11" i="953"/>
  <c r="D12" i="953"/>
  <c r="E12" i="953"/>
  <c r="F12" i="953"/>
  <c r="G12" i="953"/>
  <c r="D13" i="953"/>
  <c r="E13" i="953"/>
  <c r="F13" i="953"/>
  <c r="G13" i="953"/>
  <c r="D14" i="953"/>
  <c r="E14" i="953"/>
  <c r="F14" i="953"/>
  <c r="G14" i="953"/>
  <c r="D15" i="953"/>
  <c r="E15" i="953"/>
  <c r="F15" i="953"/>
  <c r="G15" i="953"/>
  <c r="D16" i="953"/>
  <c r="E16" i="953"/>
  <c r="F16" i="953"/>
  <c r="G16" i="953"/>
  <c r="D17" i="953"/>
  <c r="E17" i="953"/>
  <c r="F17" i="953"/>
  <c r="G17" i="953"/>
  <c r="D18" i="953"/>
  <c r="E18" i="953"/>
  <c r="F18" i="953"/>
  <c r="G18" i="953"/>
  <c r="C11" i="953"/>
  <c r="C12" i="953"/>
  <c r="C13" i="953"/>
  <c r="C14" i="953"/>
  <c r="C15" i="953"/>
  <c r="C16" i="953"/>
  <c r="C17" i="953"/>
  <c r="C18" i="953"/>
  <c r="F75" i="953"/>
  <c r="L61" i="953"/>
  <c r="AX59" i="953"/>
  <c r="AW59" i="953"/>
  <c r="AV59" i="953"/>
  <c r="AU59" i="953"/>
  <c r="AT59" i="953"/>
  <c r="AS59" i="953"/>
  <c r="AR59" i="953"/>
  <c r="AQ59" i="953"/>
  <c r="AP59" i="953"/>
  <c r="AO59" i="953"/>
  <c r="AN59" i="953"/>
  <c r="AM59" i="953"/>
  <c r="AL59" i="953"/>
  <c r="AK59" i="953"/>
  <c r="AJ59" i="953"/>
  <c r="AI59" i="953"/>
  <c r="AH59" i="953"/>
  <c r="AG59" i="953"/>
  <c r="AF59" i="953"/>
  <c r="AE59" i="953"/>
  <c r="AD59" i="953"/>
  <c r="AC59" i="953"/>
  <c r="AB59" i="953"/>
  <c r="AX58" i="953"/>
  <c r="AW58" i="953"/>
  <c r="AV58" i="953"/>
  <c r="AU58" i="953"/>
  <c r="AT58" i="953"/>
  <c r="AS58" i="953"/>
  <c r="AR58" i="953"/>
  <c r="AQ58" i="953"/>
  <c r="AP58" i="953"/>
  <c r="AO58" i="953"/>
  <c r="AN58" i="953"/>
  <c r="AM58" i="953"/>
  <c r="AL58" i="953"/>
  <c r="AK58" i="953"/>
  <c r="AJ58" i="953"/>
  <c r="AI58" i="953"/>
  <c r="AH58" i="953"/>
  <c r="AG58" i="953"/>
  <c r="AF58" i="953"/>
  <c r="AE58" i="953"/>
  <c r="AD58" i="953"/>
  <c r="AC58" i="953"/>
  <c r="AB58" i="953"/>
  <c r="AX57" i="953"/>
  <c r="AW57" i="953"/>
  <c r="AV57" i="953"/>
  <c r="AU57" i="953"/>
  <c r="AT57" i="953"/>
  <c r="AS57" i="953"/>
  <c r="AR57" i="953"/>
  <c r="AQ57" i="953"/>
  <c r="AP57" i="953"/>
  <c r="AO57" i="953"/>
  <c r="AN57" i="953"/>
  <c r="AM57" i="953"/>
  <c r="AL57" i="953"/>
  <c r="AK57" i="953"/>
  <c r="AJ57" i="953"/>
  <c r="AI57" i="953"/>
  <c r="AH57" i="953"/>
  <c r="AG57" i="953"/>
  <c r="AF57" i="953"/>
  <c r="AE57" i="953"/>
  <c r="AD57" i="953"/>
  <c r="AC57" i="953"/>
  <c r="AB57" i="953"/>
  <c r="B57" i="953"/>
  <c r="K52" i="953"/>
  <c r="M43" i="953" s="1"/>
  <c r="Z39" i="953"/>
  <c r="Y39" i="953"/>
  <c r="X39" i="953"/>
  <c r="W39" i="953"/>
  <c r="V39" i="953"/>
  <c r="U39" i="953"/>
  <c r="T39" i="953"/>
  <c r="S39" i="953"/>
  <c r="R39" i="953"/>
  <c r="Z38" i="953"/>
  <c r="Y38" i="953"/>
  <c r="X38" i="953"/>
  <c r="W38" i="953"/>
  <c r="V38" i="953"/>
  <c r="U38" i="953"/>
  <c r="T38" i="953"/>
  <c r="S38" i="953"/>
  <c r="R38" i="953"/>
  <c r="Z37" i="953"/>
  <c r="Y37" i="953"/>
  <c r="X37" i="953"/>
  <c r="W37" i="953"/>
  <c r="V37" i="953"/>
  <c r="U37" i="953"/>
  <c r="T37" i="953"/>
  <c r="S37" i="953"/>
  <c r="R37" i="953"/>
  <c r="Z36" i="953"/>
  <c r="Y36" i="953"/>
  <c r="X36" i="953"/>
  <c r="W36" i="953"/>
  <c r="V36" i="953"/>
  <c r="U36" i="953"/>
  <c r="T36" i="953"/>
  <c r="S36" i="953"/>
  <c r="R36" i="953"/>
  <c r="Z35" i="953"/>
  <c r="Y35" i="953"/>
  <c r="X35" i="953"/>
  <c r="W35" i="953"/>
  <c r="V35" i="953"/>
  <c r="U35" i="953"/>
  <c r="T35" i="953"/>
  <c r="S35" i="953"/>
  <c r="R35" i="953"/>
  <c r="Z34" i="953"/>
  <c r="Y34" i="953"/>
  <c r="X34" i="953"/>
  <c r="W34" i="953"/>
  <c r="V34" i="953"/>
  <c r="U34" i="953"/>
  <c r="T34" i="953"/>
  <c r="S34" i="953"/>
  <c r="R34" i="953"/>
  <c r="M34" i="953"/>
  <c r="L34" i="953"/>
  <c r="K34" i="953"/>
  <c r="Z33" i="953"/>
  <c r="Y33" i="953"/>
  <c r="X33" i="953"/>
  <c r="W33" i="953"/>
  <c r="V33" i="953"/>
  <c r="U33" i="953"/>
  <c r="T33" i="953"/>
  <c r="S33" i="953"/>
  <c r="R33" i="953"/>
  <c r="M33" i="953"/>
  <c r="Z32" i="953"/>
  <c r="Y32" i="953"/>
  <c r="X32" i="953"/>
  <c r="W32" i="953"/>
  <c r="V32" i="953"/>
  <c r="U32" i="953"/>
  <c r="T32" i="953"/>
  <c r="S32" i="953"/>
  <c r="R32" i="953"/>
  <c r="Z31" i="953"/>
  <c r="Y31" i="953"/>
  <c r="X31" i="953"/>
  <c r="W31" i="953"/>
  <c r="V31" i="953"/>
  <c r="U31" i="953"/>
  <c r="T31" i="953"/>
  <c r="S31" i="953"/>
  <c r="R31" i="953"/>
  <c r="M31" i="953"/>
  <c r="L31" i="953"/>
  <c r="K31" i="953"/>
  <c r="Z30" i="953"/>
  <c r="Y30" i="953"/>
  <c r="X30" i="953"/>
  <c r="W30" i="953"/>
  <c r="V30" i="953"/>
  <c r="U30" i="953"/>
  <c r="T30" i="953"/>
  <c r="S30" i="953"/>
  <c r="R30" i="953"/>
  <c r="M30" i="953"/>
  <c r="L30" i="953"/>
  <c r="K30" i="953"/>
  <c r="Z29" i="953"/>
  <c r="Y29" i="953"/>
  <c r="X29" i="953"/>
  <c r="W29" i="953"/>
  <c r="V29" i="953"/>
  <c r="U29" i="953"/>
  <c r="T29" i="953"/>
  <c r="S29" i="953"/>
  <c r="R29" i="953"/>
  <c r="M29" i="953"/>
  <c r="L29" i="953"/>
  <c r="K29" i="953"/>
  <c r="W28" i="953"/>
  <c r="Z27" i="953"/>
  <c r="Y27" i="953"/>
  <c r="X27" i="953"/>
  <c r="W27" i="953"/>
  <c r="V27" i="953"/>
  <c r="U27" i="953"/>
  <c r="T27" i="953"/>
  <c r="S27" i="953"/>
  <c r="R27" i="953"/>
  <c r="Z26" i="953"/>
  <c r="Y26" i="953"/>
  <c r="X26" i="953"/>
  <c r="W26" i="953"/>
  <c r="V26" i="953"/>
  <c r="U26" i="953"/>
  <c r="T26" i="953"/>
  <c r="S26" i="953"/>
  <c r="R26" i="953"/>
  <c r="Z25" i="953"/>
  <c r="Y25" i="953"/>
  <c r="X25" i="953"/>
  <c r="W25" i="953"/>
  <c r="V25" i="953"/>
  <c r="U25" i="953"/>
  <c r="T25" i="953"/>
  <c r="S25" i="953"/>
  <c r="R25" i="953"/>
  <c r="Z24" i="953"/>
  <c r="Y24" i="953"/>
  <c r="X24" i="953"/>
  <c r="W24" i="953"/>
  <c r="V24" i="953"/>
  <c r="U24" i="953"/>
  <c r="T24" i="953"/>
  <c r="S24" i="953"/>
  <c r="R24" i="953"/>
  <c r="Z23" i="953"/>
  <c r="Y23" i="953"/>
  <c r="X23" i="953"/>
  <c r="W23" i="953"/>
  <c r="V23" i="953"/>
  <c r="U23" i="953"/>
  <c r="T23" i="953"/>
  <c r="S23" i="953"/>
  <c r="R23" i="953"/>
  <c r="Z22" i="953"/>
  <c r="Y22" i="953"/>
  <c r="X22" i="953"/>
  <c r="W22" i="953"/>
  <c r="V22" i="953"/>
  <c r="U22" i="953"/>
  <c r="T22" i="953"/>
  <c r="S22" i="953"/>
  <c r="R22" i="953"/>
  <c r="Z21" i="953"/>
  <c r="Y21" i="953"/>
  <c r="X21" i="953"/>
  <c r="W21" i="953"/>
  <c r="V21" i="953"/>
  <c r="U21" i="953"/>
  <c r="T21" i="953"/>
  <c r="S21" i="953"/>
  <c r="R21" i="953"/>
  <c r="Z20" i="953"/>
  <c r="Y20" i="953"/>
  <c r="X20" i="953"/>
  <c r="W20" i="953"/>
  <c r="V20" i="953"/>
  <c r="U20" i="953"/>
  <c r="T20" i="953"/>
  <c r="S20" i="953"/>
  <c r="R20" i="953"/>
  <c r="Z19" i="953"/>
  <c r="Y19" i="953"/>
  <c r="X19" i="953"/>
  <c r="W19" i="953"/>
  <c r="V19" i="953"/>
  <c r="U19" i="953"/>
  <c r="T19" i="953"/>
  <c r="S19" i="953"/>
  <c r="R19" i="953"/>
  <c r="Z18" i="953"/>
  <c r="Y18" i="953"/>
  <c r="X18" i="953"/>
  <c r="W18" i="953"/>
  <c r="V18" i="953"/>
  <c r="U18" i="953"/>
  <c r="T18" i="953"/>
  <c r="S18" i="953"/>
  <c r="R18" i="953"/>
  <c r="Z17" i="953"/>
  <c r="Y17" i="953"/>
  <c r="X17" i="953"/>
  <c r="W17" i="953"/>
  <c r="V17" i="953"/>
  <c r="U17" i="953"/>
  <c r="T17" i="953"/>
  <c r="S17" i="953"/>
  <c r="R17" i="953"/>
  <c r="Z16" i="953"/>
  <c r="Y16" i="953"/>
  <c r="X16" i="953"/>
  <c r="W16" i="953"/>
  <c r="V16" i="953"/>
  <c r="U16" i="953"/>
  <c r="T16" i="953"/>
  <c r="S16" i="953"/>
  <c r="R16" i="953"/>
  <c r="Z15" i="953"/>
  <c r="Y15" i="953"/>
  <c r="X15" i="953"/>
  <c r="W15" i="953"/>
  <c r="V15" i="953"/>
  <c r="U15" i="953"/>
  <c r="T15" i="953"/>
  <c r="S15" i="953"/>
  <c r="R15" i="953"/>
  <c r="Z14" i="953"/>
  <c r="Y14" i="953"/>
  <c r="X14" i="953"/>
  <c r="W14" i="953"/>
  <c r="V14" i="953"/>
  <c r="U14" i="953"/>
  <c r="T14" i="953"/>
  <c r="S14" i="953"/>
  <c r="R14" i="953"/>
  <c r="Z13" i="953"/>
  <c r="Y13" i="953"/>
  <c r="X13" i="953"/>
  <c r="W13" i="953"/>
  <c r="V13" i="953"/>
  <c r="U13" i="953"/>
  <c r="T13" i="953"/>
  <c r="S13" i="953"/>
  <c r="R13" i="953"/>
  <c r="Z12" i="953"/>
  <c r="Y12" i="953"/>
  <c r="X12" i="953"/>
  <c r="W12" i="953"/>
  <c r="V12" i="953"/>
  <c r="U12" i="953"/>
  <c r="T12" i="953"/>
  <c r="S12" i="953"/>
  <c r="R12" i="953"/>
  <c r="Z11" i="953"/>
  <c r="Y11" i="953"/>
  <c r="X11" i="953"/>
  <c r="W11" i="953"/>
  <c r="V11" i="953"/>
  <c r="U11" i="953"/>
  <c r="T11" i="953"/>
  <c r="S11" i="953"/>
  <c r="R11" i="953"/>
  <c r="Z10" i="953"/>
  <c r="Y10" i="953"/>
  <c r="X10" i="953"/>
  <c r="W10" i="953"/>
  <c r="V10" i="953"/>
  <c r="U10" i="953"/>
  <c r="T10" i="953"/>
  <c r="S10" i="953"/>
  <c r="R10" i="953"/>
  <c r="O10" i="953"/>
  <c r="N10" i="953"/>
  <c r="M10" i="953"/>
  <c r="L10" i="953"/>
  <c r="J10" i="953"/>
  <c r="I10" i="953"/>
  <c r="G10" i="953"/>
  <c r="F10" i="953"/>
  <c r="E10" i="953"/>
  <c r="D10" i="953"/>
  <c r="C10" i="953"/>
  <c r="J28" i="953" l="1"/>
  <c r="R28" i="953"/>
  <c r="K38" i="953"/>
  <c r="L38" i="953" s="1"/>
  <c r="M38" i="953" s="1"/>
  <c r="Y28" i="953"/>
  <c r="X28" i="953"/>
  <c r="Z28" i="953"/>
  <c r="S28" i="953"/>
  <c r="T28" i="953"/>
  <c r="U28" i="953"/>
  <c r="V28" i="953"/>
  <c r="M31" i="952" l="1"/>
  <c r="L31" i="952"/>
  <c r="K31" i="952"/>
  <c r="I10" i="952"/>
  <c r="J10" i="952"/>
  <c r="L10" i="952"/>
  <c r="M10" i="952"/>
  <c r="N10" i="952"/>
  <c r="O10" i="952"/>
  <c r="I11" i="952"/>
  <c r="J11" i="952"/>
  <c r="L11" i="952"/>
  <c r="M11" i="952"/>
  <c r="N11" i="952"/>
  <c r="O11" i="952"/>
  <c r="I13" i="952"/>
  <c r="J13" i="952"/>
  <c r="L13" i="952"/>
  <c r="M13" i="952"/>
  <c r="N13" i="952"/>
  <c r="O13" i="952"/>
  <c r="C10" i="952"/>
  <c r="D10" i="952"/>
  <c r="E10" i="952"/>
  <c r="F10" i="952"/>
  <c r="G10" i="952"/>
  <c r="C11" i="952"/>
  <c r="D11" i="952"/>
  <c r="E11" i="952"/>
  <c r="F11" i="952"/>
  <c r="G11" i="952"/>
  <c r="C13" i="952"/>
  <c r="D13" i="952"/>
  <c r="E13" i="952"/>
  <c r="F13" i="952"/>
  <c r="G13" i="952"/>
  <c r="F78" i="952"/>
  <c r="L64" i="952"/>
  <c r="AX62" i="952"/>
  <c r="AW62" i="952"/>
  <c r="AV62" i="952"/>
  <c r="AU62" i="952"/>
  <c r="AT62" i="952"/>
  <c r="AS62" i="952"/>
  <c r="AR62" i="952"/>
  <c r="AQ62" i="952"/>
  <c r="AP62" i="952"/>
  <c r="AO62" i="952"/>
  <c r="AN62" i="952"/>
  <c r="AM62" i="952"/>
  <c r="AL62" i="952"/>
  <c r="AK62" i="952"/>
  <c r="AJ62" i="952"/>
  <c r="AI62" i="952"/>
  <c r="AH62" i="952"/>
  <c r="AG62" i="952"/>
  <c r="AF62" i="952"/>
  <c r="AE62" i="952"/>
  <c r="AD62" i="952"/>
  <c r="AC62" i="952"/>
  <c r="AB62" i="952"/>
  <c r="AX61" i="952"/>
  <c r="AW61" i="952"/>
  <c r="AV61" i="952"/>
  <c r="AU61" i="952"/>
  <c r="AT61" i="952"/>
  <c r="AS61" i="952"/>
  <c r="AR61" i="952"/>
  <c r="AQ61" i="952"/>
  <c r="AP61" i="952"/>
  <c r="AO61" i="952"/>
  <c r="AN61" i="952"/>
  <c r="AM61" i="952"/>
  <c r="AL61" i="952"/>
  <c r="AK61" i="952"/>
  <c r="AJ61" i="952"/>
  <c r="AI61" i="952"/>
  <c r="AH61" i="952"/>
  <c r="AG61" i="952"/>
  <c r="AF61" i="952"/>
  <c r="AE61" i="952"/>
  <c r="AD61" i="952"/>
  <c r="AC61" i="952"/>
  <c r="AB61" i="952"/>
  <c r="AX60" i="952"/>
  <c r="AW60" i="952"/>
  <c r="AV60" i="952"/>
  <c r="AU60" i="952"/>
  <c r="AT60" i="952"/>
  <c r="AS60" i="952"/>
  <c r="AR60" i="952"/>
  <c r="AQ60" i="952"/>
  <c r="AP60" i="952"/>
  <c r="AO60" i="952"/>
  <c r="AN60" i="952"/>
  <c r="AM60" i="952"/>
  <c r="AL60" i="952"/>
  <c r="AK60" i="952"/>
  <c r="AJ60" i="952"/>
  <c r="AI60" i="952"/>
  <c r="AH60" i="952"/>
  <c r="AG60" i="952"/>
  <c r="AF60" i="952"/>
  <c r="AE60" i="952"/>
  <c r="AD60" i="952"/>
  <c r="AC60" i="952"/>
  <c r="AB60" i="952"/>
  <c r="B60" i="952"/>
  <c r="K55" i="952"/>
  <c r="L46" i="952" s="1"/>
  <c r="Z42" i="952"/>
  <c r="Y42" i="952"/>
  <c r="X42" i="952"/>
  <c r="W42" i="952"/>
  <c r="V42" i="952"/>
  <c r="U42" i="952"/>
  <c r="T42" i="952"/>
  <c r="S42" i="952"/>
  <c r="R42" i="952"/>
  <c r="Z41" i="952"/>
  <c r="Y41" i="952"/>
  <c r="X41" i="952"/>
  <c r="W41" i="952"/>
  <c r="V41" i="952"/>
  <c r="U41" i="952"/>
  <c r="T41" i="952"/>
  <c r="S41" i="952"/>
  <c r="R41" i="952"/>
  <c r="Z40" i="952"/>
  <c r="Y40" i="952"/>
  <c r="X40" i="952"/>
  <c r="W40" i="952"/>
  <c r="V40" i="952"/>
  <c r="U40" i="952"/>
  <c r="T40" i="952"/>
  <c r="S40" i="952"/>
  <c r="R40" i="952"/>
  <c r="Z39" i="952"/>
  <c r="Y39" i="952"/>
  <c r="X39" i="952"/>
  <c r="W39" i="952"/>
  <c r="V39" i="952"/>
  <c r="U39" i="952"/>
  <c r="T39" i="952"/>
  <c r="S39" i="952"/>
  <c r="R39" i="952"/>
  <c r="Z38" i="952"/>
  <c r="Y38" i="952"/>
  <c r="X38" i="952"/>
  <c r="W38" i="952"/>
  <c r="V38" i="952"/>
  <c r="U38" i="952"/>
  <c r="T38" i="952"/>
  <c r="S38" i="952"/>
  <c r="R38" i="952"/>
  <c r="Z37" i="952"/>
  <c r="Y37" i="952"/>
  <c r="X37" i="952"/>
  <c r="W37" i="952"/>
  <c r="V37" i="952"/>
  <c r="U37" i="952"/>
  <c r="T37" i="952"/>
  <c r="S37" i="952"/>
  <c r="R37" i="952"/>
  <c r="M37" i="952"/>
  <c r="L37" i="952"/>
  <c r="K37" i="952"/>
  <c r="Z36" i="952"/>
  <c r="Y36" i="952"/>
  <c r="X36" i="952"/>
  <c r="W36" i="952"/>
  <c r="V36" i="952"/>
  <c r="U36" i="952"/>
  <c r="T36" i="952"/>
  <c r="S36" i="952"/>
  <c r="R36" i="952"/>
  <c r="M36" i="952"/>
  <c r="Z35" i="952"/>
  <c r="Y35" i="952"/>
  <c r="X35" i="952"/>
  <c r="W35" i="952"/>
  <c r="V35" i="952"/>
  <c r="U35" i="952"/>
  <c r="T35" i="952"/>
  <c r="S35" i="952"/>
  <c r="R35" i="952"/>
  <c r="Z34" i="952"/>
  <c r="Y34" i="952"/>
  <c r="X34" i="952"/>
  <c r="W34" i="952"/>
  <c r="V34" i="952"/>
  <c r="U34" i="952"/>
  <c r="T34" i="952"/>
  <c r="S34" i="952"/>
  <c r="R34" i="952"/>
  <c r="M34" i="952"/>
  <c r="L34" i="952"/>
  <c r="K34" i="952"/>
  <c r="Z33" i="952"/>
  <c r="Y33" i="952"/>
  <c r="X33" i="952"/>
  <c r="W33" i="952"/>
  <c r="V33" i="952"/>
  <c r="U33" i="952"/>
  <c r="T33" i="952"/>
  <c r="S33" i="952"/>
  <c r="R33" i="952"/>
  <c r="M33" i="952"/>
  <c r="L33" i="952"/>
  <c r="K33" i="952"/>
  <c r="Z32" i="952"/>
  <c r="Y32" i="952"/>
  <c r="X32" i="952"/>
  <c r="W32" i="952"/>
  <c r="V32" i="952"/>
  <c r="U32" i="952"/>
  <c r="T32" i="952"/>
  <c r="S32" i="952"/>
  <c r="R32" i="952"/>
  <c r="M32" i="952"/>
  <c r="L32" i="952"/>
  <c r="K32" i="952"/>
  <c r="B31" i="952"/>
  <c r="W31" i="952" s="1"/>
  <c r="Z30" i="952"/>
  <c r="Y30" i="952"/>
  <c r="X30" i="952"/>
  <c r="W30" i="952"/>
  <c r="V30" i="952"/>
  <c r="U30" i="952"/>
  <c r="T30" i="952"/>
  <c r="S30" i="952"/>
  <c r="R30" i="952"/>
  <c r="Z29" i="952"/>
  <c r="Y29" i="952"/>
  <c r="X29" i="952"/>
  <c r="W29" i="952"/>
  <c r="V29" i="952"/>
  <c r="U29" i="952"/>
  <c r="T29" i="952"/>
  <c r="S29" i="952"/>
  <c r="R29" i="952"/>
  <c r="Z28" i="952"/>
  <c r="Y28" i="952"/>
  <c r="X28" i="952"/>
  <c r="W28" i="952"/>
  <c r="V28" i="952"/>
  <c r="U28" i="952"/>
  <c r="T28" i="952"/>
  <c r="S28" i="952"/>
  <c r="R28" i="952"/>
  <c r="Z27" i="952"/>
  <c r="Y27" i="952"/>
  <c r="X27" i="952"/>
  <c r="W27" i="952"/>
  <c r="V27" i="952"/>
  <c r="U27" i="952"/>
  <c r="T27" i="952"/>
  <c r="S27" i="952"/>
  <c r="R27" i="952"/>
  <c r="Z26" i="952"/>
  <c r="Y26" i="952"/>
  <c r="X26" i="952"/>
  <c r="W26" i="952"/>
  <c r="V26" i="952"/>
  <c r="U26" i="952"/>
  <c r="T26" i="952"/>
  <c r="S26" i="952"/>
  <c r="R26" i="952"/>
  <c r="Z25" i="952"/>
  <c r="Y25" i="952"/>
  <c r="X25" i="952"/>
  <c r="W25" i="952"/>
  <c r="V25" i="952"/>
  <c r="U25" i="952"/>
  <c r="T25" i="952"/>
  <c r="S25" i="952"/>
  <c r="R25" i="952"/>
  <c r="Z24" i="952"/>
  <c r="Y24" i="952"/>
  <c r="X24" i="952"/>
  <c r="W24" i="952"/>
  <c r="V24" i="952"/>
  <c r="U24" i="952"/>
  <c r="T24" i="952"/>
  <c r="S24" i="952"/>
  <c r="R24" i="952"/>
  <c r="Z23" i="952"/>
  <c r="Y23" i="952"/>
  <c r="X23" i="952"/>
  <c r="W23" i="952"/>
  <c r="V23" i="952"/>
  <c r="U23" i="952"/>
  <c r="T23" i="952"/>
  <c r="S23" i="952"/>
  <c r="R23" i="952"/>
  <c r="Z22" i="952"/>
  <c r="Y22" i="952"/>
  <c r="X22" i="952"/>
  <c r="W22" i="952"/>
  <c r="V22" i="952"/>
  <c r="U22" i="952"/>
  <c r="T22" i="952"/>
  <c r="S22" i="952"/>
  <c r="R22" i="952"/>
  <c r="Z21" i="952"/>
  <c r="Y21" i="952"/>
  <c r="X21" i="952"/>
  <c r="W21" i="952"/>
  <c r="V21" i="952"/>
  <c r="U21" i="952"/>
  <c r="T21" i="952"/>
  <c r="S21" i="952"/>
  <c r="R21" i="952"/>
  <c r="Z20" i="952"/>
  <c r="Y20" i="952"/>
  <c r="X20" i="952"/>
  <c r="W20" i="952"/>
  <c r="V20" i="952"/>
  <c r="U20" i="952"/>
  <c r="T20" i="952"/>
  <c r="S20" i="952"/>
  <c r="R20" i="952"/>
  <c r="Z19" i="952"/>
  <c r="Y19" i="952"/>
  <c r="X19" i="952"/>
  <c r="W19" i="952"/>
  <c r="V19" i="952"/>
  <c r="U19" i="952"/>
  <c r="T19" i="952"/>
  <c r="S19" i="952"/>
  <c r="R19" i="952"/>
  <c r="Z18" i="952"/>
  <c r="Y18" i="952"/>
  <c r="X18" i="952"/>
  <c r="W18" i="952"/>
  <c r="V18" i="952"/>
  <c r="U18" i="952"/>
  <c r="T18" i="952"/>
  <c r="S18" i="952"/>
  <c r="R18" i="952"/>
  <c r="Z17" i="952"/>
  <c r="Y17" i="952"/>
  <c r="X17" i="952"/>
  <c r="W17" i="952"/>
  <c r="V17" i="952"/>
  <c r="U17" i="952"/>
  <c r="T17" i="952"/>
  <c r="S17" i="952"/>
  <c r="R17" i="952"/>
  <c r="Z16" i="952"/>
  <c r="Y16" i="952"/>
  <c r="X16" i="952"/>
  <c r="W16" i="952"/>
  <c r="V16" i="952"/>
  <c r="U16" i="952"/>
  <c r="T16" i="952"/>
  <c r="S16" i="952"/>
  <c r="R16" i="952"/>
  <c r="Z15" i="952"/>
  <c r="Y15" i="952"/>
  <c r="X15" i="952"/>
  <c r="W15" i="952"/>
  <c r="V15" i="952"/>
  <c r="U15" i="952"/>
  <c r="T15" i="952"/>
  <c r="S15" i="952"/>
  <c r="R15" i="952"/>
  <c r="Z14" i="952"/>
  <c r="Y14" i="952"/>
  <c r="X14" i="952"/>
  <c r="W14" i="952"/>
  <c r="V14" i="952"/>
  <c r="U14" i="952"/>
  <c r="T14" i="952"/>
  <c r="S14" i="952"/>
  <c r="R14" i="952"/>
  <c r="Z13" i="952"/>
  <c r="Y13" i="952"/>
  <c r="X13" i="952"/>
  <c r="W13" i="952"/>
  <c r="V13" i="952"/>
  <c r="U13" i="952"/>
  <c r="T13" i="952"/>
  <c r="S13" i="952"/>
  <c r="R13" i="952"/>
  <c r="Z11" i="952"/>
  <c r="Y11" i="952"/>
  <c r="X11" i="952"/>
  <c r="W11" i="952"/>
  <c r="V11" i="952"/>
  <c r="U11" i="952"/>
  <c r="T11" i="952"/>
  <c r="S11" i="952"/>
  <c r="R11" i="952"/>
  <c r="Z10" i="952"/>
  <c r="Y10" i="952"/>
  <c r="X10" i="952"/>
  <c r="W10" i="952"/>
  <c r="V10" i="952"/>
  <c r="U10" i="952"/>
  <c r="T10" i="952"/>
  <c r="S10" i="952"/>
  <c r="R10" i="952"/>
  <c r="M34" i="951"/>
  <c r="L34" i="951"/>
  <c r="K34" i="951"/>
  <c r="M46" i="952" l="1"/>
  <c r="J31" i="952"/>
  <c r="V31" i="952"/>
  <c r="X31" i="952"/>
  <c r="U31" i="952"/>
  <c r="T31" i="952"/>
  <c r="K41" i="952"/>
  <c r="L41" i="952" s="1"/>
  <c r="M41" i="952" s="1"/>
  <c r="Y31" i="952"/>
  <c r="Z31" i="952"/>
  <c r="R31" i="952"/>
  <c r="S31" i="952"/>
  <c r="I10" i="951"/>
  <c r="J10" i="951"/>
  <c r="L10" i="951"/>
  <c r="M10" i="951"/>
  <c r="O10" i="951"/>
  <c r="I11" i="951"/>
  <c r="J11" i="951"/>
  <c r="L11" i="951"/>
  <c r="M11" i="951"/>
  <c r="N11" i="951"/>
  <c r="O11" i="951"/>
  <c r="I12" i="951"/>
  <c r="J12" i="951"/>
  <c r="L12" i="951"/>
  <c r="M12" i="951"/>
  <c r="N12" i="951"/>
  <c r="O12" i="951"/>
  <c r="I13" i="951"/>
  <c r="J13" i="951"/>
  <c r="L13" i="951"/>
  <c r="M13" i="951"/>
  <c r="N13" i="951"/>
  <c r="O13" i="951"/>
  <c r="D10" i="951"/>
  <c r="E10" i="951"/>
  <c r="F10" i="951"/>
  <c r="G10" i="951"/>
  <c r="D11" i="951"/>
  <c r="E11" i="951"/>
  <c r="F11" i="951"/>
  <c r="G11" i="951"/>
  <c r="D12" i="951"/>
  <c r="E12" i="951"/>
  <c r="F12" i="951"/>
  <c r="G12" i="951"/>
  <c r="D13" i="951"/>
  <c r="E13" i="951"/>
  <c r="F13" i="951"/>
  <c r="G13" i="951"/>
  <c r="B63" i="951"/>
  <c r="B34" i="951"/>
  <c r="K58" i="951"/>
  <c r="L49" i="951" s="1"/>
  <c r="M49" i="951" s="1"/>
  <c r="F81" i="951"/>
  <c r="L67" i="951"/>
  <c r="AX65" i="951"/>
  <c r="AW65" i="951"/>
  <c r="AV65" i="951"/>
  <c r="AU65" i="951"/>
  <c r="AT65" i="951"/>
  <c r="AS65" i="951"/>
  <c r="AR65" i="951"/>
  <c r="AQ65" i="951"/>
  <c r="AP65" i="951"/>
  <c r="AO65" i="951"/>
  <c r="AN65" i="951"/>
  <c r="AM65" i="951"/>
  <c r="AL65" i="951"/>
  <c r="AK65" i="951"/>
  <c r="AJ65" i="951"/>
  <c r="AI65" i="951"/>
  <c r="AH65" i="951"/>
  <c r="AG65" i="951"/>
  <c r="AF65" i="951"/>
  <c r="AE65" i="951"/>
  <c r="AD65" i="951"/>
  <c r="AC65" i="951"/>
  <c r="AB65" i="951"/>
  <c r="AX64" i="951"/>
  <c r="AW64" i="951"/>
  <c r="AV64" i="951"/>
  <c r="AU64" i="951"/>
  <c r="AT64" i="951"/>
  <c r="AS64" i="951"/>
  <c r="AR64" i="951"/>
  <c r="AQ64" i="951"/>
  <c r="AP64" i="951"/>
  <c r="AO64" i="951"/>
  <c r="AN64" i="951"/>
  <c r="AM64" i="951"/>
  <c r="AL64" i="951"/>
  <c r="AK64" i="951"/>
  <c r="AJ64" i="951"/>
  <c r="AI64" i="951"/>
  <c r="AH64" i="951"/>
  <c r="AG64" i="951"/>
  <c r="AF64" i="951"/>
  <c r="AE64" i="951"/>
  <c r="AD64" i="951"/>
  <c r="AC64" i="951"/>
  <c r="AB64" i="951"/>
  <c r="AX63" i="951"/>
  <c r="AW63" i="951"/>
  <c r="AV63" i="951"/>
  <c r="AU63" i="951"/>
  <c r="AT63" i="951"/>
  <c r="AS63" i="951"/>
  <c r="AR63" i="951"/>
  <c r="AQ63" i="951"/>
  <c r="AP63" i="951"/>
  <c r="AO63" i="951"/>
  <c r="AN63" i="951"/>
  <c r="AM63" i="951"/>
  <c r="AL63" i="951"/>
  <c r="AK63" i="951"/>
  <c r="AJ63" i="951"/>
  <c r="AI63" i="951"/>
  <c r="AH63" i="951"/>
  <c r="AG63" i="951"/>
  <c r="AF63" i="951"/>
  <c r="AE63" i="951"/>
  <c r="AD63" i="951"/>
  <c r="AC63" i="951"/>
  <c r="AB63" i="951"/>
  <c r="Z45" i="951"/>
  <c r="Y45" i="951"/>
  <c r="X45" i="951"/>
  <c r="W45" i="951"/>
  <c r="V45" i="951"/>
  <c r="U45" i="951"/>
  <c r="T45" i="951"/>
  <c r="S45" i="951"/>
  <c r="R45" i="951"/>
  <c r="Z44" i="951"/>
  <c r="Y44" i="951"/>
  <c r="X44" i="951"/>
  <c r="W44" i="951"/>
  <c r="V44" i="951"/>
  <c r="U44" i="951"/>
  <c r="T44" i="951"/>
  <c r="S44" i="951"/>
  <c r="R44" i="951"/>
  <c r="Z43" i="951"/>
  <c r="Y43" i="951"/>
  <c r="X43" i="951"/>
  <c r="W43" i="951"/>
  <c r="V43" i="951"/>
  <c r="U43" i="951"/>
  <c r="T43" i="951"/>
  <c r="S43" i="951"/>
  <c r="R43" i="951"/>
  <c r="Z42" i="951"/>
  <c r="Y42" i="951"/>
  <c r="X42" i="951"/>
  <c r="W42" i="951"/>
  <c r="V42" i="951"/>
  <c r="U42" i="951"/>
  <c r="T42" i="951"/>
  <c r="S42" i="951"/>
  <c r="R42" i="951"/>
  <c r="Z41" i="951"/>
  <c r="Y41" i="951"/>
  <c r="X41" i="951"/>
  <c r="W41" i="951"/>
  <c r="V41" i="951"/>
  <c r="U41" i="951"/>
  <c r="T41" i="951"/>
  <c r="S41" i="951"/>
  <c r="R41" i="951"/>
  <c r="Z40" i="951"/>
  <c r="Y40" i="951"/>
  <c r="X40" i="951"/>
  <c r="W40" i="951"/>
  <c r="V40" i="951"/>
  <c r="U40" i="951"/>
  <c r="T40" i="951"/>
  <c r="S40" i="951"/>
  <c r="R40" i="951"/>
  <c r="M40" i="951"/>
  <c r="L40" i="951"/>
  <c r="K40" i="951"/>
  <c r="Z39" i="951"/>
  <c r="Y39" i="951"/>
  <c r="X39" i="951"/>
  <c r="W39" i="951"/>
  <c r="V39" i="951"/>
  <c r="U39" i="951"/>
  <c r="T39" i="951"/>
  <c r="S39" i="951"/>
  <c r="R39" i="951"/>
  <c r="M39" i="951"/>
  <c r="Z38" i="951"/>
  <c r="Y38" i="951"/>
  <c r="X38" i="951"/>
  <c r="W38" i="951"/>
  <c r="V38" i="951"/>
  <c r="U38" i="951"/>
  <c r="T38" i="951"/>
  <c r="S38" i="951"/>
  <c r="R38" i="951"/>
  <c r="Z37" i="951"/>
  <c r="Y37" i="951"/>
  <c r="X37" i="951"/>
  <c r="W37" i="951"/>
  <c r="V37" i="951"/>
  <c r="U37" i="951"/>
  <c r="T37" i="951"/>
  <c r="S37" i="951"/>
  <c r="R37" i="951"/>
  <c r="M37" i="951"/>
  <c r="L37" i="951"/>
  <c r="K37" i="951"/>
  <c r="Z36" i="951"/>
  <c r="Y36" i="951"/>
  <c r="X36" i="951"/>
  <c r="W36" i="951"/>
  <c r="V36" i="951"/>
  <c r="U36" i="951"/>
  <c r="T36" i="951"/>
  <c r="S36" i="951"/>
  <c r="R36" i="951"/>
  <c r="M36" i="951"/>
  <c r="L36" i="951"/>
  <c r="K36" i="951"/>
  <c r="Z35" i="951"/>
  <c r="Y35" i="951"/>
  <c r="X35" i="951"/>
  <c r="W35" i="951"/>
  <c r="V35" i="951"/>
  <c r="U35" i="951"/>
  <c r="T35" i="951"/>
  <c r="S35" i="951"/>
  <c r="R35" i="951"/>
  <c r="M35" i="951"/>
  <c r="L35" i="951"/>
  <c r="K35" i="951"/>
  <c r="Z34" i="951"/>
  <c r="Z33" i="951"/>
  <c r="Y33" i="951"/>
  <c r="X33" i="951"/>
  <c r="W33" i="951"/>
  <c r="V33" i="951"/>
  <c r="U33" i="951"/>
  <c r="T33" i="951"/>
  <c r="S33" i="951"/>
  <c r="R33" i="951"/>
  <c r="Z32" i="951"/>
  <c r="Y32" i="951"/>
  <c r="X32" i="951"/>
  <c r="W32" i="951"/>
  <c r="V32" i="951"/>
  <c r="U32" i="951"/>
  <c r="T32" i="951"/>
  <c r="S32" i="951"/>
  <c r="R32" i="951"/>
  <c r="Z31" i="951"/>
  <c r="Y31" i="951"/>
  <c r="X31" i="951"/>
  <c r="W31" i="951"/>
  <c r="V31" i="951"/>
  <c r="U31" i="951"/>
  <c r="T31" i="951"/>
  <c r="S31" i="951"/>
  <c r="R31" i="951"/>
  <c r="Z30" i="951"/>
  <c r="Y30" i="951"/>
  <c r="X30" i="951"/>
  <c r="W30" i="951"/>
  <c r="V30" i="951"/>
  <c r="U30" i="951"/>
  <c r="T30" i="951"/>
  <c r="S30" i="951"/>
  <c r="R30" i="951"/>
  <c r="Z29" i="951"/>
  <c r="Y29" i="951"/>
  <c r="X29" i="951"/>
  <c r="W29" i="951"/>
  <c r="V29" i="951"/>
  <c r="U29" i="951"/>
  <c r="T29" i="951"/>
  <c r="S29" i="951"/>
  <c r="R29" i="951"/>
  <c r="Z28" i="951"/>
  <c r="Y28" i="951"/>
  <c r="X28" i="951"/>
  <c r="W28" i="951"/>
  <c r="V28" i="951"/>
  <c r="U28" i="951"/>
  <c r="T28" i="951"/>
  <c r="S28" i="951"/>
  <c r="R28" i="951"/>
  <c r="Z27" i="951"/>
  <c r="Y27" i="951"/>
  <c r="X27" i="951"/>
  <c r="W27" i="951"/>
  <c r="V27" i="951"/>
  <c r="U27" i="951"/>
  <c r="T27" i="951"/>
  <c r="S27" i="951"/>
  <c r="R27" i="951"/>
  <c r="Z26" i="951"/>
  <c r="Y26" i="951"/>
  <c r="X26" i="951"/>
  <c r="W26" i="951"/>
  <c r="V26" i="951"/>
  <c r="U26" i="951"/>
  <c r="T26" i="951"/>
  <c r="S26" i="951"/>
  <c r="R26" i="951"/>
  <c r="Z25" i="951"/>
  <c r="Y25" i="951"/>
  <c r="X25" i="951"/>
  <c r="W25" i="951"/>
  <c r="V25" i="951"/>
  <c r="U25" i="951"/>
  <c r="T25" i="951"/>
  <c r="S25" i="951"/>
  <c r="R25" i="951"/>
  <c r="Z24" i="951"/>
  <c r="Y24" i="951"/>
  <c r="X24" i="951"/>
  <c r="W24" i="951"/>
  <c r="V24" i="951"/>
  <c r="U24" i="951"/>
  <c r="T24" i="951"/>
  <c r="S24" i="951"/>
  <c r="R24" i="951"/>
  <c r="Z23" i="951"/>
  <c r="Y23" i="951"/>
  <c r="X23" i="951"/>
  <c r="W23" i="951"/>
  <c r="V23" i="951"/>
  <c r="U23" i="951"/>
  <c r="T23" i="951"/>
  <c r="S23" i="951"/>
  <c r="R23" i="951"/>
  <c r="Z22" i="951"/>
  <c r="Y22" i="951"/>
  <c r="X22" i="951"/>
  <c r="W22" i="951"/>
  <c r="V22" i="951"/>
  <c r="U22" i="951"/>
  <c r="T22" i="951"/>
  <c r="S22" i="951"/>
  <c r="R22" i="951"/>
  <c r="Z21" i="951"/>
  <c r="Y21" i="951"/>
  <c r="X21" i="951"/>
  <c r="W21" i="951"/>
  <c r="V21" i="951"/>
  <c r="U21" i="951"/>
  <c r="T21" i="951"/>
  <c r="S21" i="951"/>
  <c r="R21" i="951"/>
  <c r="Z20" i="951"/>
  <c r="Y20" i="951"/>
  <c r="X20" i="951"/>
  <c r="W20" i="951"/>
  <c r="V20" i="951"/>
  <c r="U20" i="951"/>
  <c r="T20" i="951"/>
  <c r="S20" i="951"/>
  <c r="R20" i="951"/>
  <c r="Z19" i="951"/>
  <c r="Y19" i="951"/>
  <c r="X19" i="951"/>
  <c r="W19" i="951"/>
  <c r="V19" i="951"/>
  <c r="U19" i="951"/>
  <c r="T19" i="951"/>
  <c r="S19" i="951"/>
  <c r="R19" i="951"/>
  <c r="Z18" i="951"/>
  <c r="Y18" i="951"/>
  <c r="X18" i="951"/>
  <c r="W18" i="951"/>
  <c r="V18" i="951"/>
  <c r="U18" i="951"/>
  <c r="T18" i="951"/>
  <c r="S18" i="951"/>
  <c r="R18" i="951"/>
  <c r="Z17" i="951"/>
  <c r="Y17" i="951"/>
  <c r="X17" i="951"/>
  <c r="W17" i="951"/>
  <c r="V17" i="951"/>
  <c r="U17" i="951"/>
  <c r="T17" i="951"/>
  <c r="S17" i="951"/>
  <c r="R17" i="951"/>
  <c r="Z16" i="951"/>
  <c r="Y16" i="951"/>
  <c r="X16" i="951"/>
  <c r="W16" i="951"/>
  <c r="V16" i="951"/>
  <c r="U16" i="951"/>
  <c r="T16" i="951"/>
  <c r="S16" i="951"/>
  <c r="R16" i="951"/>
  <c r="Z15" i="951"/>
  <c r="Y15" i="951"/>
  <c r="X15" i="951"/>
  <c r="W15" i="951"/>
  <c r="V15" i="951"/>
  <c r="U15" i="951"/>
  <c r="T15" i="951"/>
  <c r="S15" i="951"/>
  <c r="R15" i="951"/>
  <c r="Z14" i="951"/>
  <c r="Y14" i="951"/>
  <c r="X14" i="951"/>
  <c r="W14" i="951"/>
  <c r="V14" i="951"/>
  <c r="U14" i="951"/>
  <c r="T14" i="951"/>
  <c r="S14" i="951"/>
  <c r="R14" i="951"/>
  <c r="Z13" i="951"/>
  <c r="Y13" i="951"/>
  <c r="X13" i="951"/>
  <c r="W13" i="951"/>
  <c r="V13" i="951"/>
  <c r="U13" i="951"/>
  <c r="T13" i="951"/>
  <c r="S13" i="951"/>
  <c r="R13" i="951"/>
  <c r="Z12" i="951"/>
  <c r="Y12" i="951"/>
  <c r="X12" i="951"/>
  <c r="W12" i="951"/>
  <c r="V12" i="951"/>
  <c r="U12" i="951"/>
  <c r="T12" i="951"/>
  <c r="S12" i="951"/>
  <c r="R12" i="951"/>
  <c r="Z11" i="951"/>
  <c r="Y11" i="951"/>
  <c r="X11" i="951"/>
  <c r="W11" i="951"/>
  <c r="V11" i="951"/>
  <c r="U11" i="951"/>
  <c r="T11" i="951"/>
  <c r="S11" i="951"/>
  <c r="R11" i="951"/>
  <c r="Z10" i="951"/>
  <c r="Y10" i="951"/>
  <c r="X10" i="951"/>
  <c r="W10" i="951"/>
  <c r="V10" i="951"/>
  <c r="U10" i="951"/>
  <c r="T10" i="951"/>
  <c r="S10" i="951"/>
  <c r="R10" i="951"/>
  <c r="C49" i="950" a="1"/>
  <c r="C49" i="950" s="1"/>
  <c r="B49" i="950"/>
  <c r="K44" i="951" l="1"/>
  <c r="J34" i="951"/>
  <c r="R34" i="951"/>
  <c r="S34" i="951"/>
  <c r="T34" i="951"/>
  <c r="U34" i="951"/>
  <c r="V34" i="951"/>
  <c r="W34" i="951"/>
  <c r="X34" i="951"/>
  <c r="Y34" i="951"/>
  <c r="M64" i="950"/>
  <c r="L64" i="950"/>
  <c r="I73" i="950"/>
  <c r="J73" i="950"/>
  <c r="L50" i="950"/>
  <c r="K49" i="950"/>
  <c r="M50" i="950"/>
  <c r="K50" i="950"/>
  <c r="R16" i="950"/>
  <c r="S16" i="950"/>
  <c r="T16" i="950"/>
  <c r="U16" i="950"/>
  <c r="V16" i="950"/>
  <c r="W16" i="950"/>
  <c r="X16" i="950"/>
  <c r="Y16" i="950"/>
  <c r="Z16" i="950"/>
  <c r="R17" i="950"/>
  <c r="S17" i="950"/>
  <c r="T17" i="950"/>
  <c r="U17" i="950"/>
  <c r="V17" i="950"/>
  <c r="W17" i="950"/>
  <c r="X17" i="950"/>
  <c r="Y17" i="950"/>
  <c r="Z17" i="950"/>
  <c r="R18" i="950"/>
  <c r="S18" i="950"/>
  <c r="T18" i="950"/>
  <c r="U18" i="950"/>
  <c r="V18" i="950"/>
  <c r="W18" i="950"/>
  <c r="X18" i="950"/>
  <c r="Y18" i="950"/>
  <c r="Z18" i="950"/>
  <c r="R19" i="950"/>
  <c r="S19" i="950"/>
  <c r="T19" i="950"/>
  <c r="U19" i="950"/>
  <c r="V19" i="950"/>
  <c r="W19" i="950"/>
  <c r="X19" i="950"/>
  <c r="Y19" i="950"/>
  <c r="Z19" i="950"/>
  <c r="R20" i="950"/>
  <c r="S20" i="950"/>
  <c r="T20" i="950"/>
  <c r="U20" i="950"/>
  <c r="V20" i="950"/>
  <c r="W20" i="950"/>
  <c r="X20" i="950"/>
  <c r="Y20" i="950"/>
  <c r="Z20" i="950"/>
  <c r="R21" i="950"/>
  <c r="S21" i="950"/>
  <c r="T21" i="950"/>
  <c r="U21" i="950"/>
  <c r="V21" i="950"/>
  <c r="W21" i="950"/>
  <c r="X21" i="950"/>
  <c r="Y21" i="950"/>
  <c r="Z21" i="950"/>
  <c r="R22" i="950"/>
  <c r="S22" i="950"/>
  <c r="T22" i="950"/>
  <c r="U22" i="950"/>
  <c r="V22" i="950"/>
  <c r="W22" i="950"/>
  <c r="X22" i="950"/>
  <c r="Y22" i="950"/>
  <c r="Z22" i="950"/>
  <c r="R23" i="950"/>
  <c r="S23" i="950"/>
  <c r="T23" i="950"/>
  <c r="U23" i="950"/>
  <c r="V23" i="950"/>
  <c r="W23" i="950"/>
  <c r="X23" i="950"/>
  <c r="Y23" i="950"/>
  <c r="Z23" i="950"/>
  <c r="R24" i="950"/>
  <c r="S24" i="950"/>
  <c r="T24" i="950"/>
  <c r="U24" i="950"/>
  <c r="V24" i="950"/>
  <c r="W24" i="950"/>
  <c r="X24" i="950"/>
  <c r="Y24" i="950"/>
  <c r="Z24" i="950"/>
  <c r="R25" i="950"/>
  <c r="S25" i="950"/>
  <c r="T25" i="950"/>
  <c r="U25" i="950"/>
  <c r="V25" i="950"/>
  <c r="W25" i="950"/>
  <c r="X25" i="950"/>
  <c r="Y25" i="950"/>
  <c r="Z25" i="950"/>
  <c r="R26" i="950"/>
  <c r="S26" i="950"/>
  <c r="T26" i="950"/>
  <c r="U26" i="950"/>
  <c r="V26" i="950"/>
  <c r="W26" i="950"/>
  <c r="X26" i="950"/>
  <c r="Y26" i="950"/>
  <c r="Z26" i="950"/>
  <c r="R27" i="950"/>
  <c r="S27" i="950"/>
  <c r="T27" i="950"/>
  <c r="U27" i="950"/>
  <c r="V27" i="950"/>
  <c r="W27" i="950"/>
  <c r="X27" i="950"/>
  <c r="Y27" i="950"/>
  <c r="Z27" i="950"/>
  <c r="R28" i="950"/>
  <c r="S28" i="950"/>
  <c r="T28" i="950"/>
  <c r="U28" i="950"/>
  <c r="V28" i="950"/>
  <c r="W28" i="950"/>
  <c r="X28" i="950"/>
  <c r="Y28" i="950"/>
  <c r="Z28" i="950"/>
  <c r="R29" i="950"/>
  <c r="S29" i="950"/>
  <c r="T29" i="950"/>
  <c r="U29" i="950"/>
  <c r="V29" i="950"/>
  <c r="W29" i="950"/>
  <c r="X29" i="950"/>
  <c r="Y29" i="950"/>
  <c r="Z29" i="950"/>
  <c r="R30" i="950"/>
  <c r="S30" i="950"/>
  <c r="T30" i="950"/>
  <c r="U30" i="950"/>
  <c r="V30" i="950"/>
  <c r="W30" i="950"/>
  <c r="X30" i="950"/>
  <c r="Y30" i="950"/>
  <c r="Z30" i="950"/>
  <c r="R31" i="950"/>
  <c r="S31" i="950"/>
  <c r="T31" i="950"/>
  <c r="U31" i="950"/>
  <c r="V31" i="950"/>
  <c r="W31" i="950"/>
  <c r="X31" i="950"/>
  <c r="Y31" i="950"/>
  <c r="Z31" i="950"/>
  <c r="R32" i="950"/>
  <c r="S32" i="950"/>
  <c r="T32" i="950"/>
  <c r="U32" i="950"/>
  <c r="V32" i="950"/>
  <c r="W32" i="950"/>
  <c r="X32" i="950"/>
  <c r="Y32" i="950"/>
  <c r="Z32" i="950"/>
  <c r="R33" i="950"/>
  <c r="S33" i="950"/>
  <c r="T33" i="950"/>
  <c r="U33" i="950"/>
  <c r="V33" i="950"/>
  <c r="W33" i="950"/>
  <c r="X33" i="950"/>
  <c r="Y33" i="950"/>
  <c r="Z33" i="950"/>
  <c r="R34" i="950"/>
  <c r="S34" i="950"/>
  <c r="T34" i="950"/>
  <c r="U34" i="950"/>
  <c r="V34" i="950"/>
  <c r="W34" i="950"/>
  <c r="X34" i="950"/>
  <c r="Y34" i="950"/>
  <c r="Z34" i="950"/>
  <c r="R35" i="950"/>
  <c r="S35" i="950"/>
  <c r="T35" i="950"/>
  <c r="U35" i="950"/>
  <c r="V35" i="950"/>
  <c r="W35" i="950"/>
  <c r="X35" i="950"/>
  <c r="Y35" i="950"/>
  <c r="Z35" i="950"/>
  <c r="R36" i="950"/>
  <c r="S36" i="950"/>
  <c r="T36" i="950"/>
  <c r="U36" i="950"/>
  <c r="V36" i="950"/>
  <c r="W36" i="950"/>
  <c r="X36" i="950"/>
  <c r="Y36" i="950"/>
  <c r="Z36" i="950"/>
  <c r="R37" i="950"/>
  <c r="S37" i="950"/>
  <c r="T37" i="950"/>
  <c r="U37" i="950"/>
  <c r="V37" i="950"/>
  <c r="W37" i="950"/>
  <c r="X37" i="950"/>
  <c r="Y37" i="950"/>
  <c r="Z37" i="950"/>
  <c r="I26" i="950"/>
  <c r="J26" i="950"/>
  <c r="K26" i="950"/>
  <c r="L26" i="950"/>
  <c r="M26" i="950"/>
  <c r="N26" i="950"/>
  <c r="O26" i="950"/>
  <c r="I27" i="950"/>
  <c r="J27" i="950"/>
  <c r="K27" i="950"/>
  <c r="L27" i="950"/>
  <c r="M27" i="950"/>
  <c r="N27" i="950"/>
  <c r="O27" i="950"/>
  <c r="I28" i="950"/>
  <c r="J28" i="950"/>
  <c r="K28" i="950"/>
  <c r="L28" i="950"/>
  <c r="M28" i="950"/>
  <c r="N28" i="950"/>
  <c r="O28" i="950"/>
  <c r="I29" i="950"/>
  <c r="J29" i="950"/>
  <c r="K29" i="950"/>
  <c r="L29" i="950"/>
  <c r="M29" i="950"/>
  <c r="N29" i="950"/>
  <c r="O29" i="950"/>
  <c r="I30" i="950"/>
  <c r="J30" i="950"/>
  <c r="K30" i="950"/>
  <c r="L30" i="950"/>
  <c r="M30" i="950"/>
  <c r="N30" i="950"/>
  <c r="O30" i="950"/>
  <c r="I31" i="950"/>
  <c r="J31" i="950"/>
  <c r="K31" i="950"/>
  <c r="L31" i="950"/>
  <c r="M31" i="950"/>
  <c r="N31" i="950"/>
  <c r="O31" i="950"/>
  <c r="I34" i="950"/>
  <c r="J34" i="950"/>
  <c r="K34" i="950"/>
  <c r="L34" i="950"/>
  <c r="M34" i="950"/>
  <c r="N34" i="950"/>
  <c r="O34" i="950"/>
  <c r="I35" i="950"/>
  <c r="J35" i="950"/>
  <c r="K35" i="950"/>
  <c r="L35" i="950"/>
  <c r="M35" i="950"/>
  <c r="N35" i="950"/>
  <c r="O35" i="950"/>
  <c r="C26" i="950"/>
  <c r="D26" i="950"/>
  <c r="E26" i="950"/>
  <c r="F26" i="950"/>
  <c r="G26" i="950"/>
  <c r="C27" i="950"/>
  <c r="D27" i="950"/>
  <c r="E27" i="950"/>
  <c r="F27" i="950"/>
  <c r="G27" i="950"/>
  <c r="C28" i="950"/>
  <c r="D28" i="950"/>
  <c r="E28" i="950"/>
  <c r="F28" i="950"/>
  <c r="G28" i="950"/>
  <c r="C29" i="950"/>
  <c r="D29" i="950"/>
  <c r="E29" i="950"/>
  <c r="F29" i="950"/>
  <c r="G29" i="950"/>
  <c r="C30" i="950"/>
  <c r="D30" i="950"/>
  <c r="E30" i="950"/>
  <c r="F30" i="950"/>
  <c r="G30" i="950"/>
  <c r="C31" i="950"/>
  <c r="D31" i="950"/>
  <c r="E31" i="950"/>
  <c r="F31" i="950"/>
  <c r="G31" i="950"/>
  <c r="C34" i="950"/>
  <c r="D34" i="950"/>
  <c r="E34" i="950"/>
  <c r="F34" i="950"/>
  <c r="G34" i="950"/>
  <c r="C35" i="950"/>
  <c r="D35" i="950"/>
  <c r="E35" i="950"/>
  <c r="F35" i="950"/>
  <c r="G35" i="950"/>
  <c r="J24" i="950"/>
  <c r="L24" i="950"/>
  <c r="M24" i="950"/>
  <c r="N24" i="950"/>
  <c r="O24" i="950"/>
  <c r="C23" i="950"/>
  <c r="D23" i="950"/>
  <c r="E23" i="950"/>
  <c r="F23" i="950"/>
  <c r="G23" i="950"/>
  <c r="C24" i="950"/>
  <c r="D24" i="950"/>
  <c r="E24" i="950"/>
  <c r="F24" i="950"/>
  <c r="G24" i="950"/>
  <c r="R38" i="950"/>
  <c r="S38" i="950"/>
  <c r="T38" i="950"/>
  <c r="U38" i="950"/>
  <c r="V38" i="950"/>
  <c r="W38" i="950"/>
  <c r="X38" i="950"/>
  <c r="Y38" i="950"/>
  <c r="Z38" i="950"/>
  <c r="R39" i="950"/>
  <c r="S39" i="950"/>
  <c r="T39" i="950"/>
  <c r="U39" i="950"/>
  <c r="V39" i="950"/>
  <c r="W39" i="950"/>
  <c r="X39" i="950"/>
  <c r="Y39" i="950"/>
  <c r="Z39" i="950"/>
  <c r="R40" i="950"/>
  <c r="S40" i="950"/>
  <c r="T40" i="950"/>
  <c r="U40" i="950"/>
  <c r="V40" i="950"/>
  <c r="W40" i="950"/>
  <c r="X40" i="950"/>
  <c r="Y40" i="950"/>
  <c r="Z40" i="950"/>
  <c r="R41" i="950"/>
  <c r="S41" i="950"/>
  <c r="T41" i="950"/>
  <c r="U41" i="950"/>
  <c r="V41" i="950"/>
  <c r="W41" i="950"/>
  <c r="X41" i="950"/>
  <c r="Y41" i="950"/>
  <c r="Z41" i="950"/>
  <c r="R42" i="950"/>
  <c r="S42" i="950"/>
  <c r="T42" i="950"/>
  <c r="U42" i="950"/>
  <c r="V42" i="950"/>
  <c r="W42" i="950"/>
  <c r="X42" i="950"/>
  <c r="Y42" i="950"/>
  <c r="Z42" i="950"/>
  <c r="R43" i="950"/>
  <c r="S43" i="950"/>
  <c r="T43" i="950"/>
  <c r="U43" i="950"/>
  <c r="V43" i="950"/>
  <c r="W43" i="950"/>
  <c r="X43" i="950"/>
  <c r="Y43" i="950"/>
  <c r="Z43" i="950"/>
  <c r="R44" i="950"/>
  <c r="S44" i="950"/>
  <c r="T44" i="950"/>
  <c r="U44" i="950"/>
  <c r="V44" i="950"/>
  <c r="W44" i="950"/>
  <c r="X44" i="950"/>
  <c r="Y44" i="950"/>
  <c r="Z44" i="950"/>
  <c r="R45" i="950"/>
  <c r="S45" i="950"/>
  <c r="T45" i="950"/>
  <c r="U45" i="950"/>
  <c r="V45" i="950"/>
  <c r="W45" i="950"/>
  <c r="X45" i="950"/>
  <c r="Y45" i="950"/>
  <c r="Z45" i="950"/>
  <c r="R46" i="950"/>
  <c r="S46" i="950"/>
  <c r="T46" i="950"/>
  <c r="U46" i="950"/>
  <c r="V46" i="950"/>
  <c r="W46" i="950"/>
  <c r="X46" i="950"/>
  <c r="Y46" i="950"/>
  <c r="Z46" i="950"/>
  <c r="R47" i="950"/>
  <c r="S47" i="950"/>
  <c r="T47" i="950"/>
  <c r="U47" i="950"/>
  <c r="V47" i="950"/>
  <c r="W47" i="950"/>
  <c r="X47" i="950"/>
  <c r="Y47" i="950"/>
  <c r="Z47" i="950"/>
  <c r="R48" i="950"/>
  <c r="S48" i="950"/>
  <c r="T48" i="950"/>
  <c r="U48" i="950"/>
  <c r="V48" i="950"/>
  <c r="W48" i="950"/>
  <c r="X48" i="950"/>
  <c r="Y48" i="950"/>
  <c r="Z48" i="950"/>
  <c r="R49" i="950"/>
  <c r="S49" i="950"/>
  <c r="T49" i="950"/>
  <c r="U49" i="950"/>
  <c r="V49" i="950"/>
  <c r="W49" i="950"/>
  <c r="X49" i="950"/>
  <c r="Y49" i="950"/>
  <c r="Z49" i="950"/>
  <c r="R50" i="950"/>
  <c r="S50" i="950"/>
  <c r="T50" i="950"/>
  <c r="U50" i="950"/>
  <c r="V50" i="950"/>
  <c r="W50" i="950"/>
  <c r="X50" i="950"/>
  <c r="Y50" i="950"/>
  <c r="Z50" i="950"/>
  <c r="R51" i="950"/>
  <c r="S51" i="950"/>
  <c r="T51" i="950"/>
  <c r="U51" i="950"/>
  <c r="V51" i="950"/>
  <c r="W51" i="950"/>
  <c r="X51" i="950"/>
  <c r="Y51" i="950"/>
  <c r="Z51" i="950"/>
  <c r="R52" i="950"/>
  <c r="S52" i="950"/>
  <c r="T52" i="950"/>
  <c r="U52" i="950"/>
  <c r="V52" i="950"/>
  <c r="W52" i="950"/>
  <c r="X52" i="950"/>
  <c r="Y52" i="950"/>
  <c r="Z52" i="950"/>
  <c r="J11" i="950"/>
  <c r="L11" i="950"/>
  <c r="M11" i="950"/>
  <c r="N11" i="950"/>
  <c r="O11" i="950"/>
  <c r="J12" i="950"/>
  <c r="L12" i="950"/>
  <c r="M12" i="950"/>
  <c r="N12" i="950"/>
  <c r="O12" i="950"/>
  <c r="J13" i="950"/>
  <c r="L13" i="950"/>
  <c r="M13" i="950"/>
  <c r="N13" i="950"/>
  <c r="O13" i="950"/>
  <c r="J14" i="950"/>
  <c r="L14" i="950"/>
  <c r="M14" i="950"/>
  <c r="N14" i="950"/>
  <c r="O14" i="950"/>
  <c r="J15" i="950"/>
  <c r="L15" i="950"/>
  <c r="M15" i="950"/>
  <c r="N15" i="950"/>
  <c r="O15" i="950"/>
  <c r="J16" i="950"/>
  <c r="L16" i="950"/>
  <c r="M16" i="950"/>
  <c r="N16" i="950"/>
  <c r="O16" i="950"/>
  <c r="J17" i="950"/>
  <c r="L17" i="950"/>
  <c r="M17" i="950"/>
  <c r="N17" i="950"/>
  <c r="O17" i="950"/>
  <c r="J18" i="950"/>
  <c r="L18" i="950"/>
  <c r="M18" i="950"/>
  <c r="N18" i="950"/>
  <c r="O18" i="950"/>
  <c r="J19" i="950"/>
  <c r="L19" i="950"/>
  <c r="M19" i="950"/>
  <c r="N19" i="950"/>
  <c r="O19" i="950"/>
  <c r="J22" i="950"/>
  <c r="L22" i="950"/>
  <c r="M22" i="950"/>
  <c r="N22" i="950"/>
  <c r="O22" i="950"/>
  <c r="J23" i="950"/>
  <c r="L23" i="950"/>
  <c r="M23" i="950"/>
  <c r="N23" i="950"/>
  <c r="O23" i="950"/>
  <c r="C11" i="950"/>
  <c r="D11" i="950"/>
  <c r="E11" i="950"/>
  <c r="F11" i="950"/>
  <c r="G11" i="950"/>
  <c r="C12" i="950"/>
  <c r="D12" i="950"/>
  <c r="E12" i="950"/>
  <c r="F12" i="950"/>
  <c r="G12" i="950"/>
  <c r="C13" i="950"/>
  <c r="D13" i="950"/>
  <c r="E13" i="950"/>
  <c r="F13" i="950"/>
  <c r="G13" i="950"/>
  <c r="C14" i="950"/>
  <c r="D14" i="950"/>
  <c r="E14" i="950"/>
  <c r="F14" i="950"/>
  <c r="G14" i="950"/>
  <c r="C15" i="950"/>
  <c r="D15" i="950"/>
  <c r="E15" i="950"/>
  <c r="F15" i="950"/>
  <c r="G15" i="950"/>
  <c r="C16" i="950"/>
  <c r="D16" i="950"/>
  <c r="E16" i="950"/>
  <c r="F16" i="950"/>
  <c r="G16" i="950"/>
  <c r="C17" i="950"/>
  <c r="D17" i="950"/>
  <c r="E17" i="950"/>
  <c r="F17" i="950"/>
  <c r="G17" i="950"/>
  <c r="C18" i="950"/>
  <c r="D18" i="950"/>
  <c r="E18" i="950"/>
  <c r="F18" i="950"/>
  <c r="G18" i="950"/>
  <c r="C19" i="950"/>
  <c r="D19" i="950"/>
  <c r="E19" i="950"/>
  <c r="F19" i="950"/>
  <c r="G19" i="950"/>
  <c r="C22" i="950"/>
  <c r="D22" i="950"/>
  <c r="E22" i="950"/>
  <c r="F22" i="950"/>
  <c r="G22" i="950"/>
  <c r="B78" i="950"/>
  <c r="F96" i="950"/>
  <c r="L82" i="950"/>
  <c r="AX80" i="950"/>
  <c r="AW80" i="950"/>
  <c r="AV80" i="950"/>
  <c r="AU80" i="950"/>
  <c r="AT80" i="950"/>
  <c r="AS80" i="950"/>
  <c r="AR80" i="950"/>
  <c r="AQ80" i="950"/>
  <c r="AP80" i="950"/>
  <c r="AO80" i="950"/>
  <c r="AN80" i="950"/>
  <c r="AM80" i="950"/>
  <c r="AL80" i="950"/>
  <c r="AK80" i="950"/>
  <c r="AJ80" i="950"/>
  <c r="AI80" i="950"/>
  <c r="AH80" i="950"/>
  <c r="AG80" i="950"/>
  <c r="AF80" i="950"/>
  <c r="AE80" i="950"/>
  <c r="AD80" i="950"/>
  <c r="AC80" i="950"/>
  <c r="AB80" i="950"/>
  <c r="AX79" i="950"/>
  <c r="AW79" i="950"/>
  <c r="AV79" i="950"/>
  <c r="AU79" i="950"/>
  <c r="AT79" i="950"/>
  <c r="AS79" i="950"/>
  <c r="AR79" i="950"/>
  <c r="AQ79" i="950"/>
  <c r="AP79" i="950"/>
  <c r="AO79" i="950"/>
  <c r="AN79" i="950"/>
  <c r="AM79" i="950"/>
  <c r="AL79" i="950"/>
  <c r="AK79" i="950"/>
  <c r="AJ79" i="950"/>
  <c r="AI79" i="950"/>
  <c r="AH79" i="950"/>
  <c r="AG79" i="950"/>
  <c r="AF79" i="950"/>
  <c r="AE79" i="950"/>
  <c r="AD79" i="950"/>
  <c r="AC79" i="950"/>
  <c r="AB79" i="950"/>
  <c r="AX78" i="950"/>
  <c r="AW78" i="950"/>
  <c r="AV78" i="950"/>
  <c r="AU78" i="950"/>
  <c r="AT78" i="950"/>
  <c r="AS78" i="950"/>
  <c r="AR78" i="950"/>
  <c r="AQ78" i="950"/>
  <c r="AP78" i="950"/>
  <c r="AO78" i="950"/>
  <c r="AN78" i="950"/>
  <c r="AM78" i="950"/>
  <c r="AL78" i="950"/>
  <c r="AK78" i="950"/>
  <c r="AJ78" i="950"/>
  <c r="AI78" i="950"/>
  <c r="AH78" i="950"/>
  <c r="AG78" i="950"/>
  <c r="AF78" i="950"/>
  <c r="AE78" i="950"/>
  <c r="AD78" i="950"/>
  <c r="AC78" i="950"/>
  <c r="AB78" i="950"/>
  <c r="K73" i="950"/>
  <c r="Z60" i="950"/>
  <c r="Y60" i="950"/>
  <c r="X60" i="950"/>
  <c r="W60" i="950"/>
  <c r="V60" i="950"/>
  <c r="U60" i="950"/>
  <c r="T60" i="950"/>
  <c r="S60" i="950"/>
  <c r="R60" i="950"/>
  <c r="Z59" i="950"/>
  <c r="Y59" i="950"/>
  <c r="X59" i="950"/>
  <c r="W59" i="950"/>
  <c r="V59" i="950"/>
  <c r="U59" i="950"/>
  <c r="T59" i="950"/>
  <c r="S59" i="950"/>
  <c r="R59" i="950"/>
  <c r="Z58" i="950"/>
  <c r="Y58" i="950"/>
  <c r="X58" i="950"/>
  <c r="W58" i="950"/>
  <c r="V58" i="950"/>
  <c r="U58" i="950"/>
  <c r="T58" i="950"/>
  <c r="S58" i="950"/>
  <c r="R58" i="950"/>
  <c r="Z57" i="950"/>
  <c r="Y57" i="950"/>
  <c r="X57" i="950"/>
  <c r="W57" i="950"/>
  <c r="V57" i="950"/>
  <c r="U57" i="950"/>
  <c r="T57" i="950"/>
  <c r="S57" i="950"/>
  <c r="R57" i="950"/>
  <c r="Z56" i="950"/>
  <c r="Y56" i="950"/>
  <c r="X56" i="950"/>
  <c r="W56" i="950"/>
  <c r="V56" i="950"/>
  <c r="U56" i="950"/>
  <c r="T56" i="950"/>
  <c r="S56" i="950"/>
  <c r="R56" i="950"/>
  <c r="Z55" i="950"/>
  <c r="Y55" i="950"/>
  <c r="X55" i="950"/>
  <c r="W55" i="950"/>
  <c r="V55" i="950"/>
  <c r="U55" i="950"/>
  <c r="T55" i="950"/>
  <c r="S55" i="950"/>
  <c r="R55" i="950"/>
  <c r="M55" i="950"/>
  <c r="L55" i="950"/>
  <c r="K55" i="950"/>
  <c r="Z54" i="950"/>
  <c r="Y54" i="950"/>
  <c r="X54" i="950"/>
  <c r="W54" i="950"/>
  <c r="V54" i="950"/>
  <c r="U54" i="950"/>
  <c r="T54" i="950"/>
  <c r="S54" i="950"/>
  <c r="R54" i="950"/>
  <c r="M54" i="950"/>
  <c r="Z53" i="950"/>
  <c r="Y53" i="950"/>
  <c r="X53" i="950"/>
  <c r="W53" i="950"/>
  <c r="V53" i="950"/>
  <c r="U53" i="950"/>
  <c r="T53" i="950"/>
  <c r="S53" i="950"/>
  <c r="R53" i="950"/>
  <c r="M52" i="950"/>
  <c r="L52" i="950"/>
  <c r="K52" i="950"/>
  <c r="M51" i="950"/>
  <c r="L51" i="950"/>
  <c r="K51" i="950"/>
  <c r="Z10" i="950"/>
  <c r="Y10" i="950"/>
  <c r="X10" i="950"/>
  <c r="W10" i="950"/>
  <c r="V10" i="950"/>
  <c r="U10" i="950"/>
  <c r="T10" i="950"/>
  <c r="S10" i="950"/>
  <c r="R10" i="950"/>
  <c r="O10" i="950"/>
  <c r="N10" i="950"/>
  <c r="M10" i="950"/>
  <c r="L10" i="950"/>
  <c r="J10" i="950"/>
  <c r="G10" i="950"/>
  <c r="F10" i="950"/>
  <c r="E10" i="950"/>
  <c r="D10" i="950"/>
  <c r="C10" i="950"/>
  <c r="Z15" i="950"/>
  <c r="Y15" i="950"/>
  <c r="X15" i="950"/>
  <c r="W15" i="950"/>
  <c r="V15" i="950"/>
  <c r="U15" i="950"/>
  <c r="T15" i="950"/>
  <c r="S15" i="950"/>
  <c r="R15" i="950"/>
  <c r="Z14" i="950"/>
  <c r="Y14" i="950"/>
  <c r="X14" i="950"/>
  <c r="W14" i="950"/>
  <c r="V14" i="950"/>
  <c r="U14" i="950"/>
  <c r="T14" i="950"/>
  <c r="S14" i="950"/>
  <c r="R14" i="950"/>
  <c r="Z13" i="950"/>
  <c r="Y13" i="950"/>
  <c r="X13" i="950"/>
  <c r="W13" i="950"/>
  <c r="V13" i="950"/>
  <c r="U13" i="950"/>
  <c r="T13" i="950"/>
  <c r="S13" i="950"/>
  <c r="R13" i="950"/>
  <c r="Z12" i="950"/>
  <c r="Y12" i="950"/>
  <c r="X12" i="950"/>
  <c r="W12" i="950"/>
  <c r="V12" i="950"/>
  <c r="U12" i="950"/>
  <c r="T12" i="950"/>
  <c r="S12" i="950"/>
  <c r="R12" i="950"/>
  <c r="Z11" i="950"/>
  <c r="Y11" i="950"/>
  <c r="X11" i="950"/>
  <c r="W11" i="950"/>
  <c r="V11" i="950"/>
  <c r="U11" i="950"/>
  <c r="T11" i="950"/>
  <c r="S11" i="950"/>
  <c r="R11" i="950"/>
  <c r="J50" i="950" l="1"/>
  <c r="K59" i="950"/>
  <c r="K27" i="949" l="1"/>
  <c r="R17" i="949"/>
  <c r="S17" i="949"/>
  <c r="T17" i="949"/>
  <c r="U17" i="949"/>
  <c r="V17" i="949"/>
  <c r="W17" i="949"/>
  <c r="X17" i="949"/>
  <c r="Y17" i="949"/>
  <c r="Z17" i="949"/>
  <c r="R18" i="949"/>
  <c r="S18" i="949"/>
  <c r="T18" i="949"/>
  <c r="U18" i="949"/>
  <c r="V18" i="949"/>
  <c r="W18" i="949"/>
  <c r="X18" i="949"/>
  <c r="Y18" i="949"/>
  <c r="Z18" i="949"/>
  <c r="R21" i="949"/>
  <c r="S21" i="949"/>
  <c r="T21" i="949"/>
  <c r="U21" i="949"/>
  <c r="V21" i="949"/>
  <c r="W21" i="949"/>
  <c r="X21" i="949"/>
  <c r="Y21" i="949"/>
  <c r="Z21" i="949"/>
  <c r="R22" i="949"/>
  <c r="S22" i="949"/>
  <c r="T22" i="949"/>
  <c r="U22" i="949"/>
  <c r="V22" i="949"/>
  <c r="W22" i="949"/>
  <c r="X22" i="949"/>
  <c r="Y22" i="949"/>
  <c r="Z22" i="949"/>
  <c r="R23" i="949"/>
  <c r="S23" i="949"/>
  <c r="T23" i="949"/>
  <c r="U23" i="949"/>
  <c r="V23" i="949"/>
  <c r="W23" i="949"/>
  <c r="X23" i="949"/>
  <c r="Y23" i="949"/>
  <c r="Z23" i="949"/>
  <c r="R24" i="949"/>
  <c r="S24" i="949"/>
  <c r="T24" i="949"/>
  <c r="U24" i="949"/>
  <c r="V24" i="949"/>
  <c r="W24" i="949"/>
  <c r="X24" i="949"/>
  <c r="Y24" i="949"/>
  <c r="Z24" i="949"/>
  <c r="R25" i="949"/>
  <c r="S25" i="949"/>
  <c r="T25" i="949"/>
  <c r="U25" i="949"/>
  <c r="V25" i="949"/>
  <c r="W25" i="949"/>
  <c r="X25" i="949"/>
  <c r="Y25" i="949"/>
  <c r="Z25" i="949"/>
  <c r="R26" i="949"/>
  <c r="S26" i="949"/>
  <c r="T26" i="949"/>
  <c r="U26" i="949"/>
  <c r="V26" i="949"/>
  <c r="W26" i="949"/>
  <c r="X26" i="949"/>
  <c r="Y26" i="949"/>
  <c r="Z26" i="949"/>
  <c r="R27" i="949"/>
  <c r="S27" i="949"/>
  <c r="T27" i="949"/>
  <c r="U27" i="949"/>
  <c r="V27" i="949"/>
  <c r="W27" i="949"/>
  <c r="X27" i="949"/>
  <c r="Y27" i="949"/>
  <c r="Z27" i="949"/>
  <c r="R28" i="949"/>
  <c r="S28" i="949"/>
  <c r="T28" i="949"/>
  <c r="U28" i="949"/>
  <c r="V28" i="949"/>
  <c r="W28" i="949"/>
  <c r="X28" i="949"/>
  <c r="Y28" i="949"/>
  <c r="Z28" i="949"/>
  <c r="J10" i="949"/>
  <c r="L10" i="949"/>
  <c r="M10" i="949"/>
  <c r="N10" i="949"/>
  <c r="O10" i="949"/>
  <c r="J11" i="949"/>
  <c r="L11" i="949"/>
  <c r="M11" i="949"/>
  <c r="N11" i="949"/>
  <c r="O11" i="949"/>
  <c r="J12" i="949"/>
  <c r="L12" i="949"/>
  <c r="M12" i="949"/>
  <c r="N12" i="949"/>
  <c r="O12" i="949"/>
  <c r="J13" i="949"/>
  <c r="L13" i="949"/>
  <c r="M13" i="949"/>
  <c r="N13" i="949"/>
  <c r="O13" i="949"/>
  <c r="J14" i="949"/>
  <c r="L14" i="949"/>
  <c r="M14" i="949"/>
  <c r="N14" i="949"/>
  <c r="O14" i="949"/>
  <c r="J15" i="949"/>
  <c r="L15" i="949"/>
  <c r="M15" i="949"/>
  <c r="N15" i="949"/>
  <c r="O15" i="949"/>
  <c r="J16" i="949"/>
  <c r="L16" i="949"/>
  <c r="M16" i="949"/>
  <c r="N16" i="949"/>
  <c r="O16" i="949"/>
  <c r="J17" i="949"/>
  <c r="L17" i="949"/>
  <c r="M17" i="949"/>
  <c r="N17" i="949"/>
  <c r="O17" i="949"/>
  <c r="J18" i="949"/>
  <c r="L18" i="949"/>
  <c r="M18" i="949"/>
  <c r="N18" i="949"/>
  <c r="O18" i="949"/>
  <c r="J21" i="949"/>
  <c r="L21" i="949"/>
  <c r="M21" i="949"/>
  <c r="N21" i="949"/>
  <c r="O21" i="949"/>
  <c r="C10" i="949"/>
  <c r="D10" i="949"/>
  <c r="E10" i="949"/>
  <c r="F10" i="949"/>
  <c r="G10" i="949"/>
  <c r="C11" i="949"/>
  <c r="D11" i="949"/>
  <c r="E11" i="949"/>
  <c r="F11" i="949"/>
  <c r="G11" i="949"/>
  <c r="C12" i="949"/>
  <c r="D12" i="949"/>
  <c r="E12" i="949"/>
  <c r="F12" i="949"/>
  <c r="G12" i="949"/>
  <c r="C13" i="949"/>
  <c r="D13" i="949"/>
  <c r="E13" i="949"/>
  <c r="F13" i="949"/>
  <c r="G13" i="949"/>
  <c r="C14" i="949"/>
  <c r="D14" i="949"/>
  <c r="E14" i="949"/>
  <c r="F14" i="949"/>
  <c r="G14" i="949"/>
  <c r="C15" i="949"/>
  <c r="D15" i="949"/>
  <c r="E15" i="949"/>
  <c r="F15" i="949"/>
  <c r="G15" i="949"/>
  <c r="C16" i="949"/>
  <c r="D16" i="949"/>
  <c r="E16" i="949"/>
  <c r="F16" i="949"/>
  <c r="G16" i="949"/>
  <c r="C17" i="949"/>
  <c r="D17" i="949"/>
  <c r="E17" i="949"/>
  <c r="F17" i="949"/>
  <c r="G17" i="949"/>
  <c r="C18" i="949"/>
  <c r="D18" i="949"/>
  <c r="E18" i="949"/>
  <c r="F18" i="949"/>
  <c r="G18" i="949"/>
  <c r="C21" i="949"/>
  <c r="D21" i="949"/>
  <c r="E21" i="949"/>
  <c r="F21" i="949"/>
  <c r="G21" i="949"/>
  <c r="B56" i="949"/>
  <c r="F74" i="949"/>
  <c r="L60" i="949"/>
  <c r="AX58" i="949"/>
  <c r="AW58" i="949"/>
  <c r="AV58" i="949"/>
  <c r="AU58" i="949"/>
  <c r="AT58" i="949"/>
  <c r="AS58" i="949"/>
  <c r="AR58" i="949"/>
  <c r="AQ58" i="949"/>
  <c r="AP58" i="949"/>
  <c r="AO58" i="949"/>
  <c r="AN58" i="949"/>
  <c r="AM58" i="949"/>
  <c r="AL58" i="949"/>
  <c r="AK58" i="949"/>
  <c r="AJ58" i="949"/>
  <c r="AI58" i="949"/>
  <c r="AH58" i="949"/>
  <c r="AG58" i="949"/>
  <c r="AF58" i="949"/>
  <c r="AE58" i="949"/>
  <c r="AD58" i="949"/>
  <c r="AC58" i="949"/>
  <c r="AB58" i="949"/>
  <c r="AX57" i="949"/>
  <c r="AW57" i="949"/>
  <c r="AV57" i="949"/>
  <c r="AU57" i="949"/>
  <c r="AT57" i="949"/>
  <c r="AS57" i="949"/>
  <c r="AR57" i="949"/>
  <c r="AQ57" i="949"/>
  <c r="AP57" i="949"/>
  <c r="AO57" i="949"/>
  <c r="AN57" i="949"/>
  <c r="AM57" i="949"/>
  <c r="AL57" i="949"/>
  <c r="AK57" i="949"/>
  <c r="AJ57" i="949"/>
  <c r="AI57" i="949"/>
  <c r="AH57" i="949"/>
  <c r="AG57" i="949"/>
  <c r="AF57" i="949"/>
  <c r="AE57" i="949"/>
  <c r="AD57" i="949"/>
  <c r="AC57" i="949"/>
  <c r="AB57" i="949"/>
  <c r="AX56" i="949"/>
  <c r="AW56" i="949"/>
  <c r="AV56" i="949"/>
  <c r="AU56" i="949"/>
  <c r="AT56" i="949"/>
  <c r="AS56" i="949"/>
  <c r="AR56" i="949"/>
  <c r="AQ56" i="949"/>
  <c r="AP56" i="949"/>
  <c r="AO56" i="949"/>
  <c r="AN56" i="949"/>
  <c r="AM56" i="949"/>
  <c r="AL56" i="949"/>
  <c r="AK56" i="949"/>
  <c r="AJ56" i="949"/>
  <c r="AI56" i="949"/>
  <c r="AH56" i="949"/>
  <c r="AG56" i="949"/>
  <c r="AF56" i="949"/>
  <c r="AE56" i="949"/>
  <c r="AD56" i="949"/>
  <c r="AC56" i="949"/>
  <c r="AB56" i="949"/>
  <c r="K51" i="949"/>
  <c r="Z38" i="949"/>
  <c r="Y38" i="949"/>
  <c r="X38" i="949"/>
  <c r="W38" i="949"/>
  <c r="V38" i="949"/>
  <c r="U38" i="949"/>
  <c r="T38" i="949"/>
  <c r="S38" i="949"/>
  <c r="R38" i="949"/>
  <c r="Z37" i="949"/>
  <c r="Y37" i="949"/>
  <c r="X37" i="949"/>
  <c r="W37" i="949"/>
  <c r="V37" i="949"/>
  <c r="U37" i="949"/>
  <c r="T37" i="949"/>
  <c r="S37" i="949"/>
  <c r="R37" i="949"/>
  <c r="Z36" i="949"/>
  <c r="Y36" i="949"/>
  <c r="X36" i="949"/>
  <c r="W36" i="949"/>
  <c r="V36" i="949"/>
  <c r="U36" i="949"/>
  <c r="T36" i="949"/>
  <c r="S36" i="949"/>
  <c r="R36" i="949"/>
  <c r="Z35" i="949"/>
  <c r="Y35" i="949"/>
  <c r="X35" i="949"/>
  <c r="W35" i="949"/>
  <c r="V35" i="949"/>
  <c r="U35" i="949"/>
  <c r="T35" i="949"/>
  <c r="S35" i="949"/>
  <c r="R35" i="949"/>
  <c r="Z34" i="949"/>
  <c r="Y34" i="949"/>
  <c r="X34" i="949"/>
  <c r="W34" i="949"/>
  <c r="V34" i="949"/>
  <c r="U34" i="949"/>
  <c r="T34" i="949"/>
  <c r="S34" i="949"/>
  <c r="R34" i="949"/>
  <c r="Z33" i="949"/>
  <c r="Y33" i="949"/>
  <c r="X33" i="949"/>
  <c r="W33" i="949"/>
  <c r="V33" i="949"/>
  <c r="U33" i="949"/>
  <c r="T33" i="949"/>
  <c r="S33" i="949"/>
  <c r="R33" i="949"/>
  <c r="M33" i="949"/>
  <c r="L33" i="949"/>
  <c r="K33" i="949"/>
  <c r="Z32" i="949"/>
  <c r="Y32" i="949"/>
  <c r="X32" i="949"/>
  <c r="W32" i="949"/>
  <c r="V32" i="949"/>
  <c r="U32" i="949"/>
  <c r="T32" i="949"/>
  <c r="S32" i="949"/>
  <c r="R32" i="949"/>
  <c r="M32" i="949"/>
  <c r="Z31" i="949"/>
  <c r="Y31" i="949"/>
  <c r="X31" i="949"/>
  <c r="W31" i="949"/>
  <c r="V31" i="949"/>
  <c r="U31" i="949"/>
  <c r="T31" i="949"/>
  <c r="S31" i="949"/>
  <c r="R31" i="949"/>
  <c r="Z30" i="949"/>
  <c r="Y30" i="949"/>
  <c r="X30" i="949"/>
  <c r="W30" i="949"/>
  <c r="V30" i="949"/>
  <c r="U30" i="949"/>
  <c r="T30" i="949"/>
  <c r="S30" i="949"/>
  <c r="R30" i="949"/>
  <c r="M30" i="949"/>
  <c r="L30" i="949"/>
  <c r="K30" i="949"/>
  <c r="Z29" i="949"/>
  <c r="Y29" i="949"/>
  <c r="X29" i="949"/>
  <c r="W29" i="949"/>
  <c r="V29" i="949"/>
  <c r="U29" i="949"/>
  <c r="T29" i="949"/>
  <c r="S29" i="949"/>
  <c r="R29" i="949"/>
  <c r="M29" i="949"/>
  <c r="L29" i="949"/>
  <c r="K29" i="949"/>
  <c r="M28" i="949"/>
  <c r="L28" i="949"/>
  <c r="K28" i="949"/>
  <c r="Z16" i="949"/>
  <c r="Y16" i="949"/>
  <c r="X16" i="949"/>
  <c r="W16" i="949"/>
  <c r="V16" i="949"/>
  <c r="U16" i="949"/>
  <c r="T16" i="949"/>
  <c r="S16" i="949"/>
  <c r="R16" i="949"/>
  <c r="Z15" i="949"/>
  <c r="Y15" i="949"/>
  <c r="X15" i="949"/>
  <c r="W15" i="949"/>
  <c r="V15" i="949"/>
  <c r="U15" i="949"/>
  <c r="T15" i="949"/>
  <c r="S15" i="949"/>
  <c r="R15" i="949"/>
  <c r="Z14" i="949"/>
  <c r="Y14" i="949"/>
  <c r="X14" i="949"/>
  <c r="W14" i="949"/>
  <c r="V14" i="949"/>
  <c r="U14" i="949"/>
  <c r="T14" i="949"/>
  <c r="S14" i="949"/>
  <c r="R14" i="949"/>
  <c r="Z13" i="949"/>
  <c r="Y13" i="949"/>
  <c r="X13" i="949"/>
  <c r="W13" i="949"/>
  <c r="V13" i="949"/>
  <c r="U13" i="949"/>
  <c r="T13" i="949"/>
  <c r="S13" i="949"/>
  <c r="R13" i="949"/>
  <c r="Z12" i="949"/>
  <c r="Y12" i="949"/>
  <c r="X12" i="949"/>
  <c r="W12" i="949"/>
  <c r="V12" i="949"/>
  <c r="U12" i="949"/>
  <c r="T12" i="949"/>
  <c r="S12" i="949"/>
  <c r="R12" i="949"/>
  <c r="Z11" i="949"/>
  <c r="Y11" i="949"/>
  <c r="X11" i="949"/>
  <c r="W11" i="949"/>
  <c r="V11" i="949"/>
  <c r="U11" i="949"/>
  <c r="T11" i="949"/>
  <c r="S11" i="949"/>
  <c r="R11" i="949"/>
  <c r="Z10" i="949"/>
  <c r="Y10" i="949"/>
  <c r="X10" i="949"/>
  <c r="W10" i="949"/>
  <c r="V10" i="949"/>
  <c r="U10" i="949"/>
  <c r="T10" i="949"/>
  <c r="S10" i="949"/>
  <c r="R10" i="949"/>
  <c r="B55" i="948"/>
  <c r="L41" i="948"/>
  <c r="K26" i="948"/>
  <c r="M27" i="948"/>
  <c r="L27" i="948"/>
  <c r="K27" i="948"/>
  <c r="R12" i="948"/>
  <c r="S12" i="948"/>
  <c r="T12" i="948"/>
  <c r="U12" i="948"/>
  <c r="V12" i="948"/>
  <c r="W12" i="948"/>
  <c r="X12" i="948"/>
  <c r="Y12" i="948"/>
  <c r="Z12" i="948"/>
  <c r="R13" i="948"/>
  <c r="S13" i="948"/>
  <c r="T13" i="948"/>
  <c r="U13" i="948"/>
  <c r="V13" i="948"/>
  <c r="W13" i="948"/>
  <c r="X13" i="948"/>
  <c r="Y13" i="948"/>
  <c r="Z13" i="948"/>
  <c r="R14" i="948"/>
  <c r="S14" i="948"/>
  <c r="T14" i="948"/>
  <c r="U14" i="948"/>
  <c r="V14" i="948"/>
  <c r="W14" i="948"/>
  <c r="X14" i="948"/>
  <c r="Y14" i="948"/>
  <c r="Z14" i="948"/>
  <c r="R15" i="948"/>
  <c r="S15" i="948"/>
  <c r="T15" i="948"/>
  <c r="U15" i="948"/>
  <c r="V15" i="948"/>
  <c r="W15" i="948"/>
  <c r="X15" i="948"/>
  <c r="Y15" i="948"/>
  <c r="Z15" i="948"/>
  <c r="R16" i="948"/>
  <c r="S16" i="948"/>
  <c r="T16" i="948"/>
  <c r="U16" i="948"/>
  <c r="V16" i="948"/>
  <c r="W16" i="948"/>
  <c r="X16" i="948"/>
  <c r="Y16" i="948"/>
  <c r="Z16" i="948"/>
  <c r="R17" i="948"/>
  <c r="S17" i="948"/>
  <c r="T17" i="948"/>
  <c r="U17" i="948"/>
  <c r="V17" i="948"/>
  <c r="W17" i="948"/>
  <c r="X17" i="948"/>
  <c r="Y17" i="948"/>
  <c r="Z17" i="948"/>
  <c r="R18" i="948"/>
  <c r="S18" i="948"/>
  <c r="T18" i="948"/>
  <c r="U18" i="948"/>
  <c r="V18" i="948"/>
  <c r="W18" i="948"/>
  <c r="X18" i="948"/>
  <c r="Y18" i="948"/>
  <c r="Z18" i="948"/>
  <c r="R19" i="948"/>
  <c r="S19" i="948"/>
  <c r="T19" i="948"/>
  <c r="U19" i="948"/>
  <c r="V19" i="948"/>
  <c r="W19" i="948"/>
  <c r="X19" i="948"/>
  <c r="Y19" i="948"/>
  <c r="Z19" i="948"/>
  <c r="R20" i="948"/>
  <c r="S20" i="948"/>
  <c r="T20" i="948"/>
  <c r="U20" i="948"/>
  <c r="V20" i="948"/>
  <c r="W20" i="948"/>
  <c r="X20" i="948"/>
  <c r="Y20" i="948"/>
  <c r="Z20" i="948"/>
  <c r="R21" i="948"/>
  <c r="S21" i="948"/>
  <c r="T21" i="948"/>
  <c r="U21" i="948"/>
  <c r="V21" i="948"/>
  <c r="W21" i="948"/>
  <c r="X21" i="948"/>
  <c r="Y21" i="948"/>
  <c r="Z21" i="948"/>
  <c r="R22" i="948"/>
  <c r="S22" i="948"/>
  <c r="T22" i="948"/>
  <c r="U22" i="948"/>
  <c r="V22" i="948"/>
  <c r="W22" i="948"/>
  <c r="X22" i="948"/>
  <c r="Y22" i="948"/>
  <c r="Z22" i="948"/>
  <c r="R23" i="948"/>
  <c r="S23" i="948"/>
  <c r="T23" i="948"/>
  <c r="U23" i="948"/>
  <c r="V23" i="948"/>
  <c r="W23" i="948"/>
  <c r="X23" i="948"/>
  <c r="Y23" i="948"/>
  <c r="Z23" i="948"/>
  <c r="R24" i="948"/>
  <c r="S24" i="948"/>
  <c r="T24" i="948"/>
  <c r="U24" i="948"/>
  <c r="V24" i="948"/>
  <c r="W24" i="948"/>
  <c r="X24" i="948"/>
  <c r="Y24" i="948"/>
  <c r="Z24" i="948"/>
  <c r="R25" i="948"/>
  <c r="S25" i="948"/>
  <c r="T25" i="948"/>
  <c r="U25" i="948"/>
  <c r="V25" i="948"/>
  <c r="W25" i="948"/>
  <c r="X25" i="948"/>
  <c r="Y25" i="948"/>
  <c r="Z25" i="948"/>
  <c r="R26" i="948"/>
  <c r="S26" i="948"/>
  <c r="T26" i="948"/>
  <c r="U26" i="948"/>
  <c r="V26" i="948"/>
  <c r="W26" i="948"/>
  <c r="X26" i="948"/>
  <c r="Y26" i="948"/>
  <c r="Z26" i="948"/>
  <c r="R27" i="948"/>
  <c r="S27" i="948"/>
  <c r="T27" i="948"/>
  <c r="U27" i="948"/>
  <c r="V27" i="948"/>
  <c r="W27" i="948"/>
  <c r="X27" i="948"/>
  <c r="Y27" i="948"/>
  <c r="Z27" i="948"/>
  <c r="R28" i="948"/>
  <c r="S28" i="948"/>
  <c r="T28" i="948"/>
  <c r="U28" i="948"/>
  <c r="V28" i="948"/>
  <c r="W28" i="948"/>
  <c r="X28" i="948"/>
  <c r="Y28" i="948"/>
  <c r="Z28" i="948"/>
  <c r="N16" i="948"/>
  <c r="N17" i="948"/>
  <c r="N18" i="948"/>
  <c r="N19" i="948"/>
  <c r="L16" i="948"/>
  <c r="L14" i="948"/>
  <c r="M14" i="948"/>
  <c r="N14" i="948"/>
  <c r="O14" i="948"/>
  <c r="L15" i="948"/>
  <c r="M15" i="948"/>
  <c r="N15" i="948"/>
  <c r="O15" i="948"/>
  <c r="M16" i="948"/>
  <c r="O16" i="948"/>
  <c r="C14" i="948"/>
  <c r="D14" i="948"/>
  <c r="E14" i="948"/>
  <c r="F14" i="948"/>
  <c r="G14" i="948"/>
  <c r="C15" i="948"/>
  <c r="D15" i="948"/>
  <c r="E15" i="948"/>
  <c r="F15" i="948"/>
  <c r="G15" i="948"/>
  <c r="C16" i="948"/>
  <c r="D16" i="948"/>
  <c r="E16" i="948"/>
  <c r="F16" i="948"/>
  <c r="G16" i="948"/>
  <c r="C18" i="948"/>
  <c r="D18" i="948"/>
  <c r="E18" i="948"/>
  <c r="F18" i="948"/>
  <c r="G18" i="948"/>
  <c r="L18" i="948"/>
  <c r="M18" i="948"/>
  <c r="O18" i="948"/>
  <c r="C19" i="948"/>
  <c r="D19" i="948"/>
  <c r="E19" i="948"/>
  <c r="F19" i="948"/>
  <c r="G19" i="948"/>
  <c r="L19" i="948"/>
  <c r="M19" i="948"/>
  <c r="O19" i="948"/>
  <c r="O17" i="948"/>
  <c r="M17" i="948"/>
  <c r="L17" i="948"/>
  <c r="G17" i="948"/>
  <c r="F17" i="948"/>
  <c r="E17" i="948"/>
  <c r="D17" i="948"/>
  <c r="C17" i="948"/>
  <c r="I10" i="948"/>
  <c r="J10" i="948"/>
  <c r="K10" i="948"/>
  <c r="L10" i="948"/>
  <c r="M10" i="948"/>
  <c r="N10" i="948"/>
  <c r="O10" i="948"/>
  <c r="I11" i="948"/>
  <c r="J11" i="948"/>
  <c r="K11" i="948"/>
  <c r="L11" i="948"/>
  <c r="M11" i="948"/>
  <c r="N11" i="948"/>
  <c r="O11" i="948"/>
  <c r="I12" i="948"/>
  <c r="J12" i="948"/>
  <c r="K12" i="948"/>
  <c r="L12" i="948"/>
  <c r="M12" i="948"/>
  <c r="N12" i="948"/>
  <c r="O12" i="948"/>
  <c r="C10" i="948"/>
  <c r="D10" i="948"/>
  <c r="E10" i="948"/>
  <c r="F10" i="948"/>
  <c r="G10" i="948"/>
  <c r="C11" i="948"/>
  <c r="D11" i="948"/>
  <c r="E11" i="948"/>
  <c r="F11" i="948"/>
  <c r="G11" i="948"/>
  <c r="C12" i="948"/>
  <c r="D12" i="948"/>
  <c r="E12" i="948"/>
  <c r="F12" i="948"/>
  <c r="G12" i="948"/>
  <c r="F73" i="948"/>
  <c r="L59" i="948"/>
  <c r="AX57" i="948"/>
  <c r="AW57" i="948"/>
  <c r="AV57" i="948"/>
  <c r="AU57" i="948"/>
  <c r="AT57" i="948"/>
  <c r="AS57" i="948"/>
  <c r="AR57" i="948"/>
  <c r="AQ57" i="948"/>
  <c r="AP57" i="948"/>
  <c r="AO57" i="948"/>
  <c r="AN57" i="948"/>
  <c r="AM57" i="948"/>
  <c r="AL57" i="948"/>
  <c r="AK57" i="948"/>
  <c r="AJ57" i="948"/>
  <c r="AI57" i="948"/>
  <c r="AH57" i="948"/>
  <c r="AG57" i="948"/>
  <c r="AF57" i="948"/>
  <c r="AE57" i="948"/>
  <c r="AD57" i="948"/>
  <c r="AC57" i="948"/>
  <c r="AB57" i="948"/>
  <c r="AX56" i="948"/>
  <c r="AW56" i="948"/>
  <c r="AV56" i="948"/>
  <c r="AU56" i="948"/>
  <c r="AT56" i="948"/>
  <c r="AS56" i="948"/>
  <c r="AR56" i="948"/>
  <c r="AQ56" i="948"/>
  <c r="AP56" i="948"/>
  <c r="AO56" i="948"/>
  <c r="AN56" i="948"/>
  <c r="AM56" i="948"/>
  <c r="AL56" i="948"/>
  <c r="AK56" i="948"/>
  <c r="AJ56" i="948"/>
  <c r="AI56" i="948"/>
  <c r="AH56" i="948"/>
  <c r="AG56" i="948"/>
  <c r="AF56" i="948"/>
  <c r="AE56" i="948"/>
  <c r="AD56" i="948"/>
  <c r="AC56" i="948"/>
  <c r="AB56" i="948"/>
  <c r="AX55" i="948"/>
  <c r="AW55" i="948"/>
  <c r="AV55" i="948"/>
  <c r="AU55" i="948"/>
  <c r="AT55" i="948"/>
  <c r="AS55" i="948"/>
  <c r="AR55" i="948"/>
  <c r="AQ55" i="948"/>
  <c r="AP55" i="948"/>
  <c r="AO55" i="948"/>
  <c r="AN55" i="948"/>
  <c r="AM55" i="948"/>
  <c r="AL55" i="948"/>
  <c r="AK55" i="948"/>
  <c r="AJ55" i="948"/>
  <c r="AI55" i="948"/>
  <c r="AH55" i="948"/>
  <c r="AG55" i="948"/>
  <c r="AF55" i="948"/>
  <c r="AE55" i="948"/>
  <c r="AD55" i="948"/>
  <c r="AC55" i="948"/>
  <c r="AB55" i="948"/>
  <c r="K50" i="948"/>
  <c r="M41" i="948"/>
  <c r="Z37" i="948"/>
  <c r="Y37" i="948"/>
  <c r="X37" i="948"/>
  <c r="W37" i="948"/>
  <c r="V37" i="948"/>
  <c r="U37" i="948"/>
  <c r="T37" i="948"/>
  <c r="S37" i="948"/>
  <c r="R37" i="948"/>
  <c r="Z36" i="948"/>
  <c r="Y36" i="948"/>
  <c r="X36" i="948"/>
  <c r="W36" i="948"/>
  <c r="V36" i="948"/>
  <c r="U36" i="948"/>
  <c r="T36" i="948"/>
  <c r="S36" i="948"/>
  <c r="R36" i="948"/>
  <c r="Z35" i="948"/>
  <c r="Y35" i="948"/>
  <c r="X35" i="948"/>
  <c r="W35" i="948"/>
  <c r="V35" i="948"/>
  <c r="U35" i="948"/>
  <c r="T35" i="948"/>
  <c r="S35" i="948"/>
  <c r="R35" i="948"/>
  <c r="Z34" i="948"/>
  <c r="Y34" i="948"/>
  <c r="X34" i="948"/>
  <c r="W34" i="948"/>
  <c r="V34" i="948"/>
  <c r="U34" i="948"/>
  <c r="T34" i="948"/>
  <c r="S34" i="948"/>
  <c r="R34" i="948"/>
  <c r="Z33" i="948"/>
  <c r="Y33" i="948"/>
  <c r="X33" i="948"/>
  <c r="W33" i="948"/>
  <c r="V33" i="948"/>
  <c r="U33" i="948"/>
  <c r="T33" i="948"/>
  <c r="S33" i="948"/>
  <c r="R33" i="948"/>
  <c r="Z32" i="948"/>
  <c r="Y32" i="948"/>
  <c r="X32" i="948"/>
  <c r="W32" i="948"/>
  <c r="V32" i="948"/>
  <c r="U32" i="948"/>
  <c r="T32" i="948"/>
  <c r="S32" i="948"/>
  <c r="R32" i="948"/>
  <c r="M32" i="948"/>
  <c r="L32" i="948"/>
  <c r="K32" i="948"/>
  <c r="Z31" i="948"/>
  <c r="Y31" i="948"/>
  <c r="X31" i="948"/>
  <c r="W31" i="948"/>
  <c r="V31" i="948"/>
  <c r="U31" i="948"/>
  <c r="T31" i="948"/>
  <c r="S31" i="948"/>
  <c r="R31" i="948"/>
  <c r="M31" i="948"/>
  <c r="Z30" i="948"/>
  <c r="Y30" i="948"/>
  <c r="X30" i="948"/>
  <c r="W30" i="948"/>
  <c r="V30" i="948"/>
  <c r="U30" i="948"/>
  <c r="T30" i="948"/>
  <c r="S30" i="948"/>
  <c r="R30" i="948"/>
  <c r="Z29" i="948"/>
  <c r="Y29" i="948"/>
  <c r="X29" i="948"/>
  <c r="W29" i="948"/>
  <c r="V29" i="948"/>
  <c r="U29" i="948"/>
  <c r="T29" i="948"/>
  <c r="S29" i="948"/>
  <c r="R29" i="948"/>
  <c r="M29" i="948"/>
  <c r="L29" i="948"/>
  <c r="K29" i="948"/>
  <c r="M28" i="948"/>
  <c r="L28" i="948"/>
  <c r="K28" i="948"/>
  <c r="Z11" i="948"/>
  <c r="Y11" i="948"/>
  <c r="X11" i="948"/>
  <c r="W11" i="948"/>
  <c r="V11" i="948"/>
  <c r="U11" i="948"/>
  <c r="T11" i="948"/>
  <c r="S11" i="948"/>
  <c r="R11" i="948"/>
  <c r="Z10" i="948"/>
  <c r="Y10" i="948"/>
  <c r="X10" i="948"/>
  <c r="W10" i="948"/>
  <c r="V10" i="948"/>
  <c r="U10" i="948"/>
  <c r="T10" i="948"/>
  <c r="S10" i="948"/>
  <c r="R10" i="948"/>
  <c r="L38" i="947"/>
  <c r="R12" i="947"/>
  <c r="S12" i="947"/>
  <c r="T12" i="947"/>
  <c r="U12" i="947"/>
  <c r="V12" i="947"/>
  <c r="W12" i="947"/>
  <c r="X12" i="947"/>
  <c r="Y12" i="947"/>
  <c r="Z12" i="947"/>
  <c r="R13" i="947"/>
  <c r="S13" i="947"/>
  <c r="T13" i="947"/>
  <c r="U13" i="947"/>
  <c r="V13" i="947"/>
  <c r="W13" i="947"/>
  <c r="X13" i="947"/>
  <c r="Y13" i="947"/>
  <c r="Z13" i="947"/>
  <c r="R14" i="947"/>
  <c r="S14" i="947"/>
  <c r="T14" i="947"/>
  <c r="U14" i="947"/>
  <c r="V14" i="947"/>
  <c r="W14" i="947"/>
  <c r="X14" i="947"/>
  <c r="Y14" i="947"/>
  <c r="Z14" i="947"/>
  <c r="R15" i="947"/>
  <c r="S15" i="947"/>
  <c r="T15" i="947"/>
  <c r="U15" i="947"/>
  <c r="V15" i="947"/>
  <c r="W15" i="947"/>
  <c r="X15" i="947"/>
  <c r="Y15" i="947"/>
  <c r="Z15" i="947"/>
  <c r="R16" i="947"/>
  <c r="S16" i="947"/>
  <c r="T16" i="947"/>
  <c r="U16" i="947"/>
  <c r="V16" i="947"/>
  <c r="W16" i="947"/>
  <c r="X16" i="947"/>
  <c r="Y16" i="947"/>
  <c r="Z16" i="947"/>
  <c r="R17" i="947"/>
  <c r="S17" i="947"/>
  <c r="T17" i="947"/>
  <c r="U17" i="947"/>
  <c r="V17" i="947"/>
  <c r="W17" i="947"/>
  <c r="X17" i="947"/>
  <c r="Y17" i="947"/>
  <c r="Z17" i="947"/>
  <c r="R18" i="947"/>
  <c r="S18" i="947"/>
  <c r="T18" i="947"/>
  <c r="U18" i="947"/>
  <c r="V18" i="947"/>
  <c r="W18" i="947"/>
  <c r="X18" i="947"/>
  <c r="Y18" i="947"/>
  <c r="Z18" i="947"/>
  <c r="R19" i="947"/>
  <c r="S19" i="947"/>
  <c r="T19" i="947"/>
  <c r="U19" i="947"/>
  <c r="V19" i="947"/>
  <c r="W19" i="947"/>
  <c r="X19" i="947"/>
  <c r="Y19" i="947"/>
  <c r="Z19" i="947"/>
  <c r="R20" i="947"/>
  <c r="S20" i="947"/>
  <c r="T20" i="947"/>
  <c r="U20" i="947"/>
  <c r="V20" i="947"/>
  <c r="W20" i="947"/>
  <c r="X20" i="947"/>
  <c r="Y20" i="947"/>
  <c r="Z20" i="947"/>
  <c r="R21" i="947"/>
  <c r="S21" i="947"/>
  <c r="T21" i="947"/>
  <c r="U21" i="947"/>
  <c r="V21" i="947"/>
  <c r="W21" i="947"/>
  <c r="X21" i="947"/>
  <c r="Y21" i="947"/>
  <c r="Z21" i="947"/>
  <c r="R22" i="947"/>
  <c r="S22" i="947"/>
  <c r="T22" i="947"/>
  <c r="U22" i="947"/>
  <c r="V22" i="947"/>
  <c r="W22" i="947"/>
  <c r="X22" i="947"/>
  <c r="Y22" i="947"/>
  <c r="Z22" i="947"/>
  <c r="M24" i="947"/>
  <c r="L24" i="947"/>
  <c r="K24" i="947"/>
  <c r="K29" i="947"/>
  <c r="M29" i="947"/>
  <c r="L29" i="947"/>
  <c r="C19" i="947"/>
  <c r="D19" i="947"/>
  <c r="E19" i="947"/>
  <c r="F19" i="947"/>
  <c r="G19" i="947"/>
  <c r="I19" i="947"/>
  <c r="J24" i="947" s="1"/>
  <c r="J19" i="947"/>
  <c r="K19" i="947"/>
  <c r="L19" i="947"/>
  <c r="M19" i="947"/>
  <c r="N19" i="947"/>
  <c r="O19" i="947"/>
  <c r="I11" i="947"/>
  <c r="J11" i="947"/>
  <c r="K11" i="947"/>
  <c r="L11" i="947"/>
  <c r="M11" i="947"/>
  <c r="N11" i="947"/>
  <c r="O11" i="947"/>
  <c r="I12" i="947"/>
  <c r="J12" i="947"/>
  <c r="K12" i="947"/>
  <c r="L12" i="947"/>
  <c r="M12" i="947"/>
  <c r="N12" i="947"/>
  <c r="O12" i="947"/>
  <c r="I13" i="947"/>
  <c r="J13" i="947"/>
  <c r="K13" i="947"/>
  <c r="L13" i="947"/>
  <c r="M13" i="947"/>
  <c r="N13" i="947"/>
  <c r="O13" i="947"/>
  <c r="I14" i="947"/>
  <c r="J14" i="947"/>
  <c r="K14" i="947"/>
  <c r="L14" i="947"/>
  <c r="M14" i="947"/>
  <c r="N14" i="947"/>
  <c r="O14" i="947"/>
  <c r="I15" i="947"/>
  <c r="J15" i="947"/>
  <c r="K15" i="947"/>
  <c r="L15" i="947"/>
  <c r="M15" i="947"/>
  <c r="N15" i="947"/>
  <c r="O15" i="947"/>
  <c r="I16" i="947"/>
  <c r="J16" i="947"/>
  <c r="K16" i="947"/>
  <c r="L16" i="947"/>
  <c r="M16" i="947"/>
  <c r="N16" i="947"/>
  <c r="O16" i="947"/>
  <c r="I17" i="947"/>
  <c r="J17" i="947"/>
  <c r="K17" i="947"/>
  <c r="L17" i="947"/>
  <c r="M17" i="947"/>
  <c r="N17" i="947"/>
  <c r="O17" i="947"/>
  <c r="C11" i="947"/>
  <c r="D11" i="947"/>
  <c r="E11" i="947"/>
  <c r="F11" i="947"/>
  <c r="G11" i="947"/>
  <c r="C12" i="947"/>
  <c r="D12" i="947"/>
  <c r="E12" i="947"/>
  <c r="F12" i="947"/>
  <c r="G12" i="947"/>
  <c r="C13" i="947"/>
  <c r="D13" i="947"/>
  <c r="E13" i="947"/>
  <c r="F13" i="947"/>
  <c r="G13" i="947"/>
  <c r="C14" i="947"/>
  <c r="D14" i="947"/>
  <c r="E14" i="947"/>
  <c r="F14" i="947"/>
  <c r="G14" i="947"/>
  <c r="C15" i="947"/>
  <c r="D15" i="947"/>
  <c r="E15" i="947"/>
  <c r="F15" i="947"/>
  <c r="G15" i="947"/>
  <c r="C16" i="947"/>
  <c r="D16" i="947"/>
  <c r="E16" i="947"/>
  <c r="F16" i="947"/>
  <c r="G16" i="947"/>
  <c r="C17" i="947"/>
  <c r="D17" i="947"/>
  <c r="E17" i="947"/>
  <c r="F17" i="947"/>
  <c r="G17" i="947"/>
  <c r="K37" i="949" l="1"/>
  <c r="L42" i="949"/>
  <c r="M42" i="949" s="1"/>
  <c r="J27" i="948"/>
  <c r="K36" i="948"/>
  <c r="L10" i="947"/>
  <c r="J10" i="947"/>
  <c r="K10" i="947"/>
  <c r="F70" i="947"/>
  <c r="L56" i="947"/>
  <c r="AX54" i="947"/>
  <c r="AW54" i="947"/>
  <c r="AV54" i="947"/>
  <c r="AU54" i="947"/>
  <c r="AT54" i="947"/>
  <c r="AS54" i="947"/>
  <c r="AR54" i="947"/>
  <c r="AQ54" i="947"/>
  <c r="AP54" i="947"/>
  <c r="AO54" i="947"/>
  <c r="AN54" i="947"/>
  <c r="AM54" i="947"/>
  <c r="AL54" i="947"/>
  <c r="AK54" i="947"/>
  <c r="AJ54" i="947"/>
  <c r="AI54" i="947"/>
  <c r="AH54" i="947"/>
  <c r="AG54" i="947"/>
  <c r="AF54" i="947"/>
  <c r="AE54" i="947"/>
  <c r="AD54" i="947"/>
  <c r="AC54" i="947"/>
  <c r="AB54" i="947"/>
  <c r="AX53" i="947"/>
  <c r="AW53" i="947"/>
  <c r="AV53" i="947"/>
  <c r="AU53" i="947"/>
  <c r="AT53" i="947"/>
  <c r="AS53" i="947"/>
  <c r="AR53" i="947"/>
  <c r="AQ53" i="947"/>
  <c r="AP53" i="947"/>
  <c r="AO53" i="947"/>
  <c r="AN53" i="947"/>
  <c r="AM53" i="947"/>
  <c r="AL53" i="947"/>
  <c r="AK53" i="947"/>
  <c r="AJ53" i="947"/>
  <c r="AI53" i="947"/>
  <c r="AH53" i="947"/>
  <c r="AG53" i="947"/>
  <c r="AF53" i="947"/>
  <c r="AE53" i="947"/>
  <c r="AD53" i="947"/>
  <c r="AC53" i="947"/>
  <c r="AB53" i="947"/>
  <c r="AX52" i="947"/>
  <c r="AW52" i="947"/>
  <c r="AV52" i="947"/>
  <c r="AU52" i="947"/>
  <c r="AT52" i="947"/>
  <c r="AS52" i="947"/>
  <c r="AR52" i="947"/>
  <c r="AQ52" i="947"/>
  <c r="AP52" i="947"/>
  <c r="AO52" i="947"/>
  <c r="AN52" i="947"/>
  <c r="AM52" i="947"/>
  <c r="AL52" i="947"/>
  <c r="AK52" i="947"/>
  <c r="AJ52" i="947"/>
  <c r="AI52" i="947"/>
  <c r="AH52" i="947"/>
  <c r="AG52" i="947"/>
  <c r="AF52" i="947"/>
  <c r="AE52" i="947"/>
  <c r="AD52" i="947"/>
  <c r="AC52" i="947"/>
  <c r="AB52" i="947"/>
  <c r="K47" i="947"/>
  <c r="M38" i="947" s="1"/>
  <c r="Z34" i="947"/>
  <c r="Y34" i="947"/>
  <c r="X34" i="947"/>
  <c r="W34" i="947"/>
  <c r="V34" i="947"/>
  <c r="U34" i="947"/>
  <c r="T34" i="947"/>
  <c r="S34" i="947"/>
  <c r="R34" i="947"/>
  <c r="Z33" i="947"/>
  <c r="Y33" i="947"/>
  <c r="X33" i="947"/>
  <c r="W33" i="947"/>
  <c r="V33" i="947"/>
  <c r="U33" i="947"/>
  <c r="T33" i="947"/>
  <c r="S33" i="947"/>
  <c r="R33" i="947"/>
  <c r="Z32" i="947"/>
  <c r="Y32" i="947"/>
  <c r="X32" i="947"/>
  <c r="W32" i="947"/>
  <c r="V32" i="947"/>
  <c r="U32" i="947"/>
  <c r="T32" i="947"/>
  <c r="S32" i="947"/>
  <c r="R32" i="947"/>
  <c r="Z31" i="947"/>
  <c r="Y31" i="947"/>
  <c r="X31" i="947"/>
  <c r="W31" i="947"/>
  <c r="V31" i="947"/>
  <c r="U31" i="947"/>
  <c r="T31" i="947"/>
  <c r="S31" i="947"/>
  <c r="R31" i="947"/>
  <c r="Z30" i="947"/>
  <c r="Y30" i="947"/>
  <c r="X30" i="947"/>
  <c r="W30" i="947"/>
  <c r="V30" i="947"/>
  <c r="U30" i="947"/>
  <c r="T30" i="947"/>
  <c r="S30" i="947"/>
  <c r="R30" i="947"/>
  <c r="Z29" i="947"/>
  <c r="Y29" i="947"/>
  <c r="X29" i="947"/>
  <c r="W29" i="947"/>
  <c r="V29" i="947"/>
  <c r="U29" i="947"/>
  <c r="T29" i="947"/>
  <c r="S29" i="947"/>
  <c r="R29" i="947"/>
  <c r="Z28" i="947"/>
  <c r="Y28" i="947"/>
  <c r="X28" i="947"/>
  <c r="W28" i="947"/>
  <c r="V28" i="947"/>
  <c r="U28" i="947"/>
  <c r="T28" i="947"/>
  <c r="S28" i="947"/>
  <c r="R28" i="947"/>
  <c r="M28" i="947"/>
  <c r="Z27" i="947"/>
  <c r="Y27" i="947"/>
  <c r="X27" i="947"/>
  <c r="W27" i="947"/>
  <c r="V27" i="947"/>
  <c r="U27" i="947"/>
  <c r="T27" i="947"/>
  <c r="S27" i="947"/>
  <c r="R27" i="947"/>
  <c r="Z26" i="947"/>
  <c r="Y26" i="947"/>
  <c r="X26" i="947"/>
  <c r="W26" i="947"/>
  <c r="V26" i="947"/>
  <c r="U26" i="947"/>
  <c r="T26" i="947"/>
  <c r="S26" i="947"/>
  <c r="R26" i="947"/>
  <c r="M26" i="947"/>
  <c r="L26" i="947"/>
  <c r="K26" i="947"/>
  <c r="Z25" i="947"/>
  <c r="Y25" i="947"/>
  <c r="X25" i="947"/>
  <c r="W25" i="947"/>
  <c r="V25" i="947"/>
  <c r="U25" i="947"/>
  <c r="T25" i="947"/>
  <c r="S25" i="947"/>
  <c r="R25" i="947"/>
  <c r="M25" i="947"/>
  <c r="L25" i="947"/>
  <c r="K25" i="947"/>
  <c r="Z24" i="947"/>
  <c r="Y24" i="947"/>
  <c r="X24" i="947"/>
  <c r="W24" i="947"/>
  <c r="V24" i="947"/>
  <c r="U24" i="947"/>
  <c r="T24" i="947"/>
  <c r="S24" i="947"/>
  <c r="R24" i="947"/>
  <c r="Z23" i="947"/>
  <c r="Y23" i="947"/>
  <c r="X23" i="947"/>
  <c r="W23" i="947"/>
  <c r="V23" i="947"/>
  <c r="U23" i="947"/>
  <c r="T23" i="947"/>
  <c r="S23" i="947"/>
  <c r="R23" i="947"/>
  <c r="M23" i="947"/>
  <c r="L23" i="947"/>
  <c r="K23" i="947"/>
  <c r="Z11" i="947"/>
  <c r="Y11" i="947"/>
  <c r="X11" i="947"/>
  <c r="W11" i="947"/>
  <c r="V11" i="947"/>
  <c r="U11" i="947"/>
  <c r="T11" i="947"/>
  <c r="S11" i="947"/>
  <c r="R11" i="947"/>
  <c r="Z10" i="947"/>
  <c r="Y10" i="947"/>
  <c r="X10" i="947"/>
  <c r="W10" i="947"/>
  <c r="V10" i="947"/>
  <c r="U10" i="947"/>
  <c r="T10" i="947"/>
  <c r="S10" i="947"/>
  <c r="R10" i="947"/>
  <c r="O10" i="947"/>
  <c r="N10" i="947"/>
  <c r="M10" i="947"/>
  <c r="G10" i="947"/>
  <c r="F10" i="947"/>
  <c r="E10" i="947"/>
  <c r="D10" i="947"/>
  <c r="C10" i="947"/>
  <c r="I10" i="947" l="1"/>
  <c r="J29" i="947" s="1"/>
  <c r="K33" i="947"/>
  <c r="L33" i="947" s="1"/>
  <c r="M33" i="947" s="1"/>
  <c r="B60" i="946"/>
  <c r="B58" i="946"/>
  <c r="L35" i="946" l="1"/>
  <c r="K35" i="946"/>
  <c r="O20" i="946"/>
  <c r="N20" i="946"/>
  <c r="M20" i="946"/>
  <c r="L20" i="946"/>
  <c r="J20" i="946"/>
  <c r="I20" i="946"/>
  <c r="J35" i="946" s="1"/>
  <c r="G20" i="946"/>
  <c r="F20" i="946"/>
  <c r="E20" i="946"/>
  <c r="D20" i="946"/>
  <c r="C20" i="946"/>
  <c r="M35" i="946" l="1"/>
  <c r="K20" i="946"/>
  <c r="R11" i="946"/>
  <c r="S11" i="946"/>
  <c r="T11" i="946"/>
  <c r="U11" i="946"/>
  <c r="V11" i="946"/>
  <c r="W11" i="946"/>
  <c r="X11" i="946"/>
  <c r="Y11" i="946"/>
  <c r="Z11" i="946"/>
  <c r="R12" i="946"/>
  <c r="S12" i="946"/>
  <c r="T12" i="946"/>
  <c r="U12" i="946"/>
  <c r="V12" i="946"/>
  <c r="W12" i="946"/>
  <c r="X12" i="946"/>
  <c r="Y12" i="946"/>
  <c r="Z12" i="946"/>
  <c r="R13" i="946"/>
  <c r="S13" i="946"/>
  <c r="T13" i="946"/>
  <c r="U13" i="946"/>
  <c r="V13" i="946"/>
  <c r="W13" i="946"/>
  <c r="X13" i="946"/>
  <c r="Y13" i="946"/>
  <c r="Z13" i="946"/>
  <c r="R14" i="946"/>
  <c r="S14" i="946"/>
  <c r="T14" i="946"/>
  <c r="U14" i="946"/>
  <c r="V14" i="946"/>
  <c r="W14" i="946"/>
  <c r="X14" i="946"/>
  <c r="Y14" i="946"/>
  <c r="Z14" i="946"/>
  <c r="R15" i="946"/>
  <c r="S15" i="946"/>
  <c r="T15" i="946"/>
  <c r="U15" i="946"/>
  <c r="V15" i="946"/>
  <c r="W15" i="946"/>
  <c r="X15" i="946"/>
  <c r="Y15" i="946"/>
  <c r="Z15" i="946"/>
  <c r="R16" i="946"/>
  <c r="S16" i="946"/>
  <c r="T16" i="946"/>
  <c r="U16" i="946"/>
  <c r="V16" i="946"/>
  <c r="W16" i="946"/>
  <c r="X16" i="946"/>
  <c r="Y16" i="946"/>
  <c r="Z16" i="946"/>
  <c r="R17" i="946"/>
  <c r="S17" i="946"/>
  <c r="T17" i="946"/>
  <c r="U17" i="946"/>
  <c r="V17" i="946"/>
  <c r="W17" i="946"/>
  <c r="X17" i="946"/>
  <c r="Y17" i="946"/>
  <c r="Z17" i="946"/>
  <c r="R19" i="946"/>
  <c r="S19" i="946"/>
  <c r="T19" i="946"/>
  <c r="U19" i="946"/>
  <c r="V19" i="946"/>
  <c r="W19" i="946"/>
  <c r="X19" i="946"/>
  <c r="Y19" i="946"/>
  <c r="Z19" i="946"/>
  <c r="R20" i="946"/>
  <c r="S20" i="946"/>
  <c r="T20" i="946"/>
  <c r="U20" i="946"/>
  <c r="V20" i="946"/>
  <c r="W20" i="946"/>
  <c r="X20" i="946"/>
  <c r="Y20" i="946"/>
  <c r="Z20" i="946"/>
  <c r="R21" i="946"/>
  <c r="S21" i="946"/>
  <c r="T21" i="946"/>
  <c r="U21" i="946"/>
  <c r="V21" i="946"/>
  <c r="W21" i="946"/>
  <c r="X21" i="946"/>
  <c r="Y21" i="946"/>
  <c r="Z21" i="946"/>
  <c r="R22" i="946"/>
  <c r="S22" i="946"/>
  <c r="T22" i="946"/>
  <c r="U22" i="946"/>
  <c r="V22" i="946"/>
  <c r="W22" i="946"/>
  <c r="X22" i="946"/>
  <c r="Y22" i="946"/>
  <c r="Z22" i="946"/>
  <c r="R23" i="946"/>
  <c r="S23" i="946"/>
  <c r="T23" i="946"/>
  <c r="U23" i="946"/>
  <c r="V23" i="946"/>
  <c r="W23" i="946"/>
  <c r="X23" i="946"/>
  <c r="Y23" i="946"/>
  <c r="Z23" i="946"/>
  <c r="R24" i="946"/>
  <c r="S24" i="946"/>
  <c r="T24" i="946"/>
  <c r="U24" i="946"/>
  <c r="V24" i="946"/>
  <c r="W24" i="946"/>
  <c r="X24" i="946"/>
  <c r="Y24" i="946"/>
  <c r="Z24" i="946"/>
  <c r="C10" i="946"/>
  <c r="D10" i="946"/>
  <c r="E10" i="946"/>
  <c r="F10" i="946"/>
  <c r="G10" i="946"/>
  <c r="I10" i="946"/>
  <c r="J10" i="946"/>
  <c r="L10" i="946"/>
  <c r="M10" i="946"/>
  <c r="N10" i="946"/>
  <c r="O10" i="946"/>
  <c r="R10" i="946"/>
  <c r="S10" i="946"/>
  <c r="T10" i="946"/>
  <c r="U10" i="946"/>
  <c r="V10" i="946"/>
  <c r="W10" i="946"/>
  <c r="X10" i="946"/>
  <c r="Y10" i="946"/>
  <c r="Z10" i="946"/>
  <c r="I11" i="946"/>
  <c r="J11" i="946"/>
  <c r="L11" i="946"/>
  <c r="M11" i="946"/>
  <c r="N11" i="946"/>
  <c r="O11" i="946"/>
  <c r="I12" i="946"/>
  <c r="J12" i="946"/>
  <c r="L12" i="946"/>
  <c r="M12" i="946"/>
  <c r="N12" i="946"/>
  <c r="O12" i="946"/>
  <c r="I13" i="946"/>
  <c r="J13" i="946"/>
  <c r="L13" i="946"/>
  <c r="M13" i="946"/>
  <c r="N13" i="946"/>
  <c r="O13" i="946"/>
  <c r="I14" i="946"/>
  <c r="J14" i="946"/>
  <c r="L14" i="946"/>
  <c r="M14" i="946"/>
  <c r="N14" i="946"/>
  <c r="O14" i="946"/>
  <c r="I15" i="946"/>
  <c r="J15" i="946"/>
  <c r="L15" i="946"/>
  <c r="M15" i="946"/>
  <c r="N15" i="946"/>
  <c r="O15" i="946"/>
  <c r="I16" i="946"/>
  <c r="J16" i="946"/>
  <c r="L16" i="946"/>
  <c r="M16" i="946"/>
  <c r="N16" i="946"/>
  <c r="O16" i="946"/>
  <c r="I17" i="946"/>
  <c r="J17" i="946"/>
  <c r="L17" i="946"/>
  <c r="M17" i="946"/>
  <c r="N17" i="946"/>
  <c r="O17" i="946"/>
  <c r="C11" i="946"/>
  <c r="D11" i="946"/>
  <c r="E11" i="946"/>
  <c r="F11" i="946"/>
  <c r="G11" i="946"/>
  <c r="C12" i="946"/>
  <c r="D12" i="946"/>
  <c r="E12" i="946"/>
  <c r="F12" i="946"/>
  <c r="G12" i="946"/>
  <c r="C13" i="946"/>
  <c r="D13" i="946"/>
  <c r="E13" i="946"/>
  <c r="F13" i="946"/>
  <c r="G13" i="946"/>
  <c r="C14" i="946"/>
  <c r="D14" i="946"/>
  <c r="E14" i="946"/>
  <c r="F14" i="946"/>
  <c r="G14" i="946"/>
  <c r="C15" i="946"/>
  <c r="D15" i="946"/>
  <c r="E15" i="946"/>
  <c r="F15" i="946"/>
  <c r="G15" i="946"/>
  <c r="C16" i="946"/>
  <c r="D16" i="946"/>
  <c r="E16" i="946"/>
  <c r="F16" i="946"/>
  <c r="G16" i="946"/>
  <c r="C17" i="946"/>
  <c r="D17" i="946"/>
  <c r="E17" i="946"/>
  <c r="F17" i="946"/>
  <c r="G17" i="946"/>
  <c r="F76" i="946"/>
  <c r="L62" i="946"/>
  <c r="AX60" i="946"/>
  <c r="AW60" i="946"/>
  <c r="AV60" i="946"/>
  <c r="AU60" i="946"/>
  <c r="AT60" i="946"/>
  <c r="AS60" i="946"/>
  <c r="AR60" i="946"/>
  <c r="AQ60" i="946"/>
  <c r="AP60" i="946"/>
  <c r="AO60" i="946"/>
  <c r="AN60" i="946"/>
  <c r="AM60" i="946"/>
  <c r="AL60" i="946"/>
  <c r="AK60" i="946"/>
  <c r="AJ60" i="946"/>
  <c r="AI60" i="946"/>
  <c r="AH60" i="946"/>
  <c r="AG60" i="946"/>
  <c r="AF60" i="946"/>
  <c r="AE60" i="946"/>
  <c r="AD60" i="946"/>
  <c r="AC60" i="946"/>
  <c r="AB60" i="946"/>
  <c r="AX59" i="946"/>
  <c r="AW59" i="946"/>
  <c r="AV59" i="946"/>
  <c r="AU59" i="946"/>
  <c r="AT59" i="946"/>
  <c r="AS59" i="946"/>
  <c r="AR59" i="946"/>
  <c r="AQ59" i="946"/>
  <c r="AP59" i="946"/>
  <c r="AO59" i="946"/>
  <c r="AN59" i="946"/>
  <c r="AM59" i="946"/>
  <c r="AL59" i="946"/>
  <c r="AK59" i="946"/>
  <c r="AJ59" i="946"/>
  <c r="AI59" i="946"/>
  <c r="AH59" i="946"/>
  <c r="AG59" i="946"/>
  <c r="AF59" i="946"/>
  <c r="AE59" i="946"/>
  <c r="AD59" i="946"/>
  <c r="AC59" i="946"/>
  <c r="AB59" i="946"/>
  <c r="AX58" i="946"/>
  <c r="AW58" i="946"/>
  <c r="AV58" i="946"/>
  <c r="AU58" i="946"/>
  <c r="AT58" i="946"/>
  <c r="AS58" i="946"/>
  <c r="AR58" i="946"/>
  <c r="AQ58" i="946"/>
  <c r="AP58" i="946"/>
  <c r="AO58" i="946"/>
  <c r="AN58" i="946"/>
  <c r="AM58" i="946"/>
  <c r="AL58" i="946"/>
  <c r="AK58" i="946"/>
  <c r="AJ58" i="946"/>
  <c r="AI58" i="946"/>
  <c r="AH58" i="946"/>
  <c r="AG58" i="946"/>
  <c r="AF58" i="946"/>
  <c r="AE58" i="946"/>
  <c r="AD58" i="946"/>
  <c r="AC58" i="946"/>
  <c r="AB58" i="946"/>
  <c r="K53" i="946"/>
  <c r="Z40" i="946"/>
  <c r="Y40" i="946"/>
  <c r="X40" i="946"/>
  <c r="W40" i="946"/>
  <c r="V40" i="946"/>
  <c r="U40" i="946"/>
  <c r="T40" i="946"/>
  <c r="S40" i="946"/>
  <c r="R40" i="946"/>
  <c r="Z39" i="946"/>
  <c r="Y39" i="946"/>
  <c r="X39" i="946"/>
  <c r="W39" i="946"/>
  <c r="V39" i="946"/>
  <c r="U39" i="946"/>
  <c r="T39" i="946"/>
  <c r="S39" i="946"/>
  <c r="R39" i="946"/>
  <c r="Z38" i="946"/>
  <c r="Y38" i="946"/>
  <c r="X38" i="946"/>
  <c r="W38" i="946"/>
  <c r="V38" i="946"/>
  <c r="U38" i="946"/>
  <c r="T38" i="946"/>
  <c r="S38" i="946"/>
  <c r="R38" i="946"/>
  <c r="Z37" i="946"/>
  <c r="Y37" i="946"/>
  <c r="X37" i="946"/>
  <c r="W37" i="946"/>
  <c r="V37" i="946"/>
  <c r="U37" i="946"/>
  <c r="T37" i="946"/>
  <c r="S37" i="946"/>
  <c r="R37" i="946"/>
  <c r="Z36" i="946"/>
  <c r="Y36" i="946"/>
  <c r="X36" i="946"/>
  <c r="W36" i="946"/>
  <c r="V36" i="946"/>
  <c r="U36" i="946"/>
  <c r="T36" i="946"/>
  <c r="S36" i="946"/>
  <c r="R36" i="946"/>
  <c r="Z35" i="946"/>
  <c r="Y35" i="946"/>
  <c r="X35" i="946"/>
  <c r="W35" i="946"/>
  <c r="V35" i="946"/>
  <c r="U35" i="946"/>
  <c r="T35" i="946"/>
  <c r="S35" i="946"/>
  <c r="R35" i="946"/>
  <c r="Z34" i="946"/>
  <c r="Y34" i="946"/>
  <c r="X34" i="946"/>
  <c r="W34" i="946"/>
  <c r="V34" i="946"/>
  <c r="U34" i="946"/>
  <c r="T34" i="946"/>
  <c r="S34" i="946"/>
  <c r="R34" i="946"/>
  <c r="M34" i="946"/>
  <c r="Z33" i="946"/>
  <c r="Y33" i="946"/>
  <c r="X33" i="946"/>
  <c r="W33" i="946"/>
  <c r="V33" i="946"/>
  <c r="U33" i="946"/>
  <c r="T33" i="946"/>
  <c r="S33" i="946"/>
  <c r="R33" i="946"/>
  <c r="Z32" i="946"/>
  <c r="Y32" i="946"/>
  <c r="X32" i="946"/>
  <c r="W32" i="946"/>
  <c r="V32" i="946"/>
  <c r="U32" i="946"/>
  <c r="T32" i="946"/>
  <c r="S32" i="946"/>
  <c r="R32" i="946"/>
  <c r="M32" i="946"/>
  <c r="L32" i="946"/>
  <c r="K32" i="946"/>
  <c r="Z31" i="946"/>
  <c r="Y31" i="946"/>
  <c r="X31" i="946"/>
  <c r="W31" i="946"/>
  <c r="V31" i="946"/>
  <c r="U31" i="946"/>
  <c r="T31" i="946"/>
  <c r="S31" i="946"/>
  <c r="R31" i="946"/>
  <c r="M31" i="946"/>
  <c r="L31" i="946"/>
  <c r="K31" i="946"/>
  <c r="Z30" i="946"/>
  <c r="Y30" i="946"/>
  <c r="X30" i="946"/>
  <c r="W30" i="946"/>
  <c r="V30" i="946"/>
  <c r="U30" i="946"/>
  <c r="T30" i="946"/>
  <c r="S30" i="946"/>
  <c r="R30" i="946"/>
  <c r="M30" i="946"/>
  <c r="L30" i="946"/>
  <c r="K30" i="946"/>
  <c r="Z29" i="946"/>
  <c r="Y29" i="946"/>
  <c r="X29" i="946"/>
  <c r="W29" i="946"/>
  <c r="V29" i="946"/>
  <c r="U29" i="946"/>
  <c r="T29" i="946"/>
  <c r="S29" i="946"/>
  <c r="R29" i="946"/>
  <c r="M29" i="946"/>
  <c r="L29" i="946"/>
  <c r="K29" i="946"/>
  <c r="Z28" i="946"/>
  <c r="Y28" i="946"/>
  <c r="X28" i="946"/>
  <c r="W28" i="946"/>
  <c r="V28" i="946"/>
  <c r="U28" i="946"/>
  <c r="T28" i="946"/>
  <c r="S28" i="946"/>
  <c r="R28" i="946"/>
  <c r="Z27" i="946"/>
  <c r="Y27" i="946"/>
  <c r="X27" i="946"/>
  <c r="W27" i="946"/>
  <c r="V27" i="946"/>
  <c r="U27" i="946"/>
  <c r="T27" i="946"/>
  <c r="S27" i="946"/>
  <c r="R27" i="946"/>
  <c r="Z26" i="946"/>
  <c r="Y26" i="946"/>
  <c r="X26" i="946"/>
  <c r="W26" i="946"/>
  <c r="V26" i="946"/>
  <c r="U26" i="946"/>
  <c r="T26" i="946"/>
  <c r="S26" i="946"/>
  <c r="R26" i="946"/>
  <c r="Z25" i="946"/>
  <c r="Y25" i="946"/>
  <c r="X25" i="946"/>
  <c r="W25" i="946"/>
  <c r="V25" i="946"/>
  <c r="U25" i="946"/>
  <c r="T25" i="946"/>
  <c r="S25" i="946"/>
  <c r="R25" i="946"/>
  <c r="M26" i="945"/>
  <c r="L26" i="945"/>
  <c r="K26" i="945"/>
  <c r="M25" i="945"/>
  <c r="L25" i="945"/>
  <c r="K25" i="945"/>
  <c r="R12" i="945"/>
  <c r="S12" i="945"/>
  <c r="T12" i="945"/>
  <c r="U12" i="945"/>
  <c r="V12" i="945"/>
  <c r="W12" i="945"/>
  <c r="X12" i="945"/>
  <c r="Y12" i="945"/>
  <c r="Z12" i="945"/>
  <c r="R13" i="945"/>
  <c r="S13" i="945"/>
  <c r="T13" i="945"/>
  <c r="U13" i="945"/>
  <c r="V13" i="945"/>
  <c r="W13" i="945"/>
  <c r="X13" i="945"/>
  <c r="Y13" i="945"/>
  <c r="Z13" i="945"/>
  <c r="R14" i="945"/>
  <c r="S14" i="945"/>
  <c r="T14" i="945"/>
  <c r="U14" i="945"/>
  <c r="V14" i="945"/>
  <c r="W14" i="945"/>
  <c r="X14" i="945"/>
  <c r="Y14" i="945"/>
  <c r="Z14" i="945"/>
  <c r="R15" i="945"/>
  <c r="S15" i="945"/>
  <c r="T15" i="945"/>
  <c r="U15" i="945"/>
  <c r="V15" i="945"/>
  <c r="W15" i="945"/>
  <c r="X15" i="945"/>
  <c r="Y15" i="945"/>
  <c r="Z15" i="945"/>
  <c r="R16" i="945"/>
  <c r="S16" i="945"/>
  <c r="T16" i="945"/>
  <c r="U16" i="945"/>
  <c r="V16" i="945"/>
  <c r="W16" i="945"/>
  <c r="X16" i="945"/>
  <c r="Y16" i="945"/>
  <c r="Z16" i="945"/>
  <c r="R17" i="945"/>
  <c r="S17" i="945"/>
  <c r="T17" i="945"/>
  <c r="U17" i="945"/>
  <c r="V17" i="945"/>
  <c r="W17" i="945"/>
  <c r="X17" i="945"/>
  <c r="Y17" i="945"/>
  <c r="Z17" i="945"/>
  <c r="R18" i="945"/>
  <c r="S18" i="945"/>
  <c r="T18" i="945"/>
  <c r="U18" i="945"/>
  <c r="V18" i="945"/>
  <c r="W18" i="945"/>
  <c r="X18" i="945"/>
  <c r="Y18" i="945"/>
  <c r="Z18" i="945"/>
  <c r="R19" i="945"/>
  <c r="S19" i="945"/>
  <c r="T19" i="945"/>
  <c r="U19" i="945"/>
  <c r="V19" i="945"/>
  <c r="W19" i="945"/>
  <c r="X19" i="945"/>
  <c r="Y19" i="945"/>
  <c r="Z19" i="945"/>
  <c r="R20" i="945"/>
  <c r="S20" i="945"/>
  <c r="T20" i="945"/>
  <c r="U20" i="945"/>
  <c r="V20" i="945"/>
  <c r="W20" i="945"/>
  <c r="X20" i="945"/>
  <c r="Y20" i="945"/>
  <c r="Z20" i="945"/>
  <c r="R21" i="945"/>
  <c r="S21" i="945"/>
  <c r="T21" i="945"/>
  <c r="U21" i="945"/>
  <c r="V21" i="945"/>
  <c r="W21" i="945"/>
  <c r="X21" i="945"/>
  <c r="Y21" i="945"/>
  <c r="Z21" i="945"/>
  <c r="R22" i="945"/>
  <c r="S22" i="945"/>
  <c r="T22" i="945"/>
  <c r="U22" i="945"/>
  <c r="V22" i="945"/>
  <c r="W22" i="945"/>
  <c r="X22" i="945"/>
  <c r="Y22" i="945"/>
  <c r="Z22" i="945"/>
  <c r="R23" i="945"/>
  <c r="S23" i="945"/>
  <c r="T23" i="945"/>
  <c r="U23" i="945"/>
  <c r="V23" i="945"/>
  <c r="W23" i="945"/>
  <c r="X23" i="945"/>
  <c r="Y23" i="945"/>
  <c r="Z23" i="945"/>
  <c r="R24" i="945"/>
  <c r="S24" i="945"/>
  <c r="T24" i="945"/>
  <c r="U24" i="945"/>
  <c r="V24" i="945"/>
  <c r="W24" i="945"/>
  <c r="X24" i="945"/>
  <c r="Y24" i="945"/>
  <c r="Z24" i="945"/>
  <c r="R25" i="945"/>
  <c r="S25" i="945"/>
  <c r="T25" i="945"/>
  <c r="U25" i="945"/>
  <c r="V25" i="945"/>
  <c r="W25" i="945"/>
  <c r="X25" i="945"/>
  <c r="Y25" i="945"/>
  <c r="Z25" i="945"/>
  <c r="R26" i="945"/>
  <c r="S26" i="945"/>
  <c r="T26" i="945"/>
  <c r="U26" i="945"/>
  <c r="V26" i="945"/>
  <c r="W26" i="945"/>
  <c r="X26" i="945"/>
  <c r="Y26" i="945"/>
  <c r="Z26" i="945"/>
  <c r="R27" i="945"/>
  <c r="S27" i="945"/>
  <c r="T27" i="945"/>
  <c r="U27" i="945"/>
  <c r="V27" i="945"/>
  <c r="W27" i="945"/>
  <c r="X27" i="945"/>
  <c r="Y27" i="945"/>
  <c r="Z27" i="945"/>
  <c r="R28" i="945"/>
  <c r="S28" i="945"/>
  <c r="T28" i="945"/>
  <c r="U28" i="945"/>
  <c r="V28" i="945"/>
  <c r="W28" i="945"/>
  <c r="X28" i="945"/>
  <c r="Y28" i="945"/>
  <c r="Z28" i="945"/>
  <c r="R29" i="945"/>
  <c r="S29" i="945"/>
  <c r="T29" i="945"/>
  <c r="U29" i="945"/>
  <c r="V29" i="945"/>
  <c r="W29" i="945"/>
  <c r="X29" i="945"/>
  <c r="Y29" i="945"/>
  <c r="Z29" i="945"/>
  <c r="R30" i="945"/>
  <c r="S30" i="945"/>
  <c r="T30" i="945"/>
  <c r="U30" i="945"/>
  <c r="V30" i="945"/>
  <c r="W30" i="945"/>
  <c r="X30" i="945"/>
  <c r="Y30" i="945"/>
  <c r="Z30" i="945"/>
  <c r="C13" i="945"/>
  <c r="D13" i="945"/>
  <c r="E13" i="945"/>
  <c r="F13" i="945"/>
  <c r="G13" i="945"/>
  <c r="I13" i="945"/>
  <c r="J13" i="945"/>
  <c r="L13" i="945"/>
  <c r="M13" i="945"/>
  <c r="N13" i="945"/>
  <c r="O13" i="945"/>
  <c r="C14" i="945"/>
  <c r="D14" i="945"/>
  <c r="E14" i="945"/>
  <c r="F14" i="945"/>
  <c r="G14" i="945"/>
  <c r="I14" i="945"/>
  <c r="J14" i="945"/>
  <c r="L14" i="945"/>
  <c r="M14" i="945"/>
  <c r="N14" i="945"/>
  <c r="O14" i="945"/>
  <c r="C15" i="945"/>
  <c r="D15" i="945"/>
  <c r="E15" i="945"/>
  <c r="F15" i="945"/>
  <c r="G15" i="945"/>
  <c r="I15" i="945"/>
  <c r="J15" i="945"/>
  <c r="L15" i="945"/>
  <c r="M15" i="945"/>
  <c r="N15" i="945"/>
  <c r="O15" i="945"/>
  <c r="C16" i="945"/>
  <c r="D16" i="945"/>
  <c r="E16" i="945"/>
  <c r="F16" i="945"/>
  <c r="G16" i="945"/>
  <c r="I16" i="945"/>
  <c r="J16" i="945"/>
  <c r="L16" i="945"/>
  <c r="M16" i="945"/>
  <c r="N16" i="945"/>
  <c r="O16" i="945"/>
  <c r="J30" i="946" l="1"/>
  <c r="J26" i="945"/>
  <c r="K39" i="946"/>
  <c r="L39" i="946" s="1"/>
  <c r="M39" i="946" s="1"/>
  <c r="R11" i="945"/>
  <c r="S11" i="945"/>
  <c r="T11" i="945"/>
  <c r="U11" i="945"/>
  <c r="V11" i="945"/>
  <c r="W11" i="945"/>
  <c r="X11" i="945"/>
  <c r="Y11" i="945"/>
  <c r="Z11" i="945"/>
  <c r="I10" i="945"/>
  <c r="J10" i="945"/>
  <c r="L10" i="945"/>
  <c r="M10" i="945"/>
  <c r="N10" i="945"/>
  <c r="O10" i="945"/>
  <c r="I11" i="945"/>
  <c r="J11" i="945"/>
  <c r="L11" i="945"/>
  <c r="M11" i="945"/>
  <c r="N11" i="945"/>
  <c r="O11" i="945"/>
  <c r="C10" i="945"/>
  <c r="D10" i="945"/>
  <c r="E10" i="945"/>
  <c r="F10" i="945"/>
  <c r="G10" i="945"/>
  <c r="C11" i="945"/>
  <c r="D11" i="945"/>
  <c r="E11" i="945"/>
  <c r="F11" i="945"/>
  <c r="G11" i="945"/>
  <c r="E54" i="945"/>
  <c r="B54" i="945"/>
  <c r="F72" i="945"/>
  <c r="L58" i="945"/>
  <c r="AX56" i="945"/>
  <c r="AW56" i="945"/>
  <c r="AV56" i="945"/>
  <c r="AU56" i="945"/>
  <c r="AT56" i="945"/>
  <c r="AS56" i="945"/>
  <c r="AR56" i="945"/>
  <c r="AQ56" i="945"/>
  <c r="AP56" i="945"/>
  <c r="AO56" i="945"/>
  <c r="AN56" i="945"/>
  <c r="AM56" i="945"/>
  <c r="AL56" i="945"/>
  <c r="AK56" i="945"/>
  <c r="AJ56" i="945"/>
  <c r="AI56" i="945"/>
  <c r="AH56" i="945"/>
  <c r="AG56" i="945"/>
  <c r="AF56" i="945"/>
  <c r="AE56" i="945"/>
  <c r="AD56" i="945"/>
  <c r="AC56" i="945"/>
  <c r="AB56" i="945"/>
  <c r="AX55" i="945"/>
  <c r="AW55" i="945"/>
  <c r="AV55" i="945"/>
  <c r="AU55" i="945"/>
  <c r="AT55" i="945"/>
  <c r="AS55" i="945"/>
  <c r="AR55" i="945"/>
  <c r="AQ55" i="945"/>
  <c r="AP55" i="945"/>
  <c r="AO55" i="945"/>
  <c r="AN55" i="945"/>
  <c r="AM55" i="945"/>
  <c r="AL55" i="945"/>
  <c r="AK55" i="945"/>
  <c r="AJ55" i="945"/>
  <c r="AI55" i="945"/>
  <c r="AH55" i="945"/>
  <c r="AG55" i="945"/>
  <c r="AF55" i="945"/>
  <c r="AE55" i="945"/>
  <c r="AD55" i="945"/>
  <c r="AC55" i="945"/>
  <c r="AB55" i="945"/>
  <c r="AX54" i="945"/>
  <c r="AW54" i="945"/>
  <c r="AV54" i="945"/>
  <c r="AU54" i="945"/>
  <c r="AT54" i="945"/>
  <c r="AS54" i="945"/>
  <c r="AR54" i="945"/>
  <c r="AQ54" i="945"/>
  <c r="AP54" i="945"/>
  <c r="AO54" i="945"/>
  <c r="AN54" i="945"/>
  <c r="AM54" i="945"/>
  <c r="AL54" i="945"/>
  <c r="AK54" i="945"/>
  <c r="AJ54" i="945"/>
  <c r="AI54" i="945"/>
  <c r="AH54" i="945"/>
  <c r="AG54" i="945"/>
  <c r="AF54" i="945"/>
  <c r="AE54" i="945"/>
  <c r="AD54" i="945"/>
  <c r="AC54" i="945"/>
  <c r="AB54" i="945"/>
  <c r="K49" i="945"/>
  <c r="L44" i="946" s="1"/>
  <c r="M44" i="946" s="1"/>
  <c r="Z36" i="945"/>
  <c r="Y36" i="945"/>
  <c r="X36" i="945"/>
  <c r="W36" i="945"/>
  <c r="V36" i="945"/>
  <c r="U36" i="945"/>
  <c r="T36" i="945"/>
  <c r="S36" i="945"/>
  <c r="R36" i="945"/>
  <c r="Z35" i="945"/>
  <c r="Y35" i="945"/>
  <c r="X35" i="945"/>
  <c r="W35" i="945"/>
  <c r="V35" i="945"/>
  <c r="U35" i="945"/>
  <c r="T35" i="945"/>
  <c r="S35" i="945"/>
  <c r="R35" i="945"/>
  <c r="Z34" i="945"/>
  <c r="Y34" i="945"/>
  <c r="X34" i="945"/>
  <c r="W34" i="945"/>
  <c r="V34" i="945"/>
  <c r="U34" i="945"/>
  <c r="T34" i="945"/>
  <c r="S34" i="945"/>
  <c r="R34" i="945"/>
  <c r="Z33" i="945"/>
  <c r="Y33" i="945"/>
  <c r="X33" i="945"/>
  <c r="W33" i="945"/>
  <c r="V33" i="945"/>
  <c r="U33" i="945"/>
  <c r="T33" i="945"/>
  <c r="S33" i="945"/>
  <c r="R33" i="945"/>
  <c r="Z32" i="945"/>
  <c r="Y32" i="945"/>
  <c r="X32" i="945"/>
  <c r="W32" i="945"/>
  <c r="V32" i="945"/>
  <c r="U32" i="945"/>
  <c r="T32" i="945"/>
  <c r="S32" i="945"/>
  <c r="R32" i="945"/>
  <c r="Z31" i="945"/>
  <c r="Y31" i="945"/>
  <c r="X31" i="945"/>
  <c r="W31" i="945"/>
  <c r="V31" i="945"/>
  <c r="U31" i="945"/>
  <c r="T31" i="945"/>
  <c r="S31" i="945"/>
  <c r="R31" i="945"/>
  <c r="M31" i="945"/>
  <c r="M30" i="945"/>
  <c r="M28" i="945"/>
  <c r="L28" i="945"/>
  <c r="K28" i="945"/>
  <c r="M27" i="945"/>
  <c r="L27" i="945"/>
  <c r="K27" i="945"/>
  <c r="Z10" i="945"/>
  <c r="Y10" i="945"/>
  <c r="X10" i="945"/>
  <c r="W10" i="945"/>
  <c r="V10" i="945"/>
  <c r="U10" i="945"/>
  <c r="T10" i="945"/>
  <c r="S10" i="945"/>
  <c r="R10" i="945"/>
  <c r="M28" i="944"/>
  <c r="L28" i="944"/>
  <c r="K28" i="944"/>
  <c r="N12" i="944"/>
  <c r="N13" i="944"/>
  <c r="N16" i="944"/>
  <c r="I17" i="944"/>
  <c r="J17" i="944"/>
  <c r="L16" i="944"/>
  <c r="L15" i="944"/>
  <c r="L12" i="944"/>
  <c r="L10" i="944"/>
  <c r="R10" i="944"/>
  <c r="S10" i="944"/>
  <c r="T10" i="944"/>
  <c r="U10" i="944"/>
  <c r="V10" i="944"/>
  <c r="W10" i="944"/>
  <c r="X10" i="944"/>
  <c r="Y10" i="944"/>
  <c r="Z10" i="944"/>
  <c r="R11" i="944"/>
  <c r="S11" i="944"/>
  <c r="T11" i="944"/>
  <c r="U11" i="944"/>
  <c r="V11" i="944"/>
  <c r="W11" i="944"/>
  <c r="X11" i="944"/>
  <c r="Y11" i="944"/>
  <c r="Z11" i="944"/>
  <c r="R12" i="944"/>
  <c r="S12" i="944"/>
  <c r="T12" i="944"/>
  <c r="U12" i="944"/>
  <c r="V12" i="944"/>
  <c r="W12" i="944"/>
  <c r="X12" i="944"/>
  <c r="Y12" i="944"/>
  <c r="Z12" i="944"/>
  <c r="R13" i="944"/>
  <c r="S13" i="944"/>
  <c r="T13" i="944"/>
  <c r="U13" i="944"/>
  <c r="V13" i="944"/>
  <c r="W13" i="944"/>
  <c r="X13" i="944"/>
  <c r="Y13" i="944"/>
  <c r="Z13" i="944"/>
  <c r="R14" i="944"/>
  <c r="S14" i="944"/>
  <c r="T14" i="944"/>
  <c r="U14" i="944"/>
  <c r="V14" i="944"/>
  <c r="W14" i="944"/>
  <c r="X14" i="944"/>
  <c r="Y14" i="944"/>
  <c r="Z14" i="944"/>
  <c r="R15" i="944"/>
  <c r="S15" i="944"/>
  <c r="T15" i="944"/>
  <c r="U15" i="944"/>
  <c r="V15" i="944"/>
  <c r="W15" i="944"/>
  <c r="X15" i="944"/>
  <c r="Y15" i="944"/>
  <c r="Z15" i="944"/>
  <c r="R16" i="944"/>
  <c r="S16" i="944"/>
  <c r="T16" i="944"/>
  <c r="U16" i="944"/>
  <c r="V16" i="944"/>
  <c r="W16" i="944"/>
  <c r="X16" i="944"/>
  <c r="Y16" i="944"/>
  <c r="Z16" i="944"/>
  <c r="R17" i="944"/>
  <c r="S17" i="944"/>
  <c r="T17" i="944"/>
  <c r="U17" i="944"/>
  <c r="V17" i="944"/>
  <c r="W17" i="944"/>
  <c r="X17" i="944"/>
  <c r="Y17" i="944"/>
  <c r="Z17" i="944"/>
  <c r="R18" i="944"/>
  <c r="S18" i="944"/>
  <c r="T18" i="944"/>
  <c r="U18" i="944"/>
  <c r="V18" i="944"/>
  <c r="W18" i="944"/>
  <c r="X18" i="944"/>
  <c r="Y18" i="944"/>
  <c r="Z18" i="944"/>
  <c r="R19" i="944"/>
  <c r="S19" i="944"/>
  <c r="T19" i="944"/>
  <c r="U19" i="944"/>
  <c r="V19" i="944"/>
  <c r="W19" i="944"/>
  <c r="X19" i="944"/>
  <c r="Y19" i="944"/>
  <c r="Z19" i="944"/>
  <c r="R20" i="944"/>
  <c r="S20" i="944"/>
  <c r="T20" i="944"/>
  <c r="U20" i="944"/>
  <c r="V20" i="944"/>
  <c r="W20" i="944"/>
  <c r="X20" i="944"/>
  <c r="Y20" i="944"/>
  <c r="Z20" i="944"/>
  <c r="R21" i="944"/>
  <c r="S21" i="944"/>
  <c r="T21" i="944"/>
  <c r="U21" i="944"/>
  <c r="V21" i="944"/>
  <c r="W21" i="944"/>
  <c r="X21" i="944"/>
  <c r="Y21" i="944"/>
  <c r="Z21" i="944"/>
  <c r="R22" i="944"/>
  <c r="S22" i="944"/>
  <c r="T22" i="944"/>
  <c r="U22" i="944"/>
  <c r="V22" i="944"/>
  <c r="W22" i="944"/>
  <c r="X22" i="944"/>
  <c r="Y22" i="944"/>
  <c r="Z22" i="944"/>
  <c r="R23" i="944"/>
  <c r="S23" i="944"/>
  <c r="T23" i="944"/>
  <c r="U23" i="944"/>
  <c r="V23" i="944"/>
  <c r="W23" i="944"/>
  <c r="X23" i="944"/>
  <c r="Y23" i="944"/>
  <c r="Z23" i="944"/>
  <c r="R24" i="944"/>
  <c r="S24" i="944"/>
  <c r="T24" i="944"/>
  <c r="U24" i="944"/>
  <c r="V24" i="944"/>
  <c r="W24" i="944"/>
  <c r="X24" i="944"/>
  <c r="Y24" i="944"/>
  <c r="Z24" i="944"/>
  <c r="R25" i="944"/>
  <c r="S25" i="944"/>
  <c r="T25" i="944"/>
  <c r="U25" i="944"/>
  <c r="V25" i="944"/>
  <c r="W25" i="944"/>
  <c r="X25" i="944"/>
  <c r="Y25" i="944"/>
  <c r="Z25" i="944"/>
  <c r="M10" i="944"/>
  <c r="O10" i="944"/>
  <c r="L11" i="944"/>
  <c r="M11" i="944"/>
  <c r="O11" i="944"/>
  <c r="M12" i="944"/>
  <c r="O12" i="944"/>
  <c r="L13" i="944"/>
  <c r="M13" i="944"/>
  <c r="O13" i="944"/>
  <c r="L14" i="944"/>
  <c r="M14" i="944"/>
  <c r="N14" i="944"/>
  <c r="O14" i="944"/>
  <c r="M15" i="944"/>
  <c r="N15" i="944"/>
  <c r="O15" i="944"/>
  <c r="M16" i="944"/>
  <c r="O16" i="944"/>
  <c r="L17" i="944"/>
  <c r="M17" i="944"/>
  <c r="N17" i="944"/>
  <c r="O17" i="944"/>
  <c r="C10" i="944"/>
  <c r="D10" i="944"/>
  <c r="E10" i="944"/>
  <c r="F10" i="944"/>
  <c r="G10" i="944"/>
  <c r="C11" i="944"/>
  <c r="D11" i="944"/>
  <c r="E11" i="944"/>
  <c r="F11" i="944"/>
  <c r="G11" i="944"/>
  <c r="C12" i="944"/>
  <c r="D12" i="944"/>
  <c r="E12" i="944"/>
  <c r="F12" i="944"/>
  <c r="G12" i="944"/>
  <c r="C13" i="944"/>
  <c r="D13" i="944"/>
  <c r="E13" i="944"/>
  <c r="F13" i="944"/>
  <c r="G13" i="944"/>
  <c r="C14" i="944"/>
  <c r="D14" i="944"/>
  <c r="E14" i="944"/>
  <c r="F14" i="944"/>
  <c r="G14" i="944"/>
  <c r="C15" i="944"/>
  <c r="D15" i="944"/>
  <c r="E15" i="944"/>
  <c r="F15" i="944"/>
  <c r="G15" i="944"/>
  <c r="C16" i="944"/>
  <c r="D16" i="944"/>
  <c r="E16" i="944"/>
  <c r="F16" i="944"/>
  <c r="G16" i="944"/>
  <c r="C17" i="944"/>
  <c r="D17" i="944"/>
  <c r="E17" i="944"/>
  <c r="F17" i="944"/>
  <c r="G17" i="944"/>
  <c r="F75" i="944"/>
  <c r="L61" i="944"/>
  <c r="AX59" i="944"/>
  <c r="AW59" i="944"/>
  <c r="AV59" i="944"/>
  <c r="AU59" i="944"/>
  <c r="AT59" i="944"/>
  <c r="AS59" i="944"/>
  <c r="AR59" i="944"/>
  <c r="AQ59" i="944"/>
  <c r="AP59" i="944"/>
  <c r="AO59" i="944"/>
  <c r="AN59" i="944"/>
  <c r="AM59" i="944"/>
  <c r="AL59" i="944"/>
  <c r="AK59" i="944"/>
  <c r="AJ59" i="944"/>
  <c r="AI59" i="944"/>
  <c r="AH59" i="944"/>
  <c r="AG59" i="944"/>
  <c r="AF59" i="944"/>
  <c r="AE59" i="944"/>
  <c r="AD59" i="944"/>
  <c r="AC59" i="944"/>
  <c r="AB59" i="944"/>
  <c r="AX58" i="944"/>
  <c r="AW58" i="944"/>
  <c r="AV58" i="944"/>
  <c r="AU58" i="944"/>
  <c r="AT58" i="944"/>
  <c r="AS58" i="944"/>
  <c r="AR58" i="944"/>
  <c r="AQ58" i="944"/>
  <c r="AP58" i="944"/>
  <c r="AO58" i="944"/>
  <c r="AN58" i="944"/>
  <c r="AM58" i="944"/>
  <c r="AL58" i="944"/>
  <c r="AK58" i="944"/>
  <c r="AJ58" i="944"/>
  <c r="AI58" i="944"/>
  <c r="AH58" i="944"/>
  <c r="AG58" i="944"/>
  <c r="AF58" i="944"/>
  <c r="AE58" i="944"/>
  <c r="AD58" i="944"/>
  <c r="AC58" i="944"/>
  <c r="AB58" i="944"/>
  <c r="AX57" i="944"/>
  <c r="AW57" i="944"/>
  <c r="AV57" i="944"/>
  <c r="AU57" i="944"/>
  <c r="AT57" i="944"/>
  <c r="AS57" i="944"/>
  <c r="AR57" i="944"/>
  <c r="AQ57" i="944"/>
  <c r="AP57" i="944"/>
  <c r="AO57" i="944"/>
  <c r="AN57" i="944"/>
  <c r="AM57" i="944"/>
  <c r="AL57" i="944"/>
  <c r="AK57" i="944"/>
  <c r="AJ57" i="944"/>
  <c r="AI57" i="944"/>
  <c r="AH57" i="944"/>
  <c r="AG57" i="944"/>
  <c r="AF57" i="944"/>
  <c r="AE57" i="944"/>
  <c r="AD57" i="944"/>
  <c r="AC57" i="944"/>
  <c r="AB57" i="944"/>
  <c r="K52" i="944"/>
  <c r="L43" i="944" s="1"/>
  <c r="M43" i="944" s="1"/>
  <c r="Z39" i="944"/>
  <c r="Y39" i="944"/>
  <c r="X39" i="944"/>
  <c r="W39" i="944"/>
  <c r="V39" i="944"/>
  <c r="U39" i="944"/>
  <c r="T39" i="944"/>
  <c r="S39" i="944"/>
  <c r="R39" i="944"/>
  <c r="Z38" i="944"/>
  <c r="Y38" i="944"/>
  <c r="X38" i="944"/>
  <c r="W38" i="944"/>
  <c r="V38" i="944"/>
  <c r="U38" i="944"/>
  <c r="T38" i="944"/>
  <c r="S38" i="944"/>
  <c r="R38" i="944"/>
  <c r="Z37" i="944"/>
  <c r="Y37" i="944"/>
  <c r="X37" i="944"/>
  <c r="W37" i="944"/>
  <c r="V37" i="944"/>
  <c r="U37" i="944"/>
  <c r="T37" i="944"/>
  <c r="S37" i="944"/>
  <c r="R37" i="944"/>
  <c r="Z36" i="944"/>
  <c r="Y36" i="944"/>
  <c r="X36" i="944"/>
  <c r="W36" i="944"/>
  <c r="V36" i="944"/>
  <c r="U36" i="944"/>
  <c r="T36" i="944"/>
  <c r="S36" i="944"/>
  <c r="R36" i="944"/>
  <c r="Z35" i="944"/>
  <c r="Y35" i="944"/>
  <c r="X35" i="944"/>
  <c r="W35" i="944"/>
  <c r="V35" i="944"/>
  <c r="U35" i="944"/>
  <c r="T35" i="944"/>
  <c r="S35" i="944"/>
  <c r="R35" i="944"/>
  <c r="Z34" i="944"/>
  <c r="Y34" i="944"/>
  <c r="X34" i="944"/>
  <c r="W34" i="944"/>
  <c r="V34" i="944"/>
  <c r="U34" i="944"/>
  <c r="T34" i="944"/>
  <c r="S34" i="944"/>
  <c r="R34" i="944"/>
  <c r="M34" i="944"/>
  <c r="Z33" i="944"/>
  <c r="Y33" i="944"/>
  <c r="X33" i="944"/>
  <c r="W33" i="944"/>
  <c r="V33" i="944"/>
  <c r="U33" i="944"/>
  <c r="T33" i="944"/>
  <c r="S33" i="944"/>
  <c r="R33" i="944"/>
  <c r="M33" i="944"/>
  <c r="Z32" i="944"/>
  <c r="Y32" i="944"/>
  <c r="X32" i="944"/>
  <c r="W32" i="944"/>
  <c r="V32" i="944"/>
  <c r="U32" i="944"/>
  <c r="T32" i="944"/>
  <c r="S32" i="944"/>
  <c r="R32" i="944"/>
  <c r="Z31" i="944"/>
  <c r="Y31" i="944"/>
  <c r="X31" i="944"/>
  <c r="W31" i="944"/>
  <c r="V31" i="944"/>
  <c r="U31" i="944"/>
  <c r="T31" i="944"/>
  <c r="S31" i="944"/>
  <c r="R31" i="944"/>
  <c r="M31" i="944"/>
  <c r="L31" i="944"/>
  <c r="K31" i="944"/>
  <c r="Z30" i="944"/>
  <c r="Y30" i="944"/>
  <c r="X30" i="944"/>
  <c r="W30" i="944"/>
  <c r="V30" i="944"/>
  <c r="U30" i="944"/>
  <c r="T30" i="944"/>
  <c r="S30" i="944"/>
  <c r="R30" i="944"/>
  <c r="M30" i="944"/>
  <c r="L30" i="944"/>
  <c r="K30" i="944"/>
  <c r="Z29" i="944"/>
  <c r="Y29" i="944"/>
  <c r="X29" i="944"/>
  <c r="W29" i="944"/>
  <c r="V29" i="944"/>
  <c r="U29" i="944"/>
  <c r="T29" i="944"/>
  <c r="S29" i="944"/>
  <c r="R29" i="944"/>
  <c r="M29" i="944"/>
  <c r="Z28" i="944"/>
  <c r="Y28" i="944"/>
  <c r="X28" i="944"/>
  <c r="W28" i="944"/>
  <c r="V28" i="944"/>
  <c r="U28" i="944"/>
  <c r="T28" i="944"/>
  <c r="S28" i="944"/>
  <c r="R28" i="944"/>
  <c r="Z27" i="944"/>
  <c r="Y27" i="944"/>
  <c r="X27" i="944"/>
  <c r="W27" i="944"/>
  <c r="V27" i="944"/>
  <c r="U27" i="944"/>
  <c r="T27" i="944"/>
  <c r="S27" i="944"/>
  <c r="R27" i="944"/>
  <c r="Z26" i="944"/>
  <c r="Y26" i="944"/>
  <c r="X26" i="944"/>
  <c r="W26" i="944"/>
  <c r="V26" i="944"/>
  <c r="U26" i="944"/>
  <c r="T26" i="944"/>
  <c r="S26" i="944"/>
  <c r="R26" i="944"/>
  <c r="E58" i="943"/>
  <c r="B58" i="943"/>
  <c r="B56" i="943"/>
  <c r="R10" i="943"/>
  <c r="S10" i="943"/>
  <c r="T10" i="943"/>
  <c r="U10" i="943"/>
  <c r="V10" i="943"/>
  <c r="W10" i="943"/>
  <c r="X10" i="943"/>
  <c r="Y10" i="943"/>
  <c r="Z10" i="943"/>
  <c r="R11" i="943"/>
  <c r="S11" i="943"/>
  <c r="T11" i="943"/>
  <c r="U11" i="943"/>
  <c r="V11" i="943"/>
  <c r="W11" i="943"/>
  <c r="X11" i="943"/>
  <c r="Y11" i="943"/>
  <c r="Z11" i="943"/>
  <c r="R12" i="943"/>
  <c r="S12" i="943"/>
  <c r="T12" i="943"/>
  <c r="U12" i="943"/>
  <c r="V12" i="943"/>
  <c r="W12" i="943"/>
  <c r="X12" i="943"/>
  <c r="Y12" i="943"/>
  <c r="Z12" i="943"/>
  <c r="R13" i="943"/>
  <c r="S13" i="943"/>
  <c r="T13" i="943"/>
  <c r="U13" i="943"/>
  <c r="V13" i="943"/>
  <c r="W13" i="943"/>
  <c r="X13" i="943"/>
  <c r="Y13" i="943"/>
  <c r="Z13" i="943"/>
  <c r="R14" i="943"/>
  <c r="S14" i="943"/>
  <c r="T14" i="943"/>
  <c r="U14" i="943"/>
  <c r="V14" i="943"/>
  <c r="W14" i="943"/>
  <c r="X14" i="943"/>
  <c r="Y14" i="943"/>
  <c r="Z14" i="943"/>
  <c r="R15" i="943"/>
  <c r="S15" i="943"/>
  <c r="T15" i="943"/>
  <c r="U15" i="943"/>
  <c r="V15" i="943"/>
  <c r="W15" i="943"/>
  <c r="X15" i="943"/>
  <c r="Y15" i="943"/>
  <c r="Z15" i="943"/>
  <c r="R16" i="943"/>
  <c r="S16" i="943"/>
  <c r="T16" i="943"/>
  <c r="U16" i="943"/>
  <c r="V16" i="943"/>
  <c r="W16" i="943"/>
  <c r="X16" i="943"/>
  <c r="Y16" i="943"/>
  <c r="Z16" i="943"/>
  <c r="R17" i="943"/>
  <c r="S17" i="943"/>
  <c r="T17" i="943"/>
  <c r="U17" i="943"/>
  <c r="V17" i="943"/>
  <c r="W17" i="943"/>
  <c r="X17" i="943"/>
  <c r="Y17" i="943"/>
  <c r="Z17" i="943"/>
  <c r="R18" i="943"/>
  <c r="S18" i="943"/>
  <c r="T18" i="943"/>
  <c r="U18" i="943"/>
  <c r="V18" i="943"/>
  <c r="W18" i="943"/>
  <c r="X18" i="943"/>
  <c r="Y18" i="943"/>
  <c r="Z18" i="943"/>
  <c r="R19" i="943"/>
  <c r="S19" i="943"/>
  <c r="T19" i="943"/>
  <c r="U19" i="943"/>
  <c r="V19" i="943"/>
  <c r="W19" i="943"/>
  <c r="X19" i="943"/>
  <c r="Y19" i="943"/>
  <c r="Z19" i="943"/>
  <c r="R20" i="943"/>
  <c r="S20" i="943"/>
  <c r="T20" i="943"/>
  <c r="U20" i="943"/>
  <c r="V20" i="943"/>
  <c r="W20" i="943"/>
  <c r="X20" i="943"/>
  <c r="Y20" i="943"/>
  <c r="Z20" i="943"/>
  <c r="R21" i="943"/>
  <c r="S21" i="943"/>
  <c r="T21" i="943"/>
  <c r="U21" i="943"/>
  <c r="V21" i="943"/>
  <c r="W21" i="943"/>
  <c r="X21" i="943"/>
  <c r="Y21" i="943"/>
  <c r="Z21" i="943"/>
  <c r="M27" i="943"/>
  <c r="L27" i="943"/>
  <c r="K27" i="943"/>
  <c r="L42" i="943"/>
  <c r="I10" i="943"/>
  <c r="J10" i="943"/>
  <c r="L10" i="943"/>
  <c r="M10" i="943"/>
  <c r="O10" i="943"/>
  <c r="I11" i="943"/>
  <c r="J11" i="943"/>
  <c r="L11" i="943"/>
  <c r="M11" i="943"/>
  <c r="O11" i="943"/>
  <c r="I12" i="943"/>
  <c r="J12" i="943"/>
  <c r="L12" i="943"/>
  <c r="M12" i="943"/>
  <c r="O12" i="943"/>
  <c r="I13" i="943"/>
  <c r="J13" i="943"/>
  <c r="L13" i="943"/>
  <c r="M13" i="943"/>
  <c r="O13" i="943"/>
  <c r="I14" i="943"/>
  <c r="J14" i="943"/>
  <c r="L14" i="943"/>
  <c r="M14" i="943"/>
  <c r="O14" i="943"/>
  <c r="I15" i="943"/>
  <c r="J15" i="943"/>
  <c r="L15" i="943"/>
  <c r="M15" i="943"/>
  <c r="O15" i="943"/>
  <c r="I16" i="943"/>
  <c r="J16" i="943"/>
  <c r="L16" i="943"/>
  <c r="M16" i="943"/>
  <c r="O16" i="943"/>
  <c r="I17" i="943"/>
  <c r="J17" i="943"/>
  <c r="L17" i="943"/>
  <c r="M17" i="943"/>
  <c r="O17" i="943"/>
  <c r="I18" i="943"/>
  <c r="J18" i="943"/>
  <c r="L18" i="943"/>
  <c r="M18" i="943"/>
  <c r="O18" i="943"/>
  <c r="C10" i="943"/>
  <c r="D10" i="943"/>
  <c r="E10" i="943"/>
  <c r="F10" i="943"/>
  <c r="G10" i="943"/>
  <c r="C11" i="943"/>
  <c r="D11" i="943"/>
  <c r="E11" i="943"/>
  <c r="F11" i="943"/>
  <c r="G11" i="943"/>
  <c r="C12" i="943"/>
  <c r="D12" i="943"/>
  <c r="E12" i="943"/>
  <c r="F12" i="943"/>
  <c r="G12" i="943"/>
  <c r="C13" i="943"/>
  <c r="D13" i="943"/>
  <c r="E13" i="943"/>
  <c r="F13" i="943"/>
  <c r="G13" i="943"/>
  <c r="C14" i="943"/>
  <c r="D14" i="943"/>
  <c r="E14" i="943"/>
  <c r="F14" i="943"/>
  <c r="G14" i="943"/>
  <c r="C15" i="943"/>
  <c r="D15" i="943"/>
  <c r="E15" i="943"/>
  <c r="F15" i="943"/>
  <c r="G15" i="943"/>
  <c r="C16" i="943"/>
  <c r="D16" i="943"/>
  <c r="E16" i="943"/>
  <c r="F16" i="943"/>
  <c r="G16" i="943"/>
  <c r="C17" i="943"/>
  <c r="D17" i="943"/>
  <c r="E17" i="943"/>
  <c r="F17" i="943"/>
  <c r="G17" i="943"/>
  <c r="C18" i="943"/>
  <c r="D18" i="943"/>
  <c r="E18" i="943"/>
  <c r="F18" i="943"/>
  <c r="G18" i="943"/>
  <c r="F74" i="943"/>
  <c r="L60" i="943"/>
  <c r="AX58" i="943"/>
  <c r="AW58" i="943"/>
  <c r="AV58" i="943"/>
  <c r="AU58" i="943"/>
  <c r="AT58" i="943"/>
  <c r="AS58" i="943"/>
  <c r="AR58" i="943"/>
  <c r="AQ58" i="943"/>
  <c r="AP58" i="943"/>
  <c r="AO58" i="943"/>
  <c r="AN58" i="943"/>
  <c r="AM58" i="943"/>
  <c r="AL58" i="943"/>
  <c r="AK58" i="943"/>
  <c r="AJ58" i="943"/>
  <c r="AI58" i="943"/>
  <c r="AH58" i="943"/>
  <c r="AG58" i="943"/>
  <c r="AF58" i="943"/>
  <c r="AE58" i="943"/>
  <c r="AD58" i="943"/>
  <c r="AC58" i="943"/>
  <c r="AB58" i="943"/>
  <c r="AX57" i="943"/>
  <c r="AW57" i="943"/>
  <c r="AV57" i="943"/>
  <c r="AU57" i="943"/>
  <c r="AT57" i="943"/>
  <c r="AS57" i="943"/>
  <c r="AR57" i="943"/>
  <c r="AQ57" i="943"/>
  <c r="AP57" i="943"/>
  <c r="AO57" i="943"/>
  <c r="AN57" i="943"/>
  <c r="AM57" i="943"/>
  <c r="AL57" i="943"/>
  <c r="AK57" i="943"/>
  <c r="AJ57" i="943"/>
  <c r="AI57" i="943"/>
  <c r="AH57" i="943"/>
  <c r="AG57" i="943"/>
  <c r="AF57" i="943"/>
  <c r="AE57" i="943"/>
  <c r="AD57" i="943"/>
  <c r="AC57" i="943"/>
  <c r="AB57" i="943"/>
  <c r="AX56" i="943"/>
  <c r="AW56" i="943"/>
  <c r="AV56" i="943"/>
  <c r="AU56" i="943"/>
  <c r="AT56" i="943"/>
  <c r="AS56" i="943"/>
  <c r="AR56" i="943"/>
  <c r="AQ56" i="943"/>
  <c r="AP56" i="943"/>
  <c r="AO56" i="943"/>
  <c r="AN56" i="943"/>
  <c r="AM56" i="943"/>
  <c r="AL56" i="943"/>
  <c r="AK56" i="943"/>
  <c r="AJ56" i="943"/>
  <c r="AI56" i="943"/>
  <c r="AH56" i="943"/>
  <c r="AG56" i="943"/>
  <c r="AF56" i="943"/>
  <c r="AE56" i="943"/>
  <c r="AD56" i="943"/>
  <c r="AC56" i="943"/>
  <c r="AB56" i="943"/>
  <c r="K51" i="943"/>
  <c r="Z38" i="943"/>
  <c r="Y38" i="943"/>
  <c r="X38" i="943"/>
  <c r="W38" i="943"/>
  <c r="V38" i="943"/>
  <c r="U38" i="943"/>
  <c r="T38" i="943"/>
  <c r="S38" i="943"/>
  <c r="R38" i="943"/>
  <c r="Z37" i="943"/>
  <c r="Y37" i="943"/>
  <c r="X37" i="943"/>
  <c r="W37" i="943"/>
  <c r="V37" i="943"/>
  <c r="U37" i="943"/>
  <c r="T37" i="943"/>
  <c r="S37" i="943"/>
  <c r="R37" i="943"/>
  <c r="Z36" i="943"/>
  <c r="Y36" i="943"/>
  <c r="X36" i="943"/>
  <c r="W36" i="943"/>
  <c r="V36" i="943"/>
  <c r="U36" i="943"/>
  <c r="T36" i="943"/>
  <c r="S36" i="943"/>
  <c r="R36" i="943"/>
  <c r="Z35" i="943"/>
  <c r="Y35" i="943"/>
  <c r="X35" i="943"/>
  <c r="W35" i="943"/>
  <c r="V35" i="943"/>
  <c r="U35" i="943"/>
  <c r="T35" i="943"/>
  <c r="S35" i="943"/>
  <c r="R35" i="943"/>
  <c r="Z34" i="943"/>
  <c r="Y34" i="943"/>
  <c r="X34" i="943"/>
  <c r="W34" i="943"/>
  <c r="V34" i="943"/>
  <c r="U34" i="943"/>
  <c r="T34" i="943"/>
  <c r="S34" i="943"/>
  <c r="R34" i="943"/>
  <c r="Z33" i="943"/>
  <c r="Y33" i="943"/>
  <c r="X33" i="943"/>
  <c r="W33" i="943"/>
  <c r="V33" i="943"/>
  <c r="U33" i="943"/>
  <c r="T33" i="943"/>
  <c r="S33" i="943"/>
  <c r="R33" i="943"/>
  <c r="M33" i="943"/>
  <c r="Z32" i="943"/>
  <c r="Y32" i="943"/>
  <c r="X32" i="943"/>
  <c r="W32" i="943"/>
  <c r="V32" i="943"/>
  <c r="U32" i="943"/>
  <c r="T32" i="943"/>
  <c r="S32" i="943"/>
  <c r="R32" i="943"/>
  <c r="M32" i="943"/>
  <c r="Z31" i="943"/>
  <c r="Y31" i="943"/>
  <c r="X31" i="943"/>
  <c r="W31" i="943"/>
  <c r="V31" i="943"/>
  <c r="U31" i="943"/>
  <c r="T31" i="943"/>
  <c r="S31" i="943"/>
  <c r="R31" i="943"/>
  <c r="Z30" i="943"/>
  <c r="Y30" i="943"/>
  <c r="X30" i="943"/>
  <c r="W30" i="943"/>
  <c r="V30" i="943"/>
  <c r="U30" i="943"/>
  <c r="T30" i="943"/>
  <c r="S30" i="943"/>
  <c r="R30" i="943"/>
  <c r="M30" i="943"/>
  <c r="L30" i="943"/>
  <c r="K30" i="943"/>
  <c r="Z29" i="943"/>
  <c r="Y29" i="943"/>
  <c r="X29" i="943"/>
  <c r="W29" i="943"/>
  <c r="V29" i="943"/>
  <c r="U29" i="943"/>
  <c r="T29" i="943"/>
  <c r="S29" i="943"/>
  <c r="R29" i="943"/>
  <c r="M29" i="943"/>
  <c r="L29" i="943"/>
  <c r="K29" i="943"/>
  <c r="Z28" i="943"/>
  <c r="Y28" i="943"/>
  <c r="X28" i="943"/>
  <c r="W28" i="943"/>
  <c r="V28" i="943"/>
  <c r="U28" i="943"/>
  <c r="T28" i="943"/>
  <c r="S28" i="943"/>
  <c r="R28" i="943"/>
  <c r="M28" i="943"/>
  <c r="Z27" i="943"/>
  <c r="Y27" i="943"/>
  <c r="X27" i="943"/>
  <c r="W27" i="943"/>
  <c r="V27" i="943"/>
  <c r="U27" i="943"/>
  <c r="T27" i="943"/>
  <c r="S27" i="943"/>
  <c r="R27" i="943"/>
  <c r="Z26" i="943"/>
  <c r="Y26" i="943"/>
  <c r="X26" i="943"/>
  <c r="W26" i="943"/>
  <c r="V26" i="943"/>
  <c r="U26" i="943"/>
  <c r="T26" i="943"/>
  <c r="S26" i="943"/>
  <c r="R26" i="943"/>
  <c r="Z25" i="943"/>
  <c r="Y25" i="943"/>
  <c r="X25" i="943"/>
  <c r="W25" i="943"/>
  <c r="V25" i="943"/>
  <c r="U25" i="943"/>
  <c r="T25" i="943"/>
  <c r="S25" i="943"/>
  <c r="R25" i="943"/>
  <c r="Z24" i="943"/>
  <c r="Y24" i="943"/>
  <c r="X24" i="943"/>
  <c r="W24" i="943"/>
  <c r="V24" i="943"/>
  <c r="U24" i="943"/>
  <c r="T24" i="943"/>
  <c r="S24" i="943"/>
  <c r="R24" i="943"/>
  <c r="Z23" i="943"/>
  <c r="Y23" i="943"/>
  <c r="X23" i="943"/>
  <c r="W23" i="943"/>
  <c r="V23" i="943"/>
  <c r="U23" i="943"/>
  <c r="T23" i="943"/>
  <c r="S23" i="943"/>
  <c r="R23" i="943"/>
  <c r="Z22" i="943"/>
  <c r="Y22" i="943"/>
  <c r="X22" i="943"/>
  <c r="W22" i="943"/>
  <c r="V22" i="943"/>
  <c r="U22" i="943"/>
  <c r="T22" i="943"/>
  <c r="S22" i="943"/>
  <c r="R22" i="943"/>
  <c r="R10" i="942"/>
  <c r="S10" i="942"/>
  <c r="T10" i="942"/>
  <c r="U10" i="942"/>
  <c r="V10" i="942"/>
  <c r="W10" i="942"/>
  <c r="X10" i="942"/>
  <c r="Y10" i="942"/>
  <c r="Z10" i="942"/>
  <c r="R12" i="942"/>
  <c r="S12" i="942"/>
  <c r="T12" i="942"/>
  <c r="U12" i="942"/>
  <c r="V12" i="942"/>
  <c r="W12" i="942"/>
  <c r="X12" i="942"/>
  <c r="Y12" i="942"/>
  <c r="Z12" i="942"/>
  <c r="R13" i="942"/>
  <c r="S13" i="942"/>
  <c r="T13" i="942"/>
  <c r="U13" i="942"/>
  <c r="V13" i="942"/>
  <c r="W13" i="942"/>
  <c r="X13" i="942"/>
  <c r="Y13" i="942"/>
  <c r="Z13" i="942"/>
  <c r="R14" i="942"/>
  <c r="S14" i="942"/>
  <c r="T14" i="942"/>
  <c r="U14" i="942"/>
  <c r="V14" i="942"/>
  <c r="W14" i="942"/>
  <c r="X14" i="942"/>
  <c r="Y14" i="942"/>
  <c r="Z14" i="942"/>
  <c r="R15" i="942"/>
  <c r="S15" i="942"/>
  <c r="T15" i="942"/>
  <c r="U15" i="942"/>
  <c r="V15" i="942"/>
  <c r="W15" i="942"/>
  <c r="X15" i="942"/>
  <c r="Y15" i="942"/>
  <c r="Z15" i="942"/>
  <c r="R16" i="942"/>
  <c r="S16" i="942"/>
  <c r="T16" i="942"/>
  <c r="U16" i="942"/>
  <c r="V16" i="942"/>
  <c r="W16" i="942"/>
  <c r="X16" i="942"/>
  <c r="Y16" i="942"/>
  <c r="Z16" i="942"/>
  <c r="R17" i="942"/>
  <c r="S17" i="942"/>
  <c r="T17" i="942"/>
  <c r="U17" i="942"/>
  <c r="V17" i="942"/>
  <c r="W17" i="942"/>
  <c r="X17" i="942"/>
  <c r="Y17" i="942"/>
  <c r="Z17" i="942"/>
  <c r="R18" i="942"/>
  <c r="S18" i="942"/>
  <c r="T18" i="942"/>
  <c r="U18" i="942"/>
  <c r="V18" i="942"/>
  <c r="W18" i="942"/>
  <c r="X18" i="942"/>
  <c r="Y18" i="942"/>
  <c r="Z18" i="942"/>
  <c r="R19" i="942"/>
  <c r="S19" i="942"/>
  <c r="T19" i="942"/>
  <c r="U19" i="942"/>
  <c r="V19" i="942"/>
  <c r="W19" i="942"/>
  <c r="X19" i="942"/>
  <c r="Y19" i="942"/>
  <c r="Z19" i="942"/>
  <c r="R20" i="942"/>
  <c r="S20" i="942"/>
  <c r="T20" i="942"/>
  <c r="U20" i="942"/>
  <c r="V20" i="942"/>
  <c r="W20" i="942"/>
  <c r="X20" i="942"/>
  <c r="Y20" i="942"/>
  <c r="Z20" i="942"/>
  <c r="R21" i="942"/>
  <c r="S21" i="942"/>
  <c r="T21" i="942"/>
  <c r="U21" i="942"/>
  <c r="V21" i="942"/>
  <c r="W21" i="942"/>
  <c r="X21" i="942"/>
  <c r="Y21" i="942"/>
  <c r="Z21" i="942"/>
  <c r="R22" i="942"/>
  <c r="S22" i="942"/>
  <c r="T22" i="942"/>
  <c r="U22" i="942"/>
  <c r="V22" i="942"/>
  <c r="W22" i="942"/>
  <c r="X22" i="942"/>
  <c r="Y22" i="942"/>
  <c r="Z22" i="942"/>
  <c r="C10" i="942"/>
  <c r="D10" i="942"/>
  <c r="E10" i="942"/>
  <c r="F10" i="942"/>
  <c r="G10" i="942"/>
  <c r="I10" i="942"/>
  <c r="J10" i="942"/>
  <c r="K10" i="942"/>
  <c r="L10" i="942"/>
  <c r="M10" i="942"/>
  <c r="N10" i="942"/>
  <c r="O10" i="942"/>
  <c r="I11" i="942"/>
  <c r="J11" i="942"/>
  <c r="K11" i="942"/>
  <c r="L11" i="942"/>
  <c r="M11" i="942"/>
  <c r="N11" i="942"/>
  <c r="O11" i="942"/>
  <c r="I12" i="942"/>
  <c r="J12" i="942"/>
  <c r="K12" i="942"/>
  <c r="L12" i="942"/>
  <c r="M12" i="942"/>
  <c r="N12" i="942"/>
  <c r="O12" i="942"/>
  <c r="I13" i="942"/>
  <c r="J13" i="942"/>
  <c r="K13" i="942"/>
  <c r="L13" i="942"/>
  <c r="M13" i="942"/>
  <c r="N13" i="942"/>
  <c r="O13" i="942"/>
  <c r="I14" i="942"/>
  <c r="J14" i="942"/>
  <c r="K14" i="942"/>
  <c r="L14" i="942"/>
  <c r="M14" i="942"/>
  <c r="N14" i="942"/>
  <c r="O14" i="942"/>
  <c r="C11" i="942"/>
  <c r="D11" i="942"/>
  <c r="E11" i="942"/>
  <c r="F11" i="942"/>
  <c r="G11" i="942"/>
  <c r="C12" i="942"/>
  <c r="D12" i="942"/>
  <c r="E12" i="942"/>
  <c r="F12" i="942"/>
  <c r="G12" i="942"/>
  <c r="C13" i="942"/>
  <c r="D13" i="942"/>
  <c r="E13" i="942"/>
  <c r="F13" i="942"/>
  <c r="G13" i="942"/>
  <c r="C14" i="942"/>
  <c r="D14" i="942"/>
  <c r="E14" i="942"/>
  <c r="F14" i="942"/>
  <c r="G14" i="942"/>
  <c r="K27" i="942"/>
  <c r="M27" i="942"/>
  <c r="M26" i="942"/>
  <c r="L27" i="942"/>
  <c r="R11" i="942"/>
  <c r="S11" i="942"/>
  <c r="T11" i="942"/>
  <c r="U11" i="942"/>
  <c r="V11" i="942"/>
  <c r="W11" i="942"/>
  <c r="X11" i="942"/>
  <c r="Y11" i="942"/>
  <c r="Z11" i="942"/>
  <c r="B56" i="942"/>
  <c r="L40" i="941"/>
  <c r="M25" i="942"/>
  <c r="L25" i="942"/>
  <c r="K25" i="942"/>
  <c r="C19" i="942"/>
  <c r="D19" i="942"/>
  <c r="E19" i="942"/>
  <c r="F19" i="942"/>
  <c r="G19" i="942"/>
  <c r="I17" i="942"/>
  <c r="J17" i="942"/>
  <c r="L17" i="942"/>
  <c r="M17" i="942"/>
  <c r="N17" i="942"/>
  <c r="O17" i="942"/>
  <c r="I18" i="942"/>
  <c r="J18" i="942"/>
  <c r="L18" i="942"/>
  <c r="M18" i="942"/>
  <c r="N18" i="942"/>
  <c r="O18" i="942"/>
  <c r="I19" i="942"/>
  <c r="J19" i="942"/>
  <c r="L19" i="942"/>
  <c r="M19" i="942"/>
  <c r="N19" i="942"/>
  <c r="O19" i="942"/>
  <c r="C17" i="942"/>
  <c r="D17" i="942"/>
  <c r="E17" i="942"/>
  <c r="F17" i="942"/>
  <c r="G17" i="942"/>
  <c r="C18" i="942"/>
  <c r="D18" i="942"/>
  <c r="E18" i="942"/>
  <c r="F18" i="942"/>
  <c r="G18" i="942"/>
  <c r="J25" i="945" l="1"/>
  <c r="L40" i="945"/>
  <c r="M40" i="945" s="1"/>
  <c r="J27" i="942"/>
  <c r="K35" i="945"/>
  <c r="L35" i="945" s="1"/>
  <c r="M35" i="945" s="1"/>
  <c r="J27" i="943"/>
  <c r="K38" i="944"/>
  <c r="L38" i="944" s="1"/>
  <c r="M38" i="944" s="1"/>
  <c r="M42" i="943"/>
  <c r="K37" i="943"/>
  <c r="L37" i="943"/>
  <c r="M37" i="943" s="1"/>
  <c r="J25" i="942"/>
  <c r="B54" i="942"/>
  <c r="B54" i="941"/>
  <c r="F72" i="942"/>
  <c r="L58" i="942"/>
  <c r="AX56" i="942"/>
  <c r="AW56" i="942"/>
  <c r="AV56" i="942"/>
  <c r="AU56" i="942"/>
  <c r="AT56" i="942"/>
  <c r="AS56" i="942"/>
  <c r="AR56" i="942"/>
  <c r="AQ56" i="942"/>
  <c r="AP56" i="942"/>
  <c r="AO56" i="942"/>
  <c r="AN56" i="942"/>
  <c r="AM56" i="942"/>
  <c r="AL56" i="942"/>
  <c r="AK56" i="942"/>
  <c r="AJ56" i="942"/>
  <c r="AI56" i="942"/>
  <c r="AH56" i="942"/>
  <c r="AG56" i="942"/>
  <c r="AF56" i="942"/>
  <c r="AE56" i="942"/>
  <c r="AD56" i="942"/>
  <c r="AC56" i="942"/>
  <c r="AB56" i="942"/>
  <c r="AX55" i="942"/>
  <c r="AW55" i="942"/>
  <c r="AV55" i="942"/>
  <c r="AU55" i="942"/>
  <c r="AT55" i="942"/>
  <c r="AS55" i="942"/>
  <c r="AR55" i="942"/>
  <c r="AQ55" i="942"/>
  <c r="AP55" i="942"/>
  <c r="AO55" i="942"/>
  <c r="AN55" i="942"/>
  <c r="AM55" i="942"/>
  <c r="AL55" i="942"/>
  <c r="AK55" i="942"/>
  <c r="AJ55" i="942"/>
  <c r="AI55" i="942"/>
  <c r="AH55" i="942"/>
  <c r="AG55" i="942"/>
  <c r="AF55" i="942"/>
  <c r="AE55" i="942"/>
  <c r="AD55" i="942"/>
  <c r="AC55" i="942"/>
  <c r="AB55" i="942"/>
  <c r="AX54" i="942"/>
  <c r="AW54" i="942"/>
  <c r="AV54" i="942"/>
  <c r="AU54" i="942"/>
  <c r="AT54" i="942"/>
  <c r="AS54" i="942"/>
  <c r="AR54" i="942"/>
  <c r="AQ54" i="942"/>
  <c r="AP54" i="942"/>
  <c r="AO54" i="942"/>
  <c r="AN54" i="942"/>
  <c r="AM54" i="942"/>
  <c r="AL54" i="942"/>
  <c r="AK54" i="942"/>
  <c r="AJ54" i="942"/>
  <c r="AI54" i="942"/>
  <c r="AH54" i="942"/>
  <c r="AG54" i="942"/>
  <c r="AF54" i="942"/>
  <c r="AE54" i="942"/>
  <c r="AD54" i="942"/>
  <c r="AC54" i="942"/>
  <c r="AB54" i="942"/>
  <c r="K49" i="942"/>
  <c r="L40" i="942" s="1"/>
  <c r="M40" i="942" s="1"/>
  <c r="Z36" i="942"/>
  <c r="Y36" i="942"/>
  <c r="X36" i="942"/>
  <c r="W36" i="942"/>
  <c r="V36" i="942"/>
  <c r="U36" i="942"/>
  <c r="T36" i="942"/>
  <c r="S36" i="942"/>
  <c r="R36" i="942"/>
  <c r="Z35" i="942"/>
  <c r="Y35" i="942"/>
  <c r="X35" i="942"/>
  <c r="W35" i="942"/>
  <c r="V35" i="942"/>
  <c r="U35" i="942"/>
  <c r="T35" i="942"/>
  <c r="S35" i="942"/>
  <c r="R35" i="942"/>
  <c r="Z34" i="942"/>
  <c r="Y34" i="942"/>
  <c r="X34" i="942"/>
  <c r="W34" i="942"/>
  <c r="V34" i="942"/>
  <c r="U34" i="942"/>
  <c r="T34" i="942"/>
  <c r="S34" i="942"/>
  <c r="R34" i="942"/>
  <c r="Z33" i="942"/>
  <c r="Y33" i="942"/>
  <c r="X33" i="942"/>
  <c r="W33" i="942"/>
  <c r="V33" i="942"/>
  <c r="U33" i="942"/>
  <c r="T33" i="942"/>
  <c r="S33" i="942"/>
  <c r="R33" i="942"/>
  <c r="Z32" i="942"/>
  <c r="Y32" i="942"/>
  <c r="X32" i="942"/>
  <c r="W32" i="942"/>
  <c r="V32" i="942"/>
  <c r="U32" i="942"/>
  <c r="T32" i="942"/>
  <c r="S32" i="942"/>
  <c r="R32" i="942"/>
  <c r="Z31" i="942"/>
  <c r="Y31" i="942"/>
  <c r="X31" i="942"/>
  <c r="W31" i="942"/>
  <c r="V31" i="942"/>
  <c r="U31" i="942"/>
  <c r="T31" i="942"/>
  <c r="S31" i="942"/>
  <c r="R31" i="942"/>
  <c r="M31" i="942"/>
  <c r="Z30" i="942"/>
  <c r="Y30" i="942"/>
  <c r="X30" i="942"/>
  <c r="W30" i="942"/>
  <c r="V30" i="942"/>
  <c r="U30" i="942"/>
  <c r="T30" i="942"/>
  <c r="S30" i="942"/>
  <c r="R30" i="942"/>
  <c r="M30" i="942"/>
  <c r="Z29" i="942"/>
  <c r="Y29" i="942"/>
  <c r="X29" i="942"/>
  <c r="W29" i="942"/>
  <c r="V29" i="942"/>
  <c r="U29" i="942"/>
  <c r="T29" i="942"/>
  <c r="S29" i="942"/>
  <c r="R29" i="942"/>
  <c r="Z28" i="942"/>
  <c r="Y28" i="942"/>
  <c r="X28" i="942"/>
  <c r="W28" i="942"/>
  <c r="V28" i="942"/>
  <c r="U28" i="942"/>
  <c r="T28" i="942"/>
  <c r="S28" i="942"/>
  <c r="R28" i="942"/>
  <c r="M28" i="942"/>
  <c r="L28" i="942"/>
  <c r="K28" i="942"/>
  <c r="K35" i="942" s="1"/>
  <c r="Z27" i="942"/>
  <c r="Y27" i="942"/>
  <c r="X27" i="942"/>
  <c r="W27" i="942"/>
  <c r="V27" i="942"/>
  <c r="U27" i="942"/>
  <c r="T27" i="942"/>
  <c r="S27" i="942"/>
  <c r="R27" i="942"/>
  <c r="Z26" i="942"/>
  <c r="Y26" i="942"/>
  <c r="X26" i="942"/>
  <c r="W26" i="942"/>
  <c r="V26" i="942"/>
  <c r="U26" i="942"/>
  <c r="T26" i="942"/>
  <c r="S26" i="942"/>
  <c r="R26" i="942"/>
  <c r="Z25" i="942"/>
  <c r="Y25" i="942"/>
  <c r="X25" i="942"/>
  <c r="W25" i="942"/>
  <c r="V25" i="942"/>
  <c r="U25" i="942"/>
  <c r="T25" i="942"/>
  <c r="S25" i="942"/>
  <c r="R25" i="942"/>
  <c r="Z24" i="942"/>
  <c r="Y24" i="942"/>
  <c r="X24" i="942"/>
  <c r="W24" i="942"/>
  <c r="V24" i="942"/>
  <c r="U24" i="942"/>
  <c r="T24" i="942"/>
  <c r="S24" i="942"/>
  <c r="R24" i="942"/>
  <c r="Z23" i="942"/>
  <c r="Y23" i="942"/>
  <c r="X23" i="942"/>
  <c r="W23" i="942"/>
  <c r="V23" i="942"/>
  <c r="U23" i="942"/>
  <c r="T23" i="942"/>
  <c r="S23" i="942"/>
  <c r="R23" i="942"/>
  <c r="C10" i="941"/>
  <c r="D10" i="941"/>
  <c r="E10" i="941"/>
  <c r="F10" i="941"/>
  <c r="G10" i="941"/>
  <c r="I10" i="941"/>
  <c r="J10" i="941"/>
  <c r="K10" i="941"/>
  <c r="L10" i="941"/>
  <c r="M10" i="941"/>
  <c r="N10" i="941"/>
  <c r="O10" i="941"/>
  <c r="C11" i="941"/>
  <c r="D11" i="941"/>
  <c r="E11" i="941"/>
  <c r="F11" i="941"/>
  <c r="G11" i="941"/>
  <c r="I11" i="941"/>
  <c r="J11" i="941"/>
  <c r="K11" i="941"/>
  <c r="L11" i="941"/>
  <c r="M11" i="941"/>
  <c r="O11" i="941"/>
  <c r="C12" i="941"/>
  <c r="D12" i="941"/>
  <c r="E12" i="941"/>
  <c r="F12" i="941"/>
  <c r="G12" i="941"/>
  <c r="I12" i="941"/>
  <c r="J12" i="941"/>
  <c r="K12" i="941"/>
  <c r="L12" i="941"/>
  <c r="M12" i="941"/>
  <c r="O12" i="941"/>
  <c r="F72" i="941"/>
  <c r="L58" i="941"/>
  <c r="AX56" i="941"/>
  <c r="AW56" i="941"/>
  <c r="AV56" i="941"/>
  <c r="AU56" i="941"/>
  <c r="AT56" i="941"/>
  <c r="AS56" i="941"/>
  <c r="AR56" i="941"/>
  <c r="AQ56" i="941"/>
  <c r="AP56" i="941"/>
  <c r="AO56" i="941"/>
  <c r="AN56" i="941"/>
  <c r="AM56" i="941"/>
  <c r="AL56" i="941"/>
  <c r="AK56" i="941"/>
  <c r="AJ56" i="941"/>
  <c r="AI56" i="941"/>
  <c r="AH56" i="941"/>
  <c r="AG56" i="941"/>
  <c r="AF56" i="941"/>
  <c r="AE56" i="941"/>
  <c r="AD56" i="941"/>
  <c r="AC56" i="941"/>
  <c r="AB56" i="941"/>
  <c r="AX55" i="941"/>
  <c r="AW55" i="941"/>
  <c r="AV55" i="941"/>
  <c r="AU55" i="941"/>
  <c r="AT55" i="941"/>
  <c r="AS55" i="941"/>
  <c r="AR55" i="941"/>
  <c r="AQ55" i="941"/>
  <c r="AP55" i="941"/>
  <c r="AO55" i="941"/>
  <c r="AN55" i="941"/>
  <c r="AM55" i="941"/>
  <c r="AL55" i="941"/>
  <c r="AK55" i="941"/>
  <c r="AJ55" i="941"/>
  <c r="AI55" i="941"/>
  <c r="AH55" i="941"/>
  <c r="AG55" i="941"/>
  <c r="AF55" i="941"/>
  <c r="AE55" i="941"/>
  <c r="AD55" i="941"/>
  <c r="AC55" i="941"/>
  <c r="AB55" i="941"/>
  <c r="AX54" i="941"/>
  <c r="AW54" i="941"/>
  <c r="AV54" i="941"/>
  <c r="AU54" i="941"/>
  <c r="AT54" i="941"/>
  <c r="AS54" i="941"/>
  <c r="AR54" i="941"/>
  <c r="AQ54" i="941"/>
  <c r="AP54" i="941"/>
  <c r="AO54" i="941"/>
  <c r="AN54" i="941"/>
  <c r="AM54" i="941"/>
  <c r="AL54" i="941"/>
  <c r="AK54" i="941"/>
  <c r="AJ54" i="941"/>
  <c r="AI54" i="941"/>
  <c r="AH54" i="941"/>
  <c r="AG54" i="941"/>
  <c r="AF54" i="941"/>
  <c r="AE54" i="941"/>
  <c r="AD54" i="941"/>
  <c r="AC54" i="941"/>
  <c r="AB54" i="941"/>
  <c r="K49" i="941"/>
  <c r="M40" i="941" s="1"/>
  <c r="Z36" i="941"/>
  <c r="Y36" i="941"/>
  <c r="X36" i="941"/>
  <c r="W36" i="941"/>
  <c r="V36" i="941"/>
  <c r="U36" i="941"/>
  <c r="T36" i="941"/>
  <c r="S36" i="941"/>
  <c r="R36" i="941"/>
  <c r="Z35" i="941"/>
  <c r="Y35" i="941"/>
  <c r="X35" i="941"/>
  <c r="W35" i="941"/>
  <c r="V35" i="941"/>
  <c r="U35" i="941"/>
  <c r="T35" i="941"/>
  <c r="S35" i="941"/>
  <c r="R35" i="941"/>
  <c r="Z34" i="941"/>
  <c r="Y34" i="941"/>
  <c r="X34" i="941"/>
  <c r="W34" i="941"/>
  <c r="V34" i="941"/>
  <c r="U34" i="941"/>
  <c r="T34" i="941"/>
  <c r="S34" i="941"/>
  <c r="R34" i="941"/>
  <c r="Z33" i="941"/>
  <c r="Y33" i="941"/>
  <c r="X33" i="941"/>
  <c r="W33" i="941"/>
  <c r="V33" i="941"/>
  <c r="U33" i="941"/>
  <c r="T33" i="941"/>
  <c r="S33" i="941"/>
  <c r="R33" i="941"/>
  <c r="Z32" i="941"/>
  <c r="Y32" i="941"/>
  <c r="X32" i="941"/>
  <c r="W32" i="941"/>
  <c r="V32" i="941"/>
  <c r="U32" i="941"/>
  <c r="T32" i="941"/>
  <c r="S32" i="941"/>
  <c r="R32" i="941"/>
  <c r="Z31" i="941"/>
  <c r="Y31" i="941"/>
  <c r="X31" i="941"/>
  <c r="W31" i="941"/>
  <c r="V31" i="941"/>
  <c r="U31" i="941"/>
  <c r="T31" i="941"/>
  <c r="S31" i="941"/>
  <c r="R31" i="941"/>
  <c r="M31" i="941"/>
  <c r="Z30" i="941"/>
  <c r="Y30" i="941"/>
  <c r="X30" i="941"/>
  <c r="W30" i="941"/>
  <c r="V30" i="941"/>
  <c r="U30" i="941"/>
  <c r="T30" i="941"/>
  <c r="S30" i="941"/>
  <c r="R30" i="941"/>
  <c r="M30" i="941"/>
  <c r="Z29" i="941"/>
  <c r="Y29" i="941"/>
  <c r="X29" i="941"/>
  <c r="W29" i="941"/>
  <c r="V29" i="941"/>
  <c r="U29" i="941"/>
  <c r="T29" i="941"/>
  <c r="S29" i="941"/>
  <c r="R29" i="941"/>
  <c r="Z28" i="941"/>
  <c r="Y28" i="941"/>
  <c r="X28" i="941"/>
  <c r="W28" i="941"/>
  <c r="V28" i="941"/>
  <c r="U28" i="941"/>
  <c r="T28" i="941"/>
  <c r="S28" i="941"/>
  <c r="R28" i="941"/>
  <c r="M28" i="941"/>
  <c r="L28" i="941"/>
  <c r="K28" i="941"/>
  <c r="K35" i="941" s="1"/>
  <c r="Z27" i="941"/>
  <c r="Y27" i="941"/>
  <c r="X27" i="941"/>
  <c r="W27" i="941"/>
  <c r="V27" i="941"/>
  <c r="U27" i="941"/>
  <c r="T27" i="941"/>
  <c r="S27" i="941"/>
  <c r="R27" i="941"/>
  <c r="M27" i="941"/>
  <c r="Z26" i="941"/>
  <c r="Y26" i="941"/>
  <c r="X26" i="941"/>
  <c r="W26" i="941"/>
  <c r="V26" i="941"/>
  <c r="U26" i="941"/>
  <c r="T26" i="941"/>
  <c r="S26" i="941"/>
  <c r="R26" i="941"/>
  <c r="M26" i="941"/>
  <c r="Z25" i="941"/>
  <c r="Y25" i="941"/>
  <c r="X25" i="941"/>
  <c r="W25" i="941"/>
  <c r="V25" i="941"/>
  <c r="U25" i="941"/>
  <c r="T25" i="941"/>
  <c r="S25" i="941"/>
  <c r="R25" i="941"/>
  <c r="M25" i="941"/>
  <c r="Z24" i="941"/>
  <c r="Y24" i="941"/>
  <c r="X24" i="941"/>
  <c r="W24" i="941"/>
  <c r="V24" i="941"/>
  <c r="U24" i="941"/>
  <c r="T24" i="941"/>
  <c r="S24" i="941"/>
  <c r="R24" i="941"/>
  <c r="Z23" i="941"/>
  <c r="Y23" i="941"/>
  <c r="X23" i="941"/>
  <c r="W23" i="941"/>
  <c r="V23" i="941"/>
  <c r="U23" i="941"/>
  <c r="T23" i="941"/>
  <c r="S23" i="941"/>
  <c r="R23" i="941"/>
  <c r="Z22" i="941"/>
  <c r="Y22" i="941"/>
  <c r="X22" i="941"/>
  <c r="W22" i="941"/>
  <c r="V22" i="941"/>
  <c r="U22" i="941"/>
  <c r="T22" i="941"/>
  <c r="S22" i="941"/>
  <c r="R22" i="941"/>
  <c r="Z21" i="941"/>
  <c r="Y21" i="941"/>
  <c r="X21" i="941"/>
  <c r="W21" i="941"/>
  <c r="V21" i="941"/>
  <c r="U21" i="941"/>
  <c r="T21" i="941"/>
  <c r="S21" i="941"/>
  <c r="R21" i="941"/>
  <c r="Z20" i="941"/>
  <c r="Y20" i="941"/>
  <c r="X20" i="941"/>
  <c r="W20" i="941"/>
  <c r="V20" i="941"/>
  <c r="U20" i="941"/>
  <c r="T20" i="941"/>
  <c r="S20" i="941"/>
  <c r="R20" i="941"/>
  <c r="Z19" i="941"/>
  <c r="Y19" i="941"/>
  <c r="X19" i="941"/>
  <c r="W19" i="941"/>
  <c r="V19" i="941"/>
  <c r="U19" i="941"/>
  <c r="T19" i="941"/>
  <c r="S19" i="941"/>
  <c r="R19" i="941"/>
  <c r="Z18" i="941"/>
  <c r="Y18" i="941"/>
  <c r="X18" i="941"/>
  <c r="W18" i="941"/>
  <c r="V18" i="941"/>
  <c r="U18" i="941"/>
  <c r="T18" i="941"/>
  <c r="S18" i="941"/>
  <c r="R18" i="941"/>
  <c r="Z17" i="941"/>
  <c r="Y17" i="941"/>
  <c r="X17" i="941"/>
  <c r="W17" i="941"/>
  <c r="V17" i="941"/>
  <c r="U17" i="941"/>
  <c r="T17" i="941"/>
  <c r="S17" i="941"/>
  <c r="R17" i="941"/>
  <c r="Z16" i="941"/>
  <c r="Y16" i="941"/>
  <c r="X16" i="941"/>
  <c r="W16" i="941"/>
  <c r="V16" i="941"/>
  <c r="U16" i="941"/>
  <c r="T16" i="941"/>
  <c r="S16" i="941"/>
  <c r="R16" i="941"/>
  <c r="Z15" i="941"/>
  <c r="Y15" i="941"/>
  <c r="X15" i="941"/>
  <c r="W15" i="941"/>
  <c r="V15" i="941"/>
  <c r="U15" i="941"/>
  <c r="T15" i="941"/>
  <c r="S15" i="941"/>
  <c r="R15" i="941"/>
  <c r="Z14" i="941"/>
  <c r="Y14" i="941"/>
  <c r="X14" i="941"/>
  <c r="W14" i="941"/>
  <c r="V14" i="941"/>
  <c r="U14" i="941"/>
  <c r="T14" i="941"/>
  <c r="S14" i="941"/>
  <c r="R14" i="941"/>
  <c r="Z13" i="941"/>
  <c r="Y13" i="941"/>
  <c r="X13" i="941"/>
  <c r="W13" i="941"/>
  <c r="V13" i="941"/>
  <c r="U13" i="941"/>
  <c r="T13" i="941"/>
  <c r="S13" i="941"/>
  <c r="R13" i="941"/>
  <c r="Z12" i="941"/>
  <c r="Y12" i="941"/>
  <c r="X12" i="941"/>
  <c r="W12" i="941"/>
  <c r="V12" i="941"/>
  <c r="U12" i="941"/>
  <c r="T12" i="941"/>
  <c r="S12" i="941"/>
  <c r="R12" i="941"/>
  <c r="Z11" i="941"/>
  <c r="Y11" i="941"/>
  <c r="X11" i="941"/>
  <c r="W11" i="941"/>
  <c r="V11" i="941"/>
  <c r="U11" i="941"/>
  <c r="T11" i="941"/>
  <c r="S11" i="941"/>
  <c r="R11" i="941"/>
  <c r="Z10" i="941"/>
  <c r="Y10" i="941"/>
  <c r="X10" i="941"/>
  <c r="W10" i="941"/>
  <c r="V10" i="941"/>
  <c r="U10" i="941"/>
  <c r="T10" i="941"/>
  <c r="S10" i="941"/>
  <c r="R10" i="941"/>
  <c r="L35" i="941" l="1"/>
  <c r="M35" i="941" s="1"/>
  <c r="L35" i="942"/>
  <c r="M35" i="942" s="1"/>
  <c r="J28" i="941"/>
  <c r="M34" i="940" l="1"/>
  <c r="L34" i="940"/>
  <c r="K34" i="940"/>
  <c r="R10" i="940"/>
  <c r="S10" i="940"/>
  <c r="T10" i="940"/>
  <c r="U10" i="940"/>
  <c r="V10" i="940"/>
  <c r="W10" i="940"/>
  <c r="X10" i="940"/>
  <c r="Y10" i="940"/>
  <c r="Z10" i="940"/>
  <c r="R11" i="940"/>
  <c r="S11" i="940"/>
  <c r="T11" i="940"/>
  <c r="U11" i="940"/>
  <c r="V11" i="940"/>
  <c r="W11" i="940"/>
  <c r="X11" i="940"/>
  <c r="Y11" i="940"/>
  <c r="Z11" i="940"/>
  <c r="R12" i="940"/>
  <c r="S12" i="940"/>
  <c r="T12" i="940"/>
  <c r="U12" i="940"/>
  <c r="V12" i="940"/>
  <c r="W12" i="940"/>
  <c r="X12" i="940"/>
  <c r="Y12" i="940"/>
  <c r="Z12" i="940"/>
  <c r="R13" i="940"/>
  <c r="S13" i="940"/>
  <c r="T13" i="940"/>
  <c r="U13" i="940"/>
  <c r="V13" i="940"/>
  <c r="W13" i="940"/>
  <c r="X13" i="940"/>
  <c r="Y13" i="940"/>
  <c r="Z13" i="940"/>
  <c r="R14" i="940"/>
  <c r="S14" i="940"/>
  <c r="T14" i="940"/>
  <c r="U14" i="940"/>
  <c r="V14" i="940"/>
  <c r="W14" i="940"/>
  <c r="X14" i="940"/>
  <c r="Y14" i="940"/>
  <c r="Z14" i="940"/>
  <c r="R15" i="940"/>
  <c r="S15" i="940"/>
  <c r="T15" i="940"/>
  <c r="U15" i="940"/>
  <c r="V15" i="940"/>
  <c r="W15" i="940"/>
  <c r="X15" i="940"/>
  <c r="Y15" i="940"/>
  <c r="Z15" i="940"/>
  <c r="R16" i="940"/>
  <c r="S16" i="940"/>
  <c r="T16" i="940"/>
  <c r="U16" i="940"/>
  <c r="V16" i="940"/>
  <c r="W16" i="940"/>
  <c r="X16" i="940"/>
  <c r="Y16" i="940"/>
  <c r="Z16" i="940"/>
  <c r="R17" i="940"/>
  <c r="S17" i="940"/>
  <c r="T17" i="940"/>
  <c r="U17" i="940"/>
  <c r="V17" i="940"/>
  <c r="W17" i="940"/>
  <c r="X17" i="940"/>
  <c r="Y17" i="940"/>
  <c r="Z17" i="940"/>
  <c r="R18" i="940"/>
  <c r="S18" i="940"/>
  <c r="T18" i="940"/>
  <c r="U18" i="940"/>
  <c r="V18" i="940"/>
  <c r="W18" i="940"/>
  <c r="X18" i="940"/>
  <c r="Y18" i="940"/>
  <c r="Z18" i="940"/>
  <c r="R19" i="940"/>
  <c r="S19" i="940"/>
  <c r="T19" i="940"/>
  <c r="U19" i="940"/>
  <c r="V19" i="940"/>
  <c r="W19" i="940"/>
  <c r="X19" i="940"/>
  <c r="Y19" i="940"/>
  <c r="Z19" i="940"/>
  <c r="R20" i="940"/>
  <c r="S20" i="940"/>
  <c r="T20" i="940"/>
  <c r="U20" i="940"/>
  <c r="V20" i="940"/>
  <c r="W20" i="940"/>
  <c r="X20" i="940"/>
  <c r="Y20" i="940"/>
  <c r="Z20" i="940"/>
  <c r="R21" i="940"/>
  <c r="S21" i="940"/>
  <c r="T21" i="940"/>
  <c r="U21" i="940"/>
  <c r="V21" i="940"/>
  <c r="W21" i="940"/>
  <c r="X21" i="940"/>
  <c r="Y21" i="940"/>
  <c r="Z21" i="940"/>
  <c r="R22" i="940"/>
  <c r="S22" i="940"/>
  <c r="T22" i="940"/>
  <c r="U22" i="940"/>
  <c r="V22" i="940"/>
  <c r="W22" i="940"/>
  <c r="X22" i="940"/>
  <c r="Y22" i="940"/>
  <c r="Z22" i="940"/>
  <c r="R23" i="940"/>
  <c r="S23" i="940"/>
  <c r="T23" i="940"/>
  <c r="U23" i="940"/>
  <c r="V23" i="940"/>
  <c r="W23" i="940"/>
  <c r="X23" i="940"/>
  <c r="Y23" i="940"/>
  <c r="Z23" i="940"/>
  <c r="R24" i="940"/>
  <c r="S24" i="940"/>
  <c r="T24" i="940"/>
  <c r="U24" i="940"/>
  <c r="V24" i="940"/>
  <c r="W24" i="940"/>
  <c r="X24" i="940"/>
  <c r="Y24" i="940"/>
  <c r="Z24" i="940"/>
  <c r="R25" i="940"/>
  <c r="S25" i="940"/>
  <c r="T25" i="940"/>
  <c r="U25" i="940"/>
  <c r="V25" i="940"/>
  <c r="W25" i="940"/>
  <c r="X25" i="940"/>
  <c r="Y25" i="940"/>
  <c r="Z25" i="940"/>
  <c r="R26" i="940"/>
  <c r="S26" i="940"/>
  <c r="T26" i="940"/>
  <c r="U26" i="940"/>
  <c r="V26" i="940"/>
  <c r="W26" i="940"/>
  <c r="X26" i="940"/>
  <c r="Y26" i="940"/>
  <c r="Z26" i="940"/>
  <c r="R27" i="940"/>
  <c r="S27" i="940"/>
  <c r="T27" i="940"/>
  <c r="U27" i="940"/>
  <c r="V27" i="940"/>
  <c r="W27" i="940"/>
  <c r="X27" i="940"/>
  <c r="Y27" i="940"/>
  <c r="Z27" i="940"/>
  <c r="R28" i="940"/>
  <c r="S28" i="940"/>
  <c r="T28" i="940"/>
  <c r="U28" i="940"/>
  <c r="V28" i="940"/>
  <c r="W28" i="940"/>
  <c r="X28" i="940"/>
  <c r="Y28" i="940"/>
  <c r="Z28" i="940"/>
  <c r="C11" i="940"/>
  <c r="D11" i="940"/>
  <c r="E11" i="940"/>
  <c r="F11" i="940"/>
  <c r="G11" i="940"/>
  <c r="I11" i="940"/>
  <c r="J11" i="940"/>
  <c r="L11" i="940"/>
  <c r="M11" i="940"/>
  <c r="N11" i="940"/>
  <c r="O11" i="940"/>
  <c r="C12" i="940"/>
  <c r="D12" i="940"/>
  <c r="E12" i="940"/>
  <c r="F12" i="940"/>
  <c r="G12" i="940"/>
  <c r="I12" i="940"/>
  <c r="J12" i="940"/>
  <c r="L12" i="940"/>
  <c r="M12" i="940"/>
  <c r="N12" i="940"/>
  <c r="O12" i="940"/>
  <c r="C13" i="940"/>
  <c r="D13" i="940"/>
  <c r="E13" i="940"/>
  <c r="F13" i="940"/>
  <c r="G13" i="940"/>
  <c r="I13" i="940"/>
  <c r="J13" i="940"/>
  <c r="L13" i="940"/>
  <c r="M13" i="940"/>
  <c r="N13" i="940"/>
  <c r="O13" i="940"/>
  <c r="C14" i="940"/>
  <c r="D14" i="940"/>
  <c r="E14" i="940"/>
  <c r="F14" i="940"/>
  <c r="G14" i="940"/>
  <c r="I14" i="940"/>
  <c r="J14" i="940"/>
  <c r="L14" i="940"/>
  <c r="M14" i="940"/>
  <c r="N14" i="940"/>
  <c r="O14" i="940"/>
  <c r="C15" i="940"/>
  <c r="D15" i="940"/>
  <c r="E15" i="940"/>
  <c r="F15" i="940"/>
  <c r="G15" i="940"/>
  <c r="I15" i="940"/>
  <c r="J15" i="940"/>
  <c r="L15" i="940"/>
  <c r="M15" i="940"/>
  <c r="N15" i="940"/>
  <c r="O15" i="940"/>
  <c r="C16" i="940"/>
  <c r="D16" i="940"/>
  <c r="E16" i="940"/>
  <c r="F16" i="940"/>
  <c r="G16" i="940"/>
  <c r="I16" i="940"/>
  <c r="J16" i="940"/>
  <c r="L16" i="940"/>
  <c r="M16" i="940"/>
  <c r="N16" i="940"/>
  <c r="O16" i="940"/>
  <c r="C10" i="940"/>
  <c r="D10" i="940"/>
  <c r="E10" i="940"/>
  <c r="F10" i="940"/>
  <c r="G10" i="940"/>
  <c r="I10" i="940"/>
  <c r="J10" i="940"/>
  <c r="L10" i="940"/>
  <c r="M10" i="940"/>
  <c r="N10" i="940"/>
  <c r="O10" i="940"/>
  <c r="J34" i="940" l="1"/>
  <c r="J60" i="19"/>
  <c r="J63" i="19"/>
  <c r="J64" i="19"/>
  <c r="G60" i="19"/>
  <c r="G61" i="19"/>
  <c r="G63" i="19"/>
  <c r="G64" i="19"/>
  <c r="J60" i="18"/>
  <c r="J61" i="18"/>
  <c r="J63" i="18"/>
  <c r="J64" i="18"/>
  <c r="G60" i="18"/>
  <c r="G61" i="18"/>
  <c r="G63" i="18"/>
  <c r="G64" i="18"/>
  <c r="D60" i="18"/>
  <c r="D61" i="18"/>
  <c r="D63" i="18"/>
  <c r="D64" i="18"/>
  <c r="R29" i="940" l="1"/>
  <c r="S29" i="940"/>
  <c r="T29" i="940"/>
  <c r="U29" i="940"/>
  <c r="V29" i="940"/>
  <c r="W29" i="940"/>
  <c r="X29" i="940"/>
  <c r="Y29" i="940"/>
  <c r="Z29" i="940"/>
  <c r="R30" i="940"/>
  <c r="S30" i="940"/>
  <c r="T30" i="940"/>
  <c r="U30" i="940"/>
  <c r="V30" i="940"/>
  <c r="W30" i="940"/>
  <c r="X30" i="940"/>
  <c r="Y30" i="940"/>
  <c r="Z30" i="940"/>
  <c r="R31" i="940"/>
  <c r="S31" i="940"/>
  <c r="T31" i="940"/>
  <c r="U31" i="940"/>
  <c r="V31" i="940"/>
  <c r="W31" i="940"/>
  <c r="X31" i="940"/>
  <c r="Y31" i="940"/>
  <c r="Z31" i="940"/>
  <c r="R32" i="940"/>
  <c r="S32" i="940"/>
  <c r="T32" i="940"/>
  <c r="U32" i="940"/>
  <c r="V32" i="940"/>
  <c r="W32" i="940"/>
  <c r="X32" i="940"/>
  <c r="Y32" i="940"/>
  <c r="Z32" i="940"/>
  <c r="R33" i="940"/>
  <c r="S33" i="940"/>
  <c r="T33" i="940"/>
  <c r="U33" i="940"/>
  <c r="V33" i="940"/>
  <c r="W33" i="940"/>
  <c r="X33" i="940"/>
  <c r="Y33" i="940"/>
  <c r="Z33" i="940"/>
  <c r="R34" i="940"/>
  <c r="S34" i="940"/>
  <c r="T34" i="940"/>
  <c r="U34" i="940"/>
  <c r="V34" i="940"/>
  <c r="W34" i="940"/>
  <c r="X34" i="940"/>
  <c r="Y34" i="940"/>
  <c r="Z34" i="940"/>
  <c r="R35" i="940"/>
  <c r="S35" i="940"/>
  <c r="T35" i="940"/>
  <c r="U35" i="940"/>
  <c r="V35" i="940"/>
  <c r="W35" i="940"/>
  <c r="X35" i="940"/>
  <c r="Y35" i="940"/>
  <c r="Z35" i="940"/>
  <c r="M32" i="940"/>
  <c r="M31" i="940"/>
  <c r="F78" i="940" l="1"/>
  <c r="L64" i="940"/>
  <c r="AX62" i="940"/>
  <c r="AW62" i="940"/>
  <c r="AV62" i="940"/>
  <c r="AU62" i="940"/>
  <c r="AT62" i="940"/>
  <c r="AS62" i="940"/>
  <c r="AR62" i="940"/>
  <c r="AQ62" i="940"/>
  <c r="AP62" i="940"/>
  <c r="AO62" i="940"/>
  <c r="AN62" i="940"/>
  <c r="AM62" i="940"/>
  <c r="AL62" i="940"/>
  <c r="AK62" i="940"/>
  <c r="AJ62" i="940"/>
  <c r="AI62" i="940"/>
  <c r="AH62" i="940"/>
  <c r="AG62" i="940"/>
  <c r="AF62" i="940"/>
  <c r="AE62" i="940"/>
  <c r="AD62" i="940"/>
  <c r="AC62" i="940"/>
  <c r="AB62" i="940"/>
  <c r="AX61" i="940"/>
  <c r="AW61" i="940"/>
  <c r="AV61" i="940"/>
  <c r="AU61" i="940"/>
  <c r="AT61" i="940"/>
  <c r="AS61" i="940"/>
  <c r="AR61" i="940"/>
  <c r="AQ61" i="940"/>
  <c r="AP61" i="940"/>
  <c r="AO61" i="940"/>
  <c r="AN61" i="940"/>
  <c r="AM61" i="940"/>
  <c r="AL61" i="940"/>
  <c r="AK61" i="940"/>
  <c r="AJ61" i="940"/>
  <c r="AI61" i="940"/>
  <c r="AH61" i="940"/>
  <c r="AG61" i="940"/>
  <c r="AF61" i="940"/>
  <c r="AE61" i="940"/>
  <c r="AD61" i="940"/>
  <c r="AC61" i="940"/>
  <c r="AB61" i="940"/>
  <c r="AX60" i="940"/>
  <c r="AW60" i="940"/>
  <c r="AV60" i="940"/>
  <c r="AU60" i="940"/>
  <c r="AT60" i="940"/>
  <c r="AS60" i="940"/>
  <c r="AR60" i="940"/>
  <c r="AQ60" i="940"/>
  <c r="AP60" i="940"/>
  <c r="AO60" i="940"/>
  <c r="AN60" i="940"/>
  <c r="AM60" i="940"/>
  <c r="AL60" i="940"/>
  <c r="AK60" i="940"/>
  <c r="AJ60" i="940"/>
  <c r="AI60" i="940"/>
  <c r="AH60" i="940"/>
  <c r="AG60" i="940"/>
  <c r="AF60" i="940"/>
  <c r="AE60" i="940"/>
  <c r="AD60" i="940"/>
  <c r="AC60" i="940"/>
  <c r="AB60" i="940"/>
  <c r="K55" i="940"/>
  <c r="L46" i="940" s="1"/>
  <c r="M46" i="940" s="1"/>
  <c r="Z42" i="940"/>
  <c r="Y42" i="940"/>
  <c r="X42" i="940"/>
  <c r="W42" i="940"/>
  <c r="V42" i="940"/>
  <c r="U42" i="940"/>
  <c r="T42" i="940"/>
  <c r="S42" i="940"/>
  <c r="R42" i="940"/>
  <c r="Z41" i="940"/>
  <c r="Y41" i="940"/>
  <c r="X41" i="940"/>
  <c r="W41" i="940"/>
  <c r="V41" i="940"/>
  <c r="U41" i="940"/>
  <c r="T41" i="940"/>
  <c r="S41" i="940"/>
  <c r="R41" i="940"/>
  <c r="Z40" i="940"/>
  <c r="Y40" i="940"/>
  <c r="X40" i="940"/>
  <c r="W40" i="940"/>
  <c r="V40" i="940"/>
  <c r="U40" i="940"/>
  <c r="T40" i="940"/>
  <c r="S40" i="940"/>
  <c r="R40" i="940"/>
  <c r="Z39" i="940"/>
  <c r="Y39" i="940"/>
  <c r="X39" i="940"/>
  <c r="W39" i="940"/>
  <c r="V39" i="940"/>
  <c r="U39" i="940"/>
  <c r="T39" i="940"/>
  <c r="S39" i="940"/>
  <c r="R39" i="940"/>
  <c r="Z38" i="940"/>
  <c r="Y38" i="940"/>
  <c r="X38" i="940"/>
  <c r="W38" i="940"/>
  <c r="V38" i="940"/>
  <c r="U38" i="940"/>
  <c r="T38" i="940"/>
  <c r="S38" i="940"/>
  <c r="R38" i="940"/>
  <c r="Z37" i="940"/>
  <c r="Y37" i="940"/>
  <c r="X37" i="940"/>
  <c r="W37" i="940"/>
  <c r="V37" i="940"/>
  <c r="U37" i="940"/>
  <c r="T37" i="940"/>
  <c r="S37" i="940"/>
  <c r="R37" i="940"/>
  <c r="M37" i="940"/>
  <c r="Z36" i="940"/>
  <c r="Y36" i="940"/>
  <c r="X36" i="940"/>
  <c r="W36" i="940"/>
  <c r="V36" i="940"/>
  <c r="U36" i="940"/>
  <c r="T36" i="940"/>
  <c r="S36" i="940"/>
  <c r="R36" i="940"/>
  <c r="M36" i="940"/>
  <c r="M33" i="940"/>
  <c r="K41" i="940" l="1"/>
  <c r="L41" i="940" s="1"/>
  <c r="M41" i="940" s="1"/>
  <c r="O47" i="21" l="1"/>
  <c r="N47" i="21"/>
  <c r="M47" i="21"/>
  <c r="L47" i="21"/>
  <c r="K47" i="21"/>
  <c r="J47" i="21"/>
  <c r="I47" i="21"/>
  <c r="G47" i="21"/>
  <c r="F47" i="21"/>
  <c r="D47" i="21"/>
  <c r="D45" i="21"/>
  <c r="P45" i="21" s="1"/>
  <c r="F9" i="21" s="1"/>
  <c r="H44" i="21"/>
  <c r="E44" i="21"/>
  <c r="D44" i="21"/>
  <c r="P42" i="21"/>
  <c r="H41" i="21"/>
  <c r="E41" i="21"/>
  <c r="D41" i="21"/>
  <c r="H40" i="21"/>
  <c r="E40" i="21"/>
  <c r="D40" i="21"/>
  <c r="F38" i="21"/>
  <c r="E9" i="21"/>
  <c r="E8" i="21"/>
  <c r="F7" i="21"/>
  <c r="E7" i="21"/>
  <c r="E6" i="21"/>
  <c r="E5" i="21"/>
  <c r="E3" i="21"/>
  <c r="D37" i="19"/>
  <c r="D36" i="19"/>
  <c r="D34" i="19"/>
  <c r="D33" i="19"/>
  <c r="E29" i="19"/>
  <c r="E27" i="19"/>
  <c r="K26" i="19"/>
  <c r="K25" i="19"/>
  <c r="K24" i="19"/>
  <c r="K23" i="19"/>
  <c r="J13" i="19"/>
  <c r="I13" i="19"/>
  <c r="H13" i="19"/>
  <c r="G13" i="19"/>
  <c r="F13" i="19"/>
  <c r="E13" i="19"/>
  <c r="D13" i="19"/>
  <c r="C13" i="19"/>
  <c r="E26" i="19" s="1"/>
  <c r="J12" i="19"/>
  <c r="I12" i="19"/>
  <c r="H12" i="19"/>
  <c r="G12" i="19"/>
  <c r="F12" i="19"/>
  <c r="E12" i="19"/>
  <c r="D12" i="19"/>
  <c r="C12" i="19"/>
  <c r="E25" i="19" s="1"/>
  <c r="J11" i="19"/>
  <c r="I11" i="19"/>
  <c r="H11" i="19"/>
  <c r="G11" i="19"/>
  <c r="F11" i="19"/>
  <c r="E11" i="19"/>
  <c r="D11" i="19"/>
  <c r="C11" i="19"/>
  <c r="E24" i="19" s="1"/>
  <c r="J10" i="19"/>
  <c r="I10" i="19"/>
  <c r="H10" i="19"/>
  <c r="G10" i="19"/>
  <c r="F10" i="19"/>
  <c r="E10" i="19"/>
  <c r="D10" i="19"/>
  <c r="C10" i="19"/>
  <c r="E23" i="19" s="1"/>
  <c r="D37" i="18"/>
  <c r="D36" i="18"/>
  <c r="D34" i="18"/>
  <c r="D33" i="18"/>
  <c r="E29" i="18"/>
  <c r="E27" i="18"/>
  <c r="K26" i="18"/>
  <c r="K25" i="18"/>
  <c r="K24" i="18"/>
  <c r="K23" i="18"/>
  <c r="J13" i="18"/>
  <c r="I13" i="18"/>
  <c r="H13" i="18"/>
  <c r="G13" i="18"/>
  <c r="F13" i="18"/>
  <c r="E13" i="18"/>
  <c r="D13" i="18"/>
  <c r="C13" i="18"/>
  <c r="E26" i="18" s="1"/>
  <c r="J12" i="18"/>
  <c r="I12" i="18"/>
  <c r="H12" i="18"/>
  <c r="G12" i="18"/>
  <c r="F12" i="18"/>
  <c r="E12" i="18"/>
  <c r="D12" i="18"/>
  <c r="C12" i="18"/>
  <c r="E25" i="18" s="1"/>
  <c r="J11" i="18"/>
  <c r="I11" i="18"/>
  <c r="H11" i="18"/>
  <c r="G11" i="18"/>
  <c r="F11" i="18"/>
  <c r="E11" i="18"/>
  <c r="D11" i="18"/>
  <c r="C11" i="18"/>
  <c r="E24" i="18" s="1"/>
  <c r="J10" i="18"/>
  <c r="I10" i="18"/>
  <c r="H10" i="18"/>
  <c r="G10" i="18"/>
  <c r="F10" i="18"/>
  <c r="E10" i="18"/>
  <c r="D10" i="18"/>
  <c r="C10" i="18"/>
  <c r="E23" i="18" s="1"/>
  <c r="F94" i="658"/>
  <c r="G90" i="658"/>
  <c r="AY80" i="658"/>
  <c r="AX80" i="658"/>
  <c r="AW80" i="658"/>
  <c r="AV80" i="658"/>
  <c r="AU80" i="658"/>
  <c r="AT80" i="658"/>
  <c r="AS80" i="658"/>
  <c r="AR80" i="658"/>
  <c r="AQ80" i="658"/>
  <c r="AP80" i="658"/>
  <c r="AO80" i="658"/>
  <c r="AN80" i="658"/>
  <c r="AM80" i="658"/>
  <c r="AL80" i="658"/>
  <c r="AK80" i="658"/>
  <c r="AJ80" i="658"/>
  <c r="AI80" i="658"/>
  <c r="AH80" i="658"/>
  <c r="AG80" i="658"/>
  <c r="AF80" i="658"/>
  <c r="AE80" i="658"/>
  <c r="AD80" i="658"/>
  <c r="AC80" i="658"/>
  <c r="AB80" i="658"/>
  <c r="AA80" i="658"/>
  <c r="Z80" i="658"/>
  <c r="Y80" i="658"/>
  <c r="X80" i="658"/>
  <c r="W80" i="658"/>
  <c r="V80" i="658"/>
  <c r="U80" i="658"/>
  <c r="K79" i="658"/>
  <c r="K90" i="658" s="1"/>
  <c r="G79" i="658"/>
  <c r="D79" i="658"/>
  <c r="K74" i="658"/>
  <c r="D72" i="658"/>
  <c r="M65" i="658"/>
  <c r="L65" i="658"/>
  <c r="M58" i="658"/>
  <c r="M57" i="658"/>
  <c r="M56" i="658"/>
  <c r="L56" i="658"/>
  <c r="K56" i="658"/>
  <c r="M55" i="658"/>
  <c r="M53" i="658"/>
  <c r="L53" i="658"/>
  <c r="K53" i="658"/>
  <c r="M52" i="658"/>
  <c r="L52" i="658"/>
  <c r="K52" i="658"/>
  <c r="M51" i="658"/>
  <c r="L51" i="658"/>
  <c r="K51" i="658"/>
  <c r="M50" i="658"/>
  <c r="L50" i="658"/>
  <c r="K50" i="658"/>
  <c r="AA47" i="658"/>
  <c r="Z47" i="658"/>
  <c r="Y47" i="658"/>
  <c r="X47" i="658"/>
  <c r="W47" i="658"/>
  <c r="V47" i="658"/>
  <c r="U47" i="658"/>
  <c r="T47" i="658"/>
  <c r="S47" i="658"/>
  <c r="AA46" i="658"/>
  <c r="Z46" i="658"/>
  <c r="Y46" i="658"/>
  <c r="X46" i="658"/>
  <c r="W46" i="658"/>
  <c r="V46" i="658"/>
  <c r="U46" i="658"/>
  <c r="T46" i="658"/>
  <c r="S46" i="658"/>
  <c r="AA45" i="658"/>
  <c r="Z45" i="658"/>
  <c r="Y45" i="658"/>
  <c r="X45" i="658"/>
  <c r="W45" i="658"/>
  <c r="V45" i="658"/>
  <c r="U45" i="658"/>
  <c r="T45" i="658"/>
  <c r="S45" i="658"/>
  <c r="AA44" i="658"/>
  <c r="Z44" i="658"/>
  <c r="Y44" i="658"/>
  <c r="X44" i="658"/>
  <c r="W44" i="658"/>
  <c r="V44" i="658"/>
  <c r="U44" i="658"/>
  <c r="T44" i="658"/>
  <c r="S44" i="658"/>
  <c r="AA43" i="658"/>
  <c r="Z43" i="658"/>
  <c r="Y43" i="658"/>
  <c r="X43" i="658"/>
  <c r="W43" i="658"/>
  <c r="V43" i="658"/>
  <c r="U43" i="658"/>
  <c r="T43" i="658"/>
  <c r="S43" i="658"/>
  <c r="AA42" i="658"/>
  <c r="Z42" i="658"/>
  <c r="Y42" i="658"/>
  <c r="X42" i="658"/>
  <c r="W42" i="658"/>
  <c r="V42" i="658"/>
  <c r="U42" i="658"/>
  <c r="T42" i="658"/>
  <c r="S42" i="658"/>
  <c r="AA41" i="658"/>
  <c r="Z41" i="658"/>
  <c r="Y41" i="658"/>
  <c r="X41" i="658"/>
  <c r="W41" i="658"/>
  <c r="V41" i="658"/>
  <c r="U41" i="658"/>
  <c r="T41" i="658"/>
  <c r="S41" i="658"/>
  <c r="AA40" i="658"/>
  <c r="Z40" i="658"/>
  <c r="Y40" i="658"/>
  <c r="X40" i="658"/>
  <c r="W40" i="658"/>
  <c r="V40" i="658"/>
  <c r="U40" i="658"/>
  <c r="T40" i="658"/>
  <c r="S40" i="658"/>
  <c r="AA39" i="658"/>
  <c r="Z39" i="658"/>
  <c r="Y39" i="658"/>
  <c r="X39" i="658"/>
  <c r="W39" i="658"/>
  <c r="V39" i="658"/>
  <c r="U39" i="658"/>
  <c r="T39" i="658"/>
  <c r="S39" i="658"/>
  <c r="AA38" i="658"/>
  <c r="Z38" i="658"/>
  <c r="Y38" i="658"/>
  <c r="X38" i="658"/>
  <c r="W38" i="658"/>
  <c r="V38" i="658"/>
  <c r="U38" i="658"/>
  <c r="T38" i="658"/>
  <c r="S38" i="658"/>
  <c r="AA37" i="658"/>
  <c r="Z37" i="658"/>
  <c r="Y37" i="658"/>
  <c r="X37" i="658"/>
  <c r="W37" i="658"/>
  <c r="V37" i="658"/>
  <c r="U37" i="658"/>
  <c r="T37" i="658"/>
  <c r="S37" i="658"/>
  <c r="AA36" i="658"/>
  <c r="Z36" i="658"/>
  <c r="Y36" i="658"/>
  <c r="X36" i="658"/>
  <c r="W36" i="658"/>
  <c r="V36" i="658"/>
  <c r="U36" i="658"/>
  <c r="T36" i="658"/>
  <c r="S36" i="658"/>
  <c r="AA35" i="658"/>
  <c r="Z35" i="658"/>
  <c r="Y35" i="658"/>
  <c r="X35" i="658"/>
  <c r="W35" i="658"/>
  <c r="V35" i="658"/>
  <c r="U35" i="658"/>
  <c r="T35" i="658"/>
  <c r="S35" i="658"/>
  <c r="AA34" i="658"/>
  <c r="Z34" i="658"/>
  <c r="Y34" i="658"/>
  <c r="X34" i="658"/>
  <c r="W34" i="658"/>
  <c r="V34" i="658"/>
  <c r="U34" i="658"/>
  <c r="T34" i="658"/>
  <c r="S34" i="658"/>
  <c r="AA33" i="658"/>
  <c r="Z33" i="658"/>
  <c r="Y33" i="658"/>
  <c r="X33" i="658"/>
  <c r="W33" i="658"/>
  <c r="V33" i="658"/>
  <c r="U33" i="658"/>
  <c r="T33" i="658"/>
  <c r="S33" i="658"/>
  <c r="AA32" i="658"/>
  <c r="Z32" i="658"/>
  <c r="Y32" i="658"/>
  <c r="X32" i="658"/>
  <c r="W32" i="658"/>
  <c r="V32" i="658"/>
  <c r="U32" i="658"/>
  <c r="T32" i="658"/>
  <c r="S32" i="658"/>
  <c r="AA31" i="658"/>
  <c r="Z31" i="658"/>
  <c r="Y31" i="658"/>
  <c r="X31" i="658"/>
  <c r="W31" i="658"/>
  <c r="V31" i="658"/>
  <c r="U31" i="658"/>
  <c r="T31" i="658"/>
  <c r="S31" i="658"/>
  <c r="AA30" i="658"/>
  <c r="Z30" i="658"/>
  <c r="Y30" i="658"/>
  <c r="X30" i="658"/>
  <c r="W30" i="658"/>
  <c r="V30" i="658"/>
  <c r="U30" i="658"/>
  <c r="T30" i="658"/>
  <c r="S30" i="658"/>
  <c r="AA29" i="658"/>
  <c r="Z29" i="658"/>
  <c r="Y29" i="658"/>
  <c r="X29" i="658"/>
  <c r="W29" i="658"/>
  <c r="V29" i="658"/>
  <c r="U29" i="658"/>
  <c r="T29" i="658"/>
  <c r="S29" i="658"/>
  <c r="AA28" i="658"/>
  <c r="Z28" i="658"/>
  <c r="Y28" i="658"/>
  <c r="X28" i="658"/>
  <c r="W28" i="658"/>
  <c r="V28" i="658"/>
  <c r="U28" i="658"/>
  <c r="T28" i="658"/>
  <c r="S28" i="658"/>
  <c r="AA27" i="658"/>
  <c r="Z27" i="658"/>
  <c r="Y27" i="658"/>
  <c r="X27" i="658"/>
  <c r="W27" i="658"/>
  <c r="V27" i="658"/>
  <c r="U27" i="658"/>
  <c r="T27" i="658"/>
  <c r="S27" i="658"/>
  <c r="AA26" i="658"/>
  <c r="Z26" i="658"/>
  <c r="Y26" i="658"/>
  <c r="X26" i="658"/>
  <c r="W26" i="658"/>
  <c r="V26" i="658"/>
  <c r="U26" i="658"/>
  <c r="T26" i="658"/>
  <c r="S26" i="658"/>
  <c r="AA25" i="658"/>
  <c r="Z25" i="658"/>
  <c r="Y25" i="658"/>
  <c r="X25" i="658"/>
  <c r="W25" i="658"/>
  <c r="V25" i="658"/>
  <c r="U25" i="658"/>
  <c r="T25" i="658"/>
  <c r="S25" i="658"/>
  <c r="AA24" i="658"/>
  <c r="Z24" i="658"/>
  <c r="Y24" i="658"/>
  <c r="X24" i="658"/>
  <c r="W24" i="658"/>
  <c r="V24" i="658"/>
  <c r="U24" i="658"/>
  <c r="T24" i="658"/>
  <c r="S24" i="658"/>
  <c r="AA23" i="658"/>
  <c r="Z23" i="658"/>
  <c r="Y23" i="658"/>
  <c r="X23" i="658"/>
  <c r="W23" i="658"/>
  <c r="V23" i="658"/>
  <c r="U23" i="658"/>
  <c r="T23" i="658"/>
  <c r="S23" i="658"/>
  <c r="AA22" i="658"/>
  <c r="Z22" i="658"/>
  <c r="Y22" i="658"/>
  <c r="X22" i="658"/>
  <c r="W22" i="658"/>
  <c r="V22" i="658"/>
  <c r="U22" i="658"/>
  <c r="T22" i="658"/>
  <c r="S22" i="658"/>
  <c r="AA21" i="658"/>
  <c r="Z21" i="658"/>
  <c r="Y21" i="658"/>
  <c r="X21" i="658"/>
  <c r="W21" i="658"/>
  <c r="V21" i="658"/>
  <c r="U21" i="658"/>
  <c r="T21" i="658"/>
  <c r="S21" i="658"/>
  <c r="AA20" i="658"/>
  <c r="Z20" i="658"/>
  <c r="Y20" i="658"/>
  <c r="X20" i="658"/>
  <c r="W20" i="658"/>
  <c r="V20" i="658"/>
  <c r="U20" i="658"/>
  <c r="T20" i="658"/>
  <c r="S20" i="658"/>
  <c r="AA19" i="658"/>
  <c r="Z19" i="658"/>
  <c r="Y19" i="658"/>
  <c r="X19" i="658"/>
  <c r="W19" i="658"/>
  <c r="V19" i="658"/>
  <c r="U19" i="658"/>
  <c r="T19" i="658"/>
  <c r="S19" i="658"/>
  <c r="AA18" i="658"/>
  <c r="Z18" i="658"/>
  <c r="Y18" i="658"/>
  <c r="X18" i="658"/>
  <c r="W18" i="658"/>
  <c r="V18" i="658"/>
  <c r="U18" i="658"/>
  <c r="T18" i="658"/>
  <c r="S18" i="658"/>
  <c r="AA17" i="658"/>
  <c r="Z17" i="658"/>
  <c r="Y17" i="658"/>
  <c r="X17" i="658"/>
  <c r="W17" i="658"/>
  <c r="V17" i="658"/>
  <c r="U17" i="658"/>
  <c r="T17" i="658"/>
  <c r="S17" i="658"/>
  <c r="AA16" i="658"/>
  <c r="Z16" i="658"/>
  <c r="Y16" i="658"/>
  <c r="X16" i="658"/>
  <c r="W16" i="658"/>
  <c r="V16" i="658"/>
  <c r="U16" i="658"/>
  <c r="T16" i="658"/>
  <c r="S16" i="658"/>
  <c r="AA15" i="658"/>
  <c r="Z15" i="658"/>
  <c r="Y15" i="658"/>
  <c r="X15" i="658"/>
  <c r="W15" i="658"/>
  <c r="V15" i="658"/>
  <c r="U15" i="658"/>
  <c r="T15" i="658"/>
  <c r="S15" i="658"/>
  <c r="AA14" i="658"/>
  <c r="Z14" i="658"/>
  <c r="Y14" i="658"/>
  <c r="X14" i="658"/>
  <c r="W14" i="658"/>
  <c r="V14" i="658"/>
  <c r="U14" i="658"/>
  <c r="T14" i="658"/>
  <c r="S14" i="658"/>
  <c r="AA13" i="658"/>
  <c r="Z13" i="658"/>
  <c r="Y13" i="658"/>
  <c r="X13" i="658"/>
  <c r="W13" i="658"/>
  <c r="V13" i="658"/>
  <c r="U13" i="658"/>
  <c r="T13" i="658"/>
  <c r="S13" i="658"/>
  <c r="AA12" i="658"/>
  <c r="Z12" i="658"/>
  <c r="Y12" i="658"/>
  <c r="X12" i="658"/>
  <c r="W12" i="658"/>
  <c r="V12" i="658"/>
  <c r="U12" i="658"/>
  <c r="T12" i="658"/>
  <c r="S12" i="658"/>
  <c r="AA11" i="658"/>
  <c r="Z11" i="658"/>
  <c r="Y11" i="658"/>
  <c r="X11" i="658"/>
  <c r="W11" i="658"/>
  <c r="V11" i="658"/>
  <c r="U11" i="658"/>
  <c r="T11" i="658"/>
  <c r="S11" i="658"/>
  <c r="AA10" i="658"/>
  <c r="Z10" i="658"/>
  <c r="Y10" i="658"/>
  <c r="X10" i="658"/>
  <c r="W10" i="658"/>
  <c r="V10" i="658"/>
  <c r="U10" i="658"/>
  <c r="T10" i="658"/>
  <c r="S10" i="658"/>
  <c r="K59" i="658" l="1"/>
  <c r="L59" i="658" s="1"/>
  <c r="M59" i="658" s="1"/>
  <c r="C33" i="18"/>
  <c r="P44" i="21"/>
  <c r="F8" i="21" s="1"/>
  <c r="L79" i="658"/>
  <c r="C90" i="658" s="1"/>
  <c r="I20" i="18"/>
  <c r="E10" i="21"/>
  <c r="I20" i="19"/>
  <c r="C33" i="19"/>
  <c r="P40" i="21"/>
  <c r="F5" i="21" s="1"/>
  <c r="E47" i="21"/>
  <c r="H47" i="21"/>
  <c r="P41" i="21"/>
  <c r="F6" i="21" s="1"/>
  <c r="D40" i="18"/>
  <c r="D40" i="19"/>
  <c r="P47" i="21" l="1"/>
  <c r="F10" i="21" s="1"/>
  <c r="K10" i="940" l="1"/>
  <c r="K11" i="940"/>
  <c r="K12" i="940"/>
  <c r="K13" i="940"/>
  <c r="K14" i="940"/>
  <c r="K15" i="940"/>
  <c r="K16" i="940"/>
  <c r="N11" i="941"/>
  <c r="N12" i="941"/>
  <c r="N11" i="943" l="1"/>
  <c r="N12" i="943"/>
  <c r="N13" i="943"/>
  <c r="N14" i="943"/>
  <c r="N15" i="943"/>
  <c r="N16" i="943"/>
  <c r="N17" i="943"/>
  <c r="N18" i="943"/>
  <c r="N10" i="943" l="1"/>
  <c r="N10" i="944" l="1"/>
  <c r="N11" i="944"/>
  <c r="I12" i="944"/>
  <c r="I14" i="944"/>
  <c r="J14" i="944"/>
  <c r="I15" i="944"/>
  <c r="J15" i="944"/>
  <c r="I16" i="944"/>
  <c r="J16" i="944"/>
  <c r="J13" i="944" l="1"/>
  <c r="J12" i="944"/>
  <c r="I13" i="944"/>
  <c r="J11" i="944" l="1"/>
  <c r="J10" i="944"/>
  <c r="I10" i="944" l="1"/>
  <c r="I11" i="944"/>
  <c r="J28" i="944" l="1"/>
  <c r="K12" i="946" l="1"/>
  <c r="K13" i="946"/>
  <c r="K14" i="946"/>
  <c r="K15" i="946"/>
  <c r="K16" i="946"/>
  <c r="K17" i="946"/>
  <c r="K14" i="945"/>
  <c r="K15" i="945"/>
  <c r="K16" i="945"/>
  <c r="K10" i="946"/>
  <c r="K11" i="946"/>
  <c r="K13" i="945"/>
  <c r="J19" i="948" l="1"/>
  <c r="J18" i="948"/>
  <c r="J17" i="948"/>
  <c r="J16" i="948"/>
  <c r="J15" i="948"/>
  <c r="J14" i="948"/>
  <c r="I14" i="948" l="1"/>
  <c r="N10" i="951" l="1"/>
  <c r="C10" i="951"/>
  <c r="C11" i="951"/>
  <c r="C12" i="951"/>
  <c r="C13" i="951"/>
  <c r="I18" i="950" l="1"/>
  <c r="I19" i="950"/>
  <c r="I24" i="950"/>
  <c r="I23" i="950"/>
  <c r="I22" i="950"/>
  <c r="I14" i="949" l="1"/>
  <c r="I13" i="949"/>
  <c r="I17" i="950" l="1"/>
  <c r="I18" i="949"/>
  <c r="I16" i="949"/>
  <c r="I15" i="949"/>
  <c r="I17" i="949"/>
  <c r="I11" i="949"/>
  <c r="I12" i="949"/>
  <c r="I14" i="950" l="1"/>
  <c r="I12" i="950"/>
  <c r="I16" i="950"/>
  <c r="I10" i="950"/>
  <c r="I21" i="949"/>
  <c r="I11" i="950"/>
  <c r="I15" i="950" l="1"/>
  <c r="I13" i="950"/>
  <c r="J49" i="950" l="1"/>
  <c r="I10" i="949" l="1"/>
  <c r="J27" i="949" s="1"/>
  <c r="I19" i="948"/>
  <c r="I18" i="948"/>
  <c r="I17" i="948"/>
  <c r="I16" i="948"/>
  <c r="L44" i="951" l="1"/>
  <c r="M44" i="951" s="1"/>
  <c r="M49" i="950"/>
  <c r="L49" i="950"/>
  <c r="L59" i="950" s="1"/>
  <c r="M59" i="950" s="1"/>
  <c r="M27" i="949"/>
  <c r="L27" i="949"/>
  <c r="L37" i="949" s="1"/>
  <c r="M37" i="949" s="1"/>
  <c r="M26" i="948"/>
  <c r="L26" i="948"/>
  <c r="L36" i="948" s="1"/>
  <c r="M36" i="948" s="1"/>
  <c r="I15" i="948"/>
  <c r="J26" i="948" s="1"/>
  <c r="D64" i="19" l="1"/>
  <c r="D60" i="19"/>
  <c r="D61" i="19"/>
  <c r="D63" i="19"/>
  <c r="J17" i="955" l="1"/>
  <c r="I17" i="955"/>
  <c r="I18" i="955"/>
  <c r="J18" i="955"/>
  <c r="J43" i="955" l="1"/>
  <c r="N13" i="955" l="1"/>
  <c r="G57" i="953" l="1"/>
  <c r="G63" i="951"/>
  <c r="G78" i="950"/>
  <c r="G55" i="948"/>
  <c r="G58" i="946"/>
  <c r="G56" i="943"/>
  <c r="G54" i="941"/>
  <c r="G54" i="942"/>
  <c r="G56" i="942" l="1"/>
  <c r="G60" i="946"/>
  <c r="G56" i="949"/>
  <c r="G60" i="952"/>
  <c r="G58" i="943"/>
  <c r="G54" i="945"/>
  <c r="G72" i="955"/>
  <c r="K72" i="955" l="1"/>
  <c r="K85" i="955" s="1"/>
  <c r="K78" i="950"/>
  <c r="K93" i="950" s="1"/>
  <c r="K55" i="948"/>
  <c r="K69" i="948" s="1"/>
  <c r="K72" i="954" l="1"/>
  <c r="K57" i="953"/>
  <c r="K70" i="953" s="1"/>
  <c r="K56" i="949"/>
  <c r="K54" i="945" l="1"/>
  <c r="K69" i="945" s="1"/>
  <c r="K58" i="943"/>
  <c r="K72" i="943" s="1"/>
  <c r="K54" i="942" l="1"/>
  <c r="K54" i="941"/>
  <c r="K68" i="941" s="1"/>
  <c r="K56" i="942"/>
  <c r="J62" i="18" l="1"/>
  <c r="J58" i="18"/>
  <c r="J62" i="19" l="1"/>
  <c r="J61" i="19"/>
  <c r="J58" i="19"/>
  <c r="K56" i="943" l="1"/>
  <c r="K69" i="943" s="1"/>
  <c r="K63" i="951" l="1"/>
  <c r="K76" i="951" s="1"/>
  <c r="K58" i="946"/>
  <c r="K60" i="952"/>
  <c r="K73" i="952" s="1"/>
  <c r="K60" i="946"/>
  <c r="K71" i="946" l="1"/>
  <c r="J56" i="18"/>
  <c r="J56" i="19" l="1"/>
  <c r="N11" i="957" l="1"/>
  <c r="C31" i="952" l="1" a="1"/>
  <c r="C31" i="952" s="1"/>
  <c r="C34" i="951" l="1" a="1"/>
  <c r="C34" i="951" s="1"/>
  <c r="U35" i="957" l="1"/>
  <c r="U34" i="957"/>
  <c r="U44" i="957"/>
  <c r="U26" i="957"/>
  <c r="U42" i="957"/>
  <c r="U38" i="957"/>
  <c r="U24" i="957"/>
  <c r="U36" i="957"/>
  <c r="U40" i="957"/>
  <c r="U43" i="957"/>
  <c r="U41" i="957"/>
  <c r="U39" i="957"/>
  <c r="U30" i="957"/>
  <c r="U28" i="957"/>
  <c r="U22" i="957"/>
  <c r="U31" i="957"/>
  <c r="U25" i="957"/>
  <c r="U23" i="957"/>
  <c r="U21" i="957"/>
  <c r="U29" i="957"/>
  <c r="U27" i="957"/>
  <c r="U37" i="957"/>
  <c r="U20" i="957"/>
  <c r="U33" i="957"/>
  <c r="Y31" i="957"/>
  <c r="Y20" i="957"/>
  <c r="Y25" i="957"/>
  <c r="Y30" i="957"/>
  <c r="Y28" i="957"/>
  <c r="Y34" i="957"/>
  <c r="Y44" i="957"/>
  <c r="Y33" i="957"/>
  <c r="Y27" i="957"/>
  <c r="Y35" i="957"/>
  <c r="Y37" i="957"/>
  <c r="Y26" i="957"/>
  <c r="Y42" i="957"/>
  <c r="Y38" i="957"/>
  <c r="Y43" i="957"/>
  <c r="Y36" i="957"/>
  <c r="Y29" i="957"/>
  <c r="Y41" i="957"/>
  <c r="Y23" i="957"/>
  <c r="Y39" i="957"/>
  <c r="Y21" i="957"/>
  <c r="Y24" i="957"/>
  <c r="Y40" i="957"/>
  <c r="Y22" i="957"/>
  <c r="V27" i="957"/>
  <c r="V43" i="957"/>
  <c r="V23" i="957"/>
  <c r="V28" i="957"/>
  <c r="V34" i="957"/>
  <c r="V44" i="957"/>
  <c r="V26" i="957"/>
  <c r="V42" i="957"/>
  <c r="V38" i="957"/>
  <c r="V24" i="957"/>
  <c r="V22" i="957"/>
  <c r="V35" i="957"/>
  <c r="V25" i="957"/>
  <c r="V41" i="957"/>
  <c r="V20" i="957"/>
  <c r="V33" i="957"/>
  <c r="V37" i="957"/>
  <c r="V39" i="957"/>
  <c r="V21" i="957"/>
  <c r="V30" i="957"/>
  <c r="V36" i="957"/>
  <c r="V40" i="957"/>
  <c r="V31" i="957"/>
  <c r="V29" i="957"/>
  <c r="W27" i="957"/>
  <c r="W37" i="957"/>
  <c r="W39" i="957"/>
  <c r="W28" i="957"/>
  <c r="W34" i="957"/>
  <c r="W44" i="957"/>
  <c r="W26" i="957"/>
  <c r="W42" i="957"/>
  <c r="W23" i="957"/>
  <c r="W21" i="957"/>
  <c r="W38" i="957"/>
  <c r="W24" i="957"/>
  <c r="W36" i="957"/>
  <c r="W40" i="957"/>
  <c r="W29" i="957"/>
  <c r="W43" i="957"/>
  <c r="W35" i="957"/>
  <c r="W31" i="957"/>
  <c r="W25" i="957"/>
  <c r="W41" i="957"/>
  <c r="W30" i="957"/>
  <c r="W22" i="957"/>
  <c r="W20" i="957"/>
  <c r="W33" i="957"/>
  <c r="T37" i="957"/>
  <c r="T41" i="957"/>
  <c r="T44" i="957"/>
  <c r="T38" i="957"/>
  <c r="T24" i="957"/>
  <c r="T36" i="957"/>
  <c r="T40" i="957"/>
  <c r="T23" i="957"/>
  <c r="T39" i="957"/>
  <c r="T30" i="957"/>
  <c r="T28" i="957"/>
  <c r="T34" i="957"/>
  <c r="T42" i="957"/>
  <c r="T31" i="957"/>
  <c r="T20" i="957"/>
  <c r="T33" i="957"/>
  <c r="T25" i="957"/>
  <c r="T35" i="957"/>
  <c r="T21" i="957"/>
  <c r="T26" i="957"/>
  <c r="T22" i="957"/>
  <c r="T29" i="957"/>
  <c r="T27" i="957"/>
  <c r="T43" i="957"/>
  <c r="S41" i="957"/>
  <c r="S39" i="957"/>
  <c r="S30" i="957"/>
  <c r="S44" i="957"/>
  <c r="S26" i="957"/>
  <c r="S38" i="957"/>
  <c r="S24" i="957"/>
  <c r="S36" i="957"/>
  <c r="S40" i="957"/>
  <c r="S22" i="957"/>
  <c r="S25" i="957"/>
  <c r="S23" i="957"/>
  <c r="S20" i="957"/>
  <c r="S33" i="957"/>
  <c r="S29" i="957"/>
  <c r="S21" i="957"/>
  <c r="S37" i="957"/>
  <c r="S27" i="957"/>
  <c r="S43" i="957"/>
  <c r="S28" i="957"/>
  <c r="S34" i="957"/>
  <c r="S42" i="957"/>
  <c r="S31" i="957"/>
  <c r="S35" i="957"/>
  <c r="Z29" i="957"/>
  <c r="Z25" i="957"/>
  <c r="Z21" i="957"/>
  <c r="Z30" i="957"/>
  <c r="Z33" i="957"/>
  <c r="Z37" i="957"/>
  <c r="Z41" i="957"/>
  <c r="Z39" i="957"/>
  <c r="Z28" i="957"/>
  <c r="Z34" i="957"/>
  <c r="Z26" i="957"/>
  <c r="Z42" i="957"/>
  <c r="Z22" i="957"/>
  <c r="Z27" i="957"/>
  <c r="Z43" i="957"/>
  <c r="Z35" i="957"/>
  <c r="Z24" i="957"/>
  <c r="Z36" i="957"/>
  <c r="Z40" i="957"/>
  <c r="Z31" i="957"/>
  <c r="Z20" i="957"/>
  <c r="Z23" i="957"/>
  <c r="Z44" i="957"/>
  <c r="Z38" i="957"/>
  <c r="X20" i="957"/>
  <c r="X43" i="957"/>
  <c r="X37" i="957"/>
  <c r="X28" i="957"/>
  <c r="X34" i="957"/>
  <c r="X44" i="957"/>
  <c r="X33" i="957"/>
  <c r="X25" i="957"/>
  <c r="X41" i="957"/>
  <c r="X23" i="957"/>
  <c r="X21" i="957"/>
  <c r="X42" i="957"/>
  <c r="X38" i="957"/>
  <c r="X24" i="957"/>
  <c r="X36" i="957"/>
  <c r="X40" i="957"/>
  <c r="X29" i="957"/>
  <c r="X22" i="957"/>
  <c r="X27" i="957"/>
  <c r="X35" i="957"/>
  <c r="X39" i="957"/>
  <c r="X30" i="957"/>
  <c r="X26" i="957"/>
  <c r="X31" i="957"/>
  <c r="G62" i="957"/>
  <c r="J57" i="18" l="1"/>
  <c r="J57" i="19" l="1"/>
  <c r="K13" i="957" l="1"/>
  <c r="K11" i="957"/>
  <c r="K12" i="957"/>
  <c r="K10" i="956" l="1"/>
  <c r="K11" i="956"/>
  <c r="K12" i="956"/>
  <c r="K13" i="956"/>
  <c r="K14" i="956"/>
  <c r="K15" i="956"/>
  <c r="K16" i="956"/>
  <c r="K17" i="956"/>
  <c r="K10" i="957"/>
  <c r="K21" i="955" l="1"/>
  <c r="K17" i="955"/>
  <c r="K18" i="955"/>
  <c r="K19" i="955"/>
  <c r="K20" i="955"/>
  <c r="K11" i="954" l="1"/>
  <c r="K12" i="954"/>
  <c r="K13" i="954"/>
  <c r="K14" i="954"/>
  <c r="K10" i="954" l="1"/>
  <c r="K17" i="953" l="1"/>
  <c r="K18" i="953"/>
  <c r="K11" i="953"/>
  <c r="K12" i="953"/>
  <c r="K13" i="953"/>
  <c r="K14" i="953"/>
  <c r="K15" i="953"/>
  <c r="K16" i="953"/>
  <c r="K10" i="952" l="1"/>
  <c r="K11" i="952"/>
  <c r="K10" i="953" l="1"/>
  <c r="K13" i="952"/>
  <c r="K10" i="951" l="1"/>
  <c r="K11" i="951"/>
  <c r="K12" i="951"/>
  <c r="K13" i="951"/>
  <c r="K16" i="949" l="1"/>
  <c r="K17" i="949"/>
  <c r="K18" i="949"/>
  <c r="K11" i="950"/>
  <c r="K12" i="950"/>
  <c r="K13" i="950"/>
  <c r="K14" i="950"/>
  <c r="K15" i="950"/>
  <c r="K16" i="950"/>
  <c r="K17" i="950"/>
  <c r="K18" i="950"/>
  <c r="K19" i="950"/>
  <c r="K22" i="950"/>
  <c r="K23" i="950"/>
  <c r="K24" i="950"/>
  <c r="K21" i="949" l="1"/>
  <c r="K10" i="950"/>
  <c r="K11" i="945"/>
  <c r="K14" i="948"/>
  <c r="K15" i="948"/>
  <c r="K16" i="948"/>
  <c r="K17" i="948"/>
  <c r="K18" i="948"/>
  <c r="K19" i="948"/>
  <c r="K10" i="949"/>
  <c r="K11" i="949"/>
  <c r="K12" i="949"/>
  <c r="K13" i="949"/>
  <c r="K10" i="944" l="1"/>
  <c r="K11" i="944"/>
  <c r="K12" i="944"/>
  <c r="K13" i="944"/>
  <c r="K14" i="944"/>
  <c r="K15" i="944"/>
  <c r="K16" i="944"/>
  <c r="K17" i="944"/>
  <c r="K10" i="945"/>
  <c r="K14" i="949"/>
  <c r="K15" i="949"/>
  <c r="K11" i="943" l="1"/>
  <c r="K12" i="943"/>
  <c r="K13" i="943"/>
  <c r="K14" i="943"/>
  <c r="K15" i="943"/>
  <c r="K16" i="943"/>
  <c r="K17" i="943"/>
  <c r="K18" i="943"/>
  <c r="K17" i="942" l="1"/>
  <c r="K18" i="942"/>
  <c r="K19" i="942"/>
  <c r="K10" i="943"/>
  <c r="J59" i="18" l="1"/>
  <c r="J59" i="19" l="1"/>
  <c r="J65" i="18" l="1"/>
  <c r="J65" i="19"/>
  <c r="D56" i="943" l="1"/>
  <c r="L56" i="943" s="1"/>
  <c r="C69" i="943" s="1"/>
  <c r="L61" i="961"/>
  <c r="C77" i="961" s="1"/>
  <c r="D56" i="942"/>
  <c r="L56" i="942" s="1"/>
  <c r="D58" i="943"/>
  <c r="L58" i="943" s="1"/>
  <c r="C72" i="943" s="1"/>
  <c r="D59" i="18"/>
  <c r="D54" i="941" l="1"/>
  <c r="L54" i="941" s="1"/>
  <c r="C68" i="941" s="1"/>
  <c r="D54" i="942"/>
  <c r="L54" i="942" s="1"/>
  <c r="G69" i="943"/>
  <c r="G76" i="957"/>
  <c r="G77" i="957" s="1"/>
  <c r="D62" i="957"/>
  <c r="L62" i="957" s="1"/>
  <c r="C76" i="957" s="1"/>
  <c r="G85" i="955"/>
  <c r="D72" i="955"/>
  <c r="L72" i="955" s="1"/>
  <c r="C85" i="955" s="1"/>
  <c r="D58" i="946"/>
  <c r="L58" i="946" s="1"/>
  <c r="D60" i="946"/>
  <c r="L60" i="946" s="1"/>
  <c r="G70" i="953"/>
  <c r="D72" i="954"/>
  <c r="L72" i="954" s="1"/>
  <c r="C88" i="954" s="1"/>
  <c r="D57" i="953"/>
  <c r="L57" i="953" s="1"/>
  <c r="C70" i="953" s="1"/>
  <c r="D62" i="960"/>
  <c r="L62" i="960" s="1"/>
  <c r="C75" i="960" s="1"/>
  <c r="G69" i="948"/>
  <c r="D55" i="948"/>
  <c r="L55" i="948" s="1"/>
  <c r="C69" i="948" s="1"/>
  <c r="G60" i="959"/>
  <c r="D47" i="959"/>
  <c r="L47" i="959" s="1"/>
  <c r="C60" i="959" s="1"/>
  <c r="D77" i="954"/>
  <c r="L77" i="954" s="1"/>
  <c r="D75" i="954"/>
  <c r="L75" i="954" s="1"/>
  <c r="G73" i="952"/>
  <c r="D60" i="952"/>
  <c r="L60" i="952" s="1"/>
  <c r="C73" i="952" s="1"/>
  <c r="G76" i="951"/>
  <c r="D63" i="951"/>
  <c r="L63" i="951" s="1"/>
  <c r="C76" i="951" s="1"/>
  <c r="D57" i="18"/>
  <c r="D57" i="19"/>
  <c r="D59" i="19"/>
  <c r="G75" i="960" l="1"/>
  <c r="G71" i="946"/>
  <c r="C71" i="946"/>
  <c r="G56" i="18"/>
  <c r="G72" i="943"/>
  <c r="D56" i="18"/>
  <c r="D56" i="19" l="1"/>
  <c r="G59" i="18"/>
  <c r="G57" i="18"/>
  <c r="G56" i="19" l="1"/>
  <c r="G57" i="19"/>
  <c r="G59" i="19"/>
  <c r="D62" i="18" l="1"/>
  <c r="D54" i="945"/>
  <c r="L54" i="945" s="1"/>
  <c r="C69" i="945" s="1"/>
  <c r="D60" i="956"/>
  <c r="L60" i="956" s="1"/>
  <c r="C79" i="956" s="1"/>
  <c r="D78" i="950"/>
  <c r="L78" i="950" s="1"/>
  <c r="C93" i="950" s="1"/>
  <c r="D56" i="949"/>
  <c r="L56" i="949" s="1"/>
  <c r="C75" i="949" s="1"/>
  <c r="G79" i="956"/>
  <c r="D62" i="19" l="1"/>
  <c r="G93" i="950"/>
  <c r="G69" i="945"/>
  <c r="D58" i="19"/>
  <c r="D58" i="18"/>
  <c r="G58" i="18" l="1"/>
  <c r="G62" i="18" l="1"/>
  <c r="G65" i="18"/>
  <c r="G58" i="19"/>
  <c r="D65" i="18"/>
  <c r="D65" i="19"/>
  <c r="G62" i="19" l="1"/>
  <c r="G65" i="1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EF1F6E66-18DD-4077-9D03-81A5E75AC2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6C2866C-0128-443E-900A-885D0ED885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38040F8-D023-429E-B8F5-09C5137BA5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842231B0-DF58-4498-B8AB-6E63151227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6F888C63-44F1-4C10-BE19-1703D7AA65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30DC34E3-879A-491E-8A28-2320E6267A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388573A8-AFDB-4EC6-8147-E3D5E69861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33B133D5-4EE7-48E7-9932-35D5829D8A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0313F1B7-8B43-4B82-84C2-5D1CF95A9B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EA1037DD-8911-4DFC-A38E-43C64558C9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63" authorId="0" shapeId="0" xr:uid="{EF0D0E60-B8D7-4708-80DC-7BF0A8CA04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No Cacl2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E8D6B9A6-AD08-4631-AF44-103B64E05FB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62BE5CEA-C3CE-45DC-AA07-480D7442B17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826306F5-701A-4D57-802E-DCA316B188D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88422BF9-9665-422E-9156-C18026B5790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8F13D3CC-283B-438A-A809-6B47A9FA6FA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C4D3BFE-035C-4CB5-B481-3FF249D07D0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DAB8BF08-8BA4-48A3-8689-3B5C56FD16A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A6BE3369-88AC-41A3-BED1-3DAFC7984DF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488D8258-1DF1-4054-B597-47C4F700B0D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4DAABD3F-8F66-411C-888B-9AD0D9F8164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D006CD39-E669-48A8-AE89-50F63F7AB4A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224DEDC8-D961-474D-840E-6D4854256BA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85C9D475-F31D-4839-B5BC-2E167FA0F5E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E120EF5E-48E4-4127-B6BB-77608A253F9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50283126-C676-49C5-97C3-A48C2D03B0D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AFB5B3B5-5AB8-4366-8A73-51D82026A89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0673334E-BE9B-42A8-ACF5-1139DF6BEC9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F92C21CC-21AA-4901-A470-EA0928A2DA6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1EE134DE-5E50-4A56-81B4-5165142535A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2E474AAD-CC91-443C-9E1E-709EBF05BDB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4EBF43EA-27DE-4B65-86A2-DB43996968F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29D201A8-FE8B-49DE-A976-2972B595145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8E157B0B-0AEB-4D58-A67A-E2B07389AFE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FCB2A7D6-6F63-4138-B5B8-1BE0BAA2EDB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86A7BBC8-659C-449D-9463-DF852E340CA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E31CBC3-2C32-4DF7-BD26-709C6185A0A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6128E6AC-7302-4860-8594-8B8DB8E6D29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CBC5116F-F096-4E0E-B632-3173DE3720C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82828146-E949-447C-B4A0-236AA922799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F0B4AF99-5E8D-4370-9627-A939233FB6E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29CE9CB7-2894-457B-841F-BEC93483A23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884B5A93-4CD3-487E-A6C9-3293D65F500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7061A0C5-AA3D-4043-8ACB-11ED0DC3964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J54" authorId="1" shapeId="0" xr:uid="{C3C530C4-1247-4C3C-9690-A4AD35AEDFA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Paul had to reset machine- stopped during filtration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00901FD1-F228-4BBF-910B-C87A3C42FDD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98F4DAEA-CDC5-4338-8BE5-6D124DEF7D8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DD7E1E2F-394A-44B3-899E-A6229B5BE89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7B11779C-91A0-474B-B432-8195C3993CA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EB49002B-F08B-454A-894F-9B7AEE5BFA4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05C489D9-C672-473B-872C-1C03582F43D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7118D601-AD9B-44C1-8133-364F79FEE91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4BC7EE75-4545-458C-9204-59FCE5CC4E5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9A0ADC04-E8C7-4DC9-A50E-52E53307C2C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0ADB9B78-52F4-4787-B7D8-A8B155BD91F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7759D117-7653-4000-9450-0AF69C47FE2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15B8A0BC-AAEF-458B-851A-BE3919BF43C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0FB072E6-6FDE-49D4-8AC7-C3F28842F8E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6C7BBC3F-EAAE-466E-B78F-DC18CF648DC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522E12F4-D5FA-4D77-84FF-1EA45C87F21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96DD5FDE-991B-4A7D-919D-B477AC61BA9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78BBEF24-238A-409C-9E05-2C1E7E524E2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E3358527-92E1-45D9-8C22-82131C40651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A0E5AFD1-42DD-47BA-9523-D3FC442C507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B7CEE9AE-5A60-4D5C-97AC-BB105AE4537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3206989F-D7DA-4691-A7B5-5AE412AAB55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9EC65C3D-BD62-4BED-A19F-AC95F1879AB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A8200214-51C0-4586-94CF-3A73AFEF27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0086EC64-EDDB-4211-A81F-363D5F36586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43D4F22B-5456-4648-8DEE-94FB4209D58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A95EE8BC-B5F4-4906-9783-22272EF4554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8D594D16-4400-49D9-A4A3-C188BC3C1AB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26214AF7-3475-4168-BF2E-E081EA7345B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A0B5161B-D1AD-4BC8-AA08-5CB8E14CD66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13268BA3-25AC-4F75-B1DC-885EAA56C4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D13EF756-8D0A-4DC5-99D3-4C5063FCB97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D396DF5C-9E5F-43E8-9B40-E979CA232A6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C2EFDA00-D05E-4282-A816-1785C233178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8DE55061-FFEA-4D8F-8E28-69E04DAE4E8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F10025DB-1EE0-4F34-9F04-45D2B572C96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32FB2552-A88B-4A60-951A-90597E34F42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151E2E8E-9E32-4CD7-8D18-185C2585768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92880F5A-4DCB-4565-BA03-7E4D1CD82F0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D8FA7D9C-1417-4750-9AEC-8DB89BCA82C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523A4720-5C7B-41CE-B778-A309E181748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F4A300B9-B416-479B-86C9-529091D93EB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AF6F4C68-F0A2-4A3E-86DA-5A9FDE643C6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89296615-20A1-4138-ADC7-82BA55BE208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C862EF9C-2EAE-4D33-A2B8-2EEB337B8B7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0A553EF0-17FD-40C7-A8C8-AA5814D0D5A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F1E229B3-FFEF-45D0-977F-0F4E63060F5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90866F17-6A2A-44E1-B1A5-283473C705B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DF291C1-0973-4D73-BFD2-0B5EB1E485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199F964F-107A-4DFA-9394-EE506EDD5EA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3BBB460A-7850-4812-8185-FF4D10A9B52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BDC2AA24-84BF-4D75-A49B-18DE6B4894D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6B2404D2-EC61-4DA9-A4EE-70B1F2FE82A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749FFE25-3C99-4152-9C05-DC4C6290A38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16DEF9EC-A837-41B7-82F0-BE6EC22E2C2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6FF66517-6132-4442-A2B0-26AEDD6DAB4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BA5564CB-15A2-4D58-9C4B-67B5517312E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D92A8AFD-C175-4E65-BC04-524F0B8195D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00CFC0E-5A91-4F75-BDF5-2BBDFAF8325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09EA9ABA-4B82-4FA4-94A6-81D9C9DC65A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72C0A38F-2F00-4896-BD02-24F17F3139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E483C371-AED3-4158-A587-A14EFB12D7C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28BFFEE-2942-4FAF-8596-24D40556785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15FAA9F6-A454-4783-B8F9-DBF27088F87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22602F3A-1F55-4B94-96CF-8414D188748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639002E5-2625-4870-9272-D572EA81193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F7680C4A-D4DE-4127-A985-57F39ADAE8B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2007BA1C-0806-42ED-A8EC-D15E80E9362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B7C513AE-FA6E-49A0-98B7-70E431DAFA6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07C180B7-24E7-48EA-B72F-2CDA8C5F5AB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22EB882-4424-4713-A207-18BD0D3AAEE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75240725-6A61-4E44-8C59-33E46E8652B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FE4275E4-4764-4793-89C3-1A50112C836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88D50A6-0149-41A0-B127-FE99533EF1F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3E0132C1-645B-405A-82F2-9583ACA95D6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DE207EC9-84B3-4976-A811-54451292A80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BE04EBEE-0BFF-4B9F-B1AD-15A89757795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7A421B3B-65B4-433B-A83F-D46D0B3FE5E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DA98A3A9-2DA1-43CB-AF37-F0569BFC2DC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B9998506-8BD9-494A-881D-7ADF6E97DE0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1F5635DE-559B-4ADA-BCF0-743F185A00A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09E1302-2895-4371-BCFB-C232A40F47D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ACA233B7-9C82-4C71-A4E1-870409357D6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1C5354D5-503C-4FB9-96E1-75A6EFA7795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522B2ABE-1D9F-4A1B-B0AB-F0C550249BC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B33283FD-2ED4-4EE4-87ED-625624F9198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E0D1D56A-6D2A-4BE9-B001-640BA47C81B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F75F8FF8-68C5-44D5-AB17-0D629516FCB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0978C627-F042-45E2-862C-FD6279F26E1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J78" authorId="1" shapeId="0" xr:uid="{2BCA8829-DD8A-447F-BDD5-AA5D1433B6B7}">
      <text>
        <r>
          <rPr>
            <b/>
            <sz val="11"/>
            <color indexed="81"/>
            <rFont val="Tahoma"/>
            <family val="2"/>
          </rPr>
          <t>Kaylil Baptiste:</t>
        </r>
        <r>
          <rPr>
            <sz val="11"/>
            <color indexed="81"/>
            <rFont val="Tahoma"/>
            <family val="2"/>
          </rPr>
          <t xml:space="preserve">
Switched to P&amp;F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B42BE304-3F10-4F31-B64B-240692BF776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E9F2E799-F876-4507-B13B-0C7D808B700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3E6C826A-56F4-4046-817E-8023E7F1C8A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8CF5404E-EABC-4E67-B65B-8E9E18192C7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7EBBD957-E90E-4D26-8807-B0897648434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01E4DD8E-4305-4E72-9E5A-DE13A27C6B5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70394C49-F854-49E1-9C0B-D5E8B5AD39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AAFE5C91-CA9C-4AA6-968F-A74FA7682F2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F22A5BF0-5FE1-4CBE-998C-AE344CA46EB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BFACDB7B-A5B7-4D0E-868F-6D76950A196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7058958E-0202-4211-B857-735B91FDAE4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58" authorId="1" shapeId="0" xr:uid="{9892184A-888F-4127-8313-242E7725E440}">
      <text>
        <r>
          <rPr>
            <b/>
            <sz val="11"/>
            <color indexed="81"/>
            <rFont val="Tahoma"/>
            <family val="2"/>
          </rPr>
          <t>Kaylil Baptiste:</t>
        </r>
        <r>
          <rPr>
            <sz val="11"/>
            <color indexed="81"/>
            <rFont val="Tahoma"/>
            <family val="2"/>
          </rPr>
          <t xml:space="preserve">
tank availability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55B23499-0A94-47BA-B591-B58A07B3DE7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04D0285E-E453-411B-B548-EFAC7B2893A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74076AE3-7D56-499B-ACE7-7132CFB9C7D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9CC2F1EE-AE71-457B-850E-0251DC8C263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1322EC36-BE13-4AE2-BE74-CA053C9CB70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AF432BE0-C00B-48BF-B2FB-192F472A9BD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80A7BCC5-2DFF-410D-B08C-E93CD1A7412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95B351AC-3EBA-45F4-B7D6-B31AD1E910D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2084F2B4-2982-46F3-B7EE-06811DDC731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6F0DAB09-F89C-47B7-9E6D-1D68AFE0839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9D4278FB-C390-45AA-AD19-4FCFB69FFAE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55" authorId="1" shapeId="0" xr:uid="{1B61519B-3506-43AC-ABCD-56B32B566844}">
      <text>
        <r>
          <rPr>
            <b/>
            <sz val="11"/>
            <color indexed="81"/>
            <rFont val="Tahoma"/>
            <family val="2"/>
          </rPr>
          <t>Kaylil Baptiste:</t>
        </r>
        <r>
          <rPr>
            <sz val="11"/>
            <color indexed="81"/>
            <rFont val="Tahoma"/>
            <family val="2"/>
          </rPr>
          <t xml:space="preserve">
tank availability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93C25519-9F7F-4EDF-85E6-A7E292D8D3F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44CFBB6E-B2A2-4173-818F-9C387F34867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3A364CC8-C84A-4601-8D63-C69AD5C67B2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10FD3757-7D36-4D68-9FD0-038AC0C4D7A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7F9834AD-0AA3-4D96-80EB-87BB7B29DCC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51DF4A90-4314-4942-A937-AA207206D2A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D3B65E3-4F25-48AC-A360-4007E39CE46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95A2E6F9-4A72-4E38-AE2B-A7D7148365F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E1123236-4939-4AAD-BA86-E24FBCDC508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BDAD4DD7-9FD2-46F6-94DE-0FE940FDF4A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4EF380A1-30C6-422D-9F3D-40CE634651C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52" authorId="1" shapeId="0" xr:uid="{B9164584-3DAD-41D6-B768-670140F9A99B}">
      <text>
        <r>
          <rPr>
            <b/>
            <sz val="11"/>
            <color indexed="81"/>
            <rFont val="Tahoma"/>
            <family val="2"/>
          </rPr>
          <t>Kaylil Baptiste:</t>
        </r>
        <r>
          <rPr>
            <sz val="11"/>
            <color indexed="81"/>
            <rFont val="Tahoma"/>
            <family val="2"/>
          </rPr>
          <t xml:space="preserve">
tank availability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48705008-9D1E-4B52-AB14-A5372DFCCC0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1408FAD7-6AC1-4BF0-8523-6B12405834B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D42F07E0-7D58-4717-B8E5-F35E9E575C7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8DEDEE6-3AB2-4572-B476-6E7B6A3A636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E8B43321-EB60-4678-BB48-7B53D6B22EF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F460B3DD-A201-47B3-A059-1A158075D49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0A887223-5DF7-4974-91F2-FC808B2416C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9FA0DE1F-2901-4374-8A30-2971DAC6B4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CA75D27D-DF56-44F6-A978-B4897D3EEDA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B5192C86-2F9C-46DA-89ED-05BED9A0563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C8F663EC-4C20-4CC3-888B-12185E6FA81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67" authorId="1" shapeId="0" xr:uid="{99284C71-7342-495A-AF7D-F877433080ED}">
      <text>
        <r>
          <rPr>
            <b/>
            <sz val="11"/>
            <color indexed="81"/>
            <rFont val="Tahoma"/>
            <family val="2"/>
          </rPr>
          <t>Kaylil Baptiste:</t>
        </r>
        <r>
          <rPr>
            <sz val="11"/>
            <color indexed="81"/>
            <rFont val="Tahoma"/>
            <family val="2"/>
          </rPr>
          <t xml:space="preserve">
tank availability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11ED5F6C-004C-4CEF-B59F-6EA1E56E3BC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42CB7BF3-3E4A-490B-A5FA-9C3FFE53713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D6D4B7E4-89C8-4C80-AEEC-B89F033F47D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80409517-F7E6-4AF5-A174-E62FECE5373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2036BA4-224E-4D96-9E1D-079A55D25A7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590F62F0-912F-4149-B50E-FC96C012A87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CAD32BFA-4573-4614-ADA6-38C02E62E5C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5E80BF42-CA48-4BB7-B794-CCEE92F295E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717E1ACD-52A5-4AAF-863A-AC96BDC7C85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F9F78B19-B473-48CD-B0CE-2FB28645839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7DF33093-B717-44C7-AF5D-0CF26D963B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67" authorId="1" shapeId="0" xr:uid="{E2081007-FBC0-4B8C-82C5-E81319034AE5}">
      <text>
        <r>
          <rPr>
            <b/>
            <sz val="11"/>
            <color indexed="81"/>
            <rFont val="Tahoma"/>
            <family val="2"/>
          </rPr>
          <t>Kaylil Baptiste:</t>
        </r>
        <r>
          <rPr>
            <sz val="11"/>
            <color indexed="81"/>
            <rFont val="Tahoma"/>
            <family val="2"/>
          </rPr>
          <t xml:space="preserve">
tank availability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F5230845-9DD9-48EA-830C-41AFD9B6338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B685DF86-EF50-4B5A-AF5A-FB7F5BE0485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10DDDEFE-8BF1-44D4-9FB5-F8F7FABB220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03AC49E0-A670-4393-B6DC-3FFF3C1DFA9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DE560ED8-051A-4E8C-819F-6A7BF64C1AA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CCCD5F30-9BB9-4BFA-8F47-653392F2AB6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662D96B6-446E-4C7D-B613-EA69057E80B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7666D572-89D3-4897-9656-DCB0B22C45A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0A1773BA-A510-4B47-BD2A-AE933118FBF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C1A4669E-F37A-4EAE-A015-B72E7C039AF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8A3043B9-FAD9-4E78-AB2F-200F0BF1582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9A23A713-D2AB-4BB5-9BF7-4DC22955012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D3EA3F5A-E841-4D33-8482-774D1528946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1789EB0A-3861-40B2-8C15-D8B49F93BD5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7A28975-2688-4133-B5E3-C37CAA67FA7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F31CD602-F862-4E16-A04E-647068AB7D2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D4B0EA1-B6A5-4B62-BF2A-3FD16DFF054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6AB1045-9E19-40FB-9F0F-24C778B59CE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E2CEF071-9580-4A6E-8E08-8039A391B85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95F5D1B1-8C1C-4B8F-96FC-3D9A860D702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2B81D8DB-00B8-44DF-BF59-A753045995F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38C00204-0778-4A82-BD81-F175CDA96D7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C0ACE561-EEA0-4957-B5FE-21BA04AB8C7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6B5B7B53-FE31-4945-B01D-D99CD96EF77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3FCDCCD9-C105-4280-A5E5-C26F05DC357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66B2512-BB87-4B24-8381-89A9BDF4DF5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A8217AEB-A653-4815-9EFA-D34D029A65E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5E2A7C4-6C8F-4BFA-BF24-B255A0E1906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9F7993C6-4191-473E-9011-875DF42A570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D3F11C58-F024-4447-BF48-AA0F376C2DE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736B1E55-B962-478A-87EB-EB4688DFF15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BCEC180D-6041-4060-BC39-DF9FADDCCD7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D433343E-9357-483B-BC28-B4BE44C83E5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46" authorId="1" shapeId="0" xr:uid="{DB57CD71-D8C0-47F1-9E12-C251986FFE4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tank availability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3CA86A0C-F972-4405-B8EF-BB932BE3170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EDA74D7B-2609-48A5-B897-CFE7F10D74F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FF1C4EE-7232-4BB2-86F1-57DC59ACB1C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699DAF2-19C3-4BFC-90DC-C6E9CDAF947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D1569C3-BF46-439D-A7B5-C6BB79D4E62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5E32292B-3C62-42FE-9E7D-2585349A5A3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C1D29F21-D0E0-4DB0-9B14-00E593F0D39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B1791F9A-EC85-4158-81F0-AF454C590CB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88045934-212F-4E3A-BA02-F618C7B36DC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706FFFE0-BA18-4692-A3F0-DBBEEFC72B5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4F656A87-0AFE-4096-8851-A92CBD25930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42" authorId="1" shapeId="0" xr:uid="{EB664D12-9DF0-49E9-BE53-A4869D56C69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tank availability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E580390E-2F5A-4C1F-992B-09E6322272C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08451DB7-C51A-4DA3-8F73-2D12E20FA2C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0F945CF4-750B-4380-B3B4-4C52836508B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B75F2AC-9ACE-4FBF-8847-B546E3BE767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A6B40343-E713-4FCF-BC1A-00CF2CF970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FCC9D0F2-69D6-41DD-B24B-C44E807F09D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E390D8B0-5467-42C5-8E98-5C02135782E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6ECEE8B5-1900-43D9-A3EB-85D1402BB1E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AF6BBF8E-F8B3-41BE-BA2F-2287713E536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BC2E6415-D3DF-4524-8B1D-733B85E597E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0AEBEBFF-540F-4AAB-BD12-8BE6AEB20C4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57" authorId="1" shapeId="0" xr:uid="{61D7AFAE-D7E0-476D-ACE9-F0CF3D9F393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tank availability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056B19A0-6D74-4CE4-B3F6-2690000EC0D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A4E9FB69-2895-462D-AB70-45F596AF3E4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E328F8BF-C546-4994-95D6-BAAF89EE453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E034D0E-7794-40DA-9EFF-3010DC10BED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542CD2C3-6E39-4539-A583-DBB2ED02FD3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9313A09-5689-456A-A7BF-CEA7B03EBAE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F00B98D6-BF91-4A6D-ACC9-1B1E894705C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C37F7FE4-DFB4-41C9-BE2C-138E0C5067E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EE529E78-6349-4378-90D1-6694D0D0EBF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D933BF22-A27C-4871-A066-472EA0028C7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AD2ADE37-82A0-41F4-B6EF-FFB36B4E8D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G42" authorId="0" shapeId="0" xr:uid="{D8E8AFA0-D691-4A54-AD3E-8CFCB2EDDCE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2days</t>
        </r>
      </text>
    </comment>
    <comment ref="D45" authorId="0" shapeId="0" xr:uid="{FF1551A6-B51A-4CE8-B073-D15FFA344B4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Brewed for 5days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<sst xmlns="http://schemas.openxmlformats.org/spreadsheetml/2006/main" count="3403" uniqueCount="200">
  <si>
    <t>P.G.</t>
  </si>
  <si>
    <t>Hot Time</t>
  </si>
  <si>
    <t>Process Time</t>
  </si>
  <si>
    <t>Brewing Department Daily Process Loss Report</t>
  </si>
  <si>
    <t>Lower</t>
  </si>
  <si>
    <t>Upper</t>
  </si>
  <si>
    <t>CARIB</t>
  </si>
  <si>
    <t>Date:</t>
  </si>
  <si>
    <r>
      <t xml:space="preserve">Filter Sheets </t>
    </r>
    <r>
      <rPr>
        <b/>
        <i/>
        <sz val="9"/>
        <rFont val="Arial"/>
        <family val="2"/>
      </rPr>
      <t xml:space="preserve">(Target </t>
    </r>
    <r>
      <rPr>
        <b/>
        <i/>
        <u/>
        <sz val="9"/>
        <rFont val="Arial"/>
        <family val="2"/>
      </rPr>
      <t>20</t>
    </r>
    <r>
      <rPr>
        <b/>
        <i/>
        <sz val="9"/>
        <rFont val="Arial"/>
        <family val="2"/>
      </rPr>
      <t xml:space="preserve"> days)</t>
    </r>
  </si>
  <si>
    <t>STAG</t>
  </si>
  <si>
    <t>Double</t>
  </si>
  <si>
    <t>Single</t>
  </si>
  <si>
    <t>GUINNESS</t>
  </si>
  <si>
    <t>Brewhouse:</t>
  </si>
  <si>
    <t>Sheet Day</t>
  </si>
  <si>
    <t>MACKESON</t>
  </si>
  <si>
    <t>STARMALT</t>
  </si>
  <si>
    <t>Brand</t>
  </si>
  <si>
    <t>Brew no.</t>
  </si>
  <si>
    <t>Kett. Hls</t>
  </si>
  <si>
    <t>Wort</t>
  </si>
  <si>
    <t>Cool Time(Mins)</t>
  </si>
  <si>
    <t>Cast. P.G. (Lab Result)</t>
  </si>
  <si>
    <t>Theor. Extr. (77.5%)</t>
  </si>
  <si>
    <t xml:space="preserve"> Boil Time</t>
  </si>
  <si>
    <t>Total Hot</t>
  </si>
  <si>
    <t>Brewing</t>
  </si>
  <si>
    <t>Operator</t>
  </si>
  <si>
    <t>Comments</t>
  </si>
  <si>
    <t>MAXIMALT</t>
  </si>
  <si>
    <t>Meter (Hls)</t>
  </si>
  <si>
    <t>Target(&lt; 60Mins)</t>
  </si>
  <si>
    <t>Time</t>
  </si>
  <si>
    <t>VITAMALT</t>
  </si>
  <si>
    <t>EXTRACT RECOVERY</t>
  </si>
  <si>
    <t>BBT P.G./ O.G</t>
  </si>
  <si>
    <t>Actual</t>
  </si>
  <si>
    <t>MTD</t>
  </si>
  <si>
    <t>YTD</t>
  </si>
  <si>
    <t>Target</t>
  </si>
  <si>
    <t>GUINN</t>
  </si>
  <si>
    <t xml:space="preserve"> </t>
  </si>
  <si>
    <t>Process:</t>
  </si>
  <si>
    <t>Fermentation/Filtration</t>
  </si>
  <si>
    <t>Filt. Date</t>
  </si>
  <si>
    <t>FV Hls</t>
  </si>
  <si>
    <t xml:space="preserve">GFE/ Prim/ Vita Blend (Hls) </t>
  </si>
  <si>
    <t>SV Hls</t>
  </si>
  <si>
    <t>BBT Hls</t>
  </si>
  <si>
    <t xml:space="preserve"> Loss (%) Ferm</t>
  </si>
  <si>
    <t xml:space="preserve"> Loss (%) Filt</t>
  </si>
  <si>
    <t>Throughput</t>
  </si>
  <si>
    <t>Process Loss (%)</t>
  </si>
  <si>
    <t>Filt. Operator</t>
  </si>
  <si>
    <t>hls</t>
  </si>
  <si>
    <t>Process Loss (Volume)</t>
  </si>
  <si>
    <t>Process Loss (Extract)</t>
  </si>
  <si>
    <t>:</t>
  </si>
  <si>
    <t>Process Department Daily Loss Report</t>
  </si>
  <si>
    <t>Date</t>
  </si>
  <si>
    <t>1st Run</t>
  </si>
  <si>
    <r>
      <t xml:space="preserve">Extr. Rec </t>
    </r>
    <r>
      <rPr>
        <b/>
        <sz val="9"/>
        <rFont val="Arial"/>
        <family val="2"/>
      </rPr>
      <t>(79.5%)</t>
    </r>
  </si>
  <si>
    <r>
      <t xml:space="preserve">Theor. Extr. </t>
    </r>
    <r>
      <rPr>
        <b/>
        <sz val="9"/>
        <rFont val="Arial"/>
        <family val="2"/>
      </rPr>
      <t>(</t>
    </r>
    <r>
      <rPr>
        <b/>
        <i/>
        <sz val="9"/>
        <rFont val="Arial"/>
        <family val="2"/>
      </rPr>
      <t>77.5</t>
    </r>
    <r>
      <rPr>
        <b/>
        <sz val="9"/>
        <rFont val="Arial"/>
        <family val="2"/>
      </rPr>
      <t>%)</t>
    </r>
  </si>
  <si>
    <t>Target(65Mins)</t>
  </si>
  <si>
    <t>Carib</t>
  </si>
  <si>
    <t>.</t>
  </si>
  <si>
    <t>Cooling Temperatures</t>
  </si>
  <si>
    <t>RU 5</t>
  </si>
  <si>
    <t>Brew No.</t>
  </si>
  <si>
    <t>Alcohol Temp.</t>
  </si>
  <si>
    <t>Start</t>
  </si>
  <si>
    <t>End</t>
  </si>
  <si>
    <t>Stag</t>
  </si>
  <si>
    <t>Guinn</t>
  </si>
  <si>
    <t>Vitamalt</t>
  </si>
  <si>
    <t>Maximalt</t>
  </si>
  <si>
    <t>Mackeson</t>
  </si>
  <si>
    <t>MaltaCarib</t>
  </si>
  <si>
    <t>Filtration</t>
  </si>
  <si>
    <t>GFE/ Prim</t>
  </si>
  <si>
    <t>Without VitaMalt adjustment</t>
  </si>
  <si>
    <t>Filtration Throughput</t>
  </si>
  <si>
    <t>StarMalt</t>
  </si>
  <si>
    <t>Bad Dog</t>
  </si>
  <si>
    <t>TARGET</t>
  </si>
  <si>
    <t>BRANDS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</si>
  <si>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</si>
  <si>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</si>
  <si>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</si>
  <si>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</si>
  <si>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</si>
  <si>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</si>
  <si>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</si>
  <si>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</si>
  <si>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</si>
  <si>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</si>
  <si>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Guinness</t>
  </si>
  <si>
    <t xml:space="preserve">Maximalt </t>
  </si>
  <si>
    <t>Star Malt</t>
  </si>
  <si>
    <t>OVERALL</t>
  </si>
  <si>
    <t>PROCESS VOLUME LOSSES</t>
  </si>
  <si>
    <t>PROCESS VOLUME EXTRACT</t>
  </si>
  <si>
    <t xml:space="preserve">BREWER PERFORMANCE MTD </t>
  </si>
  <si>
    <t>NAME</t>
  </si>
  <si>
    <t>LAST BREW</t>
  </si>
  <si>
    <t>KEIRAN BENJAMIN</t>
  </si>
  <si>
    <t>JOHNNY GREENIDGE</t>
  </si>
  <si>
    <t>JAMES GRANT</t>
  </si>
  <si>
    <t>RODNEY REGIS</t>
  </si>
  <si>
    <t xml:space="preserve">    OVERALL MONTHLY PROGRESSION</t>
  </si>
  <si>
    <t>TARGET OF 98%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</si>
  <si>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</si>
  <si>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</si>
  <si>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</si>
  <si>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</si>
  <si>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</si>
  <si>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</si>
  <si>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</si>
  <si>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</si>
  <si>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</si>
  <si>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</si>
  <si>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</si>
  <si>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</si>
  <si>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PROGESSION GRAPH</t>
  </si>
  <si>
    <t>Cooling  Time</t>
  </si>
  <si>
    <t>Hurricane Reef</t>
  </si>
  <si>
    <t>Actual Pilsen Malt</t>
  </si>
  <si>
    <t>HURRICANE REEF</t>
  </si>
  <si>
    <t>HR</t>
  </si>
  <si>
    <t>Daily Brewing Plan</t>
  </si>
  <si>
    <t>Total</t>
  </si>
  <si>
    <t>CARIBE</t>
  </si>
  <si>
    <t>DESEAN EMERY</t>
  </si>
  <si>
    <t xml:space="preserve">Date: </t>
  </si>
  <si>
    <t xml:space="preserve">HR- PILSNER </t>
  </si>
  <si>
    <t>HR- PISNER</t>
  </si>
  <si>
    <t>Average Brews per day</t>
  </si>
  <si>
    <t>HR- P</t>
  </si>
  <si>
    <t>MTD No. of Brews</t>
  </si>
  <si>
    <t xml:space="preserve">AVERAGE </t>
  </si>
  <si>
    <t xml:space="preserve">GEMMON MASON </t>
  </si>
  <si>
    <t>CAMULUS PHILLIP</t>
  </si>
  <si>
    <t>Boil Off /Vol.  (4-6%)</t>
  </si>
  <si>
    <t xml:space="preserve">      MTD GRAPH OCTOBER 2022</t>
  </si>
  <si>
    <t>Cast P.G. (Cellar Operator)-gravity</t>
  </si>
  <si>
    <t>BRAND</t>
  </si>
  <si>
    <t xml:space="preserve">Actual </t>
  </si>
  <si>
    <t xml:space="preserve">Brews Achieved </t>
  </si>
  <si>
    <t>HURRICANE REEF- APA</t>
  </si>
  <si>
    <t>HURRICANE REEF- IPA</t>
  </si>
  <si>
    <t>NO BREAK</t>
  </si>
  <si>
    <t xml:space="preserve"> MALT LOT: Lot 8</t>
  </si>
  <si>
    <t>Extr. Rec (79.1%)</t>
  </si>
  <si>
    <t>LOT WORT COLOUR: 3.4</t>
  </si>
  <si>
    <t xml:space="preserve">K.Hosten </t>
  </si>
  <si>
    <t xml:space="preserve">Operator </t>
  </si>
  <si>
    <t>HR- APA</t>
  </si>
  <si>
    <t>HR- IPA</t>
  </si>
  <si>
    <t>HR- Pils</t>
  </si>
  <si>
    <t>HR PILS</t>
  </si>
  <si>
    <t>HR APA</t>
  </si>
  <si>
    <t>HURRICANE REEF PILS</t>
  </si>
  <si>
    <t xml:space="preserve">BRAND </t>
  </si>
  <si>
    <t>IPA</t>
  </si>
  <si>
    <t>APA</t>
  </si>
  <si>
    <t>Extr. Rec (77.9%)</t>
  </si>
  <si>
    <t xml:space="preserve">  </t>
  </si>
  <si>
    <t xml:space="preserve">LOT WORT COLOUR: </t>
  </si>
  <si>
    <t xml:space="preserve">          </t>
  </si>
  <si>
    <t>Brewing Time</t>
  </si>
  <si>
    <t xml:space="preserve"> MALT LOT: Lot #13</t>
  </si>
  <si>
    <t>1 SBF</t>
  </si>
  <si>
    <t>Brews Achieved</t>
  </si>
  <si>
    <t>G. Mason</t>
  </si>
  <si>
    <t>NO SBF</t>
  </si>
  <si>
    <t>1SBF</t>
  </si>
  <si>
    <t>2 SBF</t>
  </si>
  <si>
    <t>K. Hosten</t>
  </si>
  <si>
    <t>Held in mash tun (waiting on skip removal)</t>
  </si>
  <si>
    <t>Boiler shut off</t>
  </si>
  <si>
    <t>6 SBF</t>
  </si>
  <si>
    <t>K. Neptune</t>
  </si>
  <si>
    <t>J. Nelson</t>
  </si>
  <si>
    <t>D. Emery</t>
  </si>
  <si>
    <t>T. Charles</t>
  </si>
  <si>
    <t>Held back in mash tun ( awaiting skip removal)</t>
  </si>
  <si>
    <t>1 SBF, 2BREAKS</t>
  </si>
  <si>
    <t>Brews Achieved (13th)</t>
  </si>
  <si>
    <t>Brews Achieved (14th)</t>
  </si>
  <si>
    <t>Brews Achieved (15th)</t>
  </si>
  <si>
    <t>brew held back in mash tun due to late skip removal</t>
  </si>
  <si>
    <t>NO  SBF</t>
  </si>
  <si>
    <t>R. Regis</t>
  </si>
  <si>
    <t>NO SBF- Water added</t>
  </si>
  <si>
    <t>Brews Achieved (20th)</t>
  </si>
  <si>
    <t>Brews Achieved (21st)</t>
  </si>
  <si>
    <t>Brews Achieved (22nd)</t>
  </si>
  <si>
    <t>2 BREAKS</t>
  </si>
  <si>
    <t>3 SBF</t>
  </si>
  <si>
    <t>7 SBF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</si>
</sst>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[$-409]mmmm\ d\,\ yyyy;@"/>
    <numFmt numFmtId="166" formatCode="0.0"/>
    <numFmt numFmtId="167" formatCode="[m]"/>
    <numFmt numFmtId="168" formatCode="0.000"/>
    <numFmt numFmtId="169" formatCode="[$-409]d\-mmm;@"/>
    <numFmt numFmtId="170" formatCode="0.0%"/>
    <numFmt numFmtId="171" formatCode="#,##0.0"/>
  </numFmts>
  <fonts count="9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Tahoma"/>
      <family val="2"/>
    </font>
    <font>
      <sz val="11"/>
      <name val="Tahoma"/>
      <family val="2"/>
    </font>
    <font>
      <b/>
      <sz val="11"/>
      <color rgb="FF963634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i/>
      <u/>
      <sz val="9"/>
      <name val="Arial"/>
      <family val="2"/>
    </font>
    <font>
      <i/>
      <sz val="11"/>
      <name val="Calibri"/>
      <family val="2"/>
    </font>
    <font>
      <b/>
      <sz val="11"/>
      <name val="Tahoma"/>
      <family val="2"/>
    </font>
    <font>
      <b/>
      <u/>
      <sz val="11"/>
      <name val="Arial"/>
      <family val="2"/>
    </font>
    <font>
      <b/>
      <sz val="11"/>
      <color rgb="FF0000FF"/>
      <name val="Arial"/>
      <family val="2"/>
    </font>
    <font>
      <sz val="11"/>
      <color theme="1"/>
      <name val="Arial"/>
      <family val="2"/>
    </font>
    <font>
      <b/>
      <i/>
      <sz val="11"/>
      <name val="Arial"/>
      <family val="2"/>
    </font>
    <font>
      <b/>
      <sz val="11"/>
      <color indexed="53"/>
      <name val="Arial"/>
      <family val="2"/>
    </font>
    <font>
      <sz val="11"/>
      <color theme="0"/>
      <name val="Arial"/>
      <family val="2"/>
    </font>
    <font>
      <i/>
      <sz val="11"/>
      <color theme="1"/>
      <name val="Arial"/>
      <family val="2"/>
    </font>
    <font>
      <b/>
      <sz val="11"/>
      <color indexed="12"/>
      <name val="Arial"/>
      <family val="2"/>
    </font>
    <font>
      <b/>
      <sz val="11"/>
      <color indexed="17"/>
      <name val="Arial"/>
      <family val="2"/>
    </font>
    <font>
      <b/>
      <sz val="11"/>
      <color indexed="10"/>
      <name val="Arial"/>
      <family val="2"/>
    </font>
    <font>
      <b/>
      <sz val="11"/>
      <color indexed="20"/>
      <name val="Arial"/>
      <family val="2"/>
    </font>
    <font>
      <b/>
      <sz val="11"/>
      <color indexed="16"/>
      <name val="Arial"/>
      <family val="2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 Narrow"/>
      <family val="2"/>
    </font>
    <font>
      <b/>
      <sz val="11"/>
      <color theme="2" tint="-0.89999084444715716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2" tint="-0.89999084444715716"/>
      <name val="Arial"/>
      <family val="2"/>
    </font>
    <font>
      <sz val="12"/>
      <name val="Tahoma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color indexed="10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16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b/>
      <sz val="10"/>
      <color indexed="53"/>
      <name val="Arial"/>
      <family val="2"/>
    </font>
    <font>
      <b/>
      <sz val="10"/>
      <color indexed="20"/>
      <name val="Arial"/>
      <family val="2"/>
    </font>
    <font>
      <b/>
      <sz val="9"/>
      <color indexed="63"/>
      <name val="Arial"/>
      <family val="2"/>
    </font>
    <font>
      <sz val="10"/>
      <color indexed="10"/>
      <name val="Arial"/>
      <family val="2"/>
    </font>
    <font>
      <b/>
      <sz val="8"/>
      <name val="Arial"/>
      <family val="2"/>
    </font>
    <font>
      <b/>
      <sz val="8"/>
      <color theme="2" tint="-0.89999084444715716"/>
      <name val="Arial"/>
      <family val="2"/>
    </font>
    <font>
      <sz val="10"/>
      <color theme="2" tint="-0.899990844447157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BankGothic Lt BT"/>
      <family val="2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color theme="0"/>
      <name val="BankGothic Md BT"/>
      <family val="2"/>
    </font>
    <font>
      <b/>
      <i/>
      <sz val="14"/>
      <color theme="0"/>
      <name val="Calibri"/>
      <family val="2"/>
      <scheme val="minor"/>
    </font>
    <font>
      <sz val="16"/>
      <color theme="1"/>
      <name val="BankGothic Md BT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rgb="FFCC66FF"/>
      <name val="Arial"/>
      <family val="2"/>
    </font>
    <font>
      <b/>
      <sz val="11"/>
      <color rgb="FFFFC000"/>
      <name val="Arial"/>
      <family val="2"/>
    </font>
    <font>
      <b/>
      <sz val="11"/>
      <color rgb="FFFF0000"/>
      <name val="Arial"/>
      <family val="2"/>
    </font>
    <font>
      <b/>
      <sz val="11"/>
      <color rgb="FF008200"/>
      <name val="Arial"/>
      <family val="2"/>
    </font>
    <font>
      <b/>
      <sz val="11"/>
      <color rgb="FF00B050"/>
      <name val="Arial"/>
      <family val="2"/>
    </font>
    <font>
      <b/>
      <sz val="11"/>
      <color theme="8" tint="0.39997558519241921"/>
      <name val="Arial"/>
      <family val="2"/>
    </font>
    <font>
      <b/>
      <sz val="11"/>
      <color rgb="FFFF66FF"/>
      <name val="Arial"/>
      <family val="2"/>
    </font>
    <font>
      <b/>
      <sz val="11"/>
      <color theme="9" tint="0.39997558519241921"/>
      <name val="Arial"/>
      <family val="2"/>
    </font>
    <font>
      <b/>
      <sz val="11"/>
      <color rgb="FFC00000"/>
      <name val="Arial"/>
      <family val="2"/>
    </font>
    <font>
      <b/>
      <sz val="11"/>
      <color theme="5" tint="-0.249977111117893"/>
      <name val="Arial"/>
      <family val="2"/>
    </font>
    <font>
      <b/>
      <sz val="11"/>
      <color theme="5"/>
      <name val="Arial"/>
      <family val="2"/>
    </font>
    <font>
      <b/>
      <sz val="11"/>
      <color indexed="81"/>
      <name val="Tahoma"/>
      <family val="2"/>
    </font>
    <font>
      <sz val="11"/>
      <color indexed="81"/>
      <name val="Tahoma"/>
      <family val="2"/>
    </font>
  </fonts>
  <fills count="2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Dashed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ashed">
        <color theme="0" tint="-0.499984740745262"/>
      </top>
      <bottom style="thin">
        <color indexed="64"/>
      </bottom>
      <diagonal/>
    </border>
  </borders>
  <cellStyleXfs count="11">
    <xf numFmtId="165" fontId="0" fillId="0" borderId="0"/>
    <xf numFmtId="164" fontId="7" fillId="0" borderId="0" applyFont="0" applyFill="0" applyBorder="0" applyAlignment="0" applyProtection="0"/>
    <xf numFmtId="0" fontId="5" fillId="2" borderId="0" applyNumberFormat="0" applyBorder="0" applyAlignment="0" applyProtection="0"/>
    <xf numFmtId="165" fontId="7" fillId="0" borderId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30">
    <xf numFmtId="165" fontId="0" fillId="0" borderId="0" xfId="0"/>
    <xf numFmtId="165" fontId="9" fillId="0" borderId="0" xfId="3" applyFont="1"/>
    <xf numFmtId="165" fontId="9" fillId="0" borderId="0" xfId="3" applyFont="1" applyAlignment="1">
      <alignment wrapText="1"/>
    </xf>
    <xf numFmtId="165" fontId="10" fillId="3" borderId="1" xfId="0" applyFont="1" applyFill="1" applyBorder="1"/>
    <xf numFmtId="165" fontId="11" fillId="0" borderId="0" xfId="3" applyFont="1" applyAlignment="1">
      <alignment horizontal="center" wrapText="1"/>
    </xf>
    <xf numFmtId="165" fontId="12" fillId="0" borderId="0" xfId="3" applyFont="1"/>
    <xf numFmtId="165" fontId="8" fillId="0" borderId="0" xfId="3" applyFont="1" applyAlignment="1">
      <alignment wrapText="1"/>
    </xf>
    <xf numFmtId="166" fontId="10" fillId="3" borderId="1" xfId="0" applyNumberFormat="1" applyFont="1" applyFill="1" applyBorder="1"/>
    <xf numFmtId="166" fontId="10" fillId="3" borderId="2" xfId="0" applyNumberFormat="1" applyFont="1" applyFill="1" applyBorder="1"/>
    <xf numFmtId="167" fontId="9" fillId="3" borderId="1" xfId="3" applyNumberFormat="1" applyFont="1" applyFill="1" applyBorder="1" applyAlignment="1">
      <alignment horizontal="right"/>
    </xf>
    <xf numFmtId="167" fontId="9" fillId="3" borderId="1" xfId="3" applyNumberFormat="1" applyFont="1" applyFill="1" applyBorder="1" applyAlignment="1">
      <alignment horizontal="right" vertical="center"/>
    </xf>
    <xf numFmtId="166" fontId="8" fillId="0" borderId="0" xfId="3" applyNumberFormat="1" applyFont="1"/>
    <xf numFmtId="165" fontId="9" fillId="0" borderId="0" xfId="3" applyFont="1" applyAlignment="1">
      <alignment horizontal="center" wrapText="1"/>
    </xf>
    <xf numFmtId="165" fontId="9" fillId="0" borderId="0" xfId="3" applyFont="1" applyAlignment="1">
      <alignment vertical="center"/>
    </xf>
    <xf numFmtId="165" fontId="17" fillId="0" borderId="1" xfId="3" applyFont="1" applyBorder="1"/>
    <xf numFmtId="165" fontId="18" fillId="0" borderId="0" xfId="3" applyFont="1"/>
    <xf numFmtId="1" fontId="8" fillId="0" borderId="0" xfId="3" applyNumberFormat="1" applyFont="1" applyAlignment="1">
      <alignment horizontal="center" wrapText="1"/>
    </xf>
    <xf numFmtId="165" fontId="9" fillId="5" borderId="7" xfId="3" applyFont="1" applyFill="1" applyBorder="1" applyAlignment="1">
      <alignment horizontal="center" vertical="center" wrapText="1"/>
    </xf>
    <xf numFmtId="165" fontId="8" fillId="0" borderId="9" xfId="3" applyFont="1" applyBorder="1" applyAlignment="1">
      <alignment horizontal="center"/>
    </xf>
    <xf numFmtId="20" fontId="9" fillId="0" borderId="0" xfId="3" applyNumberFormat="1" applyFont="1"/>
    <xf numFmtId="165" fontId="9" fillId="0" borderId="11" xfId="3" applyFont="1" applyBorder="1" applyAlignment="1">
      <alignment horizontal="center" vertical="top" wrapText="1"/>
    </xf>
    <xf numFmtId="165" fontId="9" fillId="5" borderId="11" xfId="3" applyFont="1" applyFill="1" applyBorder="1" applyAlignment="1">
      <alignment horizontal="center" vertical="top" wrapText="1"/>
    </xf>
    <xf numFmtId="165" fontId="23" fillId="0" borderId="13" xfId="3" applyFont="1" applyBorder="1" applyAlignment="1">
      <alignment horizontal="left"/>
    </xf>
    <xf numFmtId="2" fontId="9" fillId="0" borderId="0" xfId="3" applyNumberFormat="1" applyFont="1"/>
    <xf numFmtId="165" fontId="9" fillId="0" borderId="20" xfId="3" applyFont="1" applyBorder="1" applyAlignment="1">
      <alignment horizontal="left"/>
    </xf>
    <xf numFmtId="165" fontId="9" fillId="0" borderId="21" xfId="3" applyFont="1" applyBorder="1" applyAlignment="1">
      <alignment horizontal="center"/>
    </xf>
    <xf numFmtId="165" fontId="9" fillId="0" borderId="21" xfId="3" applyFont="1" applyBorder="1" applyAlignment="1">
      <alignment horizontal="center" wrapText="1"/>
    </xf>
    <xf numFmtId="165" fontId="9" fillId="0" borderId="22" xfId="3" applyFont="1" applyBorder="1" applyAlignment="1">
      <alignment horizontal="center"/>
    </xf>
    <xf numFmtId="165" fontId="24" fillId="0" borderId="0" xfId="3" applyFont="1"/>
    <xf numFmtId="165" fontId="26" fillId="0" borderId="13" xfId="3" applyFont="1" applyBorder="1" applyAlignment="1">
      <alignment horizontal="left"/>
    </xf>
    <xf numFmtId="166" fontId="8" fillId="0" borderId="15" xfId="3" applyNumberFormat="1" applyFont="1" applyBorder="1"/>
    <xf numFmtId="166" fontId="8" fillId="0" borderId="0" xfId="3" applyNumberFormat="1" applyFont="1" applyAlignment="1">
      <alignment wrapText="1"/>
    </xf>
    <xf numFmtId="2" fontId="8" fillId="0" borderId="0" xfId="3" quotePrefix="1" applyNumberFormat="1" applyFont="1" applyAlignment="1">
      <alignment horizontal="center"/>
    </xf>
    <xf numFmtId="165" fontId="27" fillId="0" borderId="13" xfId="3" applyFont="1" applyBorder="1"/>
    <xf numFmtId="165" fontId="28" fillId="0" borderId="13" xfId="3" applyFont="1" applyBorder="1"/>
    <xf numFmtId="165" fontId="29" fillId="0" borderId="13" xfId="3" applyFont="1" applyBorder="1"/>
    <xf numFmtId="165" fontId="30" fillId="0" borderId="13" xfId="3" applyFont="1" applyBorder="1" applyAlignment="1">
      <alignment horizontal="left"/>
    </xf>
    <xf numFmtId="165" fontId="13" fillId="0" borderId="13" xfId="3" applyFont="1" applyBorder="1"/>
    <xf numFmtId="165" fontId="32" fillId="0" borderId="31" xfId="3" applyFont="1" applyBorder="1"/>
    <xf numFmtId="166" fontId="8" fillId="0" borderId="0" xfId="3" applyNumberFormat="1" applyFont="1" applyAlignment="1">
      <alignment horizontal="right"/>
    </xf>
    <xf numFmtId="166" fontId="8" fillId="4" borderId="0" xfId="3" applyNumberFormat="1" applyFont="1" applyFill="1"/>
    <xf numFmtId="2" fontId="8" fillId="0" borderId="0" xfId="3" applyNumberFormat="1" applyFont="1" applyAlignment="1">
      <alignment horizontal="center"/>
    </xf>
    <xf numFmtId="2" fontId="9" fillId="0" borderId="0" xfId="3" applyNumberFormat="1" applyFont="1" applyAlignment="1">
      <alignment horizontal="center"/>
    </xf>
    <xf numFmtId="166" fontId="9" fillId="0" borderId="0" xfId="3" applyNumberFormat="1" applyFont="1" applyAlignment="1">
      <alignment horizontal="center"/>
    </xf>
    <xf numFmtId="2" fontId="24" fillId="0" borderId="0" xfId="3" applyNumberFormat="1" applyFont="1"/>
    <xf numFmtId="165" fontId="13" fillId="0" borderId="0" xfId="3" applyFont="1"/>
    <xf numFmtId="2" fontId="33" fillId="0" borderId="0" xfId="3" applyNumberFormat="1" applyFont="1" applyAlignment="1">
      <alignment horizontal="center"/>
    </xf>
    <xf numFmtId="165" fontId="8" fillId="0" borderId="4" xfId="3" applyFont="1" applyBorder="1" applyAlignment="1">
      <alignment horizontal="center"/>
    </xf>
    <xf numFmtId="165" fontId="8" fillId="0" borderId="0" xfId="3" applyFont="1" applyAlignment="1">
      <alignment horizontal="center"/>
    </xf>
    <xf numFmtId="165" fontId="8" fillId="0" borderId="0" xfId="3" applyFont="1" applyAlignment="1">
      <alignment horizontal="center" wrapText="1"/>
    </xf>
    <xf numFmtId="165" fontId="9" fillId="0" borderId="0" xfId="3" applyFont="1" applyAlignment="1">
      <alignment horizontal="center" vertical="center" wrapText="1"/>
    </xf>
    <xf numFmtId="169" fontId="34" fillId="0" borderId="41" xfId="0" applyNumberFormat="1" applyFont="1" applyBorder="1" applyAlignment="1">
      <alignment horizontal="center" vertical="center"/>
    </xf>
    <xf numFmtId="170" fontId="8" fillId="0" borderId="42" xfId="4" applyNumberFormat="1" applyFont="1" applyBorder="1" applyAlignment="1">
      <alignment horizontal="center" vertical="center"/>
    </xf>
    <xf numFmtId="2" fontId="31" fillId="0" borderId="2" xfId="3" applyNumberFormat="1" applyFont="1" applyBorder="1" applyAlignment="1">
      <alignment horizontal="center" vertical="center"/>
    </xf>
    <xf numFmtId="165" fontId="8" fillId="0" borderId="0" xfId="3" applyFont="1" applyAlignment="1">
      <alignment horizontal="center" vertical="center"/>
    </xf>
    <xf numFmtId="165" fontId="9" fillId="0" borderId="43" xfId="3" applyFont="1" applyBorder="1" applyAlignment="1">
      <alignment vertical="center" wrapText="1"/>
    </xf>
    <xf numFmtId="165" fontId="9" fillId="0" borderId="0" xfId="3" applyFont="1" applyAlignment="1">
      <alignment vertical="center" wrapText="1"/>
    </xf>
    <xf numFmtId="170" fontId="8" fillId="0" borderId="0" xfId="3" applyNumberFormat="1" applyFont="1" applyAlignment="1">
      <alignment horizontal="center" vertical="center"/>
    </xf>
    <xf numFmtId="165" fontId="9" fillId="0" borderId="44" xfId="3" applyFont="1" applyBorder="1" applyAlignment="1">
      <alignment horizontal="center" shrinkToFit="1"/>
    </xf>
    <xf numFmtId="165" fontId="9" fillId="0" borderId="45" xfId="3" applyFont="1" applyBorder="1" applyAlignment="1">
      <alignment horizontal="center" shrinkToFit="1"/>
    </xf>
    <xf numFmtId="165" fontId="9" fillId="0" borderId="0" xfId="3" applyFont="1" applyAlignment="1">
      <alignment horizontal="center" wrapText="1" shrinkToFit="1"/>
    </xf>
    <xf numFmtId="165" fontId="9" fillId="0" borderId="50" xfId="3" applyFont="1" applyBorder="1" applyAlignment="1">
      <alignment horizontal="left"/>
    </xf>
    <xf numFmtId="165" fontId="9" fillId="0" borderId="10" xfId="3" applyFont="1" applyBorder="1" applyAlignment="1">
      <alignment horizontal="left"/>
    </xf>
    <xf numFmtId="165" fontId="9" fillId="0" borderId="12" xfId="3" applyFont="1" applyBorder="1" applyAlignment="1">
      <alignment horizontal="left"/>
    </xf>
    <xf numFmtId="165" fontId="9" fillId="0" borderId="0" xfId="3" applyFont="1" applyAlignment="1">
      <alignment horizontal="left" wrapText="1"/>
    </xf>
    <xf numFmtId="2" fontId="35" fillId="0" borderId="1" xfId="3" applyNumberFormat="1" applyFont="1" applyBorder="1" applyAlignment="1">
      <alignment horizontal="right"/>
    </xf>
    <xf numFmtId="166" fontId="8" fillId="0" borderId="15" xfId="3" applyNumberFormat="1" applyFont="1" applyBorder="1" applyAlignment="1">
      <alignment horizontal="right"/>
    </xf>
    <xf numFmtId="170" fontId="31" fillId="0" borderId="1" xfId="3" applyNumberFormat="1" applyFont="1" applyBorder="1" applyAlignment="1">
      <alignment horizontal="right"/>
    </xf>
    <xf numFmtId="9" fontId="8" fillId="0" borderId="15" xfId="3" applyNumberFormat="1" applyFont="1" applyBorder="1" applyAlignment="1">
      <alignment horizontal="right"/>
    </xf>
    <xf numFmtId="9" fontId="8" fillId="0" borderId="0" xfId="3" applyNumberFormat="1" applyFont="1" applyAlignment="1">
      <alignment horizontal="right" wrapText="1"/>
    </xf>
    <xf numFmtId="166" fontId="8" fillId="0" borderId="51" xfId="3" applyNumberFormat="1" applyFont="1" applyBorder="1" applyAlignment="1">
      <alignment horizontal="right"/>
    </xf>
    <xf numFmtId="9" fontId="8" fillId="0" borderId="51" xfId="3" applyNumberFormat="1" applyFont="1" applyBorder="1" applyAlignment="1">
      <alignment horizontal="right"/>
    </xf>
    <xf numFmtId="166" fontId="8" fillId="0" borderId="36" xfId="3" applyNumberFormat="1" applyFont="1" applyBorder="1" applyAlignment="1">
      <alignment horizontal="right"/>
    </xf>
    <xf numFmtId="2" fontId="9" fillId="0" borderId="31" xfId="3" applyNumberFormat="1" applyFont="1" applyBorder="1" applyAlignment="1">
      <alignment horizontal="right"/>
    </xf>
    <xf numFmtId="165" fontId="8" fillId="0" borderId="0" xfId="3" applyFont="1" applyAlignment="1">
      <alignment horizontal="right"/>
    </xf>
    <xf numFmtId="165" fontId="8" fillId="0" borderId="0" xfId="3" applyFont="1" applyAlignment="1">
      <alignment horizontal="right" wrapText="1"/>
    </xf>
    <xf numFmtId="2" fontId="38" fillId="0" borderId="1" xfId="3" applyNumberFormat="1" applyFont="1" applyBorder="1" applyAlignment="1">
      <alignment horizontal="right"/>
    </xf>
    <xf numFmtId="165" fontId="9" fillId="0" borderId="37" xfId="3" applyFont="1" applyBorder="1" applyAlignment="1">
      <alignment vertical="center"/>
    </xf>
    <xf numFmtId="165" fontId="7" fillId="0" borderId="0" xfId="3"/>
    <xf numFmtId="165" fontId="39" fillId="0" borderId="0" xfId="3" applyFont="1"/>
    <xf numFmtId="165" fontId="40" fillId="0" borderId="6" xfId="3" applyFont="1" applyBorder="1" applyAlignment="1">
      <alignment horizontal="center" vertical="center" wrapText="1"/>
    </xf>
    <xf numFmtId="165" fontId="14" fillId="0" borderId="6" xfId="3" applyFont="1" applyBorder="1" applyAlignment="1">
      <alignment horizontal="center" vertical="center" wrapText="1"/>
    </xf>
    <xf numFmtId="165" fontId="40" fillId="0" borderId="7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2" fillId="0" borderId="10" xfId="3" applyFont="1" applyBorder="1" applyAlignment="1">
      <alignment horizontal="center" vertical="center" wrapText="1"/>
    </xf>
    <xf numFmtId="165" fontId="40" fillId="0" borderId="11" xfId="3" applyFont="1" applyBorder="1" applyAlignment="1">
      <alignment horizontal="center" vertical="center" wrapText="1"/>
    </xf>
    <xf numFmtId="165" fontId="40" fillId="0" borderId="0" xfId="3" applyFont="1" applyAlignment="1">
      <alignment horizontal="left"/>
    </xf>
    <xf numFmtId="165" fontId="43" fillId="0" borderId="13" xfId="3" applyFont="1" applyBorder="1" applyAlignment="1">
      <alignment horizontal="left"/>
    </xf>
    <xf numFmtId="16" fontId="7" fillId="0" borderId="10" xfId="3" applyNumberFormat="1" applyBorder="1" applyAlignment="1">
      <alignment horizontal="center"/>
    </xf>
    <xf numFmtId="166" fontId="44" fillId="0" borderId="1" xfId="3" applyNumberFormat="1" applyFont="1" applyBorder="1" applyAlignment="1">
      <alignment horizontal="center"/>
    </xf>
    <xf numFmtId="1" fontId="44" fillId="0" borderId="10" xfId="3" applyNumberFormat="1" applyFont="1" applyBorder="1" applyAlignment="1">
      <alignment horizontal="center"/>
    </xf>
    <xf numFmtId="166" fontId="45" fillId="0" borderId="10" xfId="3" applyNumberFormat="1" applyFont="1" applyBorder="1" applyAlignment="1">
      <alignment horizontal="center"/>
    </xf>
    <xf numFmtId="166" fontId="7" fillId="0" borderId="1" xfId="3" applyNumberFormat="1" applyBorder="1" applyAlignment="1">
      <alignment horizontal="center"/>
    </xf>
    <xf numFmtId="167" fontId="7" fillId="0" borderId="11" xfId="3" applyNumberFormat="1" applyBorder="1" applyAlignment="1">
      <alignment horizontal="center"/>
    </xf>
    <xf numFmtId="165" fontId="46" fillId="8" borderId="43" xfId="3" applyFont="1" applyFill="1" applyBorder="1" applyAlignment="1">
      <alignment horizontal="center" wrapText="1"/>
    </xf>
    <xf numFmtId="165" fontId="40" fillId="0" borderId="0" xfId="3" applyFont="1"/>
    <xf numFmtId="165" fontId="7" fillId="0" borderId="13" xfId="3" applyBorder="1"/>
    <xf numFmtId="166" fontId="7" fillId="0" borderId="0" xfId="3" applyNumberFormat="1" applyAlignment="1">
      <alignment horizontal="center"/>
    </xf>
    <xf numFmtId="165" fontId="47" fillId="8" borderId="43" xfId="3" applyFont="1" applyFill="1" applyBorder="1" applyAlignment="1">
      <alignment horizontal="center" wrapText="1"/>
    </xf>
    <xf numFmtId="165" fontId="48" fillId="0" borderId="13" xfId="3" applyFont="1" applyBorder="1"/>
    <xf numFmtId="166" fontId="7" fillId="0" borderId="0" xfId="3" applyNumberFormat="1"/>
    <xf numFmtId="165" fontId="49" fillId="0" borderId="13" xfId="3" applyFont="1" applyBorder="1"/>
    <xf numFmtId="165" fontId="50" fillId="0" borderId="52" xfId="3" applyFont="1" applyBorder="1" applyAlignment="1">
      <alignment horizontal="left"/>
    </xf>
    <xf numFmtId="15" fontId="7" fillId="0" borderId="10" xfId="3" applyNumberFormat="1" applyBorder="1" applyAlignment="1">
      <alignment horizontal="center"/>
    </xf>
    <xf numFmtId="166" fontId="7" fillId="8" borderId="1" xfId="3" applyNumberFormat="1" applyFill="1" applyBorder="1" applyAlignment="1">
      <alignment horizontal="center"/>
    </xf>
    <xf numFmtId="166" fontId="7" fillId="8" borderId="11" xfId="3" applyNumberFormat="1" applyFill="1" applyBorder="1" applyAlignment="1">
      <alignment horizontal="center"/>
    </xf>
    <xf numFmtId="165" fontId="14" fillId="8" borderId="43" xfId="3" applyFont="1" applyFill="1" applyBorder="1" applyAlignment="1">
      <alignment horizontal="center"/>
    </xf>
    <xf numFmtId="165" fontId="48" fillId="0" borderId="31" xfId="3" applyFont="1" applyBorder="1"/>
    <xf numFmtId="16" fontId="7" fillId="0" borderId="32" xfId="3" applyNumberFormat="1" applyBorder="1" applyAlignment="1">
      <alignment horizontal="center"/>
    </xf>
    <xf numFmtId="15" fontId="7" fillId="0" borderId="32" xfId="3" applyNumberFormat="1" applyBorder="1" applyAlignment="1">
      <alignment horizontal="center"/>
    </xf>
    <xf numFmtId="166" fontId="7" fillId="0" borderId="32" xfId="3" applyNumberFormat="1" applyBorder="1" applyAlignment="1">
      <alignment horizontal="center"/>
    </xf>
    <xf numFmtId="1" fontId="44" fillId="0" borderId="32" xfId="3" applyNumberFormat="1" applyFont="1" applyBorder="1" applyAlignment="1">
      <alignment horizontal="center"/>
    </xf>
    <xf numFmtId="166" fontId="45" fillId="0" borderId="32" xfId="3" applyNumberFormat="1" applyFont="1" applyBorder="1" applyAlignment="1">
      <alignment horizontal="center"/>
    </xf>
    <xf numFmtId="166" fontId="7" fillId="8" borderId="32" xfId="3" applyNumberFormat="1" applyFill="1" applyBorder="1" applyAlignment="1">
      <alignment horizontal="center"/>
    </xf>
    <xf numFmtId="166" fontId="7" fillId="8" borderId="53" xfId="3" applyNumberFormat="1" applyFill="1" applyBorder="1" applyAlignment="1">
      <alignment horizontal="center"/>
    </xf>
    <xf numFmtId="167" fontId="7" fillId="0" borderId="53" xfId="3" applyNumberFormat="1" applyBorder="1" applyAlignment="1">
      <alignment horizontal="center"/>
    </xf>
    <xf numFmtId="165" fontId="51" fillId="0" borderId="54" xfId="3" applyFont="1" applyBorder="1" applyAlignment="1">
      <alignment horizontal="center"/>
    </xf>
    <xf numFmtId="165" fontId="7" fillId="0" borderId="0" xfId="3" applyAlignment="1">
      <alignment horizontal="center"/>
    </xf>
    <xf numFmtId="15" fontId="7" fillId="0" borderId="0" xfId="3" applyNumberFormat="1" applyAlignment="1">
      <alignment horizontal="center"/>
    </xf>
    <xf numFmtId="166" fontId="52" fillId="0" borderId="0" xfId="3" applyNumberFormat="1" applyFont="1" applyAlignment="1">
      <alignment horizontal="center"/>
    </xf>
    <xf numFmtId="2" fontId="7" fillId="0" borderId="0" xfId="3" applyNumberFormat="1" applyAlignment="1">
      <alignment horizontal="center"/>
    </xf>
    <xf numFmtId="166" fontId="40" fillId="0" borderId="33" xfId="3" applyNumberFormat="1" applyFont="1" applyBorder="1"/>
    <xf numFmtId="165" fontId="51" fillId="0" borderId="0" xfId="3" applyFont="1" applyAlignment="1">
      <alignment horizontal="center"/>
    </xf>
    <xf numFmtId="166" fontId="44" fillId="0" borderId="20" xfId="3" applyNumberFormat="1" applyFont="1" applyBorder="1" applyAlignment="1">
      <alignment horizontal="center"/>
    </xf>
    <xf numFmtId="166" fontId="44" fillId="0" borderId="21" xfId="3" applyNumberFormat="1" applyFont="1" applyBorder="1" applyAlignment="1">
      <alignment horizontal="center"/>
    </xf>
    <xf numFmtId="2" fontId="40" fillId="0" borderId="0" xfId="3" applyNumberFormat="1" applyFont="1" applyAlignment="1">
      <alignment horizontal="center"/>
    </xf>
    <xf numFmtId="2" fontId="40" fillId="0" borderId="57" xfId="3" applyNumberFormat="1" applyFont="1" applyBorder="1" applyAlignment="1">
      <alignment horizontal="center"/>
    </xf>
    <xf numFmtId="166" fontId="7" fillId="0" borderId="13" xfId="3" applyNumberFormat="1" applyBorder="1" applyAlignment="1">
      <alignment horizontal="center"/>
    </xf>
    <xf numFmtId="2" fontId="7" fillId="0" borderId="1" xfId="3" applyNumberFormat="1" applyBorder="1" applyAlignment="1">
      <alignment horizontal="center"/>
    </xf>
    <xf numFmtId="165" fontId="7" fillId="0" borderId="2" xfId="3" applyBorder="1" applyAlignment="1">
      <alignment horizontal="center"/>
    </xf>
    <xf numFmtId="165" fontId="49" fillId="0" borderId="58" xfId="3" applyFont="1" applyBorder="1" applyAlignment="1">
      <alignment horizontal="center"/>
    </xf>
    <xf numFmtId="165" fontId="53" fillId="0" borderId="13" xfId="3" applyFont="1" applyBorder="1" applyAlignment="1">
      <alignment horizontal="center"/>
    </xf>
    <xf numFmtId="2" fontId="45" fillId="0" borderId="15" xfId="3" applyNumberFormat="1" applyFont="1" applyBorder="1" applyAlignment="1">
      <alignment horizontal="center"/>
    </xf>
    <xf numFmtId="2" fontId="45" fillId="0" borderId="2" xfId="3" applyNumberFormat="1" applyFont="1" applyBorder="1" applyAlignment="1">
      <alignment horizontal="center"/>
    </xf>
    <xf numFmtId="166" fontId="40" fillId="0" borderId="0" xfId="3" applyNumberFormat="1" applyFont="1" applyAlignment="1">
      <alignment horizontal="center"/>
    </xf>
    <xf numFmtId="1" fontId="7" fillId="0" borderId="58" xfId="3" applyNumberFormat="1" applyBorder="1" applyAlignment="1">
      <alignment horizontal="center"/>
    </xf>
    <xf numFmtId="166" fontId="54" fillId="0" borderId="59" xfId="3" applyNumberFormat="1" applyFont="1" applyBorder="1" applyAlignment="1">
      <alignment horizontal="center"/>
    </xf>
    <xf numFmtId="15" fontId="7" fillId="0" borderId="31" xfId="3" applyNumberFormat="1" applyBorder="1" applyAlignment="1">
      <alignment horizontal="center"/>
    </xf>
    <xf numFmtId="2" fontId="7" fillId="0" borderId="36" xfId="3" applyNumberFormat="1" applyBorder="1" applyAlignment="1">
      <alignment horizontal="center"/>
    </xf>
    <xf numFmtId="2" fontId="7" fillId="0" borderId="53" xfId="3" applyNumberFormat="1" applyBorder="1" applyAlignment="1">
      <alignment horizontal="center"/>
    </xf>
    <xf numFmtId="166" fontId="7" fillId="0" borderId="61" xfId="3" applyNumberFormat="1" applyBorder="1" applyAlignment="1">
      <alignment horizontal="center"/>
    </xf>
    <xf numFmtId="165" fontId="40" fillId="0" borderId="20" xfId="3" applyFont="1" applyBorder="1" applyAlignment="1">
      <alignment horizontal="left"/>
    </xf>
    <xf numFmtId="165" fontId="40" fillId="0" borderId="21" xfId="3" applyFont="1" applyBorder="1" applyAlignment="1">
      <alignment horizontal="center"/>
    </xf>
    <xf numFmtId="165" fontId="40" fillId="0" borderId="56" xfId="3" applyFont="1" applyBorder="1" applyAlignment="1">
      <alignment horizontal="center"/>
    </xf>
    <xf numFmtId="165" fontId="40" fillId="0" borderId="0" xfId="3" applyFont="1" applyAlignment="1">
      <alignment horizontal="center"/>
    </xf>
    <xf numFmtId="166" fontId="7" fillId="0" borderId="1" xfId="3" applyNumberFormat="1" applyBorder="1" applyAlignment="1">
      <alignment horizontal="right"/>
    </xf>
    <xf numFmtId="166" fontId="40" fillId="0" borderId="1" xfId="3" applyNumberFormat="1" applyFont="1" applyBorder="1" applyAlignment="1">
      <alignment horizontal="right"/>
    </xf>
    <xf numFmtId="166" fontId="7" fillId="0" borderId="59" xfId="3" applyNumberFormat="1" applyBorder="1"/>
    <xf numFmtId="165" fontId="55" fillId="0" borderId="13" xfId="3" applyFont="1" applyBorder="1" applyAlignment="1">
      <alignment horizontal="left"/>
    </xf>
    <xf numFmtId="166" fontId="54" fillId="0" borderId="1" xfId="3" applyNumberFormat="1" applyFont="1" applyBorder="1" applyAlignment="1">
      <alignment horizontal="right"/>
    </xf>
    <xf numFmtId="165" fontId="56" fillId="0" borderId="13" xfId="3" applyFont="1" applyBorder="1"/>
    <xf numFmtId="166" fontId="40" fillId="0" borderId="1" xfId="3" applyNumberFormat="1" applyFont="1" applyBorder="1"/>
    <xf numFmtId="166" fontId="45" fillId="0" borderId="1" xfId="3" applyNumberFormat="1" applyFont="1" applyBorder="1" applyAlignment="1">
      <alignment horizontal="right"/>
    </xf>
    <xf numFmtId="166" fontId="54" fillId="0" borderId="14" xfId="3" applyNumberFormat="1" applyFont="1" applyBorder="1"/>
    <xf numFmtId="165" fontId="57" fillId="0" borderId="31" xfId="3" applyFont="1" applyBorder="1"/>
    <xf numFmtId="166" fontId="7" fillId="0" borderId="32" xfId="3" applyNumberFormat="1" applyBorder="1" applyAlignment="1">
      <alignment horizontal="right"/>
    </xf>
    <xf numFmtId="166" fontId="40" fillId="0" borderId="14" xfId="3" applyNumberFormat="1" applyFont="1" applyBorder="1"/>
    <xf numFmtId="166" fontId="7" fillId="0" borderId="60" xfId="3" applyNumberFormat="1" applyBorder="1"/>
    <xf numFmtId="165" fontId="57" fillId="0" borderId="0" xfId="3" applyFont="1"/>
    <xf numFmtId="166" fontId="7" fillId="0" borderId="0" xfId="3" applyNumberFormat="1" applyAlignment="1">
      <alignment horizontal="right"/>
    </xf>
    <xf numFmtId="16" fontId="7" fillId="0" borderId="10" xfId="3" applyNumberFormat="1" applyBorder="1" applyAlignment="1">
      <alignment horizontal="center" vertical="center"/>
    </xf>
    <xf numFmtId="15" fontId="7" fillId="0" borderId="6" xfId="3" applyNumberFormat="1" applyBorder="1" applyAlignment="1">
      <alignment vertical="center"/>
    </xf>
    <xf numFmtId="2" fontId="7" fillId="0" borderId="1" xfId="3" applyNumberFormat="1" applyBorder="1" applyAlignment="1">
      <alignment horizontal="right" vertical="center"/>
    </xf>
    <xf numFmtId="166" fontId="7" fillId="0" borderId="1" xfId="3" applyNumberFormat="1" applyBorder="1" applyAlignment="1">
      <alignment horizontal="center" vertical="center"/>
    </xf>
    <xf numFmtId="170" fontId="7" fillId="0" borderId="6" xfId="3" applyNumberFormat="1" applyBorder="1" applyAlignment="1">
      <alignment vertical="center"/>
    </xf>
    <xf numFmtId="165" fontId="40" fillId="0" borderId="23" xfId="3" applyFont="1" applyBorder="1" applyAlignment="1">
      <alignment vertical="center" wrapText="1"/>
    </xf>
    <xf numFmtId="165" fontId="58" fillId="0" borderId="0" xfId="3" applyFont="1"/>
    <xf numFmtId="15" fontId="7" fillId="0" borderId="1" xfId="3" applyNumberFormat="1" applyBorder="1" applyAlignment="1">
      <alignment horizontal="center" vertical="center"/>
    </xf>
    <xf numFmtId="165" fontId="7" fillId="0" borderId="1" xfId="3" applyBorder="1"/>
    <xf numFmtId="165" fontId="59" fillId="0" borderId="43" xfId="3" applyFont="1" applyBorder="1" applyAlignment="1">
      <alignment vertical="center" wrapText="1"/>
    </xf>
    <xf numFmtId="2" fontId="7" fillId="0" borderId="1" xfId="3" applyNumberFormat="1" applyBorder="1" applyAlignment="1">
      <alignment horizontal="center" vertical="center"/>
    </xf>
    <xf numFmtId="2" fontId="7" fillId="0" borderId="1" xfId="3" applyNumberFormat="1" applyBorder="1" applyAlignment="1">
      <alignment horizontal="right"/>
    </xf>
    <xf numFmtId="165" fontId="40" fillId="0" borderId="43" xfId="3" applyFont="1" applyBorder="1" applyAlignment="1">
      <alignment vertical="center" wrapText="1"/>
    </xf>
    <xf numFmtId="165" fontId="52" fillId="0" borderId="13" xfId="3" applyFont="1" applyBorder="1"/>
    <xf numFmtId="165" fontId="52" fillId="0" borderId="52" xfId="3" applyFont="1" applyBorder="1"/>
    <xf numFmtId="165" fontId="7" fillId="0" borderId="14" xfId="3" applyBorder="1"/>
    <xf numFmtId="166" fontId="7" fillId="0" borderId="14" xfId="3" applyNumberFormat="1" applyBorder="1" applyAlignment="1">
      <alignment horizontal="right"/>
    </xf>
    <xf numFmtId="165" fontId="40" fillId="0" borderId="66" xfId="3" applyFont="1" applyBorder="1" applyAlignment="1">
      <alignment vertical="center" wrapText="1"/>
    </xf>
    <xf numFmtId="165" fontId="40" fillId="0" borderId="31" xfId="3" applyFont="1" applyBorder="1" applyAlignment="1">
      <alignment horizontal="center" shrinkToFit="1"/>
    </xf>
    <xf numFmtId="165" fontId="7" fillId="0" borderId="32" xfId="3" applyBorder="1" applyAlignment="1">
      <alignment horizontal="center"/>
    </xf>
    <xf numFmtId="15" fontId="7" fillId="0" borderId="39" xfId="3" applyNumberFormat="1" applyBorder="1"/>
    <xf numFmtId="165" fontId="7" fillId="0" borderId="32" xfId="3" applyBorder="1"/>
    <xf numFmtId="165" fontId="7" fillId="0" borderId="32" xfId="3" applyBorder="1" applyAlignment="1">
      <alignment horizontal="right"/>
    </xf>
    <xf numFmtId="165" fontId="40" fillId="0" borderId="54" xfId="3" applyFont="1" applyBorder="1" applyAlignment="1">
      <alignment vertical="center" wrapText="1"/>
    </xf>
    <xf numFmtId="165" fontId="40" fillId="0" borderId="0" xfId="3" applyFont="1" applyAlignment="1">
      <alignment horizontal="center" shrinkToFit="1"/>
    </xf>
    <xf numFmtId="165" fontId="40" fillId="0" borderId="0" xfId="3" applyFont="1" applyAlignment="1">
      <alignment vertical="center" wrapText="1"/>
    </xf>
    <xf numFmtId="165" fontId="38" fillId="0" borderId="50" xfId="3" applyFont="1" applyBorder="1" applyAlignment="1">
      <alignment horizontal="left"/>
    </xf>
    <xf numFmtId="165" fontId="38" fillId="0" borderId="10" xfId="3" applyFont="1" applyBorder="1" applyAlignment="1">
      <alignment horizontal="left"/>
    </xf>
    <xf numFmtId="165" fontId="38" fillId="0" borderId="12" xfId="3" applyFont="1" applyBorder="1" applyAlignment="1">
      <alignment horizontal="left"/>
    </xf>
    <xf numFmtId="165" fontId="40" fillId="0" borderId="10" xfId="3" applyFont="1" applyBorder="1" applyAlignment="1">
      <alignment horizontal="left"/>
    </xf>
    <xf numFmtId="165" fontId="40" fillId="0" borderId="12" xfId="3" applyFont="1" applyBorder="1" applyAlignment="1">
      <alignment horizontal="left"/>
    </xf>
    <xf numFmtId="2" fontId="61" fillId="0" borderId="1" xfId="4" applyNumberFormat="1" applyFont="1" applyBorder="1" applyAlignment="1">
      <alignment horizontal="right"/>
    </xf>
    <xf numFmtId="166" fontId="61" fillId="0" borderId="15" xfId="3" applyNumberFormat="1" applyFont="1" applyBorder="1" applyAlignment="1">
      <alignment horizontal="right"/>
    </xf>
    <xf numFmtId="170" fontId="7" fillId="0" borderId="52" xfId="4" applyNumberFormat="1" applyBorder="1" applyAlignment="1">
      <alignment horizontal="right" vertical="center"/>
    </xf>
    <xf numFmtId="170" fontId="54" fillId="0" borderId="1" xfId="3" applyNumberFormat="1" applyFont="1" applyBorder="1" applyAlignment="1">
      <alignment horizontal="right"/>
    </xf>
    <xf numFmtId="9" fontId="7" fillId="0" borderId="15" xfId="3" applyNumberFormat="1" applyBorder="1" applyAlignment="1">
      <alignment horizontal="right"/>
    </xf>
    <xf numFmtId="170" fontId="7" fillId="0" borderId="1" xfId="4" applyNumberFormat="1" applyBorder="1" applyAlignment="1">
      <alignment horizontal="right"/>
    </xf>
    <xf numFmtId="165" fontId="23" fillId="0" borderId="13" xfId="3" applyFont="1" applyBorder="1"/>
    <xf numFmtId="2" fontId="61" fillId="0" borderId="0" xfId="3" applyNumberFormat="1" applyFont="1" applyAlignment="1">
      <alignment horizontal="right"/>
    </xf>
    <xf numFmtId="165" fontId="30" fillId="0" borderId="52" xfId="3" applyFont="1" applyBorder="1" applyAlignment="1">
      <alignment horizontal="left"/>
    </xf>
    <xf numFmtId="166" fontId="61" fillId="0" borderId="51" xfId="3" applyNumberFormat="1" applyFont="1" applyBorder="1" applyAlignment="1">
      <alignment horizontal="right"/>
    </xf>
    <xf numFmtId="165" fontId="31" fillId="0" borderId="52" xfId="3" applyFont="1" applyBorder="1" applyAlignment="1">
      <alignment horizontal="left"/>
    </xf>
    <xf numFmtId="2" fontId="61" fillId="0" borderId="14" xfId="4" applyNumberFormat="1" applyFont="1" applyBorder="1" applyAlignment="1">
      <alignment horizontal="right"/>
    </xf>
    <xf numFmtId="170" fontId="7" fillId="0" borderId="14" xfId="4" applyNumberFormat="1" applyBorder="1" applyAlignment="1">
      <alignment horizontal="right"/>
    </xf>
    <xf numFmtId="9" fontId="7" fillId="0" borderId="51" xfId="3" applyNumberFormat="1" applyBorder="1" applyAlignment="1">
      <alignment horizontal="right"/>
    </xf>
    <xf numFmtId="2" fontId="61" fillId="0" borderId="32" xfId="3" applyNumberFormat="1" applyFont="1" applyBorder="1" applyAlignment="1">
      <alignment horizontal="right"/>
    </xf>
    <xf numFmtId="166" fontId="61" fillId="0" borderId="36" xfId="3" applyNumberFormat="1" applyFont="1" applyBorder="1" applyAlignment="1">
      <alignment horizontal="right"/>
    </xf>
    <xf numFmtId="170" fontId="7" fillId="0" borderId="32" xfId="3" applyNumberFormat="1" applyBorder="1" applyAlignment="1">
      <alignment horizontal="right"/>
    </xf>
    <xf numFmtId="9" fontId="7" fillId="0" borderId="36" xfId="3" applyNumberFormat="1" applyBorder="1" applyAlignment="1">
      <alignment horizontal="right"/>
    </xf>
    <xf numFmtId="165" fontId="61" fillId="0" borderId="0" xfId="3" applyFont="1"/>
    <xf numFmtId="165" fontId="61" fillId="0" borderId="0" xfId="3" applyFont="1" applyAlignment="1">
      <alignment horizontal="right"/>
    </xf>
    <xf numFmtId="2" fontId="38" fillId="0" borderId="0" xfId="3" applyNumberFormat="1" applyFont="1" applyAlignment="1">
      <alignment horizontal="right"/>
    </xf>
    <xf numFmtId="2" fontId="40" fillId="0" borderId="0" xfId="3" applyNumberFormat="1" applyFont="1" applyAlignment="1">
      <alignment horizontal="right"/>
    </xf>
    <xf numFmtId="165" fontId="7" fillId="0" borderId="0" xfId="3" applyAlignment="1">
      <alignment horizontal="right"/>
    </xf>
    <xf numFmtId="165" fontId="62" fillId="0" borderId="0" xfId="3" applyFont="1"/>
    <xf numFmtId="165" fontId="53" fillId="0" borderId="0" xfId="0" applyFont="1"/>
    <xf numFmtId="165" fontId="53" fillId="0" borderId="0" xfId="0" applyFont="1" applyAlignment="1">
      <alignment horizontal="center"/>
    </xf>
    <xf numFmtId="165" fontId="63" fillId="3" borderId="1" xfId="0" applyFont="1" applyFill="1" applyBorder="1"/>
    <xf numFmtId="165" fontId="63" fillId="9" borderId="1" xfId="0" applyFont="1" applyFill="1" applyBorder="1" applyAlignment="1">
      <alignment horizontal="center"/>
    </xf>
    <xf numFmtId="165" fontId="0" fillId="0" borderId="0" xfId="0" applyAlignment="1">
      <alignment horizontal="center"/>
    </xf>
    <xf numFmtId="166" fontId="53" fillId="3" borderId="1" xfId="0" applyNumberFormat="1" applyFont="1" applyFill="1" applyBorder="1" applyAlignment="1">
      <alignment horizontal="center"/>
    </xf>
    <xf numFmtId="40" fontId="53" fillId="10" borderId="27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center"/>
    </xf>
    <xf numFmtId="40" fontId="53" fillId="12" borderId="27" xfId="1" applyNumberFormat="1" applyFont="1" applyFill="1" applyBorder="1" applyAlignment="1">
      <alignment horizontal="center"/>
    </xf>
    <xf numFmtId="40" fontId="53" fillId="13" borderId="27" xfId="1" applyNumberFormat="1" applyFont="1" applyFill="1" applyBorder="1" applyAlignment="1">
      <alignment horizontal="center"/>
    </xf>
    <xf numFmtId="40" fontId="53" fillId="14" borderId="27" xfId="1" applyNumberFormat="1" applyFont="1" applyFill="1" applyBorder="1" applyAlignment="1">
      <alignment horizontal="center"/>
    </xf>
    <xf numFmtId="40" fontId="53" fillId="15" borderId="27" xfId="1" applyNumberFormat="1" applyFont="1" applyFill="1" applyBorder="1" applyAlignment="1">
      <alignment horizontal="center"/>
    </xf>
    <xf numFmtId="40" fontId="53" fillId="16" borderId="27" xfId="1" applyNumberFormat="1" applyFont="1" applyFill="1" applyBorder="1" applyAlignment="1">
      <alignment horizontal="center"/>
    </xf>
    <xf numFmtId="40" fontId="53" fillId="17" borderId="27" xfId="1" applyNumberFormat="1" applyFont="1" applyFill="1" applyBorder="1" applyAlignment="1">
      <alignment horizontal="center"/>
    </xf>
    <xf numFmtId="40" fontId="53" fillId="18" borderId="27" xfId="1" applyNumberFormat="1" applyFont="1" applyFill="1" applyBorder="1" applyAlignment="1">
      <alignment horizontal="center"/>
    </xf>
    <xf numFmtId="166" fontId="63" fillId="4" borderId="1" xfId="0" applyNumberFormat="1" applyFont="1" applyFill="1" applyBorder="1" applyAlignment="1">
      <alignment horizontal="center"/>
    </xf>
    <xf numFmtId="165" fontId="63" fillId="19" borderId="1" xfId="0" applyFont="1" applyFill="1" applyBorder="1" applyAlignment="1">
      <alignment horizontal="center"/>
    </xf>
    <xf numFmtId="2" fontId="63" fillId="19" borderId="1" xfId="0" applyNumberFormat="1" applyFont="1" applyFill="1" applyBorder="1" applyAlignment="1">
      <alignment horizontal="center"/>
    </xf>
    <xf numFmtId="2" fontId="63" fillId="0" borderId="1" xfId="0" applyNumberFormat="1" applyFont="1" applyBorder="1" applyAlignment="1">
      <alignment horizontal="center"/>
    </xf>
    <xf numFmtId="165" fontId="63" fillId="9" borderId="3" xfId="0" applyFont="1" applyFill="1" applyBorder="1" applyAlignment="1">
      <alignment horizontal="center"/>
    </xf>
    <xf numFmtId="40" fontId="53" fillId="10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/>
    <xf numFmtId="40" fontId="53" fillId="12" borderId="68" xfId="1" applyNumberFormat="1" applyFont="1" applyFill="1" applyBorder="1" applyAlignment="1">
      <alignment horizontal="center"/>
    </xf>
    <xf numFmtId="2" fontId="53" fillId="0" borderId="1" xfId="0" applyNumberFormat="1" applyFont="1" applyBorder="1"/>
    <xf numFmtId="40" fontId="53" fillId="13" borderId="68" xfId="1" applyNumberFormat="1" applyFont="1" applyFill="1" applyBorder="1" applyAlignment="1">
      <alignment horizontal="center"/>
    </xf>
    <xf numFmtId="40" fontId="53" fillId="14" borderId="68" xfId="1" applyNumberFormat="1" applyFont="1" applyFill="1" applyBorder="1" applyAlignment="1">
      <alignment horizontal="center"/>
    </xf>
    <xf numFmtId="40" fontId="53" fillId="15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right"/>
    </xf>
    <xf numFmtId="40" fontId="53" fillId="16" borderId="68" xfId="1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right"/>
    </xf>
    <xf numFmtId="40" fontId="53" fillId="17" borderId="68" xfId="1" applyNumberFormat="1" applyFont="1" applyFill="1" applyBorder="1" applyAlignment="1">
      <alignment horizontal="center"/>
    </xf>
    <xf numFmtId="40" fontId="53" fillId="18" borderId="68" xfId="1" applyNumberFormat="1" applyFont="1" applyFill="1" applyBorder="1" applyAlignment="1">
      <alignment horizontal="center"/>
    </xf>
    <xf numFmtId="165" fontId="63" fillId="19" borderId="3" xfId="0" applyFont="1" applyFill="1" applyBorder="1"/>
    <xf numFmtId="2" fontId="63" fillId="19" borderId="1" xfId="0" applyNumberFormat="1" applyFont="1" applyFill="1" applyBorder="1"/>
    <xf numFmtId="165" fontId="6" fillId="0" borderId="0" xfId="0" applyFont="1"/>
    <xf numFmtId="165" fontId="10" fillId="0" borderId="0" xfId="0" applyFont="1"/>
    <xf numFmtId="165" fontId="65" fillId="0" borderId="0" xfId="0" applyFont="1"/>
    <xf numFmtId="165" fontId="66" fillId="19" borderId="70" xfId="0" applyFont="1" applyFill="1" applyBorder="1" applyAlignment="1">
      <alignment vertical="center"/>
    </xf>
    <xf numFmtId="165" fontId="66" fillId="19" borderId="71" xfId="0" applyFont="1" applyFill="1" applyBorder="1" applyAlignment="1">
      <alignment vertical="center"/>
    </xf>
    <xf numFmtId="165" fontId="66" fillId="19" borderId="72" xfId="0" applyFont="1" applyFill="1" applyBorder="1" applyAlignment="1">
      <alignment vertical="center"/>
    </xf>
    <xf numFmtId="165" fontId="66" fillId="21" borderId="72" xfId="0" applyFont="1" applyFill="1" applyBorder="1" applyAlignment="1">
      <alignment vertical="center"/>
    </xf>
    <xf numFmtId="165" fontId="67" fillId="0" borderId="50" xfId="0" applyFont="1" applyBorder="1"/>
    <xf numFmtId="2" fontId="68" fillId="0" borderId="12" xfId="0" applyNumberFormat="1" applyFont="1" applyBorder="1"/>
    <xf numFmtId="2" fontId="68" fillId="0" borderId="10" xfId="0" applyNumberFormat="1" applyFont="1" applyBorder="1"/>
    <xf numFmtId="2" fontId="68" fillId="6" borderId="10" xfId="0" applyNumberFormat="1" applyFont="1" applyFill="1" applyBorder="1"/>
    <xf numFmtId="166" fontId="67" fillId="21" borderId="12" xfId="0" applyNumberFormat="1" applyFont="1" applyFill="1" applyBorder="1"/>
    <xf numFmtId="2" fontId="69" fillId="0" borderId="73" xfId="0" applyNumberFormat="1" applyFont="1" applyBorder="1"/>
    <xf numFmtId="165" fontId="67" fillId="0" borderId="13" xfId="0" applyFont="1" applyBorder="1"/>
    <xf numFmtId="165" fontId="70" fillId="20" borderId="38" xfId="0" applyFont="1" applyFill="1" applyBorder="1" applyAlignment="1">
      <alignment vertical="center"/>
    </xf>
    <xf numFmtId="2" fontId="71" fillId="20" borderId="39" xfId="0" applyNumberFormat="1" applyFont="1" applyFill="1" applyBorder="1" applyAlignment="1">
      <alignment vertical="center"/>
    </xf>
    <xf numFmtId="165" fontId="66" fillId="22" borderId="72" xfId="0" applyFont="1" applyFill="1" applyBorder="1" applyAlignment="1">
      <alignment vertical="center"/>
    </xf>
    <xf numFmtId="2" fontId="68" fillId="0" borderId="12" xfId="0" applyNumberFormat="1" applyFont="1" applyBorder="1" applyAlignment="1">
      <alignment horizontal="right" vertical="center"/>
    </xf>
    <xf numFmtId="2" fontId="74" fillId="22" borderId="12" xfId="0" applyNumberFormat="1" applyFont="1" applyFill="1" applyBorder="1"/>
    <xf numFmtId="165" fontId="70" fillId="20" borderId="31" xfId="0" applyFont="1" applyFill="1" applyBorder="1" applyAlignment="1">
      <alignment vertical="center"/>
    </xf>
    <xf numFmtId="2" fontId="71" fillId="20" borderId="32" xfId="0" applyNumberFormat="1" applyFont="1" applyFill="1" applyBorder="1" applyAlignment="1">
      <alignment vertical="center"/>
    </xf>
    <xf numFmtId="2" fontId="71" fillId="22" borderId="36" xfId="0" applyNumberFormat="1" applyFont="1" applyFill="1" applyBorder="1" applyAlignment="1">
      <alignment vertical="center"/>
    </xf>
    <xf numFmtId="165" fontId="9" fillId="0" borderId="0" xfId="3" applyFont="1" applyAlignment="1">
      <alignment horizontal="center" vertical="center"/>
    </xf>
    <xf numFmtId="1" fontId="10" fillId="3" borderId="1" xfId="0" applyNumberFormat="1" applyFont="1" applyFill="1" applyBorder="1" applyAlignment="1">
      <alignment horizontal="center"/>
    </xf>
    <xf numFmtId="166" fontId="10" fillId="3" borderId="14" xfId="0" applyNumberFormat="1" applyFont="1" applyFill="1" applyBorder="1"/>
    <xf numFmtId="165" fontId="8" fillId="0" borderId="0" xfId="3" applyFont="1"/>
    <xf numFmtId="1" fontId="8" fillId="0" borderId="1" xfId="3" applyNumberFormat="1" applyFont="1" applyBorder="1" applyAlignment="1">
      <alignment horizontal="center" vertical="center"/>
    </xf>
    <xf numFmtId="165" fontId="8" fillId="0" borderId="0" xfId="3" applyFont="1" applyAlignment="1">
      <alignment vertical="center"/>
    </xf>
    <xf numFmtId="1" fontId="9" fillId="0" borderId="1" xfId="3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right"/>
    </xf>
    <xf numFmtId="16" fontId="8" fillId="0" borderId="10" xfId="3" applyNumberFormat="1" applyFont="1" applyBorder="1" applyAlignment="1">
      <alignment horizontal="center" vertical="center"/>
    </xf>
    <xf numFmtId="1" fontId="9" fillId="0" borderId="1" xfId="3" applyNumberFormat="1" applyFont="1" applyBorder="1" applyAlignment="1">
      <alignment horizontal="right"/>
    </xf>
    <xf numFmtId="166" fontId="10" fillId="23" borderId="0" xfId="0" applyNumberFormat="1" applyFont="1" applyFill="1"/>
    <xf numFmtId="170" fontId="8" fillId="0" borderId="42" xfId="4" applyNumberFormat="1" applyFont="1" applyFill="1" applyBorder="1" applyAlignment="1">
      <alignment horizontal="center" vertical="center"/>
    </xf>
    <xf numFmtId="165" fontId="26" fillId="4" borderId="1" xfId="3" applyFont="1" applyFill="1" applyBorder="1" applyAlignment="1">
      <alignment horizontal="left"/>
    </xf>
    <xf numFmtId="165" fontId="28" fillId="4" borderId="1" xfId="3" applyFont="1" applyFill="1" applyBorder="1"/>
    <xf numFmtId="165" fontId="23" fillId="4" borderId="1" xfId="3" applyFont="1" applyFill="1" applyBorder="1" applyAlignment="1">
      <alignment horizontal="left"/>
    </xf>
    <xf numFmtId="165" fontId="29" fillId="4" borderId="1" xfId="3" applyFont="1" applyFill="1" applyBorder="1"/>
    <xf numFmtId="165" fontId="30" fillId="4" borderId="1" xfId="3" applyFont="1" applyFill="1" applyBorder="1" applyAlignment="1">
      <alignment horizontal="left"/>
    </xf>
    <xf numFmtId="165" fontId="9" fillId="4" borderId="1" xfId="3" applyFont="1" applyFill="1" applyBorder="1" applyAlignment="1">
      <alignment horizontal="left" vertical="center" wrapText="1"/>
    </xf>
    <xf numFmtId="1" fontId="9" fillId="4" borderId="1" xfId="3" applyNumberFormat="1" applyFont="1" applyFill="1" applyBorder="1" applyAlignment="1">
      <alignment horizontal="center" vertical="center" wrapText="1"/>
    </xf>
    <xf numFmtId="165" fontId="9" fillId="0" borderId="0" xfId="3" applyFont="1" applyAlignment="1">
      <alignment horizontal="center"/>
    </xf>
    <xf numFmtId="165" fontId="77" fillId="4" borderId="1" xfId="3" applyFont="1" applyFill="1" applyBorder="1" applyAlignment="1">
      <alignment horizontal="left"/>
    </xf>
    <xf numFmtId="166" fontId="10" fillId="0" borderId="0" xfId="0" applyNumberFormat="1" applyFont="1" applyAlignment="1">
      <alignment vertical="center"/>
    </xf>
    <xf numFmtId="167" fontId="9" fillId="0" borderId="0" xfId="3" applyNumberFormat="1" applyFont="1" applyAlignment="1">
      <alignment horizontal="right" vertical="center"/>
    </xf>
    <xf numFmtId="166" fontId="71" fillId="20" borderId="39" xfId="0" applyNumberFormat="1" applyFont="1" applyFill="1" applyBorder="1" applyAlignment="1">
      <alignment vertical="center"/>
    </xf>
    <xf numFmtId="166" fontId="69" fillId="0" borderId="73" xfId="0" applyNumberFormat="1" applyFont="1" applyBorder="1"/>
    <xf numFmtId="1" fontId="69" fillId="0" borderId="73" xfId="0" applyNumberFormat="1" applyFont="1" applyBorder="1"/>
    <xf numFmtId="14" fontId="9" fillId="0" borderId="0" xfId="3" applyNumberFormat="1" applyFont="1"/>
    <xf numFmtId="166" fontId="9" fillId="0" borderId="1" xfId="3" applyNumberFormat="1" applyFont="1" applyBorder="1" applyAlignment="1">
      <alignment horizontal="right"/>
    </xf>
    <xf numFmtId="4" fontId="8" fillId="0" borderId="11" xfId="3" applyNumberFormat="1" applyFont="1" applyBorder="1" applyAlignment="1">
      <alignment horizontal="center" vertical="center"/>
    </xf>
    <xf numFmtId="4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right"/>
    </xf>
    <xf numFmtId="165" fontId="78" fillId="0" borderId="52" xfId="3" applyFont="1" applyBorder="1"/>
    <xf numFmtId="20" fontId="9" fillId="4" borderId="18" xfId="0" applyNumberFormat="1" applyFont="1" applyFill="1" applyBorder="1" applyAlignment="1">
      <alignment horizontal="center" vertical="center" wrapText="1"/>
    </xf>
    <xf numFmtId="1" fontId="9" fillId="0" borderId="63" xfId="3" applyNumberFormat="1" applyFont="1" applyBorder="1" applyAlignment="1">
      <alignment horizontal="center"/>
    </xf>
    <xf numFmtId="16" fontId="8" fillId="0" borderId="77" xfId="3" applyNumberFormat="1" applyFont="1" applyBorder="1" applyAlignment="1">
      <alignment vertical="center"/>
    </xf>
    <xf numFmtId="16" fontId="8" fillId="0" borderId="32" xfId="3" applyNumberFormat="1" applyFont="1" applyBorder="1" applyAlignment="1">
      <alignment vertical="center"/>
    </xf>
    <xf numFmtId="165" fontId="9" fillId="0" borderId="3" xfId="3" applyFont="1" applyBorder="1" applyAlignment="1">
      <alignment horizontal="center"/>
    </xf>
    <xf numFmtId="2" fontId="9" fillId="7" borderId="34" xfId="3" applyNumberFormat="1" applyFont="1" applyFill="1" applyBorder="1" applyAlignment="1">
      <alignment horizontal="center" vertical="center"/>
    </xf>
    <xf numFmtId="2" fontId="25" fillId="7" borderId="34" xfId="3" applyNumberFormat="1" applyFont="1" applyFill="1" applyBorder="1" applyAlignment="1">
      <alignment horizontal="center" vertical="center"/>
    </xf>
    <xf numFmtId="2" fontId="79" fillId="0" borderId="1" xfId="3" applyNumberFormat="1" applyFont="1" applyBorder="1" applyAlignment="1">
      <alignment horizontal="center" vertical="center"/>
    </xf>
    <xf numFmtId="2" fontId="8" fillId="0" borderId="0" xfId="3" applyNumberFormat="1" applyFont="1"/>
    <xf numFmtId="165" fontId="67" fillId="0" borderId="52" xfId="0" applyFont="1" applyBorder="1"/>
    <xf numFmtId="2" fontId="68" fillId="0" borderId="76" xfId="0" applyNumberFormat="1" applyFont="1" applyBorder="1"/>
    <xf numFmtId="2" fontId="68" fillId="0" borderId="80" xfId="0" applyNumberFormat="1" applyFont="1" applyBorder="1"/>
    <xf numFmtId="2" fontId="74" fillId="22" borderId="81" xfId="0" applyNumberFormat="1" applyFont="1" applyFill="1" applyBorder="1"/>
    <xf numFmtId="2" fontId="31" fillId="0" borderId="10" xfId="4" applyNumberFormat="1" applyFont="1" applyFill="1" applyBorder="1" applyAlignment="1">
      <alignment horizontal="center" vertical="center"/>
    </xf>
    <xf numFmtId="2" fontId="31" fillId="0" borderId="2" xfId="4" applyNumberFormat="1" applyFont="1" applyBorder="1" applyAlignment="1">
      <alignment horizontal="center" vertical="center"/>
    </xf>
    <xf numFmtId="2" fontId="31" fillId="0" borderId="2" xfId="4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/>
    </xf>
    <xf numFmtId="1" fontId="9" fillId="0" borderId="1" xfId="3" applyNumberFormat="1" applyFont="1" applyBorder="1" applyAlignment="1">
      <alignment horizontal="center"/>
    </xf>
    <xf numFmtId="1" fontId="9" fillId="0" borderId="18" xfId="3" applyNumberFormat="1" applyFont="1" applyBorder="1" applyAlignment="1">
      <alignment horizontal="center"/>
    </xf>
    <xf numFmtId="166" fontId="9" fillId="0" borderId="14" xfId="3" applyNumberFormat="1" applyFont="1" applyBorder="1" applyAlignment="1">
      <alignment horizontal="center"/>
    </xf>
    <xf numFmtId="166" fontId="9" fillId="0" borderId="32" xfId="3" applyNumberFormat="1" applyFont="1" applyBorder="1" applyAlignment="1">
      <alignment horizontal="center"/>
    </xf>
    <xf numFmtId="166" fontId="9" fillId="0" borderId="14" xfId="3" applyNumberFormat="1" applyFont="1" applyBorder="1"/>
    <xf numFmtId="166" fontId="9" fillId="4" borderId="33" xfId="3" applyNumberFormat="1" applyFont="1" applyFill="1" applyBorder="1"/>
    <xf numFmtId="1" fontId="9" fillId="4" borderId="33" xfId="3" applyNumberFormat="1" applyFont="1" applyFill="1" applyBorder="1"/>
    <xf numFmtId="2" fontId="68" fillId="4" borderId="12" xfId="0" applyNumberFormat="1" applyFont="1" applyFill="1" applyBorder="1"/>
    <xf numFmtId="2" fontId="68" fillId="4" borderId="12" xfId="0" quotePrefix="1" applyNumberFormat="1" applyFont="1" applyFill="1" applyBorder="1"/>
    <xf numFmtId="2" fontId="68" fillId="4" borderId="80" xfId="0" applyNumberFormat="1" applyFont="1" applyFill="1" applyBorder="1"/>
    <xf numFmtId="2" fontId="8" fillId="0" borderId="0" xfId="3" applyNumberFormat="1" applyFont="1" applyAlignment="1">
      <alignment wrapText="1"/>
    </xf>
    <xf numFmtId="165" fontId="7" fillId="0" borderId="0" xfId="3" applyAlignment="1">
      <alignment horizontal="left"/>
    </xf>
    <xf numFmtId="2" fontId="7" fillId="0" borderId="60" xfId="3" applyNumberFormat="1" applyBorder="1" applyAlignment="1">
      <alignment horizontal="center"/>
    </xf>
    <xf numFmtId="2" fontId="40" fillId="0" borderId="26" xfId="3" applyNumberFormat="1" applyFont="1" applyBorder="1" applyAlignment="1">
      <alignment horizontal="center"/>
    </xf>
    <xf numFmtId="165" fontId="7" fillId="0" borderId="56" xfId="3" applyBorder="1" applyAlignment="1">
      <alignment horizontal="center"/>
    </xf>
    <xf numFmtId="165" fontId="9" fillId="0" borderId="1" xfId="3" applyFont="1" applyBorder="1" applyAlignment="1">
      <alignment horizontal="center" vertical="center" wrapText="1"/>
    </xf>
    <xf numFmtId="1" fontId="8" fillId="0" borderId="1" xfId="3" applyNumberFormat="1" applyFont="1" applyBorder="1"/>
    <xf numFmtId="2" fontId="35" fillId="23" borderId="1" xfId="3" applyNumberFormat="1" applyFont="1" applyFill="1" applyBorder="1" applyAlignment="1">
      <alignment horizontal="right"/>
    </xf>
    <xf numFmtId="2" fontId="9" fillId="23" borderId="21" xfId="3" applyNumberFormat="1" applyFont="1" applyFill="1" applyBorder="1" applyAlignment="1">
      <alignment horizontal="right"/>
    </xf>
    <xf numFmtId="20" fontId="9" fillId="4" borderId="17" xfId="0" applyNumberFormat="1" applyFont="1" applyFill="1" applyBorder="1" applyAlignment="1">
      <alignment horizontal="center" vertical="center" wrapText="1"/>
    </xf>
    <xf numFmtId="1" fontId="9" fillId="0" borderId="19" xfId="3" applyNumberFormat="1" applyFont="1" applyBorder="1" applyAlignment="1">
      <alignment horizontal="center"/>
    </xf>
    <xf numFmtId="165" fontId="27" fillId="4" borderId="1" xfId="3" applyFont="1" applyFill="1" applyBorder="1"/>
    <xf numFmtId="2" fontId="76" fillId="6" borderId="1" xfId="3" applyNumberFormat="1" applyFont="1" applyFill="1" applyBorder="1"/>
    <xf numFmtId="0" fontId="22" fillId="0" borderId="59" xfId="3" applyNumberFormat="1" applyFont="1" applyBorder="1" applyAlignment="1">
      <alignment vertical="top" wrapText="1"/>
    </xf>
    <xf numFmtId="166" fontId="9" fillId="0" borderId="0" xfId="3" applyNumberFormat="1" applyFont="1"/>
    <xf numFmtId="2" fontId="25" fillId="0" borderId="43" xfId="3" applyNumberFormat="1" applyFont="1" applyBorder="1" applyAlignment="1">
      <alignment horizontal="center" vertical="center"/>
    </xf>
    <xf numFmtId="2" fontId="25" fillId="0" borderId="54" xfId="3" applyNumberFormat="1" applyFont="1" applyBorder="1" applyAlignment="1">
      <alignment horizontal="center" vertical="center"/>
    </xf>
    <xf numFmtId="1" fontId="9" fillId="0" borderId="0" xfId="3" applyNumberFormat="1" applyFont="1"/>
    <xf numFmtId="2" fontId="9" fillId="0" borderId="76" xfId="6" applyNumberFormat="1" applyFont="1" applyBorder="1" applyAlignment="1">
      <alignment horizontal="center" vertical="center"/>
    </xf>
    <xf numFmtId="2" fontId="9" fillId="0" borderId="80" xfId="3" applyNumberFormat="1" applyFont="1" applyBorder="1" applyAlignment="1">
      <alignment horizontal="center" vertical="center"/>
    </xf>
    <xf numFmtId="165" fontId="9" fillId="0" borderId="1" xfId="3" applyFont="1" applyBorder="1" applyAlignment="1">
      <alignment vertical="center" wrapText="1"/>
    </xf>
    <xf numFmtId="165" fontId="9" fillId="0" borderId="0" xfId="3" applyFont="1" applyAlignment="1">
      <alignment horizontal="left"/>
    </xf>
    <xf numFmtId="165" fontId="9" fillId="0" borderId="6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9" fillId="0" borderId="7" xfId="3" applyFont="1" applyBorder="1" applyAlignment="1">
      <alignment horizontal="center" vertical="center" wrapText="1"/>
    </xf>
    <xf numFmtId="2" fontId="9" fillId="4" borderId="23" xfId="3" applyNumberFormat="1" applyFont="1" applyFill="1" applyBorder="1" applyAlignment="1">
      <alignment horizontal="center" vertical="center"/>
    </xf>
    <xf numFmtId="165" fontId="26" fillId="0" borderId="13" xfId="3" applyFont="1" applyBorder="1" applyAlignment="1">
      <alignment horizontal="left" vertical="center"/>
    </xf>
    <xf numFmtId="2" fontId="25" fillId="0" borderId="35" xfId="3" applyNumberFormat="1" applyFont="1" applyBorder="1" applyAlignment="1">
      <alignment horizontal="center" vertical="center"/>
    </xf>
    <xf numFmtId="2" fontId="9" fillId="7" borderId="0" xfId="3" applyNumberFormat="1" applyFont="1" applyFill="1" applyAlignment="1">
      <alignment horizontal="center" vertical="center"/>
    </xf>
    <xf numFmtId="2" fontId="25" fillId="7" borderId="0" xfId="3" applyNumberFormat="1" applyFont="1" applyFill="1" applyAlignment="1">
      <alignment horizontal="center" vertical="center"/>
    </xf>
    <xf numFmtId="166" fontId="9" fillId="7" borderId="0" xfId="3" applyNumberFormat="1" applyFont="1" applyFill="1" applyAlignment="1">
      <alignment horizontal="center" vertical="center"/>
    </xf>
    <xf numFmtId="16" fontId="8" fillId="0" borderId="1" xfId="3" applyNumberFormat="1" applyFont="1" applyBorder="1" applyAlignment="1">
      <alignment horizontal="center" vertical="center"/>
    </xf>
    <xf numFmtId="166" fontId="8" fillId="4" borderId="1" xfId="3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 vertical="center"/>
    </xf>
    <xf numFmtId="1" fontId="31" fillId="0" borderId="1" xfId="3" applyNumberFormat="1" applyFont="1" applyBorder="1" applyAlignment="1">
      <alignment vertical="center" wrapText="1"/>
    </xf>
    <xf numFmtId="167" fontId="21" fillId="5" borderId="11" xfId="3" applyNumberFormat="1" applyFont="1" applyFill="1" applyBorder="1" applyAlignment="1">
      <alignment horizontal="center" vertical="center"/>
    </xf>
    <xf numFmtId="165" fontId="8" fillId="0" borderId="2" xfId="3" applyFont="1" applyBorder="1" applyAlignment="1">
      <alignment vertical="center"/>
    </xf>
    <xf numFmtId="170" fontId="8" fillId="0" borderId="1" xfId="4" applyNumberFormat="1" applyFont="1" applyBorder="1" applyAlignment="1">
      <alignment horizontal="center" vertical="center"/>
    </xf>
    <xf numFmtId="165" fontId="20" fillId="0" borderId="13" xfId="3" applyFont="1" applyBorder="1"/>
    <xf numFmtId="167" fontId="21" fillId="0" borderId="11" xfId="3" applyNumberFormat="1" applyFont="1" applyBorder="1" applyAlignment="1">
      <alignment horizontal="center" vertical="center"/>
    </xf>
    <xf numFmtId="1" fontId="31" fillId="0" borderId="51" xfId="3" applyNumberFormat="1" applyFont="1" applyBorder="1" applyAlignment="1">
      <alignment vertical="center" wrapText="1"/>
    </xf>
    <xf numFmtId="170" fontId="8" fillId="0" borderId="3" xfId="4" applyNumberFormat="1" applyFont="1" applyBorder="1" applyAlignment="1">
      <alignment horizontal="center" vertical="center"/>
    </xf>
    <xf numFmtId="4" fontId="8" fillId="0" borderId="10" xfId="3" applyNumberFormat="1" applyFont="1" applyBorder="1" applyAlignment="1">
      <alignment horizontal="center" vertical="center"/>
    </xf>
    <xf numFmtId="171" fontId="8" fillId="0" borderId="10" xfId="3" applyNumberFormat="1" applyFont="1" applyBorder="1" applyAlignment="1">
      <alignment horizontal="center" vertical="center"/>
    </xf>
    <xf numFmtId="2" fontId="8" fillId="0" borderId="10" xfId="3" applyNumberFormat="1" applyFont="1" applyBorder="1" applyAlignment="1">
      <alignment horizontal="center" vertical="center"/>
    </xf>
    <xf numFmtId="170" fontId="8" fillId="0" borderId="10" xfId="4" applyNumberFormat="1" applyFont="1" applyBorder="1" applyAlignment="1">
      <alignment horizontal="center" vertical="center"/>
    </xf>
    <xf numFmtId="2" fontId="31" fillId="0" borderId="1" xfId="4" applyNumberFormat="1" applyFont="1" applyFill="1" applyBorder="1" applyAlignment="1">
      <alignment horizontal="center" vertical="center"/>
    </xf>
    <xf numFmtId="2" fontId="31" fillId="0" borderId="1" xfId="4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/>
    </xf>
    <xf numFmtId="2" fontId="9" fillId="0" borderId="1" xfId="3" applyNumberFormat="1" applyFont="1" applyBorder="1" applyAlignment="1">
      <alignment horizontal="left" vertical="center"/>
    </xf>
    <xf numFmtId="165" fontId="27" fillId="0" borderId="13" xfId="3" applyFont="1" applyBorder="1" applyAlignment="1">
      <alignment vertical="center"/>
    </xf>
    <xf numFmtId="170" fontId="9" fillId="23" borderId="1" xfId="3" applyNumberFormat="1" applyFont="1" applyFill="1" applyBorder="1" applyAlignment="1">
      <alignment horizontal="right"/>
    </xf>
    <xf numFmtId="165" fontId="26" fillId="0" borderId="13" xfId="3" applyFont="1" applyBorder="1" applyAlignment="1">
      <alignment horizontal="center" vertical="center"/>
    </xf>
    <xf numFmtId="165" fontId="9" fillId="0" borderId="18" xfId="3" applyFont="1" applyBorder="1"/>
    <xf numFmtId="2" fontId="9" fillId="0" borderId="10" xfId="3" applyNumberFormat="1" applyFont="1" applyBorder="1" applyAlignment="1">
      <alignment horizontal="center" vertical="center"/>
    </xf>
    <xf numFmtId="2" fontId="9" fillId="4" borderId="18" xfId="3" applyNumberFormat="1" applyFont="1" applyFill="1" applyBorder="1" applyAlignment="1">
      <alignment horizontal="center" vertical="center"/>
    </xf>
    <xf numFmtId="2" fontId="31" fillId="0" borderId="1" xfId="3" applyNumberFormat="1" applyFont="1" applyBorder="1" applyAlignment="1">
      <alignment horizontal="center" vertical="center"/>
    </xf>
    <xf numFmtId="2" fontId="9" fillId="4" borderId="1" xfId="3" applyNumberFormat="1" applyFont="1" applyFill="1" applyBorder="1" applyAlignment="1">
      <alignment horizontal="center" vertical="center"/>
    </xf>
    <xf numFmtId="165" fontId="27" fillId="0" borderId="1" xfId="3" applyFont="1" applyBorder="1" applyAlignment="1">
      <alignment vertical="center"/>
    </xf>
    <xf numFmtId="166" fontId="21" fillId="4" borderId="1" xfId="3" applyNumberFormat="1" applyFont="1" applyFill="1" applyBorder="1" applyAlignment="1">
      <alignment horizontal="center" vertical="center"/>
    </xf>
    <xf numFmtId="167" fontId="8" fillId="0" borderId="1" xfId="3" applyNumberFormat="1" applyFont="1" applyBorder="1" applyAlignment="1">
      <alignment horizontal="center" vertical="center"/>
    </xf>
    <xf numFmtId="166" fontId="8" fillId="7" borderId="1" xfId="3" applyNumberFormat="1" applyFont="1" applyFill="1" applyBorder="1" applyAlignment="1">
      <alignment horizontal="center" vertical="center"/>
    </xf>
    <xf numFmtId="167" fontId="8" fillId="0" borderId="11" xfId="3" applyNumberFormat="1" applyFont="1" applyBorder="1" applyAlignment="1">
      <alignment horizontal="center"/>
    </xf>
    <xf numFmtId="165" fontId="13" fillId="4" borderId="0" xfId="3" applyFont="1" applyFill="1" applyAlignment="1">
      <alignment horizontal="center" vertical="center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" fontId="9" fillId="4" borderId="34" xfId="3" applyNumberFormat="1" applyFont="1" applyFill="1" applyBorder="1"/>
    <xf numFmtId="166" fontId="9" fillId="4" borderId="34" xfId="3" applyNumberFormat="1" applyFont="1" applyFill="1" applyBorder="1"/>
    <xf numFmtId="165" fontId="78" fillId="0" borderId="31" xfId="3" applyFont="1" applyBorder="1"/>
    <xf numFmtId="1" fontId="9" fillId="0" borderId="32" xfId="3" applyNumberFormat="1" applyFont="1" applyBorder="1" applyAlignment="1">
      <alignment horizontal="right"/>
    </xf>
    <xf numFmtId="166" fontId="9" fillId="0" borderId="32" xfId="3" applyNumberFormat="1" applyFont="1" applyBorder="1"/>
    <xf numFmtId="166" fontId="8" fillId="0" borderId="36" xfId="3" applyNumberFormat="1" applyFont="1" applyBorder="1"/>
    <xf numFmtId="165" fontId="81" fillId="0" borderId="52" xfId="3" applyFont="1" applyBorder="1"/>
    <xf numFmtId="165" fontId="82" fillId="0" borderId="52" xfId="3" applyFont="1" applyBorder="1"/>
    <xf numFmtId="170" fontId="7" fillId="0" borderId="0" xfId="3" applyNumberFormat="1" applyAlignment="1">
      <alignment horizontal="right"/>
    </xf>
    <xf numFmtId="165" fontId="83" fillId="0" borderId="31" xfId="3" applyFont="1" applyBorder="1"/>
    <xf numFmtId="165" fontId="84" fillId="0" borderId="31" xfId="3" applyFont="1" applyBorder="1"/>
    <xf numFmtId="166" fontId="8" fillId="0" borderId="0" xfId="3" applyNumberFormat="1" applyFont="1" applyAlignment="1">
      <alignment horizontal="center" vertical="center"/>
    </xf>
    <xf numFmtId="166" fontId="9" fillId="26" borderId="63" xfId="3" applyNumberFormat="1" applyFont="1" applyFill="1" applyBorder="1" applyAlignment="1">
      <alignment horizontal="center"/>
    </xf>
    <xf numFmtId="0" fontId="9" fillId="0" borderId="0" xfId="3" applyNumberFormat="1" applyFont="1" applyAlignment="1">
      <alignment horizontal="center"/>
    </xf>
    <xf numFmtId="0" fontId="22" fillId="0" borderId="1" xfId="3" applyNumberFormat="1" applyFont="1" applyBorder="1" applyAlignment="1">
      <alignment vertical="top" wrapText="1"/>
    </xf>
    <xf numFmtId="165" fontId="8" fillId="0" borderId="0" xfId="3" applyFont="1" applyAlignment="1">
      <alignment horizontal="left" vertical="center"/>
    </xf>
    <xf numFmtId="165" fontId="8" fillId="23" borderId="2" xfId="3" applyFont="1" applyFill="1" applyBorder="1" applyAlignment="1">
      <alignment vertical="center"/>
    </xf>
    <xf numFmtId="165" fontId="9" fillId="0" borderId="81" xfId="3" applyFont="1" applyBorder="1" applyAlignment="1">
      <alignment vertical="center" wrapText="1"/>
    </xf>
    <xf numFmtId="165" fontId="9" fillId="0" borderId="40" xfId="3" applyFont="1" applyBorder="1" applyAlignment="1">
      <alignment horizontal="center" vertical="center" wrapText="1"/>
    </xf>
    <xf numFmtId="16" fontId="8" fillId="0" borderId="39" xfId="3" applyNumberFormat="1" applyFont="1" applyBorder="1" applyAlignment="1">
      <alignment horizontal="center" vertical="center"/>
    </xf>
    <xf numFmtId="4" fontId="8" fillId="0" borderId="39" xfId="3" applyNumberFormat="1" applyFont="1" applyBorder="1" applyAlignment="1">
      <alignment horizontal="center" vertical="center"/>
    </xf>
    <xf numFmtId="171" fontId="8" fillId="0" borderId="39" xfId="3" applyNumberFormat="1" applyFont="1" applyBorder="1" applyAlignment="1">
      <alignment horizontal="center" vertical="center"/>
    </xf>
    <xf numFmtId="2" fontId="8" fillId="0" borderId="39" xfId="3" applyNumberFormat="1" applyFont="1" applyBorder="1" applyAlignment="1">
      <alignment horizontal="center" vertical="center"/>
    </xf>
    <xf numFmtId="4" fontId="8" fillId="0" borderId="62" xfId="3" applyNumberFormat="1" applyFont="1" applyBorder="1" applyAlignment="1">
      <alignment horizontal="center" vertical="center"/>
    </xf>
    <xf numFmtId="2" fontId="31" fillId="0" borderId="39" xfId="4" applyNumberFormat="1" applyFont="1" applyFill="1" applyBorder="1" applyAlignment="1">
      <alignment horizontal="center" vertical="center"/>
    </xf>
    <xf numFmtId="170" fontId="8" fillId="0" borderId="79" xfId="4" applyNumberFormat="1" applyFont="1" applyFill="1" applyBorder="1" applyAlignment="1">
      <alignment horizontal="center" vertical="center"/>
    </xf>
    <xf numFmtId="16" fontId="9" fillId="0" borderId="76" xfId="3" applyNumberFormat="1" applyFont="1" applyBorder="1" applyAlignment="1">
      <alignment horizontal="center" vertical="center"/>
    </xf>
    <xf numFmtId="4" fontId="8" fillId="0" borderId="76" xfId="3" applyNumberFormat="1" applyFont="1" applyBorder="1" applyAlignment="1">
      <alignment horizontal="center" vertical="center"/>
    </xf>
    <xf numFmtId="171" fontId="8" fillId="0" borderId="76" xfId="3" applyNumberFormat="1" applyFont="1" applyBorder="1" applyAlignment="1">
      <alignment horizontal="center" vertical="center"/>
    </xf>
    <xf numFmtId="2" fontId="8" fillId="0" borderId="76" xfId="3" applyNumberFormat="1" applyFont="1" applyBorder="1" applyAlignment="1">
      <alignment horizontal="center" vertical="center"/>
    </xf>
    <xf numFmtId="4" fontId="8" fillId="0" borderId="80" xfId="3" applyNumberFormat="1" applyFont="1" applyBorder="1" applyAlignment="1">
      <alignment horizontal="center" vertical="center"/>
    </xf>
    <xf numFmtId="2" fontId="31" fillId="0" borderId="76" xfId="4" applyNumberFormat="1" applyFont="1" applyFill="1" applyBorder="1" applyAlignment="1">
      <alignment horizontal="center" vertical="center"/>
    </xf>
    <xf numFmtId="170" fontId="8" fillId="0" borderId="9" xfId="4" applyNumberFormat="1" applyFont="1" applyFill="1" applyBorder="1" applyAlignment="1">
      <alignment horizontal="center" vertical="center"/>
    </xf>
    <xf numFmtId="165" fontId="85" fillId="0" borderId="38" xfId="3" applyFont="1" applyBorder="1" applyAlignment="1">
      <alignment horizontal="center" vertical="center"/>
    </xf>
    <xf numFmtId="2" fontId="31" fillId="0" borderId="62" xfId="4" applyNumberFormat="1" applyFont="1" applyFill="1" applyBorder="1" applyAlignment="1">
      <alignment horizontal="center" vertical="center"/>
    </xf>
    <xf numFmtId="2" fontId="9" fillId="0" borderId="39" xfId="3" applyNumberFormat="1" applyFont="1" applyBorder="1" applyAlignment="1">
      <alignment horizontal="center" vertical="center"/>
    </xf>
    <xf numFmtId="2" fontId="79" fillId="0" borderId="39" xfId="3" applyNumberFormat="1" applyFont="1" applyBorder="1" applyAlignment="1">
      <alignment horizontal="center" vertical="center"/>
    </xf>
    <xf numFmtId="16" fontId="9" fillId="0" borderId="84" xfId="3" applyNumberFormat="1" applyFont="1" applyBorder="1" applyAlignment="1">
      <alignment horizontal="center" vertical="center"/>
    </xf>
    <xf numFmtId="4" fontId="8" fillId="0" borderId="84" xfId="3" applyNumberFormat="1" applyFont="1" applyBorder="1" applyAlignment="1">
      <alignment horizontal="center" vertical="center"/>
    </xf>
    <xf numFmtId="171" fontId="8" fillId="0" borderId="84" xfId="3" applyNumberFormat="1" applyFont="1" applyBorder="1" applyAlignment="1">
      <alignment horizontal="center" vertical="center"/>
    </xf>
    <xf numFmtId="2" fontId="8" fillId="0" borderId="84" xfId="3" applyNumberFormat="1" applyFont="1" applyBorder="1" applyAlignment="1">
      <alignment horizontal="center" vertical="center"/>
    </xf>
    <xf numFmtId="4" fontId="8" fillId="0" borderId="85" xfId="3" applyNumberFormat="1" applyFont="1" applyBorder="1" applyAlignment="1">
      <alignment horizontal="center" vertical="center"/>
    </xf>
    <xf numFmtId="2" fontId="31" fillId="0" borderId="84" xfId="4" applyNumberFormat="1" applyFont="1" applyFill="1" applyBorder="1" applyAlignment="1">
      <alignment horizontal="center" vertical="center"/>
    </xf>
    <xf numFmtId="2" fontId="31" fillId="0" borderId="85" xfId="4" applyNumberFormat="1" applyFont="1" applyFill="1" applyBorder="1" applyAlignment="1">
      <alignment horizontal="center" vertical="center"/>
    </xf>
    <xf numFmtId="2" fontId="9" fillId="4" borderId="84" xfId="3" applyNumberFormat="1" applyFont="1" applyFill="1" applyBorder="1" applyAlignment="1">
      <alignment horizontal="center" vertical="center"/>
    </xf>
    <xf numFmtId="170" fontId="8" fillId="0" borderId="86" xfId="4" applyNumberFormat="1" applyFont="1" applyFill="1" applyBorder="1" applyAlignment="1">
      <alignment horizontal="center" vertical="center"/>
    </xf>
    <xf numFmtId="2" fontId="31" fillId="0" borderId="80" xfId="4" applyNumberFormat="1" applyFont="1" applyFill="1" applyBorder="1" applyAlignment="1">
      <alignment horizontal="center" vertical="center"/>
    </xf>
    <xf numFmtId="2" fontId="9" fillId="0" borderId="76" xfId="3" applyNumberFormat="1" applyFont="1" applyBorder="1" applyAlignment="1">
      <alignment horizontal="center" vertical="center"/>
    </xf>
    <xf numFmtId="2" fontId="79" fillId="0" borderId="76" xfId="3" applyNumberFormat="1" applyFont="1" applyBorder="1" applyAlignment="1">
      <alignment horizontal="center" vertical="center"/>
    </xf>
    <xf numFmtId="165" fontId="86" fillId="0" borderId="88" xfId="3" applyFont="1" applyBorder="1" applyAlignment="1">
      <alignment horizontal="center" vertical="center"/>
    </xf>
    <xf numFmtId="165" fontId="9" fillId="0" borderId="87" xfId="3" applyFont="1" applyBorder="1" applyAlignment="1">
      <alignment horizontal="center" vertical="center" wrapText="1"/>
    </xf>
    <xf numFmtId="165" fontId="9" fillId="0" borderId="18" xfId="3" applyFont="1" applyBorder="1" applyAlignment="1">
      <alignment horizontal="center" vertical="center" wrapText="1"/>
    </xf>
    <xf numFmtId="165" fontId="20" fillId="0" borderId="13" xfId="3" applyFont="1" applyBorder="1" applyAlignment="1">
      <alignment horizontal="center" vertical="center"/>
    </xf>
    <xf numFmtId="2" fontId="79" fillId="0" borderId="84" xfId="3" applyNumberFormat="1" applyFont="1" applyBorder="1" applyAlignment="1">
      <alignment horizontal="center" vertical="center"/>
    </xf>
    <xf numFmtId="2" fontId="31" fillId="0" borderId="84" xfId="4" applyNumberFormat="1" applyFont="1" applyBorder="1" applyAlignment="1">
      <alignment horizontal="center" vertical="center"/>
    </xf>
    <xf numFmtId="170" fontId="9" fillId="0" borderId="86" xfId="4" applyNumberFormat="1" applyFont="1" applyFill="1" applyBorder="1" applyAlignment="1">
      <alignment horizontal="center" vertical="center"/>
    </xf>
    <xf numFmtId="4" fontId="8" fillId="0" borderId="0" xfId="3" applyNumberFormat="1" applyFont="1" applyAlignment="1">
      <alignment horizontal="center" vertical="center"/>
    </xf>
    <xf numFmtId="171" fontId="8" fillId="0" borderId="0" xfId="3" applyNumberFormat="1" applyFont="1" applyAlignment="1">
      <alignment horizontal="center" vertical="center"/>
    </xf>
    <xf numFmtId="2" fontId="8" fillId="0" borderId="0" xfId="3" applyNumberFormat="1" applyFont="1" applyAlignment="1">
      <alignment horizontal="center" vertical="center"/>
    </xf>
    <xf numFmtId="2" fontId="31" fillId="0" borderId="0" xfId="4" applyNumberFormat="1" applyFont="1" applyFill="1" applyBorder="1" applyAlignment="1">
      <alignment horizontal="center" vertical="center"/>
    </xf>
    <xf numFmtId="170" fontId="8" fillId="0" borderId="0" xfId="4" applyNumberFormat="1" applyFont="1" applyFill="1" applyBorder="1" applyAlignment="1">
      <alignment horizontal="center" vertical="center"/>
    </xf>
    <xf numFmtId="2" fontId="79" fillId="0" borderId="0" xfId="3" applyNumberFormat="1" applyFont="1" applyAlignment="1">
      <alignment horizontal="center" vertical="center"/>
    </xf>
    <xf numFmtId="165" fontId="27" fillId="0" borderId="0" xfId="3" applyFont="1" applyAlignment="1">
      <alignment horizontal="center" vertical="center"/>
    </xf>
    <xf numFmtId="165" fontId="10" fillId="3" borderId="1" xfId="3" applyFont="1" applyFill="1" applyBorder="1"/>
    <xf numFmtId="166" fontId="10" fillId="3" borderId="1" xfId="3" applyNumberFormat="1" applyFont="1" applyFill="1" applyBorder="1"/>
    <xf numFmtId="166" fontId="10" fillId="3" borderId="2" xfId="3" applyNumberFormat="1" applyFont="1" applyFill="1" applyBorder="1"/>
    <xf numFmtId="1" fontId="10" fillId="3" borderId="1" xfId="3" applyNumberFormat="1" applyFont="1" applyFill="1" applyBorder="1" applyAlignment="1">
      <alignment horizontal="center"/>
    </xf>
    <xf numFmtId="166" fontId="10" fillId="3" borderId="14" xfId="3" applyNumberFormat="1" applyFont="1" applyFill="1" applyBorder="1"/>
    <xf numFmtId="166" fontId="10" fillId="0" borderId="0" xfId="3" applyNumberFormat="1" applyFont="1" applyAlignment="1">
      <alignment vertical="center"/>
    </xf>
    <xf numFmtId="20" fontId="9" fillId="4" borderId="17" xfId="3" applyNumberFormat="1" applyFont="1" applyFill="1" applyBorder="1" applyAlignment="1">
      <alignment horizontal="center" vertical="center" wrapText="1"/>
    </xf>
    <xf numFmtId="20" fontId="9" fillId="4" borderId="18" xfId="3" applyNumberFormat="1" applyFont="1" applyFill="1" applyBorder="1" applyAlignment="1">
      <alignment horizontal="center" vertical="center" wrapText="1"/>
    </xf>
    <xf numFmtId="169" fontId="34" fillId="0" borderId="41" xfId="3" applyNumberFormat="1" applyFont="1" applyBorder="1" applyAlignment="1">
      <alignment horizontal="center" vertical="center"/>
    </xf>
    <xf numFmtId="2" fontId="9" fillId="0" borderId="84" xfId="3" applyNumberFormat="1" applyFont="1" applyBorder="1" applyAlignment="1">
      <alignment horizontal="center" vertical="center"/>
    </xf>
    <xf numFmtId="2" fontId="40" fillId="0" borderId="1" xfId="3" applyNumberFormat="1" applyFont="1" applyBorder="1" applyAlignment="1">
      <alignment horizontal="right"/>
    </xf>
    <xf numFmtId="165" fontId="9" fillId="0" borderId="27" xfId="3" applyFont="1" applyBorder="1" applyAlignment="1">
      <alignment vertical="center" wrapText="1"/>
    </xf>
    <xf numFmtId="16" fontId="9" fillId="0" borderId="86" xfId="3" applyNumberFormat="1" applyFont="1" applyBorder="1" applyAlignment="1">
      <alignment horizontal="center" vertical="center"/>
    </xf>
    <xf numFmtId="165" fontId="20" fillId="0" borderId="18" xfId="3" applyFont="1" applyBorder="1" applyAlignment="1">
      <alignment horizontal="center" vertical="center"/>
    </xf>
    <xf numFmtId="165" fontId="85" fillId="0" borderId="18" xfId="3" applyFont="1" applyBorder="1" applyAlignment="1">
      <alignment horizontal="center" vertical="center"/>
    </xf>
    <xf numFmtId="166" fontId="9" fillId="23" borderId="1" xfId="3" applyNumberFormat="1" applyFont="1" applyFill="1" applyBorder="1" applyAlignment="1">
      <alignment horizontal="center" vertical="center"/>
    </xf>
    <xf numFmtId="2" fontId="9" fillId="23" borderId="1" xfId="3" applyNumberFormat="1" applyFont="1" applyFill="1" applyBorder="1" applyAlignment="1">
      <alignment horizontal="center" vertical="center"/>
    </xf>
    <xf numFmtId="165" fontId="80" fillId="0" borderId="18" xfId="3" applyFont="1" applyBorder="1" applyAlignment="1">
      <alignment horizontal="center" vertical="center"/>
    </xf>
    <xf numFmtId="165" fontId="87" fillId="0" borderId="18" xfId="3" applyFont="1" applyBorder="1" applyAlignment="1">
      <alignment horizontal="center" vertical="center"/>
    </xf>
    <xf numFmtId="165" fontId="79" fillId="0" borderId="18" xfId="3" applyFont="1" applyBorder="1" applyAlignment="1">
      <alignment horizontal="center" vertical="center"/>
    </xf>
    <xf numFmtId="166" fontId="79" fillId="7" borderId="1" xfId="3" applyNumberFormat="1" applyFont="1" applyFill="1" applyBorder="1" applyAlignment="1">
      <alignment horizontal="center" vertical="center"/>
    </xf>
    <xf numFmtId="166" fontId="79" fillId="4" borderId="1" xfId="3" applyNumberFormat="1" applyFont="1" applyFill="1" applyBorder="1" applyAlignment="1">
      <alignment horizontal="center" vertical="center"/>
    </xf>
    <xf numFmtId="165" fontId="9" fillId="0" borderId="13" xfId="3" applyFont="1" applyBorder="1" applyAlignment="1">
      <alignment horizontal="left"/>
    </xf>
    <xf numFmtId="165" fontId="9" fillId="4" borderId="18" xfId="3" applyFont="1" applyFill="1" applyBorder="1" applyAlignment="1">
      <alignment horizontal="center" vertical="center" wrapText="1"/>
    </xf>
    <xf numFmtId="4" fontId="21" fillId="0" borderId="89" xfId="0" applyNumberFormat="1" applyFont="1" applyBorder="1" applyAlignment="1">
      <alignment horizontal="center"/>
    </xf>
    <xf numFmtId="165" fontId="14" fillId="0" borderId="2" xfId="3" applyFont="1" applyBorder="1" applyAlignment="1">
      <alignment horizontal="center" wrapText="1"/>
    </xf>
    <xf numFmtId="165" fontId="14" fillId="0" borderId="3" xfId="3" applyFont="1" applyBorder="1" applyAlignment="1">
      <alignment horizontal="center" wrapText="1"/>
    </xf>
    <xf numFmtId="165" fontId="10" fillId="3" borderId="1" xfId="3" applyFont="1" applyFill="1" applyBorder="1" applyAlignment="1">
      <alignment horizontal="center"/>
    </xf>
    <xf numFmtId="165" fontId="11" fillId="0" borderId="0" xfId="3" applyFont="1" applyAlignment="1">
      <alignment horizontal="center"/>
    </xf>
    <xf numFmtId="165" fontId="9" fillId="0" borderId="14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0" borderId="0" xfId="3" applyFont="1" applyAlignment="1">
      <alignment horizontal="left"/>
    </xf>
    <xf numFmtId="165" fontId="9" fillId="0" borderId="5" xfId="3" applyFont="1" applyBorder="1" applyAlignment="1">
      <alignment horizontal="center" vertical="center" wrapText="1"/>
    </xf>
    <xf numFmtId="165" fontId="9" fillId="0" borderId="50" xfId="3" applyFont="1" applyBorder="1" applyAlignment="1">
      <alignment horizontal="center" vertical="center" wrapText="1"/>
    </xf>
    <xf numFmtId="165" fontId="9" fillId="0" borderId="6" xfId="3" applyFont="1" applyBorder="1" applyAlignment="1">
      <alignment horizontal="center" vertical="center" wrapText="1"/>
    </xf>
    <xf numFmtId="165" fontId="9" fillId="7" borderId="6" xfId="3" applyFont="1" applyFill="1" applyBorder="1" applyAlignment="1">
      <alignment horizontal="center" vertical="center" wrapText="1"/>
    </xf>
    <xf numFmtId="165" fontId="9" fillId="7" borderId="10" xfId="3" applyFont="1" applyFill="1" applyBorder="1" applyAlignment="1">
      <alignment horizontal="center" vertical="center" wrapText="1"/>
    </xf>
    <xf numFmtId="165" fontId="5" fillId="2" borderId="6" xfId="2" applyNumberFormat="1" applyBorder="1" applyAlignment="1">
      <alignment horizontal="center" vertical="center" wrapText="1"/>
    </xf>
    <xf numFmtId="165" fontId="5" fillId="2" borderId="10" xfId="2" applyNumberFormat="1" applyBorder="1" applyAlignment="1">
      <alignment horizontal="center" vertical="center" wrapText="1"/>
    </xf>
    <xf numFmtId="165" fontId="9" fillId="4" borderId="6" xfId="3" applyFont="1" applyFill="1" applyBorder="1" applyAlignment="1">
      <alignment horizontal="center" vertical="center" wrapText="1"/>
    </xf>
    <xf numFmtId="165" fontId="9" fillId="4" borderId="10" xfId="3" applyFont="1" applyFill="1" applyBorder="1" applyAlignment="1">
      <alignment horizontal="center" vertical="center" wrapText="1"/>
    </xf>
    <xf numFmtId="165" fontId="19" fillId="0" borderId="6" xfId="3" applyFont="1" applyBorder="1" applyAlignment="1">
      <alignment horizontal="center" vertical="center" wrapText="1"/>
    </xf>
    <xf numFmtId="165" fontId="19" fillId="0" borderId="10" xfId="3" applyFont="1" applyBorder="1" applyAlignment="1">
      <alignment horizontal="center" vertical="center" wrapText="1"/>
    </xf>
    <xf numFmtId="165" fontId="9" fillId="0" borderId="7" xfId="3" applyFont="1" applyBorder="1" applyAlignment="1">
      <alignment horizontal="center" vertical="center" wrapText="1"/>
    </xf>
    <xf numFmtId="165" fontId="9" fillId="0" borderId="11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9" fillId="0" borderId="83" xfId="3" applyFont="1" applyBorder="1" applyAlignment="1">
      <alignment horizontal="center" wrapText="1"/>
    </xf>
    <xf numFmtId="165" fontId="9" fillId="0" borderId="19" xfId="3" applyFont="1" applyBorder="1" applyAlignment="1">
      <alignment horizontal="center" wrapText="1"/>
    </xf>
    <xf numFmtId="165" fontId="20" fillId="0" borderId="23" xfId="3" applyFont="1" applyBorder="1" applyAlignment="1">
      <alignment horizontal="center" vertical="center"/>
    </xf>
    <xf numFmtId="165" fontId="20" fillId="0" borderId="27" xfId="3" applyFont="1" applyBorder="1" applyAlignment="1">
      <alignment horizontal="center" vertical="center"/>
    </xf>
    <xf numFmtId="165" fontId="20" fillId="0" borderId="34" xfId="3" applyFont="1" applyBorder="1" applyAlignment="1">
      <alignment horizontal="center" vertical="center"/>
    </xf>
    <xf numFmtId="166" fontId="8" fillId="0" borderId="0" xfId="3" applyNumberFormat="1" applyFont="1" applyAlignment="1">
      <alignment horizontal="center" vertical="center"/>
    </xf>
    <xf numFmtId="166" fontId="8" fillId="0" borderId="68" xfId="3" applyNumberFormat="1" applyFont="1" applyBorder="1" applyAlignment="1">
      <alignment horizontal="center" vertical="center"/>
    </xf>
    <xf numFmtId="166" fontId="8" fillId="0" borderId="74" xfId="3" applyNumberFormat="1" applyFont="1" applyBorder="1" applyAlignment="1">
      <alignment horizontal="center" vertical="center"/>
    </xf>
    <xf numFmtId="166" fontId="8" fillId="0" borderId="24" xfId="3" applyNumberFormat="1" applyFont="1" applyBorder="1" applyAlignment="1">
      <alignment horizontal="center" vertical="center"/>
    </xf>
    <xf numFmtId="166" fontId="8" fillId="0" borderId="29" xfId="3" applyNumberFormat="1" applyFont="1" applyBorder="1" applyAlignment="1">
      <alignment horizontal="center" vertical="center"/>
    </xf>
    <xf numFmtId="166" fontId="8" fillId="0" borderId="30" xfId="3" applyNumberFormat="1" applyFont="1" applyBorder="1" applyAlignment="1">
      <alignment horizontal="center" vertical="center"/>
    </xf>
    <xf numFmtId="166" fontId="8" fillId="0" borderId="28" xfId="3" applyNumberFormat="1" applyFont="1" applyBorder="1" applyAlignment="1">
      <alignment horizontal="center" vertical="center"/>
    </xf>
    <xf numFmtId="165" fontId="80" fillId="0" borderId="23" xfId="3" applyFont="1" applyBorder="1" applyAlignment="1">
      <alignment horizontal="center" vertical="center"/>
    </xf>
    <xf numFmtId="165" fontId="80" fillId="0" borderId="27" xfId="3" applyFont="1" applyBorder="1" applyAlignment="1">
      <alignment horizontal="center" vertical="center"/>
    </xf>
    <xf numFmtId="165" fontId="80" fillId="0" borderId="35" xfId="3" applyFont="1" applyBorder="1" applyAlignment="1">
      <alignment horizontal="center" vertical="center"/>
    </xf>
    <xf numFmtId="166" fontId="8" fillId="0" borderId="25" xfId="3" applyNumberFormat="1" applyFont="1" applyBorder="1" applyAlignment="1">
      <alignment horizontal="center" vertical="center"/>
    </xf>
    <xf numFmtId="166" fontId="8" fillId="0" borderId="26" xfId="3" applyNumberFormat="1" applyFont="1" applyBorder="1" applyAlignment="1">
      <alignment horizontal="center" vertical="center"/>
    </xf>
    <xf numFmtId="2" fontId="31" fillId="24" borderId="1" xfId="3" applyNumberFormat="1" applyFont="1" applyFill="1" applyBorder="1" applyAlignment="1">
      <alignment horizontal="center"/>
    </xf>
    <xf numFmtId="165" fontId="9" fillId="25" borderId="16" xfId="3" applyFont="1" applyFill="1" applyBorder="1" applyAlignment="1">
      <alignment horizontal="center"/>
    </xf>
    <xf numFmtId="165" fontId="9" fillId="25" borderId="19" xfId="3" applyFont="1" applyFill="1" applyBorder="1" applyAlignment="1">
      <alignment horizontal="center"/>
    </xf>
    <xf numFmtId="166" fontId="8" fillId="0" borderId="75" xfId="3" applyNumberFormat="1" applyFont="1" applyBorder="1" applyAlignment="1">
      <alignment horizontal="center" vertical="center"/>
    </xf>
    <xf numFmtId="166" fontId="8" fillId="0" borderId="63" xfId="3" applyNumberFormat="1" applyFont="1" applyBorder="1" applyAlignment="1">
      <alignment horizontal="center" vertical="center"/>
    </xf>
    <xf numFmtId="166" fontId="9" fillId="27" borderId="83" xfId="3" applyNumberFormat="1" applyFont="1" applyFill="1" applyBorder="1" applyAlignment="1">
      <alignment horizontal="center" vertical="center"/>
    </xf>
    <xf numFmtId="166" fontId="9" fillId="27" borderId="19" xfId="3" applyNumberFormat="1" applyFont="1" applyFill="1" applyBorder="1" applyAlignment="1">
      <alignment horizontal="center" vertical="center"/>
    </xf>
    <xf numFmtId="165" fontId="9" fillId="0" borderId="23" xfId="3" applyFont="1" applyBorder="1" applyAlignment="1">
      <alignment horizontal="center" vertical="center" wrapText="1"/>
    </xf>
    <xf numFmtId="165" fontId="9" fillId="0" borderId="27" xfId="3" applyFont="1" applyBorder="1" applyAlignment="1">
      <alignment horizontal="center" vertical="center" wrapText="1"/>
    </xf>
    <xf numFmtId="165" fontId="9" fillId="0" borderId="34" xfId="3" applyFont="1" applyBorder="1" applyAlignment="1">
      <alignment horizontal="center" vertical="center" wrapText="1"/>
    </xf>
    <xf numFmtId="168" fontId="9" fillId="0" borderId="78" xfId="3" applyNumberFormat="1" applyFont="1" applyBorder="1" applyAlignment="1">
      <alignment horizontal="center" vertical="center" wrapText="1"/>
    </xf>
    <xf numFmtId="168" fontId="9" fillId="0" borderId="79" xfId="3" applyNumberFormat="1" applyFont="1" applyBorder="1" applyAlignment="1">
      <alignment horizontal="center" vertical="center" wrapText="1"/>
    </xf>
    <xf numFmtId="165" fontId="9" fillId="0" borderId="39" xfId="3" applyFont="1" applyBorder="1" applyAlignment="1">
      <alignment horizontal="center" vertical="center" wrapText="1"/>
    </xf>
    <xf numFmtId="165" fontId="9" fillId="0" borderId="23" xfId="3" applyFont="1" applyBorder="1" applyAlignment="1">
      <alignment horizontal="center" vertical="center"/>
    </xf>
    <xf numFmtId="165" fontId="9" fillId="0" borderId="34" xfId="3" applyFont="1" applyBorder="1" applyAlignment="1">
      <alignment horizontal="center" vertical="center"/>
    </xf>
    <xf numFmtId="165" fontId="9" fillId="0" borderId="46" xfId="3" applyFont="1" applyBorder="1" applyAlignment="1">
      <alignment horizontal="center" vertical="center"/>
    </xf>
    <xf numFmtId="165" fontId="9" fillId="0" borderId="47" xfId="3" applyFont="1" applyBorder="1" applyAlignment="1">
      <alignment horizontal="center" vertical="center"/>
    </xf>
    <xf numFmtId="165" fontId="9" fillId="0" borderId="48" xfId="3" applyFont="1" applyBorder="1" applyAlignment="1">
      <alignment horizontal="center" vertical="center"/>
    </xf>
    <xf numFmtId="165" fontId="9" fillId="0" borderId="49" xfId="3" applyFont="1" applyBorder="1" applyAlignment="1">
      <alignment horizontal="center" vertical="center"/>
    </xf>
    <xf numFmtId="165" fontId="9" fillId="0" borderId="25" xfId="3" applyFont="1" applyBorder="1" applyAlignment="1">
      <alignment horizontal="center" vertical="center" wrapText="1"/>
    </xf>
    <xf numFmtId="165" fontId="9" fillId="0" borderId="75" xfId="3" applyFont="1" applyBorder="1" applyAlignment="1">
      <alignment horizontal="center" vertical="center" wrapText="1"/>
    </xf>
    <xf numFmtId="165" fontId="9" fillId="0" borderId="38" xfId="3" applyFont="1" applyBorder="1" applyAlignment="1">
      <alignment horizontal="center" vertical="center" wrapText="1"/>
    </xf>
    <xf numFmtId="165" fontId="9" fillId="0" borderId="8" xfId="3" applyFont="1" applyBorder="1" applyAlignment="1">
      <alignment horizontal="center" vertical="center" wrapText="1"/>
    </xf>
    <xf numFmtId="165" fontId="9" fillId="0" borderId="40" xfId="3" applyFont="1" applyBorder="1" applyAlignment="1">
      <alignment horizontal="center" vertical="center" wrapText="1"/>
    </xf>
    <xf numFmtId="165" fontId="9" fillId="0" borderId="62" xfId="3" applyFont="1" applyBorder="1" applyAlignment="1">
      <alignment horizontal="center" vertical="center" wrapText="1"/>
    </xf>
    <xf numFmtId="165" fontId="13" fillId="4" borderId="0" xfId="3" applyFont="1" applyFill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65" fontId="10" fillId="3" borderId="1" xfId="0" applyFont="1" applyFill="1" applyBorder="1" applyAlignment="1">
      <alignment horizontal="center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9" fillId="0" borderId="12" xfId="3" applyFont="1" applyBorder="1" applyAlignment="1">
      <alignment horizontal="center" vertical="center" wrapText="1"/>
    </xf>
    <xf numFmtId="165" fontId="9" fillId="0" borderId="78" xfId="3" applyFont="1" applyBorder="1" applyAlignment="1">
      <alignment horizontal="center" vertical="center" wrapText="1"/>
    </xf>
    <xf numFmtId="165" fontId="9" fillId="0" borderId="42" xfId="3" applyFont="1" applyBorder="1" applyAlignment="1">
      <alignment horizontal="center" vertical="center" wrapText="1"/>
    </xf>
    <xf numFmtId="166" fontId="8" fillId="0" borderId="82" xfId="3" applyNumberFormat="1" applyFont="1" applyBorder="1" applyAlignment="1">
      <alignment horizontal="center"/>
    </xf>
    <xf numFmtId="166" fontId="8" fillId="0" borderId="30" xfId="3" applyNumberFormat="1" applyFont="1" applyBorder="1" applyAlignment="1">
      <alignment horizontal="center"/>
    </xf>
    <xf numFmtId="166" fontId="8" fillId="0" borderId="74" xfId="3" applyNumberFormat="1" applyFont="1" applyBorder="1" applyAlignment="1">
      <alignment horizontal="center"/>
    </xf>
    <xf numFmtId="166" fontId="8" fillId="0" borderId="24" xfId="3" applyNumberFormat="1" applyFont="1" applyBorder="1" applyAlignment="1">
      <alignment horizontal="center"/>
    </xf>
    <xf numFmtId="166" fontId="8" fillId="0" borderId="0" xfId="3" applyNumberFormat="1" applyFont="1" applyAlignment="1">
      <alignment horizontal="center"/>
    </xf>
    <xf numFmtId="166" fontId="8" fillId="0" borderId="68" xfId="3" applyNumberFormat="1" applyFont="1" applyBorder="1" applyAlignment="1">
      <alignment horizontal="center"/>
    </xf>
    <xf numFmtId="165" fontId="26" fillId="0" borderId="66" xfId="3" applyFont="1" applyBorder="1" applyAlignment="1">
      <alignment horizontal="center" vertical="center"/>
    </xf>
    <xf numFmtId="165" fontId="26" fillId="0" borderId="27" xfId="3" applyFont="1" applyBorder="1" applyAlignment="1">
      <alignment horizontal="center" vertical="center"/>
    </xf>
    <xf numFmtId="165" fontId="26" fillId="0" borderId="35" xfId="3" applyFont="1" applyBorder="1" applyAlignment="1">
      <alignment horizontal="center" vertical="center"/>
    </xf>
    <xf numFmtId="2" fontId="31" fillId="24" borderId="74" xfId="3" applyNumberFormat="1" applyFont="1" applyFill="1" applyBorder="1" applyAlignment="1">
      <alignment horizontal="center"/>
    </xf>
    <xf numFmtId="166" fontId="8" fillId="0" borderId="37" xfId="3" applyNumberFormat="1" applyFont="1" applyBorder="1" applyAlignment="1">
      <alignment horizontal="center" vertical="center"/>
    </xf>
    <xf numFmtId="166" fontId="8" fillId="0" borderId="29" xfId="3" applyNumberFormat="1" applyFont="1" applyBorder="1" applyAlignment="1">
      <alignment horizontal="center"/>
    </xf>
    <xf numFmtId="166" fontId="8" fillId="0" borderId="75" xfId="3" applyNumberFormat="1" applyFont="1" applyBorder="1" applyAlignment="1">
      <alignment horizontal="center"/>
    </xf>
    <xf numFmtId="166" fontId="8" fillId="0" borderId="63" xfId="3" applyNumberFormat="1" applyFont="1" applyBorder="1" applyAlignment="1">
      <alignment horizontal="center"/>
    </xf>
    <xf numFmtId="166" fontId="9" fillId="7" borderId="75" xfId="3" applyNumberFormat="1" applyFont="1" applyFill="1" applyBorder="1" applyAlignment="1">
      <alignment horizontal="center" vertical="center"/>
    </xf>
    <xf numFmtId="166" fontId="9" fillId="7" borderId="63" xfId="3" applyNumberFormat="1" applyFont="1" applyFill="1" applyBorder="1" applyAlignment="1">
      <alignment horizontal="center" vertical="center"/>
    </xf>
    <xf numFmtId="165" fontId="9" fillId="0" borderId="26" xfId="3" applyFont="1" applyBorder="1" applyAlignment="1">
      <alignment horizontal="center" vertical="center" wrapText="1"/>
    </xf>
    <xf numFmtId="165" fontId="9" fillId="0" borderId="63" xfId="3" applyFont="1" applyBorder="1" applyAlignment="1">
      <alignment horizontal="center" vertical="center" wrapText="1"/>
    </xf>
    <xf numFmtId="165" fontId="80" fillId="0" borderId="34" xfId="3" applyFont="1" applyBorder="1" applyAlignment="1">
      <alignment horizontal="center" vertical="center"/>
    </xf>
    <xf numFmtId="165" fontId="79" fillId="0" borderId="23" xfId="3" applyFont="1" applyBorder="1" applyAlignment="1">
      <alignment horizontal="center" vertical="center"/>
    </xf>
    <xf numFmtId="165" fontId="79" fillId="0" borderId="27" xfId="3" applyFont="1" applyBorder="1" applyAlignment="1">
      <alignment horizontal="center" vertical="center"/>
    </xf>
    <xf numFmtId="165" fontId="79" fillId="0" borderId="34" xfId="3" applyFont="1" applyBorder="1" applyAlignment="1">
      <alignment horizontal="center" vertical="center"/>
    </xf>
    <xf numFmtId="165" fontId="39" fillId="0" borderId="0" xfId="3" applyFont="1" applyAlignment="1">
      <alignment horizontal="center"/>
    </xf>
    <xf numFmtId="165" fontId="7" fillId="0" borderId="0" xfId="3" applyAlignment="1">
      <alignment horizontal="left"/>
    </xf>
    <xf numFmtId="165" fontId="40" fillId="0" borderId="5" xfId="3" applyFont="1" applyBorder="1" applyAlignment="1">
      <alignment horizontal="center" vertical="center" wrapText="1"/>
    </xf>
    <xf numFmtId="165" fontId="40" fillId="0" borderId="50" xfId="3" applyFont="1" applyBorder="1" applyAlignment="1">
      <alignment horizontal="center" vertical="center" wrapText="1"/>
    </xf>
    <xf numFmtId="165" fontId="40" fillId="0" borderId="6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1" fillId="0" borderId="6" xfId="3" applyFont="1" applyBorder="1" applyAlignment="1">
      <alignment horizontal="center" vertical="center" wrapText="1"/>
    </xf>
    <xf numFmtId="165" fontId="41" fillId="0" borderId="10" xfId="3" applyFont="1" applyBorder="1" applyAlignment="1">
      <alignment horizontal="center" vertical="center" wrapText="1"/>
    </xf>
    <xf numFmtId="165" fontId="40" fillId="0" borderId="23" xfId="3" applyFont="1" applyBorder="1" applyAlignment="1">
      <alignment horizontal="center" vertical="center"/>
    </xf>
    <xf numFmtId="165" fontId="40" fillId="0" borderId="35" xfId="3" applyFont="1" applyBorder="1" applyAlignment="1">
      <alignment horizontal="center" vertical="center"/>
    </xf>
    <xf numFmtId="2" fontId="7" fillId="0" borderId="55" xfId="3" applyNumberFormat="1" applyBorder="1" applyAlignment="1">
      <alignment horizontal="center"/>
    </xf>
    <xf numFmtId="2" fontId="7" fillId="0" borderId="56" xfId="3" applyNumberFormat="1" applyBorder="1" applyAlignment="1">
      <alignment horizontal="center"/>
    </xf>
    <xf numFmtId="165" fontId="40" fillId="0" borderId="34" xfId="3" applyFont="1" applyBorder="1" applyAlignment="1">
      <alignment horizontal="center" vertical="center"/>
    </xf>
    <xf numFmtId="165" fontId="40" fillId="0" borderId="55" xfId="3" applyFont="1" applyBorder="1" applyAlignment="1">
      <alignment horizontal="center" vertical="center"/>
    </xf>
    <xf numFmtId="165" fontId="40" fillId="0" borderId="64" xfId="3" applyFont="1" applyBorder="1" applyAlignment="1">
      <alignment horizontal="center" vertical="center"/>
    </xf>
    <xf numFmtId="165" fontId="40" fillId="0" borderId="38" xfId="3" applyFont="1" applyBorder="1" applyAlignment="1">
      <alignment horizontal="center" vertical="center" wrapText="1"/>
    </xf>
    <xf numFmtId="165" fontId="40" fillId="0" borderId="39" xfId="3" applyFont="1" applyBorder="1" applyAlignment="1">
      <alignment horizontal="center" vertical="center" wrapText="1"/>
    </xf>
    <xf numFmtId="165" fontId="7" fillId="0" borderId="2" xfId="3" applyBorder="1" applyAlignment="1">
      <alignment horizontal="center"/>
    </xf>
    <xf numFmtId="165" fontId="7" fillId="0" borderId="65" xfId="3" applyBorder="1" applyAlignment="1">
      <alignment horizontal="center"/>
    </xf>
    <xf numFmtId="165" fontId="40" fillId="0" borderId="7" xfId="3" applyFont="1" applyBorder="1" applyAlignment="1">
      <alignment horizontal="center" vertical="center" wrapText="1"/>
    </xf>
    <xf numFmtId="165" fontId="40" fillId="0" borderId="17" xfId="3" applyFont="1" applyBorder="1" applyAlignment="1">
      <alignment horizontal="center" vertical="center" wrapText="1"/>
    </xf>
    <xf numFmtId="165" fontId="40" fillId="0" borderId="62" xfId="3" applyFont="1" applyBorder="1" applyAlignment="1">
      <alignment horizontal="center" vertical="center" wrapText="1"/>
    </xf>
    <xf numFmtId="165" fontId="40" fillId="0" borderId="4" xfId="3" applyFont="1" applyBorder="1" applyAlignment="1">
      <alignment horizontal="center" vertical="center" wrapText="1"/>
    </xf>
    <xf numFmtId="165" fontId="40" fillId="0" borderId="2" xfId="3" applyFont="1" applyBorder="1" applyAlignment="1">
      <alignment horizontal="center"/>
    </xf>
    <xf numFmtId="165" fontId="40" fillId="0" borderId="65" xfId="3" applyFont="1" applyBorder="1" applyAlignment="1">
      <alignment horizontal="center"/>
    </xf>
    <xf numFmtId="165" fontId="7" fillId="0" borderId="53" xfId="3" applyBorder="1" applyAlignment="1">
      <alignment horizontal="center"/>
    </xf>
    <xf numFmtId="165" fontId="7" fillId="0" borderId="67" xfId="3" applyBorder="1" applyAlignment="1">
      <alignment horizontal="center"/>
    </xf>
    <xf numFmtId="15" fontId="40" fillId="0" borderId="44" xfId="3" applyNumberFormat="1" applyFont="1" applyBorder="1" applyAlignment="1">
      <alignment horizontal="center"/>
    </xf>
    <xf numFmtId="165" fontId="60" fillId="0" borderId="46" xfId="3" applyFont="1" applyBorder="1" applyAlignment="1">
      <alignment horizontal="center" vertical="center"/>
    </xf>
    <xf numFmtId="165" fontId="60" fillId="0" borderId="47" xfId="3" applyFont="1" applyBorder="1" applyAlignment="1">
      <alignment horizontal="center" vertical="center"/>
    </xf>
    <xf numFmtId="165" fontId="60" fillId="0" borderId="48" xfId="3" applyFont="1" applyBorder="1" applyAlignment="1">
      <alignment horizontal="center" vertical="center"/>
    </xf>
    <xf numFmtId="165" fontId="59" fillId="0" borderId="46" xfId="3" applyFont="1" applyBorder="1" applyAlignment="1">
      <alignment horizontal="center" vertical="center"/>
    </xf>
    <xf numFmtId="165" fontId="59" fillId="0" borderId="47" xfId="3" applyFont="1" applyBorder="1" applyAlignment="1">
      <alignment horizontal="center" vertical="center"/>
    </xf>
    <xf numFmtId="165" fontId="59" fillId="0" borderId="48" xfId="3" applyFont="1" applyBorder="1" applyAlignment="1">
      <alignment horizontal="center" vertical="center"/>
    </xf>
    <xf numFmtId="165" fontId="63" fillId="4" borderId="0" xfId="0" applyFont="1" applyFill="1" applyAlignment="1">
      <alignment horizontal="center"/>
    </xf>
    <xf numFmtId="165" fontId="75" fillId="0" borderId="0" xfId="0" applyFont="1" applyAlignment="1">
      <alignment horizontal="center" vertical="top"/>
    </xf>
    <xf numFmtId="165" fontId="64" fillId="20" borderId="41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center" vertical="center"/>
    </xf>
    <xf numFmtId="165" fontId="72" fillId="0" borderId="0" xfId="0" applyFont="1" applyAlignment="1">
      <alignment horizontal="center" vertical="top"/>
    </xf>
    <xf numFmtId="165" fontId="64" fillId="20" borderId="4" xfId="0" applyFont="1" applyFill="1" applyBorder="1" applyAlignment="1">
      <alignment horizontal="center" vertical="center"/>
    </xf>
    <xf numFmtId="165" fontId="64" fillId="20" borderId="4" xfId="0" applyFont="1" applyFill="1" applyBorder="1" applyAlignment="1">
      <alignment horizontal="left" vertical="center"/>
    </xf>
    <xf numFmtId="165" fontId="73" fillId="20" borderId="4" xfId="0" applyFont="1" applyFill="1" applyBorder="1" applyAlignment="1">
      <alignment horizontal="right" vertical="center"/>
    </xf>
  </cellXfs>
  <cellStyles count="11">
    <cellStyle name="Comma" xfId="1" builtinId="3"/>
    <cellStyle name="Neutral" xfId="2" builtinId="28"/>
    <cellStyle name="Normal" xfId="0" builtinId="0"/>
    <cellStyle name="Normal 2" xfId="3" xr:uid="{C80A2C66-3E2C-4179-9159-DBCA8D9B0E56}"/>
    <cellStyle name="Normal 3" xfId="9" xr:uid="{CF2ABADC-5070-4BF5-85BE-C6735585C6D9}"/>
    <cellStyle name="Percent 2" xfId="4" xr:uid="{CE2CDC16-AD31-4ED8-AE2A-FCD60A61219D}"/>
    <cellStyle name="Percent 3" xfId="5" xr:uid="{146671D8-AF93-4F7C-A417-29B4344625B7}"/>
    <cellStyle name="Percent 3 2" xfId="7" xr:uid="{D9E4557F-C4B0-46CD-A4D0-A5F6371463AD}"/>
    <cellStyle name="Percent 4" xfId="6" xr:uid="{4AD98EB2-9BB4-4842-A408-0E56A74ED11E}"/>
    <cellStyle name="Percent 4 2" xfId="8" xr:uid="{4E10984A-3ADE-4C2D-B6E7-76DD6D94E726}"/>
    <cellStyle name="Percent 4 3" xfId="10" xr:uid="{01053475-F444-4128-81F2-2F08DC4F4A0B}"/>
  </cellStyles>
  <dxfs count="3734"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00FF"/>
      <color rgb="FF008200"/>
      <color rgb="FFFF0000"/>
      <color rgb="FFFF66FF"/>
      <color rgb="FFFF0066"/>
      <color rgb="FFFF9999"/>
      <color rgb="FFCC3300"/>
      <color rgb="FFCC66FF"/>
      <color rgb="FFC288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63" Type="http://schemas.openxmlformats.org/officeDocument/2006/relationships/externalLink" Target="externalLinks/externalLink36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externalLink" Target="externalLinks/externalLink26.xml"/><Relationship Id="rId58" Type="http://schemas.openxmlformats.org/officeDocument/2006/relationships/externalLink" Target="externalLinks/externalLink31.xml"/><Relationship Id="rId66" Type="http://schemas.openxmlformats.org/officeDocument/2006/relationships/externalLink" Target="externalLinks/externalLink39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4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56" Type="http://schemas.openxmlformats.org/officeDocument/2006/relationships/externalLink" Target="externalLinks/externalLink29.xml"/><Relationship Id="rId64" Type="http://schemas.openxmlformats.org/officeDocument/2006/relationships/externalLink" Target="externalLinks/externalLink37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59" Type="http://schemas.openxmlformats.org/officeDocument/2006/relationships/externalLink" Target="externalLinks/externalLink32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54" Type="http://schemas.openxmlformats.org/officeDocument/2006/relationships/externalLink" Target="externalLinks/externalLink27.xml"/><Relationship Id="rId62" Type="http://schemas.openxmlformats.org/officeDocument/2006/relationships/externalLink" Target="externalLinks/externalLink35.xml"/><Relationship Id="rId7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Relationship Id="rId57" Type="http://schemas.openxmlformats.org/officeDocument/2006/relationships/externalLink" Target="externalLinks/externalLink30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externalLink" Target="externalLinks/externalLink25.xml"/><Relationship Id="rId60" Type="http://schemas.openxmlformats.org/officeDocument/2006/relationships/externalLink" Target="externalLinks/externalLink33.xml"/><Relationship Id="rId65" Type="http://schemas.openxmlformats.org/officeDocument/2006/relationships/externalLink" Target="externalLinks/externalLink3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2.xml"/><Relationship Id="rId34" Type="http://schemas.openxmlformats.org/officeDocument/2006/relationships/externalLink" Target="externalLinks/externalLink7.xml"/><Relationship Id="rId50" Type="http://schemas.openxmlformats.org/officeDocument/2006/relationships/externalLink" Target="externalLinks/externalLink23.xml"/><Relationship Id="rId55" Type="http://schemas.openxmlformats.org/officeDocument/2006/relationships/externalLink" Target="externalLinks/externalLink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'Brewer Performance'!$E$4</c:f>
              <c:strCache>
                <c:ptCount val="1"/>
                <c:pt idx="0">
                  <c:v>MTD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'Brewer Performance'!$C$5:$C$9</c:f>
              <c:strCache>
                <c:ptCount val="5"/>
                <c:pt idx="0">
                  <c:v>KEIRAN BENJAMIN</c:v>
                </c:pt>
                <c:pt idx="1">
                  <c:v>JOHNNY GREENIDGE</c:v>
                </c:pt>
                <c:pt idx="2">
                  <c:v>JAMES GRANT</c:v>
                </c:pt>
                <c:pt idx="3">
                  <c:v>RODNEY REGIS</c:v>
                </c:pt>
                <c:pt idx="4">
                  <c:v>DESEAN EMERY</c:v>
                </c:pt>
              </c:strCache>
            </c:strRef>
          </c:cat>
          <c:val>
            <c:numRef>
              <c:f>'Brewer Performance'!$E$5:$E$9</c:f>
              <c:numCache>
                <c:formatCode>0.00</c:formatCode>
                <c:ptCount val="5"/>
                <c:pt idx="0">
                  <c:v>98.214734207097663</c:v>
                </c:pt>
                <c:pt idx="1">
                  <c:v>97.831216272750581</c:v>
                </c:pt>
                <c:pt idx="2">
                  <c:v>100.82497251003979</c:v>
                </c:pt>
                <c:pt idx="3">
                  <c:v>97.759800403711807</c:v>
                </c:pt>
                <c:pt idx="4">
                  <c:v>98.186950219332687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2-4AB4-ABF6-AFB5CBFC3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3214208"/>
        <c:axId val="3732160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'Brewer Performance'!$G$4</c15:sqref>
                        </c15:formulaRef>
                      </c:ext>
                    </c:extLst>
                    <c:strCache>
                      <c:ptCount val="1"/>
                      <c:pt idx="0">
                        <c:v>TARGET</c:v>
                      </c:pt>
                    </c:strCache>
                  </c:strRef>
                </c:tx>
                <c:spPr>
                  <a:solidFill>
                    <a:schemeClr val="accent3">
                      <a:lumMod val="75000"/>
                    </a:schemeClr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'Brewer Performance'!$C$5:$C$9</c15:sqref>
                        </c15:formulaRef>
                      </c:ext>
                    </c:extLst>
                    <c:strCache>
                      <c:ptCount val="5"/>
                      <c:pt idx="0">
                        <c:v>KEIRAN BENJAMIN</c:v>
                      </c:pt>
                      <c:pt idx="1">
                        <c:v>JOHNNY GREENIDGE</c:v>
                      </c:pt>
                      <c:pt idx="2">
                        <c:v>JAMES GRANT</c:v>
                      </c:pt>
                      <c:pt idx="3">
                        <c:v>RODNEY REGIS</c:v>
                      </c:pt>
                      <c:pt idx="4">
                        <c:v>DESEAN EMERY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Performance'!$G$5:$G$9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98</c:v>
                      </c:pt>
                      <c:pt idx="1">
                        <c:v>98</c:v>
                      </c:pt>
                      <c:pt idx="2">
                        <c:v>98</c:v>
                      </c:pt>
                      <c:pt idx="3">
                        <c:v>98</c:v>
                      </c:pt>
                      <c:pt idx="4">
                        <c:v>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F12-4AB4-ABF6-AFB5CBFC33A6}"/>
                  </c:ext>
                </c:extLst>
              </c15:ser>
            </c15:filteredBarSeries>
          </c:ext>
        </c:extLst>
      </c:barChart>
      <c:catAx>
        <c:axId val="3732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6000"/>
        <c:crosses val="autoZero"/>
        <c:auto val="1"/>
        <c:lblAlgn val="ctr"/>
        <c:lblOffset val="100"/>
        <c:noMultiLvlLbl val="0"/>
      </c:catAx>
      <c:valAx>
        <c:axId val="373216000"/>
        <c:scaling>
          <c:orientation val="minMax"/>
          <c:max val="100"/>
          <c:min val="9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42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'Brewer Performance'!$C$40</c:f>
              <c:strCache>
                <c:ptCount val="1"/>
                <c:pt idx="0">
                  <c:v>KEIRAN BENJAMIN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Performance'!$D$40:$O$40</c:f>
              <c:numCache>
                <c:formatCode>0.00</c:formatCode>
                <c:ptCount val="12"/>
                <c:pt idx="0">
                  <c:v>96.507822129582451</c:v>
                </c:pt>
                <c:pt idx="1">
                  <c:v>98.284801217583563</c:v>
                </c:pt>
                <c:pt idx="2">
                  <c:v>98.226686244092193</c:v>
                </c:pt>
                <c:pt idx="3">
                  <c:v>98.210530202427222</c:v>
                </c:pt>
                <c:pt idx="4">
                  <c:v>98.517352497406634</c:v>
                </c:pt>
                <c:pt idx="5">
                  <c:v>98.214734207097663</c:v>
                </c:pt>
                <c:pt idx="6">
                  <c:v>98.198803831827249</c:v>
                </c:pt>
                <c:pt idx="7">
                  <c:v>97.486490472733735</c:v>
                </c:pt>
                <c:pt idx="8">
                  <c:v>97.932459358923822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4-4B61-A360-434F4872A4EA}"/>
            </c:ext>
          </c:extLst>
        </c:ser>
        <c:ser>
          <c:idx val="1"/>
          <c:order val="1"/>
          <c:tx>
            <c:strRef>
              <c:f>'Brewer Performance'!$C$41</c:f>
              <c:strCache>
                <c:ptCount val="1"/>
                <c:pt idx="0">
                  <c:v>JOHNNY GREENIDGE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Performance'!$D$41:$O$41</c:f>
              <c:numCache>
                <c:formatCode>0.00</c:formatCode>
                <c:ptCount val="12"/>
                <c:pt idx="0">
                  <c:v>97.99738587335284</c:v>
                </c:pt>
                <c:pt idx="1">
                  <c:v>97.918121549662388</c:v>
                </c:pt>
                <c:pt idx="2">
                  <c:v>98.070081368185257</c:v>
                </c:pt>
                <c:pt idx="3">
                  <c:v>97.79453968977019</c:v>
                </c:pt>
                <c:pt idx="4">
                  <c:v>98.442574874312371</c:v>
                </c:pt>
                <c:pt idx="5">
                  <c:v>97.831216272750581</c:v>
                </c:pt>
                <c:pt idx="6">
                  <c:v>98.459260197488078</c:v>
                </c:pt>
                <c:pt idx="7">
                  <c:v>98.711428992063503</c:v>
                </c:pt>
                <c:pt idx="8">
                  <c:v>97.854862054451985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4-4B61-A360-434F4872A4EA}"/>
            </c:ext>
          </c:extLst>
        </c:ser>
        <c:ser>
          <c:idx val="2"/>
          <c:order val="2"/>
          <c:tx>
            <c:strRef>
              <c:f>'Brewer Performance'!$C$42</c:f>
              <c:strCache>
                <c:ptCount val="1"/>
                <c:pt idx="0">
                  <c:v>JAMES GRANT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Performance'!$D$42:$O$42</c:f>
              <c:numCache>
                <c:formatCode>0.00</c:formatCode>
                <c:ptCount val="12"/>
                <c:pt idx="3">
                  <c:v>98.305001734453086</c:v>
                </c:pt>
                <c:pt idx="5">
                  <c:v>100.82497251003979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C4-4B61-A360-434F4872A4EA}"/>
            </c:ext>
          </c:extLst>
        </c:ser>
        <c:ser>
          <c:idx val="3"/>
          <c:order val="3"/>
          <c:tx>
            <c:strRef>
              <c:f>'Brewer Performance'!$C$44</c:f>
              <c:strCache>
                <c:ptCount val="1"/>
                <c:pt idx="0">
                  <c:v>RODNEY REGIS</c:v>
                </c:pt>
              </c:strCache>
              <c:extLst xmlns:c15="http://schemas.microsoft.com/office/drawing/2012/chart"/>
            </c:strRef>
          </c:tx>
          <c:marker>
            <c:spPr>
              <a:solidFill>
                <a:srgbClr val="7030A0"/>
              </a:solidFill>
            </c:spPr>
          </c:marker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Performance'!$D$44:$O$44</c:f>
              <c:numCache>
                <c:formatCode>0.00</c:formatCode>
                <c:ptCount val="12"/>
                <c:pt idx="0">
                  <c:v>98.304611060419475</c:v>
                </c:pt>
                <c:pt idx="1">
                  <c:v>97.289162940824014</c:v>
                </c:pt>
                <c:pt idx="2">
                  <c:v>98.163642226187022</c:v>
                </c:pt>
                <c:pt idx="3">
                  <c:v>97.964054285784258</c:v>
                </c:pt>
                <c:pt idx="4">
                  <c:v>98.685415156420575</c:v>
                </c:pt>
                <c:pt idx="5">
                  <c:v>97.759800403711807</c:v>
                </c:pt>
                <c:pt idx="6">
                  <c:v>98.532266745142223</c:v>
                </c:pt>
                <c:pt idx="7">
                  <c:v>98.484140672420295</c:v>
                </c:pt>
                <c:pt idx="8">
                  <c:v>97.916815501712691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AEC4-4B61-A360-434F4872A4EA}"/>
            </c:ext>
          </c:extLst>
        </c:ser>
        <c:ser>
          <c:idx val="4"/>
          <c:order val="4"/>
          <c:tx>
            <c:strRef>
              <c:f>'Brewer Performance'!$C$45</c:f>
              <c:strCache>
                <c:ptCount val="1"/>
                <c:pt idx="0">
                  <c:v>DESEAN EMERY</c:v>
                </c:pt>
              </c:strCache>
              <c:extLst xmlns:c15="http://schemas.microsoft.com/office/drawing/2012/chart"/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Performance'!$D$45:$O$45</c:f>
              <c:numCache>
                <c:formatCode>0.00</c:formatCode>
                <c:ptCount val="12"/>
                <c:pt idx="0">
                  <c:v>98.673584433402866</c:v>
                </c:pt>
                <c:pt idx="5">
                  <c:v>98.186950219332687</c:v>
                </c:pt>
                <c:pt idx="6">
                  <c:v>97.888270164748889</c:v>
                </c:pt>
                <c:pt idx="7">
                  <c:v>97.609604379501235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EC4-4B61-A360-434F4872A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286016"/>
        <c:axId val="373287552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EC4-4B61-A360-434F4872A4E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pPr>
                    <a:solidFill>
                      <a:srgbClr val="FFFF99"/>
                    </a:solidFill>
                    <a:ln>
                      <a:solidFill>
                        <a:srgbClr val="FFFF00"/>
                      </a:solidFill>
                    </a:ln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C4-4B61-A360-434F4872A4E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C4-4B61-A360-434F4872A4E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C4-4B61-A360-434F4872A4EA}"/>
                  </c:ext>
                </c:extLst>
              </c15:ser>
            </c15:filteredLineSeries>
          </c:ext>
        </c:extLst>
      </c:lineChart>
      <c:catAx>
        <c:axId val="37328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373287552"/>
        <c:crosses val="autoZero"/>
        <c:auto val="1"/>
        <c:lblAlgn val="ctr"/>
        <c:lblOffset val="100"/>
        <c:noMultiLvlLbl val="0"/>
      </c:catAx>
      <c:valAx>
        <c:axId val="373287552"/>
        <c:scaling>
          <c:orientation val="minMax"/>
          <c:max val="100"/>
          <c:min val="90.5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300" b="1"/>
            </a:pPr>
            <a:endParaRPr lang="en-US"/>
          </a:p>
        </c:txPr>
        <c:crossAx val="373286016"/>
        <c:crosses val="autoZero"/>
        <c:crossBetween val="between"/>
      </c:valAx>
      <c:spPr>
        <a:gradFill rotWithShape="1">
          <a:gsLst>
            <a:gs pos="0">
              <a:schemeClr val="dk1">
                <a:tint val="50000"/>
                <a:satMod val="300000"/>
              </a:schemeClr>
            </a:gs>
            <a:gs pos="35000">
              <a:schemeClr val="dk1">
                <a:tint val="37000"/>
                <a:satMod val="300000"/>
              </a:schemeClr>
            </a:gs>
            <a:gs pos="100000">
              <a:schemeClr val="dk1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plotArea>
    <c:legend>
      <c:legendPos val="r"/>
      <c:overlay val="0"/>
      <c:txPr>
        <a:bodyPr/>
        <a:lstStyle/>
        <a:p>
          <a:pPr>
            <a:defRPr sz="1400" b="1" i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352283</xdr:colOff>
      <xdr:row>14</xdr:row>
      <xdr:rowOff>16246</xdr:rowOff>
    </xdr:from>
    <xdr:to>
      <xdr:col>8</xdr:col>
      <xdr:colOff>27873</xdr:colOff>
      <xdr:row>33</xdr:row>
      <xdr:rowOff>106174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1162C-1400-4B7D-927D-16D885EB3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251011</xdr:colOff>
      <xdr:row>48</xdr:row>
      <xdr:rowOff>79841</xdr:rowOff>
    </xdr:from>
    <xdr:to>
      <xdr:col>15</xdr:col>
      <xdr:colOff>679636</xdr:colOff>
      <xdr:row>75</xdr:row>
      <xdr:rowOff>36979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3D5D15-1D00-488B-99AD-7941550F4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May'18%20Daily%20Process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January'20%20Daily%20Process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StagLog2026.xls" TargetMode="External"/><Relationship Id="rId2" Type="http://schemas.openxmlformats.org/officeDocument/2006/relationships/externalLinkPath" Target="file:///F:\Operations\Brewing\Logbooks\Logbooks%202026\NewStagLog2026.xls" TargetMode="External"/><Relationship Id="rId1" Type="http://schemas.openxmlformats.org/officeDocument/2006/relationships/externalLinkPath" Target="/Operations/Brewing/Logbooks/Logbooks%202026/NewStagLog2026.xls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CaribLog2026.xlsx" TargetMode="External"/><Relationship Id="rId2" Type="http://schemas.openxmlformats.org/officeDocument/2006/relationships/externalLinkPath" Target="file:///F:\Operations\Brewing\Logbooks\Logbooks%202026\NewCaribLog2026.xlsx" TargetMode="External"/><Relationship Id="rId1" Type="http://schemas.openxmlformats.org/officeDocument/2006/relationships/externalLinkPath" Target="/Operations/Brewing/Logbooks/Logbooks%202026/NewCaribLog2026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GuinnLog2026.xls" TargetMode="External"/><Relationship Id="rId2" Type="http://schemas.openxmlformats.org/officeDocument/2006/relationships/externalLinkPath" Target="file:///F:\Operations\Brewing\Logbooks\Logbooks%202026\NewGuinnLog2026.xls" TargetMode="External"/><Relationship Id="rId1" Type="http://schemas.openxmlformats.org/officeDocument/2006/relationships/externalLinkPath" Target="/Operations/Brewing/Logbooks/Logbooks%202026/NewGuinnLog2026.xls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VMaltLog2026.xls" TargetMode="External"/><Relationship Id="rId2" Type="http://schemas.openxmlformats.org/officeDocument/2006/relationships/externalLinkPath" Target="file:///F:\Operations\Brewing\Logbooks\Logbooks%202026\NewVMaltLog2026.xls" TargetMode="External"/><Relationship Id="rId1" Type="http://schemas.openxmlformats.org/officeDocument/2006/relationships/externalLinkPath" Target="/Operations/Brewing/Logbooks/Logbooks%202026/NewVMaltLog2026.xls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MackLog2026.xls" TargetMode="External"/><Relationship Id="rId2" Type="http://schemas.openxmlformats.org/officeDocument/2006/relationships/externalLinkPath" Target="file:///F:\Operations\Brewing\Logbooks\Logbooks%202026\NewMackLog2026.xls" TargetMode="External"/><Relationship Id="rId1" Type="http://schemas.openxmlformats.org/officeDocument/2006/relationships/externalLinkPath" Target="/Operations/Brewing/Logbooks/Logbooks%202026/NewMackLog2026.xls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SMaltLog2026.xls" TargetMode="External"/><Relationship Id="rId2" Type="http://schemas.openxmlformats.org/officeDocument/2006/relationships/externalLinkPath" Target="file:///F:\Operations\Brewing\Logbooks\Logbooks%202026\NewSMaltLog2026.xls" TargetMode="External"/><Relationship Id="rId1" Type="http://schemas.openxmlformats.org/officeDocument/2006/relationships/externalLinkPath" Target="/Operations/Brewing/Logbooks/Logbooks%202026/NewSMaltLog2026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January%20'26%20Daily%20Process%20Report%202026.xlsx" TargetMode="External"/><Relationship Id="rId1" Type="http://schemas.openxmlformats.org/officeDocument/2006/relationships/externalLinkPath" Target="January%20'26%20Daily%20Process%20Report%202026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February%20'26%20Daily%20Process%20Report%202026.xlsx" TargetMode="External"/><Relationship Id="rId1" Type="http://schemas.openxmlformats.org/officeDocument/2006/relationships/externalLinkPath" Target="February%20'26%20Daily%20Process%20Report%202026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Daily_Brewhouse_Efficiency/Daily_Brewhouse_Efficiency_2026.xls" TargetMode="External"/><Relationship Id="rId2" Type="http://schemas.openxmlformats.org/officeDocument/2006/relationships/externalLinkPath" Target="file:///F:\Operations\Reshelle\Brewing\Daily_Brewhouse_Efficiency\Daily_Brewhouse_Efficiency_2026.xls" TargetMode="External"/><Relationship Id="rId1" Type="http://schemas.openxmlformats.org/officeDocument/2006/relationships/externalLinkPath" Target="/Operations/Reshelle/Brewing/Daily_Brewhouse_Efficiency/Daily_Brewhouse_Efficiency_2026.xls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osses%202026/March_2026.xls" TargetMode="External"/><Relationship Id="rId2" Type="http://schemas.openxmlformats.org/officeDocument/2006/relationships/externalLinkPath" Target="file:///F:\Operations\Brewing\Reports%20Local\Losses%202026\March_2026.xls" TargetMode="External"/><Relationship Id="rId1" Type="http://schemas.openxmlformats.org/officeDocument/2006/relationships/externalLinkPath" Target="/Operations/Brewing/Reports%20Local/Losses%202026/March_2026.xls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Filtration_Throughput/Filtration_Throughput_2026.xlsx" TargetMode="External"/><Relationship Id="rId2" Type="http://schemas.openxmlformats.org/officeDocument/2006/relationships/externalLinkPath" Target="file:///F:\Operations\Reshelle\Brewing\Filtration_Throughput\Filtration_Throughput_2026.xlsx" TargetMode="External"/><Relationship Id="rId1" Type="http://schemas.openxmlformats.org/officeDocument/2006/relationships/externalLinkPath" Target="/Operations/Reshelle/Brewing/Filtration_Throughput/Filtration_Throughput_2026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Royd/Brewing/Filtration_Throughput/Filtration_Throughput_2019.xlsx" TargetMode="External"/><Relationship Id="rId1" Type="http://schemas.openxmlformats.org/officeDocument/2006/relationships/externalLinkPath" Target="/Operations/Royd/Brewing/Filtration_Throughput/Filtration_Throughput_2019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Royd/Brewing/Daily_Brewhouse_Efficiency/Daily_Brewhouse_Efficiency_2022.xls" TargetMode="External"/><Relationship Id="rId1" Type="http://schemas.openxmlformats.org/officeDocument/2006/relationships/externalLinkPath" Target="/Operations/Royd/Brewing/Daily_Brewhouse_Efficiency/Daily_Brewhouse_Efficiency_2022.xls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CaribLog2022.xlsx" TargetMode="External"/><Relationship Id="rId2" Type="http://schemas.openxmlformats.org/officeDocument/2006/relationships/externalLinkPath" Target="file:///F:\Operations\Brewing\Logbooks\Logbooks%202022\NewCaribLog2022.xlsx" TargetMode="External"/><Relationship Id="rId1" Type="http://schemas.openxmlformats.org/officeDocument/2006/relationships/externalLinkPath" Target="/Operations/Brewing/Logbooks/Logbooks%202022/NewCaribLog2022.xlsx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StagLog2022.xls" TargetMode="External"/><Relationship Id="rId2" Type="http://schemas.openxmlformats.org/officeDocument/2006/relationships/externalLinkPath" Target="file:///F:\Operations\Brewing\Logbooks\Logbooks%202022\NewStagLog2022.xls" TargetMode="External"/><Relationship Id="rId1" Type="http://schemas.openxmlformats.org/officeDocument/2006/relationships/externalLinkPath" Target="/Operations/Brewing/Logbooks/Logbooks%202022/NewStagLog2022.xls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GuinnLog2022.xls" TargetMode="External"/><Relationship Id="rId2" Type="http://schemas.openxmlformats.org/officeDocument/2006/relationships/externalLinkPath" Target="file:///F:\Operations\Brewing\Logbooks\Logbooks%202022\NewGuinnLog2022.xls" TargetMode="External"/><Relationship Id="rId1" Type="http://schemas.openxmlformats.org/officeDocument/2006/relationships/externalLinkPath" Target="/Operations/Brewing/Logbooks/Logbooks%202022/NewGuinnLog2022.xls" TargetMode="External"/></Relationships>
</file>

<file path=xl/externalLinks/_rels/externalLink1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VMaltLog2022.xls" TargetMode="External"/><Relationship Id="rId2" Type="http://schemas.openxmlformats.org/officeDocument/2006/relationships/externalLinkPath" Target="file:///F:\Operations\Brewing\Logbooks\Logbooks%202022\NewVMaltLog2022.xls" TargetMode="External"/><Relationship Id="rId1" Type="http://schemas.openxmlformats.org/officeDocument/2006/relationships/externalLinkPath" Target="/Operations/Brewing/Logbooks/Logbooks%202022/NewVMaltLog2022.xls" TargetMode="External"/></Relationships>
</file>

<file path=xl/externalLinks/_rels/externalLink2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MackLog2022.xls" TargetMode="External"/><Relationship Id="rId2" Type="http://schemas.openxmlformats.org/officeDocument/2006/relationships/externalLinkPath" Target="file:///F:\Operations\Brewing\Logbooks\Logbooks%202022\NewMackLog2022.xls" TargetMode="External"/><Relationship Id="rId1" Type="http://schemas.openxmlformats.org/officeDocument/2006/relationships/externalLinkPath" Target="/Operations/Brewing/Logbooks/Logbooks%202022/NewMackLog2022.xls" TargetMode="External"/></Relationships>
</file>

<file path=xl/externalLinks/_rels/externalLink2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SMaltLog2022.xls" TargetMode="External"/><Relationship Id="rId2" Type="http://schemas.openxmlformats.org/officeDocument/2006/relationships/externalLinkPath" Target="file:///F:\Operations\Brewing\Logbooks\Logbooks%202022\NewSMaltLog2022.xls" TargetMode="External"/><Relationship Id="rId1" Type="http://schemas.openxmlformats.org/officeDocument/2006/relationships/externalLinkPath" Target="/Operations/Brewing/Logbooks/Logbooks%202022/NewSMaltLog2022.xls" TargetMode="External"/></Relationships>
</file>

<file path=xl/externalLinks/_rels/externalLink2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HRLog2022.xls" TargetMode="External"/><Relationship Id="rId2" Type="http://schemas.openxmlformats.org/officeDocument/2006/relationships/externalLinkPath" Target="file:///F:\Operations\Brewing\Logbooks\Logbooks%202022\NewHRLog2022.xls" TargetMode="External"/><Relationship Id="rId1" Type="http://schemas.openxmlformats.org/officeDocument/2006/relationships/externalLinkPath" Target="/Operations/Brewing/Logbooks/Logbooks%202022/NewHRLog2022.xls" TargetMode="External"/></Relationships>
</file>

<file path=xl/externalLinks/_rels/externalLink23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anuar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an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anuary%20'23%20Daily%20Process%20Report%202023.xlsx" TargetMode="External"/></Relationships>
</file>

<file path=xl/externalLinks/_rels/externalLink24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Februar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Febr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February%20'23%20Daily%20Process%20Report%202023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3%20Daily%20Process%20Report/March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March%20'23%20Daily%20Process%20Report%202023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3%20Daily%20Process%20Report/April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pril%20'23%20Daily%20Process%20Report%202023.xlsx" TargetMode="External"/></Relationships>
</file>

<file path=xl/externalLinks/_rels/externalLink27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une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une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ne%20'23%20Daily%20Process%20Report%202023.xlsx" TargetMode="External"/></Relationships>
</file>

<file path=xl/externalLinks/_rels/externalLink28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ul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ul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ly%20'23%20Daily%20Process%20Report%202023.xlsx" TargetMode="External"/></Relationships>
</file>

<file path=xl/externalLinks/_rels/externalLink29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August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August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ugust%20'23%20Daily%20Process%20Report%202023.xlsx" TargetMode="External"/></Relationships>
</file>

<file path=xl/externalLinks/_rels/externalLink30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October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October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October%20'23%20Daily%20Process%20Report%202023.xlsx" TargetMode="External"/></Relationships>
</file>

<file path=xl/externalLinks/_rels/externalLink3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Daily_Brewhouse_Efficiency/Daily_Brewhouse_Efficiency_2023.xls" TargetMode="External"/><Relationship Id="rId2" Type="http://schemas.openxmlformats.org/officeDocument/2006/relationships/externalLinkPath" Target="file:///F:\Operations\Reshelle\Brewing\Daily_Brewhouse_Efficiency\Daily_Brewhouse_Efficiency_2023.xls" TargetMode="External"/><Relationship Id="rId1" Type="http://schemas.openxmlformats.org/officeDocument/2006/relationships/externalLinkPath" Target="/Operations/Reshelle/Brewing/Daily_Brewhouse_Efficiency/Daily_Brewhouse_Efficiency_2023.xls" TargetMode="External"/></Relationships>
</file>

<file path=xl/externalLinks/_rels/externalLink3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Filtration_Throughput/Filtration_Throughput_2023.xlsx" TargetMode="External"/><Relationship Id="rId2" Type="http://schemas.openxmlformats.org/officeDocument/2006/relationships/externalLinkPath" Target="file:///F:\Operations\Reshelle\Brewing\Filtration_Throughput\Filtration_Throughput_2023.xlsx" TargetMode="External"/><Relationship Id="rId1" Type="http://schemas.openxmlformats.org/officeDocument/2006/relationships/externalLinkPath" Target="/Operations/Reshelle/Brewing/Filtration_Throughput/Filtration_Throughput_2023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CaribLog2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StagLog2.xls" TargetMode="External"/></Relationships>
</file>

<file path=xl/externalLinks/_rels/externalLink3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NewVMaltLog.xls" TargetMode="External"/><Relationship Id="rId2" Type="http://schemas.openxmlformats.org/officeDocument/2006/relationships/externalLinkPath" Target="file:///F:\Operations\Brewing\Logbooks\NewVMaltLog.xls" TargetMode="External"/><Relationship Id="rId1" Type="http://schemas.openxmlformats.org/officeDocument/2006/relationships/externalLinkPath" Target="/Operations/Brewing/Logbooks/NewVMaltLog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Logbooks/NewMMaltLog.xls" TargetMode="External"/><Relationship Id="rId1" Type="http://schemas.openxmlformats.org/officeDocument/2006/relationships/externalLinkPath" Target="/Operations/Brewing/Logbooks/NewMMaltLog.xls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2%20Daily%20Process%20Report/Januar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January%20'22%20Daily%20Process%20Report%202022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2%20Daily%20Process%20Report/Februar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February%20'22%20Daily%20Process%20Report%202022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2%20Daily%20Process%20Report/Ma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May%20'22%20Daily%20Process%20Report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MTD_Links"/>
      <sheetName val="YTD_Link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10">
          <cell r="I10">
            <v>99.750932208295694</v>
          </cell>
        </row>
      </sheetData>
      <sheetData sheetId="137">
        <row r="10">
          <cell r="I10">
            <v>92.554657395524345</v>
          </cell>
        </row>
      </sheetData>
      <sheetData sheetId="138">
        <row r="10">
          <cell r="I10">
            <v>93.061018396064128</v>
          </cell>
        </row>
      </sheetData>
      <sheetData sheetId="139">
        <row r="10">
          <cell r="I10">
            <v>94.662435717962396</v>
          </cell>
        </row>
      </sheetData>
      <sheetData sheetId="140">
        <row r="10">
          <cell r="I10">
            <v>92.045957227088977</v>
          </cell>
        </row>
      </sheetData>
      <sheetData sheetId="141">
        <row r="10">
          <cell r="I10">
            <v>91.890983117060841</v>
          </cell>
        </row>
      </sheetData>
      <sheetData sheetId="142">
        <row r="10">
          <cell r="I10">
            <v>91.025110697731037</v>
          </cell>
        </row>
      </sheetData>
      <sheetData sheetId="143"/>
      <sheetData sheetId="144">
        <row r="10">
          <cell r="I10">
            <v>90.366953732682646</v>
          </cell>
        </row>
      </sheetData>
      <sheetData sheetId="145">
        <row r="10">
          <cell r="I10">
            <v>97.702971903640275</v>
          </cell>
        </row>
      </sheetData>
      <sheetData sheetId="146">
        <row r="10">
          <cell r="I10">
            <v>99.810032745121021</v>
          </cell>
        </row>
      </sheetData>
      <sheetData sheetId="147">
        <row r="10">
          <cell r="I10">
            <v>94.627590963754557</v>
          </cell>
        </row>
      </sheetData>
      <sheetData sheetId="148">
        <row r="10">
          <cell r="I10">
            <v>94.899173579696182</v>
          </cell>
        </row>
      </sheetData>
      <sheetData sheetId="149"/>
      <sheetData sheetId="150">
        <row r="10">
          <cell r="I10">
            <v>96.082518252933426</v>
          </cell>
        </row>
      </sheetData>
      <sheetData sheetId="151">
        <row r="10">
          <cell r="I10">
            <v>93.775699444109193</v>
          </cell>
        </row>
      </sheetData>
      <sheetData sheetId="152">
        <row r="11">
          <cell r="I11">
            <v>96.926141806735757</v>
          </cell>
        </row>
      </sheetData>
      <sheetData sheetId="153"/>
      <sheetData sheetId="154">
        <row r="10">
          <cell r="I10">
            <v>94.523973772447604</v>
          </cell>
        </row>
      </sheetData>
      <sheetData sheetId="155">
        <row r="10">
          <cell r="I10">
            <v>94.570474921386278</v>
          </cell>
        </row>
      </sheetData>
      <sheetData sheetId="156">
        <row r="10">
          <cell r="I10">
            <v>93.068442573487985</v>
          </cell>
        </row>
      </sheetData>
      <sheetData sheetId="157"/>
      <sheetData sheetId="158">
        <row r="10">
          <cell r="I10">
            <v>93.966969001465571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10">
          <cell r="I10">
            <v>94.746744496090514</v>
          </cell>
        </row>
      </sheetData>
      <sheetData sheetId="181">
        <row r="10">
          <cell r="I10">
            <v>81.610633396186259</v>
          </cell>
        </row>
      </sheetData>
      <sheetData sheetId="182">
        <row r="10">
          <cell r="I10">
            <v>89.881069793572991</v>
          </cell>
        </row>
      </sheetData>
      <sheetData sheetId="183">
        <row r="10">
          <cell r="I10">
            <v>92.308295030910401</v>
          </cell>
        </row>
      </sheetData>
      <sheetData sheetId="184">
        <row r="10">
          <cell r="I10">
            <v>90.815839711253389</v>
          </cell>
        </row>
      </sheetData>
      <sheetData sheetId="185">
        <row r="10">
          <cell r="I10">
            <v>93.204137247268804</v>
          </cell>
        </row>
      </sheetData>
      <sheetData sheetId="186">
        <row r="10">
          <cell r="I10">
            <v>92.808947037217479</v>
          </cell>
        </row>
      </sheetData>
      <sheetData sheetId="187">
        <row r="10">
          <cell r="I10">
            <v>95.493653491136698</v>
          </cell>
        </row>
      </sheetData>
      <sheetData sheetId="188">
        <row r="10">
          <cell r="I10">
            <v>93.032943465571279</v>
          </cell>
        </row>
      </sheetData>
      <sheetData sheetId="189">
        <row r="10">
          <cell r="I10">
            <v>95.082477249706741</v>
          </cell>
        </row>
      </sheetData>
      <sheetData sheetId="190">
        <row r="10">
          <cell r="I10">
            <v>94.086430493781364</v>
          </cell>
        </row>
      </sheetData>
      <sheetData sheetId="191">
        <row r="10">
          <cell r="I10">
            <v>95.237068907803788</v>
          </cell>
        </row>
      </sheetData>
      <sheetData sheetId="192">
        <row r="10">
          <cell r="I10">
            <v>93.696594322135354</v>
          </cell>
        </row>
      </sheetData>
      <sheetData sheetId="193">
        <row r="10">
          <cell r="I10">
            <v>95.035429294750102</v>
          </cell>
        </row>
      </sheetData>
      <sheetData sheetId="194">
        <row r="10">
          <cell r="I10">
            <v>95.845120933176332</v>
          </cell>
        </row>
      </sheetData>
      <sheetData sheetId="195">
        <row r="10">
          <cell r="I10">
            <v>96.575612538518712</v>
          </cell>
        </row>
      </sheetData>
      <sheetData sheetId="196">
        <row r="10">
          <cell r="I10">
            <v>95.60390348648707</v>
          </cell>
        </row>
      </sheetData>
      <sheetData sheetId="197">
        <row r="10">
          <cell r="I10">
            <v>94.900683340102304</v>
          </cell>
        </row>
      </sheetData>
      <sheetData sheetId="198">
        <row r="10">
          <cell r="I10">
            <v>93.675056093360212</v>
          </cell>
        </row>
      </sheetData>
      <sheetData sheetId="199">
        <row r="10">
          <cell r="I10">
            <v>94.141326868887788</v>
          </cell>
        </row>
      </sheetData>
      <sheetData sheetId="200">
        <row r="10">
          <cell r="I10">
            <v>94.400570300845345</v>
          </cell>
        </row>
      </sheetData>
      <sheetData sheetId="201">
        <row r="11">
          <cell r="I11">
            <v>94.497356214098588</v>
          </cell>
        </row>
      </sheetData>
      <sheetData sheetId="202">
        <row r="10">
          <cell r="I10">
            <v>91.531580743624872</v>
          </cell>
        </row>
      </sheetData>
      <sheetData sheetId="203">
        <row r="10">
          <cell r="I10">
            <v>93.571794724463402</v>
          </cell>
        </row>
      </sheetData>
      <sheetData sheetId="204">
        <row r="10">
          <cell r="I10">
            <v>95.684805072230873</v>
          </cell>
        </row>
      </sheetData>
      <sheetData sheetId="205">
        <row r="10">
          <cell r="I10">
            <v>94.899817680638733</v>
          </cell>
        </row>
      </sheetData>
      <sheetData sheetId="206">
        <row r="10">
          <cell r="I10">
            <v>98.148777849881043</v>
          </cell>
        </row>
      </sheetData>
      <sheetData sheetId="207">
        <row r="10">
          <cell r="I10">
            <v>91.33164066384883</v>
          </cell>
        </row>
      </sheetData>
      <sheetData sheetId="208">
        <row r="10">
          <cell r="I10">
            <v>95.746955675971961</v>
          </cell>
        </row>
      </sheetData>
      <sheetData sheetId="209">
        <row r="10">
          <cell r="I10">
            <v>95.863617376516174</v>
          </cell>
        </row>
      </sheetData>
      <sheetData sheetId="210"/>
      <sheetData sheetId="211">
        <row r="10">
          <cell r="I10">
            <v>93.577418863812994</v>
          </cell>
        </row>
      </sheetData>
      <sheetData sheetId="212">
        <row r="10">
          <cell r="I10">
            <v>95.118868459634214</v>
          </cell>
        </row>
      </sheetData>
      <sheetData sheetId="213">
        <row r="10">
          <cell r="I10">
            <v>93.134820383580376</v>
          </cell>
        </row>
      </sheetData>
      <sheetData sheetId="214">
        <row r="10">
          <cell r="I10">
            <v>95.49640692397216</v>
          </cell>
        </row>
      </sheetData>
      <sheetData sheetId="215">
        <row r="10">
          <cell r="I10">
            <v>91.053396528745949</v>
          </cell>
        </row>
      </sheetData>
      <sheetData sheetId="216">
        <row r="10">
          <cell r="I10">
            <v>95.765002805481018</v>
          </cell>
        </row>
      </sheetData>
      <sheetData sheetId="217">
        <row r="10">
          <cell r="I10">
            <v>92.921491614246094</v>
          </cell>
        </row>
      </sheetData>
      <sheetData sheetId="218">
        <row r="10">
          <cell r="I10">
            <v>92.833655936590446</v>
          </cell>
        </row>
      </sheetData>
      <sheetData sheetId="219">
        <row r="10">
          <cell r="I10">
            <v>86.080188720816224</v>
          </cell>
        </row>
      </sheetData>
      <sheetData sheetId="220">
        <row r="10">
          <cell r="I10">
            <v>98.758814208396146</v>
          </cell>
        </row>
      </sheetData>
      <sheetData sheetId="221">
        <row r="10">
          <cell r="I10">
            <v>95.215143108531947</v>
          </cell>
        </row>
      </sheetData>
      <sheetData sheetId="222">
        <row r="10">
          <cell r="I10">
            <v>94.448105220636052</v>
          </cell>
        </row>
      </sheetData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10">
          <cell r="I10">
            <v>92.662727799254284</v>
          </cell>
        </row>
      </sheetData>
      <sheetData sheetId="235">
        <row r="10">
          <cell r="I10">
            <v>85.997635221262584</v>
          </cell>
        </row>
      </sheetData>
      <sheetData sheetId="236">
        <row r="10">
          <cell r="I10">
            <v>93.392916824918487</v>
          </cell>
        </row>
      </sheetData>
      <sheetData sheetId="237">
        <row r="10">
          <cell r="I10">
            <v>98.419688132633198</v>
          </cell>
        </row>
      </sheetData>
      <sheetData sheetId="238">
        <row r="10">
          <cell r="I10">
            <v>98.896182519195435</v>
          </cell>
        </row>
      </sheetData>
      <sheetData sheetId="239">
        <row r="10">
          <cell r="I10">
            <v>89.706959355738562</v>
          </cell>
        </row>
      </sheetData>
      <sheetData sheetId="240">
        <row r="10">
          <cell r="I10">
            <v>92.665294455101332</v>
          </cell>
        </row>
      </sheetData>
      <sheetData sheetId="241">
        <row r="10">
          <cell r="I10">
            <v>93.157946425620224</v>
          </cell>
        </row>
      </sheetData>
      <sheetData sheetId="242">
        <row r="10">
          <cell r="I10">
            <v>93.127008978016477</v>
          </cell>
        </row>
      </sheetData>
      <sheetData sheetId="243">
        <row r="10">
          <cell r="I10">
            <v>89.118933714764424</v>
          </cell>
        </row>
      </sheetData>
      <sheetData sheetId="244">
        <row r="10">
          <cell r="I10">
            <v>92.080920589691559</v>
          </cell>
        </row>
      </sheetData>
      <sheetData sheetId="245">
        <row r="10">
          <cell r="I10">
            <v>83.486440442093041</v>
          </cell>
        </row>
      </sheetData>
      <sheetData sheetId="246">
        <row r="10">
          <cell r="I10">
            <v>93.388712454229619</v>
          </cell>
        </row>
      </sheetData>
      <sheetData sheetId="247">
        <row r="10">
          <cell r="I10">
            <v>97.30268556743809</v>
          </cell>
        </row>
      </sheetData>
      <sheetData sheetId="248">
        <row r="10">
          <cell r="I10">
            <v>91.263443885169522</v>
          </cell>
        </row>
      </sheetData>
      <sheetData sheetId="249">
        <row r="10">
          <cell r="I10">
            <v>97.225481973555304</v>
          </cell>
        </row>
      </sheetData>
      <sheetData sheetId="250">
        <row r="10">
          <cell r="I10">
            <v>97.225481973555304</v>
          </cell>
        </row>
      </sheetData>
      <sheetData sheetId="251"/>
      <sheetData sheetId="252"/>
      <sheetData sheetId="25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wer Performance (2)"/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June 1"/>
      <sheetName val="June 4"/>
      <sheetName val="June 5"/>
      <sheetName val="June 6"/>
      <sheetName val="June 7"/>
      <sheetName val="June 8"/>
      <sheetName val="June 11"/>
      <sheetName val="June 12"/>
      <sheetName val="June 16"/>
      <sheetName val="June 17"/>
      <sheetName val="June 18"/>
      <sheetName val="June 19"/>
      <sheetName val="June 20"/>
      <sheetName val="June 21"/>
      <sheetName val="June 22"/>
      <sheetName val="June 24"/>
      <sheetName val="June 25"/>
      <sheetName val="June 26"/>
      <sheetName val="June 27"/>
      <sheetName val="June 28"/>
      <sheetName val="June 29"/>
      <sheetName val="July 1"/>
      <sheetName val="July 2"/>
      <sheetName val="July 3"/>
      <sheetName val="July4"/>
      <sheetName val="July5"/>
      <sheetName val="July 8"/>
      <sheetName val="July 9"/>
      <sheetName val="July10"/>
      <sheetName val="July 11"/>
      <sheetName val="July 12"/>
      <sheetName val="July 13"/>
      <sheetName val="July 14 &amp;15"/>
      <sheetName val="July 16"/>
      <sheetName val="July 17"/>
      <sheetName val="July 18"/>
      <sheetName val="July 19"/>
      <sheetName val="July 21&amp;22"/>
      <sheetName val="July23"/>
      <sheetName val="July 24&amp;25"/>
      <sheetName val="July 25"/>
      <sheetName val="July 26"/>
      <sheetName val="July 27"/>
      <sheetName val="July 29"/>
      <sheetName val="July 30"/>
      <sheetName val="July 31"/>
      <sheetName val="Aug1"/>
      <sheetName val="Aug2"/>
      <sheetName val="Aug3&amp;4"/>
      <sheetName val="Aug7"/>
      <sheetName val="Aug8"/>
      <sheetName val="Aug9"/>
      <sheetName val="Aug10"/>
      <sheetName val="Aug15"/>
      <sheetName val="Aug16"/>
      <sheetName val="Aug17"/>
      <sheetName val="Aug20"/>
      <sheetName val="Aug21"/>
      <sheetName val="Aug22"/>
      <sheetName val="Aug27"/>
      <sheetName val="Aug28"/>
      <sheetName val="Aug29"/>
      <sheetName val="Aug30"/>
      <sheetName val="Aug31"/>
      <sheetName val="September2"/>
      <sheetName val="September3"/>
      <sheetName val="Sept.4"/>
      <sheetName val="Sept.5"/>
      <sheetName val="Sept.6"/>
      <sheetName val="Sept.7 &amp;8"/>
      <sheetName val="Sept.10"/>
      <sheetName val="Sept.11"/>
      <sheetName val="Sept.12"/>
      <sheetName val="Sept.13"/>
      <sheetName val="Sept.14"/>
      <sheetName val="Sept.17"/>
      <sheetName val="Sept.18"/>
      <sheetName val="Sept.19"/>
      <sheetName val="Sept.20"/>
      <sheetName val="Sept.21"/>
      <sheetName val="Sept.22"/>
      <sheetName val="Sept.23"/>
      <sheetName val="Sept.24"/>
      <sheetName val="Sept.25"/>
      <sheetName val="Sept.26"/>
      <sheetName val="Sept.27"/>
      <sheetName val="Sept.28"/>
      <sheetName val="Sept.29"/>
      <sheetName val="Oct.1"/>
      <sheetName val="Oct.2"/>
      <sheetName val="Oct.3"/>
      <sheetName val="Oct.4"/>
      <sheetName val="Oct.5"/>
      <sheetName val="Oct.6"/>
      <sheetName val="Oct.7"/>
      <sheetName val="Oct.8"/>
      <sheetName val="Oct.9"/>
      <sheetName val="Oct.10"/>
      <sheetName val="Oct.11"/>
      <sheetName val="Oct.12"/>
      <sheetName val="Oct.13"/>
      <sheetName val="Oct.15"/>
      <sheetName val="Oct.16"/>
      <sheetName val="Oct.17"/>
      <sheetName val="Oct.18"/>
      <sheetName val="Oct.19"/>
      <sheetName val="Oct.21"/>
      <sheetName val="Oct.22"/>
      <sheetName val="Oct.23"/>
      <sheetName val="Oct.24"/>
      <sheetName val="Oct.26"/>
      <sheetName val="Oct.28"/>
      <sheetName val="Oct.29"/>
      <sheetName val="Oct.30"/>
      <sheetName val="Oct.31"/>
      <sheetName val="Nov. 1"/>
      <sheetName val="Nov. 2,3 &amp;4"/>
      <sheetName val="Nov. 5"/>
      <sheetName val="Nov. 6"/>
      <sheetName val="Nov. 8"/>
      <sheetName val="Nov. 9"/>
      <sheetName val="Nov. 10"/>
      <sheetName val="Nov. 11"/>
      <sheetName val="Nov. 12&amp;13"/>
      <sheetName val="Nov. 14"/>
      <sheetName val="Nov. 15"/>
      <sheetName val="Nov. 16&amp;17"/>
      <sheetName val="Nov. 19"/>
      <sheetName val="Nov. 20"/>
      <sheetName val="Nov. 21"/>
      <sheetName val="Nov. 22"/>
      <sheetName val="Nov. 23"/>
      <sheetName val="Nov.24"/>
      <sheetName val="Nov.25"/>
      <sheetName val="Nov.26"/>
      <sheetName val="Nov.27&amp;28th"/>
      <sheetName val="Nov.29"/>
      <sheetName val="Nov.30"/>
      <sheetName val="Dec.1 &amp;2"/>
      <sheetName val="Dec.3"/>
      <sheetName val="Dec. 4"/>
      <sheetName val="Dec. 5"/>
      <sheetName val="Dec. 6 "/>
      <sheetName val="Dec. 7"/>
      <sheetName val="Dec. 8 "/>
      <sheetName val="Dec. 9"/>
      <sheetName val="Dec. 10"/>
      <sheetName val="Dec. 11"/>
      <sheetName val="Dec. 12"/>
      <sheetName val="Dec. 13"/>
      <sheetName val="Dec. 14"/>
      <sheetName val="Dec. 15"/>
      <sheetName val="Dec. 17"/>
      <sheetName val="Dec. 18"/>
      <sheetName val="Dec. 19"/>
      <sheetName val="Dec. 20"/>
      <sheetName val="Dec. 21"/>
      <sheetName val="Dec. 22"/>
      <sheetName val="Dec. 26"/>
      <sheetName val="Dec. 27"/>
      <sheetName val="Dec. 28"/>
      <sheetName val="Dec. 31"/>
      <sheetName val="Jan. 02"/>
      <sheetName val="Jan. 03"/>
      <sheetName val="Jan. 04"/>
      <sheetName val="Jan. 07"/>
      <sheetName val="Jan. 08"/>
      <sheetName val="Jan. 09"/>
      <sheetName val="Jan. 10"/>
      <sheetName val="Jan. 11"/>
      <sheetName val="Jan. 13"/>
      <sheetName val="Jan. 14"/>
      <sheetName val="Jan. 15"/>
      <sheetName val="Jan. 16"/>
      <sheetName val="Jan. 17"/>
      <sheetName val="Jan. 18"/>
      <sheetName val="Jan. 21"/>
      <sheetName val="Jan. 22"/>
      <sheetName val="Jan. 23"/>
      <sheetName val="Jan. 24"/>
      <sheetName val="Jan. 25"/>
      <sheetName val="Jan. 28"/>
      <sheetName val="Jan. 29"/>
      <sheetName val="Jan. 30"/>
      <sheetName val="Feb. 3"/>
      <sheetName val="Feb. 4"/>
      <sheetName val="Feb. 5"/>
      <sheetName val="Feb.6"/>
      <sheetName val="Feb.8"/>
      <sheetName val="Feb. 9"/>
      <sheetName val="Feb. 11"/>
      <sheetName val="Feb. 14"/>
      <sheetName val="Feb. 17"/>
      <sheetName val="Feb. 18"/>
      <sheetName val="Feb. 19"/>
      <sheetName val="Feb.20"/>
      <sheetName val="Feb.21"/>
      <sheetName val="Feb.22"/>
      <sheetName val="Feb.24"/>
      <sheetName val="Feb.25"/>
      <sheetName val="Feb.26"/>
      <sheetName val="Feb.27"/>
      <sheetName val="Feb.28"/>
      <sheetName val="March.1"/>
      <sheetName val="March.3"/>
      <sheetName val="March.4"/>
      <sheetName val="March.6"/>
      <sheetName val="March.7"/>
      <sheetName val="March.8"/>
      <sheetName val="March.11"/>
      <sheetName val="March.12"/>
      <sheetName val="March.13"/>
      <sheetName val="March.14"/>
      <sheetName val="March.15"/>
      <sheetName val="March.16"/>
      <sheetName val="March.18"/>
      <sheetName val="March.19"/>
      <sheetName val="March.20"/>
      <sheetName val="March.21"/>
      <sheetName val="March.22"/>
      <sheetName val="March.24"/>
      <sheetName val="March.25"/>
      <sheetName val="March.26"/>
      <sheetName val="March.27"/>
      <sheetName val="March.28"/>
      <sheetName val="March.29"/>
      <sheetName val="March.31"/>
      <sheetName val="April.1"/>
      <sheetName val="April.2"/>
      <sheetName val="April.3"/>
      <sheetName val="April.4"/>
      <sheetName val="April.5"/>
      <sheetName val="April.8"/>
      <sheetName val="April.9"/>
      <sheetName val="April.10"/>
      <sheetName val="April.11"/>
      <sheetName val="April.12"/>
      <sheetName val="April.14"/>
      <sheetName val="April.15"/>
      <sheetName val="April.16"/>
      <sheetName val="April.17"/>
      <sheetName val="April.18"/>
      <sheetName val="April.23"/>
      <sheetName val="April.24"/>
      <sheetName val="April.25"/>
      <sheetName val="April.26"/>
      <sheetName val="April.28"/>
      <sheetName val="April.29"/>
      <sheetName val="April.30"/>
      <sheetName val="May.1&amp;2"/>
      <sheetName val="May.3"/>
      <sheetName val="May.5"/>
      <sheetName val="May.6 "/>
      <sheetName val="May.7"/>
      <sheetName val="May.8"/>
      <sheetName val="May.9"/>
      <sheetName val="May.10"/>
      <sheetName val="May.11"/>
      <sheetName val="May.13"/>
      <sheetName val="May.14"/>
      <sheetName val="May.15"/>
      <sheetName val="May.16"/>
      <sheetName val="May.17"/>
      <sheetName val="May.18"/>
      <sheetName val="May.19"/>
      <sheetName val="May.20"/>
      <sheetName val="May.21"/>
      <sheetName val="May.22"/>
      <sheetName val="May.23"/>
      <sheetName val="May.31"/>
      <sheetName val="June1"/>
      <sheetName val="June3"/>
      <sheetName val="June4"/>
      <sheetName val="June5"/>
      <sheetName val="June6"/>
      <sheetName val="June7"/>
      <sheetName val="June8"/>
      <sheetName val="June11"/>
      <sheetName val="June12"/>
      <sheetName val="June13"/>
      <sheetName val="June14"/>
      <sheetName val="June17"/>
      <sheetName val="June18"/>
      <sheetName val="June19"/>
      <sheetName val="June21"/>
      <sheetName val="June22"/>
      <sheetName val="June23"/>
      <sheetName val="June24"/>
      <sheetName val="June25"/>
      <sheetName val="June26"/>
      <sheetName val="June27"/>
      <sheetName val="June28"/>
      <sheetName val="July1"/>
      <sheetName val="July2"/>
      <sheetName val="July03"/>
      <sheetName val="July04"/>
      <sheetName val="July05"/>
      <sheetName val="July08"/>
      <sheetName val="July09"/>
      <sheetName val="July-10"/>
      <sheetName val="July-11"/>
      <sheetName val="July-12"/>
      <sheetName val="July-15"/>
      <sheetName val="July-16"/>
      <sheetName val="July-17"/>
      <sheetName val="July-18"/>
      <sheetName val="July-19"/>
      <sheetName val="July-22 "/>
      <sheetName val="July-23"/>
      <sheetName val="July-24 "/>
      <sheetName val="July-25 "/>
      <sheetName val="July-27 "/>
      <sheetName val="July-29 "/>
      <sheetName val="July-30 "/>
      <sheetName val="July-31 "/>
      <sheetName val="August-1"/>
      <sheetName val="August-2"/>
      <sheetName val="August-3"/>
      <sheetName val="August-6"/>
      <sheetName val="August-7"/>
      <sheetName val="August-8"/>
      <sheetName val="August-9"/>
      <sheetName val="August-14"/>
      <sheetName val="August-15"/>
      <sheetName val="August-16"/>
      <sheetName val="August-19"/>
      <sheetName val="August-20"/>
      <sheetName val="August-21"/>
      <sheetName val="August-22"/>
      <sheetName val="August-23"/>
      <sheetName val="August-26"/>
      <sheetName val="August-27"/>
      <sheetName val="August-28 "/>
      <sheetName val="August-30 "/>
      <sheetName val="September-2"/>
      <sheetName val="September-3"/>
      <sheetName val="September-4"/>
      <sheetName val="September-5"/>
      <sheetName val="September-6"/>
      <sheetName val="September-9"/>
      <sheetName val="September-10"/>
      <sheetName val="September-11"/>
      <sheetName val="September-12"/>
      <sheetName val="September-13"/>
      <sheetName val="September-16"/>
      <sheetName val="September-17"/>
      <sheetName val="September-18"/>
      <sheetName val="September-19"/>
      <sheetName val="September-20"/>
      <sheetName val="September-23"/>
      <sheetName val="September-24"/>
      <sheetName val="September-25"/>
      <sheetName val="September-26"/>
      <sheetName val="September-30"/>
      <sheetName val="October-1"/>
      <sheetName val="October-2"/>
      <sheetName val="October-3"/>
      <sheetName val="October-4"/>
      <sheetName val="October-7"/>
      <sheetName val="October-8"/>
      <sheetName val="October-9"/>
      <sheetName val="October-10"/>
      <sheetName val="October-11"/>
      <sheetName val="October-12"/>
      <sheetName val="October-14"/>
      <sheetName val="October-15"/>
      <sheetName val="October-16"/>
      <sheetName val="October-17"/>
      <sheetName val="October-18"/>
      <sheetName val="October-21"/>
      <sheetName val="October-22"/>
      <sheetName val="October-23"/>
      <sheetName val="October-24"/>
      <sheetName val="October-26"/>
      <sheetName val="October-27"/>
      <sheetName val="October-28"/>
      <sheetName val="October-29"/>
      <sheetName val="November-4"/>
      <sheetName val="November-5"/>
      <sheetName val="November-6"/>
      <sheetName val="November-7"/>
      <sheetName val="November-8"/>
      <sheetName val="November-9"/>
      <sheetName val="November-10"/>
      <sheetName val="November-11"/>
      <sheetName val="November-12"/>
      <sheetName val="November-13"/>
      <sheetName val="November-14"/>
      <sheetName val="November-15"/>
      <sheetName val="November-16"/>
      <sheetName val="November-17"/>
      <sheetName val="November-18"/>
      <sheetName val="November-19"/>
      <sheetName val="November-20"/>
      <sheetName val="November-21"/>
      <sheetName val="November-22"/>
      <sheetName val="November-23"/>
      <sheetName val="November-24"/>
      <sheetName val="November-25"/>
      <sheetName val="November-26"/>
      <sheetName val="November-27"/>
      <sheetName val="November-28"/>
      <sheetName val="November-29"/>
      <sheetName val="December-1"/>
      <sheetName val="December-2"/>
      <sheetName val="December-3"/>
      <sheetName val="December-4"/>
      <sheetName val="December-5"/>
      <sheetName val="December-6"/>
      <sheetName val="December-9"/>
      <sheetName val="December-10"/>
      <sheetName val="December-11"/>
      <sheetName val="December-12"/>
      <sheetName val="December-13"/>
      <sheetName val="December-14"/>
      <sheetName val="December-16"/>
      <sheetName val="December-17"/>
      <sheetName val="December-18"/>
      <sheetName val="December-19"/>
      <sheetName val="December-20"/>
      <sheetName val="December-22"/>
      <sheetName val="December-23"/>
      <sheetName val="December-24"/>
      <sheetName val="December-27"/>
      <sheetName val="December-30"/>
      <sheetName val="December-31"/>
      <sheetName val="January-2 "/>
      <sheetName val="January-3"/>
      <sheetName val="January-4"/>
      <sheetName val="January-7"/>
      <sheetName val="January-8"/>
      <sheetName val="January-9"/>
      <sheetName val="January-10"/>
      <sheetName val="January-11"/>
      <sheetName val="January-13"/>
      <sheetName val="January-14"/>
      <sheetName val="January-15"/>
      <sheetName val="January-16"/>
      <sheetName val="January-17"/>
      <sheetName val="January-20"/>
      <sheetName val="January-21"/>
      <sheetName val="January-22"/>
      <sheetName val="Janurary-23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 refreshError="1"/>
      <sheetData sheetId="698">
        <row r="4">
          <cell r="E4" t="str">
            <v>MTD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Summary March '26"/>
      <sheetName val="Summary February '26"/>
      <sheetName val="Summary January '26"/>
      <sheetName val="Packaging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52">
          <cell r="AS52">
            <v>104.87426366689108</v>
          </cell>
        </row>
        <row r="53">
          <cell r="AS53">
            <v>101.76112094286238</v>
          </cell>
        </row>
        <row r="54">
          <cell r="AS54">
            <v>95.359527283738572</v>
          </cell>
        </row>
        <row r="55">
          <cell r="AS55">
            <v>95.527344703430927</v>
          </cell>
        </row>
        <row r="56">
          <cell r="AS56">
            <v>100.07660336606865</v>
          </cell>
        </row>
        <row r="57">
          <cell r="AS57">
            <v>99.467327733929991</v>
          </cell>
        </row>
        <row r="58">
          <cell r="AS58">
            <v>99.703032511968686</v>
          </cell>
        </row>
        <row r="59">
          <cell r="AS59">
            <v>97.74414704454891</v>
          </cell>
        </row>
        <row r="60">
          <cell r="AS60">
            <v>98.138276669728526</v>
          </cell>
        </row>
        <row r="61">
          <cell r="AS61">
            <v>100.18497924496634</v>
          </cell>
        </row>
        <row r="62">
          <cell r="AS62">
            <v>98.239543519521192</v>
          </cell>
        </row>
        <row r="63">
          <cell r="AS63">
            <v>98.533695545018929</v>
          </cell>
        </row>
        <row r="64">
          <cell r="AS64">
            <v>106.23422780270799</v>
          </cell>
        </row>
        <row r="65">
          <cell r="AS65">
            <v>101.82543081774969</v>
          </cell>
        </row>
        <row r="66">
          <cell r="AS66">
            <v>95.866364717151924</v>
          </cell>
        </row>
        <row r="67">
          <cell r="AS67">
            <v>103.14086541165727</v>
          </cell>
        </row>
        <row r="68">
          <cell r="AS68">
            <v>98.629167060203699</v>
          </cell>
        </row>
        <row r="69">
          <cell r="AS69">
            <v>98.859186647542359</v>
          </cell>
        </row>
        <row r="70">
          <cell r="AS70">
            <v>96.813810190504412</v>
          </cell>
        </row>
        <row r="71">
          <cell r="AS71">
            <v>99.638493421142599</v>
          </cell>
        </row>
        <row r="72">
          <cell r="AS72">
            <v>99.741578008131555</v>
          </cell>
        </row>
        <row r="73">
          <cell r="AS73">
            <v>100.21398306039248</v>
          </cell>
        </row>
        <row r="74">
          <cell r="AS74">
            <v>95.650862133364953</v>
          </cell>
        </row>
        <row r="75">
          <cell r="AS75">
            <v>98.001099487384138</v>
          </cell>
        </row>
        <row r="76">
          <cell r="AS76">
            <v>97.461393370976353</v>
          </cell>
        </row>
        <row r="77">
          <cell r="AS77">
            <v>98.255217290461545</v>
          </cell>
        </row>
        <row r="78">
          <cell r="AS78">
            <v>99.546243435804755</v>
          </cell>
        </row>
        <row r="79">
          <cell r="AS79">
            <v>98.33017402501261</v>
          </cell>
        </row>
        <row r="80">
          <cell r="AS80">
            <v>98.333997846966298</v>
          </cell>
        </row>
        <row r="81">
          <cell r="AS81">
            <v>94.60432549058099</v>
          </cell>
        </row>
        <row r="83">
          <cell r="AS83">
            <v>94.60432549058099</v>
          </cell>
        </row>
        <row r="84">
          <cell r="AS84">
            <v>99.47104784488721</v>
          </cell>
        </row>
        <row r="85">
          <cell r="AS85">
            <v>99.198378090715636</v>
          </cell>
        </row>
        <row r="86">
          <cell r="AS86">
            <v>98.651407682761771</v>
          </cell>
        </row>
        <row r="87">
          <cell r="AS87">
            <v>95.500399540574435</v>
          </cell>
        </row>
        <row r="88">
          <cell r="AS88">
            <v>97.387098904762667</v>
          </cell>
        </row>
        <row r="89">
          <cell r="AS89">
            <v>93.977530506802793</v>
          </cell>
        </row>
        <row r="90">
          <cell r="AS90">
            <v>103.98288970906668</v>
          </cell>
        </row>
        <row r="91">
          <cell r="AS91">
            <v>95.88635207026536</v>
          </cell>
        </row>
        <row r="92">
          <cell r="AS92">
            <v>97.555318567088662</v>
          </cell>
        </row>
        <row r="93">
          <cell r="AS93">
            <v>98.651407682761771</v>
          </cell>
        </row>
        <row r="94">
          <cell r="AS94">
            <v>98.885347309806249</v>
          </cell>
        </row>
        <row r="95">
          <cell r="AS95">
            <v>97.116026980207323</v>
          </cell>
        </row>
        <row r="96">
          <cell r="AS96">
            <v>98.047046969958473</v>
          </cell>
        </row>
        <row r="97">
          <cell r="AS97">
            <v>98.368823692109089</v>
          </cell>
        </row>
        <row r="98">
          <cell r="AS98">
            <v>96.689071563521296</v>
          </cell>
        </row>
        <row r="99">
          <cell r="AS99">
            <v>99.344647215577908</v>
          </cell>
        </row>
        <row r="100">
          <cell r="AS100">
            <v>99.146354506564776</v>
          </cell>
        </row>
        <row r="101">
          <cell r="AS101">
            <v>96.667077258035434</v>
          </cell>
        </row>
        <row r="102">
          <cell r="AS102">
            <v>97.440413876099711</v>
          </cell>
        </row>
        <row r="103">
          <cell r="AS103">
            <v>98.7497690885385</v>
          </cell>
        </row>
        <row r="104">
          <cell r="AS104">
            <v>99.321694799161747</v>
          </cell>
        </row>
        <row r="105">
          <cell r="AS105">
            <v>100.46208508570412</v>
          </cell>
        </row>
        <row r="106">
          <cell r="AS106">
            <v>100.43231059698405</v>
          </cell>
        </row>
        <row r="107">
          <cell r="AS107">
            <v>95.835506022405141</v>
          </cell>
        </row>
        <row r="108">
          <cell r="AS108">
            <v>96.762123724352961</v>
          </cell>
        </row>
        <row r="109">
          <cell r="AS109">
            <v>99.760146592752164</v>
          </cell>
        </row>
        <row r="110">
          <cell r="AS110">
            <v>111.40726919026143</v>
          </cell>
        </row>
        <row r="111">
          <cell r="AS111">
            <v>93.624091427861956</v>
          </cell>
        </row>
        <row r="112">
          <cell r="AS112">
            <v>99.584274797583333</v>
          </cell>
        </row>
        <row r="113">
          <cell r="AS113">
            <v>99.70978306370283</v>
          </cell>
        </row>
        <row r="114">
          <cell r="AS114">
            <v>97.110300140907029</v>
          </cell>
        </row>
        <row r="115">
          <cell r="AS115">
            <v>92.705086039935708</v>
          </cell>
        </row>
        <row r="116">
          <cell r="AS116">
            <v>97.080519007256299</v>
          </cell>
        </row>
        <row r="117">
          <cell r="AS117">
            <v>97.541311782322396</v>
          </cell>
        </row>
        <row r="118">
          <cell r="AS118">
            <v>97.594273454571933</v>
          </cell>
        </row>
        <row r="119">
          <cell r="AS119">
            <v>92.293331261823425</v>
          </cell>
        </row>
        <row r="120">
          <cell r="AS120">
            <v>97.343784830508056</v>
          </cell>
        </row>
        <row r="121">
          <cell r="AS121">
            <v>96.622655969201077</v>
          </cell>
        </row>
        <row r="122">
          <cell r="AS122">
            <v>99.627850959740556</v>
          </cell>
        </row>
        <row r="123">
          <cell r="AS123">
            <v>95.822053579237433</v>
          </cell>
        </row>
        <row r="124">
          <cell r="AS124">
            <v>92.078533418077527</v>
          </cell>
        </row>
        <row r="134">
          <cell r="A134" t="str">
            <v>ST082</v>
          </cell>
          <cell r="P134">
            <v>62</v>
          </cell>
          <cell r="Q134">
            <v>17.451923076923066</v>
          </cell>
          <cell r="T134">
            <v>0.47499999999999998</v>
          </cell>
          <cell r="U134">
            <v>0.58680555555555558</v>
          </cell>
          <cell r="V134">
            <v>58</v>
          </cell>
          <cell r="AB134">
            <v>52</v>
          </cell>
          <cell r="AE134">
            <v>12</v>
          </cell>
          <cell r="AG134">
            <v>48</v>
          </cell>
          <cell r="AS134">
            <v>97.537234970496229</v>
          </cell>
          <cell r="AT134">
            <v>97.840911016249095</v>
          </cell>
          <cell r="AV134" t="str">
            <v>D. Gomaz</v>
          </cell>
          <cell r="AW134">
            <v>0.2951388888888889</v>
          </cell>
        </row>
        <row r="135">
          <cell r="A135" t="str">
            <v>ST083</v>
          </cell>
          <cell r="P135">
            <v>60</v>
          </cell>
          <cell r="Q135">
            <v>15.144230769230768</v>
          </cell>
          <cell r="T135">
            <v>0.56944444444444442</v>
          </cell>
          <cell r="U135">
            <v>0.6791666666666667</v>
          </cell>
          <cell r="V135">
            <v>53</v>
          </cell>
          <cell r="AB135">
            <v>52</v>
          </cell>
          <cell r="AE135">
            <v>12.3</v>
          </cell>
          <cell r="AG135">
            <v>47.6</v>
          </cell>
          <cell r="AS135">
            <v>100.40321390300859</v>
          </cell>
          <cell r="AT135">
            <v>100.71486801507319</v>
          </cell>
          <cell r="AV135" t="str">
            <v>D. Gomaz</v>
          </cell>
          <cell r="AW135">
            <v>0.25208333333333338</v>
          </cell>
        </row>
        <row r="136">
          <cell r="A136" t="str">
            <v>ST084</v>
          </cell>
          <cell r="P136">
            <v>61</v>
          </cell>
          <cell r="Q136">
            <v>15.72115384615384</v>
          </cell>
          <cell r="T136">
            <v>0.67152777777777772</v>
          </cell>
          <cell r="U136">
            <v>0.77500000000000002</v>
          </cell>
          <cell r="V136">
            <v>52</v>
          </cell>
          <cell r="AB136">
            <v>52</v>
          </cell>
          <cell r="AE136">
            <v>12</v>
          </cell>
          <cell r="AG136">
            <v>46.8</v>
          </cell>
          <cell r="AS136">
            <v>96.434077770876058</v>
          </cell>
          <cell r="AT136">
            <v>96.733207060749976</v>
          </cell>
          <cell r="AV136" t="str">
            <v>K. Benjamin</v>
          </cell>
          <cell r="AW136">
            <v>0.25416666666666665</v>
          </cell>
        </row>
        <row r="137">
          <cell r="A137" t="str">
            <v>ST085</v>
          </cell>
          <cell r="P137">
            <v>62</v>
          </cell>
          <cell r="Q137">
            <v>15.72115384615384</v>
          </cell>
          <cell r="T137">
            <v>0.76388888888888884</v>
          </cell>
          <cell r="U137">
            <v>0.875</v>
          </cell>
          <cell r="V137">
            <v>58</v>
          </cell>
          <cell r="AB137">
            <v>52</v>
          </cell>
          <cell r="AE137">
            <v>12</v>
          </cell>
          <cell r="AG137">
            <v>48.1</v>
          </cell>
          <cell r="AS137">
            <v>98.484252856431482</v>
          </cell>
          <cell r="AT137">
            <v>98.7902617869333</v>
          </cell>
          <cell r="AV137" t="str">
            <v>K. Benjamin</v>
          </cell>
          <cell r="AW137">
            <v>0.25</v>
          </cell>
        </row>
        <row r="138">
          <cell r="A138" t="str">
            <v>ST086</v>
          </cell>
          <cell r="P138">
            <v>62</v>
          </cell>
          <cell r="Q138">
            <v>14.567307692307685</v>
          </cell>
          <cell r="T138">
            <v>0.2326388888888889</v>
          </cell>
          <cell r="U138">
            <v>0.34236111111111112</v>
          </cell>
          <cell r="V138">
            <v>52</v>
          </cell>
          <cell r="AB138">
            <v>52</v>
          </cell>
          <cell r="AE138">
            <v>11.9</v>
          </cell>
          <cell r="AG138">
            <v>47</v>
          </cell>
          <cell r="AS138">
            <v>95.389217922687735</v>
          </cell>
          <cell r="AT138">
            <v>95.685610002754359</v>
          </cell>
          <cell r="AV138" t="str">
            <v>K. Benjamin</v>
          </cell>
          <cell r="AW138">
            <v>0.26944444444444443</v>
          </cell>
        </row>
        <row r="139">
          <cell r="A139" t="str">
            <v>ST087</v>
          </cell>
          <cell r="P139">
            <v>60</v>
          </cell>
          <cell r="Q139">
            <v>17.226487523992326</v>
          </cell>
          <cell r="T139">
            <v>0.33750000000000002</v>
          </cell>
          <cell r="U139">
            <v>0.44791666666666669</v>
          </cell>
          <cell r="V139">
            <v>56</v>
          </cell>
          <cell r="AB139">
            <v>52.1</v>
          </cell>
          <cell r="AE139">
            <v>12</v>
          </cell>
          <cell r="AG139">
            <v>48.4</v>
          </cell>
          <cell r="AS139">
            <v>99.224351098396042</v>
          </cell>
          <cell r="AT139">
            <v>99.532555363575838</v>
          </cell>
          <cell r="AV139" t="str">
            <v>R. Regis</v>
          </cell>
          <cell r="AW139">
            <v>0.24652777777777779</v>
          </cell>
        </row>
        <row r="140">
          <cell r="A140" t="str">
            <v>ST088</v>
          </cell>
          <cell r="P140">
            <v>60</v>
          </cell>
          <cell r="Q140">
            <v>12.005649717514123</v>
          </cell>
          <cell r="T140">
            <v>0.44305555555555554</v>
          </cell>
          <cell r="U140">
            <v>0.55555555555555558</v>
          </cell>
          <cell r="V140">
            <v>60</v>
          </cell>
          <cell r="AB140">
            <v>53.1</v>
          </cell>
          <cell r="AE140">
            <v>11.8</v>
          </cell>
          <cell r="AG140">
            <v>49.5</v>
          </cell>
          <cell r="AS140">
            <v>99.32353232094539</v>
          </cell>
          <cell r="AT140">
            <v>99.632357042908112</v>
          </cell>
          <cell r="AV140" t="str">
            <v>R. Regis</v>
          </cell>
          <cell r="AW140">
            <v>0.26736111111111116</v>
          </cell>
        </row>
        <row r="141">
          <cell r="A141" t="str">
            <v>ST089</v>
          </cell>
          <cell r="P141">
            <v>60</v>
          </cell>
          <cell r="Q141">
            <v>14.077212806026369</v>
          </cell>
          <cell r="T141">
            <v>0.54236111111111107</v>
          </cell>
          <cell r="U141">
            <v>0.65208333333333335</v>
          </cell>
          <cell r="V141">
            <v>61</v>
          </cell>
          <cell r="AB141">
            <v>53.1</v>
          </cell>
          <cell r="AE141">
            <v>11.8</v>
          </cell>
          <cell r="AG141">
            <v>49.4</v>
          </cell>
          <cell r="AS141">
            <v>98.997632648360266</v>
          </cell>
          <cell r="AT141">
            <v>99.305547319859897</v>
          </cell>
          <cell r="AV141" t="str">
            <v>R. Regis</v>
          </cell>
          <cell r="AW141">
            <v>0.24583333333333335</v>
          </cell>
        </row>
        <row r="142">
          <cell r="A142" t="str">
            <v>ST090</v>
          </cell>
          <cell r="P142">
            <v>60</v>
          </cell>
          <cell r="Q142">
            <v>15.772128060263654</v>
          </cell>
          <cell r="T142">
            <v>0.64444444444444449</v>
          </cell>
          <cell r="U142">
            <v>0.75555555555555554</v>
          </cell>
          <cell r="V142">
            <v>61</v>
          </cell>
          <cell r="AB142">
            <v>53.1</v>
          </cell>
          <cell r="AE142">
            <v>11.7</v>
          </cell>
          <cell r="AG142">
            <v>48.7</v>
          </cell>
          <cell r="AS142">
            <v>97.463760265996399</v>
          </cell>
          <cell r="AT142">
            <v>97.766290239723318</v>
          </cell>
          <cell r="AV142" t="str">
            <v>D. Gomaz</v>
          </cell>
          <cell r="AW142">
            <v>0.25555555555555554</v>
          </cell>
        </row>
        <row r="143">
          <cell r="A143" t="str">
            <v>ST091</v>
          </cell>
          <cell r="P143">
            <v>61</v>
          </cell>
          <cell r="Q143">
            <v>14.453860640301313</v>
          </cell>
          <cell r="T143">
            <v>0.73124999999999996</v>
          </cell>
          <cell r="U143">
            <v>0.84027777777777779</v>
          </cell>
          <cell r="V143">
            <v>57</v>
          </cell>
          <cell r="AB143">
            <v>53.1</v>
          </cell>
          <cell r="AE143">
            <v>11.7</v>
          </cell>
          <cell r="AG143">
            <v>49.6</v>
          </cell>
          <cell r="AS143">
            <v>98.264063319970077</v>
          </cell>
          <cell r="AT143">
            <v>98.569900574733254</v>
          </cell>
          <cell r="AV143" t="str">
            <v>D. Gomaz</v>
          </cell>
          <cell r="AW143">
            <v>0.24652777777777779</v>
          </cell>
        </row>
        <row r="144">
          <cell r="A144" t="str">
            <v>ST092</v>
          </cell>
          <cell r="P144">
            <v>60</v>
          </cell>
          <cell r="Q144">
            <v>13.700564971751408</v>
          </cell>
          <cell r="T144">
            <v>0.82291666666666663</v>
          </cell>
          <cell r="U144">
            <v>0.97152777777777777</v>
          </cell>
          <cell r="V144">
            <v>61</v>
          </cell>
          <cell r="AB144">
            <v>53.1</v>
          </cell>
          <cell r="AE144">
            <v>11.8</v>
          </cell>
          <cell r="AG144">
            <v>49.3</v>
          </cell>
          <cell r="AS144">
            <v>98.548192719950322</v>
          </cell>
          <cell r="AT144">
            <v>98.854914299590291</v>
          </cell>
          <cell r="AV144" t="str">
            <v>D. Gomaz</v>
          </cell>
          <cell r="AW144">
            <v>0.28749999999999998</v>
          </cell>
        </row>
        <row r="145">
          <cell r="A145" t="str">
            <v>ST093</v>
          </cell>
          <cell r="P145">
            <v>60</v>
          </cell>
          <cell r="Q145">
            <v>13.700564971751408</v>
          </cell>
          <cell r="T145">
            <v>0.94444444444444442</v>
          </cell>
          <cell r="U145">
            <v>1.0798611111111112</v>
          </cell>
          <cell r="V145">
            <v>96</v>
          </cell>
          <cell r="AB145">
            <v>53.1</v>
          </cell>
          <cell r="AE145">
            <v>11.8</v>
          </cell>
          <cell r="AG145">
            <v>49.5</v>
          </cell>
          <cell r="AS145">
            <v>98.823429599635432</v>
          </cell>
          <cell r="AT145">
            <v>99.131110131461384</v>
          </cell>
          <cell r="AV145" t="str">
            <v>D. Gomaz</v>
          </cell>
          <cell r="AW145">
            <v>0.30555555555555558</v>
          </cell>
        </row>
        <row r="146">
          <cell r="A146" t="str">
            <v>ST094</v>
          </cell>
          <cell r="P146">
            <v>64</v>
          </cell>
          <cell r="Q146">
            <v>8.8207547169811278</v>
          </cell>
          <cell r="T146">
            <v>1.1312500000000001</v>
          </cell>
          <cell r="U146">
            <v>1.2562500000000001</v>
          </cell>
          <cell r="V146">
            <v>58</v>
          </cell>
          <cell r="AB146">
            <v>53</v>
          </cell>
          <cell r="AE146">
            <v>12.1</v>
          </cell>
          <cell r="AG146">
            <v>49</v>
          </cell>
          <cell r="AS146">
            <v>100.44128447905582</v>
          </cell>
          <cell r="AT146">
            <v>100.75400210028187</v>
          </cell>
          <cell r="AV146" t="str">
            <v>K. Benjamin</v>
          </cell>
          <cell r="AW146">
            <v>0.26319444444444451</v>
          </cell>
        </row>
        <row r="147">
          <cell r="A147" t="str">
            <v>ST095</v>
          </cell>
          <cell r="P147">
            <v>61</v>
          </cell>
          <cell r="Q147">
            <v>15.613207547169807</v>
          </cell>
          <cell r="T147">
            <v>0.22777777777777777</v>
          </cell>
          <cell r="U147">
            <v>0.34236111111111112</v>
          </cell>
          <cell r="V147">
            <v>60</v>
          </cell>
          <cell r="AB147">
            <v>53</v>
          </cell>
          <cell r="AE147">
            <v>12.1</v>
          </cell>
          <cell r="AG147">
            <v>48.5</v>
          </cell>
          <cell r="AS147">
            <v>99.541673683507312</v>
          </cell>
          <cell r="AT147">
            <v>99.851487375159422</v>
          </cell>
          <cell r="AV147" t="str">
            <v>K. Benjamin</v>
          </cell>
          <cell r="AW147">
            <v>0.25208333333333333</v>
          </cell>
        </row>
        <row r="148">
          <cell r="A148" t="str">
            <v>ST096</v>
          </cell>
          <cell r="P148">
            <v>60</v>
          </cell>
          <cell r="Q148">
            <v>14.453860640301313</v>
          </cell>
          <cell r="T148">
            <v>0.31388888888888888</v>
          </cell>
          <cell r="U148">
            <v>0.42638888888888887</v>
          </cell>
          <cell r="V148">
            <v>62</v>
          </cell>
          <cell r="AB148">
            <v>53.1</v>
          </cell>
          <cell r="AE148">
            <v>11.7</v>
          </cell>
          <cell r="AG148">
            <v>49.9</v>
          </cell>
          <cell r="AS148">
            <v>98.983156674800313</v>
          </cell>
          <cell r="AT148">
            <v>99.291129308897936</v>
          </cell>
          <cell r="AV148" t="str">
            <v>D. Gomaz</v>
          </cell>
          <cell r="AW148">
            <v>0.24583333333333332</v>
          </cell>
        </row>
        <row r="149">
          <cell r="A149" t="str">
            <v>ST097</v>
          </cell>
          <cell r="P149">
            <v>60</v>
          </cell>
          <cell r="Q149">
            <v>15.583804143126173</v>
          </cell>
          <cell r="T149">
            <v>0.41597222222222224</v>
          </cell>
          <cell r="U149">
            <v>0.52361111111111114</v>
          </cell>
          <cell r="V149">
            <v>61</v>
          </cell>
          <cell r="AB149">
            <v>53.1</v>
          </cell>
          <cell r="AE149">
            <v>11.8</v>
          </cell>
          <cell r="AG149">
            <v>49.4</v>
          </cell>
          <cell r="AS149">
            <v>98.87270268473425</v>
          </cell>
          <cell r="AT149">
            <v>99.180331656259284</v>
          </cell>
          <cell r="AV149" t="str">
            <v>D. Gomaz</v>
          </cell>
          <cell r="AW149">
            <v>0.25277777777777782</v>
          </cell>
        </row>
        <row r="150">
          <cell r="A150" t="str">
            <v>ST098</v>
          </cell>
          <cell r="P150">
            <v>60</v>
          </cell>
          <cell r="Q150">
            <v>15.583804143126173</v>
          </cell>
          <cell r="T150">
            <v>0.63680555555555551</v>
          </cell>
          <cell r="U150">
            <v>0.74722222222222223</v>
          </cell>
          <cell r="V150">
            <v>58</v>
          </cell>
          <cell r="AB150">
            <v>53.1</v>
          </cell>
          <cell r="AE150">
            <v>12</v>
          </cell>
          <cell r="AG150">
            <v>46.3</v>
          </cell>
          <cell r="AS150">
            <v>93.677898473705298</v>
          </cell>
          <cell r="AT150">
            <v>94.852913783619456</v>
          </cell>
          <cell r="AV150" t="str">
            <v>D. Gomaz</v>
          </cell>
          <cell r="AW150">
            <v>0.24722222222222223</v>
          </cell>
        </row>
        <row r="151">
          <cell r="A151" t="str">
            <v>ST099</v>
          </cell>
          <cell r="P151">
            <v>64</v>
          </cell>
          <cell r="Q151">
            <v>15.018832391713749</v>
          </cell>
          <cell r="T151">
            <v>0.73124999999999996</v>
          </cell>
          <cell r="U151">
            <v>0.84027777777777779</v>
          </cell>
          <cell r="V151">
            <v>53</v>
          </cell>
          <cell r="AB151">
            <v>53.1</v>
          </cell>
          <cell r="AE151">
            <v>12</v>
          </cell>
          <cell r="AG151">
            <v>48.7</v>
          </cell>
          <cell r="AS151">
            <v>96.09626744823305</v>
          </cell>
          <cell r="AT151">
            <v>97.309514547587241</v>
          </cell>
          <cell r="AV151" t="str">
            <v>D. Gomaz</v>
          </cell>
          <cell r="AW151">
            <v>0.25</v>
          </cell>
        </row>
        <row r="152">
          <cell r="A152" t="str">
            <v>ST100</v>
          </cell>
          <cell r="P152">
            <v>60</v>
          </cell>
          <cell r="Q152">
            <v>16.148775894538613</v>
          </cell>
          <cell r="T152">
            <v>0.82152777777777775</v>
          </cell>
          <cell r="U152">
            <v>0.93125000000000002</v>
          </cell>
          <cell r="V152">
            <v>55</v>
          </cell>
          <cell r="AB152">
            <v>53.1</v>
          </cell>
          <cell r="AE152">
            <v>11.9</v>
          </cell>
          <cell r="AG152">
            <v>48.5</v>
          </cell>
          <cell r="AS152">
            <v>97.393225185801398</v>
          </cell>
          <cell r="AT152">
            <v>98.614431511830219</v>
          </cell>
          <cell r="AV152" t="str">
            <v>R. Regis</v>
          </cell>
          <cell r="AW152">
            <v>0.25069444444444444</v>
          </cell>
        </row>
        <row r="153">
          <cell r="A153" t="str">
            <v>ST101</v>
          </cell>
          <cell r="P153">
            <v>60</v>
          </cell>
          <cell r="Q153">
            <v>15.960451977401133</v>
          </cell>
          <cell r="T153">
            <v>0.91388888888888886</v>
          </cell>
          <cell r="U153">
            <v>1.0249999999999999</v>
          </cell>
          <cell r="V153">
            <v>60</v>
          </cell>
          <cell r="AB153">
            <v>53.1</v>
          </cell>
          <cell r="AE153">
            <v>11.8</v>
          </cell>
          <cell r="AG153">
            <v>50</v>
          </cell>
          <cell r="AS153">
            <v>99.51827092226965</v>
          </cell>
          <cell r="AT153">
            <v>100.76612303697139</v>
          </cell>
          <cell r="AV153" t="str">
            <v>R. Regis</v>
          </cell>
          <cell r="AW153">
            <v>0.25416666666666654</v>
          </cell>
        </row>
        <row r="154">
          <cell r="A154" t="str">
            <v>ST102</v>
          </cell>
          <cell r="P154">
            <v>60</v>
          </cell>
          <cell r="Q154">
            <v>16.902071563088512</v>
          </cell>
          <cell r="T154">
            <v>1.0138888888888888</v>
          </cell>
          <cell r="U154">
            <v>1.1305555555555555</v>
          </cell>
          <cell r="V154">
            <v>60</v>
          </cell>
          <cell r="AB154">
            <v>53.1</v>
          </cell>
          <cell r="AE154">
            <v>11.8</v>
          </cell>
          <cell r="AG154">
            <v>49.7</v>
          </cell>
          <cell r="AS154">
            <v>98.297037775048096</v>
          </cell>
          <cell r="AT154">
            <v>99.531639869366273</v>
          </cell>
          <cell r="AV154" t="str">
            <v>R. Regis</v>
          </cell>
          <cell r="AW154">
            <v>0.25555555555555554</v>
          </cell>
        </row>
        <row r="155">
          <cell r="A155" t="str">
            <v>ST103</v>
          </cell>
          <cell r="P155">
            <v>60</v>
          </cell>
          <cell r="Q155">
            <v>17.843691148775896</v>
          </cell>
          <cell r="T155">
            <v>1.1152777777777778</v>
          </cell>
          <cell r="U155">
            <v>1.2375</v>
          </cell>
          <cell r="V155">
            <v>61</v>
          </cell>
          <cell r="AB155">
            <v>53.1</v>
          </cell>
          <cell r="AE155">
            <v>11.9</v>
          </cell>
          <cell r="AG155">
            <v>49.4</v>
          </cell>
          <cell r="AS155">
            <v>98.699180649962642</v>
          </cell>
          <cell r="AT155">
            <v>99.938421436047975</v>
          </cell>
          <cell r="AV155" t="str">
            <v>R. Regis</v>
          </cell>
          <cell r="AW155">
            <v>0.25833333333333341</v>
          </cell>
        </row>
        <row r="156">
          <cell r="A156" t="str">
            <v>ST104</v>
          </cell>
          <cell r="P156">
            <v>60</v>
          </cell>
          <cell r="Q156">
            <v>16.337099811676076</v>
          </cell>
          <cell r="T156">
            <v>0.21388888888888888</v>
          </cell>
          <cell r="U156">
            <v>0.33611111111111114</v>
          </cell>
          <cell r="V156">
            <v>59</v>
          </cell>
          <cell r="AB156">
            <v>53.1</v>
          </cell>
          <cell r="AE156">
            <v>12</v>
          </cell>
          <cell r="AG156">
            <v>49.3</v>
          </cell>
          <cell r="AS156">
            <v>99.709379094868325</v>
          </cell>
          <cell r="AT156">
            <v>100.49076902293916</v>
          </cell>
          <cell r="AV156" t="str">
            <v>R. Regis</v>
          </cell>
          <cell r="AW156">
            <v>0.25972222222222224</v>
          </cell>
        </row>
        <row r="157">
          <cell r="A157" t="str">
            <v>ST105</v>
          </cell>
          <cell r="P157">
            <v>60</v>
          </cell>
          <cell r="Q157">
            <v>15.772128060263654</v>
          </cell>
          <cell r="T157">
            <v>0.31527777777777777</v>
          </cell>
          <cell r="U157">
            <v>0.43402777777777779</v>
          </cell>
          <cell r="V157">
            <v>61</v>
          </cell>
          <cell r="AB157">
            <v>53.1</v>
          </cell>
          <cell r="AE157">
            <v>11.9</v>
          </cell>
          <cell r="AG157">
            <v>49.6</v>
          </cell>
          <cell r="AS157">
            <v>99.20510217019843</v>
          </cell>
          <cell r="AT157">
            <v>100.21682485860228</v>
          </cell>
          <cell r="AV157" t="str">
            <v>R. Regis</v>
          </cell>
          <cell r="AW157">
            <v>0.25694444444444442</v>
          </cell>
        </row>
        <row r="158">
          <cell r="A158" t="str">
            <v>ST106</v>
          </cell>
          <cell r="P158">
            <v>55</v>
          </cell>
          <cell r="Q158">
            <v>12.947269303201505</v>
          </cell>
          <cell r="T158">
            <v>0.77916666666666667</v>
          </cell>
          <cell r="U158">
            <v>0.88611111111111107</v>
          </cell>
          <cell r="V158">
            <v>56</v>
          </cell>
          <cell r="AB158">
            <v>53.1</v>
          </cell>
          <cell r="AE158">
            <v>11.8</v>
          </cell>
          <cell r="AG158">
            <v>48.6</v>
          </cell>
          <cell r="AS158">
            <v>95.967564626079536</v>
          </cell>
          <cell r="AT158">
            <v>96.720479613745113</v>
          </cell>
          <cell r="AV158" t="str">
            <v>R. Regis</v>
          </cell>
          <cell r="AW158">
            <v>0.25763888888888886</v>
          </cell>
        </row>
        <row r="159">
          <cell r="A159" t="str">
            <v>ST107</v>
          </cell>
          <cell r="P159">
            <v>57</v>
          </cell>
          <cell r="Q159">
            <v>13.323917137476466</v>
          </cell>
          <cell r="T159">
            <v>0.89027777777777772</v>
          </cell>
          <cell r="U159">
            <v>1</v>
          </cell>
          <cell r="V159">
            <v>58</v>
          </cell>
          <cell r="AB159">
            <v>53.1</v>
          </cell>
          <cell r="AE159">
            <v>12</v>
          </cell>
          <cell r="AG159">
            <v>49.4</v>
          </cell>
          <cell r="AS159">
            <v>99.038293072120226</v>
          </cell>
          <cell r="AT159">
            <v>99.815807030838158</v>
          </cell>
          <cell r="AV159" t="str">
            <v>R. Regis</v>
          </cell>
          <cell r="AW159">
            <v>0.27777777777777779</v>
          </cell>
        </row>
        <row r="160">
          <cell r="A160" t="str">
            <v>ST108</v>
          </cell>
          <cell r="P160">
            <v>65</v>
          </cell>
          <cell r="Q160">
            <v>12.005649717514123</v>
          </cell>
          <cell r="T160">
            <v>0.99305555555555558</v>
          </cell>
          <cell r="U160">
            <v>1.1111111111111112</v>
          </cell>
          <cell r="V160">
            <v>64</v>
          </cell>
          <cell r="AB160">
            <v>53.1</v>
          </cell>
          <cell r="AE160">
            <v>11.9</v>
          </cell>
          <cell r="AG160">
            <v>51.4</v>
          </cell>
          <cell r="AS160">
            <v>100.88509268187487</v>
          </cell>
          <cell r="AT160">
            <v>101.67965194298654</v>
          </cell>
          <cell r="AV160" t="str">
            <v>R.Sookram</v>
          </cell>
          <cell r="AW160">
            <v>0.28819444444444453</v>
          </cell>
        </row>
        <row r="161">
          <cell r="A161" t="str">
            <v>ST109</v>
          </cell>
          <cell r="P161">
            <v>63</v>
          </cell>
          <cell r="Q161">
            <v>12.947269303201505</v>
          </cell>
          <cell r="T161">
            <v>1.0868055555555556</v>
          </cell>
          <cell r="U161">
            <v>1.2020833333333334</v>
          </cell>
          <cell r="V161">
            <v>61</v>
          </cell>
          <cell r="AB161">
            <v>53.1</v>
          </cell>
          <cell r="AE161">
            <v>11.8</v>
          </cell>
          <cell r="AG161">
            <v>50.4</v>
          </cell>
          <cell r="AS161">
            <v>100.27544662459104</v>
          </cell>
          <cell r="AT161">
            <v>101.06060204258316</v>
          </cell>
          <cell r="AV161" t="str">
            <v>R.Sookram</v>
          </cell>
          <cell r="AW161">
            <v>0.2680555555555556</v>
          </cell>
        </row>
        <row r="162">
          <cell r="A162" t="str">
            <v>ST110</v>
          </cell>
          <cell r="P162">
            <v>45</v>
          </cell>
          <cell r="Q162">
            <v>12.687265917602994</v>
          </cell>
          <cell r="T162">
            <v>0.2722222222222222</v>
          </cell>
          <cell r="U162">
            <v>0.37152777777777779</v>
          </cell>
          <cell r="V162">
            <v>50</v>
          </cell>
          <cell r="AB162">
            <v>53.4</v>
          </cell>
          <cell r="AE162">
            <v>12</v>
          </cell>
          <cell r="AG162">
            <v>48</v>
          </cell>
          <cell r="AS162">
            <v>97.783409002966863</v>
          </cell>
          <cell r="AT162">
            <v>98.087648785303045</v>
          </cell>
          <cell r="AV162" t="str">
            <v>R.Sookram</v>
          </cell>
          <cell r="AW162">
            <v>0.25347222222222221</v>
          </cell>
        </row>
        <row r="163">
          <cell r="A163" t="str">
            <v>ST111</v>
          </cell>
          <cell r="P163">
            <v>62</v>
          </cell>
          <cell r="Q163">
            <v>10.896226415094338</v>
          </cell>
          <cell r="T163">
            <v>0.37013888888888891</v>
          </cell>
          <cell r="U163">
            <v>0.47916666666666669</v>
          </cell>
          <cell r="V163">
            <v>52</v>
          </cell>
          <cell r="AB163">
            <v>53</v>
          </cell>
          <cell r="AE163">
            <v>11.7</v>
          </cell>
          <cell r="AG163">
            <v>50</v>
          </cell>
          <cell r="AS163">
            <v>99.181519714228756</v>
          </cell>
          <cell r="AT163">
            <v>99.490109527953834</v>
          </cell>
          <cell r="AV163" t="str">
            <v>K. Benjamin</v>
          </cell>
          <cell r="AW163">
            <v>0.27777777777777779</v>
          </cell>
        </row>
        <row r="164">
          <cell r="A164" t="str">
            <v>ST112</v>
          </cell>
          <cell r="P164">
            <v>63</v>
          </cell>
          <cell r="Q164">
            <v>11.65094339622641</v>
          </cell>
          <cell r="T164">
            <v>0.47222222222222221</v>
          </cell>
          <cell r="U164">
            <v>0.58125000000000004</v>
          </cell>
          <cell r="V164">
            <v>52</v>
          </cell>
          <cell r="AB164">
            <v>53</v>
          </cell>
          <cell r="AE164">
            <v>11.7</v>
          </cell>
          <cell r="AG164">
            <v>50.1</v>
          </cell>
          <cell r="AS164">
            <v>99.254628474405266</v>
          </cell>
          <cell r="AT164">
            <v>99.563548766010811</v>
          </cell>
          <cell r="AV164" t="str">
            <v>K. Benjamin</v>
          </cell>
          <cell r="AW164">
            <v>0.26180555555555562</v>
          </cell>
        </row>
        <row r="165">
          <cell r="A165" t="str">
            <v>ST113</v>
          </cell>
          <cell r="P165">
            <v>59</v>
          </cell>
          <cell r="Q165">
            <v>11.65094339622641</v>
          </cell>
          <cell r="T165">
            <v>0.57499999999999996</v>
          </cell>
          <cell r="U165">
            <v>0.68541666666666667</v>
          </cell>
          <cell r="V165">
            <v>52</v>
          </cell>
          <cell r="AB165">
            <v>53</v>
          </cell>
          <cell r="AE165">
            <v>11.8</v>
          </cell>
          <cell r="AG165">
            <v>50</v>
          </cell>
          <cell r="AS165">
            <v>99.821646060237796</v>
          </cell>
          <cell r="AT165">
            <v>100.13243447622362</v>
          </cell>
          <cell r="AV165" t="str">
            <v>K. Benjamin</v>
          </cell>
          <cell r="AW165">
            <v>0.25833333333333336</v>
          </cell>
        </row>
        <row r="166">
          <cell r="A166" t="str">
            <v>ST114</v>
          </cell>
          <cell r="P166">
            <v>64</v>
          </cell>
          <cell r="Q166">
            <v>13.537735849056599</v>
          </cell>
          <cell r="T166">
            <v>0.68680555555555556</v>
          </cell>
          <cell r="U166">
            <v>0.8208333333333333</v>
          </cell>
          <cell r="V166">
            <v>55</v>
          </cell>
          <cell r="AB166">
            <v>53</v>
          </cell>
          <cell r="AE166">
            <v>11.9</v>
          </cell>
          <cell r="AG166">
            <v>49.7</v>
          </cell>
          <cell r="AS166">
            <v>100.23336840295755</v>
          </cell>
          <cell r="AT166">
            <v>100.54533492655028</v>
          </cell>
          <cell r="AV166" t="str">
            <v>K. Benjamin</v>
          </cell>
          <cell r="AW166">
            <v>0.29652777777777772</v>
          </cell>
        </row>
        <row r="167">
          <cell r="A167" t="str">
            <v>ST115</v>
          </cell>
          <cell r="P167">
            <v>61</v>
          </cell>
          <cell r="Q167">
            <v>12.028301886792454</v>
          </cell>
          <cell r="T167">
            <v>0.8305555555555556</v>
          </cell>
          <cell r="U167">
            <v>0.94374999999999998</v>
          </cell>
          <cell r="V167">
            <v>61</v>
          </cell>
          <cell r="AB167">
            <v>53</v>
          </cell>
          <cell r="AE167">
            <v>11.9</v>
          </cell>
          <cell r="AG167">
            <v>49.2</v>
          </cell>
          <cell r="AS167">
            <v>99.224984415000222</v>
          </cell>
          <cell r="AT167">
            <v>99.533812442379755</v>
          </cell>
          <cell r="AV167" t="str">
            <v>K. Benjamin</v>
          </cell>
          <cell r="AW167">
            <v>0.31874999999999998</v>
          </cell>
        </row>
        <row r="168">
          <cell r="A168" t="str">
            <v>ST116</v>
          </cell>
          <cell r="P168">
            <v>59</v>
          </cell>
          <cell r="Q168">
            <v>11.27358490566038</v>
          </cell>
          <cell r="T168">
            <v>0.91736111111111107</v>
          </cell>
          <cell r="U168">
            <v>1.0305555555555554</v>
          </cell>
          <cell r="V168">
            <v>63</v>
          </cell>
          <cell r="AB168">
            <v>53</v>
          </cell>
          <cell r="AE168">
            <v>11.6</v>
          </cell>
          <cell r="AG168">
            <v>50.1</v>
          </cell>
          <cell r="AS168">
            <v>97.991392065284458</v>
          </cell>
          <cell r="AT168">
            <v>98.296684223091745</v>
          </cell>
          <cell r="AV168" t="str">
            <v>D. Gomaz</v>
          </cell>
          <cell r="AW168">
            <v>0.28402777777777766</v>
          </cell>
        </row>
        <row r="169">
          <cell r="A169" t="str">
            <v>ST117</v>
          </cell>
          <cell r="P169">
            <v>61</v>
          </cell>
          <cell r="Q169">
            <v>12.570621468926548</v>
          </cell>
          <cell r="T169">
            <v>1.0097222222222222</v>
          </cell>
          <cell r="U169">
            <v>1.1222222222222222</v>
          </cell>
          <cell r="V169">
            <v>62</v>
          </cell>
          <cell r="AB169">
            <v>53.1</v>
          </cell>
          <cell r="AE169">
            <v>11.6</v>
          </cell>
          <cell r="AG169">
            <v>50.3</v>
          </cell>
          <cell r="AS169">
            <v>98.754567210015793</v>
          </cell>
          <cell r="AT169">
            <v>99.061931110005261</v>
          </cell>
          <cell r="AV169" t="str">
            <v>D. Gomaz</v>
          </cell>
          <cell r="AW169">
            <v>0.24722222222222223</v>
          </cell>
        </row>
        <row r="170">
          <cell r="A170" t="str">
            <v>ST118</v>
          </cell>
          <cell r="P170">
            <v>58</v>
          </cell>
          <cell r="Q170">
            <v>16.148775894538613</v>
          </cell>
          <cell r="T170">
            <v>0.85833333333333328</v>
          </cell>
          <cell r="U170">
            <v>0.97013888888888888</v>
          </cell>
          <cell r="V170">
            <v>59</v>
          </cell>
          <cell r="AB170">
            <v>53.1</v>
          </cell>
          <cell r="AE170">
            <v>12</v>
          </cell>
          <cell r="AG170">
            <v>47.2</v>
          </cell>
          <cell r="AS170">
            <v>95.102929375307482</v>
          </cell>
          <cell r="AT170">
            <v>95.848571053845376</v>
          </cell>
          <cell r="AV170" t="str">
            <v>R.Sookram</v>
          </cell>
          <cell r="AW170">
            <v>0.24791666666666667</v>
          </cell>
        </row>
        <row r="171">
          <cell r="A171" t="str">
            <v>ST119</v>
          </cell>
          <cell r="P171">
            <v>59</v>
          </cell>
          <cell r="Q171">
            <v>12.947269303201505</v>
          </cell>
          <cell r="T171">
            <v>0.96527777777777779</v>
          </cell>
          <cell r="U171">
            <v>1.0680555555555555</v>
          </cell>
          <cell r="V171">
            <v>51</v>
          </cell>
          <cell r="AB171">
            <v>53.1</v>
          </cell>
          <cell r="AE171">
            <v>12</v>
          </cell>
          <cell r="AG171">
            <v>49.3</v>
          </cell>
          <cell r="AS171">
            <v>99.584274797583333</v>
          </cell>
          <cell r="AT171">
            <v>100.36453640287515</v>
          </cell>
          <cell r="AV171" t="str">
            <v>R.Sookram</v>
          </cell>
          <cell r="AW171">
            <v>0.26249999999999996</v>
          </cell>
        </row>
        <row r="172">
          <cell r="A172" t="str">
            <v>ST120</v>
          </cell>
          <cell r="P172">
            <v>62</v>
          </cell>
          <cell r="Q172">
            <v>12.028301886792454</v>
          </cell>
          <cell r="T172">
            <v>1.0604166666666666</v>
          </cell>
          <cell r="U172">
            <v>1.1708333333333334</v>
          </cell>
          <cell r="V172">
            <v>51</v>
          </cell>
          <cell r="AB172">
            <v>53</v>
          </cell>
          <cell r="AE172">
            <v>12</v>
          </cell>
          <cell r="AG172">
            <v>49.3</v>
          </cell>
          <cell r="AS172">
            <v>99.459082097726125</v>
          </cell>
          <cell r="AT172">
            <v>100.2386205220124</v>
          </cell>
          <cell r="AV172" t="str">
            <v>K. Benjamin</v>
          </cell>
          <cell r="AW172">
            <v>0.25763888888888897</v>
          </cell>
        </row>
        <row r="173">
          <cell r="A173" t="str">
            <v>ST121</v>
          </cell>
          <cell r="P173">
            <v>60</v>
          </cell>
          <cell r="Q173">
            <v>11.462264150943389</v>
          </cell>
          <cell r="T173">
            <v>1.1472222222222221</v>
          </cell>
          <cell r="U173">
            <v>1.2597222222222222</v>
          </cell>
          <cell r="V173">
            <v>56</v>
          </cell>
          <cell r="AB173">
            <v>53</v>
          </cell>
          <cell r="AE173">
            <v>11.9</v>
          </cell>
          <cell r="AG173">
            <v>50</v>
          </cell>
          <cell r="AS173">
            <v>99.987853202533756</v>
          </cell>
          <cell r="AT173">
            <v>100.77153601851514</v>
          </cell>
          <cell r="AV173" t="str">
            <v>K. Benjamin</v>
          </cell>
          <cell r="AW173">
            <v>0.24583333333333335</v>
          </cell>
        </row>
        <row r="174">
          <cell r="A174" t="str">
            <v>ST122</v>
          </cell>
          <cell r="P174">
            <v>60</v>
          </cell>
          <cell r="Q174">
            <v>10.896226415094338</v>
          </cell>
          <cell r="T174">
            <v>0.2326388888888889</v>
          </cell>
          <cell r="U174">
            <v>0.34097222222222223</v>
          </cell>
          <cell r="V174">
            <v>57</v>
          </cell>
          <cell r="AB174">
            <v>53</v>
          </cell>
          <cell r="AE174">
            <v>11.8</v>
          </cell>
          <cell r="AG174">
            <v>50.5</v>
          </cell>
          <cell r="AS174">
            <v>99.844431138440441</v>
          </cell>
          <cell r="AT174">
            <v>100.6275053531178</v>
          </cell>
          <cell r="AV174" t="str">
            <v>K. Benjamin</v>
          </cell>
          <cell r="AW174">
            <v>0.23680555555555555</v>
          </cell>
        </row>
        <row r="175">
          <cell r="A175" t="str">
            <v>ST123</v>
          </cell>
          <cell r="P175">
            <v>61</v>
          </cell>
          <cell r="Q175">
            <v>13.447319778188538</v>
          </cell>
          <cell r="T175">
            <v>0.3215277777777778</v>
          </cell>
          <cell r="U175">
            <v>0.43333333333333335</v>
          </cell>
          <cell r="V175">
            <v>57</v>
          </cell>
          <cell r="AB175">
            <v>54.1</v>
          </cell>
          <cell r="AE175">
            <v>11.8</v>
          </cell>
          <cell r="AG175">
            <v>50.7</v>
          </cell>
          <cell r="AS175">
            <v>99.739560847146265</v>
          </cell>
          <cell r="AT175">
            <v>100.52283481084572</v>
          </cell>
          <cell r="AV175" t="str">
            <v>R. Regis</v>
          </cell>
          <cell r="AW175">
            <v>0.24583333333333335</v>
          </cell>
        </row>
        <row r="176">
          <cell r="A176" t="str">
            <v>ST124</v>
          </cell>
          <cell r="P176">
            <v>61</v>
          </cell>
          <cell r="Q176">
            <v>12.338262476894633</v>
          </cell>
          <cell r="T176">
            <v>0.41666666666666669</v>
          </cell>
          <cell r="U176">
            <v>0.52569444444444446</v>
          </cell>
          <cell r="V176">
            <v>60</v>
          </cell>
          <cell r="AB176">
            <v>54.1</v>
          </cell>
          <cell r="AE176">
            <v>11.8</v>
          </cell>
          <cell r="AG176">
            <v>50.4</v>
          </cell>
          <cell r="AS176">
            <v>99.897261798186378</v>
          </cell>
          <cell r="AT176">
            <v>100.68023457865256</v>
          </cell>
          <cell r="AV176" t="str">
            <v>R. Regis</v>
          </cell>
          <cell r="AW176">
            <v>0.25486111111111115</v>
          </cell>
        </row>
        <row r="177">
          <cell r="A177" t="str">
            <v>ST125</v>
          </cell>
          <cell r="P177">
            <v>61</v>
          </cell>
          <cell r="Q177">
            <v>13.323917137476466</v>
          </cell>
          <cell r="T177">
            <v>0.51111111111111107</v>
          </cell>
          <cell r="U177">
            <v>0.62222222222222223</v>
          </cell>
          <cell r="V177">
            <v>56</v>
          </cell>
          <cell r="AB177">
            <v>53.1</v>
          </cell>
          <cell r="AE177">
            <v>11.8</v>
          </cell>
          <cell r="AG177">
            <v>49.5</v>
          </cell>
          <cell r="AS177">
            <v>97.867313690154518</v>
          </cell>
          <cell r="AT177">
            <v>98.634881484739239</v>
          </cell>
          <cell r="AV177" t="str">
            <v>R. Regis</v>
          </cell>
          <cell r="AW177">
            <v>0.25416666666666665</v>
          </cell>
        </row>
      </sheetData>
      <sheetData sheetId="7">
        <row r="91">
          <cell r="A91" t="str">
            <v>ST040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ackaging"/>
      <sheetName val="Process"/>
      <sheetName val="Summary March '26"/>
      <sheetName val="Summary February '26"/>
      <sheetName val="Summary January '26"/>
    </sheetNames>
    <sheetDataSet>
      <sheetData sheetId="0"/>
      <sheetData sheetId="1"/>
      <sheetData sheetId="2"/>
      <sheetData sheetId="3"/>
      <sheetData sheetId="4"/>
      <sheetData sheetId="5">
        <row r="42">
          <cell r="AU42">
            <v>98.774703764205327</v>
          </cell>
        </row>
        <row r="43">
          <cell r="AU43">
            <v>99.746895730388445</v>
          </cell>
        </row>
        <row r="44">
          <cell r="AU44">
            <v>99.480491014553465</v>
          </cell>
        </row>
        <row r="45">
          <cell r="AU45">
            <v>99.359192252045119</v>
          </cell>
        </row>
        <row r="46">
          <cell r="AU46">
            <v>94.942986581581494</v>
          </cell>
        </row>
        <row r="47">
          <cell r="AU47">
            <v>99.744059513955506</v>
          </cell>
        </row>
        <row r="48">
          <cell r="AU48">
            <v>100.99522335236702</v>
          </cell>
        </row>
        <row r="49">
          <cell r="AU49">
            <v>96.38510978729046</v>
          </cell>
        </row>
        <row r="50">
          <cell r="AU50">
            <v>96.854916965661218</v>
          </cell>
        </row>
        <row r="51">
          <cell r="AU51">
            <v>97.756974250197359</v>
          </cell>
        </row>
        <row r="52">
          <cell r="AU52">
            <v>98.280554742749217</v>
          </cell>
        </row>
        <row r="53">
          <cell r="AU53">
            <v>96.13324085965202</v>
          </cell>
        </row>
        <row r="54">
          <cell r="AU54">
            <v>93.879203465211987</v>
          </cell>
        </row>
        <row r="55">
          <cell r="AU55">
            <v>95.350414753836105</v>
          </cell>
        </row>
        <row r="56">
          <cell r="AU56">
            <v>96.220784779412256</v>
          </cell>
        </row>
        <row r="57">
          <cell r="AU57">
            <v>98.599549107933044</v>
          </cell>
        </row>
        <row r="58">
          <cell r="AU58">
            <v>97.224654996866249</v>
          </cell>
        </row>
        <row r="59">
          <cell r="AU59">
            <v>97.214744342532583</v>
          </cell>
        </row>
        <row r="60">
          <cell r="AU60">
            <v>99.947116466554263</v>
          </cell>
        </row>
        <row r="61">
          <cell r="AU61">
            <v>98.532094795334359</v>
          </cell>
        </row>
        <row r="62">
          <cell r="AU62">
            <v>93.409868719251207</v>
          </cell>
        </row>
        <row r="63">
          <cell r="AU63">
            <v>99.155044731309943</v>
          </cell>
        </row>
        <row r="64">
          <cell r="AU64">
            <v>97.421068441304371</v>
          </cell>
        </row>
        <row r="65">
          <cell r="AU65">
            <v>96.397222195852265</v>
          </cell>
        </row>
        <row r="66">
          <cell r="AU66">
            <v>100.46145390412471</v>
          </cell>
        </row>
        <row r="67">
          <cell r="AU67">
            <v>98.998214709308328</v>
          </cell>
        </row>
        <row r="68">
          <cell r="AU68">
            <v>97.857422068578444</v>
          </cell>
        </row>
        <row r="69">
          <cell r="AU69">
            <v>97.436062166815688</v>
          </cell>
        </row>
        <row r="70">
          <cell r="AU70">
            <v>96.910477582354332</v>
          </cell>
        </row>
        <row r="71">
          <cell r="AU71">
            <v>98.960439575055489</v>
          </cell>
        </row>
        <row r="72">
          <cell r="AU72">
            <v>102.29507421858402</v>
          </cell>
        </row>
        <row r="73">
          <cell r="AU73">
            <v>99.640437653385277</v>
          </cell>
        </row>
        <row r="74">
          <cell r="AU74">
            <v>82.328169468585017</v>
          </cell>
        </row>
        <row r="75">
          <cell r="AU75">
            <v>97.674289949528585</v>
          </cell>
        </row>
        <row r="76">
          <cell r="AU76">
            <v>107.03141163467369</v>
          </cell>
        </row>
        <row r="77">
          <cell r="AU77">
            <v>95.236008152799599</v>
          </cell>
        </row>
        <row r="78">
          <cell r="AU78">
            <v>93.827567679359049</v>
          </cell>
        </row>
        <row r="79">
          <cell r="AU79">
            <v>95.896687100312732</v>
          </cell>
        </row>
        <row r="80">
          <cell r="AU80">
            <v>99.738925134433643</v>
          </cell>
        </row>
        <row r="81">
          <cell r="AU81">
            <v>100.16530562302518</v>
          </cell>
        </row>
        <row r="82">
          <cell r="AU82">
            <v>99.736526583941028</v>
          </cell>
        </row>
        <row r="83">
          <cell r="AU83">
            <v>99.664029210937514</v>
          </cell>
        </row>
        <row r="84">
          <cell r="AU84">
            <v>100.01748335846912</v>
          </cell>
        </row>
        <row r="85">
          <cell r="AU85">
            <v>102.59219085086538</v>
          </cell>
        </row>
        <row r="86">
          <cell r="AU86">
            <v>102.5433340471773</v>
          </cell>
        </row>
        <row r="87">
          <cell r="AU87">
            <v>96.805164931106077</v>
          </cell>
        </row>
        <row r="88">
          <cell r="AU88">
            <v>95.467350978288906</v>
          </cell>
        </row>
        <row r="89">
          <cell r="AU89">
            <v>101.53064235241746</v>
          </cell>
        </row>
        <row r="90">
          <cell r="AU90">
            <v>99.843022353876989</v>
          </cell>
        </row>
        <row r="91">
          <cell r="AU91">
            <v>101.2321550320278</v>
          </cell>
        </row>
        <row r="92">
          <cell r="AU92">
            <v>101.42626155454937</v>
          </cell>
        </row>
        <row r="93">
          <cell r="AU93">
            <v>100.44724358587611</v>
          </cell>
        </row>
        <row r="94">
          <cell r="AU94">
            <v>102.05296320797829</v>
          </cell>
        </row>
        <row r="95">
          <cell r="AU95">
            <v>95.560767955537841</v>
          </cell>
        </row>
        <row r="96">
          <cell r="AU96">
            <v>95.858476381615304</v>
          </cell>
        </row>
        <row r="97">
          <cell r="AU97">
            <v>93.414689526206047</v>
          </cell>
        </row>
        <row r="98">
          <cell r="AU98">
            <v>99.986346763685134</v>
          </cell>
        </row>
        <row r="99">
          <cell r="AU99">
            <v>99.177482096170877</v>
          </cell>
        </row>
        <row r="100">
          <cell r="AU100">
            <v>97.509880366294198</v>
          </cell>
        </row>
        <row r="101">
          <cell r="AU101">
            <v>101.75095732104258</v>
          </cell>
        </row>
        <row r="102">
          <cell r="AU102">
            <v>99.415120817930529</v>
          </cell>
        </row>
        <row r="103">
          <cell r="AU103">
            <v>99.662908503532648</v>
          </cell>
        </row>
        <row r="104">
          <cell r="AU104">
            <v>96.575602446302355</v>
          </cell>
        </row>
        <row r="105">
          <cell r="AU105">
            <v>95.507567677953077</v>
          </cell>
        </row>
        <row r="106">
          <cell r="AU106">
            <v>97.819710364525065</v>
          </cell>
        </row>
        <row r="107">
          <cell r="AU107">
            <v>93.737546450558312</v>
          </cell>
        </row>
        <row r="108">
          <cell r="AU108">
            <v>96.679439674001571</v>
          </cell>
        </row>
        <row r="109">
          <cell r="AU109">
            <v>96.344074013646235</v>
          </cell>
        </row>
        <row r="110">
          <cell r="AU110">
            <v>96.969073122994232</v>
          </cell>
        </row>
        <row r="111">
          <cell r="AU111">
            <v>98.413757188601139</v>
          </cell>
        </row>
        <row r="112">
          <cell r="AU112">
            <v>96.361633561905379</v>
          </cell>
        </row>
        <row r="113">
          <cell r="AU113">
            <v>97.5202904784814</v>
          </cell>
        </row>
        <row r="114">
          <cell r="AU114">
            <v>97.851490534465384</v>
          </cell>
        </row>
        <row r="115">
          <cell r="AU115">
            <v>96.702752232561977</v>
          </cell>
        </row>
        <row r="116">
          <cell r="AU116">
            <v>96.254729187993746</v>
          </cell>
        </row>
        <row r="117">
          <cell r="AU117">
            <v>98.215110637851069</v>
          </cell>
        </row>
        <row r="118">
          <cell r="AU118">
            <v>95.664747463751866</v>
          </cell>
        </row>
        <row r="119">
          <cell r="AU119">
            <v>95.472649577278474</v>
          </cell>
        </row>
        <row r="120">
          <cell r="AU120">
            <v>92.499443839985332</v>
          </cell>
        </row>
        <row r="121">
          <cell r="AU121">
            <v>101.81766752472274</v>
          </cell>
        </row>
        <row r="122">
          <cell r="AU122">
            <v>99.504012001826652</v>
          </cell>
        </row>
        <row r="123">
          <cell r="AU123">
            <v>99.783415797736893</v>
          </cell>
        </row>
        <row r="125">
          <cell r="AU125">
            <v>94.991214982303461</v>
          </cell>
        </row>
        <row r="126">
          <cell r="AU126">
            <v>98.081652776220835</v>
          </cell>
        </row>
        <row r="127">
          <cell r="AU127">
            <v>98.458827461721384</v>
          </cell>
        </row>
        <row r="128">
          <cell r="AU128">
            <v>95.824043987091741</v>
          </cell>
        </row>
        <row r="129">
          <cell r="AU129">
            <v>98.44333422721418</v>
          </cell>
        </row>
        <row r="130">
          <cell r="AU130">
            <v>100.21447484042207</v>
          </cell>
        </row>
        <row r="131">
          <cell r="AU131">
            <v>93.572296329201976</v>
          </cell>
        </row>
        <row r="132">
          <cell r="AU132">
            <v>99.628123440277676</v>
          </cell>
        </row>
        <row r="133">
          <cell r="AU133">
            <v>93.047268518820289</v>
          </cell>
        </row>
        <row r="134">
          <cell r="AU134">
            <v>98.00301242081278</v>
          </cell>
        </row>
        <row r="135">
          <cell r="AU135">
            <v>98.750429944987545</v>
          </cell>
        </row>
        <row r="136">
          <cell r="AU136">
            <v>100.69196814542862</v>
          </cell>
        </row>
        <row r="137">
          <cell r="AU137">
            <v>96.996599085521808</v>
          </cell>
        </row>
        <row r="138">
          <cell r="AU138">
            <v>97.499189767162704</v>
          </cell>
        </row>
        <row r="139">
          <cell r="AU139">
            <v>98.065329347096849</v>
          </cell>
        </row>
        <row r="140">
          <cell r="AU140">
            <v>100.56885966131995</v>
          </cell>
        </row>
        <row r="141">
          <cell r="AU141">
            <v>99.310564104752999</v>
          </cell>
        </row>
        <row r="142">
          <cell r="AU142">
            <v>81.813106414231768</v>
          </cell>
        </row>
        <row r="143">
          <cell r="AU143">
            <v>74.681377386116381</v>
          </cell>
        </row>
        <row r="144">
          <cell r="AU144">
            <v>99.596822865747242</v>
          </cell>
        </row>
        <row r="145">
          <cell r="AU145">
            <v>98.361425847158671</v>
          </cell>
        </row>
        <row r="146">
          <cell r="AU146">
            <v>102.80934079529675</v>
          </cell>
        </row>
        <row r="147">
          <cell r="AU147">
            <v>104.32736945451965</v>
          </cell>
        </row>
        <row r="148">
          <cell r="AU148">
            <v>102.41832780758313</v>
          </cell>
        </row>
        <row r="149">
          <cell r="AU149">
            <v>102.65008917352358</v>
          </cell>
        </row>
        <row r="150">
          <cell r="AU150">
            <v>98.351271471428475</v>
          </cell>
        </row>
        <row r="151">
          <cell r="AU151">
            <v>95.527089538140444</v>
          </cell>
        </row>
        <row r="152">
          <cell r="AU152">
            <v>98.791770353169028</v>
          </cell>
        </row>
        <row r="153">
          <cell r="AU153">
            <v>92.525215393532562</v>
          </cell>
        </row>
        <row r="154">
          <cell r="AU154">
            <v>98.286412743082607</v>
          </cell>
        </row>
        <row r="155">
          <cell r="AU155">
            <v>95.699273266512037</v>
          </cell>
        </row>
        <row r="156">
          <cell r="AU156">
            <v>96.200448437262068</v>
          </cell>
        </row>
        <row r="157">
          <cell r="AU157">
            <v>93.020726759402706</v>
          </cell>
        </row>
        <row r="158">
          <cell r="AU158">
            <v>96.412047269582672</v>
          </cell>
        </row>
        <row r="159">
          <cell r="AU159">
            <v>97.250520471561614</v>
          </cell>
        </row>
        <row r="160">
          <cell r="AU160">
            <v>98.1438476329579</v>
          </cell>
        </row>
        <row r="161">
          <cell r="AU161">
            <v>93.52608739149872</v>
          </cell>
        </row>
        <row r="162">
          <cell r="AU162">
            <v>101.12603213986264</v>
          </cell>
        </row>
        <row r="163">
          <cell r="AU163">
            <v>100.33640509948549</v>
          </cell>
        </row>
        <row r="164">
          <cell r="AU164">
            <v>100.85036161508521</v>
          </cell>
        </row>
        <row r="165">
          <cell r="AU165">
            <v>95.502024957607773</v>
          </cell>
        </row>
        <row r="166">
          <cell r="AU166">
            <v>94.342162395109455</v>
          </cell>
        </row>
        <row r="167">
          <cell r="AU167">
            <v>99.071689760585087</v>
          </cell>
        </row>
        <row r="168">
          <cell r="AU168">
            <v>98.514796568176052</v>
          </cell>
        </row>
        <row r="169">
          <cell r="AU169">
            <v>96.024272843684003</v>
          </cell>
        </row>
        <row r="170">
          <cell r="AU170">
            <v>98.175529465436611</v>
          </cell>
        </row>
        <row r="171">
          <cell r="AU171">
            <v>102.72843364793638</v>
          </cell>
        </row>
        <row r="172">
          <cell r="AU172">
            <v>97.857596270649012</v>
          </cell>
        </row>
        <row r="173">
          <cell r="AU173">
            <v>96.511183978216323</v>
          </cell>
        </row>
        <row r="174">
          <cell r="AU174">
            <v>96.273917789076862</v>
          </cell>
        </row>
        <row r="175">
          <cell r="AU175">
            <v>96.763833489372473</v>
          </cell>
        </row>
        <row r="176">
          <cell r="AU176">
            <v>98.253731658657813</v>
          </cell>
        </row>
        <row r="177">
          <cell r="AU177">
            <v>96.225557296455349</v>
          </cell>
        </row>
        <row r="178">
          <cell r="AU178">
            <v>95.76386603519768</v>
          </cell>
        </row>
        <row r="179">
          <cell r="AU179">
            <v>97.861559996128506</v>
          </cell>
        </row>
        <row r="180">
          <cell r="AU180">
            <v>98.551754908063671</v>
          </cell>
        </row>
        <row r="181">
          <cell r="AU181">
            <v>90.189295198187452</v>
          </cell>
        </row>
        <row r="182">
          <cell r="AU182">
            <v>99.950041431757512</v>
          </cell>
        </row>
        <row r="183">
          <cell r="AU183">
            <v>97.547980983941912</v>
          </cell>
        </row>
        <row r="184">
          <cell r="AU184">
            <v>97.02181756168649</v>
          </cell>
        </row>
        <row r="185">
          <cell r="AU185">
            <v>97.515157399606437</v>
          </cell>
        </row>
        <row r="186">
          <cell r="AU186">
            <v>95.404393473874009</v>
          </cell>
        </row>
        <row r="187">
          <cell r="AU187">
            <v>99.138574114682569</v>
          </cell>
        </row>
        <row r="188">
          <cell r="AU188">
            <v>97.371494370242544</v>
          </cell>
        </row>
        <row r="198">
          <cell r="A198" t="str">
            <v>CA155</v>
          </cell>
          <cell r="P198">
            <v>60</v>
          </cell>
          <cell r="Q198">
            <v>11.16981132075472</v>
          </cell>
          <cell r="T198">
            <v>0.92361111111111116</v>
          </cell>
          <cell r="U198">
            <v>1.0340277777777778</v>
          </cell>
          <cell r="V198">
            <v>56</v>
          </cell>
          <cell r="Z198">
            <v>0.25972222222222219</v>
          </cell>
          <cell r="AF198">
            <v>48.6</v>
          </cell>
          <cell r="AG198">
            <v>11.6</v>
          </cell>
          <cell r="AI198">
            <v>48.9</v>
          </cell>
          <cell r="AU198">
            <v>96.242072087973199</v>
          </cell>
          <cell r="AV198">
            <v>96.597066213964908</v>
          </cell>
          <cell r="AX198" t="str">
            <v>K. Benjamin</v>
          </cell>
        </row>
        <row r="199">
          <cell r="A199" t="str">
            <v>CA156</v>
          </cell>
          <cell r="P199">
            <v>60</v>
          </cell>
          <cell r="Q199">
            <v>11.337099811676088</v>
          </cell>
          <cell r="T199">
            <v>1.0201388888888889</v>
          </cell>
          <cell r="U199">
            <v>1.1319444444444444</v>
          </cell>
          <cell r="V199">
            <v>61</v>
          </cell>
          <cell r="Z199">
            <v>0.26041666666666663</v>
          </cell>
          <cell r="AF199">
            <v>49.8</v>
          </cell>
          <cell r="AG199">
            <v>11.6</v>
          </cell>
          <cell r="AI199">
            <v>50.3</v>
          </cell>
          <cell r="AU199">
            <v>98.87254747107896</v>
          </cell>
          <cell r="AV199">
            <v>99.237275049088936</v>
          </cell>
          <cell r="AX199" t="str">
            <v>R. Regis</v>
          </cell>
        </row>
        <row r="200">
          <cell r="A200" t="str">
            <v>CA157</v>
          </cell>
          <cell r="P200">
            <v>60</v>
          </cell>
          <cell r="Q200">
            <v>10.207156308851227</v>
          </cell>
          <cell r="T200">
            <v>1.1277777777777778</v>
          </cell>
          <cell r="U200">
            <v>1.2402777777777778</v>
          </cell>
          <cell r="V200">
            <v>51</v>
          </cell>
          <cell r="Z200">
            <v>0.26458333333333339</v>
          </cell>
          <cell r="AF200">
            <v>49.2</v>
          </cell>
          <cell r="AG200">
            <v>12</v>
          </cell>
          <cell r="AI200">
            <v>49.8</v>
          </cell>
          <cell r="AU200">
            <v>101.57164076036193</v>
          </cell>
          <cell r="AV200">
            <v>101.94629329074706</v>
          </cell>
          <cell r="AX200" t="str">
            <v>R. Regis</v>
          </cell>
        </row>
        <row r="201">
          <cell r="A201" t="str">
            <v>CA158</v>
          </cell>
          <cell r="P201">
            <v>60</v>
          </cell>
          <cell r="Q201">
            <v>11.713747645951035</v>
          </cell>
          <cell r="T201">
            <v>0.23472222222222222</v>
          </cell>
          <cell r="U201">
            <v>0.34375</v>
          </cell>
          <cell r="V201">
            <v>58</v>
          </cell>
          <cell r="Z201">
            <v>0.26041666666666669</v>
          </cell>
          <cell r="AF201">
            <v>49.6</v>
          </cell>
          <cell r="AG201">
            <v>11.9</v>
          </cell>
          <cell r="AI201">
            <v>49.9</v>
          </cell>
          <cell r="AU201">
            <v>99.130786137236072</v>
          </cell>
          <cell r="AV201">
            <v>99.496860796406921</v>
          </cell>
          <cell r="AX201" t="str">
            <v>R. Regis</v>
          </cell>
        </row>
        <row r="202">
          <cell r="A202" t="str">
            <v>CA159</v>
          </cell>
          <cell r="P202">
            <v>60</v>
          </cell>
          <cell r="Q202">
            <v>11.735849056603771</v>
          </cell>
          <cell r="T202">
            <v>0.37916666666666665</v>
          </cell>
          <cell r="U202">
            <v>0.48958333333333331</v>
          </cell>
          <cell r="V202">
            <v>58</v>
          </cell>
          <cell r="Z202">
            <v>0.24999999999999997</v>
          </cell>
          <cell r="AF202">
            <v>47.9</v>
          </cell>
          <cell r="AG202">
            <v>12</v>
          </cell>
          <cell r="AI202">
            <v>47</v>
          </cell>
          <cell r="AU202">
            <v>94.664735774609312</v>
          </cell>
          <cell r="AV202">
            <v>95.014203393720891</v>
          </cell>
          <cell r="AX202" t="str">
            <v>K. Benjamin</v>
          </cell>
        </row>
        <row r="203">
          <cell r="A203" t="str">
            <v>CA160</v>
          </cell>
          <cell r="P203">
            <v>60</v>
          </cell>
          <cell r="Q203">
            <v>12.074074074074066</v>
          </cell>
          <cell r="T203">
            <v>0.47847222222222224</v>
          </cell>
          <cell r="U203">
            <v>0.5854166666666667</v>
          </cell>
          <cell r="V203">
            <v>56</v>
          </cell>
          <cell r="Z203">
            <v>0.25208333333333338</v>
          </cell>
          <cell r="AF203">
            <v>48.6</v>
          </cell>
          <cell r="AG203">
            <v>12</v>
          </cell>
          <cell r="AI203">
            <v>48.7</v>
          </cell>
          <cell r="AU203">
            <v>98.211317122475975</v>
          </cell>
          <cell r="AV203">
            <v>98.57384751341705</v>
          </cell>
          <cell r="AX203" t="str">
            <v>K. Benjamin</v>
          </cell>
        </row>
        <row r="204">
          <cell r="A204" t="str">
            <v>CA161</v>
          </cell>
          <cell r="P204">
            <v>60</v>
          </cell>
          <cell r="Q204">
            <v>11.333333333333329</v>
          </cell>
          <cell r="T204">
            <v>0.56736111111111109</v>
          </cell>
          <cell r="U204">
            <v>0.67361111111111116</v>
          </cell>
          <cell r="V204">
            <v>57</v>
          </cell>
          <cell r="Z204">
            <v>0.24652777777777785</v>
          </cell>
          <cell r="AF204">
            <v>48.6</v>
          </cell>
          <cell r="AG204">
            <v>12</v>
          </cell>
          <cell r="AI204">
            <v>47.9</v>
          </cell>
          <cell r="AU204">
            <v>96.718815813314833</v>
          </cell>
          <cell r="AV204">
            <v>97.075807359351259</v>
          </cell>
          <cell r="AX204" t="str">
            <v>K. Benjamin</v>
          </cell>
        </row>
        <row r="205">
          <cell r="A205" t="str">
            <v>CA162</v>
          </cell>
          <cell r="P205">
            <v>59</v>
          </cell>
          <cell r="Q205">
            <v>10.962962962962965</v>
          </cell>
          <cell r="T205">
            <v>0.65625</v>
          </cell>
          <cell r="U205">
            <v>0.76249999999999996</v>
          </cell>
          <cell r="V205">
            <v>61</v>
          </cell>
          <cell r="Z205">
            <v>0.24166666666666659</v>
          </cell>
          <cell r="AF205">
            <v>49.2</v>
          </cell>
          <cell r="AG205">
            <v>12.1</v>
          </cell>
          <cell r="AI205">
            <v>49</v>
          </cell>
          <cell r="AU205">
            <v>99.681744479307142</v>
          </cell>
          <cell r="AV205">
            <v>100.04970270300866</v>
          </cell>
          <cell r="AX205" t="str">
            <v>K. Benjamin</v>
          </cell>
        </row>
        <row r="206">
          <cell r="A206" t="str">
            <v>CA163</v>
          </cell>
          <cell r="P206">
            <v>62</v>
          </cell>
          <cell r="Q206">
            <v>14.296296296296292</v>
          </cell>
          <cell r="T206">
            <v>0.75555555555555554</v>
          </cell>
          <cell r="U206">
            <v>0.86597222222222225</v>
          </cell>
          <cell r="V206">
            <v>57</v>
          </cell>
          <cell r="Z206">
            <v>0.25138888888888888</v>
          </cell>
          <cell r="AF206">
            <v>49</v>
          </cell>
          <cell r="AG206">
            <v>11.6</v>
          </cell>
          <cell r="AI206">
            <v>49.7</v>
          </cell>
          <cell r="AU206">
            <v>96.837780355457184</v>
          </cell>
          <cell r="AV206">
            <v>97.195211002566822</v>
          </cell>
          <cell r="AX206" t="str">
            <v>K. Benjamin</v>
          </cell>
        </row>
        <row r="207">
          <cell r="A207" t="str">
            <v>CA164</v>
          </cell>
          <cell r="P207">
            <v>60</v>
          </cell>
          <cell r="Q207">
            <v>10.222222222222214</v>
          </cell>
          <cell r="T207">
            <v>0.84444444444444444</v>
          </cell>
          <cell r="U207">
            <v>0.95694444444444449</v>
          </cell>
          <cell r="V207">
            <v>64</v>
          </cell>
          <cell r="Z207">
            <v>0.24861111111111112</v>
          </cell>
          <cell r="AF207">
            <v>50.9</v>
          </cell>
          <cell r="AG207">
            <v>11.7</v>
          </cell>
          <cell r="AI207">
            <v>51.4</v>
          </cell>
          <cell r="AU207">
            <v>101.84066195473321</v>
          </cell>
          <cell r="AV207">
            <v>102.21658945549265</v>
          </cell>
          <cell r="AX207" t="str">
            <v>K. Benjamin</v>
          </cell>
        </row>
        <row r="208">
          <cell r="A208" t="str">
            <v>CA165</v>
          </cell>
          <cell r="P208">
            <v>60</v>
          </cell>
          <cell r="Q208">
            <v>10.962962962962965</v>
          </cell>
          <cell r="T208">
            <v>0.9375</v>
          </cell>
          <cell r="U208">
            <v>1.0423611111111111</v>
          </cell>
          <cell r="V208">
            <v>61</v>
          </cell>
          <cell r="Z208">
            <v>0.2402777777777777</v>
          </cell>
          <cell r="AF208">
            <v>49.6</v>
          </cell>
          <cell r="AG208">
            <v>12</v>
          </cell>
          <cell r="AI208">
            <v>49.2</v>
          </cell>
          <cell r="AU208">
            <v>98.972363799020584</v>
          </cell>
          <cell r="AV208">
            <v>99.337763674477713</v>
          </cell>
          <cell r="AX208" t="str">
            <v>K. Benjamin</v>
          </cell>
        </row>
        <row r="209">
          <cell r="A209" t="str">
            <v>CA166</v>
          </cell>
          <cell r="P209">
            <v>60</v>
          </cell>
          <cell r="Q209">
            <v>10.203327171903888</v>
          </cell>
          <cell r="T209">
            <v>1.0506944444444444</v>
          </cell>
          <cell r="U209">
            <v>1.1541666666666666</v>
          </cell>
          <cell r="V209">
            <v>60</v>
          </cell>
          <cell r="Z209">
            <v>0.25833333333333319</v>
          </cell>
          <cell r="AF209">
            <v>49.3</v>
          </cell>
          <cell r="AG209">
            <v>12</v>
          </cell>
          <cell r="AI209">
            <v>49</v>
          </cell>
          <cell r="AU209">
            <v>97.717648278528927</v>
          </cell>
          <cell r="AV209">
            <v>98.078621572225174</v>
          </cell>
          <cell r="AX209" t="str">
            <v>R. Regis</v>
          </cell>
        </row>
        <row r="210">
          <cell r="A210" t="str">
            <v>CA167</v>
          </cell>
          <cell r="P210">
            <v>60</v>
          </cell>
          <cell r="Q210">
            <v>11.497227356746762</v>
          </cell>
          <cell r="T210">
            <v>0.21527777777777779</v>
          </cell>
          <cell r="U210">
            <v>0.33055555555555555</v>
          </cell>
          <cell r="V210">
            <v>58</v>
          </cell>
          <cell r="Z210">
            <v>0.24722222222222223</v>
          </cell>
          <cell r="AF210">
            <v>48.6</v>
          </cell>
          <cell r="AG210">
            <v>12</v>
          </cell>
          <cell r="AI210">
            <v>47.6</v>
          </cell>
          <cell r="AU210">
            <v>95.753750342141842</v>
          </cell>
          <cell r="AV210">
            <v>96.107267294819877</v>
          </cell>
          <cell r="AX210" t="str">
            <v>R. Regis</v>
          </cell>
        </row>
        <row r="211">
          <cell r="A211" t="str">
            <v>CA168</v>
          </cell>
          <cell r="P211">
            <v>60</v>
          </cell>
          <cell r="Q211">
            <v>12.05175600739372</v>
          </cell>
          <cell r="T211">
            <v>0.35833333333333334</v>
          </cell>
          <cell r="U211">
            <v>0.46736111111111112</v>
          </cell>
          <cell r="V211">
            <v>63</v>
          </cell>
          <cell r="Z211">
            <v>0.2729166666666667</v>
          </cell>
          <cell r="AF211">
            <v>49.9</v>
          </cell>
          <cell r="AG211">
            <v>11.7</v>
          </cell>
          <cell r="AI211">
            <v>50.4</v>
          </cell>
          <cell r="AU211">
            <v>98.477078860461759</v>
          </cell>
          <cell r="AV211">
            <v>98.840709785311105</v>
          </cell>
          <cell r="AX211" t="str">
            <v>D. Gomaz</v>
          </cell>
        </row>
        <row r="212">
          <cell r="A212" t="str">
            <v>CA169</v>
          </cell>
          <cell r="P212">
            <v>60</v>
          </cell>
          <cell r="Q212">
            <v>11.497227356746762</v>
          </cell>
          <cell r="T212">
            <v>0.46875</v>
          </cell>
          <cell r="U212">
            <v>0.57430555555555551</v>
          </cell>
          <cell r="V212">
            <v>60</v>
          </cell>
          <cell r="Z212">
            <v>0.26180555555555551</v>
          </cell>
          <cell r="AF212">
            <v>49.4</v>
          </cell>
          <cell r="AG212">
            <v>11.9</v>
          </cell>
          <cell r="AI212">
            <v>49.3</v>
          </cell>
          <cell r="AU212">
            <v>98.060574842581516</v>
          </cell>
          <cell r="AV212">
            <v>98.422667808111015</v>
          </cell>
          <cell r="AX212" t="str">
            <v>D. Gomaz</v>
          </cell>
        </row>
        <row r="213">
          <cell r="A213" t="str">
            <v>CA170</v>
          </cell>
          <cell r="P213">
            <v>61</v>
          </cell>
          <cell r="Q213">
            <v>12.236598890942693</v>
          </cell>
          <cell r="T213">
            <v>0.56388888888888888</v>
          </cell>
          <cell r="U213">
            <v>0.67291666666666672</v>
          </cell>
          <cell r="V213">
            <v>62</v>
          </cell>
          <cell r="Z213">
            <v>0.2597222222222223</v>
          </cell>
          <cell r="AF213">
            <v>49.8</v>
          </cell>
          <cell r="AG213">
            <v>11.7</v>
          </cell>
          <cell r="AI213">
            <v>50.4</v>
          </cell>
          <cell r="AU213">
            <v>98.477078860461759</v>
          </cell>
          <cell r="AV213">
            <v>98.840709785311105</v>
          </cell>
          <cell r="AX213" t="str">
            <v>D. Gomaz</v>
          </cell>
        </row>
        <row r="214">
          <cell r="A214" t="str">
            <v>CA171</v>
          </cell>
          <cell r="P214">
            <v>60</v>
          </cell>
          <cell r="Q214">
            <v>12.236598890942693</v>
          </cell>
          <cell r="T214">
            <v>0.69305555555555554</v>
          </cell>
          <cell r="U214">
            <v>0.80208333333333337</v>
          </cell>
          <cell r="V214">
            <v>59</v>
          </cell>
          <cell r="Z214">
            <v>0.29166666666666674</v>
          </cell>
          <cell r="AF214">
            <v>48.6</v>
          </cell>
          <cell r="AG214">
            <v>12</v>
          </cell>
          <cell r="AI214">
            <v>48.2</v>
          </cell>
          <cell r="AU214">
            <v>96.84005415922779</v>
          </cell>
          <cell r="AV214">
            <v>97.197611025189474</v>
          </cell>
          <cell r="AX214" t="str">
            <v>D. Gomaz</v>
          </cell>
        </row>
        <row r="215">
          <cell r="A215" t="str">
            <v>CA172</v>
          </cell>
          <cell r="P215">
            <v>60</v>
          </cell>
          <cell r="Q215">
            <v>11.312384473197778</v>
          </cell>
          <cell r="T215">
            <v>0.78402777777777777</v>
          </cell>
          <cell r="U215">
            <v>0.89444444444444449</v>
          </cell>
          <cell r="V215">
            <v>60</v>
          </cell>
          <cell r="Z215">
            <v>0.24861111111111112</v>
          </cell>
          <cell r="AF215">
            <v>49.5</v>
          </cell>
          <cell r="AG215">
            <v>12</v>
          </cell>
          <cell r="AI215">
            <v>49.9</v>
          </cell>
          <cell r="AU215">
            <v>100.25557474160721</v>
          </cell>
          <cell r="AV215">
            <v>100.62574253437666</v>
          </cell>
          <cell r="AX215" t="str">
            <v>D. Gomaz</v>
          </cell>
        </row>
        <row r="216">
          <cell r="A216" t="str">
            <v>CA173</v>
          </cell>
          <cell r="P216">
            <v>59</v>
          </cell>
          <cell r="Q216">
            <v>11.497227356746762</v>
          </cell>
          <cell r="T216">
            <v>0.87916666666666665</v>
          </cell>
          <cell r="U216">
            <v>0.98819444444444449</v>
          </cell>
          <cell r="V216">
            <v>62</v>
          </cell>
          <cell r="Z216">
            <v>0.24861111111111112</v>
          </cell>
          <cell r="AF216">
            <v>49.8</v>
          </cell>
          <cell r="AG216">
            <v>11.8</v>
          </cell>
          <cell r="AI216">
            <v>49.7</v>
          </cell>
          <cell r="AU216">
            <v>97.982769910971371</v>
          </cell>
          <cell r="AV216">
            <v>98.344575578384735</v>
          </cell>
          <cell r="AX216" t="str">
            <v>D. Gomaz</v>
          </cell>
        </row>
        <row r="217">
          <cell r="A217" t="str">
            <v>CA174</v>
          </cell>
          <cell r="P217">
            <v>60</v>
          </cell>
          <cell r="Q217">
            <v>11.682070240295749</v>
          </cell>
          <cell r="T217">
            <v>0.97499999999999998</v>
          </cell>
          <cell r="U217">
            <v>1.0854166666666667</v>
          </cell>
          <cell r="V217">
            <v>63</v>
          </cell>
          <cell r="Z217">
            <v>0.25208333333333333</v>
          </cell>
          <cell r="AF217">
            <v>49.7</v>
          </cell>
          <cell r="AG217">
            <v>11.8</v>
          </cell>
          <cell r="AI217">
            <v>49.9</v>
          </cell>
          <cell r="AU217">
            <v>98.499505757279664</v>
          </cell>
          <cell r="AV217">
            <v>98.863189719284065</v>
          </cell>
          <cell r="AX217" t="str">
            <v>R. Regis</v>
          </cell>
        </row>
        <row r="218">
          <cell r="A218" t="str">
            <v>CA175</v>
          </cell>
          <cell r="P218">
            <v>60</v>
          </cell>
          <cell r="Q218">
            <v>17.966728280961181</v>
          </cell>
          <cell r="T218">
            <v>1.1576388888888889</v>
          </cell>
          <cell r="U218">
            <v>1.2986111111111112</v>
          </cell>
          <cell r="V218">
            <v>61</v>
          </cell>
          <cell r="Z218">
            <v>0.2777777777777779</v>
          </cell>
          <cell r="AF218">
            <v>48.1</v>
          </cell>
          <cell r="AG218">
            <v>11.7</v>
          </cell>
          <cell r="AI218">
            <v>48.5</v>
          </cell>
          <cell r="AU218">
            <v>94.764649300245921</v>
          </cell>
          <cell r="AV218">
            <v>95.114571916420388</v>
          </cell>
          <cell r="AX218" t="str">
            <v>R. Regis</v>
          </cell>
        </row>
        <row r="219">
          <cell r="A219" t="str">
            <v>CA176</v>
          </cell>
          <cell r="P219">
            <v>62</v>
          </cell>
          <cell r="Q219">
            <v>8.1355932203389845</v>
          </cell>
          <cell r="T219">
            <v>0.3125</v>
          </cell>
          <cell r="U219">
            <v>0.44374999999999998</v>
          </cell>
          <cell r="V219">
            <v>70</v>
          </cell>
          <cell r="Z219">
            <v>0.31874999999999998</v>
          </cell>
          <cell r="AF219">
            <v>57.7</v>
          </cell>
          <cell r="AG219">
            <v>11.9</v>
          </cell>
          <cell r="AI219">
            <v>57.8</v>
          </cell>
          <cell r="AU219">
            <v>114.82483845154799</v>
          </cell>
          <cell r="AV219">
            <v>115.24886881828296</v>
          </cell>
          <cell r="AX219" t="str">
            <v>D. Gomaz</v>
          </cell>
        </row>
        <row r="220">
          <cell r="A220" t="str">
            <v>CA177</v>
          </cell>
          <cell r="P220">
            <v>61</v>
          </cell>
          <cell r="Q220">
            <v>14.851851851851844</v>
          </cell>
          <cell r="T220">
            <v>0.52847222222222223</v>
          </cell>
          <cell r="U220">
            <v>0.6430555555555556</v>
          </cell>
          <cell r="V220">
            <v>65</v>
          </cell>
          <cell r="Z220">
            <v>0.24722222222222229</v>
          </cell>
          <cell r="AF220">
            <v>49</v>
          </cell>
          <cell r="AG220">
            <v>11.9</v>
          </cell>
          <cell r="AI220">
            <v>49.3</v>
          </cell>
          <cell r="AU220">
            <v>98.182619925802825</v>
          </cell>
          <cell r="AV220">
            <v>98.545133868792306</v>
          </cell>
          <cell r="AX220" t="str">
            <v>D. Gomaz</v>
          </cell>
        </row>
        <row r="221">
          <cell r="A221" t="str">
            <v>CA178</v>
          </cell>
          <cell r="P221">
            <v>60</v>
          </cell>
          <cell r="Q221">
            <v>12.606284658040664</v>
          </cell>
          <cell r="T221">
            <v>0.61944444444444446</v>
          </cell>
          <cell r="U221">
            <v>0.73888888888888893</v>
          </cell>
          <cell r="V221">
            <v>78</v>
          </cell>
          <cell r="Z221">
            <v>0.25277777777777782</v>
          </cell>
          <cell r="AF221">
            <v>50.6</v>
          </cell>
          <cell r="AG221">
            <v>11.8</v>
          </cell>
          <cell r="AI221">
            <v>50.7</v>
          </cell>
          <cell r="AU221">
            <v>98.728037202201719</v>
          </cell>
          <cell r="AV221">
            <v>100.19881851243441</v>
          </cell>
          <cell r="AX221" t="str">
            <v>D. Gomaz</v>
          </cell>
        </row>
        <row r="222">
          <cell r="A222" t="str">
            <v>CA179</v>
          </cell>
          <cell r="P222">
            <v>61</v>
          </cell>
          <cell r="Q222">
            <v>11.866913123844734</v>
          </cell>
          <cell r="T222">
            <v>0.71319444444444446</v>
          </cell>
          <cell r="U222">
            <v>0.8520833333333333</v>
          </cell>
          <cell r="V222">
            <v>102</v>
          </cell>
          <cell r="Z222">
            <v>0.27569444444444446</v>
          </cell>
          <cell r="AF222">
            <v>50.4</v>
          </cell>
          <cell r="AG222">
            <v>11.7</v>
          </cell>
          <cell r="AI222">
            <v>51</v>
          </cell>
          <cell r="AU222">
            <v>98.865584270828393</v>
          </cell>
          <cell r="AV222">
            <v>100.38084240224801</v>
          </cell>
          <cell r="AX222" t="str">
            <v>D. Gomaz</v>
          </cell>
        </row>
        <row r="223">
          <cell r="A223" t="str">
            <v>CA180</v>
          </cell>
          <cell r="P223">
            <v>60</v>
          </cell>
          <cell r="Q223">
            <v>10.757855822550832</v>
          </cell>
          <cell r="T223">
            <v>0.80972222222222223</v>
          </cell>
          <cell r="U223">
            <v>0.92708333333333337</v>
          </cell>
          <cell r="V223">
            <v>62</v>
          </cell>
          <cell r="Z223">
            <v>0.26041666666666674</v>
          </cell>
          <cell r="AF223">
            <v>50.2</v>
          </cell>
          <cell r="AG223">
            <v>11.9</v>
          </cell>
          <cell r="AI223">
            <v>48</v>
          </cell>
          <cell r="AU223">
            <v>94.960805086604111</v>
          </cell>
          <cell r="AV223">
            <v>96.416086292164877</v>
          </cell>
          <cell r="AX223" t="str">
            <v>D. Gomaz</v>
          </cell>
        </row>
        <row r="224">
          <cell r="A224" t="str">
            <v>CA181</v>
          </cell>
          <cell r="P224">
            <v>59</v>
          </cell>
          <cell r="Q224">
            <v>12.999999999999993</v>
          </cell>
          <cell r="T224">
            <v>1.0277777777777777</v>
          </cell>
          <cell r="U224">
            <v>1.1354166666666667</v>
          </cell>
          <cell r="V224">
            <v>54</v>
          </cell>
          <cell r="Z224">
            <v>0.23958333333333337</v>
          </cell>
          <cell r="AF224">
            <v>48.1</v>
          </cell>
          <cell r="AG224">
            <v>12.2</v>
          </cell>
          <cell r="AI224">
            <v>47</v>
          </cell>
          <cell r="AU224">
            <v>94.654963762652073</v>
          </cell>
          <cell r="AV224">
            <v>96.081989349996263</v>
          </cell>
          <cell r="AX224" t="str">
            <v>K. Benjamin</v>
          </cell>
        </row>
        <row r="225">
          <cell r="A225" t="str">
            <v>CA182</v>
          </cell>
          <cell r="P225">
            <v>60</v>
          </cell>
          <cell r="Q225">
            <v>12.444444444444443</v>
          </cell>
          <cell r="T225">
            <v>1.1423611111111112</v>
          </cell>
          <cell r="U225">
            <v>1.2513888888888889</v>
          </cell>
          <cell r="V225">
            <v>58</v>
          </cell>
          <cell r="Z225">
            <v>0.27222222222222225</v>
          </cell>
          <cell r="AF225">
            <v>50</v>
          </cell>
          <cell r="AG225">
            <v>11.8</v>
          </cell>
          <cell r="AI225">
            <v>50.2</v>
          </cell>
          <cell r="AU225">
            <v>97.983517470033405</v>
          </cell>
          <cell r="AV225">
            <v>99.460431957310419</v>
          </cell>
          <cell r="AX225" t="str">
            <v>K. Benjamin</v>
          </cell>
        </row>
        <row r="226">
          <cell r="A226" t="str">
            <v>CA183</v>
          </cell>
          <cell r="P226">
            <v>60</v>
          </cell>
          <cell r="Q226">
            <v>10.222222222222214</v>
          </cell>
          <cell r="T226">
            <v>0.23333333333333334</v>
          </cell>
          <cell r="U226">
            <v>0.34027777777777779</v>
          </cell>
          <cell r="V226">
            <v>59</v>
          </cell>
          <cell r="Z226">
            <v>0.25694444444444448</v>
          </cell>
          <cell r="AF226">
            <v>50.5</v>
          </cell>
          <cell r="AG226">
            <v>11.7</v>
          </cell>
          <cell r="AI226">
            <v>50.4</v>
          </cell>
          <cell r="AU226">
            <v>97.134089873786564</v>
          </cell>
          <cell r="AV226">
            <v>98.598490958983291</v>
          </cell>
          <cell r="AX226" t="str">
            <v>K. Benjamin</v>
          </cell>
        </row>
        <row r="227">
          <cell r="A227" t="str">
            <v>CA184</v>
          </cell>
          <cell r="P227">
            <v>60</v>
          </cell>
          <cell r="Q227">
            <v>11.127541589648803</v>
          </cell>
          <cell r="T227">
            <v>0.32083333333333336</v>
          </cell>
          <cell r="U227">
            <v>0.43402777777777779</v>
          </cell>
          <cell r="V227">
            <v>61</v>
          </cell>
          <cell r="Z227">
            <v>0.25</v>
          </cell>
          <cell r="AF227">
            <v>50</v>
          </cell>
          <cell r="AG227">
            <v>11.9</v>
          </cell>
          <cell r="AI227">
            <v>49.8</v>
          </cell>
          <cell r="AU227">
            <v>97.825601678018998</v>
          </cell>
          <cell r="AV227">
            <v>99.300330903085538</v>
          </cell>
          <cell r="AX227" t="str">
            <v>R. Regis</v>
          </cell>
        </row>
        <row r="228">
          <cell r="A228" t="str">
            <v>CA185</v>
          </cell>
          <cell r="P228">
            <v>60</v>
          </cell>
          <cell r="Q228">
            <v>10.203327171903888</v>
          </cell>
          <cell r="T228">
            <v>0.4548611111111111</v>
          </cell>
          <cell r="U228">
            <v>0.56458333333333333</v>
          </cell>
          <cell r="V228">
            <v>60</v>
          </cell>
          <cell r="Z228">
            <v>0.29375000000000001</v>
          </cell>
          <cell r="AF228">
            <v>51.4</v>
          </cell>
          <cell r="AG228">
            <v>11.7</v>
          </cell>
          <cell r="AI228">
            <v>51.3</v>
          </cell>
          <cell r="AU228">
            <v>98.868627192961327</v>
          </cell>
          <cell r="AV228">
            <v>100.35917829753656</v>
          </cell>
          <cell r="AX228" t="str">
            <v>R. Regis</v>
          </cell>
        </row>
        <row r="229">
          <cell r="A229" t="str">
            <v>CA186</v>
          </cell>
          <cell r="P229">
            <v>60</v>
          </cell>
          <cell r="Q229">
            <v>10.388170055452859</v>
          </cell>
          <cell r="T229">
            <v>0.55069444444444449</v>
          </cell>
          <cell r="U229">
            <v>0.65902777777777777</v>
          </cell>
          <cell r="V229">
            <v>61</v>
          </cell>
          <cell r="Z229">
            <v>0.25277777777777777</v>
          </cell>
          <cell r="AF229">
            <v>49.6</v>
          </cell>
          <cell r="AG229">
            <v>12.1</v>
          </cell>
          <cell r="AI229">
            <v>49</v>
          </cell>
          <cell r="AU229">
            <v>98.076814194365696</v>
          </cell>
          <cell r="AV229">
            <v>99.555232832016557</v>
          </cell>
          <cell r="AX229" t="str">
            <v>R. Regis</v>
          </cell>
        </row>
        <row r="230">
          <cell r="A230" t="str">
            <v>CA187</v>
          </cell>
          <cell r="P230">
            <v>61</v>
          </cell>
          <cell r="Q230">
            <v>9.6487985212569285</v>
          </cell>
          <cell r="T230">
            <v>0.65</v>
          </cell>
          <cell r="U230">
            <v>0.76180555555555551</v>
          </cell>
          <cell r="V230">
            <v>61</v>
          </cell>
          <cell r="Z230">
            <v>0.25138888888888888</v>
          </cell>
          <cell r="AF230">
            <v>50.9</v>
          </cell>
          <cell r="AG230">
            <v>11.9</v>
          </cell>
          <cell r="AI230">
            <v>50.7</v>
          </cell>
          <cell r="AU230">
            <v>99.593534238465153</v>
          </cell>
          <cell r="AV230">
            <v>101.09491519651482</v>
          </cell>
          <cell r="AX230" t="str">
            <v>D. Gomaz</v>
          </cell>
        </row>
        <row r="231">
          <cell r="A231" t="str">
            <v>CA188</v>
          </cell>
          <cell r="P231">
            <v>60</v>
          </cell>
          <cell r="Q231">
            <v>10.942698706099819</v>
          </cell>
          <cell r="T231">
            <v>0.75347222222222221</v>
          </cell>
          <cell r="U231">
            <v>0.8618055555555556</v>
          </cell>
          <cell r="V231">
            <v>62</v>
          </cell>
          <cell r="Z231">
            <v>0.25763888888888897</v>
          </cell>
          <cell r="AF231">
            <v>49.7</v>
          </cell>
          <cell r="AG231">
            <v>11.9</v>
          </cell>
          <cell r="AI231">
            <v>49.5</v>
          </cell>
          <cell r="AU231">
            <v>96.043228742840341</v>
          </cell>
          <cell r="AV231">
            <v>97.492031779407711</v>
          </cell>
          <cell r="AX231" t="str">
            <v>D. Gomaz</v>
          </cell>
        </row>
        <row r="232">
          <cell r="A232" t="str">
            <v>CA189</v>
          </cell>
          <cell r="P232">
            <v>60</v>
          </cell>
          <cell r="Q232">
            <v>11.497227356746762</v>
          </cell>
          <cell r="T232">
            <v>0.90138888888888891</v>
          </cell>
          <cell r="U232">
            <v>1.0083333333333333</v>
          </cell>
          <cell r="V232">
            <v>54</v>
          </cell>
          <cell r="Z232">
            <v>0.23749999999999993</v>
          </cell>
          <cell r="AF232">
            <v>48.6</v>
          </cell>
          <cell r="AG232">
            <v>12</v>
          </cell>
          <cell r="AI232">
            <v>47.3</v>
          </cell>
          <cell r="AU232">
            <v>93.852195272622652</v>
          </cell>
          <cell r="AV232">
            <v>95.26693162815431</v>
          </cell>
          <cell r="AX232" t="str">
            <v>D. Gomaz</v>
          </cell>
        </row>
        <row r="233">
          <cell r="A233" t="str">
            <v>CA190</v>
          </cell>
          <cell r="P233">
            <v>55</v>
          </cell>
          <cell r="Q233">
            <v>11.333333333333329</v>
          </cell>
          <cell r="T233">
            <v>0.99305555555555558</v>
          </cell>
          <cell r="U233">
            <v>1.0979166666666667</v>
          </cell>
          <cell r="V233">
            <v>52</v>
          </cell>
          <cell r="Z233">
            <v>0.23680555555555549</v>
          </cell>
          <cell r="AF233">
            <v>49.8</v>
          </cell>
          <cell r="AG233">
            <v>12</v>
          </cell>
          <cell r="AI233">
            <v>49.5</v>
          </cell>
          <cell r="AU233">
            <v>97.973702378244013</v>
          </cell>
          <cell r="AV233">
            <v>99.450761526786664</v>
          </cell>
          <cell r="AX233" t="str">
            <v>K. Benjamin</v>
          </cell>
        </row>
        <row r="234">
          <cell r="A234" t="str">
            <v>CA191</v>
          </cell>
          <cell r="P234">
            <v>61</v>
          </cell>
          <cell r="Q234">
            <v>10.777777777777779</v>
          </cell>
          <cell r="T234">
            <v>1.0868055555555556</v>
          </cell>
          <cell r="U234">
            <v>1.1881944444444446</v>
          </cell>
          <cell r="V234">
            <v>51</v>
          </cell>
          <cell r="Z234">
            <v>0.23680555555555571</v>
          </cell>
          <cell r="AF234">
            <v>49.3</v>
          </cell>
          <cell r="AG234">
            <v>12.2</v>
          </cell>
          <cell r="AI234">
            <v>48.4</v>
          </cell>
          <cell r="AU234">
            <v>97.595557441238071</v>
          </cell>
          <cell r="AV234">
            <v>99.066818729964609</v>
          </cell>
          <cell r="AX234" t="str">
            <v>K. Benjamin</v>
          </cell>
        </row>
        <row r="235">
          <cell r="A235" t="str">
            <v>CA192</v>
          </cell>
          <cell r="P235">
            <v>60</v>
          </cell>
          <cell r="Q235">
            <v>10.407407407407403</v>
          </cell>
          <cell r="T235">
            <v>0.17916666666666667</v>
          </cell>
          <cell r="U235">
            <v>0.28749999999999998</v>
          </cell>
          <cell r="V235">
            <v>54</v>
          </cell>
          <cell r="Z235">
            <v>0.24236111111111108</v>
          </cell>
          <cell r="AF235">
            <v>50.4</v>
          </cell>
          <cell r="AG235">
            <v>12</v>
          </cell>
          <cell r="AI235">
            <v>49.9</v>
          </cell>
          <cell r="AU235">
            <v>99.011089727354573</v>
          </cell>
          <cell r="AV235">
            <v>100.5035917176512</v>
          </cell>
          <cell r="AX235" t="str">
            <v>K. Benjamin</v>
          </cell>
        </row>
        <row r="236">
          <cell r="A236" t="str">
            <v>CA193</v>
          </cell>
          <cell r="P236">
            <v>59</v>
          </cell>
          <cell r="Q236">
            <v>10.222222222222214</v>
          </cell>
          <cell r="T236">
            <v>0.26944444444444443</v>
          </cell>
          <cell r="U236">
            <v>0.37708333333333333</v>
          </cell>
          <cell r="V236">
            <v>58</v>
          </cell>
          <cell r="Z236">
            <v>0.24166666666666667</v>
          </cell>
          <cell r="AF236">
            <v>50</v>
          </cell>
          <cell r="AG236">
            <v>12</v>
          </cell>
          <cell r="AI236">
            <v>49.2</v>
          </cell>
          <cell r="AU236">
            <v>97.622156604926758</v>
          </cell>
          <cell r="AV236">
            <v>99.093721693555892</v>
          </cell>
          <cell r="AX236" t="str">
            <v>K. Benjamin</v>
          </cell>
        </row>
        <row r="237">
          <cell r="A237" t="str">
            <v>CA194</v>
          </cell>
          <cell r="P237">
            <v>60</v>
          </cell>
          <cell r="Q237">
            <v>9.6487985212569285</v>
          </cell>
          <cell r="T237">
            <v>0.36388888888888887</v>
          </cell>
          <cell r="U237">
            <v>0.4777777777777778</v>
          </cell>
          <cell r="V237">
            <v>60</v>
          </cell>
          <cell r="Z237">
            <v>0.24861111111111114</v>
          </cell>
          <cell r="AF237">
            <v>50.6</v>
          </cell>
          <cell r="AG237">
            <v>11.8</v>
          </cell>
          <cell r="AI237">
            <v>50.7</v>
          </cell>
          <cell r="AU237">
            <v>98.713591365675498</v>
          </cell>
          <cell r="AV237">
            <v>100.20170711044119</v>
          </cell>
          <cell r="AX237" t="str">
            <v>R. Regis</v>
          </cell>
        </row>
        <row r="238">
          <cell r="A238" t="str">
            <v>CA195</v>
          </cell>
          <cell r="P238">
            <v>61</v>
          </cell>
          <cell r="Q238">
            <v>9.2791127541589713</v>
          </cell>
          <cell r="T238">
            <v>0.47847222222222224</v>
          </cell>
          <cell r="U238">
            <v>0.58680555555555558</v>
          </cell>
          <cell r="V238">
            <v>62</v>
          </cell>
          <cell r="Z238">
            <v>0.24652777777777779</v>
          </cell>
          <cell r="AF238">
            <v>51.1</v>
          </cell>
          <cell r="AG238">
            <v>11.6</v>
          </cell>
          <cell r="AI238">
            <v>50.5</v>
          </cell>
          <cell r="AU238">
            <v>96.451431959126339</v>
          </cell>
          <cell r="AV238">
            <v>97.905541240566563</v>
          </cell>
          <cell r="AX238" t="str">
            <v>R. Regis</v>
          </cell>
        </row>
        <row r="239">
          <cell r="A239" t="str">
            <v>CA196</v>
          </cell>
          <cell r="P239">
            <v>60</v>
          </cell>
          <cell r="Q239">
            <v>10.018484288354902</v>
          </cell>
          <cell r="T239">
            <v>0.57499999999999996</v>
          </cell>
          <cell r="U239">
            <v>0.68263888888888891</v>
          </cell>
          <cell r="V239">
            <v>61</v>
          </cell>
          <cell r="Z239">
            <v>0.24513888888888891</v>
          </cell>
          <cell r="AF239">
            <v>49.4</v>
          </cell>
          <cell r="AG239">
            <v>12</v>
          </cell>
          <cell r="AI239">
            <v>49</v>
          </cell>
          <cell r="AU239">
            <v>97.225318569947376</v>
          </cell>
          <cell r="AV239">
            <v>98.690901686671509</v>
          </cell>
          <cell r="AX239" t="str">
            <v>R. Regis</v>
          </cell>
        </row>
        <row r="240">
          <cell r="A240" t="str">
            <v>CA197</v>
          </cell>
          <cell r="P240">
            <v>61</v>
          </cell>
          <cell r="Q240">
            <v>9.4639556377079437</v>
          </cell>
          <cell r="T240">
            <v>0.72083333333333333</v>
          </cell>
          <cell r="U240">
            <v>0.83611111111111114</v>
          </cell>
          <cell r="V240">
            <v>61</v>
          </cell>
          <cell r="Z240">
            <v>0.25277777777777777</v>
          </cell>
          <cell r="AF240">
            <v>50.5</v>
          </cell>
          <cell r="AG240">
            <v>12</v>
          </cell>
          <cell r="AI240">
            <v>49.1</v>
          </cell>
          <cell r="AU240">
            <v>97.302716492359181</v>
          </cell>
          <cell r="AV240">
            <v>98.769563178995895</v>
          </cell>
          <cell r="AX240" t="str">
            <v>D. Gomaz</v>
          </cell>
        </row>
        <row r="241">
          <cell r="A241" t="str">
            <v>CA198</v>
          </cell>
          <cell r="P241">
            <v>60</v>
          </cell>
          <cell r="Q241">
            <v>8.5555555555555518</v>
          </cell>
          <cell r="T241">
            <v>0.8125</v>
          </cell>
          <cell r="U241">
            <v>0.9145833333333333</v>
          </cell>
          <cell r="V241">
            <v>52</v>
          </cell>
          <cell r="Z241">
            <v>0.24097222222222214</v>
          </cell>
          <cell r="AF241">
            <v>50.5</v>
          </cell>
          <cell r="AG241">
            <v>11.8</v>
          </cell>
          <cell r="AI241">
            <v>49.5</v>
          </cell>
          <cell r="AU241">
            <v>96.377175001990878</v>
          </cell>
          <cell r="AV241">
            <v>97.830069072324235</v>
          </cell>
          <cell r="AX241" t="str">
            <v>D. Gomaz</v>
          </cell>
        </row>
        <row r="242">
          <cell r="A242" t="str">
            <v>CA199</v>
          </cell>
          <cell r="P242">
            <v>59</v>
          </cell>
          <cell r="Q242">
            <v>7.2592592592592622</v>
          </cell>
          <cell r="T242">
            <v>0.91319444444444442</v>
          </cell>
          <cell r="U242">
            <v>1.0159722222222223</v>
          </cell>
          <cell r="V242">
            <v>53</v>
          </cell>
          <cell r="Z242">
            <v>0.25208333333333344</v>
          </cell>
          <cell r="AF242">
            <v>51.2</v>
          </cell>
          <cell r="AG242">
            <v>11.9</v>
          </cell>
          <cell r="AI242">
            <v>50.3</v>
          </cell>
          <cell r="AU242">
            <v>98.562914042619013</v>
          </cell>
          <cell r="AV242">
            <v>100.04895382761427</v>
          </cell>
          <cell r="AX242" t="str">
            <v>K. Benjamin</v>
          </cell>
        </row>
        <row r="243">
          <cell r="A243" t="str">
            <v>CA200</v>
          </cell>
          <cell r="P243">
            <v>60</v>
          </cell>
          <cell r="Q243">
            <v>8.3703703703703631</v>
          </cell>
          <cell r="T243">
            <v>0.99861111111111112</v>
          </cell>
          <cell r="U243">
            <v>1.117361111111111</v>
          </cell>
          <cell r="V243">
            <v>55</v>
          </cell>
          <cell r="Z243">
            <v>0.2631944444444444</v>
          </cell>
          <cell r="AF243">
            <v>51.4</v>
          </cell>
          <cell r="AG243">
            <v>11.9</v>
          </cell>
          <cell r="AI243">
            <v>50.3</v>
          </cell>
          <cell r="AU243">
            <v>97.595442540704411</v>
          </cell>
          <cell r="AV243">
            <v>99.067660575842567</v>
          </cell>
          <cell r="AX243" t="str">
            <v>K. Benjamin</v>
          </cell>
        </row>
        <row r="244">
          <cell r="A244" t="str">
            <v>CA201</v>
          </cell>
          <cell r="P244">
            <v>62</v>
          </cell>
          <cell r="Q244">
            <v>6.7037037037036988</v>
          </cell>
          <cell r="T244">
            <v>1.1006944444444444</v>
          </cell>
          <cell r="U244">
            <v>1.2215277777777778</v>
          </cell>
          <cell r="V244">
            <v>53</v>
          </cell>
          <cell r="Z244">
            <v>0.27708333333333335</v>
          </cell>
          <cell r="AF244">
            <v>52</v>
          </cell>
          <cell r="AG244">
            <v>11.9</v>
          </cell>
          <cell r="AI244">
            <v>51</v>
          </cell>
          <cell r="AU244">
            <v>100.18284509194719</v>
          </cell>
          <cell r="AV244">
            <v>101.69310996099121</v>
          </cell>
          <cell r="AX244" t="str">
            <v>K. Benjamin</v>
          </cell>
        </row>
        <row r="245">
          <cell r="A245" t="str">
            <v>CA202</v>
          </cell>
          <cell r="P245">
            <v>60</v>
          </cell>
          <cell r="Q245">
            <v>9.4814814814814774</v>
          </cell>
          <cell r="T245">
            <v>0.25694444444444442</v>
          </cell>
          <cell r="U245">
            <v>0.38124999999999998</v>
          </cell>
          <cell r="V245">
            <v>60</v>
          </cell>
          <cell r="Z245">
            <v>0.33958333333333329</v>
          </cell>
          <cell r="AF245">
            <v>49.6</v>
          </cell>
          <cell r="AG245">
            <v>12</v>
          </cell>
          <cell r="AI245">
            <v>48.6</v>
          </cell>
          <cell r="AU245">
            <v>96.311853798954317</v>
          </cell>
          <cell r="AV245">
            <v>97.763763146623234</v>
          </cell>
          <cell r="AX245" t="str">
            <v>K. Benjamin</v>
          </cell>
        </row>
        <row r="246">
          <cell r="A246" t="str">
            <v>CA203</v>
          </cell>
          <cell r="P246">
            <v>61</v>
          </cell>
          <cell r="Q246">
            <v>6.8761552680221785</v>
          </cell>
          <cell r="T246">
            <v>0.36319444444444443</v>
          </cell>
          <cell r="U246">
            <v>0.47152777777777777</v>
          </cell>
          <cell r="V246">
            <v>60</v>
          </cell>
          <cell r="Z246">
            <v>0.25972222222222219</v>
          </cell>
          <cell r="AF246">
            <v>51.1</v>
          </cell>
          <cell r="AG246">
            <v>11.7</v>
          </cell>
          <cell r="AI246">
            <v>49.8</v>
          </cell>
          <cell r="AU246">
            <v>96.096956507805032</v>
          </cell>
          <cell r="AV246">
            <v>97.545626260621376</v>
          </cell>
          <cell r="AX246" t="str">
            <v>D. Gomaz</v>
          </cell>
        </row>
        <row r="247">
          <cell r="A247" t="str">
            <v>CA204</v>
          </cell>
          <cell r="P247">
            <v>60</v>
          </cell>
          <cell r="Q247">
            <v>7.2458410351201517</v>
          </cell>
          <cell r="T247">
            <v>0.46458333333333335</v>
          </cell>
          <cell r="U247">
            <v>0.57152777777777775</v>
          </cell>
          <cell r="V247">
            <v>63</v>
          </cell>
          <cell r="Z247">
            <v>0.26944444444444443</v>
          </cell>
          <cell r="AF247">
            <v>50.9</v>
          </cell>
          <cell r="AG247">
            <v>12</v>
          </cell>
          <cell r="AI247">
            <v>50.4</v>
          </cell>
          <cell r="AU247">
            <v>99.508128433796273</v>
          </cell>
          <cell r="AV247">
            <v>101.00851760886052</v>
          </cell>
          <cell r="AX247" t="str">
            <v>D. Gomaz</v>
          </cell>
        </row>
        <row r="248">
          <cell r="A248" t="str">
            <v>CA205</v>
          </cell>
          <cell r="P248">
            <v>60</v>
          </cell>
          <cell r="Q248">
            <v>13.92592592592592</v>
          </cell>
          <cell r="T248">
            <v>0.35208333333333336</v>
          </cell>
          <cell r="U248">
            <v>0.46319444444444446</v>
          </cell>
          <cell r="V248">
            <v>57</v>
          </cell>
          <cell r="Z248">
            <v>0.40625</v>
          </cell>
          <cell r="AF248">
            <v>49.2</v>
          </cell>
          <cell r="AG248">
            <v>11.6</v>
          </cell>
          <cell r="AI248">
            <v>49.3</v>
          </cell>
          <cell r="AU248">
            <v>94.924305937938897</v>
          </cell>
          <cell r="AV248">
            <v>95.816639822262445</v>
          </cell>
          <cell r="AX248" t="str">
            <v>K. Benjamin</v>
          </cell>
        </row>
        <row r="249">
          <cell r="A249" t="str">
            <v>CA206</v>
          </cell>
          <cell r="P249">
            <v>61</v>
          </cell>
          <cell r="Q249">
            <v>13.370370370370368</v>
          </cell>
          <cell r="T249">
            <v>0.45277777777777778</v>
          </cell>
          <cell r="U249">
            <v>0.57361111111111107</v>
          </cell>
          <cell r="V249">
            <v>60</v>
          </cell>
          <cell r="Z249">
            <v>0.43333333333333329</v>
          </cell>
          <cell r="AF249">
            <v>49.2</v>
          </cell>
          <cell r="AG249">
            <v>11.9</v>
          </cell>
          <cell r="AI249">
            <v>49.3</v>
          </cell>
          <cell r="AU249">
            <v>97.266996516441111</v>
          </cell>
          <cell r="AV249">
            <v>98.181473434534439</v>
          </cell>
          <cell r="AX249" t="str">
            <v>K. Benjamin</v>
          </cell>
        </row>
        <row r="250">
          <cell r="A250" t="str">
            <v>CA207</v>
          </cell>
          <cell r="P250">
            <v>59</v>
          </cell>
          <cell r="Q250">
            <v>11.703703703703704</v>
          </cell>
          <cell r="T250">
            <v>0.55972222222222223</v>
          </cell>
          <cell r="U250">
            <v>0.67152777777777772</v>
          </cell>
          <cell r="V250">
            <v>59</v>
          </cell>
          <cell r="Z250">
            <v>0.26527777777777772</v>
          </cell>
          <cell r="AF250">
            <v>50.2</v>
          </cell>
          <cell r="AG250">
            <v>12.1</v>
          </cell>
          <cell r="AI250">
            <v>50.6</v>
          </cell>
          <cell r="AU250">
            <v>101.97538590361592</v>
          </cell>
          <cell r="AV250">
            <v>102.93393984628038</v>
          </cell>
          <cell r="AX250" t="str">
            <v>K. Benjamin</v>
          </cell>
        </row>
        <row r="251">
          <cell r="A251" t="str">
            <v>CA208</v>
          </cell>
          <cell r="P251">
            <v>60</v>
          </cell>
          <cell r="Q251">
            <v>10.203327171903888</v>
          </cell>
          <cell r="T251">
            <v>0.64375000000000004</v>
          </cell>
          <cell r="U251">
            <v>0.74791666666666667</v>
          </cell>
          <cell r="V251">
            <v>57</v>
          </cell>
          <cell r="Z251">
            <v>0.24444444444444446</v>
          </cell>
          <cell r="AF251">
            <v>48.8</v>
          </cell>
          <cell r="AG251">
            <v>11.7</v>
          </cell>
          <cell r="AI251">
            <v>48</v>
          </cell>
          <cell r="AU251">
            <v>93.260037484866757</v>
          </cell>
          <cell r="AV251">
            <v>94.136726449602932</v>
          </cell>
          <cell r="AX251" t="str">
            <v>R. Regis</v>
          </cell>
        </row>
        <row r="252">
          <cell r="A252" t="str">
            <v>CA209</v>
          </cell>
          <cell r="P252">
            <v>58</v>
          </cell>
          <cell r="Q252">
            <v>12.606284658040664</v>
          </cell>
          <cell r="T252">
            <v>0.97152777777777777</v>
          </cell>
          <cell r="U252">
            <v>1.0805555555555555</v>
          </cell>
          <cell r="V252">
            <v>64</v>
          </cell>
          <cell r="Z252">
            <v>0.25763888888888886</v>
          </cell>
          <cell r="AF252">
            <v>49.5</v>
          </cell>
          <cell r="AG252">
            <v>11.8</v>
          </cell>
          <cell r="AI252">
            <v>49.8</v>
          </cell>
          <cell r="AU252">
            <v>97.506312070474038</v>
          </cell>
          <cell r="AV252">
            <v>98.422978581853457</v>
          </cell>
          <cell r="AX252" t="str">
            <v>R.Sookram</v>
          </cell>
        </row>
        <row r="253">
          <cell r="A253" t="str">
            <v>CA210</v>
          </cell>
          <cell r="P253">
            <v>57</v>
          </cell>
          <cell r="Q253">
            <v>13.530499075785581</v>
          </cell>
          <cell r="T253">
            <v>1.0770833333333334</v>
          </cell>
          <cell r="U253">
            <v>1.1805555555555556</v>
          </cell>
          <cell r="V253">
            <v>60</v>
          </cell>
          <cell r="Z253">
            <v>0.26041666666666674</v>
          </cell>
          <cell r="AF253">
            <v>49</v>
          </cell>
          <cell r="AG253">
            <v>12</v>
          </cell>
          <cell r="AI253">
            <v>49.3</v>
          </cell>
          <cell r="AU253">
            <v>97.162294174609158</v>
          </cell>
          <cell r="AV253">
            <v>98.076262761818725</v>
          </cell>
          <cell r="AX253" t="str">
            <v>R.Sookram</v>
          </cell>
        </row>
        <row r="254">
          <cell r="A254" t="str">
            <v>CA211</v>
          </cell>
          <cell r="P254">
            <v>57</v>
          </cell>
          <cell r="Q254">
            <v>12.975970425138639</v>
          </cell>
          <cell r="T254">
            <v>1.1784722222222221</v>
          </cell>
          <cell r="U254">
            <v>1.2875000000000001</v>
          </cell>
          <cell r="V254">
            <v>62</v>
          </cell>
          <cell r="Z254">
            <v>0.27013888888888893</v>
          </cell>
          <cell r="AF254">
            <v>50.6</v>
          </cell>
          <cell r="AG254">
            <v>11.8</v>
          </cell>
          <cell r="AI254">
            <v>51.1</v>
          </cell>
          <cell r="AU254">
            <v>99.189410098175131</v>
          </cell>
          <cell r="AV254">
            <v>100.12232639184218</v>
          </cell>
          <cell r="AX254" t="str">
            <v>R.Sookram</v>
          </cell>
        </row>
        <row r="255">
          <cell r="A255" t="str">
            <v>CA212</v>
          </cell>
          <cell r="P255">
            <v>59</v>
          </cell>
          <cell r="Q255">
            <v>12.791127541589651</v>
          </cell>
          <cell r="T255">
            <v>0.27916666666666667</v>
          </cell>
          <cell r="U255">
            <v>0.38124999999999998</v>
          </cell>
          <cell r="V255">
            <v>52</v>
          </cell>
          <cell r="Z255">
            <v>0.25624999999999998</v>
          </cell>
          <cell r="AF255">
            <v>49.5</v>
          </cell>
          <cell r="AG255">
            <v>11.8</v>
          </cell>
          <cell r="AI255">
            <v>49.7</v>
          </cell>
          <cell r="AU255">
            <v>96.590809413258498</v>
          </cell>
          <cell r="AV255">
            <v>97.499225885734944</v>
          </cell>
          <cell r="AX255" t="str">
            <v>R.Sookram</v>
          </cell>
        </row>
        <row r="256">
          <cell r="A256" t="str">
            <v>CA213</v>
          </cell>
          <cell r="P256">
            <v>61</v>
          </cell>
          <cell r="Q256">
            <v>12.814814814814818</v>
          </cell>
          <cell r="T256">
            <v>0.38750000000000001</v>
          </cell>
          <cell r="U256">
            <v>0.49722222222222223</v>
          </cell>
          <cell r="V256">
            <v>57</v>
          </cell>
          <cell r="Z256">
            <v>0.27152777777777781</v>
          </cell>
          <cell r="AF256">
            <v>51</v>
          </cell>
          <cell r="AG256">
            <v>11.9</v>
          </cell>
          <cell r="AI256">
            <v>51.5</v>
          </cell>
          <cell r="AU256">
            <v>104.8589466494704</v>
          </cell>
          <cell r="AV256">
            <v>105.84312765999002</v>
          </cell>
          <cell r="AX256" t="str">
            <v>K. Benjamin</v>
          </cell>
        </row>
        <row r="257">
          <cell r="A257" t="str">
            <v>CA214</v>
          </cell>
          <cell r="P257">
            <v>60</v>
          </cell>
          <cell r="Q257">
            <v>10.962962962962965</v>
          </cell>
          <cell r="T257">
            <v>0.47638888888888886</v>
          </cell>
          <cell r="U257">
            <v>0.58750000000000002</v>
          </cell>
          <cell r="V257">
            <v>53</v>
          </cell>
          <cell r="Z257">
            <v>0.25416666666666671</v>
          </cell>
          <cell r="AF257">
            <v>50</v>
          </cell>
          <cell r="AG257">
            <v>12</v>
          </cell>
          <cell r="AI257">
            <v>49.9</v>
          </cell>
          <cell r="AU257">
            <v>98.830299448787045</v>
          </cell>
          <cell r="AV257">
            <v>99.759717407358224</v>
          </cell>
          <cell r="AX257" t="str">
            <v>K. Benjamin</v>
          </cell>
        </row>
        <row r="258">
          <cell r="A258" t="str">
            <v>CA215</v>
          </cell>
          <cell r="P258">
            <v>62</v>
          </cell>
          <cell r="Q258">
            <v>10.592592592592592</v>
          </cell>
          <cell r="T258">
            <v>0.56944444444444442</v>
          </cell>
          <cell r="U258">
            <v>0.67638888888888893</v>
          </cell>
          <cell r="V258">
            <v>56</v>
          </cell>
          <cell r="Z258">
            <v>0.25277777777777782</v>
          </cell>
          <cell r="AF258">
            <v>50.2</v>
          </cell>
          <cell r="AG258">
            <v>11.9</v>
          </cell>
          <cell r="AI258">
            <v>50</v>
          </cell>
          <cell r="AU258">
            <v>98.040070014500969</v>
          </cell>
          <cell r="AV258">
            <v>98.962116481498398</v>
          </cell>
          <cell r="AX258" t="str">
            <v>K. Benjamin</v>
          </cell>
        </row>
        <row r="259">
          <cell r="A259" t="str">
            <v>CA216</v>
          </cell>
          <cell r="P259">
            <v>60</v>
          </cell>
          <cell r="Q259">
            <v>10.573012939001845</v>
          </cell>
          <cell r="T259">
            <v>0.65486111111111112</v>
          </cell>
          <cell r="U259">
            <v>0.76527777777777772</v>
          </cell>
          <cell r="V259">
            <v>63</v>
          </cell>
          <cell r="Z259">
            <v>0.24444444444444435</v>
          </cell>
          <cell r="AF259">
            <v>52</v>
          </cell>
          <cell r="AG259">
            <v>11.6</v>
          </cell>
          <cell r="AI259">
            <v>52.3</v>
          </cell>
          <cell r="AU259">
            <v>99.708815326021792</v>
          </cell>
          <cell r="AV259">
            <v>100.64661683474951</v>
          </cell>
          <cell r="AX259" t="str">
            <v>R. Regis</v>
          </cell>
        </row>
        <row r="260">
          <cell r="A260" t="str">
            <v>CA217</v>
          </cell>
          <cell r="P260">
            <v>60</v>
          </cell>
          <cell r="Q260">
            <v>12.05175600739372</v>
          </cell>
          <cell r="T260">
            <v>0.90347222222222223</v>
          </cell>
          <cell r="U260">
            <v>1.0131944444444445</v>
          </cell>
          <cell r="V260">
            <v>57</v>
          </cell>
          <cell r="Z260">
            <v>0.24236111111111114</v>
          </cell>
          <cell r="AF260">
            <v>51.5</v>
          </cell>
          <cell r="AG260">
            <v>11.5</v>
          </cell>
          <cell r="AI260">
            <v>52</v>
          </cell>
          <cell r="AU260">
            <v>97.755708503233933</v>
          </cell>
          <cell r="AV260">
            <v>98.675377385759916</v>
          </cell>
          <cell r="AX260" t="str">
            <v>R. Regis</v>
          </cell>
        </row>
        <row r="261">
          <cell r="A261" t="str">
            <v>CA218</v>
          </cell>
          <cell r="P261">
            <v>58</v>
          </cell>
          <cell r="Q261">
            <v>12.236598890942693</v>
          </cell>
          <cell r="T261">
            <v>0.99791666666666667</v>
          </cell>
          <cell r="U261">
            <v>1.1048611111111111</v>
          </cell>
          <cell r="V261">
            <v>63</v>
          </cell>
          <cell r="Z261">
            <v>0.24374999999999991</v>
          </cell>
          <cell r="AF261">
            <v>49.8</v>
          </cell>
          <cell r="AG261">
            <v>11.9</v>
          </cell>
          <cell r="AI261">
            <v>49.8</v>
          </cell>
          <cell r="AU261">
            <v>97.407767694541405</v>
          </cell>
          <cell r="AV261">
            <v>98.323986213905386</v>
          </cell>
          <cell r="AX261" t="str">
            <v>R.Sookram</v>
          </cell>
        </row>
        <row r="262">
          <cell r="A262" t="str">
            <v>CA219</v>
          </cell>
          <cell r="P262">
            <v>59</v>
          </cell>
          <cell r="Q262">
            <v>13.530499075785581</v>
          </cell>
          <cell r="T262">
            <v>1.0930555555555554</v>
          </cell>
          <cell r="U262">
            <v>1.2145833333333333</v>
          </cell>
          <cell r="V262">
            <v>60</v>
          </cell>
          <cell r="Z262">
            <v>0.25972222222222219</v>
          </cell>
          <cell r="AF262">
            <v>50.2</v>
          </cell>
          <cell r="AG262">
            <v>11.9</v>
          </cell>
          <cell r="AI262">
            <v>50.5</v>
          </cell>
          <cell r="AU262">
            <v>98.655643022911761</v>
          </cell>
          <cell r="AV262">
            <v>99.583658972307319</v>
          </cell>
          <cell r="AX262" t="str">
            <v>R.Sookram</v>
          </cell>
        </row>
        <row r="263">
          <cell r="A263" t="str">
            <v>CA220</v>
          </cell>
          <cell r="P263">
            <v>58</v>
          </cell>
          <cell r="Q263">
            <v>11.312384473197778</v>
          </cell>
          <cell r="T263">
            <v>0.20902777777777778</v>
          </cell>
          <cell r="U263">
            <v>0.31458333333333333</v>
          </cell>
          <cell r="V263">
            <v>61</v>
          </cell>
          <cell r="Z263">
            <v>0.27291666666666664</v>
          </cell>
          <cell r="AF263">
            <v>51.2</v>
          </cell>
          <cell r="AG263">
            <v>11.7</v>
          </cell>
          <cell r="AI263">
            <v>49.7</v>
          </cell>
          <cell r="AU263">
            <v>95.847937505992363</v>
          </cell>
          <cell r="AV263">
            <v>96.749308795029492</v>
          </cell>
          <cell r="AX263" t="str">
            <v>R.Sookram</v>
          </cell>
        </row>
        <row r="264">
          <cell r="A264" t="str">
            <v>CA221</v>
          </cell>
          <cell r="P264">
            <v>60</v>
          </cell>
          <cell r="Q264">
            <v>11.127541589648803</v>
          </cell>
          <cell r="T264">
            <v>0.29236111111111113</v>
          </cell>
          <cell r="U264">
            <v>0.41597222222222224</v>
          </cell>
          <cell r="V264">
            <v>52</v>
          </cell>
          <cell r="Z264">
            <v>0.25972222222222224</v>
          </cell>
          <cell r="AF264">
            <v>50</v>
          </cell>
          <cell r="AG264">
            <v>11.8</v>
          </cell>
          <cell r="AI264">
            <v>49.8</v>
          </cell>
          <cell r="AU264">
            <v>96.904607911463032</v>
          </cell>
          <cell r="AV264">
            <v>97.815916319547796</v>
          </cell>
          <cell r="AX264" t="str">
            <v>R.Sookram</v>
          </cell>
        </row>
        <row r="265">
          <cell r="A265" t="str">
            <v>CA222</v>
          </cell>
          <cell r="P265">
            <v>45</v>
          </cell>
          <cell r="Q265">
            <v>9.4814814814814774</v>
          </cell>
          <cell r="T265">
            <v>0.40208333333333335</v>
          </cell>
          <cell r="U265">
            <v>0.49444444444444446</v>
          </cell>
          <cell r="V265">
            <v>52</v>
          </cell>
          <cell r="Z265">
            <v>0.25486111111111109</v>
          </cell>
          <cell r="AF265">
            <v>50.4</v>
          </cell>
          <cell r="AG265">
            <v>11.9</v>
          </cell>
          <cell r="AI265">
            <v>49.9</v>
          </cell>
          <cell r="AU265">
            <v>97.843989874471959</v>
          </cell>
          <cell r="AV265">
            <v>98.764192248535394</v>
          </cell>
          <cell r="AX265" t="str">
            <v>K. Benjamin</v>
          </cell>
        </row>
        <row r="266">
          <cell r="A266" t="str">
            <v>CA223</v>
          </cell>
          <cell r="P266">
            <v>45</v>
          </cell>
          <cell r="Q266">
            <v>8.9259259259259256</v>
          </cell>
          <cell r="T266">
            <v>0.48749999999999999</v>
          </cell>
          <cell r="U266">
            <v>0.58611111111111114</v>
          </cell>
          <cell r="V266">
            <v>51</v>
          </cell>
          <cell r="Z266">
            <v>0.22847222222222224</v>
          </cell>
          <cell r="AF266">
            <v>49.9</v>
          </cell>
          <cell r="AG266">
            <v>12</v>
          </cell>
          <cell r="AI266">
            <v>49.2</v>
          </cell>
          <cell r="AU266">
            <v>97.685025256417518</v>
          </cell>
          <cell r="AV266">
            <v>98.60355290388766</v>
          </cell>
          <cell r="AX266" t="str">
            <v>K. Benjamin</v>
          </cell>
        </row>
        <row r="267">
          <cell r="A267" t="str">
            <v>CA224</v>
          </cell>
          <cell r="P267">
            <v>48</v>
          </cell>
          <cell r="Q267">
            <v>8.9259259259259256</v>
          </cell>
          <cell r="T267">
            <v>0.58888888888888891</v>
          </cell>
          <cell r="U267">
            <v>0.68888888888888888</v>
          </cell>
          <cell r="V267">
            <v>59</v>
          </cell>
          <cell r="Z267">
            <v>0.25486111111111109</v>
          </cell>
          <cell r="AF267">
            <v>52.9</v>
          </cell>
          <cell r="AG267">
            <v>11.7</v>
          </cell>
          <cell r="AI267">
            <v>52.6</v>
          </cell>
          <cell r="AU267">
            <v>101.44067430211668</v>
          </cell>
          <cell r="AV267">
            <v>102.39464069655031</v>
          </cell>
          <cell r="AX267" t="str">
            <v>K. Benjamin</v>
          </cell>
        </row>
        <row r="268">
          <cell r="A268" t="str">
            <v>CA225</v>
          </cell>
          <cell r="P268">
            <v>60</v>
          </cell>
          <cell r="Q268">
            <v>12.259259259259254</v>
          </cell>
          <cell r="T268">
            <v>0.75347222222222221</v>
          </cell>
          <cell r="U268">
            <v>0.86458333333333337</v>
          </cell>
          <cell r="V268">
            <v>53</v>
          </cell>
          <cell r="Z268">
            <v>0.23958333333333337</v>
          </cell>
          <cell r="AF268">
            <v>50.5</v>
          </cell>
          <cell r="AG268">
            <v>11.5</v>
          </cell>
          <cell r="AI268">
            <v>51.1</v>
          </cell>
          <cell r="AU268">
            <v>97.441660983042127</v>
          </cell>
          <cell r="AV268">
            <v>97.805887826125385</v>
          </cell>
          <cell r="AX268" t="str">
            <v>K. Benjamin</v>
          </cell>
        </row>
        <row r="269">
          <cell r="A269" t="str">
            <v>CA226</v>
          </cell>
          <cell r="P269">
            <v>60</v>
          </cell>
          <cell r="Q269">
            <v>11.888888888888891</v>
          </cell>
          <cell r="T269">
            <v>0.84375</v>
          </cell>
          <cell r="U269">
            <v>0.95</v>
          </cell>
          <cell r="V269">
            <v>51</v>
          </cell>
          <cell r="Z269">
            <v>0.24166666666666659</v>
          </cell>
          <cell r="AF269">
            <v>48.7</v>
          </cell>
          <cell r="AG269">
            <v>12.1</v>
          </cell>
          <cell r="AI269">
            <v>48.3</v>
          </cell>
          <cell r="AU269">
            <v>96.686043099880422</v>
          </cell>
          <cell r="AV269">
            <v>97.047539438795766</v>
          </cell>
          <cell r="AX269" t="str">
            <v>K. Benjamin</v>
          </cell>
        </row>
        <row r="270">
          <cell r="A270" t="str">
            <v>CA227</v>
          </cell>
          <cell r="P270">
            <v>60</v>
          </cell>
          <cell r="Q270">
            <v>11.518518518518517</v>
          </cell>
          <cell r="T270">
            <v>0.84791666666666665</v>
          </cell>
          <cell r="U270">
            <v>1.0395833333333333</v>
          </cell>
          <cell r="V270">
            <v>60</v>
          </cell>
          <cell r="Z270">
            <v>0.24791666666666667</v>
          </cell>
          <cell r="AF270">
            <v>50.9</v>
          </cell>
          <cell r="AG270">
            <v>11.6</v>
          </cell>
          <cell r="AI270">
            <v>51.8</v>
          </cell>
          <cell r="AU270">
            <v>99.558186680524798</v>
          </cell>
          <cell r="AV270">
            <v>99.930349143857782</v>
          </cell>
          <cell r="AX270" t="str">
            <v>K. Benjamin</v>
          </cell>
        </row>
        <row r="271">
          <cell r="A271" t="str">
            <v>CA228</v>
          </cell>
          <cell r="P271">
            <v>62</v>
          </cell>
          <cell r="Q271">
            <v>11.497227356746762</v>
          </cell>
          <cell r="T271">
            <v>1.0166666666666666</v>
          </cell>
          <cell r="U271">
            <v>1.1256944444444446</v>
          </cell>
          <cell r="V271">
            <v>62</v>
          </cell>
          <cell r="Z271">
            <v>0.24722222222222234</v>
          </cell>
          <cell r="AF271">
            <v>50.2</v>
          </cell>
          <cell r="AG271">
            <v>11.9</v>
          </cell>
          <cell r="AI271">
            <v>50.7</v>
          </cell>
          <cell r="AU271">
            <v>100.34481040419453</v>
          </cell>
          <cell r="AV271">
            <v>100.71986440083928</v>
          </cell>
          <cell r="AX271" t="str">
            <v>R. Regis</v>
          </cell>
        </row>
        <row r="272">
          <cell r="A272" t="str">
            <v>CA229</v>
          </cell>
          <cell r="P272">
            <v>60</v>
          </cell>
          <cell r="Q272">
            <v>10.942698706099819</v>
          </cell>
          <cell r="T272">
            <v>1.10625</v>
          </cell>
          <cell r="U272">
            <v>1.2201388888888889</v>
          </cell>
          <cell r="V272">
            <v>60</v>
          </cell>
          <cell r="Z272">
            <v>0.24791666666666667</v>
          </cell>
          <cell r="AF272">
            <v>50.5</v>
          </cell>
          <cell r="AG272">
            <v>11.7</v>
          </cell>
          <cell r="AI272">
            <v>51.4</v>
          </cell>
          <cell r="AU272">
            <v>99.932598886125291</v>
          </cell>
          <cell r="AV272">
            <v>100.30611217950205</v>
          </cell>
          <cell r="AX272" t="str">
            <v>R. Regis</v>
          </cell>
        </row>
        <row r="273">
          <cell r="A273" t="str">
            <v>CA230</v>
          </cell>
          <cell r="P273">
            <v>60</v>
          </cell>
          <cell r="Q273">
            <v>12.606284658040664</v>
          </cell>
          <cell r="T273">
            <v>0.20694444444444443</v>
          </cell>
          <cell r="U273">
            <v>0.3215277777777778</v>
          </cell>
          <cell r="V273">
            <v>61</v>
          </cell>
          <cell r="Z273">
            <v>0.25208333333333333</v>
          </cell>
          <cell r="AF273">
            <v>50</v>
          </cell>
          <cell r="AG273">
            <v>11.6</v>
          </cell>
          <cell r="AI273">
            <v>50.5</v>
          </cell>
          <cell r="AU273">
            <v>97.05962214993248</v>
          </cell>
          <cell r="AV273">
            <v>97.422444628664451</v>
          </cell>
          <cell r="AX273" t="str">
            <v>R. Regis</v>
          </cell>
        </row>
        <row r="274">
          <cell r="A274" t="str">
            <v>CA231</v>
          </cell>
          <cell r="P274">
            <v>58</v>
          </cell>
          <cell r="Q274">
            <v>11.866913123844734</v>
          </cell>
          <cell r="T274">
            <v>0.30972222222222223</v>
          </cell>
          <cell r="U274">
            <v>0.42638888888888887</v>
          </cell>
          <cell r="V274">
            <v>62</v>
          </cell>
          <cell r="Z274">
            <v>0.30138888888888887</v>
          </cell>
          <cell r="AF274">
            <v>50.4</v>
          </cell>
          <cell r="AG274">
            <v>11.7</v>
          </cell>
          <cell r="AI274">
            <v>50.9</v>
          </cell>
          <cell r="AU274">
            <v>98.473296044522911</v>
          </cell>
          <cell r="AV274">
            <v>98.841450860971889</v>
          </cell>
          <cell r="AX274" t="str">
            <v>R.Sookram</v>
          </cell>
        </row>
        <row r="275">
          <cell r="A275" t="str">
            <v>CA232</v>
          </cell>
          <cell r="P275">
            <v>59</v>
          </cell>
          <cell r="Q275">
            <v>9.2791127541589713</v>
          </cell>
          <cell r="T275">
            <v>0.50277777777777777</v>
          </cell>
          <cell r="U275">
            <v>0.61041666666666672</v>
          </cell>
          <cell r="V275">
            <v>61</v>
          </cell>
          <cell r="Z275">
            <v>0.34652777777777782</v>
          </cell>
          <cell r="AF275">
            <v>49.8</v>
          </cell>
          <cell r="AG275">
            <v>11.8</v>
          </cell>
          <cell r="AI275">
            <v>49.6</v>
          </cell>
          <cell r="AU275">
            <v>96.821336097738467</v>
          </cell>
          <cell r="AV275">
            <v>97.183314853921161</v>
          </cell>
          <cell r="AX275" t="str">
            <v>R.Sookram</v>
          </cell>
        </row>
        <row r="276">
          <cell r="A276" t="str">
            <v>CA233</v>
          </cell>
          <cell r="P276">
            <v>60</v>
          </cell>
          <cell r="Q276">
            <v>7.6296296296296253</v>
          </cell>
          <cell r="T276">
            <v>0.70277777777777772</v>
          </cell>
          <cell r="U276">
            <v>0.76597222222222228</v>
          </cell>
          <cell r="V276">
            <v>53</v>
          </cell>
          <cell r="Z276">
            <v>0.23472222222222228</v>
          </cell>
          <cell r="AF276">
            <v>50.6</v>
          </cell>
          <cell r="AG276">
            <v>11.7</v>
          </cell>
          <cell r="AI276">
            <v>48.8</v>
          </cell>
          <cell r="AU276">
            <v>94.526889247991434</v>
          </cell>
          <cell r="AV276">
            <v>94.880266999122568</v>
          </cell>
          <cell r="AX276" t="str">
            <v>K. Benjamin</v>
          </cell>
        </row>
        <row r="277">
          <cell r="A277" t="str">
            <v>CA234</v>
          </cell>
          <cell r="P277">
            <v>61</v>
          </cell>
          <cell r="Q277">
            <v>8</v>
          </cell>
          <cell r="T277">
            <v>0.74305555555555558</v>
          </cell>
          <cell r="U277">
            <v>0.85069444444444442</v>
          </cell>
          <cell r="V277">
            <v>58</v>
          </cell>
          <cell r="Z277">
            <v>0.23611111111111105</v>
          </cell>
          <cell r="AF277">
            <v>50.8</v>
          </cell>
          <cell r="AG277">
            <v>11.9</v>
          </cell>
          <cell r="AI277">
            <v>50.2</v>
          </cell>
          <cell r="AU277">
            <v>99.232478638628749</v>
          </cell>
          <cell r="AV277">
            <v>99.60339937275053</v>
          </cell>
          <cell r="AX277" t="str">
            <v>K. Benjamin</v>
          </cell>
        </row>
        <row r="278">
          <cell r="A278" t="str">
            <v>CA235</v>
          </cell>
          <cell r="P278">
            <v>63</v>
          </cell>
          <cell r="Q278">
            <v>8.9259259259259256</v>
          </cell>
          <cell r="T278">
            <v>0.82499999999999996</v>
          </cell>
          <cell r="U278">
            <v>0.93402777777777779</v>
          </cell>
          <cell r="V278">
            <v>57</v>
          </cell>
          <cell r="Z278">
            <v>0.23611111111111116</v>
          </cell>
          <cell r="AF278">
            <v>49.9</v>
          </cell>
          <cell r="AG278">
            <v>11.9</v>
          </cell>
          <cell r="AI278">
            <v>49.4</v>
          </cell>
          <cell r="AU278">
            <v>97.771866547676723</v>
          </cell>
          <cell r="AV278">
            <v>98.137303775176733</v>
          </cell>
          <cell r="AX278" t="str">
            <v>K. Benjamin</v>
          </cell>
        </row>
        <row r="279">
          <cell r="A279" t="str">
            <v>CA236</v>
          </cell>
          <cell r="P279">
            <v>60</v>
          </cell>
          <cell r="Q279">
            <v>10.222222222222214</v>
          </cell>
          <cell r="T279">
            <v>0.92222222222222228</v>
          </cell>
          <cell r="U279">
            <v>1.0277777777777777</v>
          </cell>
          <cell r="V279">
            <v>59</v>
          </cell>
          <cell r="Z279">
            <v>0.24652777777777768</v>
          </cell>
          <cell r="AF279">
            <v>50</v>
          </cell>
          <cell r="AG279">
            <v>12</v>
          </cell>
          <cell r="AI279">
            <v>49.3</v>
          </cell>
          <cell r="AU279">
            <v>98.557950595645067</v>
          </cell>
          <cell r="AV279">
            <v>98.926301790365244</v>
          </cell>
          <cell r="AX279" t="str">
            <v>K. Benjamin</v>
          </cell>
        </row>
        <row r="280">
          <cell r="A280" t="str">
            <v>CA237</v>
          </cell>
          <cell r="P280">
            <v>60</v>
          </cell>
          <cell r="Q280">
            <v>8.5397412199630267</v>
          </cell>
          <cell r="T280">
            <v>1.0493055555555555</v>
          </cell>
          <cell r="U280">
            <v>1.1611111111111112</v>
          </cell>
          <cell r="V280">
            <v>63</v>
          </cell>
          <cell r="Z280">
            <v>0.24444444444444458</v>
          </cell>
          <cell r="AF280">
            <v>51.9</v>
          </cell>
          <cell r="AG280">
            <v>11.6</v>
          </cell>
          <cell r="AI280">
            <v>52.2</v>
          </cell>
          <cell r="AU280">
            <v>99.798300055092355</v>
          </cell>
          <cell r="AV280">
            <v>100.45417588477869</v>
          </cell>
          <cell r="AX280" t="str">
            <v>R. Regis</v>
          </cell>
        </row>
        <row r="281">
          <cell r="A281" t="str">
            <v>CA238</v>
          </cell>
          <cell r="P281">
            <v>60</v>
          </cell>
          <cell r="Q281">
            <v>8.9094269870609999</v>
          </cell>
          <cell r="T281">
            <v>1.1472222222222221</v>
          </cell>
          <cell r="U281">
            <v>1.2597222222222222</v>
          </cell>
          <cell r="V281">
            <v>54</v>
          </cell>
          <cell r="Z281">
            <v>0.25277777777777777</v>
          </cell>
          <cell r="AF281">
            <v>51.7</v>
          </cell>
          <cell r="AG281">
            <v>11.6</v>
          </cell>
          <cell r="AI281">
            <v>52</v>
          </cell>
          <cell r="AU281">
            <v>99.38157832321258</v>
          </cell>
          <cell r="AV281">
            <v>100.31618060773371</v>
          </cell>
          <cell r="AX281" t="str">
            <v>R. Regis</v>
          </cell>
        </row>
        <row r="282">
          <cell r="A282" t="str">
            <v>CA239</v>
          </cell>
          <cell r="P282">
            <v>60</v>
          </cell>
          <cell r="Q282">
            <v>8.7245841035120115</v>
          </cell>
          <cell r="T282">
            <v>0.24930555555555556</v>
          </cell>
          <cell r="U282">
            <v>0.36249999999999999</v>
          </cell>
          <cell r="V282">
            <v>61</v>
          </cell>
          <cell r="Z282">
            <v>0.26180555555555551</v>
          </cell>
          <cell r="AF282">
            <v>50.5</v>
          </cell>
          <cell r="AG282">
            <v>12</v>
          </cell>
          <cell r="AI282">
            <v>49.7</v>
          </cell>
          <cell r="AU282">
            <v>98.434186024142619</v>
          </cell>
          <cell r="AV282">
            <v>99.359878860635362</v>
          </cell>
          <cell r="AX282" t="str">
            <v>R. Regis</v>
          </cell>
        </row>
        <row r="283">
          <cell r="A283" t="str">
            <v>CA240</v>
          </cell>
          <cell r="P283">
            <v>58</v>
          </cell>
          <cell r="Q283">
            <v>8.7245841035120115</v>
          </cell>
          <cell r="T283">
            <v>0.39374999999999999</v>
          </cell>
          <cell r="U283">
            <v>0.50208333333333333</v>
          </cell>
          <cell r="V283">
            <v>62</v>
          </cell>
          <cell r="Z283">
            <v>0.23819444444444443</v>
          </cell>
          <cell r="AF283">
            <v>51.3</v>
          </cell>
          <cell r="AG283">
            <v>11.7</v>
          </cell>
          <cell r="AI283">
            <v>51.2</v>
          </cell>
          <cell r="AU283">
            <v>98.376488030672363</v>
          </cell>
          <cell r="AV283">
            <v>99.301818344024184</v>
          </cell>
          <cell r="AX283" t="str">
            <v>R.Sookram</v>
          </cell>
        </row>
        <row r="284">
          <cell r="A284" t="str">
            <v>CA241</v>
          </cell>
          <cell r="P284">
            <v>58</v>
          </cell>
          <cell r="Q284">
            <v>3.918367346938779</v>
          </cell>
          <cell r="T284">
            <v>0.52708333333333335</v>
          </cell>
          <cell r="U284">
            <v>0.68055555555555558</v>
          </cell>
          <cell r="V284">
            <v>60</v>
          </cell>
          <cell r="Z284">
            <v>0.28819444444444448</v>
          </cell>
          <cell r="AF284">
            <v>47.8</v>
          </cell>
          <cell r="AG284">
            <v>11.6</v>
          </cell>
          <cell r="AI284">
            <v>49.2</v>
          </cell>
          <cell r="AU284">
            <v>107.26927617311497</v>
          </cell>
          <cell r="AV284">
            <v>108.27056188525863</v>
          </cell>
          <cell r="AX284" t="str">
            <v>R.Sookram</v>
          </cell>
        </row>
        <row r="285">
          <cell r="A285" t="str">
            <v>CA242</v>
          </cell>
          <cell r="P285">
            <v>56</v>
          </cell>
          <cell r="Q285">
            <v>14.269870609981513</v>
          </cell>
          <cell r="T285">
            <v>0.46111111111111114</v>
          </cell>
          <cell r="U285">
            <v>0.57777777777777772</v>
          </cell>
          <cell r="V285">
            <v>49</v>
          </cell>
          <cell r="Z285">
            <v>0.25972222222222219</v>
          </cell>
          <cell r="AF285">
            <v>47.1</v>
          </cell>
          <cell r="AG285">
            <v>11.7</v>
          </cell>
          <cell r="AI285">
            <v>48.8</v>
          </cell>
          <cell r="AU285">
            <v>104.13717497046395</v>
          </cell>
          <cell r="AV285">
            <v>105.11099556567784</v>
          </cell>
          <cell r="AX285" t="str">
            <v>R.Sookram</v>
          </cell>
        </row>
        <row r="286">
          <cell r="A286" t="str">
            <v>CA243</v>
          </cell>
          <cell r="P286">
            <v>57</v>
          </cell>
          <cell r="Q286">
            <v>8.7245841035120115</v>
          </cell>
          <cell r="T286">
            <v>0.67847222222222225</v>
          </cell>
          <cell r="U286">
            <v>0.78819444444444442</v>
          </cell>
          <cell r="V286">
            <v>56</v>
          </cell>
          <cell r="Z286">
            <v>0.24513888888888891</v>
          </cell>
          <cell r="AF286">
            <v>50.5</v>
          </cell>
          <cell r="AG286">
            <v>11.9</v>
          </cell>
          <cell r="AI286">
            <v>49</v>
          </cell>
          <cell r="AU286">
            <v>95.960980995714607</v>
          </cell>
          <cell r="AV286">
            <v>96.863532615273257</v>
          </cell>
          <cell r="AX286" t="str">
            <v>R.Sookram</v>
          </cell>
        </row>
        <row r="287">
          <cell r="A287" t="str">
            <v>CA244</v>
          </cell>
          <cell r="P287">
            <v>57</v>
          </cell>
          <cell r="Q287">
            <v>7.8003696857670963</v>
          </cell>
          <cell r="T287">
            <v>0.77777777777777779</v>
          </cell>
          <cell r="U287">
            <v>0.88680555555555551</v>
          </cell>
          <cell r="V287">
            <v>65</v>
          </cell>
          <cell r="Z287">
            <v>0.25486111111111109</v>
          </cell>
          <cell r="AF287">
            <v>51.8</v>
          </cell>
          <cell r="AG287">
            <v>11.7</v>
          </cell>
          <cell r="AI287">
            <v>51.6</v>
          </cell>
          <cell r="AU287">
            <v>98.780662674884439</v>
          </cell>
          <cell r="AV287">
            <v>99.709974149869879</v>
          </cell>
          <cell r="AX287" t="str">
            <v>R.Sookram</v>
          </cell>
        </row>
        <row r="288">
          <cell r="A288" t="str">
            <v>CA245</v>
          </cell>
          <cell r="P288">
            <v>58</v>
          </cell>
          <cell r="Q288">
            <v>9.6487985212569285</v>
          </cell>
          <cell r="T288">
            <v>0.875</v>
          </cell>
          <cell r="U288">
            <v>0.98333333333333328</v>
          </cell>
          <cell r="V288">
            <v>66</v>
          </cell>
          <cell r="Z288">
            <v>0.26111111111111107</v>
          </cell>
          <cell r="AF288">
            <v>50.4</v>
          </cell>
          <cell r="AG288">
            <v>12</v>
          </cell>
          <cell r="AI288">
            <v>49.2</v>
          </cell>
          <cell r="AU288">
            <v>97.564314880534255</v>
          </cell>
          <cell r="AV288">
            <v>98.481767466983399</v>
          </cell>
          <cell r="AX288" t="str">
            <v>R.Sookram</v>
          </cell>
        </row>
        <row r="289">
          <cell r="A289" t="str">
            <v>CA246</v>
          </cell>
          <cell r="P289">
            <v>60</v>
          </cell>
          <cell r="Q289">
            <v>10.203327171903888</v>
          </cell>
          <cell r="T289">
            <v>0.96597222222222223</v>
          </cell>
          <cell r="U289">
            <v>1.08125</v>
          </cell>
          <cell r="V289">
            <v>61</v>
          </cell>
          <cell r="Z289">
            <v>0.25625000000000009</v>
          </cell>
          <cell r="AF289">
            <v>51.8</v>
          </cell>
          <cell r="AG289">
            <v>11.6</v>
          </cell>
          <cell r="AI289">
            <v>51.6</v>
          </cell>
          <cell r="AU289">
            <v>98.861130500688475</v>
          </cell>
          <cell r="AV289">
            <v>99.790717009845579</v>
          </cell>
          <cell r="AX289" t="str">
            <v>R.Sookram</v>
          </cell>
        </row>
        <row r="290">
          <cell r="A290" t="str">
            <v>CA247</v>
          </cell>
          <cell r="P290">
            <v>59</v>
          </cell>
          <cell r="Q290">
            <v>7.0740740740740744</v>
          </cell>
          <cell r="T290">
            <v>1.054861111111111</v>
          </cell>
          <cell r="U290">
            <v>1.1576388888888889</v>
          </cell>
          <cell r="V290">
            <v>53</v>
          </cell>
          <cell r="Z290">
            <v>0.23750000000000004</v>
          </cell>
          <cell r="AF290">
            <v>51.3</v>
          </cell>
          <cell r="AG290">
            <v>12</v>
          </cell>
          <cell r="AI290">
            <v>50.3</v>
          </cell>
          <cell r="AU290">
            <v>99.745630863635611</v>
          </cell>
          <cell r="AV290">
            <v>100.6835956014078</v>
          </cell>
          <cell r="AX290" t="str">
            <v>K. Benjamin</v>
          </cell>
        </row>
      </sheetData>
      <sheetData sheetId="6"/>
      <sheetData sheetId="7">
        <row r="176">
          <cell r="D176">
            <v>11.8</v>
          </cell>
        </row>
        <row r="177">
          <cell r="D177">
            <v>11.6</v>
          </cell>
        </row>
        <row r="178">
          <cell r="D178">
            <v>11.8</v>
          </cell>
        </row>
        <row r="179">
          <cell r="D179">
            <v>11.7</v>
          </cell>
        </row>
        <row r="180">
          <cell r="D180">
            <v>11.9</v>
          </cell>
        </row>
        <row r="181">
          <cell r="D181">
            <v>11.8</v>
          </cell>
        </row>
        <row r="182">
          <cell r="D182">
            <v>12</v>
          </cell>
        </row>
        <row r="183">
          <cell r="D183">
            <v>11.9</v>
          </cell>
        </row>
        <row r="205">
          <cell r="D205">
            <v>12</v>
          </cell>
        </row>
        <row r="206">
          <cell r="D206">
            <v>12</v>
          </cell>
        </row>
        <row r="235">
          <cell r="D235">
            <v>12</v>
          </cell>
        </row>
        <row r="236">
          <cell r="D236">
            <v>12</v>
          </cell>
        </row>
        <row r="237">
          <cell r="D237">
            <v>12.2</v>
          </cell>
        </row>
        <row r="238">
          <cell r="D238">
            <v>12</v>
          </cell>
        </row>
        <row r="239">
          <cell r="D239">
            <v>12</v>
          </cell>
        </row>
        <row r="240">
          <cell r="D240">
            <v>11.8</v>
          </cell>
        </row>
        <row r="241">
          <cell r="D241">
            <v>11.6</v>
          </cell>
        </row>
        <row r="242">
          <cell r="D242">
            <v>12</v>
          </cell>
        </row>
      </sheetData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ewMaterials"/>
      <sheetName val="Brewhouse"/>
      <sheetName val="Process"/>
      <sheetName val="Summary March '26"/>
      <sheetName val="Summary February '26"/>
      <sheetName val="Summary January '26"/>
      <sheetName val="Summary December '25"/>
      <sheetName val="Guinnbottling"/>
    </sheetNames>
    <sheetDataSet>
      <sheetData sheetId="0"/>
      <sheetData sheetId="1">
        <row r="16">
          <cell r="AU16">
            <v>96.003306141833193</v>
          </cell>
        </row>
        <row r="17">
          <cell r="AU17">
            <v>97.325117100528743</v>
          </cell>
        </row>
        <row r="18">
          <cell r="AU18">
            <v>99.121575646105413</v>
          </cell>
        </row>
        <row r="19">
          <cell r="AU19">
            <v>98.312989092995309</v>
          </cell>
        </row>
        <row r="20">
          <cell r="AU20">
            <v>97.776942468215154</v>
          </cell>
        </row>
        <row r="21">
          <cell r="AU21">
            <v>100.27176158202545</v>
          </cell>
        </row>
        <row r="22">
          <cell r="AU22">
            <v>99.294375681877099</v>
          </cell>
        </row>
        <row r="23">
          <cell r="AU23">
            <v>94.0155703648322</v>
          </cell>
        </row>
        <row r="25">
          <cell r="AU25">
            <v>103.50405139576692</v>
          </cell>
        </row>
        <row r="26">
          <cell r="AU26">
            <v>95.716844988758396</v>
          </cell>
        </row>
        <row r="27">
          <cell r="AU27">
            <v>95.930260280243118</v>
          </cell>
        </row>
        <row r="28">
          <cell r="AU28">
            <v>91.893952811328091</v>
          </cell>
        </row>
        <row r="29">
          <cell r="AU29">
            <v>113.58212162131902</v>
          </cell>
        </row>
        <row r="30">
          <cell r="AU30">
            <v>90.487433811004081</v>
          </cell>
        </row>
        <row r="31">
          <cell r="AU31">
            <v>102.62581305950147</v>
          </cell>
        </row>
        <row r="32">
          <cell r="AU32">
            <v>97.191888885824653</v>
          </cell>
        </row>
        <row r="34">
          <cell r="A34" t="str">
            <v>GU017</v>
          </cell>
          <cell r="O34">
            <v>60</v>
          </cell>
          <cell r="R34">
            <v>16.928571428571423</v>
          </cell>
          <cell r="T34">
            <v>0.83819444444444446</v>
          </cell>
          <cell r="U34">
            <v>0.95833333333333337</v>
          </cell>
          <cell r="V34">
            <v>62</v>
          </cell>
          <cell r="Z34">
            <v>0.26736111111111116</v>
          </cell>
          <cell r="AF34">
            <v>49.5</v>
          </cell>
          <cell r="AG34">
            <v>17.3</v>
          </cell>
          <cell r="AI34">
            <v>48.4</v>
          </cell>
          <cell r="AU34">
            <v>90.907169651305182</v>
          </cell>
          <cell r="AV34">
            <v>92.090918440810455</v>
          </cell>
          <cell r="AW34" t="str">
            <v>K. Benjamin</v>
          </cell>
        </row>
        <row r="35">
          <cell r="A35" t="str">
            <v>GU018</v>
          </cell>
          <cell r="O35">
            <v>59</v>
          </cell>
          <cell r="R35">
            <v>13.714285714285715</v>
          </cell>
          <cell r="T35">
            <v>0.94861111111111107</v>
          </cell>
          <cell r="U35">
            <v>1.0645833333333334</v>
          </cell>
          <cell r="V35">
            <v>60</v>
          </cell>
          <cell r="Z35">
            <v>0.2694444444444446</v>
          </cell>
          <cell r="AF35">
            <v>49.7</v>
          </cell>
          <cell r="AG35">
            <v>17.100000000000001</v>
          </cell>
          <cell r="AI35">
            <v>49.2</v>
          </cell>
          <cell r="AU35">
            <v>91.553613748299583</v>
          </cell>
          <cell r="AV35">
            <v>92.744944283945514</v>
          </cell>
          <cell r="AW35" t="str">
            <v>K. Benjamin</v>
          </cell>
        </row>
        <row r="36">
          <cell r="A36" t="str">
            <v>GU019</v>
          </cell>
          <cell r="O36">
            <v>60</v>
          </cell>
          <cell r="R36">
            <v>12.263814616755797</v>
          </cell>
          <cell r="T36">
            <v>1.054861111111111</v>
          </cell>
          <cell r="U36">
            <v>1.1701388888888888</v>
          </cell>
          <cell r="V36">
            <v>61</v>
          </cell>
          <cell r="Z36">
            <v>0.27083333333333326</v>
          </cell>
          <cell r="AF36">
            <v>51.2</v>
          </cell>
          <cell r="AG36">
            <v>17.5</v>
          </cell>
          <cell r="AI36">
            <v>50.3</v>
          </cell>
          <cell r="AU36">
            <v>95.905976258581575</v>
          </cell>
          <cell r="AV36">
            <v>97.153941394964903</v>
          </cell>
          <cell r="AW36" t="str">
            <v>R. Regis</v>
          </cell>
        </row>
        <row r="37">
          <cell r="A37" t="str">
            <v>GU020</v>
          </cell>
          <cell r="O37">
            <v>59</v>
          </cell>
          <cell r="R37">
            <v>12.107142857142859</v>
          </cell>
          <cell r="T37">
            <v>1.1631944444444444</v>
          </cell>
          <cell r="U37">
            <v>1.2840277777777778</v>
          </cell>
          <cell r="V37">
            <v>60</v>
          </cell>
          <cell r="Z37">
            <v>0.28055555555555545</v>
          </cell>
          <cell r="AF37">
            <v>50.9</v>
          </cell>
          <cell r="AG37">
            <v>17.5</v>
          </cell>
          <cell r="AI37">
            <v>50.4</v>
          </cell>
          <cell r="AU37">
            <v>96.879053203911113</v>
          </cell>
          <cell r="AV37">
            <v>97.191655936131852</v>
          </cell>
          <cell r="AW37" t="str">
            <v>R. Regis</v>
          </cell>
        </row>
        <row r="38">
          <cell r="A38" t="str">
            <v>GU021</v>
          </cell>
          <cell r="O38">
            <v>58</v>
          </cell>
          <cell r="R38">
            <v>11.194295900178256</v>
          </cell>
          <cell r="T38">
            <v>0.27083333333333331</v>
          </cell>
          <cell r="U38">
            <v>0.39374999999999999</v>
          </cell>
          <cell r="V38">
            <v>67</v>
          </cell>
          <cell r="Z38">
            <v>0.26874999999999999</v>
          </cell>
          <cell r="AF38">
            <v>51.5</v>
          </cell>
          <cell r="AG38">
            <v>17.399999999999999</v>
          </cell>
          <cell r="AI38">
            <v>50</v>
          </cell>
          <cell r="AU38">
            <v>95.469150075246716</v>
          </cell>
          <cell r="AV38">
            <v>95.777257404595858</v>
          </cell>
          <cell r="AW38" t="str">
            <v>R. Regis</v>
          </cell>
        </row>
        <row r="39">
          <cell r="A39" t="str">
            <v>GU022</v>
          </cell>
          <cell r="O39">
            <v>60</v>
          </cell>
          <cell r="R39">
            <v>14.581105169340464</v>
          </cell>
          <cell r="T39">
            <v>0.50208333333333333</v>
          </cell>
          <cell r="U39">
            <v>0.61527777777777781</v>
          </cell>
          <cell r="V39">
            <v>63</v>
          </cell>
          <cell r="Z39">
            <v>0.30277777777777781</v>
          </cell>
          <cell r="AF39">
            <v>50</v>
          </cell>
          <cell r="AG39">
            <v>17.2</v>
          </cell>
          <cell r="AI39">
            <v>50.3</v>
          </cell>
          <cell r="AU39">
            <v>94.854987439727708</v>
          </cell>
          <cell r="AV39">
            <v>95.161112683667412</v>
          </cell>
          <cell r="AW39" t="str">
            <v>D. Gomaz</v>
          </cell>
        </row>
        <row r="40">
          <cell r="A40" t="str">
            <v>GU023</v>
          </cell>
          <cell r="O40">
            <v>59</v>
          </cell>
          <cell r="R40">
            <v>11.729055258467019</v>
          </cell>
          <cell r="T40">
            <v>0.6</v>
          </cell>
          <cell r="U40">
            <v>0.72777777777777775</v>
          </cell>
          <cell r="V40">
            <v>57</v>
          </cell>
          <cell r="Z40">
            <v>0.26944444444444443</v>
          </cell>
          <cell r="AF40">
            <v>50.9</v>
          </cell>
          <cell r="AG40">
            <v>17.5</v>
          </cell>
          <cell r="AI40">
            <v>50.1</v>
          </cell>
          <cell r="AU40">
            <v>96.379391191673903</v>
          </cell>
          <cell r="AV40">
            <v>96.690327070285321</v>
          </cell>
          <cell r="AW40" t="str">
            <v>D. Gomaz</v>
          </cell>
        </row>
        <row r="41">
          <cell r="A41" t="str">
            <v>GU024</v>
          </cell>
          <cell r="O41">
            <v>59</v>
          </cell>
          <cell r="R41">
            <v>13.892857142857146</v>
          </cell>
          <cell r="T41">
            <v>0.74652777777777779</v>
          </cell>
          <cell r="U41">
            <v>0.86319444444444449</v>
          </cell>
          <cell r="V41">
            <v>59</v>
          </cell>
          <cell r="Z41">
            <v>0.27986111111111112</v>
          </cell>
          <cell r="AF41">
            <v>51</v>
          </cell>
          <cell r="AG41">
            <v>17.600000000000001</v>
          </cell>
          <cell r="AI41">
            <v>50.1</v>
          </cell>
          <cell r="AU41">
            <v>96.151545309064119</v>
          </cell>
          <cell r="AV41">
            <v>96.462340316811449</v>
          </cell>
          <cell r="AW41" t="str">
            <v>K. Benjamin</v>
          </cell>
        </row>
      </sheetData>
      <sheetData sheetId="2">
        <row r="35">
          <cell r="D35">
            <v>17.3</v>
          </cell>
        </row>
        <row r="36">
          <cell r="D36">
            <v>17.100000000000001</v>
          </cell>
        </row>
        <row r="37">
          <cell r="D37">
            <v>17.5</v>
          </cell>
        </row>
        <row r="38">
          <cell r="D38">
            <v>17.5</v>
          </cell>
        </row>
        <row r="39">
          <cell r="D39">
            <v>17.399999999999999</v>
          </cell>
        </row>
        <row r="40">
          <cell r="D40">
            <v>17.2</v>
          </cell>
        </row>
        <row r="41">
          <cell r="D41">
            <v>17.5</v>
          </cell>
        </row>
        <row r="42">
          <cell r="D42">
            <v>17.600000000000001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itaMalt - Operator Performance"/>
      <sheetName val="BrewMaterials"/>
      <sheetName val="Brewhouse"/>
      <sheetName val="Process"/>
      <sheetName val="Summary March '26"/>
      <sheetName val="Summary February '26"/>
      <sheetName val="Packaging"/>
      <sheetName val="Summary January '26 "/>
      <sheetName val="Summary December '25"/>
      <sheetName val="Summary November '25"/>
      <sheetName val="Summary October '25"/>
      <sheetName val="Summary September '25"/>
      <sheetName val="Summary August '25"/>
      <sheetName val="Summary July '25"/>
      <sheetName val="Summary June '25"/>
      <sheetName val="Summary May '25"/>
      <sheetName val="Summary April '25"/>
      <sheetName val="Summary March '25"/>
      <sheetName val="Summary February '25"/>
      <sheetName val="Summary January '25"/>
      <sheetName val="Summary December '24 "/>
    </sheetNames>
    <sheetDataSet>
      <sheetData sheetId="0"/>
      <sheetData sheetId="1"/>
      <sheetData sheetId="2">
        <row r="23">
          <cell r="AV23">
            <v>97.339468430709204</v>
          </cell>
        </row>
        <row r="24">
          <cell r="AV24">
            <v>103.731151868401</v>
          </cell>
        </row>
        <row r="25">
          <cell r="AV25">
            <v>94.959846867032411</v>
          </cell>
        </row>
        <row r="26">
          <cell r="AV26">
            <v>97.339468430709204</v>
          </cell>
        </row>
        <row r="27">
          <cell r="AV27">
            <v>97.058295684709279</v>
          </cell>
        </row>
        <row r="28">
          <cell r="AV28">
            <v>97.867114815415192</v>
          </cell>
        </row>
        <row r="29">
          <cell r="AV29">
            <v>98.093597805251179</v>
          </cell>
        </row>
        <row r="30">
          <cell r="AV30">
            <v>102.88783663744221</v>
          </cell>
        </row>
        <row r="31">
          <cell r="AV31">
            <v>96.899121806418265</v>
          </cell>
        </row>
        <row r="32">
          <cell r="AV32">
            <v>98.250925468415389</v>
          </cell>
        </row>
        <row r="33">
          <cell r="AV33">
            <v>96.894670333550806</v>
          </cell>
        </row>
        <row r="34">
          <cell r="AV34">
            <v>98.444969429182507</v>
          </cell>
        </row>
        <row r="36">
          <cell r="AV36">
            <v>96.535163112888242</v>
          </cell>
        </row>
        <row r="38">
          <cell r="A38" t="str">
            <v>VM014</v>
          </cell>
          <cell r="R38">
            <v>61</v>
          </cell>
          <cell r="S38">
            <v>15.520000000000012</v>
          </cell>
          <cell r="V38">
            <v>0.32291666666666669</v>
          </cell>
          <cell r="W38">
            <v>0.4597222222222222</v>
          </cell>
          <cell r="X38">
            <v>79</v>
          </cell>
          <cell r="AB38">
            <v>0.31041666666666667</v>
          </cell>
          <cell r="AE38">
            <v>50</v>
          </cell>
          <cell r="AH38">
            <v>15.5</v>
          </cell>
          <cell r="AJ38">
            <v>44.2</v>
          </cell>
          <cell r="AV38">
            <v>96.780047980030858</v>
          </cell>
          <cell r="AW38">
            <v>97.096494709841537</v>
          </cell>
          <cell r="AZ38" t="str">
            <v>D. Gomaz</v>
          </cell>
        </row>
        <row r="39">
          <cell r="A39" t="str">
            <v>VM015</v>
          </cell>
          <cell r="R39">
            <v>62</v>
          </cell>
          <cell r="S39">
            <v>13.719999999999999</v>
          </cell>
          <cell r="V39">
            <v>0.44583333333333336</v>
          </cell>
          <cell r="W39">
            <v>0.58472222222222225</v>
          </cell>
          <cell r="X39">
            <v>85</v>
          </cell>
          <cell r="AB39">
            <v>0.31388888888888894</v>
          </cell>
          <cell r="AE39">
            <v>50</v>
          </cell>
          <cell r="AH39">
            <v>14.5</v>
          </cell>
          <cell r="AJ39">
            <v>47.1</v>
          </cell>
          <cell r="AV39">
            <v>97.023341517405328</v>
          </cell>
          <cell r="AW39">
            <v>97.329083955958396</v>
          </cell>
          <cell r="AZ39" t="str">
            <v>D. Gomaz</v>
          </cell>
        </row>
        <row r="40">
          <cell r="A40" t="str">
            <v>VM016</v>
          </cell>
          <cell r="R40">
            <v>62</v>
          </cell>
          <cell r="S40">
            <v>9.5009980039920112</v>
          </cell>
          <cell r="V40">
            <v>0.55902777777777779</v>
          </cell>
          <cell r="W40">
            <v>0.69722222222222219</v>
          </cell>
          <cell r="X40">
            <v>85</v>
          </cell>
          <cell r="AB40">
            <v>0.30138888888888887</v>
          </cell>
          <cell r="AE40">
            <v>50.1</v>
          </cell>
          <cell r="AH40">
            <v>14.3</v>
          </cell>
          <cell r="AJ40">
            <v>47.6</v>
          </cell>
          <cell r="AV40">
            <v>96.378271472837781</v>
          </cell>
          <cell r="AW40">
            <v>96.684538195630623</v>
          </cell>
          <cell r="AZ40" t="str">
            <v>D. Gomaz</v>
          </cell>
        </row>
        <row r="41">
          <cell r="A41" t="str">
            <v>VM017</v>
          </cell>
          <cell r="R41">
            <v>61</v>
          </cell>
          <cell r="S41">
            <v>11.269230769230768</v>
          </cell>
          <cell r="V41">
            <v>0.67569444444444449</v>
          </cell>
          <cell r="W41">
            <v>0.81319444444444444</v>
          </cell>
          <cell r="X41">
            <v>85</v>
          </cell>
          <cell r="AB41">
            <v>0.30277777777777781</v>
          </cell>
          <cell r="AE41">
            <v>52</v>
          </cell>
          <cell r="AH41">
            <v>14.4</v>
          </cell>
          <cell r="AJ41">
            <v>47.4</v>
          </cell>
          <cell r="AV41">
            <v>96.736022639137431</v>
          </cell>
          <cell r="AW41">
            <v>97.043426208188279</v>
          </cell>
          <cell r="AZ41" t="str">
            <v>D. Gomaz</v>
          </cell>
        </row>
        <row r="42">
          <cell r="A42" t="str">
            <v>VM018</v>
          </cell>
          <cell r="R42">
            <v>60</v>
          </cell>
          <cell r="S42">
            <v>14.613935969868169</v>
          </cell>
          <cell r="V42">
            <v>0.7895833333333333</v>
          </cell>
          <cell r="W42">
            <v>0.93055555555555558</v>
          </cell>
          <cell r="X42">
            <v>83</v>
          </cell>
          <cell r="AB42">
            <v>0.30555555555555558</v>
          </cell>
          <cell r="AE42">
            <v>53.1</v>
          </cell>
          <cell r="AH42">
            <v>14.5</v>
          </cell>
          <cell r="AJ42">
            <v>47.6</v>
          </cell>
          <cell r="AV42">
            <v>97.949689692825132</v>
          </cell>
          <cell r="AW42">
            <v>98.259651988138174</v>
          </cell>
          <cell r="AZ42" t="str">
            <v>D. Gomaz</v>
          </cell>
        </row>
        <row r="43">
          <cell r="A43" t="str">
            <v>VM019</v>
          </cell>
          <cell r="R43">
            <v>60</v>
          </cell>
          <cell r="S43">
            <v>10.863723608445303</v>
          </cell>
          <cell r="V43">
            <v>1.0555555555555556</v>
          </cell>
          <cell r="W43">
            <v>1.20625</v>
          </cell>
          <cell r="X43">
            <v>84</v>
          </cell>
          <cell r="AB43">
            <v>0.46666666666666667</v>
          </cell>
          <cell r="AE43">
            <v>52.1</v>
          </cell>
          <cell r="AH43">
            <v>14.4</v>
          </cell>
          <cell r="AJ43">
            <v>47</v>
          </cell>
          <cell r="AV43">
            <v>95.818529932594828</v>
          </cell>
          <cell r="AW43">
            <v>96.124285059000897</v>
          </cell>
          <cell r="AZ43" t="str">
            <v>R. Regis</v>
          </cell>
        </row>
        <row r="44">
          <cell r="A44" t="str">
            <v>VM020</v>
          </cell>
          <cell r="R44">
            <v>61</v>
          </cell>
          <cell r="S44">
            <v>14.091816367265459</v>
          </cell>
          <cell r="V44">
            <v>1.1576388888888889</v>
          </cell>
          <cell r="W44">
            <v>1.3125</v>
          </cell>
          <cell r="X44">
            <v>85</v>
          </cell>
          <cell r="AB44">
            <v>0.31597222222222221</v>
          </cell>
          <cell r="AE44">
            <v>50.1</v>
          </cell>
          <cell r="AH44">
            <v>14.6</v>
          </cell>
          <cell r="AJ44">
            <v>47.2</v>
          </cell>
          <cell r="AV44">
            <v>97.823512224151031</v>
          </cell>
          <cell r="AW44">
            <v>98.133075230217401</v>
          </cell>
          <cell r="AZ44" t="str">
            <v>R. Regis</v>
          </cell>
        </row>
        <row r="45">
          <cell r="A45" t="str">
            <v>VM021</v>
          </cell>
          <cell r="R45">
            <v>61</v>
          </cell>
          <cell r="S45">
            <v>14.719999999999999</v>
          </cell>
          <cell r="V45">
            <v>0.82916666666666672</v>
          </cell>
          <cell r="W45">
            <v>0.97083333333333333</v>
          </cell>
          <cell r="X45">
            <v>71</v>
          </cell>
          <cell r="AB45">
            <v>0.3041666666666667</v>
          </cell>
          <cell r="AE45">
            <v>50</v>
          </cell>
          <cell r="AH45">
            <v>14.3</v>
          </cell>
          <cell r="AJ45">
            <v>47.2</v>
          </cell>
          <cell r="AV45">
            <v>95.481796103254354</v>
          </cell>
          <cell r="AW45">
            <v>95.672586309057451</v>
          </cell>
          <cell r="AZ45" t="str">
            <v>K. Benjamin</v>
          </cell>
        </row>
        <row r="46">
          <cell r="A46" t="str">
            <v>VM022</v>
          </cell>
          <cell r="R46">
            <v>60</v>
          </cell>
          <cell r="S46">
            <v>13.120000000000005</v>
          </cell>
          <cell r="V46">
            <v>0.94166666666666665</v>
          </cell>
          <cell r="W46">
            <v>1.0854166666666667</v>
          </cell>
          <cell r="X46">
            <v>85</v>
          </cell>
          <cell r="AB46">
            <v>0.31458333333333333</v>
          </cell>
          <cell r="AE46">
            <v>50</v>
          </cell>
          <cell r="AH46">
            <v>14.5</v>
          </cell>
          <cell r="AJ46">
            <v>47.8</v>
          </cell>
          <cell r="AV46">
            <v>98.065568882791581</v>
          </cell>
          <cell r="AW46">
            <v>98.262327316270458</v>
          </cell>
          <cell r="AZ46" t="str">
            <v>K. Benjamin</v>
          </cell>
        </row>
        <row r="47">
          <cell r="A47" t="str">
            <v>VM023</v>
          </cell>
          <cell r="R47">
            <v>60</v>
          </cell>
          <cell r="S47">
            <v>13.093812375249492</v>
          </cell>
          <cell r="V47">
            <v>1.0347222222222223</v>
          </cell>
          <cell r="W47">
            <v>1.175</v>
          </cell>
          <cell r="X47">
            <v>87</v>
          </cell>
          <cell r="AB47">
            <v>0.2861111111111112</v>
          </cell>
          <cell r="AE47">
            <v>50.1</v>
          </cell>
          <cell r="AH47">
            <v>14.4</v>
          </cell>
          <cell r="AJ47">
            <v>47.4</v>
          </cell>
          <cell r="AV47">
            <v>97.055454228278464</v>
          </cell>
          <cell r="AW47">
            <v>97.246183925582201</v>
          </cell>
          <cell r="AZ47" t="str">
            <v>R. Regis</v>
          </cell>
        </row>
        <row r="48">
          <cell r="A48" t="str">
            <v>VM024</v>
          </cell>
          <cell r="R48">
            <v>61</v>
          </cell>
          <cell r="S48">
            <v>13.293413173652702</v>
          </cell>
          <cell r="V48">
            <v>1.1625000000000001</v>
          </cell>
          <cell r="W48">
            <v>1.3069444444444445</v>
          </cell>
          <cell r="X48">
            <v>87</v>
          </cell>
          <cell r="AB48">
            <v>0.31388888888888888</v>
          </cell>
          <cell r="AE48">
            <v>50.1</v>
          </cell>
          <cell r="AH48">
            <v>14.3</v>
          </cell>
          <cell r="AJ48">
            <v>48.9</v>
          </cell>
          <cell r="AV48">
            <v>99.652179089121645</v>
          </cell>
          <cell r="AW48">
            <v>99.8455256296361</v>
          </cell>
          <cell r="AZ48" t="str">
            <v>R. Regis</v>
          </cell>
        </row>
        <row r="49">
          <cell r="A49" t="str">
            <v>VM025</v>
          </cell>
          <cell r="R49">
            <v>59</v>
          </cell>
          <cell r="S49">
            <v>12.295409181636733</v>
          </cell>
          <cell r="V49">
            <v>0.25347222222222221</v>
          </cell>
          <cell r="W49">
            <v>0.39930555555555558</v>
          </cell>
          <cell r="X49">
            <v>87</v>
          </cell>
          <cell r="AB49">
            <v>0.29861111111111116</v>
          </cell>
          <cell r="AE49">
            <v>50.1</v>
          </cell>
          <cell r="AH49">
            <v>14.2</v>
          </cell>
          <cell r="AJ49">
            <v>48.9</v>
          </cell>
          <cell r="AV49">
            <v>99.135667211498472</v>
          </cell>
          <cell r="AW49">
            <v>99.326354113480548</v>
          </cell>
          <cell r="AZ49" t="str">
            <v>R. Regis</v>
          </cell>
        </row>
        <row r="50">
          <cell r="A50" t="str">
            <v>VM026</v>
          </cell>
          <cell r="R50">
            <v>57</v>
          </cell>
          <cell r="S50">
            <v>16.287425149700603</v>
          </cell>
          <cell r="V50">
            <v>0.37361111111111112</v>
          </cell>
          <cell r="W50">
            <v>0.52083333333333337</v>
          </cell>
          <cell r="X50">
            <v>97</v>
          </cell>
          <cell r="AB50">
            <v>0.30555555555555558</v>
          </cell>
          <cell r="AE50">
            <v>50.1</v>
          </cell>
          <cell r="AH50">
            <v>14.3</v>
          </cell>
          <cell r="AJ50">
            <v>48.9</v>
          </cell>
          <cell r="AV50">
            <v>99.232905943935492</v>
          </cell>
          <cell r="AW50">
            <v>99.428736469274483</v>
          </cell>
          <cell r="AZ50" t="str">
            <v>R.Sookram</v>
          </cell>
        </row>
        <row r="51">
          <cell r="A51" t="str">
            <v>VM027</v>
          </cell>
          <cell r="R51">
            <v>59</v>
          </cell>
          <cell r="S51">
            <v>13.892215568862277</v>
          </cell>
          <cell r="V51">
            <v>0.47638888888888886</v>
          </cell>
          <cell r="W51">
            <v>0.61388888888888893</v>
          </cell>
          <cell r="X51">
            <v>86</v>
          </cell>
          <cell r="AB51">
            <v>0.29097222222222224</v>
          </cell>
          <cell r="AE51">
            <v>50.1</v>
          </cell>
          <cell r="AH51">
            <v>14.3</v>
          </cell>
          <cell r="AJ51">
            <v>48.3</v>
          </cell>
          <cell r="AV51">
            <v>98.11852940599799</v>
          </cell>
          <cell r="AW51">
            <v>98.311348218318201</v>
          </cell>
          <cell r="AZ51" t="str">
            <v>R.Sookram</v>
          </cell>
        </row>
        <row r="52">
          <cell r="A52" t="str">
            <v>VM028</v>
          </cell>
          <cell r="R52">
            <v>58</v>
          </cell>
          <cell r="S52">
            <v>14.491017964071851</v>
          </cell>
          <cell r="V52">
            <v>0.57708333333333328</v>
          </cell>
          <cell r="W52">
            <v>0.70416666666666672</v>
          </cell>
          <cell r="X52">
            <v>73</v>
          </cell>
          <cell r="AB52">
            <v>0.2770833333333334</v>
          </cell>
          <cell r="AE52">
            <v>50.1</v>
          </cell>
          <cell r="AH52">
            <v>14.2</v>
          </cell>
          <cell r="AJ52">
            <v>45.8</v>
          </cell>
          <cell r="AV52">
            <v>92.3621562467644</v>
          </cell>
          <cell r="AW52">
            <v>92.54366285289322</v>
          </cell>
          <cell r="AZ52" t="str">
            <v>R.Sookram</v>
          </cell>
        </row>
      </sheetData>
      <sheetData sheetId="3">
        <row r="36">
          <cell r="C36" t="str">
            <v>BBT6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January'26"/>
      <sheetName val="Summary October'25"/>
      <sheetName val="Summary September'25"/>
      <sheetName val="Summary August'25"/>
      <sheetName val="Summary July'25"/>
      <sheetName val="Summary June'25"/>
      <sheetName val="Summary May'25"/>
      <sheetName val="Summary April'25"/>
      <sheetName val="Summary March'25 "/>
      <sheetName val="Summary February'25"/>
      <sheetName val="Summary January'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4" t="str">
            <v>MK001</v>
          </cell>
          <cell r="AT4">
            <v>95.757584041187528</v>
          </cell>
        </row>
        <row r="5">
          <cell r="AT5">
            <v>95.858102632741591</v>
          </cell>
        </row>
        <row r="6">
          <cell r="AT6">
            <v>91.101781537342561</v>
          </cell>
        </row>
        <row r="7">
          <cell r="AT7">
            <v>96.220044255599106</v>
          </cell>
        </row>
        <row r="8">
          <cell r="AT8">
            <v>91.159176033097395</v>
          </cell>
        </row>
        <row r="9">
          <cell r="AT9">
            <v>86.497061610388243</v>
          </cell>
        </row>
        <row r="10">
          <cell r="AT10">
            <v>90.533857449292626</v>
          </cell>
        </row>
        <row r="11">
          <cell r="AT11">
            <v>95.482188504770065</v>
          </cell>
        </row>
      </sheetData>
      <sheetData sheetId="8">
        <row r="4">
          <cell r="A4" t="str">
            <v>MK001</v>
          </cell>
        </row>
      </sheetData>
      <sheetData sheetId="9"/>
      <sheetData sheetId="10">
        <row r="22">
          <cell r="E22">
            <v>5765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Apr'14"/>
      <sheetName val="Summary May'14"/>
      <sheetName val="BrewMaterials"/>
      <sheetName val="Brewhouse"/>
      <sheetName val="Process"/>
      <sheetName val="Summary March ' 26"/>
      <sheetName val="Summary February ' 26"/>
      <sheetName val="Summary January ' 26"/>
      <sheetName val="Summary December ' 25"/>
      <sheetName val="Packaging"/>
    </sheetNames>
    <sheetDataSet>
      <sheetData sheetId="0"/>
      <sheetData sheetId="1"/>
      <sheetData sheetId="2"/>
      <sheetData sheetId="3">
        <row r="5">
          <cell r="AY5">
            <v>97.569471586586559</v>
          </cell>
        </row>
        <row r="6">
          <cell r="AY6">
            <v>98.85391885240027</v>
          </cell>
        </row>
        <row r="7">
          <cell r="AY7">
            <v>97.962509317492206</v>
          </cell>
        </row>
        <row r="8">
          <cell r="AY8">
            <v>98.851728693915732</v>
          </cell>
        </row>
        <row r="9">
          <cell r="AY9">
            <v>96.643783230525969</v>
          </cell>
        </row>
        <row r="10">
          <cell r="AY10">
            <v>94.324644249999125</v>
          </cell>
        </row>
        <row r="11">
          <cell r="AY11">
            <v>92.117541140378776</v>
          </cell>
        </row>
        <row r="12">
          <cell r="AY12">
            <v>97.208951553511497</v>
          </cell>
        </row>
        <row r="13">
          <cell r="AY13">
            <v>98.512076526938472</v>
          </cell>
        </row>
        <row r="14">
          <cell r="AY14">
            <v>95.253677266359389</v>
          </cell>
        </row>
        <row r="16">
          <cell r="AY16">
            <v>93.855429141534003</v>
          </cell>
        </row>
        <row r="17">
          <cell r="AY17">
            <v>105.14531945603353</v>
          </cell>
        </row>
        <row r="18">
          <cell r="AY18">
            <v>93.755977480319771</v>
          </cell>
        </row>
        <row r="19">
          <cell r="AY19">
            <v>98.497810820823545</v>
          </cell>
        </row>
        <row r="20">
          <cell r="AY20">
            <v>97.678395385249857</v>
          </cell>
        </row>
        <row r="21">
          <cell r="AY21">
            <v>97.894369029995005</v>
          </cell>
        </row>
        <row r="22">
          <cell r="AY22">
            <v>96.582095881806836</v>
          </cell>
        </row>
        <row r="23">
          <cell r="AY23">
            <v>100.57737346889346</v>
          </cell>
        </row>
        <row r="25">
          <cell r="A25" t="str">
            <v>SM019</v>
          </cell>
          <cell r="T25">
            <v>60</v>
          </cell>
          <cell r="U25">
            <v>11.849056603773587</v>
          </cell>
          <cell r="X25">
            <v>1.1694444444444445</v>
          </cell>
          <cell r="Y25">
            <v>1.2993055555555555</v>
          </cell>
          <cell r="Z25">
            <v>64</v>
          </cell>
          <cell r="AD25">
            <v>0.29930555555555549</v>
          </cell>
          <cell r="AH25">
            <v>53</v>
          </cell>
          <cell r="AK25">
            <v>17</v>
          </cell>
          <cell r="AM25">
            <v>51.7</v>
          </cell>
          <cell r="AY25">
            <v>97.024245488903276</v>
          </cell>
          <cell r="AZ25">
            <v>97.200503676891032</v>
          </cell>
          <cell r="BC25" t="str">
            <v>K. Benjamin</v>
          </cell>
        </row>
        <row r="26">
          <cell r="A26" t="str">
            <v>SM020</v>
          </cell>
          <cell r="T26">
            <v>60</v>
          </cell>
          <cell r="U26">
            <v>12.415094339622652</v>
          </cell>
          <cell r="X26">
            <v>0.2722222222222222</v>
          </cell>
          <cell r="Y26">
            <v>0.4</v>
          </cell>
          <cell r="Z26">
            <v>65</v>
          </cell>
          <cell r="AD26">
            <v>0.29583333333333334</v>
          </cell>
          <cell r="AH26">
            <v>53</v>
          </cell>
          <cell r="AK26">
            <v>17.399999999999999</v>
          </cell>
          <cell r="AM26">
            <v>51.9</v>
          </cell>
          <cell r="AY26">
            <v>100.19051944179509</v>
          </cell>
          <cell r="AZ26">
            <v>100.37184572320261</v>
          </cell>
          <cell r="BC26" t="str">
            <v>K. Benjamin</v>
          </cell>
        </row>
        <row r="27">
          <cell r="A27" t="str">
            <v>SM021</v>
          </cell>
          <cell r="T27">
            <v>60</v>
          </cell>
          <cell r="U27">
            <v>13.898305084745768</v>
          </cell>
          <cell r="X27">
            <v>0.41944444444444445</v>
          </cell>
          <cell r="Y27">
            <v>0.5493055555555556</v>
          </cell>
          <cell r="Z27">
            <v>64</v>
          </cell>
          <cell r="AD27">
            <v>0.34097222222222223</v>
          </cell>
          <cell r="AH27">
            <v>53.1</v>
          </cell>
          <cell r="AK27">
            <v>17.2</v>
          </cell>
          <cell r="AM27">
            <v>51.3</v>
          </cell>
          <cell r="AY27">
            <v>97.88731685201769</v>
          </cell>
          <cell r="AZ27">
            <v>98.064307048381806</v>
          </cell>
          <cell r="BC27" t="str">
            <v>R. Regis</v>
          </cell>
        </row>
        <row r="28">
          <cell r="A28" t="str">
            <v>SM022</v>
          </cell>
          <cell r="T28">
            <v>61</v>
          </cell>
          <cell r="U28">
            <v>13.898305084745768</v>
          </cell>
          <cell r="X28">
            <v>0.52013888888888893</v>
          </cell>
          <cell r="Y28">
            <v>0.65138888888888891</v>
          </cell>
          <cell r="Z28">
            <v>66</v>
          </cell>
          <cell r="AD28">
            <v>0.29722222222222222</v>
          </cell>
          <cell r="AH28">
            <v>53.1</v>
          </cell>
          <cell r="AK28">
            <v>17.3</v>
          </cell>
          <cell r="AM28">
            <v>51.8</v>
          </cell>
          <cell r="AY28">
            <v>99.406408990413965</v>
          </cell>
          <cell r="AZ28">
            <v>99.586316177149115</v>
          </cell>
          <cell r="BC28" t="str">
            <v>R. Regis</v>
          </cell>
        </row>
        <row r="29">
          <cell r="A29" t="str">
            <v>SM023</v>
          </cell>
          <cell r="T29">
            <v>61</v>
          </cell>
          <cell r="U29">
            <v>14.086629001883248</v>
          </cell>
          <cell r="X29">
            <v>0.63472222222222219</v>
          </cell>
          <cell r="Y29">
            <v>0.76249999999999996</v>
          </cell>
          <cell r="Z29">
            <v>64</v>
          </cell>
          <cell r="AD29">
            <v>0.30416666666666664</v>
          </cell>
          <cell r="AH29">
            <v>53.1</v>
          </cell>
          <cell r="AK29">
            <v>17.3</v>
          </cell>
          <cell r="AM29">
            <v>51.1</v>
          </cell>
          <cell r="AY29">
            <v>98.38068626915846</v>
          </cell>
          <cell r="AZ29">
            <v>98.558061212234435</v>
          </cell>
          <cell r="BC29" t="str">
            <v>R. Regis</v>
          </cell>
        </row>
        <row r="30">
          <cell r="A30" t="str">
            <v>SM024</v>
          </cell>
          <cell r="T30">
            <v>60</v>
          </cell>
          <cell r="U30">
            <v>13.709981167608287</v>
          </cell>
          <cell r="X30">
            <v>0.74930555555555556</v>
          </cell>
          <cell r="Y30">
            <v>0.88055555555555554</v>
          </cell>
          <cell r="Z30">
            <v>64</v>
          </cell>
          <cell r="AD30">
            <v>0.29722222222222217</v>
          </cell>
          <cell r="AH30">
            <v>53.1</v>
          </cell>
          <cell r="AK30">
            <v>17.2</v>
          </cell>
          <cell r="AM30">
            <v>52.2</v>
          </cell>
          <cell r="AY30">
            <v>99.443988621895258</v>
          </cell>
          <cell r="AZ30">
            <v>99.624133928688238</v>
          </cell>
          <cell r="BC30" t="str">
            <v>R. Regis</v>
          </cell>
        </row>
        <row r="31">
          <cell r="A31" t="str">
            <v>SM025</v>
          </cell>
          <cell r="T31">
            <v>61</v>
          </cell>
          <cell r="U31">
            <v>13.898305084745768</v>
          </cell>
          <cell r="X31">
            <v>0.85555555555555551</v>
          </cell>
          <cell r="Y31">
            <v>0.98888888888888893</v>
          </cell>
          <cell r="Z31">
            <v>64</v>
          </cell>
          <cell r="AD31">
            <v>0.29444444444444451</v>
          </cell>
          <cell r="AH31">
            <v>53.1</v>
          </cell>
          <cell r="AK31">
            <v>17.2</v>
          </cell>
          <cell r="AM31">
            <v>51.9</v>
          </cell>
          <cell r="AY31">
            <v>99.192440959554233</v>
          </cell>
          <cell r="AZ31">
            <v>99.371450227187538</v>
          </cell>
          <cell r="BC31" t="str">
            <v>R. Regis</v>
          </cell>
        </row>
        <row r="32">
          <cell r="A32" t="str">
            <v>SM026</v>
          </cell>
          <cell r="T32">
            <v>60</v>
          </cell>
          <cell r="U32">
            <v>13.358490566037744</v>
          </cell>
          <cell r="X32">
            <v>0.96597222222222223</v>
          </cell>
          <cell r="Y32">
            <v>1.0993055555555555</v>
          </cell>
          <cell r="Z32">
            <v>66</v>
          </cell>
          <cell r="AD32">
            <v>0.30069444444444438</v>
          </cell>
          <cell r="AH32">
            <v>53</v>
          </cell>
          <cell r="AK32">
            <v>17.399999999999999</v>
          </cell>
          <cell r="AM32">
            <v>50.4</v>
          </cell>
          <cell r="AY32">
            <v>97.452144425843485</v>
          </cell>
          <cell r="AZ32">
            <v>97.628180547558159</v>
          </cell>
          <cell r="BC32" t="str">
            <v>K. Benjamin</v>
          </cell>
        </row>
        <row r="33">
          <cell r="A33" t="str">
            <v>SM027</v>
          </cell>
          <cell r="T33">
            <v>60</v>
          </cell>
          <cell r="U33">
            <v>20.489642184557443</v>
          </cell>
          <cell r="X33">
            <v>0.20694444444444443</v>
          </cell>
          <cell r="Y33">
            <v>0.3659722222222222</v>
          </cell>
          <cell r="Z33">
            <v>96</v>
          </cell>
          <cell r="AD33">
            <v>0.32430555555555551</v>
          </cell>
          <cell r="AH33">
            <v>53.1</v>
          </cell>
          <cell r="AK33">
            <v>17.600000000000001</v>
          </cell>
          <cell r="AM33">
            <v>47.7</v>
          </cell>
          <cell r="AY33">
            <v>94.055682695670939</v>
          </cell>
          <cell r="AZ33">
            <v>94.224119004046941</v>
          </cell>
          <cell r="BC33" t="str">
            <v>D. Gomax</v>
          </cell>
        </row>
        <row r="34">
          <cell r="A34" t="str">
            <v>SM028</v>
          </cell>
          <cell r="T34">
            <v>60</v>
          </cell>
          <cell r="U34">
            <v>14.301886792452839</v>
          </cell>
          <cell r="X34">
            <v>0.32291666666666669</v>
          </cell>
          <cell r="Y34">
            <v>0.45694444444444443</v>
          </cell>
          <cell r="Z34">
            <v>63</v>
          </cell>
          <cell r="AD34">
            <v>0.31805555555555554</v>
          </cell>
          <cell r="AH34">
            <v>53</v>
          </cell>
          <cell r="AK34">
            <v>17.5</v>
          </cell>
          <cell r="AM34">
            <v>51.1</v>
          </cell>
          <cell r="AY34">
            <v>98.909918997310143</v>
          </cell>
          <cell r="AZ34">
            <v>99.089602776438056</v>
          </cell>
          <cell r="BC34" t="str">
            <v>K. Benjamin</v>
          </cell>
        </row>
        <row r="35">
          <cell r="A35" t="str">
            <v>SM029</v>
          </cell>
          <cell r="T35">
            <v>60</v>
          </cell>
          <cell r="U35">
            <v>16.377358490566039</v>
          </cell>
          <cell r="X35">
            <v>0.4375</v>
          </cell>
          <cell r="Y35">
            <v>0.57291666666666663</v>
          </cell>
          <cell r="Z35">
            <v>65</v>
          </cell>
          <cell r="AD35">
            <v>0.30902777777777773</v>
          </cell>
          <cell r="AH35">
            <v>53</v>
          </cell>
          <cell r="AK35">
            <v>17.2</v>
          </cell>
          <cell r="AM35">
            <v>50.9</v>
          </cell>
          <cell r="AY35">
            <v>96.345839982665723</v>
          </cell>
          <cell r="AZ35">
            <v>96.521681892437456</v>
          </cell>
          <cell r="BC35" t="str">
            <v>K. Benjamin</v>
          </cell>
        </row>
        <row r="36">
          <cell r="A36" t="str">
            <v>SM030</v>
          </cell>
          <cell r="T36">
            <v>62</v>
          </cell>
          <cell r="U36">
            <v>15.811320754716988</v>
          </cell>
          <cell r="X36">
            <v>0.55208333333333337</v>
          </cell>
          <cell r="Y36">
            <v>0.68958333333333333</v>
          </cell>
          <cell r="Z36">
            <v>65</v>
          </cell>
          <cell r="AD36">
            <v>0.30416666666666664</v>
          </cell>
          <cell r="AH36">
            <v>53</v>
          </cell>
          <cell r="AK36">
            <v>17.399999999999999</v>
          </cell>
          <cell r="AM36">
            <v>52.1</v>
          </cell>
          <cell r="AY36">
            <v>100.25295859815991</v>
          </cell>
          <cell r="AZ36">
            <v>100.4350821976157</v>
          </cell>
          <cell r="BC36" t="str">
            <v>K. Benjamin</v>
          </cell>
        </row>
        <row r="37">
          <cell r="A37" t="str">
            <v>SM031</v>
          </cell>
          <cell r="T37">
            <v>60</v>
          </cell>
          <cell r="U37">
            <v>16.377358490566039</v>
          </cell>
          <cell r="X37">
            <v>0.66527777777777775</v>
          </cell>
          <cell r="Y37">
            <v>0.81388888888888888</v>
          </cell>
          <cell r="Z37">
            <v>65</v>
          </cell>
          <cell r="AD37">
            <v>0.3208333333333333</v>
          </cell>
          <cell r="AH37">
            <v>53</v>
          </cell>
          <cell r="AK37">
            <v>17.399999999999999</v>
          </cell>
          <cell r="AM37">
            <v>51.9</v>
          </cell>
          <cell r="AY37">
            <v>99.70768273648558</v>
          </cell>
          <cell r="AZ37">
            <v>99.889154425528687</v>
          </cell>
          <cell r="BC37" t="str">
            <v>K. Benjamin</v>
          </cell>
        </row>
        <row r="38">
          <cell r="A38" t="str">
            <v>SM032</v>
          </cell>
          <cell r="T38">
            <v>60</v>
          </cell>
          <cell r="U38">
            <v>15.433962264150944</v>
          </cell>
          <cell r="X38">
            <v>0.78402777777777777</v>
          </cell>
          <cell r="Y38">
            <v>0.91736111111111107</v>
          </cell>
          <cell r="Z38">
            <v>65</v>
          </cell>
          <cell r="AD38">
            <v>0.31319444444444444</v>
          </cell>
          <cell r="AH38">
            <v>53</v>
          </cell>
          <cell r="AK38">
            <v>17.100000000000001</v>
          </cell>
          <cell r="AM38">
            <v>52.3</v>
          </cell>
          <cell r="AY38">
            <v>98.878726432739867</v>
          </cell>
          <cell r="AZ38">
            <v>99.058185219288532</v>
          </cell>
          <cell r="BC38" t="str">
            <v>K. Benjamin</v>
          </cell>
        </row>
        <row r="39">
          <cell r="A39" t="str">
            <v>SM033</v>
          </cell>
          <cell r="T39">
            <v>61</v>
          </cell>
          <cell r="U39">
            <v>24.821092278719409</v>
          </cell>
          <cell r="X39">
            <v>1.2118055555555556</v>
          </cell>
          <cell r="Y39">
            <v>1.3402777777777777</v>
          </cell>
          <cell r="Z39">
            <v>69</v>
          </cell>
          <cell r="AD39">
            <v>0.32986111111111094</v>
          </cell>
          <cell r="AH39">
            <v>53.1</v>
          </cell>
          <cell r="AK39">
            <v>17.5</v>
          </cell>
          <cell r="AM39">
            <v>49.7</v>
          </cell>
          <cell r="AY39">
            <v>96.277512491508048</v>
          </cell>
          <cell r="AZ39">
            <v>96.452250235277461</v>
          </cell>
          <cell r="BC39" t="str">
            <v>R. Regis</v>
          </cell>
        </row>
        <row r="40">
          <cell r="A40" t="str">
            <v>SM034</v>
          </cell>
          <cell r="T40">
            <v>60</v>
          </cell>
          <cell r="U40">
            <v>17.853107344632775</v>
          </cell>
          <cell r="X40">
            <v>0.33680555555555558</v>
          </cell>
          <cell r="Y40">
            <v>0.46666666666666667</v>
          </cell>
          <cell r="Z40">
            <v>62</v>
          </cell>
          <cell r="AD40">
            <v>0.34166666666666667</v>
          </cell>
          <cell r="AH40">
            <v>53.1</v>
          </cell>
          <cell r="AK40">
            <v>17</v>
          </cell>
          <cell r="AM40">
            <v>51.3</v>
          </cell>
          <cell r="AY40">
            <v>96.506489839763731</v>
          </cell>
          <cell r="AZ40">
            <v>96.68131379303253</v>
          </cell>
          <cell r="BC40" t="str">
            <v>R.Sookram</v>
          </cell>
        </row>
        <row r="41">
          <cell r="A41" t="str">
            <v>SM035</v>
          </cell>
          <cell r="T41">
            <v>59</v>
          </cell>
          <cell r="U41">
            <v>21.054613935969879</v>
          </cell>
          <cell r="X41">
            <v>0.46388888888888891</v>
          </cell>
          <cell r="Y41">
            <v>0.60277777777777775</v>
          </cell>
          <cell r="Z41">
            <v>63</v>
          </cell>
          <cell r="AD41">
            <v>0.30763888888888885</v>
          </cell>
          <cell r="AH41">
            <v>53.1</v>
          </cell>
          <cell r="AK41">
            <v>17</v>
          </cell>
          <cell r="AM41">
            <v>51.1</v>
          </cell>
          <cell r="AY41">
            <v>95.74418830201364</v>
          </cell>
          <cell r="AZ41">
            <v>95.918446283849875</v>
          </cell>
          <cell r="BC41" t="str">
            <v>R.Sookram</v>
          </cell>
        </row>
        <row r="42">
          <cell r="A42" t="str">
            <v>SM036</v>
          </cell>
          <cell r="T42">
            <v>60</v>
          </cell>
          <cell r="U42">
            <v>16.346516007532969</v>
          </cell>
          <cell r="X42">
            <v>0.5756944444444444</v>
          </cell>
          <cell r="Y42">
            <v>0.71250000000000002</v>
          </cell>
          <cell r="Z42">
            <v>64</v>
          </cell>
          <cell r="AD42">
            <v>0.30625000000000002</v>
          </cell>
          <cell r="AH42">
            <v>53.1</v>
          </cell>
          <cell r="AK42">
            <v>17.3</v>
          </cell>
          <cell r="AM42">
            <v>51.7</v>
          </cell>
          <cell r="AY42">
            <v>99.134494554521325</v>
          </cell>
          <cell r="AZ42">
            <v>99.314079204964017</v>
          </cell>
          <cell r="BC42" t="str">
            <v>R.Sookram</v>
          </cell>
        </row>
      </sheetData>
      <sheetData sheetId="4">
        <row r="25">
          <cell r="B25">
            <v>46091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an 2nd"/>
      <sheetName val="Jan 5th"/>
      <sheetName val="Jan 6th"/>
      <sheetName val="Jan 7th"/>
      <sheetName val="Jan 8th "/>
      <sheetName val="Jan 9th-10th"/>
      <sheetName val="Jan12th "/>
      <sheetName val="Jan13th"/>
      <sheetName val="Jan14th"/>
      <sheetName val="Jan15th"/>
      <sheetName val="Jan16-18th"/>
      <sheetName val="Jan19th "/>
      <sheetName val="Jan20th"/>
      <sheetName val="Jan21st"/>
      <sheetName val="Jan22nd"/>
      <sheetName val="Jan23rd"/>
      <sheetName val="Jan26th"/>
      <sheetName val="Jan27th"/>
      <sheetName val="Jan28th"/>
      <sheetName val="Jan29th"/>
      <sheetName val="Jan30th-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2">
          <cell r="L42">
            <v>97.828041735841467</v>
          </cell>
        </row>
        <row r="47">
          <cell r="L47">
            <v>6.0869565217391308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Feb 2nd"/>
      <sheetName val="Feb 3rd"/>
      <sheetName val="Feb 4th"/>
      <sheetName val="Feb 5th"/>
      <sheetName val="Feb 6th"/>
      <sheetName val="Feb 9th"/>
      <sheetName val="Feb 10th"/>
      <sheetName val="Feb 11th"/>
      <sheetName val="Feb 12th"/>
      <sheetName val="Feb 13th"/>
      <sheetName val="Feb 16th"/>
      <sheetName val="Feb 17th"/>
      <sheetName val="Feb 18th "/>
      <sheetName val="Feb 19th"/>
      <sheetName val="Feb 20th"/>
      <sheetName val="Feb 23rd"/>
      <sheetName val="Feb 24th"/>
      <sheetName val="Feb 25th"/>
      <sheetName val="Feb 26th "/>
      <sheetName val="Feb 27th-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9">
          <cell r="L39">
            <v>6.1</v>
          </cell>
        </row>
      </sheetData>
      <sheetData sheetId="20"/>
      <sheetData sheetId="21"/>
      <sheetData sheetId="22"/>
      <sheetData sheetId="23"/>
      <sheetData sheetId="2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6"/>
      <sheetName val="February_2026"/>
      <sheetName val="March_2026"/>
      <sheetName val="April_2025"/>
      <sheetName val="May_2025"/>
      <sheetName val="June_2025"/>
      <sheetName val="July_2025"/>
      <sheetName val="August_2025"/>
      <sheetName val="September_2025"/>
      <sheetName val="October_2025"/>
      <sheetName val="November_2025"/>
      <sheetName val="December_2025"/>
    </sheetNames>
    <sheetDataSet>
      <sheetData sheetId="0"/>
      <sheetData sheetId="1"/>
      <sheetData sheetId="2">
        <row r="3">
          <cell r="G3">
            <v>314.39999999999998</v>
          </cell>
          <cell r="K3">
            <v>677</v>
          </cell>
          <cell r="L3">
            <v>300.8</v>
          </cell>
          <cell r="S3">
            <v>197.5</v>
          </cell>
          <cell r="U3">
            <v>201.20000000000002</v>
          </cell>
          <cell r="V3">
            <v>989.39999999999975</v>
          </cell>
          <cell r="Z3">
            <v>395.4</v>
          </cell>
          <cell r="AD3">
            <v>285.20000000000005</v>
          </cell>
          <cell r="AG3">
            <v>501.2</v>
          </cell>
          <cell r="AN3">
            <v>5.5217383997308911</v>
          </cell>
          <cell r="AQ3">
            <v>6.7376293998803778</v>
          </cell>
        </row>
        <row r="4">
          <cell r="AN4">
            <v>5.8363193922358541</v>
          </cell>
          <cell r="AQ4">
            <v>6.0615758973702238</v>
          </cell>
        </row>
        <row r="5">
          <cell r="AN5">
            <v>15.281764896752891</v>
          </cell>
          <cell r="AQ5">
            <v>13.955538676690328</v>
          </cell>
        </row>
        <row r="6">
          <cell r="AN6">
            <v>4.0944502235806484</v>
          </cell>
          <cell r="AQ6">
            <v>4.3274739720788533</v>
          </cell>
        </row>
        <row r="7">
          <cell r="G7">
            <v>286.8</v>
          </cell>
          <cell r="K7">
            <v>628.29999999999995</v>
          </cell>
          <cell r="L7">
            <v>278.7</v>
          </cell>
          <cell r="S7">
            <v>195.1</v>
          </cell>
          <cell r="U7">
            <v>187.5</v>
          </cell>
          <cell r="V7">
            <v>926.2</v>
          </cell>
          <cell r="Z7">
            <v>375.6</v>
          </cell>
          <cell r="AD7">
            <v>271.10000000000002</v>
          </cell>
          <cell r="AG7">
            <v>476.7</v>
          </cell>
          <cell r="AN7" t="e">
            <v>#DIV/0!</v>
          </cell>
          <cell r="AQ7" t="e">
            <v>#DIV/0!</v>
          </cell>
        </row>
        <row r="8">
          <cell r="AN8" t="e">
            <v>#DIV/0!</v>
          </cell>
          <cell r="AQ8">
            <v>7.9131369535794072</v>
          </cell>
        </row>
        <row r="9">
          <cell r="AN9">
            <v>5.2963377949109214</v>
          </cell>
          <cell r="AQ9">
            <v>5.0010391616318897</v>
          </cell>
        </row>
        <row r="10">
          <cell r="AN10" t="e">
            <v>#DIV/0!</v>
          </cell>
          <cell r="AQ10" t="e">
            <v>#DIV/0!</v>
          </cell>
        </row>
        <row r="11">
          <cell r="G11">
            <v>8.4081085941424085</v>
          </cell>
          <cell r="K11">
            <v>6.7480295420974956</v>
          </cell>
          <cell r="L11">
            <v>6.2271760934044291</v>
          </cell>
          <cell r="S11">
            <v>1.0540401015962142</v>
          </cell>
          <cell r="U11">
            <v>7.3331097750844361</v>
          </cell>
          <cell r="V11">
            <v>5.4078709359467618</v>
          </cell>
          <cell r="Z11">
            <v>3.7818787018454154</v>
          </cell>
          <cell r="AD11">
            <v>3.8749950714498915</v>
          </cell>
          <cell r="AG11">
            <v>4.8882681564245791</v>
          </cell>
          <cell r="AN11" t="e">
            <v>#DIV/0!</v>
          </cell>
          <cell r="AQ11" t="e">
            <v>#DIV/0!</v>
          </cell>
        </row>
        <row r="12">
          <cell r="AN12">
            <v>6.3768933747277767</v>
          </cell>
          <cell r="AQ12">
            <v>6.8021633509008002</v>
          </cell>
        </row>
        <row r="13">
          <cell r="D13">
            <v>205.5</v>
          </cell>
          <cell r="E13">
            <v>196.89999999999998</v>
          </cell>
          <cell r="F13">
            <v>605.29999999999995</v>
          </cell>
          <cell r="N13">
            <v>585.4</v>
          </cell>
          <cell r="W13">
            <v>197.89999999999998</v>
          </cell>
          <cell r="X13">
            <v>296</v>
          </cell>
          <cell r="AB13">
            <v>403.19999999999993</v>
          </cell>
        </row>
        <row r="17">
          <cell r="D17">
            <v>195.3</v>
          </cell>
          <cell r="E17">
            <v>182</v>
          </cell>
          <cell r="F17">
            <v>568.1</v>
          </cell>
          <cell r="N17">
            <v>557</v>
          </cell>
          <cell r="W17">
            <v>176.6</v>
          </cell>
          <cell r="X17">
            <v>264.8</v>
          </cell>
          <cell r="AB17">
            <v>384.6</v>
          </cell>
        </row>
        <row r="21">
          <cell r="N21">
            <v>2.851493592811754</v>
          </cell>
          <cell r="AB21">
            <v>3.7703193727289781</v>
          </cell>
        </row>
        <row r="23">
          <cell r="H23">
            <v>219.79999999999998</v>
          </cell>
          <cell r="P23">
            <v>398.8</v>
          </cell>
        </row>
        <row r="28">
          <cell r="H28">
            <v>191.10000000000002</v>
          </cell>
          <cell r="P28">
            <v>366.7</v>
          </cell>
        </row>
        <row r="32">
          <cell r="H32">
            <v>15.929169418730554</v>
          </cell>
          <cell r="P32">
            <v>14.947357509261556</v>
          </cell>
        </row>
        <row r="55">
          <cell r="O55">
            <v>412.29999999999995</v>
          </cell>
          <cell r="AA55">
            <v>509.8</v>
          </cell>
        </row>
        <row r="59">
          <cell r="O59">
            <v>390.2</v>
          </cell>
          <cell r="AA59">
            <v>495.1</v>
          </cell>
        </row>
        <row r="63">
          <cell r="AA63">
            <v>4.4583461452822126</v>
          </cell>
        </row>
        <row r="65">
          <cell r="F65">
            <v>374.3</v>
          </cell>
          <cell r="AH65">
            <v>383.20000000000005</v>
          </cell>
        </row>
        <row r="70">
          <cell r="F70">
            <v>372</v>
          </cell>
          <cell r="AH70">
            <v>384.8</v>
          </cell>
        </row>
        <row r="74">
          <cell r="F74">
            <v>5.4251963146907434</v>
          </cell>
          <cell r="AH74">
            <v>2.7658067756316966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AG"/>
      <sheetName val="GUINNESS"/>
      <sheetName val="CARIB"/>
      <sheetName val="VITAMALT"/>
      <sheetName val="STARMALT"/>
      <sheetName val="MACKESON"/>
      <sheetName val="HR Pilsener"/>
      <sheetName val="IPA"/>
      <sheetName val="APA"/>
      <sheetName val="CARIBE"/>
      <sheetName val="MTD"/>
      <sheetName val="YTD 2026"/>
    </sheetNames>
    <sheetDataSet>
      <sheetData sheetId="0" refreshError="1"/>
      <sheetData sheetId="1">
        <row r="6">
          <cell r="S6">
            <v>4.5999999999999996</v>
          </cell>
        </row>
      </sheetData>
      <sheetData sheetId="2" refreshError="1"/>
      <sheetData sheetId="3">
        <row r="6">
          <cell r="J6">
            <v>4.0999999999999996</v>
          </cell>
        </row>
        <row r="8">
          <cell r="J8">
            <v>4.0999999999999996</v>
          </cell>
        </row>
        <row r="10">
          <cell r="J10">
            <v>4.0999999999999996</v>
          </cell>
        </row>
        <row r="12">
          <cell r="J12">
            <v>4.0999999999999996</v>
          </cell>
        </row>
        <row r="14">
          <cell r="J14">
            <v>4.0999999999999996</v>
          </cell>
        </row>
        <row r="16">
          <cell r="J16">
            <v>4.0999999999999996</v>
          </cell>
        </row>
        <row r="18">
          <cell r="J18">
            <v>4.0999999999999996</v>
          </cell>
        </row>
        <row r="20">
          <cell r="J20">
            <v>4.0999999999999996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">
          <cell r="E5">
            <v>6.1050400020190425</v>
          </cell>
        </row>
        <row r="6">
          <cell r="E6">
            <v>6.49747008272427</v>
          </cell>
        </row>
        <row r="7">
          <cell r="E7">
            <v>12.325063613231535</v>
          </cell>
        </row>
        <row r="8">
          <cell r="E8">
            <v>4.2388966215361119</v>
          </cell>
        </row>
        <row r="9">
          <cell r="E9" t="e">
            <v>#DIV/0!</v>
          </cell>
        </row>
        <row r="10">
          <cell r="E10" t="e">
            <v>#DIV/0!</v>
          </cell>
        </row>
        <row r="11">
          <cell r="E11">
            <v>3.990890358963231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>
            <v>6.2715353036833381</v>
          </cell>
        </row>
      </sheetData>
      <sheetData sheetId="11">
        <row r="5">
          <cell r="E5">
            <v>6.8559119177728194</v>
          </cell>
        </row>
        <row r="6">
          <cell r="E6">
            <v>6.3411334413966323</v>
          </cell>
        </row>
        <row r="7">
          <cell r="E7">
            <v>12.380135651360408</v>
          </cell>
        </row>
        <row r="8">
          <cell r="E8">
            <v>4.601418358346991</v>
          </cell>
        </row>
        <row r="9">
          <cell r="E9" t="e">
            <v>#DIV/0!</v>
          </cell>
        </row>
        <row r="10">
          <cell r="E10">
            <v>5.1105651105651271</v>
          </cell>
        </row>
        <row r="11">
          <cell r="E11">
            <v>3.9654240950837436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>
            <v>6.6198470271930656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6"/>
      <sheetName val="February_2026"/>
      <sheetName val="March_2026"/>
      <sheetName val="April_2025"/>
      <sheetName val="May_2025"/>
      <sheetName val="June_2025"/>
      <sheetName val="July_2025"/>
      <sheetName val="August_2025"/>
      <sheetName val="August_2018 (2)"/>
      <sheetName val="September_2025"/>
      <sheetName val="October_2025"/>
      <sheetName val="November_2025"/>
      <sheetName val="December_2025"/>
    </sheetNames>
    <sheetDataSet>
      <sheetData sheetId="0"/>
      <sheetData sheetId="1"/>
      <sheetData sheetId="2">
        <row r="13">
          <cell r="AN13">
            <v>0.52819256474519627</v>
          </cell>
          <cell r="AQ13">
            <v>0.42797963091682517</v>
          </cell>
        </row>
        <row r="14">
          <cell r="AN14">
            <v>0.86557894736842111</v>
          </cell>
          <cell r="AQ14">
            <v>0.66474567163482645</v>
          </cell>
        </row>
        <row r="15">
          <cell r="AN15">
            <v>0.22788596491228072</v>
          </cell>
          <cell r="AQ15">
            <v>0.29450526315789471</v>
          </cell>
        </row>
        <row r="16">
          <cell r="AN16">
            <v>0.98885964912280699</v>
          </cell>
          <cell r="AQ16">
            <v>0.82859649122807022</v>
          </cell>
        </row>
        <row r="17">
          <cell r="AN17" t="e">
            <v>#DIV/0!</v>
          </cell>
          <cell r="AQ17" t="e">
            <v>#DIV/0!</v>
          </cell>
        </row>
        <row r="18">
          <cell r="G18">
            <v>0.33543859649122809</v>
          </cell>
          <cell r="K18">
            <v>0.31493734335839596</v>
          </cell>
          <cell r="L18">
            <v>0.32596491228070174</v>
          </cell>
          <cell r="S18">
            <v>0.68456140350877193</v>
          </cell>
          <cell r="U18">
            <v>0.65789473684210531</v>
          </cell>
          <cell r="V18">
            <v>0.4062280701754386</v>
          </cell>
          <cell r="Z18">
            <v>0.65894736842105273</v>
          </cell>
          <cell r="AD18">
            <v>0.95122807017543864</v>
          </cell>
          <cell r="AG18">
            <v>0.83631578947368423</v>
          </cell>
          <cell r="AN18" t="e">
            <v>#DIV/0!</v>
          </cell>
          <cell r="AQ18">
            <v>1.3550877192982456</v>
          </cell>
        </row>
        <row r="19">
          <cell r="AN19">
            <v>1.0967836257309942</v>
          </cell>
          <cell r="AQ19">
            <v>0.93295906432748543</v>
          </cell>
        </row>
        <row r="20">
          <cell r="AN20" t="e">
            <v>#DIV/0!</v>
          </cell>
          <cell r="AQ20" t="e">
            <v>#DIV/0!</v>
          </cell>
        </row>
        <row r="21">
          <cell r="AN21" t="e">
            <v>#DIV/0!</v>
          </cell>
          <cell r="AQ21" t="e">
            <v>#DIV/0!</v>
          </cell>
        </row>
        <row r="22">
          <cell r="AN22">
            <v>0.67794661256315403</v>
          </cell>
          <cell r="AQ22">
            <v>0.52793870334751614</v>
          </cell>
        </row>
        <row r="25">
          <cell r="D25">
            <v>0.68526315789473691</v>
          </cell>
          <cell r="E25">
            <v>0.31929824561403508</v>
          </cell>
          <cell r="F25">
            <v>0.9966666666666667</v>
          </cell>
          <cell r="N25">
            <v>0.97719298245614039</v>
          </cell>
          <cell r="AB25">
            <v>1.3494736842105264</v>
          </cell>
        </row>
        <row r="32">
          <cell r="H32">
            <v>0.13410526315789476</v>
          </cell>
          <cell r="P32">
            <v>0.32166666666666666</v>
          </cell>
        </row>
        <row r="53">
          <cell r="P53">
            <v>0.45637426900584793</v>
          </cell>
          <cell r="AA53">
            <v>1.7371929824561405</v>
          </cell>
        </row>
        <row r="60">
          <cell r="G60">
            <v>1.3052631578947369</v>
          </cell>
          <cell r="AH60">
            <v>0.6724561403508772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_2019"/>
      <sheetName val="February_2019"/>
      <sheetName val="March_2019"/>
      <sheetName val="April_2019"/>
      <sheetName val="May_2019"/>
      <sheetName val="June_2019"/>
      <sheetName val="July_2019"/>
      <sheetName val="August_2019"/>
      <sheetName val="August_2018 (2)"/>
      <sheetName val="September_2019"/>
      <sheetName val="October_2019"/>
      <sheetName val="November_2019"/>
      <sheetName val="December_2019"/>
    </sheetNames>
    <sheetDataSet>
      <sheetData sheetId="0">
        <row r="7">
          <cell r="D7">
            <v>0</v>
          </cell>
          <cell r="L7">
            <v>285.8</v>
          </cell>
          <cell r="M7">
            <v>508.1</v>
          </cell>
          <cell r="N7">
            <v>0</v>
          </cell>
          <cell r="O7">
            <v>0</v>
          </cell>
          <cell r="P7">
            <v>109.56666666666666</v>
          </cell>
          <cell r="Q7">
            <v>297.64999999999998</v>
          </cell>
          <cell r="R7">
            <v>122.3</v>
          </cell>
          <cell r="S7">
            <v>0</v>
          </cell>
          <cell r="T7">
            <v>294.7</v>
          </cell>
          <cell r="U7">
            <v>280.5</v>
          </cell>
          <cell r="V7">
            <v>0</v>
          </cell>
          <cell r="W7">
            <v>0</v>
          </cell>
          <cell r="X7">
            <v>188.25</v>
          </cell>
          <cell r="Y7">
            <v>295.7</v>
          </cell>
          <cell r="Z7">
            <v>257.8</v>
          </cell>
          <cell r="AA7">
            <v>291.2</v>
          </cell>
          <cell r="AB7">
            <v>187</v>
          </cell>
          <cell r="AC7">
            <v>0</v>
          </cell>
          <cell r="AD7">
            <v>0</v>
          </cell>
          <cell r="AE7">
            <v>485.1</v>
          </cell>
          <cell r="AF7">
            <v>171.55</v>
          </cell>
          <cell r="AG7">
            <v>423.8</v>
          </cell>
          <cell r="AH7">
            <v>0</v>
          </cell>
        </row>
        <row r="8">
          <cell r="D8" t="e">
            <v>#DIV/0!</v>
          </cell>
          <cell r="E8">
            <v>1.0319298245614037</v>
          </cell>
          <cell r="F8">
            <v>1.7789473684210526</v>
          </cell>
          <cell r="G8">
            <v>0.51929824561403504</v>
          </cell>
          <cell r="H8" t="e">
            <v>#DIV/0!</v>
          </cell>
          <cell r="I8" t="e">
            <v>#DIV/0!</v>
          </cell>
          <cell r="J8">
            <v>1.365263157894737</v>
          </cell>
          <cell r="K8" t="e">
            <v>#DIV/0!</v>
          </cell>
          <cell r="L8">
            <v>1.0028070175438597</v>
          </cell>
          <cell r="M8">
            <v>1.7828070175438597</v>
          </cell>
          <cell r="N8" t="e">
            <v>#DIV/0!</v>
          </cell>
          <cell r="O8" t="e">
            <v>#DIV/0!</v>
          </cell>
          <cell r="P8">
            <v>0.19222222222222221</v>
          </cell>
          <cell r="Q8">
            <v>0.52219298245614032</v>
          </cell>
          <cell r="R8">
            <v>0.42912280701754385</v>
          </cell>
          <cell r="S8" t="e">
            <v>#DIV/0!</v>
          </cell>
          <cell r="T8">
            <v>1.0340350877192983</v>
          </cell>
          <cell r="U8">
            <v>0.98421052631578942</v>
          </cell>
          <cell r="V8" t="e">
            <v>#DIV/0!</v>
          </cell>
          <cell r="W8" t="e">
            <v>#DIV/0!</v>
          </cell>
          <cell r="X8">
            <v>0.66052631578947374</v>
          </cell>
          <cell r="Y8">
            <v>1.0375438596491227</v>
          </cell>
          <cell r="Z8">
            <v>0.90456140350877201</v>
          </cell>
          <cell r="AA8">
            <v>1.0217543859649123</v>
          </cell>
          <cell r="AB8">
            <v>0.65614035087719302</v>
          </cell>
          <cell r="AC8" t="e">
            <v>#DIV/0!</v>
          </cell>
          <cell r="AD8" t="e">
            <v>#DIV/0!</v>
          </cell>
          <cell r="AE8">
            <v>1.7021052631578948</v>
          </cell>
          <cell r="AF8">
            <v>0.60192982456140354</v>
          </cell>
          <cell r="AG8">
            <v>1.4870175438596491</v>
          </cell>
          <cell r="AH8" t="e">
            <v>#DIV/0!</v>
          </cell>
        </row>
      </sheetData>
      <sheetData sheetId="1">
        <row r="13">
          <cell r="AN13">
            <v>0.94034030952171987</v>
          </cell>
        </row>
      </sheetData>
      <sheetData sheetId="2">
        <row r="13">
          <cell r="AQ13">
            <v>0.93551267438402086</v>
          </cell>
        </row>
      </sheetData>
      <sheetData sheetId="3">
        <row r="18">
          <cell r="G18">
            <v>1.0103508771929826</v>
          </cell>
        </row>
      </sheetData>
      <sheetData sheetId="4">
        <row r="13">
          <cell r="AN13">
            <v>0.87062818515015106</v>
          </cell>
        </row>
      </sheetData>
      <sheetData sheetId="5">
        <row r="13">
          <cell r="AN13">
            <v>0.94807447713221704</v>
          </cell>
        </row>
      </sheetData>
      <sheetData sheetId="6">
        <row r="13">
          <cell r="AN13">
            <v>1.0800362929336174</v>
          </cell>
        </row>
      </sheetData>
      <sheetData sheetId="7">
        <row r="13">
          <cell r="AN13">
            <v>1.1456090225563909</v>
          </cell>
        </row>
      </sheetData>
      <sheetData sheetId="8"/>
      <sheetData sheetId="9">
        <row r="13">
          <cell r="AM13">
            <v>1.1586666666666667</v>
          </cell>
        </row>
      </sheetData>
      <sheetData sheetId="10">
        <row r="13">
          <cell r="AN13">
            <v>0.7340526315789474</v>
          </cell>
        </row>
      </sheetData>
      <sheetData sheetId="11">
        <row r="13">
          <cell r="AN13">
            <v>0.98266798418972334</v>
          </cell>
        </row>
      </sheetData>
      <sheetData sheetId="12">
        <row r="13">
          <cell r="AN13">
            <v>0.83754385964912292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_2022"/>
      <sheetName val="February_2022"/>
      <sheetName val="March_2022"/>
      <sheetName val="April_2022"/>
      <sheetName val="May_2022"/>
      <sheetName val="July_2022"/>
      <sheetName val="June_2022"/>
      <sheetName val="August_2018  (2)"/>
      <sheetName val="August_2022"/>
      <sheetName val="September_2022"/>
      <sheetName val="October_2022"/>
      <sheetName val="November_2022"/>
      <sheetName val="December_2022"/>
      <sheetName val="Average"/>
      <sheetName val="March_2021"/>
      <sheetName val="April_2021"/>
      <sheetName val="May_2021"/>
      <sheetName val="June_2021"/>
      <sheetName val="July_2021"/>
      <sheetName val="August_2021"/>
      <sheetName val="September_2021"/>
      <sheetName val="October_2021"/>
      <sheetName val="November_2021"/>
      <sheetName val="December_2021"/>
    </sheetNames>
    <sheetDataSet>
      <sheetData sheetId="0">
        <row r="7">
          <cell r="F7">
            <v>90.5</v>
          </cell>
        </row>
      </sheetData>
      <sheetData sheetId="1">
        <row r="3">
          <cell r="D3">
            <v>410.59999999999997</v>
          </cell>
        </row>
      </sheetData>
      <sheetData sheetId="2">
        <row r="7">
          <cell r="D7">
            <v>199.8</v>
          </cell>
        </row>
      </sheetData>
      <sheetData sheetId="3">
        <row r="7">
          <cell r="G7">
            <v>266.8</v>
          </cell>
        </row>
      </sheetData>
      <sheetData sheetId="4">
        <row r="7">
          <cell r="E7">
            <v>291.89999999999998</v>
          </cell>
        </row>
        <row r="43">
          <cell r="M43">
            <v>3.4878406700073312</v>
          </cell>
        </row>
      </sheetData>
      <sheetData sheetId="5">
        <row r="3">
          <cell r="G3">
            <v>319.81</v>
          </cell>
        </row>
      </sheetData>
      <sheetData sheetId="6">
        <row r="7">
          <cell r="D7">
            <v>190.7</v>
          </cell>
        </row>
      </sheetData>
      <sheetData sheetId="7"/>
      <sheetData sheetId="8">
        <row r="7">
          <cell r="E7">
            <v>293.3</v>
          </cell>
        </row>
      </sheetData>
      <sheetData sheetId="9">
        <row r="7">
          <cell r="E7">
            <v>374.7</v>
          </cell>
        </row>
      </sheetData>
      <sheetData sheetId="10">
        <row r="3">
          <cell r="G3">
            <v>207.23000000000002</v>
          </cell>
        </row>
      </sheetData>
      <sheetData sheetId="11">
        <row r="7">
          <cell r="E7">
            <v>572.10000000000014</v>
          </cell>
        </row>
      </sheetData>
      <sheetData sheetId="12">
        <row r="3">
          <cell r="D3">
            <v>315.21000000000004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"/>
      <sheetName val="Summary September '23"/>
      <sheetName val="Summary August '23"/>
      <sheetName val="Summary July '23 "/>
      <sheetName val="Summary June '23"/>
      <sheetName val="Summary May '23 "/>
      <sheetName val="Summary April '23 "/>
      <sheetName val="Summary March '23 "/>
      <sheetName val="Summary February '23"/>
      <sheetName val="Summary January '23"/>
      <sheetName val="Summary December '22  "/>
      <sheetName val="Summary November '22   "/>
      <sheetName val="Summary October '22  "/>
      <sheetName val="Summary September '22  "/>
      <sheetName val="Summary August '22 "/>
      <sheetName val="Summary July '22 "/>
      <sheetName val="Summary June '22"/>
      <sheetName val="Summary May '22"/>
      <sheetName val="Summary April '22"/>
      <sheetName val="Summary March '22"/>
      <sheetName val="Summary February '22"/>
      <sheetName val="Summary January '22"/>
      <sheetName val="Summary December '21  "/>
    </sheetNames>
    <sheetDataSet>
      <sheetData sheetId="0"/>
      <sheetData sheetId="1"/>
      <sheetData sheetId="2"/>
      <sheetData sheetId="3"/>
      <sheetData sheetId="4"/>
      <sheetData sheetId="5">
        <row r="39">
          <cell r="AI39">
            <v>53</v>
          </cell>
        </row>
        <row r="849">
          <cell r="AU849">
            <v>95.663863833483461</v>
          </cell>
        </row>
        <row r="850">
          <cell r="AU850">
            <v>98.161203140703776</v>
          </cell>
        </row>
        <row r="851">
          <cell r="AU851">
            <v>99.759332436323248</v>
          </cell>
        </row>
        <row r="852">
          <cell r="AU852">
            <v>98.333283107625732</v>
          </cell>
        </row>
        <row r="853">
          <cell r="AU853">
            <v>98.502602722865149</v>
          </cell>
        </row>
        <row r="854">
          <cell r="AU854">
            <v>98.818687834716542</v>
          </cell>
        </row>
        <row r="855">
          <cell r="AU855">
            <v>97.298297014350211</v>
          </cell>
        </row>
        <row r="856">
          <cell r="AU856">
            <v>99.281443283645203</v>
          </cell>
        </row>
        <row r="857">
          <cell r="AU857">
            <v>96.092752278453332</v>
          </cell>
        </row>
        <row r="858">
          <cell r="AU858">
            <v>98.055003537976447</v>
          </cell>
        </row>
        <row r="859">
          <cell r="AU859">
            <v>100.91885920195962</v>
          </cell>
        </row>
        <row r="860">
          <cell r="AU860">
            <v>99.63105429686064</v>
          </cell>
        </row>
        <row r="861">
          <cell r="AU861">
            <v>96.873994166896026</v>
          </cell>
        </row>
        <row r="862">
          <cell r="AU862">
            <v>98.919847621112098</v>
          </cell>
        </row>
        <row r="863">
          <cell r="AU863">
            <v>98.631788415892132</v>
          </cell>
        </row>
        <row r="864">
          <cell r="AU864">
            <v>98.525744642541923</v>
          </cell>
        </row>
        <row r="865">
          <cell r="AU865">
            <v>97.946144197753199</v>
          </cell>
        </row>
        <row r="866">
          <cell r="AU866">
            <v>99.535261451801944</v>
          </cell>
        </row>
        <row r="867">
          <cell r="AU867">
            <v>99.041877420655766</v>
          </cell>
        </row>
        <row r="868">
          <cell r="AU868">
            <v>98.619710487506779</v>
          </cell>
        </row>
        <row r="869">
          <cell r="AU869">
            <v>94.871478991746045</v>
          </cell>
        </row>
        <row r="870">
          <cell r="AU870">
            <v>99.145590755635325</v>
          </cell>
        </row>
        <row r="871">
          <cell r="AU871">
            <v>97.414766781431112</v>
          </cell>
        </row>
        <row r="872">
          <cell r="AU872">
            <v>98.168689841970789</v>
          </cell>
        </row>
        <row r="873">
          <cell r="AU873">
            <v>94.708468285483022</v>
          </cell>
        </row>
        <row r="874">
          <cell r="AU874">
            <v>98.19572334957715</v>
          </cell>
        </row>
        <row r="875">
          <cell r="AU875">
            <v>98.090148410725448</v>
          </cell>
        </row>
        <row r="876">
          <cell r="AU876">
            <v>95.118761951292143</v>
          </cell>
        </row>
        <row r="877">
          <cell r="AU877">
            <v>100.60583188656503</v>
          </cell>
        </row>
        <row r="878">
          <cell r="AU878">
            <v>97.290406760145842</v>
          </cell>
        </row>
        <row r="879">
          <cell r="AU879">
            <v>104.72566854096057</v>
          </cell>
        </row>
        <row r="880">
          <cell r="AU880">
            <v>103.17490716902564</v>
          </cell>
        </row>
        <row r="881">
          <cell r="AU881">
            <v>97.832871362942271</v>
          </cell>
        </row>
        <row r="882">
          <cell r="AU882">
            <v>98.196537042622353</v>
          </cell>
        </row>
        <row r="883">
          <cell r="AU883">
            <v>92.067139526743475</v>
          </cell>
        </row>
        <row r="884">
          <cell r="AU884">
            <v>98.407062059761429</v>
          </cell>
        </row>
        <row r="885">
          <cell r="AU885">
            <v>99.192747185987045</v>
          </cell>
        </row>
        <row r="886">
          <cell r="AU886">
            <v>97.51961651056078</v>
          </cell>
        </row>
        <row r="887">
          <cell r="AU887">
            <v>95.491313123678665</v>
          </cell>
        </row>
        <row r="888">
          <cell r="AU888">
            <v>100.23142048831002</v>
          </cell>
        </row>
        <row r="889">
          <cell r="AU889">
            <v>98.187310276793937</v>
          </cell>
        </row>
        <row r="890">
          <cell r="AU890">
            <v>101.25839273474642</v>
          </cell>
        </row>
        <row r="891">
          <cell r="AU891">
            <v>95.290840272543946</v>
          </cell>
        </row>
        <row r="892">
          <cell r="AU892">
            <v>102.08768838931368</v>
          </cell>
        </row>
        <row r="893">
          <cell r="AU893">
            <v>97.360408780157954</v>
          </cell>
        </row>
        <row r="894">
          <cell r="AU894">
            <v>99.045402987088693</v>
          </cell>
        </row>
        <row r="895">
          <cell r="AU895">
            <v>98.034529195153198</v>
          </cell>
        </row>
        <row r="896">
          <cell r="AU896">
            <v>99.66368637303772</v>
          </cell>
        </row>
        <row r="897">
          <cell r="AU897">
            <v>96.39159653002244</v>
          </cell>
        </row>
        <row r="898">
          <cell r="AU898">
            <v>99.215504360195723</v>
          </cell>
        </row>
        <row r="899">
          <cell r="AU899">
            <v>100.22728441960062</v>
          </cell>
        </row>
        <row r="900">
          <cell r="AU900">
            <v>98.989483943049265</v>
          </cell>
        </row>
        <row r="901">
          <cell r="AU901">
            <v>96.280432251303537</v>
          </cell>
        </row>
        <row r="902">
          <cell r="AU902">
            <v>99.202811624094949</v>
          </cell>
        </row>
        <row r="903">
          <cell r="AU903">
            <v>98.506489670004697</v>
          </cell>
        </row>
        <row r="904">
          <cell r="AU904">
            <v>99.769040261812833</v>
          </cell>
        </row>
        <row r="905">
          <cell r="AU905">
            <v>98.326320918982461</v>
          </cell>
        </row>
        <row r="906">
          <cell r="AU906">
            <v>98.719626202658404</v>
          </cell>
        </row>
        <row r="907">
          <cell r="AU907">
            <v>99.117823502588735</v>
          </cell>
        </row>
        <row r="908">
          <cell r="AU908">
            <v>98.631008731909759</v>
          </cell>
        </row>
        <row r="909">
          <cell r="AU909">
            <v>93.901686844433655</v>
          </cell>
        </row>
        <row r="910">
          <cell r="AU910">
            <v>98.42963897912486</v>
          </cell>
        </row>
        <row r="911">
          <cell r="AU911">
            <v>99.240374252811307</v>
          </cell>
        </row>
        <row r="912">
          <cell r="AU912">
            <v>99.893905017469535</v>
          </cell>
        </row>
        <row r="913">
          <cell r="AU913">
            <v>99.245314300729845</v>
          </cell>
        </row>
        <row r="914">
          <cell r="AU914">
            <v>98.818173928722587</v>
          </cell>
        </row>
        <row r="915">
          <cell r="AU915">
            <v>98.331257677886271</v>
          </cell>
        </row>
        <row r="916">
          <cell r="AU916">
            <v>98.612545635425107</v>
          </cell>
        </row>
        <row r="917">
          <cell r="AU917">
            <v>98.631417127445459</v>
          </cell>
        </row>
        <row r="918">
          <cell r="AU918">
            <v>98.07782155982369</v>
          </cell>
        </row>
        <row r="919">
          <cell r="AU919">
            <v>98.33388042408815</v>
          </cell>
        </row>
        <row r="920">
          <cell r="AU920">
            <v>95.468071678126762</v>
          </cell>
        </row>
        <row r="921">
          <cell r="AU921">
            <v>101.41851984313148</v>
          </cell>
        </row>
        <row r="922">
          <cell r="AU922">
            <v>98.594095369450585</v>
          </cell>
        </row>
        <row r="923">
          <cell r="AU923">
            <v>101.0306887695094</v>
          </cell>
        </row>
        <row r="924">
          <cell r="AU924">
            <v>97.117338355034519</v>
          </cell>
        </row>
        <row r="926">
          <cell r="AU926">
            <v>93.014529112498508</v>
          </cell>
        </row>
        <row r="927">
          <cell r="AU927">
            <v>94.905180294691831</v>
          </cell>
        </row>
        <row r="928">
          <cell r="AU928">
            <v>98.612734606795939</v>
          </cell>
        </row>
        <row r="929">
          <cell r="AU929">
            <v>98.193089516568449</v>
          </cell>
        </row>
        <row r="930">
          <cell r="AU930">
            <v>99.166902562351495</v>
          </cell>
        </row>
        <row r="931">
          <cell r="AU931">
            <v>98.545871344503041</v>
          </cell>
        </row>
        <row r="932">
          <cell r="AU932">
            <v>96.633045006550262</v>
          </cell>
        </row>
        <row r="933">
          <cell r="AU933">
            <v>97.21114174432509</v>
          </cell>
        </row>
        <row r="934">
          <cell r="AU934">
            <v>99.369101617770809</v>
          </cell>
        </row>
        <row r="935">
          <cell r="AU935">
            <v>98.036954958046238</v>
          </cell>
        </row>
        <row r="936">
          <cell r="AU936">
            <v>91.207086008373878</v>
          </cell>
        </row>
        <row r="937">
          <cell r="AU937">
            <v>95.860786445249929</v>
          </cell>
        </row>
        <row r="938">
          <cell r="AU938">
            <v>97.986863363409327</v>
          </cell>
        </row>
        <row r="939">
          <cell r="AU939">
            <v>95.87755710705413</v>
          </cell>
        </row>
        <row r="940">
          <cell r="AU940">
            <v>96.069312221268248</v>
          </cell>
        </row>
        <row r="941">
          <cell r="AU941">
            <v>94.699654196675027</v>
          </cell>
        </row>
        <row r="942">
          <cell r="AU942">
            <v>101.67252999852943</v>
          </cell>
        </row>
        <row r="943">
          <cell r="AU943">
            <v>101.17913775574701</v>
          </cell>
        </row>
        <row r="944">
          <cell r="AU944">
            <v>100.86273713130642</v>
          </cell>
        </row>
        <row r="945">
          <cell r="AU945">
            <v>100.10873722587988</v>
          </cell>
        </row>
        <row r="946">
          <cell r="AU946">
            <v>95.50082306179263</v>
          </cell>
        </row>
        <row r="947">
          <cell r="AU947">
            <v>98.277382858959044</v>
          </cell>
        </row>
        <row r="948">
          <cell r="AU948">
            <v>93.3808876329188</v>
          </cell>
        </row>
        <row r="949">
          <cell r="AU949">
            <v>96.175569134464126</v>
          </cell>
        </row>
        <row r="950">
          <cell r="AU950">
            <v>97.078303486097681</v>
          </cell>
        </row>
        <row r="951">
          <cell r="AU951">
            <v>101.56030805211434</v>
          </cell>
        </row>
        <row r="952">
          <cell r="AU952">
            <v>91.935041652671885</v>
          </cell>
        </row>
        <row r="953">
          <cell r="AU953">
            <v>97.123997414216163</v>
          </cell>
        </row>
        <row r="954">
          <cell r="AU954">
            <v>95.617584994183886</v>
          </cell>
        </row>
        <row r="955">
          <cell r="AU955">
            <v>96.610674074757526</v>
          </cell>
        </row>
        <row r="956">
          <cell r="AU956">
            <v>97.487635532948119</v>
          </cell>
        </row>
        <row r="957">
          <cell r="AU957">
            <v>97.412227635198136</v>
          </cell>
        </row>
        <row r="958">
          <cell r="AU958">
            <v>97.20950210143495</v>
          </cell>
        </row>
        <row r="959">
          <cell r="AU959">
            <v>99.297987498145474</v>
          </cell>
        </row>
        <row r="960">
          <cell r="AU960">
            <v>97.024782991571257</v>
          </cell>
        </row>
        <row r="961">
          <cell r="AU961">
            <v>97.243298870014883</v>
          </cell>
        </row>
        <row r="962">
          <cell r="AU962">
            <v>97.023260123118732</v>
          </cell>
        </row>
        <row r="963">
          <cell r="AU963">
            <v>100.22026650558166</v>
          </cell>
        </row>
        <row r="964">
          <cell r="AU964">
            <v>100.00923853982306</v>
          </cell>
        </row>
        <row r="965">
          <cell r="AU965">
            <v>99.906331130627905</v>
          </cell>
        </row>
        <row r="966">
          <cell r="AU966">
            <v>98.850227095727348</v>
          </cell>
        </row>
        <row r="967">
          <cell r="AU967">
            <v>99.441114455440584</v>
          </cell>
        </row>
        <row r="968">
          <cell r="AU968">
            <v>98.304977340690357</v>
          </cell>
        </row>
        <row r="969">
          <cell r="AU969">
            <v>98.86983616014237</v>
          </cell>
        </row>
        <row r="970">
          <cell r="AU970">
            <v>98.488143394733228</v>
          </cell>
        </row>
        <row r="971">
          <cell r="AU971">
            <v>99.471038525077589</v>
          </cell>
        </row>
        <row r="973">
          <cell r="AU973">
            <v>95.888708244918675</v>
          </cell>
        </row>
        <row r="974">
          <cell r="AU974">
            <v>96.395259825577298</v>
          </cell>
        </row>
        <row r="975">
          <cell r="AU975">
            <v>99.192144221194894</v>
          </cell>
        </row>
        <row r="976">
          <cell r="AU976">
            <v>100.49472440540761</v>
          </cell>
        </row>
        <row r="977">
          <cell r="AU977">
            <v>99.145148742060812</v>
          </cell>
        </row>
        <row r="978">
          <cell r="AU978">
            <v>98.313224898090724</v>
          </cell>
        </row>
        <row r="979">
          <cell r="AU979">
            <v>98.891816600796247</v>
          </cell>
        </row>
        <row r="980">
          <cell r="AU980">
            <v>97.007802280437417</v>
          </cell>
        </row>
        <row r="981">
          <cell r="AU981">
            <v>100.03609063865832</v>
          </cell>
        </row>
        <row r="982">
          <cell r="AU982">
            <v>99.262117016695768</v>
          </cell>
        </row>
        <row r="983">
          <cell r="AU983">
            <v>98.760316095676714</v>
          </cell>
        </row>
        <row r="984">
          <cell r="AU984">
            <v>99.083839545652168</v>
          </cell>
        </row>
        <row r="985">
          <cell r="AU985">
            <v>98.648533109164021</v>
          </cell>
        </row>
        <row r="986">
          <cell r="AU986">
            <v>98.395181345142205</v>
          </cell>
        </row>
        <row r="987">
          <cell r="AU987">
            <v>99.66128871437337</v>
          </cell>
        </row>
        <row r="988">
          <cell r="AU988">
            <v>98.814121830608798</v>
          </cell>
        </row>
        <row r="989">
          <cell r="AU989">
            <v>98.703252611359233</v>
          </cell>
        </row>
        <row r="990">
          <cell r="AU990">
            <v>101.08312040923842</v>
          </cell>
        </row>
        <row r="991">
          <cell r="AU991">
            <v>96.089556432038236</v>
          </cell>
        </row>
        <row r="992">
          <cell r="AU992">
            <v>96.950696980249873</v>
          </cell>
        </row>
        <row r="993">
          <cell r="AU993">
            <v>98.421661720388187</v>
          </cell>
        </row>
        <row r="994">
          <cell r="AU994">
            <v>97.938417583872493</v>
          </cell>
        </row>
        <row r="995">
          <cell r="AU995">
            <v>97.650858846700444</v>
          </cell>
        </row>
        <row r="996">
          <cell r="AU996">
            <v>98.704675821172387</v>
          </cell>
        </row>
        <row r="997">
          <cell r="AU997">
            <v>98.77401974110343</v>
          </cell>
        </row>
        <row r="998">
          <cell r="AU998">
            <v>100.39222978751012</v>
          </cell>
        </row>
        <row r="999">
          <cell r="AU999">
            <v>97.59336349013391</v>
          </cell>
        </row>
        <row r="1000">
          <cell r="AU1000">
            <v>101.5239334145885</v>
          </cell>
        </row>
        <row r="1001">
          <cell r="AU1001">
            <v>98.465315588133734</v>
          </cell>
        </row>
        <row r="1002">
          <cell r="AU1002">
            <v>96.186092769917465</v>
          </cell>
        </row>
        <row r="1003">
          <cell r="AU1003">
            <v>94.13399521979872</v>
          </cell>
        </row>
        <row r="1004">
          <cell r="AU1004">
            <v>97.393648773101731</v>
          </cell>
        </row>
        <row r="1005">
          <cell r="AU1005">
            <v>100.84475180839827</v>
          </cell>
        </row>
        <row r="1006">
          <cell r="AU1006">
            <v>96.923784228632613</v>
          </cell>
        </row>
        <row r="1007">
          <cell r="AU1007">
            <v>98.943374580547371</v>
          </cell>
        </row>
        <row r="1008">
          <cell r="AU1008">
            <v>97.616244018038586</v>
          </cell>
        </row>
        <row r="1009">
          <cell r="AU1009">
            <v>97.200120753042128</v>
          </cell>
        </row>
        <row r="1010">
          <cell r="AU1010">
            <v>98.309661023974598</v>
          </cell>
        </row>
        <row r="1011">
          <cell r="AU1011">
            <v>98.11180818418508</v>
          </cell>
        </row>
        <row r="1012">
          <cell r="AU1012">
            <v>95.802126010985702</v>
          </cell>
        </row>
        <row r="1013">
          <cell r="AU1013">
            <v>97.933739877262411</v>
          </cell>
        </row>
        <row r="1014">
          <cell r="AU1014">
            <v>98.390432949172776</v>
          </cell>
        </row>
        <row r="1015">
          <cell r="AU1015">
            <v>97.811665696530596</v>
          </cell>
        </row>
        <row r="1016">
          <cell r="AU1016">
            <v>95.923441158121605</v>
          </cell>
        </row>
        <row r="1017">
          <cell r="AU1017">
            <v>100.63802460760101</v>
          </cell>
        </row>
        <row r="1018">
          <cell r="AU1018">
            <v>97.734702345258398</v>
          </cell>
        </row>
        <row r="1019">
          <cell r="AU1019">
            <v>93.252429030364738</v>
          </cell>
        </row>
        <row r="1020">
          <cell r="AU1020">
            <v>99.384746343388471</v>
          </cell>
        </row>
        <row r="1021">
          <cell r="AU1021">
            <v>98.117256569111035</v>
          </cell>
        </row>
        <row r="1022">
          <cell r="AU1022">
            <v>98.116637806062727</v>
          </cell>
        </row>
        <row r="1023">
          <cell r="AU1023">
            <v>97.657860016366371</v>
          </cell>
        </row>
        <row r="1024">
          <cell r="AU1024">
            <v>97.972529900423893</v>
          </cell>
        </row>
        <row r="1025">
          <cell r="AU1025">
            <v>98.310667164973324</v>
          </cell>
        </row>
        <row r="1026">
          <cell r="AU1026">
            <v>99.134259503986243</v>
          </cell>
        </row>
        <row r="1027">
          <cell r="AU1027">
            <v>97.265959206532798</v>
          </cell>
        </row>
        <row r="1028">
          <cell r="AU1028">
            <v>98.760591325256911</v>
          </cell>
        </row>
        <row r="1029">
          <cell r="AU1029">
            <v>98.74404787856021</v>
          </cell>
        </row>
        <row r="1030">
          <cell r="AU1030">
            <v>98.23571717622653</v>
          </cell>
        </row>
        <row r="1031">
          <cell r="AU1031">
            <v>95.983832685957111</v>
          </cell>
        </row>
        <row r="1032">
          <cell r="AU1032">
            <v>96.780419003256441</v>
          </cell>
        </row>
        <row r="1033">
          <cell r="AU1033">
            <v>98.118278383828581</v>
          </cell>
        </row>
        <row r="1034">
          <cell r="AU1034">
            <v>98.40572115021881</v>
          </cell>
        </row>
        <row r="1035">
          <cell r="AU1035">
            <v>98.528391993821813</v>
          </cell>
        </row>
        <row r="1036">
          <cell r="AU1036">
            <v>97.465240963079651</v>
          </cell>
        </row>
        <row r="1037">
          <cell r="AU1037">
            <v>97.173958918165667</v>
          </cell>
        </row>
        <row r="1038">
          <cell r="AU1038">
            <v>98.211277757924051</v>
          </cell>
        </row>
        <row r="1039">
          <cell r="AU1039">
            <v>94.563206145249396</v>
          </cell>
        </row>
        <row r="1040">
          <cell r="AU1040">
            <v>95.635088600851034</v>
          </cell>
        </row>
        <row r="1041">
          <cell r="AU1041">
            <v>98.498414606864543</v>
          </cell>
        </row>
        <row r="1042">
          <cell r="AU1042">
            <v>91.938484218600379</v>
          </cell>
        </row>
        <row r="1043">
          <cell r="AU1043">
            <v>91.492245116111022</v>
          </cell>
        </row>
        <row r="1044">
          <cell r="AU1044">
            <v>101.15378252437304</v>
          </cell>
        </row>
        <row r="1045">
          <cell r="AU1045">
            <v>101.1444879830546</v>
          </cell>
        </row>
        <row r="1046">
          <cell r="AU1046">
            <v>101.75764547610389</v>
          </cell>
        </row>
        <row r="1047">
          <cell r="AU1047">
            <v>102.02807739161611</v>
          </cell>
        </row>
        <row r="1048">
          <cell r="AU1048">
            <v>102.33822588732673</v>
          </cell>
        </row>
        <row r="1049">
          <cell r="AU1049">
            <v>98.392068701489933</v>
          </cell>
        </row>
        <row r="1050">
          <cell r="AU1050">
            <v>102.06536408817584</v>
          </cell>
        </row>
        <row r="1051">
          <cell r="AU1051">
            <v>101.99297305280595</v>
          </cell>
        </row>
        <row r="1052">
          <cell r="AU1052">
            <v>102.04523247984621</v>
          </cell>
        </row>
        <row r="1053">
          <cell r="AU1053">
            <v>102.06637748595027</v>
          </cell>
        </row>
        <row r="1054">
          <cell r="AU1054">
            <v>100.85142188790077</v>
          </cell>
        </row>
        <row r="1055">
          <cell r="AU1055">
            <v>98.583226688478646</v>
          </cell>
        </row>
        <row r="1056">
          <cell r="AU1056">
            <v>101.06682882622262</v>
          </cell>
        </row>
        <row r="1057">
          <cell r="AU1057">
            <v>102.15521087119062</v>
          </cell>
        </row>
        <row r="1058">
          <cell r="AU1058">
            <v>99.285782200097586</v>
          </cell>
        </row>
        <row r="1059">
          <cell r="AU1059">
            <v>105.62916732880055</v>
          </cell>
        </row>
        <row r="1060">
          <cell r="AU1060">
            <v>101.36255994882586</v>
          </cell>
        </row>
        <row r="1061">
          <cell r="AU1061">
            <v>102.6647233531194</v>
          </cell>
        </row>
        <row r="1062">
          <cell r="AU1062">
            <v>101.83246684789979</v>
          </cell>
        </row>
        <row r="1063">
          <cell r="AU1063">
            <v>101.53192838019653</v>
          </cell>
        </row>
        <row r="1064">
          <cell r="AU1064">
            <v>102.44706710711155</v>
          </cell>
        </row>
        <row r="1065">
          <cell r="AU1065">
            <v>101.93933661160513</v>
          </cell>
        </row>
        <row r="1066">
          <cell r="AU1066">
            <v>105.97819225470263</v>
          </cell>
        </row>
        <row r="1068">
          <cell r="AU1068">
            <v>98.849674543469746</v>
          </cell>
        </row>
        <row r="1069">
          <cell r="AU1069">
            <v>100.1446862302372</v>
          </cell>
        </row>
        <row r="1070">
          <cell r="AU1070">
            <v>101.6362578559</v>
          </cell>
        </row>
        <row r="1071">
          <cell r="AU1071">
            <v>99.778769949625442</v>
          </cell>
        </row>
        <row r="1072">
          <cell r="AU1072">
            <v>103.16967203867529</v>
          </cell>
        </row>
        <row r="1073">
          <cell r="AU1073">
            <v>102.73418524015567</v>
          </cell>
        </row>
        <row r="1074">
          <cell r="AU1074">
            <v>101.54191229732984</v>
          </cell>
        </row>
        <row r="1075">
          <cell r="AU1075">
            <v>102.73418524015567</v>
          </cell>
        </row>
        <row r="1076">
          <cell r="AU1076">
            <v>101.80414267915592</v>
          </cell>
        </row>
        <row r="1077">
          <cell r="AU1077">
            <v>101.43225651769654</v>
          </cell>
        </row>
        <row r="1078">
          <cell r="AU1078">
            <v>97.320280453397089</v>
          </cell>
        </row>
        <row r="1079">
          <cell r="AU1079">
            <v>97.857959507039951</v>
          </cell>
        </row>
        <row r="1080">
          <cell r="AU1080">
            <v>95.535610244737128</v>
          </cell>
        </row>
        <row r="1081">
          <cell r="AU1081">
            <v>100.5392960523547</v>
          </cell>
        </row>
        <row r="1082">
          <cell r="AU1082">
            <v>99.599362260640163</v>
          </cell>
        </row>
        <row r="1083">
          <cell r="AU1083">
            <v>99.529676899631809</v>
          </cell>
        </row>
        <row r="1084">
          <cell r="AU1084">
            <v>98.65805869904662</v>
          </cell>
        </row>
        <row r="1085">
          <cell r="AU1085">
            <v>97.900683336699984</v>
          </cell>
        </row>
        <row r="1086">
          <cell r="AU1086">
            <v>96.022081664943912</v>
          </cell>
        </row>
        <row r="1087">
          <cell r="AU1087">
            <v>97.304624413158848</v>
          </cell>
        </row>
        <row r="1088">
          <cell r="AU1088">
            <v>95.35734626639821</v>
          </cell>
        </row>
        <row r="1089">
          <cell r="AU1089">
            <v>97.495031010465411</v>
          </cell>
        </row>
        <row r="1090">
          <cell r="AU1090">
            <v>99.297715486103399</v>
          </cell>
        </row>
        <row r="1091">
          <cell r="AU1091">
            <v>105.06246935933015</v>
          </cell>
        </row>
        <row r="1092">
          <cell r="AU1092">
            <v>97.34355913227499</v>
          </cell>
        </row>
        <row r="1093">
          <cell r="AU1093">
            <v>97.997395733282133</v>
          </cell>
        </row>
        <row r="1094">
          <cell r="AU1094">
            <v>96.614488908385596</v>
          </cell>
        </row>
        <row r="1095">
          <cell r="AU1095">
            <v>99.082583941163421</v>
          </cell>
        </row>
        <row r="1096">
          <cell r="AU1096">
            <v>98.29841509955078</v>
          </cell>
        </row>
        <row r="1097">
          <cell r="AU1097">
            <v>96.453761885803175</v>
          </cell>
        </row>
        <row r="1098">
          <cell r="AU1098">
            <v>98.75856341553218</v>
          </cell>
        </row>
        <row r="1099">
          <cell r="AU1099">
            <v>97.435426934039398</v>
          </cell>
        </row>
        <row r="1100">
          <cell r="AU1100">
            <v>97.927954392332211</v>
          </cell>
        </row>
        <row r="1101">
          <cell r="AU1101">
            <v>96.858355595507177</v>
          </cell>
        </row>
        <row r="1102">
          <cell r="AU1102">
            <v>98.313322709326911</v>
          </cell>
        </row>
        <row r="1103">
          <cell r="AU1103">
            <v>96.213262583906172</v>
          </cell>
        </row>
        <row r="1104">
          <cell r="AU1104">
            <v>99.205057766702964</v>
          </cell>
        </row>
        <row r="1105">
          <cell r="AU1105">
            <v>98.616510565062583</v>
          </cell>
        </row>
        <row r="1106">
          <cell r="AU1106">
            <v>99.62335715244869</v>
          </cell>
        </row>
        <row r="1107">
          <cell r="AU1107">
            <v>98.353854199762637</v>
          </cell>
        </row>
        <row r="1108">
          <cell r="AU1108">
            <v>97.851876301229794</v>
          </cell>
        </row>
        <row r="1109">
          <cell r="AU1109">
            <v>96.784826520048185</v>
          </cell>
        </row>
        <row r="1110">
          <cell r="AU1110">
            <v>99.306008905273842</v>
          </cell>
        </row>
        <row r="1111">
          <cell r="AU1111">
            <v>103.8755853825819</v>
          </cell>
        </row>
        <row r="1113">
          <cell r="AU1113">
            <v>94.594411695767121</v>
          </cell>
        </row>
        <row r="1114">
          <cell r="AU1114">
            <v>95.442259414411609</v>
          </cell>
        </row>
        <row r="1115">
          <cell r="AU1115">
            <v>97.799087255527326</v>
          </cell>
        </row>
        <row r="1116">
          <cell r="AU1116">
            <v>99.719532753381543</v>
          </cell>
        </row>
        <row r="1117">
          <cell r="AU1117">
            <v>97.267166338056526</v>
          </cell>
        </row>
        <row r="1118">
          <cell r="AU1118">
            <v>100.44764077118069</v>
          </cell>
        </row>
        <row r="1119">
          <cell r="AU1119">
            <v>93.827567421687206</v>
          </cell>
        </row>
        <row r="1120">
          <cell r="AU1120">
            <v>96.394036031473647</v>
          </cell>
        </row>
        <row r="1121">
          <cell r="AU1121">
            <v>97.578305165931454</v>
          </cell>
        </row>
        <row r="1122">
          <cell r="AU1122">
            <v>96.932364975155807</v>
          </cell>
        </row>
        <row r="1123">
          <cell r="AU1123">
            <v>97.997104085958256</v>
          </cell>
        </row>
        <row r="1124">
          <cell r="AU1124">
            <v>97.759544843715418</v>
          </cell>
        </row>
        <row r="1125">
          <cell r="AU1125">
            <v>94.633810861424649</v>
          </cell>
        </row>
        <row r="1126">
          <cell r="AU1126">
            <v>96.862779824852581</v>
          </cell>
        </row>
        <row r="1127">
          <cell r="AU1127">
            <v>97.346818027874249</v>
          </cell>
        </row>
        <row r="1128">
          <cell r="AU1128">
            <v>97.629135536293958</v>
          </cell>
        </row>
        <row r="1129">
          <cell r="AU1129">
            <v>96.246567851915756</v>
          </cell>
        </row>
        <row r="1130">
          <cell r="AU1130">
            <v>99.254098267973902</v>
          </cell>
        </row>
        <row r="1131">
          <cell r="AU1131">
            <v>99.144169147157214</v>
          </cell>
        </row>
        <row r="1132">
          <cell r="AU1132">
            <v>99.23496199785825</v>
          </cell>
        </row>
        <row r="1134">
          <cell r="AU1134">
            <v>99.19314463412546</v>
          </cell>
        </row>
        <row r="1135">
          <cell r="AU1135">
            <v>102.92280154888711</v>
          </cell>
        </row>
        <row r="1136">
          <cell r="AU1136">
            <v>99.829359344619434</v>
          </cell>
        </row>
        <row r="1137">
          <cell r="AU1137">
            <v>99.761609789296614</v>
          </cell>
        </row>
        <row r="1138">
          <cell r="AU1138">
            <v>99.596399217459179</v>
          </cell>
        </row>
        <row r="1139">
          <cell r="AU1139">
            <v>100.37908211897162</v>
          </cell>
        </row>
        <row r="1140">
          <cell r="AU1140">
            <v>97.418312766765041</v>
          </cell>
        </row>
        <row r="1141">
          <cell r="AU1141">
            <v>97.968907607982743</v>
          </cell>
        </row>
        <row r="1142">
          <cell r="AU1142">
            <v>100.17029027008138</v>
          </cell>
        </row>
        <row r="1143">
          <cell r="AU1143">
            <v>99.993228708722555</v>
          </cell>
        </row>
        <row r="1144">
          <cell r="AU1144">
            <v>97.765751264487974</v>
          </cell>
        </row>
        <row r="1145">
          <cell r="AU1145">
            <v>100.62180093955595</v>
          </cell>
        </row>
        <row r="1146">
          <cell r="AU1146">
            <v>99.629475486503139</v>
          </cell>
        </row>
        <row r="1147">
          <cell r="AU1147">
            <v>102.31969069772103</v>
          </cell>
        </row>
        <row r="1148">
          <cell r="AU1148">
            <v>99.701418936924441</v>
          </cell>
        </row>
        <row r="1149">
          <cell r="AU1149">
            <v>102.89444634839793</v>
          </cell>
        </row>
        <row r="1150">
          <cell r="AU1150">
            <v>98.3471950616252</v>
          </cell>
        </row>
        <row r="1151">
          <cell r="AU1151">
            <v>105.60928359110704</v>
          </cell>
        </row>
        <row r="1152">
          <cell r="AU1152">
            <v>99.212780781016363</v>
          </cell>
        </row>
        <row r="1153">
          <cell r="AU1153">
            <v>100.63709509811707</v>
          </cell>
        </row>
        <row r="1154">
          <cell r="AU1154">
            <v>103.96526783220462</v>
          </cell>
        </row>
        <row r="1155">
          <cell r="AU1155">
            <v>102.33610142522622</v>
          </cell>
        </row>
        <row r="1156">
          <cell r="AU1156">
            <v>99.64102382490708</v>
          </cell>
        </row>
        <row r="1157">
          <cell r="AU1157">
            <v>97.359035191556657</v>
          </cell>
        </row>
        <row r="1158">
          <cell r="AU1158">
            <v>97.039812457212648</v>
          </cell>
        </row>
        <row r="1159">
          <cell r="AU1159">
            <v>99.191907080373852</v>
          </cell>
        </row>
        <row r="1160">
          <cell r="AU1160">
            <v>97.085988871154981</v>
          </cell>
        </row>
        <row r="1161">
          <cell r="AU1161">
            <v>98.839848274994736</v>
          </cell>
        </row>
        <row r="1162">
          <cell r="AU1162">
            <v>97.093900728710452</v>
          </cell>
        </row>
        <row r="1163">
          <cell r="AU1163">
            <v>98.663229460189456</v>
          </cell>
        </row>
        <row r="1164">
          <cell r="AU1164">
            <v>98.007580302489345</v>
          </cell>
        </row>
        <row r="1165">
          <cell r="AU1165">
            <v>96.82899132340151</v>
          </cell>
        </row>
        <row r="1166">
          <cell r="AU1166">
            <v>98.296064945454376</v>
          </cell>
        </row>
        <row r="1167">
          <cell r="AU1167">
            <v>101.25530046681963</v>
          </cell>
        </row>
        <row r="1169">
          <cell r="AU1169">
            <v>98.660529574241494</v>
          </cell>
        </row>
        <row r="1170">
          <cell r="AU1170">
            <v>98.683683341984477</v>
          </cell>
        </row>
        <row r="1171">
          <cell r="AU1171">
            <v>96.46565272128187</v>
          </cell>
        </row>
        <row r="1172">
          <cell r="AU1172">
            <v>98.213482405754576</v>
          </cell>
        </row>
        <row r="1173">
          <cell r="AU1173">
            <v>98.248215187248647</v>
          </cell>
        </row>
        <row r="1174">
          <cell r="AU1174">
            <v>99.347419892330862</v>
          </cell>
        </row>
        <row r="1175">
          <cell r="AU1175">
            <v>95.129579928527363</v>
          </cell>
        </row>
        <row r="1176">
          <cell r="AU1176">
            <v>97.379668362256893</v>
          </cell>
        </row>
        <row r="1177">
          <cell r="AU1177">
            <v>99.069063562092396</v>
          </cell>
        </row>
        <row r="1178">
          <cell r="AU1178">
            <v>98.284977928895344</v>
          </cell>
        </row>
        <row r="1179">
          <cell r="AU1179">
            <v>97.697220967368324</v>
          </cell>
        </row>
        <row r="1180">
          <cell r="AU1180">
            <v>101.77283360791213</v>
          </cell>
        </row>
        <row r="1181">
          <cell r="AU1181">
            <v>100.11664075277199</v>
          </cell>
        </row>
        <row r="1182">
          <cell r="AU1182">
            <v>98.96717887047059</v>
          </cell>
        </row>
        <row r="1183">
          <cell r="AU1183">
            <v>101.63639408836093</v>
          </cell>
        </row>
        <row r="1184">
          <cell r="AU1184">
            <v>98.708712830779419</v>
          </cell>
        </row>
        <row r="1185">
          <cell r="AU1185">
            <v>101.97508681628864</v>
          </cell>
        </row>
        <row r="1186">
          <cell r="AU1186">
            <v>100.72072842071967</v>
          </cell>
        </row>
        <row r="1187">
          <cell r="AU1187">
            <v>97.365017903467503</v>
          </cell>
        </row>
        <row r="1188">
          <cell r="AU1188">
            <v>101.01311282542125</v>
          </cell>
        </row>
        <row r="1189">
          <cell r="AU1189">
            <v>100.53358360397915</v>
          </cell>
        </row>
        <row r="1190">
          <cell r="AU1190">
            <v>100.26027269838312</v>
          </cell>
        </row>
        <row r="1191">
          <cell r="AU1191">
            <v>100.63192255012645</v>
          </cell>
        </row>
        <row r="1192">
          <cell r="AU1192">
            <v>99.244367423501714</v>
          </cell>
        </row>
        <row r="1193">
          <cell r="AU1193">
            <v>100.38350189359957</v>
          </cell>
        </row>
        <row r="1194">
          <cell r="AU1194">
            <v>99.785915212785909</v>
          </cell>
        </row>
        <row r="1195">
          <cell r="AU1195">
            <v>97.50865977837762</v>
          </cell>
        </row>
        <row r="1196">
          <cell r="AU1196">
            <v>100.0636839283863</v>
          </cell>
        </row>
        <row r="1197">
          <cell r="AU1197">
            <v>99.399695194472216</v>
          </cell>
        </row>
        <row r="1198">
          <cell r="AU1198">
            <v>100.80828631126168</v>
          </cell>
        </row>
        <row r="1199">
          <cell r="AU1199">
            <v>104.29383532084293</v>
          </cell>
        </row>
        <row r="1200">
          <cell r="AU1200">
            <v>102.06806155794258</v>
          </cell>
        </row>
        <row r="1201">
          <cell r="AU1201">
            <v>98.068435070509224</v>
          </cell>
        </row>
        <row r="1202">
          <cell r="AU1202">
            <v>99.818028096023355</v>
          </cell>
        </row>
        <row r="1203">
          <cell r="AU1203">
            <v>105.43737145342024</v>
          </cell>
        </row>
        <row r="1204">
          <cell r="AU1204">
            <v>97.871405694667857</v>
          </cell>
        </row>
        <row r="1205">
          <cell r="AU1205">
            <v>96.721541095846874</v>
          </cell>
        </row>
        <row r="1206">
          <cell r="AU1206">
            <v>102.17987166054657</v>
          </cell>
        </row>
        <row r="1207">
          <cell r="AU1207">
            <v>96.176672749058383</v>
          </cell>
        </row>
        <row r="1208">
          <cell r="AU1208">
            <v>99.766559934627637</v>
          </cell>
        </row>
        <row r="1209">
          <cell r="AU1209">
            <v>100.49829989218999</v>
          </cell>
        </row>
        <row r="1210">
          <cell r="AU1210">
            <v>99.790091501759747</v>
          </cell>
        </row>
        <row r="1211">
          <cell r="AU1211">
            <v>100.55981487206185</v>
          </cell>
        </row>
        <row r="1212">
          <cell r="AU1212">
            <v>97.788116609006309</v>
          </cell>
        </row>
        <row r="1213">
          <cell r="AU1213">
            <v>101.98103091751247</v>
          </cell>
        </row>
        <row r="1214">
          <cell r="AU1214">
            <v>99.012001119679738</v>
          </cell>
        </row>
        <row r="1215">
          <cell r="AU1215">
            <v>91.261489968985217</v>
          </cell>
        </row>
        <row r="1216">
          <cell r="AU1216">
            <v>99.707698219426462</v>
          </cell>
        </row>
        <row r="1217">
          <cell r="AU1217">
            <v>99.614769231653739</v>
          </cell>
        </row>
        <row r="1218">
          <cell r="AU1218">
            <v>99.614769231653739</v>
          </cell>
        </row>
        <row r="1219">
          <cell r="AU1219">
            <v>97.686659012038731</v>
          </cell>
        </row>
        <row r="1220">
          <cell r="AU1220">
            <v>99.41593735693985</v>
          </cell>
        </row>
        <row r="1221">
          <cell r="AU1221">
            <v>100.33556993750601</v>
          </cell>
        </row>
        <row r="1222">
          <cell r="AU1222">
            <v>100.36284236973283</v>
          </cell>
        </row>
        <row r="1223">
          <cell r="AU1223">
            <v>96.707064243265734</v>
          </cell>
        </row>
        <row r="1224">
          <cell r="AU1224">
            <v>98.684983751011956</v>
          </cell>
        </row>
        <row r="1225">
          <cell r="AU1225">
            <v>100.32666613792978</v>
          </cell>
        </row>
        <row r="1226">
          <cell r="AU1226">
            <v>99.075472038593162</v>
          </cell>
        </row>
        <row r="1227">
          <cell r="AU1227">
            <v>100.36025727184756</v>
          </cell>
        </row>
        <row r="1228">
          <cell r="AU1228">
            <v>98.501847436225248</v>
          </cell>
        </row>
        <row r="1229">
          <cell r="AU1229">
            <v>98.135747551553138</v>
          </cell>
        </row>
        <row r="1230">
          <cell r="AU1230">
            <v>96.024350814782196</v>
          </cell>
        </row>
        <row r="1232">
          <cell r="AU1232">
            <v>98.179789785028689</v>
          </cell>
        </row>
        <row r="1233">
          <cell r="AU1233">
            <v>98.291928859171279</v>
          </cell>
        </row>
        <row r="1234">
          <cell r="AU1234">
            <v>97.797767256682306</v>
          </cell>
        </row>
        <row r="1235">
          <cell r="AU1235">
            <v>100.58641598521527</v>
          </cell>
        </row>
        <row r="1236">
          <cell r="AU1236">
            <v>96.111582389487964</v>
          </cell>
        </row>
        <row r="1237">
          <cell r="AU1237">
            <v>98.073236826407097</v>
          </cell>
        </row>
        <row r="1238">
          <cell r="AU1238">
            <v>97.333813603818271</v>
          </cell>
        </row>
        <row r="1239">
          <cell r="AU1239">
            <v>97.488035418419599</v>
          </cell>
        </row>
        <row r="1240">
          <cell r="AU1240">
            <v>96.443069000306991</v>
          </cell>
        </row>
        <row r="1241">
          <cell r="AU1241">
            <v>97.660098295963977</v>
          </cell>
        </row>
        <row r="1242">
          <cell r="AU1242">
            <v>100.1925094291288</v>
          </cell>
        </row>
        <row r="1243">
          <cell r="AU1243">
            <v>102.02975819555886</v>
          </cell>
        </row>
        <row r="1244">
          <cell r="AU1244">
            <v>99.251334851868066</v>
          </cell>
        </row>
        <row r="1245">
          <cell r="AU1245">
            <v>98.988031079610636</v>
          </cell>
        </row>
        <row r="1246">
          <cell r="AU1246">
            <v>93.84492272914629</v>
          </cell>
        </row>
        <row r="1247">
          <cell r="AU1247">
            <v>97.675973893190388</v>
          </cell>
        </row>
        <row r="1248">
          <cell r="AU1248">
            <v>96.128859563942299</v>
          </cell>
        </row>
        <row r="1249">
          <cell r="AU1249">
            <v>96.23019957287525</v>
          </cell>
        </row>
        <row r="1250">
          <cell r="AU1250">
            <v>95.554648042025462</v>
          </cell>
        </row>
        <row r="1251">
          <cell r="AU1251">
            <v>98.040839419924865</v>
          </cell>
        </row>
        <row r="1252">
          <cell r="AU1252">
            <v>96.199420039592823</v>
          </cell>
        </row>
        <row r="1253">
          <cell r="AU1253">
            <v>97.234243270288488</v>
          </cell>
        </row>
        <row r="1254">
          <cell r="AU1254">
            <v>98.44605815756691</v>
          </cell>
        </row>
        <row r="1255">
          <cell r="AU1255">
            <v>97.382459789895933</v>
          </cell>
        </row>
        <row r="1256">
          <cell r="AU1256">
            <v>98.328884904956453</v>
          </cell>
        </row>
        <row r="1257">
          <cell r="AU1257">
            <v>99.176349471390083</v>
          </cell>
        </row>
        <row r="1258">
          <cell r="AU1258">
            <v>99.725213620870562</v>
          </cell>
        </row>
        <row r="1259">
          <cell r="AU1259">
            <v>100.48066422868867</v>
          </cell>
        </row>
        <row r="1260">
          <cell r="AU1260">
            <v>101.04881107834257</v>
          </cell>
        </row>
        <row r="1261">
          <cell r="AU1261">
            <v>96.684054663353407</v>
          </cell>
        </row>
        <row r="1262">
          <cell r="AU1262">
            <v>100.11748114942228</v>
          </cell>
        </row>
        <row r="1263">
          <cell r="AU1263">
            <v>100.51795107401998</v>
          </cell>
        </row>
        <row r="1264">
          <cell r="AU1264">
            <v>99.207896402187785</v>
          </cell>
        </row>
        <row r="1265">
          <cell r="AU1265">
            <v>100.95368553039596</v>
          </cell>
        </row>
        <row r="1266">
          <cell r="AU1266">
            <v>97.17675724343205</v>
          </cell>
        </row>
        <row r="1267">
          <cell r="AU1267">
            <v>100.27568850272728</v>
          </cell>
        </row>
        <row r="1268">
          <cell r="AU1268">
            <v>95.840653755436676</v>
          </cell>
        </row>
        <row r="1269">
          <cell r="AU1269">
            <v>97.856182069825209</v>
          </cell>
        </row>
        <row r="1270">
          <cell r="AU1270">
            <v>96.19901229369458</v>
          </cell>
        </row>
        <row r="1271">
          <cell r="AU1271">
            <v>99.768698757120475</v>
          </cell>
        </row>
        <row r="1272">
          <cell r="AU1272">
            <v>96.963110760980143</v>
          </cell>
        </row>
        <row r="1273">
          <cell r="AU1273">
            <v>95.387189095245446</v>
          </cell>
        </row>
        <row r="1274">
          <cell r="AU1274">
            <v>97.66276675900059</v>
          </cell>
        </row>
        <row r="1275">
          <cell r="AU1275">
            <v>96.722609742578882</v>
          </cell>
        </row>
        <row r="1276">
          <cell r="AU1276">
            <v>95.21341030938089</v>
          </cell>
        </row>
        <row r="1277">
          <cell r="AU1277">
            <v>100.58641598521527</v>
          </cell>
        </row>
        <row r="1278">
          <cell r="AU1278">
            <v>98.728481909993832</v>
          </cell>
        </row>
        <row r="1279">
          <cell r="AU1279">
            <v>97.363389883580609</v>
          </cell>
        </row>
        <row r="1280">
          <cell r="AU1280">
            <v>96.368222565528768</v>
          </cell>
        </row>
        <row r="1281">
          <cell r="AU1281">
            <v>99.403685713959135</v>
          </cell>
        </row>
        <row r="1282">
          <cell r="AU1282">
            <v>99.376781450914166</v>
          </cell>
        </row>
        <row r="1283">
          <cell r="AU1283">
            <v>100.1873369871003</v>
          </cell>
        </row>
        <row r="1284">
          <cell r="AU1284">
            <v>99.697907762622791</v>
          </cell>
        </row>
        <row r="1285">
          <cell r="AU1285">
            <v>100.26548026974599</v>
          </cell>
        </row>
        <row r="1286">
          <cell r="AU1286">
            <v>102.4523707111142</v>
          </cell>
        </row>
        <row r="1287">
          <cell r="AU1287">
            <v>100.73490880151181</v>
          </cell>
        </row>
        <row r="1288">
          <cell r="AU1288">
            <v>99.528027585112525</v>
          </cell>
        </row>
        <row r="1289">
          <cell r="AU1289">
            <v>100.40167185692117</v>
          </cell>
        </row>
        <row r="1290">
          <cell r="AU1290">
            <v>95.757943444168916</v>
          </cell>
        </row>
        <row r="1291">
          <cell r="AU1291">
            <v>100.64852804849632</v>
          </cell>
        </row>
        <row r="1292">
          <cell r="AU1292">
            <v>98.923494874166224</v>
          </cell>
        </row>
        <row r="1293">
          <cell r="AU1293">
            <v>100.60809464584524</v>
          </cell>
        </row>
        <row r="1294">
          <cell r="AU1294">
            <v>101.56245729868796</v>
          </cell>
        </row>
        <row r="1295">
          <cell r="AU1295">
            <v>100.73265147899326</v>
          </cell>
        </row>
        <row r="1296">
          <cell r="AU1296">
            <v>96.496722132654568</v>
          </cell>
        </row>
        <row r="1297">
          <cell r="AU1297">
            <v>104.73769347324765</v>
          </cell>
        </row>
        <row r="1298">
          <cell r="AU1298">
            <v>106.35297340389174</v>
          </cell>
        </row>
        <row r="1299">
          <cell r="AU1299">
            <v>97.675981598068034</v>
          </cell>
        </row>
        <row r="1301">
          <cell r="AU1301">
            <v>100.69636349625802</v>
          </cell>
        </row>
        <row r="1302">
          <cell r="AU1302">
            <v>98.184391941531558</v>
          </cell>
        </row>
        <row r="1303">
          <cell r="AU1303">
            <v>100.28460594143462</v>
          </cell>
        </row>
        <row r="1304">
          <cell r="AU1304">
            <v>99.054172804783235</v>
          </cell>
        </row>
        <row r="1305">
          <cell r="AU1305">
            <v>97.279357172003117</v>
          </cell>
        </row>
        <row r="1306">
          <cell r="AU1306">
            <v>99.364064980818199</v>
          </cell>
        </row>
        <row r="1307">
          <cell r="AU1307">
            <v>96.124556479651858</v>
          </cell>
        </row>
        <row r="1308">
          <cell r="AU1308">
            <v>94.991504047027817</v>
          </cell>
        </row>
        <row r="1309">
          <cell r="AU1309">
            <v>99.356858720757813</v>
          </cell>
        </row>
        <row r="1310">
          <cell r="AU1310">
            <v>99.85019705163522</v>
          </cell>
        </row>
        <row r="1311">
          <cell r="AU1311">
            <v>99.172910782795725</v>
          </cell>
        </row>
        <row r="1312">
          <cell r="AU1312">
            <v>96.169426096286429</v>
          </cell>
        </row>
        <row r="1313">
          <cell r="AU1313">
            <v>98.505525515629415</v>
          </cell>
        </row>
        <row r="1314">
          <cell r="AU1314">
            <v>96.258588846991714</v>
          </cell>
        </row>
        <row r="1315">
          <cell r="AU1315">
            <v>94.232141766092681</v>
          </cell>
        </row>
        <row r="1316">
          <cell r="AU1316">
            <v>95.570750074834052</v>
          </cell>
        </row>
        <row r="1317">
          <cell r="AU1317">
            <v>96.288795653844687</v>
          </cell>
        </row>
        <row r="1318">
          <cell r="AU1318">
            <v>95.645642237820567</v>
          </cell>
        </row>
        <row r="1319">
          <cell r="AU1319">
            <v>96.403544949878381</v>
          </cell>
        </row>
        <row r="1320">
          <cell r="AU1320">
            <v>97.131757704740778</v>
          </cell>
        </row>
        <row r="1321">
          <cell r="AU1321">
            <v>99.958438788996091</v>
          </cell>
        </row>
        <row r="1322">
          <cell r="AU1322">
            <v>97.297010458054217</v>
          </cell>
        </row>
        <row r="1323">
          <cell r="AU1323">
            <v>98.657901147288669</v>
          </cell>
        </row>
        <row r="1324">
          <cell r="AU1324">
            <v>99.981282874675273</v>
          </cell>
        </row>
        <row r="1325">
          <cell r="AU1325">
            <v>99.580050341134651</v>
          </cell>
        </row>
        <row r="1326">
          <cell r="AU1326">
            <v>96.929558501285911</v>
          </cell>
        </row>
        <row r="1327">
          <cell r="AU1327">
            <v>100.30553206082334</v>
          </cell>
        </row>
        <row r="1328">
          <cell r="AU1328">
            <v>99.722360362795285</v>
          </cell>
        </row>
        <row r="1329">
          <cell r="AU1329">
            <v>98.944798098757886</v>
          </cell>
        </row>
        <row r="1330">
          <cell r="AU1330">
            <v>95.580638204051326</v>
          </cell>
        </row>
        <row r="1331">
          <cell r="AU1331">
            <v>98.735458005641846</v>
          </cell>
        </row>
        <row r="1332">
          <cell r="AU1332">
            <v>99.650000628755876</v>
          </cell>
        </row>
        <row r="1333">
          <cell r="AU1333">
            <v>101.84109606479639</v>
          </cell>
        </row>
        <row r="1334">
          <cell r="AU1334">
            <v>96.796751766607542</v>
          </cell>
        </row>
        <row r="1335">
          <cell r="AU1335">
            <v>98.193610604613141</v>
          </cell>
        </row>
        <row r="1336">
          <cell r="AU1336">
            <v>98.093894811424491</v>
          </cell>
        </row>
        <row r="1337">
          <cell r="AU1337">
            <v>99.544408891882213</v>
          </cell>
        </row>
        <row r="1338">
          <cell r="AU1338">
            <v>95.943650597628519</v>
          </cell>
        </row>
        <row r="1339">
          <cell r="AU1339">
            <v>98.489487551374054</v>
          </cell>
        </row>
        <row r="1340">
          <cell r="AU1340">
            <v>99.461015338477637</v>
          </cell>
        </row>
        <row r="1341">
          <cell r="AU1341">
            <v>98.205094303313913</v>
          </cell>
        </row>
        <row r="1342">
          <cell r="AU1342">
            <v>96.57736653253302</v>
          </cell>
        </row>
        <row r="1343">
          <cell r="AU1343">
            <v>99.162258965139586</v>
          </cell>
        </row>
        <row r="1344">
          <cell r="AU1344">
            <v>97.752006327292591</v>
          </cell>
        </row>
        <row r="1345">
          <cell r="AU1345">
            <v>98.25226189331751</v>
          </cell>
        </row>
        <row r="1346">
          <cell r="AU1346">
            <v>92.330641979085215</v>
          </cell>
        </row>
        <row r="1347">
          <cell r="AU1347">
            <v>96.92616235214588</v>
          </cell>
        </row>
        <row r="1348">
          <cell r="AU1348">
            <v>98.250904314108695</v>
          </cell>
        </row>
        <row r="1349">
          <cell r="AU1349">
            <v>97.226742284610296</v>
          </cell>
        </row>
        <row r="1350">
          <cell r="AU1350">
            <v>97.131846766978995</v>
          </cell>
        </row>
        <row r="1351">
          <cell r="AU1351">
            <v>96.993217019795154</v>
          </cell>
        </row>
        <row r="1352">
          <cell r="AU1352">
            <v>98.417594218830985</v>
          </cell>
        </row>
        <row r="1353">
          <cell r="AU1353">
            <v>102.82252082705443</v>
          </cell>
        </row>
        <row r="1354">
          <cell r="AU1354">
            <v>98.816203939292336</v>
          </cell>
        </row>
        <row r="1355">
          <cell r="AU1355">
            <v>96.798324627985608</v>
          </cell>
        </row>
        <row r="1356">
          <cell r="AU1356">
            <v>94.452452072698932</v>
          </cell>
        </row>
        <row r="1357">
          <cell r="AU1357">
            <v>97.56033572665082</v>
          </cell>
        </row>
        <row r="1358">
          <cell r="AU1358">
            <v>98.27460163662704</v>
          </cell>
        </row>
        <row r="1359">
          <cell r="AU1359">
            <v>97.762952703699071</v>
          </cell>
        </row>
        <row r="1360">
          <cell r="AU1360">
            <v>98.536776457125086</v>
          </cell>
        </row>
        <row r="1361">
          <cell r="AU1361">
            <v>98.239874351747247</v>
          </cell>
        </row>
        <row r="1362">
          <cell r="AU1362">
            <v>98.540391691402434</v>
          </cell>
        </row>
        <row r="1363">
          <cell r="AU1363">
            <v>98.858098536373518</v>
          </cell>
        </row>
        <row r="1365">
          <cell r="AU1365">
            <v>100.41719648574204</v>
          </cell>
        </row>
        <row r="1366">
          <cell r="AU1366">
            <v>99.322262234372474</v>
          </cell>
        </row>
        <row r="1367">
          <cell r="AU1367">
            <v>101.39091759147669</v>
          </cell>
        </row>
        <row r="1368">
          <cell r="AU1368">
            <v>97.734817712523011</v>
          </cell>
        </row>
        <row r="1369">
          <cell r="AU1369">
            <v>99.071270960746133</v>
          </cell>
        </row>
        <row r="1370">
          <cell r="AU1370">
            <v>99.447784717664206</v>
          </cell>
        </row>
        <row r="1371">
          <cell r="AU1371">
            <v>93.59468551560397</v>
          </cell>
        </row>
        <row r="1372">
          <cell r="AU1372">
            <v>94.563283703778581</v>
          </cell>
        </row>
        <row r="1373">
          <cell r="AU1373">
            <v>98.67921311815266</v>
          </cell>
        </row>
        <row r="1374">
          <cell r="AU1374">
            <v>96.36809033051874</v>
          </cell>
        </row>
        <row r="1375">
          <cell r="AU1375">
            <v>96.920303781973502</v>
          </cell>
        </row>
        <row r="1376">
          <cell r="AU1376">
            <v>102.56831615190862</v>
          </cell>
        </row>
        <row r="1377">
          <cell r="AU1377">
            <v>98.929739255873997</v>
          </cell>
        </row>
        <row r="1378">
          <cell r="AU1378">
            <v>99.322262234372474</v>
          </cell>
        </row>
        <row r="1379">
          <cell r="AU1379">
            <v>95.465966670266354</v>
          </cell>
        </row>
        <row r="1380">
          <cell r="AU1380">
            <v>97.114144389537444</v>
          </cell>
        </row>
        <row r="1381">
          <cell r="AU1381">
            <v>97.159907020096412</v>
          </cell>
        </row>
        <row r="1382">
          <cell r="AU1382">
            <v>98.101341699400351</v>
          </cell>
        </row>
        <row r="1383">
          <cell r="AU1383">
            <v>97.478202149506544</v>
          </cell>
        </row>
        <row r="1384">
          <cell r="AU1384">
            <v>98.929739255873997</v>
          </cell>
        </row>
        <row r="1385">
          <cell r="AU1385">
            <v>98.623493119770274</v>
          </cell>
        </row>
        <row r="1386">
          <cell r="AU1386">
            <v>98.431618619537275</v>
          </cell>
        </row>
        <row r="1387">
          <cell r="AU1387">
            <v>99.671010145829698</v>
          </cell>
        </row>
        <row r="1388">
          <cell r="AU1388">
            <v>101.88601915572946</v>
          </cell>
        </row>
        <row r="1389">
          <cell r="AU1389">
            <v>94.965720341288431</v>
          </cell>
        </row>
        <row r="1390">
          <cell r="AU1390">
            <v>96.435091480311513</v>
          </cell>
        </row>
        <row r="1391">
          <cell r="AU1391">
            <v>97.482674355194135</v>
          </cell>
        </row>
        <row r="1392">
          <cell r="AU1392">
            <v>98.364442828340316</v>
          </cell>
        </row>
        <row r="1393">
          <cell r="AU1393">
            <v>98.267944863963734</v>
          </cell>
        </row>
        <row r="1394">
          <cell r="AU1394">
            <v>97.750930172236252</v>
          </cell>
        </row>
        <row r="1395">
          <cell r="AU1395">
            <v>97.737910056068699</v>
          </cell>
        </row>
        <row r="1396">
          <cell r="AU1396">
            <v>96.540559150897863</v>
          </cell>
        </row>
        <row r="1397">
          <cell r="AU1397">
            <v>97.822972408587717</v>
          </cell>
        </row>
        <row r="1398">
          <cell r="AU1398">
            <v>98.261703641432518</v>
          </cell>
        </row>
        <row r="1399">
          <cell r="AU1399">
            <v>95.461164108361956</v>
          </cell>
        </row>
        <row r="1400">
          <cell r="AU1400">
            <v>96.415086891174909</v>
          </cell>
        </row>
        <row r="1401">
          <cell r="AU1401">
            <v>99.640125910776376</v>
          </cell>
        </row>
        <row r="1402">
          <cell r="AU1402">
            <v>96.114626501610672</v>
          </cell>
        </row>
        <row r="1403">
          <cell r="AU1403">
            <v>97.097205687046483</v>
          </cell>
        </row>
        <row r="1404">
          <cell r="AU1404">
            <v>97.933176072044361</v>
          </cell>
        </row>
        <row r="1405">
          <cell r="AU1405">
            <v>97.359348868497207</v>
          </cell>
        </row>
        <row r="1406">
          <cell r="AU1406">
            <v>95.274933067771656</v>
          </cell>
        </row>
        <row r="1407">
          <cell r="AU1407">
            <v>96.905759405529636</v>
          </cell>
        </row>
        <row r="1408">
          <cell r="AU1408">
            <v>98.743467786078526</v>
          </cell>
        </row>
        <row r="1409">
          <cell r="AU1409">
            <v>98.336500376686118</v>
          </cell>
        </row>
        <row r="1410">
          <cell r="AU1410">
            <v>97.914891452662474</v>
          </cell>
        </row>
        <row r="1411">
          <cell r="AU1411">
            <v>99.253173965491797</v>
          </cell>
        </row>
        <row r="1412">
          <cell r="AU1412">
            <v>99.409086961911157</v>
          </cell>
        </row>
        <row r="1413">
          <cell r="AU1413">
            <v>95.652853192916908</v>
          </cell>
        </row>
        <row r="1414">
          <cell r="AU1414">
            <v>98.479270074922681</v>
          </cell>
        </row>
        <row r="1415">
          <cell r="AU1415">
            <v>98.176669890806309</v>
          </cell>
        </row>
        <row r="1416">
          <cell r="AU1416">
            <v>96.714179234632098</v>
          </cell>
        </row>
        <row r="1417">
          <cell r="AU1417">
            <v>99.115564785646797</v>
          </cell>
        </row>
        <row r="1418">
          <cell r="AU1418">
            <v>98.541044413027265</v>
          </cell>
        </row>
        <row r="1419">
          <cell r="AU1419">
            <v>97.452215171322351</v>
          </cell>
        </row>
        <row r="1420">
          <cell r="AU1420">
            <v>98.648885620396499</v>
          </cell>
        </row>
        <row r="1421">
          <cell r="AU1421">
            <v>98.936703535170665</v>
          </cell>
        </row>
        <row r="1422">
          <cell r="AU1422">
            <v>99.623676980281815</v>
          </cell>
        </row>
        <row r="1423">
          <cell r="AU1423">
            <v>98.120445907560153</v>
          </cell>
        </row>
        <row r="1424">
          <cell r="AU1424">
            <v>98.572209097474968</v>
          </cell>
        </row>
        <row r="1425">
          <cell r="AU1425">
            <v>95.646266460157364</v>
          </cell>
        </row>
        <row r="1426">
          <cell r="AU1426">
            <v>97.742482894211975</v>
          </cell>
        </row>
        <row r="1427">
          <cell r="AU1427">
            <v>98.330113051892596</v>
          </cell>
        </row>
        <row r="1428">
          <cell r="AU1428">
            <v>97.169799152857877</v>
          </cell>
        </row>
        <row r="1429">
          <cell r="AU1429">
            <v>99.208647670497314</v>
          </cell>
        </row>
        <row r="1430">
          <cell r="AU1430">
            <v>98.525989771119455</v>
          </cell>
        </row>
        <row r="1431">
          <cell r="AU1431">
            <v>98.461659837743611</v>
          </cell>
        </row>
        <row r="1432">
          <cell r="AU1432">
            <v>98.62620942585643</v>
          </cell>
        </row>
        <row r="1433">
          <cell r="AU1433">
            <v>100.21609106830478</v>
          </cell>
        </row>
        <row r="1434">
          <cell r="AU1434">
            <v>89.640220918832952</v>
          </cell>
        </row>
        <row r="1435">
          <cell r="AU1435">
            <v>93.282679447096996</v>
          </cell>
        </row>
        <row r="1436">
          <cell r="AU1436">
            <v>107.10597490816951</v>
          </cell>
        </row>
        <row r="1437">
          <cell r="AU1437">
            <v>96.299726205571716</v>
          </cell>
        </row>
        <row r="1438">
          <cell r="AU1438">
            <v>98.309867057290148</v>
          </cell>
        </row>
        <row r="1439">
          <cell r="AU1439">
            <v>99.629209558382172</v>
          </cell>
        </row>
        <row r="1440">
          <cell r="AU1440">
            <v>98.060245628328929</v>
          </cell>
        </row>
        <row r="1441">
          <cell r="AU1441">
            <v>98.94333918173038</v>
          </cell>
        </row>
        <row r="1442">
          <cell r="AU1442">
            <v>98.871999428059297</v>
          </cell>
        </row>
        <row r="1443">
          <cell r="AU1443">
            <v>98.554563782195103</v>
          </cell>
        </row>
        <row r="1444">
          <cell r="AU1444">
            <v>98.69767718374888</v>
          </cell>
        </row>
        <row r="1446">
          <cell r="AU1446">
            <v>98.403676881234972</v>
          </cell>
        </row>
        <row r="1447">
          <cell r="AU1447">
            <v>98.208043328787198</v>
          </cell>
        </row>
        <row r="1448">
          <cell r="AU1448">
            <v>97.971400682892167</v>
          </cell>
        </row>
        <row r="1449">
          <cell r="AU1449">
            <v>97.602470858445898</v>
          </cell>
        </row>
        <row r="1450">
          <cell r="AU1450">
            <v>94.959570970106483</v>
          </cell>
        </row>
        <row r="1451">
          <cell r="AU1451">
            <v>95.939132123377576</v>
          </cell>
        </row>
        <row r="1452">
          <cell r="AU1452">
            <v>97.349907896919447</v>
          </cell>
        </row>
        <row r="1453">
          <cell r="AU1453">
            <v>102.89636630362016</v>
          </cell>
        </row>
        <row r="1454">
          <cell r="AU1454">
            <v>95.461604124855526</v>
          </cell>
        </row>
        <row r="1455">
          <cell r="AU1455">
            <v>97.647870047840527</v>
          </cell>
        </row>
        <row r="1456">
          <cell r="AU1456">
            <v>98.432063344309483</v>
          </cell>
        </row>
        <row r="1457">
          <cell r="AU1457">
            <v>96.068380428080829</v>
          </cell>
        </row>
        <row r="1458">
          <cell r="AU1458">
            <v>99.788621268905345</v>
          </cell>
        </row>
        <row r="1459">
          <cell r="AU1459">
            <v>99.171782801163587</v>
          </cell>
        </row>
        <row r="1460">
          <cell r="AU1460">
            <v>97.849625099668586</v>
          </cell>
        </row>
        <row r="1461">
          <cell r="AU1461">
            <v>98.820355507403406</v>
          </cell>
        </row>
        <row r="1462">
          <cell r="AU1462">
            <v>98.013249025769767</v>
          </cell>
        </row>
        <row r="1463">
          <cell r="AU1463">
            <v>97.816776223891637</v>
          </cell>
        </row>
        <row r="1464">
          <cell r="AU1464">
            <v>95.104846006797871</v>
          </cell>
        </row>
        <row r="1465">
          <cell r="AU1465">
            <v>97.801074685859348</v>
          </cell>
        </row>
        <row r="1466">
          <cell r="AU1466">
            <v>96.232788591939283</v>
          </cell>
        </row>
        <row r="1467">
          <cell r="AU1467">
            <v>98.97820607044973</v>
          </cell>
        </row>
        <row r="1468">
          <cell r="AU1468">
            <v>97.713592048259329</v>
          </cell>
        </row>
        <row r="1469">
          <cell r="AU1469">
            <v>98.768967717547937</v>
          </cell>
        </row>
        <row r="1470">
          <cell r="AU1470">
            <v>97.849625099668586</v>
          </cell>
        </row>
        <row r="1471">
          <cell r="AU1471">
            <v>94.116046142772348</v>
          </cell>
        </row>
        <row r="1472">
          <cell r="AU1472">
            <v>98.888478397355001</v>
          </cell>
        </row>
        <row r="1473">
          <cell r="AU1473">
            <v>96.988435329123845</v>
          </cell>
        </row>
        <row r="1474">
          <cell r="AU1474">
            <v>95.732299004591454</v>
          </cell>
        </row>
        <row r="1475">
          <cell r="AU1475">
            <v>98.377484500921341</v>
          </cell>
        </row>
        <row r="1476">
          <cell r="AU1476">
            <v>100.05551202869533</v>
          </cell>
        </row>
        <row r="1477">
          <cell r="AU1477">
            <v>98.424375293096418</v>
          </cell>
        </row>
        <row r="1478">
          <cell r="AU1478">
            <v>97.811296698949192</v>
          </cell>
        </row>
        <row r="1479">
          <cell r="AU1479">
            <v>98.634699122165827</v>
          </cell>
        </row>
        <row r="1480">
          <cell r="AU1480">
            <v>98.235349044445485</v>
          </cell>
        </row>
        <row r="1481">
          <cell r="AU1481">
            <v>98.200208415446014</v>
          </cell>
        </row>
        <row r="1482">
          <cell r="AU1482">
            <v>98.22247134082383</v>
          </cell>
        </row>
        <row r="1483">
          <cell r="AU1483">
            <v>98.022782936884127</v>
          </cell>
        </row>
        <row r="1484">
          <cell r="AU1484">
            <v>107.52183094840358</v>
          </cell>
        </row>
        <row r="1485">
          <cell r="AU1485">
            <v>98.538852324222177</v>
          </cell>
        </row>
        <row r="1486">
          <cell r="AU1486">
            <v>98.214233684807724</v>
          </cell>
        </row>
        <row r="1487">
          <cell r="AU1487">
            <v>98.825308599286103</v>
          </cell>
        </row>
        <row r="1488">
          <cell r="AU1488">
            <v>97.839545060236915</v>
          </cell>
        </row>
        <row r="1489">
          <cell r="AU1489">
            <v>97.92367945623333</v>
          </cell>
        </row>
        <row r="1490">
          <cell r="AU1490">
            <v>96.732530464388148</v>
          </cell>
        </row>
        <row r="1491">
          <cell r="AU1491">
            <v>98.003054578841031</v>
          </cell>
        </row>
        <row r="1492">
          <cell r="AU1492">
            <v>99.071222574861054</v>
          </cell>
        </row>
        <row r="1493">
          <cell r="AU1493">
            <v>99.190386905250023</v>
          </cell>
        </row>
        <row r="1494">
          <cell r="AU1494">
            <v>94.679848778277758</v>
          </cell>
        </row>
        <row r="1495">
          <cell r="AU1495">
            <v>97.590582017147952</v>
          </cell>
        </row>
        <row r="1496">
          <cell r="AU1496">
            <v>99.140905281436531</v>
          </cell>
        </row>
        <row r="1497">
          <cell r="AU1497">
            <v>102.13728013602423</v>
          </cell>
        </row>
        <row r="1498">
          <cell r="AU1498">
            <v>95.017154952630335</v>
          </cell>
        </row>
        <row r="1499">
          <cell r="AU1499">
            <v>99.494185297436474</v>
          </cell>
        </row>
        <row r="1500">
          <cell r="AU1500">
            <v>98.303188897575154</v>
          </cell>
        </row>
        <row r="1501">
          <cell r="AU1501">
            <v>97.497104151681953</v>
          </cell>
        </row>
        <row r="1502">
          <cell r="AU1502">
            <v>98.154558638154512</v>
          </cell>
        </row>
        <row r="1503">
          <cell r="AU1503">
            <v>97.859878257858369</v>
          </cell>
        </row>
        <row r="1504">
          <cell r="AU1504">
            <v>98.978031848439642</v>
          </cell>
        </row>
        <row r="1505">
          <cell r="AU1505">
            <v>97.469998264799159</v>
          </cell>
        </row>
        <row r="1506">
          <cell r="AU1506">
            <v>93.791761347926894</v>
          </cell>
        </row>
        <row r="1507">
          <cell r="AU1507">
            <v>95.268532624941997</v>
          </cell>
        </row>
        <row r="1508">
          <cell r="AU1508">
            <v>96.513617944475655</v>
          </cell>
        </row>
        <row r="1509">
          <cell r="AU1509">
            <v>97.248358280048336</v>
          </cell>
        </row>
        <row r="1510">
          <cell r="AU1510">
            <v>93.198485438419098</v>
          </cell>
        </row>
        <row r="1511">
          <cell r="AU1511">
            <v>96.777213485441976</v>
          </cell>
        </row>
        <row r="1512">
          <cell r="AU1512">
            <v>97.664938261328771</v>
          </cell>
        </row>
        <row r="1513">
          <cell r="AU1513">
            <v>98.18014861875028</v>
          </cell>
        </row>
        <row r="1514">
          <cell r="AU1514">
            <v>96.846983069370367</v>
          </cell>
        </row>
        <row r="1515">
          <cell r="AU1515">
            <v>101.76554486222224</v>
          </cell>
        </row>
        <row r="1516">
          <cell r="AU1516">
            <v>96.733120964420081</v>
          </cell>
        </row>
        <row r="1517">
          <cell r="AU1517">
            <v>96.375325079354994</v>
          </cell>
        </row>
        <row r="1518">
          <cell r="AU1518">
            <v>93.164094726996794</v>
          </cell>
        </row>
        <row r="1519">
          <cell r="AU1519">
            <v>98.762583234484524</v>
          </cell>
        </row>
        <row r="1520">
          <cell r="AU1520">
            <v>96.244744743561299</v>
          </cell>
        </row>
        <row r="1521">
          <cell r="AU1521">
            <v>97.139838277575777</v>
          </cell>
        </row>
        <row r="1522">
          <cell r="AU1522">
            <v>96.354517751252075</v>
          </cell>
        </row>
        <row r="1523">
          <cell r="AU1523">
            <v>95.509845236065445</v>
          </cell>
        </row>
        <row r="1524">
          <cell r="AU1524">
            <v>97.067635434515111</v>
          </cell>
        </row>
        <row r="1525">
          <cell r="AU1525">
            <v>95.891884617009708</v>
          </cell>
        </row>
        <row r="1526">
          <cell r="AU1526">
            <v>96.657398300051142</v>
          </cell>
        </row>
        <row r="1527">
          <cell r="AU1527">
            <v>96.623887599326139</v>
          </cell>
        </row>
        <row r="1529">
          <cell r="AU1529">
            <v>95.888750997466246</v>
          </cell>
        </row>
        <row r="1531">
          <cell r="AU1531">
            <v>97.358845453483937</v>
          </cell>
        </row>
        <row r="1532">
          <cell r="AU1532">
            <v>97.787993076807993</v>
          </cell>
        </row>
        <row r="1533">
          <cell r="AU1533">
            <v>100.77221550889792</v>
          </cell>
        </row>
        <row r="1534">
          <cell r="AU1534">
            <v>100.09537521022919</v>
          </cell>
        </row>
        <row r="1535">
          <cell r="AU1535">
            <v>98.57435184706199</v>
          </cell>
        </row>
        <row r="1536">
          <cell r="AU1536">
            <v>99.846927004097182</v>
          </cell>
        </row>
        <row r="1537">
          <cell r="AU1537">
            <v>96.692192927553478</v>
          </cell>
        </row>
        <row r="1538">
          <cell r="AU1538">
            <v>99.379452386908071</v>
          </cell>
        </row>
        <row r="1539">
          <cell r="AU1539">
            <v>96.468737875235774</v>
          </cell>
        </row>
        <row r="1540">
          <cell r="AU1540">
            <v>98.530094641761735</v>
          </cell>
        </row>
        <row r="1541">
          <cell r="AU1541">
            <v>99.945184755444359</v>
          </cell>
        </row>
        <row r="1542">
          <cell r="AU1542">
            <v>98.272858173411109</v>
          </cell>
        </row>
        <row r="1543">
          <cell r="AU1543">
            <v>98.746806466395398</v>
          </cell>
        </row>
        <row r="1544">
          <cell r="AU1544">
            <v>96.892528769528354</v>
          </cell>
        </row>
        <row r="1545">
          <cell r="AU1545">
            <v>99.329779569836703</v>
          </cell>
        </row>
        <row r="1546">
          <cell r="AU1546">
            <v>99.358891682499532</v>
          </cell>
        </row>
        <row r="1547">
          <cell r="AU1547">
            <v>98.070660675032357</v>
          </cell>
        </row>
        <row r="1548">
          <cell r="AU1548">
            <v>88.286344931162546</v>
          </cell>
        </row>
        <row r="1549">
          <cell r="AU1549">
            <v>98.933858232911817</v>
          </cell>
        </row>
        <row r="1550">
          <cell r="AU1550">
            <v>98.78625201233416</v>
          </cell>
        </row>
        <row r="1551">
          <cell r="AU1551">
            <v>99.187212042641292</v>
          </cell>
        </row>
        <row r="1552">
          <cell r="AU1552">
            <v>99.413670162626218</v>
          </cell>
        </row>
        <row r="1553">
          <cell r="AU1553">
            <v>99.773815293205345</v>
          </cell>
        </row>
        <row r="1554">
          <cell r="AU1554">
            <v>98.936394304213565</v>
          </cell>
        </row>
        <row r="1555">
          <cell r="AU1555">
            <v>97.793709002359662</v>
          </cell>
        </row>
        <row r="1556">
          <cell r="AU1556">
            <v>99.385581117917994</v>
          </cell>
        </row>
        <row r="1557">
          <cell r="AU1557">
            <v>99.648210827388539</v>
          </cell>
        </row>
        <row r="1558">
          <cell r="AU1558">
            <v>99.453053524791059</v>
          </cell>
        </row>
        <row r="1559">
          <cell r="AU1559">
            <v>99.231986204607509</v>
          </cell>
        </row>
        <row r="1560">
          <cell r="AU1560">
            <v>96.222035971414087</v>
          </cell>
        </row>
        <row r="1561">
          <cell r="AU1561">
            <v>94.663130443127486</v>
          </cell>
        </row>
        <row r="1562">
          <cell r="AU1562">
            <v>96.516010017933652</v>
          </cell>
        </row>
        <row r="1563">
          <cell r="AU1563">
            <v>102.73678009446101</v>
          </cell>
        </row>
        <row r="1564">
          <cell r="AU1564">
            <v>95.090687552741997</v>
          </cell>
        </row>
        <row r="1565">
          <cell r="AU1565">
            <v>100.06817952322191</v>
          </cell>
        </row>
        <row r="1566">
          <cell r="AU1566">
            <v>98.700115637317481</v>
          </cell>
        </row>
        <row r="1567">
          <cell r="AU1567">
            <v>93.610559392957626</v>
          </cell>
        </row>
        <row r="1568">
          <cell r="AU1568">
            <v>95.294477877540658</v>
          </cell>
        </row>
        <row r="1569">
          <cell r="AU1569">
            <v>97.613203013475982</v>
          </cell>
        </row>
        <row r="1570">
          <cell r="AU1570">
            <v>99.916594677284749</v>
          </cell>
        </row>
        <row r="1571">
          <cell r="AU1571">
            <v>91.390694141109606</v>
          </cell>
        </row>
        <row r="1572">
          <cell r="AU1572">
            <v>101.32228077167503</v>
          </cell>
        </row>
        <row r="1573">
          <cell r="AU1573">
            <v>90.434272634553253</v>
          </cell>
        </row>
        <row r="1574">
          <cell r="AU1574">
            <v>97.259954723457597</v>
          </cell>
        </row>
        <row r="1575">
          <cell r="AU1575">
            <v>98.9853434339648</v>
          </cell>
        </row>
        <row r="1576">
          <cell r="AU1576">
            <v>98.86278199656256</v>
          </cell>
        </row>
        <row r="1577">
          <cell r="AU1577">
            <v>98.499331655873206</v>
          </cell>
        </row>
        <row r="1578">
          <cell r="AU1578">
            <v>98.499331655873206</v>
          </cell>
        </row>
        <row r="1579">
          <cell r="AU1579">
            <v>98.312959470172288</v>
          </cell>
        </row>
        <row r="1580">
          <cell r="AU1580">
            <v>99.490286512588028</v>
          </cell>
        </row>
        <row r="1581">
          <cell r="AU1581">
            <v>99.391995087405974</v>
          </cell>
        </row>
        <row r="1582">
          <cell r="AU1582">
            <v>99.223765625776068</v>
          </cell>
        </row>
        <row r="1583">
          <cell r="AU1583">
            <v>99.509173515320853</v>
          </cell>
        </row>
        <row r="1584">
          <cell r="AU1584">
            <v>98.814760108037234</v>
          </cell>
        </row>
        <row r="1585">
          <cell r="AU1585">
            <v>95.512404307838978</v>
          </cell>
        </row>
        <row r="1586">
          <cell r="AU1586">
            <v>99.394444364848241</v>
          </cell>
        </row>
        <row r="1587">
          <cell r="AU1587">
            <v>95.108679119700511</v>
          </cell>
        </row>
        <row r="1588">
          <cell r="AU1588">
            <v>99.050098791613507</v>
          </cell>
        </row>
        <row r="1589">
          <cell r="AU1589">
            <v>99.897881224365065</v>
          </cell>
        </row>
        <row r="1590">
          <cell r="AU1590">
            <v>100.71733673028096</v>
          </cell>
        </row>
        <row r="1591">
          <cell r="AU1591">
            <v>97.993617253854779</v>
          </cell>
        </row>
        <row r="1592">
          <cell r="AU1592">
            <v>99.123599290834477</v>
          </cell>
        </row>
        <row r="1593">
          <cell r="AU1593">
            <v>100.91355866471055</v>
          </cell>
        </row>
        <row r="1594">
          <cell r="AU1594">
            <v>98.239258499914229</v>
          </cell>
        </row>
        <row r="1596">
          <cell r="A1596" t="str">
            <v>CA737</v>
          </cell>
          <cell r="AU1596">
            <v>96.140007674122913</v>
          </cell>
        </row>
        <row r="1597">
          <cell r="A1597" t="str">
            <v>CA738</v>
          </cell>
          <cell r="AU1597">
            <v>98.862127909667777</v>
          </cell>
        </row>
        <row r="1598">
          <cell r="A1598" t="str">
            <v>CA739</v>
          </cell>
          <cell r="AU1598">
            <v>99.196916635814219</v>
          </cell>
        </row>
        <row r="1599">
          <cell r="A1599" t="str">
            <v>CA740</v>
          </cell>
          <cell r="AU1599">
            <v>102.87694546953874</v>
          </cell>
        </row>
        <row r="1600">
          <cell r="A1600" t="str">
            <v>CA741</v>
          </cell>
          <cell r="AU1600">
            <v>96.591695445097898</v>
          </cell>
        </row>
        <row r="1601">
          <cell r="A1601" t="str">
            <v>CA742</v>
          </cell>
          <cell r="AU1601">
            <v>97.778380143088455</v>
          </cell>
        </row>
        <row r="1602">
          <cell r="A1602" t="str">
            <v>CA743</v>
          </cell>
          <cell r="AU1602">
            <v>98.483754072592433</v>
          </cell>
        </row>
        <row r="1603">
          <cell r="A1603" t="str">
            <v>CA744</v>
          </cell>
          <cell r="AU1603">
            <v>102.64449836329833</v>
          </cell>
        </row>
        <row r="1604">
          <cell r="A1604" t="str">
            <v>CA745</v>
          </cell>
          <cell r="AU1604">
            <v>97.459769969122391</v>
          </cell>
        </row>
        <row r="1605">
          <cell r="A1605" t="str">
            <v>CA746</v>
          </cell>
          <cell r="AU1605">
            <v>98.47106395112759</v>
          </cell>
        </row>
        <row r="1606">
          <cell r="A1606" t="str">
            <v>CA747</v>
          </cell>
          <cell r="AU1606">
            <v>98.368893630377599</v>
          </cell>
        </row>
        <row r="1607">
          <cell r="A1607" t="str">
            <v>CA748</v>
          </cell>
          <cell r="AU1607">
            <v>98.0656739447262</v>
          </cell>
        </row>
        <row r="1608">
          <cell r="A1608" t="str">
            <v>CA749</v>
          </cell>
          <cell r="AU1608">
            <v>98.328536151991386</v>
          </cell>
        </row>
        <row r="1609">
          <cell r="A1609" t="str">
            <v>CA750</v>
          </cell>
          <cell r="AU1609">
            <v>98.610869614426989</v>
          </cell>
        </row>
        <row r="1610">
          <cell r="A1610" t="str">
            <v>CA751</v>
          </cell>
          <cell r="AU1610">
            <v>98.181504213358579</v>
          </cell>
        </row>
        <row r="1611">
          <cell r="A1611" t="str">
            <v>CA752</v>
          </cell>
          <cell r="AU1611">
            <v>97.771873602277154</v>
          </cell>
        </row>
        <row r="1612">
          <cell r="A1612" t="str">
            <v>CA753</v>
          </cell>
          <cell r="AU1612">
            <v>98.518334591745614</v>
          </cell>
        </row>
        <row r="1613">
          <cell r="A1613" t="str">
            <v>CA754</v>
          </cell>
          <cell r="AU1613">
            <v>98.060255244619768</v>
          </cell>
        </row>
        <row r="1614">
          <cell r="A1614" t="str">
            <v>CA755</v>
          </cell>
          <cell r="AU1614">
            <v>98.789089698523057</v>
          </cell>
        </row>
        <row r="1615">
          <cell r="A1615" t="str">
            <v>CA756</v>
          </cell>
          <cell r="AU1615">
            <v>98.004244968244933</v>
          </cell>
        </row>
        <row r="1616">
          <cell r="A1616" t="str">
            <v>CA757</v>
          </cell>
          <cell r="AU1616">
            <v>95.930243309637774</v>
          </cell>
        </row>
        <row r="1617">
          <cell r="A1617" t="str">
            <v>CA758</v>
          </cell>
          <cell r="AU1617">
            <v>98.685384517162291</v>
          </cell>
        </row>
        <row r="1618">
          <cell r="A1618" t="str">
            <v>CA759</v>
          </cell>
          <cell r="AU1618">
            <v>98.743419762147283</v>
          </cell>
        </row>
        <row r="1619">
          <cell r="A1619" t="str">
            <v>CA760</v>
          </cell>
          <cell r="AU1619">
            <v>98.527956697616446</v>
          </cell>
        </row>
      </sheetData>
      <sheetData sheetId="6">
        <row r="6">
          <cell r="D6">
            <v>11.6</v>
          </cell>
        </row>
      </sheetData>
      <sheetData sheetId="7"/>
      <sheetData sheetId="8"/>
      <sheetData sheetId="9">
        <row r="6">
          <cell r="H6">
            <v>2008.7500000000005</v>
          </cell>
        </row>
      </sheetData>
      <sheetData sheetId="10">
        <row r="6">
          <cell r="P6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 "/>
      <sheetName val="Summary September '23 "/>
      <sheetName val="Summary August '23"/>
      <sheetName val="Summary July '23"/>
      <sheetName val="Summary June '23 "/>
      <sheetName val="Summary May '23"/>
      <sheetName val="Summary April '23   "/>
      <sheetName val="Summary March '23  "/>
      <sheetName val="Summary February '23 "/>
      <sheetName val="Summary January '23"/>
      <sheetName val="Summary December '22   "/>
      <sheetName val="Summary November '22  "/>
      <sheetName val="Summary October '22 "/>
      <sheetName val="Summary September '22 "/>
      <sheetName val="Summary August '22 "/>
      <sheetName val="Summary July '22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76">
          <cell r="AS76">
            <v>93.401228986840337</v>
          </cell>
        </row>
        <row r="577">
          <cell r="AS577">
            <v>96.252483291748931</v>
          </cell>
        </row>
        <row r="578">
          <cell r="AS578">
            <v>96.763055268385216</v>
          </cell>
        </row>
        <row r="579">
          <cell r="AS579">
            <v>99.07159368104702</v>
          </cell>
        </row>
        <row r="580">
          <cell r="AS580">
            <v>99.474323736661034</v>
          </cell>
        </row>
        <row r="581">
          <cell r="AS581">
            <v>99.055509044316352</v>
          </cell>
        </row>
        <row r="582">
          <cell r="AS582">
            <v>93.192210426599971</v>
          </cell>
        </row>
        <row r="583">
          <cell r="AS583">
            <v>99.214524668093944</v>
          </cell>
        </row>
        <row r="584">
          <cell r="AS584">
            <v>100.47597500168524</v>
          </cell>
        </row>
        <row r="585">
          <cell r="AS585">
            <v>99.267847045753157</v>
          </cell>
        </row>
        <row r="586">
          <cell r="AS586">
            <v>99.258908446871416</v>
          </cell>
        </row>
        <row r="587">
          <cell r="AS587">
            <v>97.107849520154573</v>
          </cell>
        </row>
        <row r="588">
          <cell r="AS588">
            <v>98.668863625433005</v>
          </cell>
        </row>
        <row r="589">
          <cell r="AS589">
            <v>98.142973914193277</v>
          </cell>
        </row>
        <row r="590">
          <cell r="AS590">
            <v>98.888083030736681</v>
          </cell>
        </row>
        <row r="591">
          <cell r="AS591">
            <v>98.795858839752356</v>
          </cell>
        </row>
        <row r="592">
          <cell r="AS592">
            <v>91.889557472352934</v>
          </cell>
        </row>
        <row r="593">
          <cell r="AS593">
            <v>98.277925070817602</v>
          </cell>
        </row>
        <row r="594">
          <cell r="AS594">
            <v>107.23727799236048</v>
          </cell>
        </row>
        <row r="595">
          <cell r="AS595">
            <v>96.947059611002658</v>
          </cell>
        </row>
        <row r="596">
          <cell r="AS596">
            <v>99.069170741587214</v>
          </cell>
        </row>
        <row r="597">
          <cell r="AS597">
            <v>98.950757400048701</v>
          </cell>
        </row>
        <row r="598">
          <cell r="AS598">
            <v>98.750452223125535</v>
          </cell>
        </row>
        <row r="599">
          <cell r="AS599">
            <v>98.797669427914244</v>
          </cell>
        </row>
        <row r="600">
          <cell r="AS600">
            <v>98.951450980542759</v>
          </cell>
        </row>
        <row r="601">
          <cell r="AS601">
            <v>98.358927321976608</v>
          </cell>
        </row>
        <row r="602">
          <cell r="AS602">
            <v>99.324019004612524</v>
          </cell>
        </row>
        <row r="603">
          <cell r="AS603">
            <v>95.711826504698735</v>
          </cell>
        </row>
        <row r="604">
          <cell r="AS604">
            <v>97.25483690737326</v>
          </cell>
        </row>
        <row r="605">
          <cell r="AS605">
            <v>99.197396562770763</v>
          </cell>
        </row>
        <row r="606">
          <cell r="AS606">
            <v>98.964857855624871</v>
          </cell>
        </row>
        <row r="607">
          <cell r="AS607">
            <v>98.670900841589486</v>
          </cell>
        </row>
        <row r="608">
          <cell r="AS608">
            <v>99.087053728189062</v>
          </cell>
        </row>
        <row r="609">
          <cell r="AS609">
            <v>98.611632976203893</v>
          </cell>
        </row>
        <row r="610">
          <cell r="AS610">
            <v>99.407921699666332</v>
          </cell>
        </row>
        <row r="611">
          <cell r="AS611">
            <v>94.124926180840106</v>
          </cell>
        </row>
        <row r="612">
          <cell r="AS612">
            <v>98.397610268960591</v>
          </cell>
        </row>
        <row r="613">
          <cell r="AS613">
            <v>98.595593388214027</v>
          </cell>
        </row>
        <row r="614">
          <cell r="AS614">
            <v>99.479970950945599</v>
          </cell>
        </row>
        <row r="615">
          <cell r="AS615">
            <v>99.087084140183208</v>
          </cell>
        </row>
        <row r="616">
          <cell r="AS616">
            <v>98.153313875331278</v>
          </cell>
        </row>
        <row r="617">
          <cell r="AS617">
            <v>99.059044031723758</v>
          </cell>
        </row>
        <row r="618">
          <cell r="AS618">
            <v>101.95499860919848</v>
          </cell>
        </row>
        <row r="620">
          <cell r="AS620">
            <v>96.869096710983925</v>
          </cell>
        </row>
        <row r="621">
          <cell r="AS621">
            <v>99.547292209557895</v>
          </cell>
        </row>
        <row r="622">
          <cell r="AS622">
            <v>99.147503887431171</v>
          </cell>
        </row>
        <row r="623">
          <cell r="AS623">
            <v>99.620723106468503</v>
          </cell>
        </row>
        <row r="624">
          <cell r="AS624">
            <v>98.668324843238935</v>
          </cell>
        </row>
        <row r="625">
          <cell r="AS625">
            <v>98.878395024922369</v>
          </cell>
        </row>
        <row r="626">
          <cell r="AS626">
            <v>98.954136148816616</v>
          </cell>
        </row>
        <row r="627">
          <cell r="AS627">
            <v>99.271695094228932</v>
          </cell>
        </row>
        <row r="628">
          <cell r="AS628">
            <v>101.89668600638116</v>
          </cell>
        </row>
        <row r="629">
          <cell r="AS629">
            <v>95.119246955670206</v>
          </cell>
        </row>
        <row r="630">
          <cell r="AS630">
            <v>98.490589508289219</v>
          </cell>
        </row>
        <row r="631">
          <cell r="AS631">
            <v>96.628314379016032</v>
          </cell>
        </row>
        <row r="632">
          <cell r="AS632">
            <v>94.847826299850496</v>
          </cell>
        </row>
        <row r="633">
          <cell r="AS633">
            <v>96.093928131654877</v>
          </cell>
        </row>
        <row r="634">
          <cell r="AS634">
            <v>99.093782747396475</v>
          </cell>
        </row>
        <row r="635">
          <cell r="AS635">
            <v>96.829566042226901</v>
          </cell>
        </row>
        <row r="636">
          <cell r="AS636">
            <v>92.651350322380281</v>
          </cell>
        </row>
        <row r="637">
          <cell r="AS637">
            <v>97.966465095398789</v>
          </cell>
        </row>
        <row r="638">
          <cell r="AS638">
            <v>96.902732836089029</v>
          </cell>
        </row>
        <row r="639">
          <cell r="AS639">
            <v>98.199317114722348</v>
          </cell>
        </row>
        <row r="640">
          <cell r="AS640">
            <v>97.961385739540034</v>
          </cell>
        </row>
        <row r="641">
          <cell r="AS641">
            <v>98.446315281893988</v>
          </cell>
        </row>
        <row r="642">
          <cell r="AS642">
            <v>97.257828578289633</v>
          </cell>
        </row>
        <row r="643">
          <cell r="AS643">
            <v>96.848003938337612</v>
          </cell>
        </row>
        <row r="644">
          <cell r="AS644">
            <v>94.268489640003139</v>
          </cell>
        </row>
        <row r="645">
          <cell r="AS645">
            <v>95.831746861950919</v>
          </cell>
        </row>
        <row r="646">
          <cell r="AS646">
            <v>94.58421149597136</v>
          </cell>
        </row>
        <row r="647">
          <cell r="AS647">
            <v>94.58421149597136</v>
          </cell>
        </row>
        <row r="648">
          <cell r="AS648">
            <v>96.15161614729854</v>
          </cell>
        </row>
        <row r="649">
          <cell r="AS649">
            <v>96.847824985200191</v>
          </cell>
        </row>
        <row r="650">
          <cell r="AS650">
            <v>99.045523542150946</v>
          </cell>
        </row>
        <row r="651">
          <cell r="AS651">
            <v>98.806499870618765</v>
          </cell>
        </row>
        <row r="653">
          <cell r="AS653">
            <v>94.97910754548144</v>
          </cell>
        </row>
        <row r="654">
          <cell r="AS654">
            <v>100.24919512912089</v>
          </cell>
        </row>
        <row r="655">
          <cell r="AS655">
            <v>99.670803955960778</v>
          </cell>
        </row>
        <row r="656">
          <cell r="AS656">
            <v>98.879686910798952</v>
          </cell>
        </row>
        <row r="657">
          <cell r="AS657">
            <v>99.590889443663684</v>
          </cell>
        </row>
        <row r="658">
          <cell r="AS658">
            <v>100.09856640654033</v>
          </cell>
        </row>
        <row r="659">
          <cell r="AS659">
            <v>99.619880103820094</v>
          </cell>
        </row>
        <row r="660">
          <cell r="AS660">
            <v>97.647209210675157</v>
          </cell>
        </row>
        <row r="661">
          <cell r="AS661">
            <v>99.625318640384748</v>
          </cell>
        </row>
        <row r="662">
          <cell r="AS662">
            <v>99.822596499078585</v>
          </cell>
        </row>
        <row r="663">
          <cell r="AS663">
            <v>96.66615075997727</v>
          </cell>
        </row>
        <row r="664">
          <cell r="AS664">
            <v>99.42804078169091</v>
          </cell>
        </row>
        <row r="665">
          <cell r="AS665">
            <v>98.619884998487549</v>
          </cell>
        </row>
        <row r="666">
          <cell r="AS666">
            <v>99.696020271350051</v>
          </cell>
        </row>
        <row r="667">
          <cell r="AS667">
            <v>99.401032602435976</v>
          </cell>
        </row>
        <row r="668">
          <cell r="AS668">
            <v>100.09007568744232</v>
          </cell>
        </row>
        <row r="669">
          <cell r="AS669">
            <v>99.596319503423089</v>
          </cell>
        </row>
        <row r="670">
          <cell r="AS670">
            <v>99.401032602435976</v>
          </cell>
        </row>
        <row r="671">
          <cell r="AS671">
            <v>97.07287270411102</v>
          </cell>
        </row>
        <row r="672">
          <cell r="AS672">
            <v>97.985891681833053</v>
          </cell>
        </row>
        <row r="673">
          <cell r="AS673">
            <v>98.776100485718814</v>
          </cell>
        </row>
        <row r="674">
          <cell r="AS674">
            <v>98.973652686690244</v>
          </cell>
        </row>
        <row r="675">
          <cell r="AS675">
            <v>99.278502850194101</v>
          </cell>
        </row>
        <row r="676">
          <cell r="AS676">
            <v>98.561912949528178</v>
          </cell>
        </row>
        <row r="677">
          <cell r="AS677">
            <v>99.861447517561885</v>
          </cell>
        </row>
        <row r="678">
          <cell r="AS678">
            <v>99.861447517561885</v>
          </cell>
        </row>
        <row r="679">
          <cell r="AS679">
            <v>101.21133303492269</v>
          </cell>
        </row>
        <row r="680">
          <cell r="AS680">
            <v>96.698904908769507</v>
          </cell>
        </row>
        <row r="681">
          <cell r="AS681">
            <v>102.00606382936222</v>
          </cell>
        </row>
        <row r="682">
          <cell r="AS682">
            <v>97.427677408967256</v>
          </cell>
        </row>
        <row r="683">
          <cell r="AS683">
            <v>98.108921308356997</v>
          </cell>
        </row>
        <row r="684">
          <cell r="AS684">
            <v>98.694063980176225</v>
          </cell>
        </row>
        <row r="685">
          <cell r="AS685">
            <v>100.2652450226567</v>
          </cell>
        </row>
        <row r="686">
          <cell r="AS686">
            <v>100.74539413116692</v>
          </cell>
        </row>
        <row r="687">
          <cell r="AS687">
            <v>101.27598337973996</v>
          </cell>
        </row>
        <row r="688">
          <cell r="AS688">
            <v>102.20244053927394</v>
          </cell>
        </row>
        <row r="689">
          <cell r="AS689">
            <v>99.163481197267728</v>
          </cell>
        </row>
        <row r="690">
          <cell r="AS690">
            <v>101.59733613737035</v>
          </cell>
        </row>
        <row r="691">
          <cell r="AS691">
            <v>102.18443014405814</v>
          </cell>
        </row>
        <row r="692">
          <cell r="AS692">
            <v>99.719071879528798</v>
          </cell>
        </row>
        <row r="693">
          <cell r="AS693">
            <v>100.84603073482505</v>
          </cell>
        </row>
        <row r="694">
          <cell r="AS694">
            <v>103.38659991045883</v>
          </cell>
        </row>
        <row r="695">
          <cell r="AS695">
            <v>103.24183379000793</v>
          </cell>
        </row>
        <row r="696">
          <cell r="AS696">
            <v>102.1830837779485</v>
          </cell>
        </row>
        <row r="698">
          <cell r="AS698">
            <v>96.429908671540403</v>
          </cell>
        </row>
        <row r="699">
          <cell r="AS699">
            <v>95.810688139372886</v>
          </cell>
        </row>
        <row r="700">
          <cell r="AS700">
            <v>96.451517171751576</v>
          </cell>
        </row>
        <row r="701">
          <cell r="AS701">
            <v>98.91585168536264</v>
          </cell>
        </row>
        <row r="702">
          <cell r="AS702">
            <v>98.741297270858453</v>
          </cell>
        </row>
        <row r="703">
          <cell r="AS703">
            <v>98.639026691655275</v>
          </cell>
        </row>
        <row r="704">
          <cell r="AS704">
            <v>99.708764324123052</v>
          </cell>
        </row>
        <row r="705">
          <cell r="AS705">
            <v>96.393313724689648</v>
          </cell>
        </row>
        <row r="706">
          <cell r="AS706">
            <v>99.872119258602709</v>
          </cell>
        </row>
        <row r="707">
          <cell r="AS707">
            <v>95.475287240863395</v>
          </cell>
        </row>
        <row r="708">
          <cell r="AS708">
            <v>100.07702758723762</v>
          </cell>
        </row>
        <row r="710">
          <cell r="AS710">
            <v>98.599223019705548</v>
          </cell>
        </row>
        <row r="711">
          <cell r="AS711">
            <v>95.550338344212662</v>
          </cell>
        </row>
        <row r="712">
          <cell r="AS712">
            <v>101.78290005234547</v>
          </cell>
        </row>
        <row r="713">
          <cell r="AS713">
            <v>99.28115997304883</v>
          </cell>
        </row>
        <row r="714">
          <cell r="AS714">
            <v>99.405266910839558</v>
          </cell>
        </row>
        <row r="715">
          <cell r="AS715">
            <v>100.88361338521632</v>
          </cell>
        </row>
        <row r="716">
          <cell r="AS716">
            <v>97.505342034239277</v>
          </cell>
        </row>
        <row r="717">
          <cell r="AS717">
            <v>99.114393178251547</v>
          </cell>
        </row>
        <row r="718">
          <cell r="AS718">
            <v>100.25044099616535</v>
          </cell>
        </row>
        <row r="719">
          <cell r="AS719">
            <v>98.090470150181261</v>
          </cell>
        </row>
        <row r="720">
          <cell r="AS720">
            <v>100.10522064350327</v>
          </cell>
        </row>
        <row r="721">
          <cell r="AS721">
            <v>99.700868877531136</v>
          </cell>
        </row>
        <row r="722">
          <cell r="AS722">
            <v>99.158966709289359</v>
          </cell>
        </row>
        <row r="723">
          <cell r="AS723">
            <v>101.64126027501119</v>
          </cell>
        </row>
        <row r="724">
          <cell r="AS724">
            <v>98.030709113713215</v>
          </cell>
        </row>
        <row r="725">
          <cell r="AS725">
            <v>103.30273119645332</v>
          </cell>
        </row>
        <row r="726">
          <cell r="AS726">
            <v>101.15019753270298</v>
          </cell>
        </row>
        <row r="727">
          <cell r="AS727">
            <v>105.78508118562733</v>
          </cell>
        </row>
        <row r="728">
          <cell r="AS728">
            <v>104.23720728533692</v>
          </cell>
        </row>
        <row r="729">
          <cell r="AS729">
            <v>103.57495308095812</v>
          </cell>
        </row>
        <row r="730">
          <cell r="AS730">
            <v>96.457778749263497</v>
          </cell>
        </row>
        <row r="731">
          <cell r="AS731">
            <v>98.26394823520674</v>
          </cell>
        </row>
        <row r="732">
          <cell r="AS732">
            <v>96.781019314036527</v>
          </cell>
        </row>
        <row r="733">
          <cell r="AS733">
            <v>98.535206939635856</v>
          </cell>
        </row>
        <row r="735">
          <cell r="AS735">
            <v>98.95536987190583</v>
          </cell>
        </row>
        <row r="736">
          <cell r="AS736">
            <v>100.69991425551854</v>
          </cell>
        </row>
        <row r="737">
          <cell r="AS737">
            <v>97.491795209253013</v>
          </cell>
        </row>
        <row r="738">
          <cell r="AS738">
            <v>99.907901362483045</v>
          </cell>
        </row>
        <row r="739">
          <cell r="AS739">
            <v>95.681008986054323</v>
          </cell>
        </row>
        <row r="740">
          <cell r="AS740">
            <v>101.34178018250964</v>
          </cell>
        </row>
        <row r="741">
          <cell r="AS741">
            <v>97.155168767938704</v>
          </cell>
        </row>
        <row r="742">
          <cell r="AS742">
            <v>98.829691341458499</v>
          </cell>
        </row>
        <row r="743">
          <cell r="AS743">
            <v>97.46378758207527</v>
          </cell>
        </row>
        <row r="744">
          <cell r="AS744">
            <v>95.215943842430946</v>
          </cell>
        </row>
        <row r="745">
          <cell r="AS745">
            <v>97.760584286850658</v>
          </cell>
        </row>
        <row r="746">
          <cell r="AS746">
            <v>100.17576788642711</v>
          </cell>
        </row>
        <row r="747">
          <cell r="AS747">
            <v>99.164002830183804</v>
          </cell>
        </row>
        <row r="748">
          <cell r="AS748">
            <v>98.282647159217547</v>
          </cell>
        </row>
        <row r="749">
          <cell r="AS749">
            <v>0</v>
          </cell>
        </row>
        <row r="750">
          <cell r="AS750">
            <v>98.310617012597305</v>
          </cell>
        </row>
        <row r="751">
          <cell r="AS751">
            <v>102.08679626615999</v>
          </cell>
        </row>
        <row r="752">
          <cell r="AS752">
            <v>100.5755863884288</v>
          </cell>
        </row>
        <row r="753">
          <cell r="AS753">
            <v>100.22177492564568</v>
          </cell>
        </row>
        <row r="754">
          <cell r="AS754">
            <v>101.02676910175529</v>
          </cell>
        </row>
        <row r="755">
          <cell r="AS755">
            <v>97.404295309262068</v>
          </cell>
        </row>
        <row r="756">
          <cell r="AS756">
            <v>96.82326614378033</v>
          </cell>
        </row>
        <row r="757">
          <cell r="AS757">
            <v>99.687040472011219</v>
          </cell>
        </row>
        <row r="758">
          <cell r="AS758">
            <v>98.111807696210434</v>
          </cell>
        </row>
        <row r="759">
          <cell r="AS759">
            <v>100.85106845139266</v>
          </cell>
        </row>
        <row r="760">
          <cell r="AS760">
            <v>100.21828140142605</v>
          </cell>
        </row>
        <row r="761">
          <cell r="AS761">
            <v>100.80172659044324</v>
          </cell>
        </row>
        <row r="762">
          <cell r="AS762">
            <v>101.5570974757542</v>
          </cell>
        </row>
        <row r="763">
          <cell r="AS763">
            <v>100.90521204600731</v>
          </cell>
        </row>
        <row r="764">
          <cell r="AS764">
            <v>100.54979181092753</v>
          </cell>
        </row>
        <row r="765">
          <cell r="AS765">
            <v>100.16529365581646</v>
          </cell>
        </row>
        <row r="766">
          <cell r="AS766">
            <v>98.790466396560987</v>
          </cell>
        </row>
        <row r="767">
          <cell r="AS767">
            <v>99.598542228550073</v>
          </cell>
        </row>
        <row r="768">
          <cell r="AS768">
            <v>97.527184757292375</v>
          </cell>
        </row>
        <row r="769">
          <cell r="AS769">
            <v>98.373863755008472</v>
          </cell>
        </row>
        <row r="770">
          <cell r="AS770">
            <v>99.931009421690447</v>
          </cell>
        </row>
        <row r="771">
          <cell r="AS771">
            <v>95.744176615880463</v>
          </cell>
        </row>
        <row r="772">
          <cell r="AS772">
            <v>101.39705127935868</v>
          </cell>
        </row>
        <row r="773">
          <cell r="AS773">
            <v>99.847915705494756</v>
          </cell>
        </row>
        <row r="774">
          <cell r="AS774">
            <v>93.951214784385911</v>
          </cell>
        </row>
        <row r="775">
          <cell r="AS775">
            <v>104.00634438574011</v>
          </cell>
        </row>
        <row r="776">
          <cell r="AS776">
            <v>96.391641700304547</v>
          </cell>
        </row>
        <row r="777">
          <cell r="AS777">
            <v>99.213409957842245</v>
          </cell>
        </row>
        <row r="779">
          <cell r="AS779">
            <v>97.077069258769328</v>
          </cell>
        </row>
        <row r="780">
          <cell r="AS780">
            <v>98.5575805155583</v>
          </cell>
        </row>
        <row r="781">
          <cell r="AS781">
            <v>97.286594404390684</v>
          </cell>
        </row>
        <row r="782">
          <cell r="AS782">
            <v>98.856766711971432</v>
          </cell>
        </row>
        <row r="783">
          <cell r="AS783">
            <v>101.26297533851098</v>
          </cell>
        </row>
        <row r="784">
          <cell r="AS784">
            <v>101.14713620940017</v>
          </cell>
        </row>
        <row r="785">
          <cell r="AS785">
            <v>97.0937677333973</v>
          </cell>
        </row>
        <row r="786">
          <cell r="AS786">
            <v>100.28174495732387</v>
          </cell>
        </row>
        <row r="787">
          <cell r="AS787">
            <v>95.812766380910489</v>
          </cell>
        </row>
        <row r="788">
          <cell r="AS788">
            <v>101.65546749098584</v>
          </cell>
        </row>
        <row r="789">
          <cell r="AS789">
            <v>97.853490599541431</v>
          </cell>
        </row>
        <row r="790">
          <cell r="AS790">
            <v>98.55010674540874</v>
          </cell>
        </row>
        <row r="791">
          <cell r="AS791">
            <v>97.613412018070761</v>
          </cell>
        </row>
        <row r="792">
          <cell r="AS792">
            <v>99.561158181986798</v>
          </cell>
        </row>
        <row r="793">
          <cell r="AS793">
            <v>100.24613889822621</v>
          </cell>
        </row>
        <row r="794">
          <cell r="AS794">
            <v>100.37170454522671</v>
          </cell>
        </row>
        <row r="795">
          <cell r="AS795">
            <v>100.70061057164963</v>
          </cell>
        </row>
        <row r="796">
          <cell r="AS796">
            <v>100.47480022325537</v>
          </cell>
        </row>
        <row r="797">
          <cell r="AS797">
            <v>99.841103993586884</v>
          </cell>
        </row>
        <row r="798">
          <cell r="AS798">
            <v>100.27740375916254</v>
          </cell>
        </row>
        <row r="799">
          <cell r="AS799">
            <v>97.48002702939435</v>
          </cell>
        </row>
        <row r="800">
          <cell r="AS800">
            <v>98.598067999045995</v>
          </cell>
        </row>
        <row r="801">
          <cell r="AS801">
            <v>100.85369125518513</v>
          </cell>
        </row>
        <row r="802">
          <cell r="AS802">
            <v>100.51892746653148</v>
          </cell>
        </row>
        <row r="803">
          <cell r="AS803">
            <v>101.64201292749718</v>
          </cell>
        </row>
        <row r="804">
          <cell r="AS804">
            <v>98.677122821490286</v>
          </cell>
        </row>
        <row r="805">
          <cell r="AS805">
            <v>94.602663444886986</v>
          </cell>
        </row>
        <row r="806">
          <cell r="AS806">
            <v>98.947982015755926</v>
          </cell>
        </row>
        <row r="807">
          <cell r="AS807">
            <v>99.1420270769014</v>
          </cell>
        </row>
        <row r="808">
          <cell r="AS808">
            <v>97.516997840525605</v>
          </cell>
        </row>
        <row r="809">
          <cell r="AS809">
            <v>99.751255694747158</v>
          </cell>
        </row>
        <row r="810">
          <cell r="AS810">
            <v>96.891431370869441</v>
          </cell>
        </row>
        <row r="811">
          <cell r="AS811">
            <v>100.18085577032127</v>
          </cell>
        </row>
        <row r="812">
          <cell r="AS812">
            <v>99.659757981465702</v>
          </cell>
        </row>
        <row r="813">
          <cell r="AS813">
            <v>107.34365755487836</v>
          </cell>
        </row>
        <row r="814">
          <cell r="AS814">
            <v>99.968736134069019</v>
          </cell>
        </row>
        <row r="815">
          <cell r="AS815">
            <v>99.217726998153125</v>
          </cell>
        </row>
        <row r="816">
          <cell r="AS816">
            <v>99.27225455813722</v>
          </cell>
        </row>
        <row r="817">
          <cell r="AS817">
            <v>97.215757839186651</v>
          </cell>
        </row>
        <row r="818">
          <cell r="AS818">
            <v>97.999909522417397</v>
          </cell>
        </row>
        <row r="819">
          <cell r="AS819">
            <v>99.644096363428588</v>
          </cell>
        </row>
        <row r="820">
          <cell r="AS820">
            <v>100.2807941835346</v>
          </cell>
        </row>
        <row r="821">
          <cell r="AS821">
            <v>98.168564653147371</v>
          </cell>
        </row>
        <row r="822">
          <cell r="AS822">
            <v>99.822806736202935</v>
          </cell>
        </row>
        <row r="824">
          <cell r="AS824">
            <v>99.414978940495374</v>
          </cell>
        </row>
        <row r="825">
          <cell r="AS825">
            <v>94.676492860195467</v>
          </cell>
        </row>
        <row r="826">
          <cell r="AS826">
            <v>101.52790626522442</v>
          </cell>
        </row>
        <row r="827">
          <cell r="AS827">
            <v>98.660106268344649</v>
          </cell>
        </row>
        <row r="828">
          <cell r="AS828">
            <v>97.981976311886754</v>
          </cell>
        </row>
        <row r="829">
          <cell r="AS829">
            <v>100.54504817750203</v>
          </cell>
        </row>
        <row r="830">
          <cell r="AS830">
            <v>99.549781561862332</v>
          </cell>
        </row>
        <row r="831">
          <cell r="AS831">
            <v>97.870128246333465</v>
          </cell>
        </row>
        <row r="832">
          <cell r="AS832">
            <v>98.918044513526468</v>
          </cell>
        </row>
        <row r="833">
          <cell r="AS833">
            <v>100.23810470072885</v>
          </cell>
        </row>
        <row r="834">
          <cell r="AS834">
            <v>98.141058126939669</v>
          </cell>
        </row>
        <row r="835">
          <cell r="AS835">
            <v>99.464351820346025</v>
          </cell>
        </row>
        <row r="836">
          <cell r="AS836">
            <v>99.891260601944538</v>
          </cell>
        </row>
        <row r="837">
          <cell r="AS837">
            <v>98.825303504106472</v>
          </cell>
        </row>
        <row r="838">
          <cell r="AS838">
            <v>99.811583978199351</v>
          </cell>
        </row>
        <row r="839">
          <cell r="AS839">
            <v>100.14229891746602</v>
          </cell>
        </row>
        <row r="840">
          <cell r="AS840">
            <v>96.508807516019175</v>
          </cell>
        </row>
        <row r="841">
          <cell r="AS841">
            <v>101.43378785819282</v>
          </cell>
        </row>
        <row r="842">
          <cell r="AS842">
            <v>97.423134038373789</v>
          </cell>
        </row>
        <row r="843">
          <cell r="AS843">
            <v>98.971240412158565</v>
          </cell>
        </row>
        <row r="844">
          <cell r="AS844">
            <v>99.48938955321573</v>
          </cell>
        </row>
        <row r="845">
          <cell r="AS845">
            <v>102.57854383778138</v>
          </cell>
        </row>
        <row r="846">
          <cell r="AS846">
            <v>98.992760119033306</v>
          </cell>
        </row>
        <row r="847">
          <cell r="AS847">
            <v>98.504346092292792</v>
          </cell>
        </row>
        <row r="848">
          <cell r="AS848">
            <v>96.413335590373151</v>
          </cell>
        </row>
        <row r="849">
          <cell r="AS849">
            <v>98.159547445229293</v>
          </cell>
        </row>
        <row r="850">
          <cell r="AS850">
            <v>99.986663333079832</v>
          </cell>
        </row>
        <row r="851">
          <cell r="AS851">
            <v>99.625287378566313</v>
          </cell>
        </row>
        <row r="852">
          <cell r="AS852">
            <v>95.365817891823511</v>
          </cell>
        </row>
        <row r="853">
          <cell r="AS853">
            <v>98.859846723026621</v>
          </cell>
        </row>
        <row r="854">
          <cell r="AS854">
            <v>98.241036026878831</v>
          </cell>
        </row>
        <row r="855">
          <cell r="AS855">
            <v>99.825568866022024</v>
          </cell>
        </row>
        <row r="856">
          <cell r="AS856">
            <v>98.645282808431347</v>
          </cell>
        </row>
        <row r="857">
          <cell r="AS857">
            <v>98.914939752442152</v>
          </cell>
        </row>
        <row r="858">
          <cell r="AS858">
            <v>97.758039872296649</v>
          </cell>
        </row>
        <row r="859">
          <cell r="AS859">
            <v>99.744802672280059</v>
          </cell>
        </row>
        <row r="860">
          <cell r="AS860">
            <v>94.213153736760106</v>
          </cell>
        </row>
        <row r="861">
          <cell r="AS861">
            <v>97.33408636572112</v>
          </cell>
        </row>
        <row r="862">
          <cell r="AS862">
            <v>98.687851500360367</v>
          </cell>
        </row>
        <row r="863">
          <cell r="AS863">
            <v>98.15830941278702</v>
          </cell>
        </row>
        <row r="865">
          <cell r="AS865">
            <v>95.322225589235501</v>
          </cell>
        </row>
        <row r="866">
          <cell r="AS866">
            <v>98.967121553081768</v>
          </cell>
        </row>
        <row r="867">
          <cell r="AS867">
            <v>99.238723942766654</v>
          </cell>
        </row>
        <row r="868">
          <cell r="AS868">
            <v>98.002274187869418</v>
          </cell>
        </row>
        <row r="869">
          <cell r="AS869">
            <v>99.648174106091631</v>
          </cell>
        </row>
        <row r="870">
          <cell r="AS870">
            <v>98.585621058035315</v>
          </cell>
        </row>
        <row r="871">
          <cell r="AS871">
            <v>98.936161390139659</v>
          </cell>
        </row>
        <row r="872">
          <cell r="AS872">
            <v>99.298623297788069</v>
          </cell>
        </row>
        <row r="873">
          <cell r="AS873">
            <v>95.78908667395234</v>
          </cell>
        </row>
        <row r="874">
          <cell r="AS874">
            <v>97.043689776083454</v>
          </cell>
        </row>
        <row r="875">
          <cell r="AS875">
            <v>99.899219809669859</v>
          </cell>
        </row>
        <row r="876">
          <cell r="AS876">
            <v>99.613745193751541</v>
          </cell>
        </row>
        <row r="877">
          <cell r="AS877">
            <v>97.024100682701572</v>
          </cell>
        </row>
        <row r="878">
          <cell r="AS878">
            <v>99.401026369834483</v>
          </cell>
        </row>
        <row r="879">
          <cell r="AS879">
            <v>99.42119726743698</v>
          </cell>
        </row>
        <row r="880">
          <cell r="AS880">
            <v>99.42119726743698</v>
          </cell>
        </row>
        <row r="881">
          <cell r="AS881">
            <v>99.934567640109535</v>
          </cell>
        </row>
        <row r="882">
          <cell r="AS882">
            <v>98.222358072958968</v>
          </cell>
        </row>
        <row r="883">
          <cell r="AS883">
            <v>99.47232737989826</v>
          </cell>
        </row>
        <row r="884">
          <cell r="AS884">
            <v>100.16108688972618</v>
          </cell>
        </row>
        <row r="885">
          <cell r="AS885">
            <v>97.436742232158792</v>
          </cell>
        </row>
        <row r="886">
          <cell r="AS886">
            <v>97.469417997799923</v>
          </cell>
        </row>
        <row r="887">
          <cell r="AS887">
            <v>100.01653377802042</v>
          </cell>
        </row>
        <row r="888">
          <cell r="AS888">
            <v>97.541487691308987</v>
          </cell>
        </row>
        <row r="889">
          <cell r="AS889">
            <v>99.793915802126293</v>
          </cell>
        </row>
        <row r="890">
          <cell r="AS890">
            <v>99.544198235265355</v>
          </cell>
        </row>
        <row r="891">
          <cell r="AS891">
            <v>99.434422211804062</v>
          </cell>
        </row>
        <row r="892">
          <cell r="AS892">
            <v>99.320165825298616</v>
          </cell>
        </row>
        <row r="893">
          <cell r="AS893">
            <v>96.667344780276736</v>
          </cell>
        </row>
        <row r="894">
          <cell r="AS894">
            <v>97.898322636248054</v>
          </cell>
        </row>
        <row r="895">
          <cell r="AS895">
            <v>98.729354665356169</v>
          </cell>
        </row>
        <row r="896">
          <cell r="AS896">
            <v>96.885068018319615</v>
          </cell>
        </row>
        <row r="897">
          <cell r="AS897">
            <v>99.160395090357554</v>
          </cell>
        </row>
        <row r="898">
          <cell r="AS898">
            <v>98.888094805680922</v>
          </cell>
        </row>
        <row r="899">
          <cell r="AS899">
            <v>99.712714771584814</v>
          </cell>
        </row>
        <row r="900">
          <cell r="AS900">
            <v>99.287176443605802</v>
          </cell>
        </row>
        <row r="901">
          <cell r="AS901">
            <v>97.739565481027867</v>
          </cell>
        </row>
        <row r="902">
          <cell r="AS902">
            <v>98.776041662093803</v>
          </cell>
        </row>
        <row r="903">
          <cell r="AS903">
            <v>100.04976276206206</v>
          </cell>
        </row>
        <row r="904">
          <cell r="AS904">
            <v>98.960447208711898</v>
          </cell>
        </row>
        <row r="905">
          <cell r="AS905">
            <v>91.188634381833737</v>
          </cell>
        </row>
        <row r="906">
          <cell r="AS906">
            <v>97.51764886680489</v>
          </cell>
        </row>
        <row r="907">
          <cell r="AS907">
            <v>93.374743432540484</v>
          </cell>
        </row>
        <row r="908">
          <cell r="AS908">
            <v>96.532622110574522</v>
          </cell>
        </row>
        <row r="909">
          <cell r="AS909">
            <v>98.302894296350672</v>
          </cell>
        </row>
        <row r="910">
          <cell r="AS910">
            <v>95.819139923451573</v>
          </cell>
        </row>
        <row r="911">
          <cell r="AS911">
            <v>98.815899469497609</v>
          </cell>
        </row>
        <row r="912">
          <cell r="AS912">
            <v>98.646048448871909</v>
          </cell>
        </row>
        <row r="913">
          <cell r="AS913">
            <v>99.820406168501322</v>
          </cell>
        </row>
        <row r="914">
          <cell r="AS914">
            <v>98.912440266800218</v>
          </cell>
        </row>
        <row r="915">
          <cell r="AS915">
            <v>99.698457329259341</v>
          </cell>
        </row>
        <row r="916">
          <cell r="AS916">
            <v>98.111238801725193</v>
          </cell>
        </row>
        <row r="917">
          <cell r="AS917">
            <v>99.424312497735059</v>
          </cell>
        </row>
        <row r="918">
          <cell r="AS918">
            <v>97.398766236179426</v>
          </cell>
        </row>
        <row r="919">
          <cell r="AS919">
            <v>99.073036673111616</v>
          </cell>
        </row>
        <row r="920">
          <cell r="AS920">
            <v>96.99725046263336</v>
          </cell>
        </row>
        <row r="921">
          <cell r="AS921">
            <v>99.014735311838592</v>
          </cell>
        </row>
        <row r="922">
          <cell r="AS922">
            <v>99.905301205894347</v>
          </cell>
        </row>
        <row r="923">
          <cell r="AS923">
            <v>99.584353447659552</v>
          </cell>
        </row>
        <row r="924">
          <cell r="AS924">
            <v>99.150286529956631</v>
          </cell>
        </row>
        <row r="925">
          <cell r="AS925">
            <v>94.442580550045619</v>
          </cell>
        </row>
        <row r="926">
          <cell r="AS926">
            <v>98.425890832697604</v>
          </cell>
        </row>
        <row r="927">
          <cell r="AS927">
            <v>96.309744781187845</v>
          </cell>
        </row>
        <row r="928">
          <cell r="AS928">
            <v>98.046206145005172</v>
          </cell>
        </row>
        <row r="929">
          <cell r="AS929">
            <v>98.295512714820589</v>
          </cell>
        </row>
        <row r="930">
          <cell r="AS930">
            <v>98.418510288190774</v>
          </cell>
        </row>
        <row r="931">
          <cell r="AS931">
            <v>98.353066766503787</v>
          </cell>
        </row>
        <row r="932">
          <cell r="AS932">
            <v>99.738823521857796</v>
          </cell>
        </row>
        <row r="933">
          <cell r="AS933">
            <v>95.285092230611866</v>
          </cell>
        </row>
        <row r="934">
          <cell r="AS934">
            <v>93.46325576838143</v>
          </cell>
        </row>
        <row r="935">
          <cell r="AS935">
            <v>97.692294560648392</v>
          </cell>
        </row>
        <row r="936">
          <cell r="AS936">
            <v>99.372075719358918</v>
          </cell>
        </row>
        <row r="937">
          <cell r="AS937">
            <v>98.77103493879828</v>
          </cell>
        </row>
        <row r="938">
          <cell r="AS938">
            <v>98.026774266751971</v>
          </cell>
        </row>
        <row r="939">
          <cell r="AS939">
            <v>99.321626062749729</v>
          </cell>
        </row>
        <row r="940">
          <cell r="AS940">
            <v>99.884127061726787</v>
          </cell>
        </row>
        <row r="941">
          <cell r="AS941">
            <v>94.752766498544304</v>
          </cell>
        </row>
        <row r="942">
          <cell r="AS942">
            <v>98.508753446513779</v>
          </cell>
        </row>
        <row r="943">
          <cell r="AS943">
            <v>101.68061311991168</v>
          </cell>
        </row>
        <row r="944">
          <cell r="AS944">
            <v>98.570688011944725</v>
          </cell>
        </row>
        <row r="945">
          <cell r="AS945">
            <v>99.162557027956495</v>
          </cell>
        </row>
        <row r="946">
          <cell r="AS946">
            <v>99.897543560915992</v>
          </cell>
        </row>
        <row r="947">
          <cell r="AS947">
            <v>97.786032279928818</v>
          </cell>
        </row>
        <row r="948">
          <cell r="AS948">
            <v>99.458598669556125</v>
          </cell>
        </row>
        <row r="949">
          <cell r="AS949">
            <v>98.98951864826472</v>
          </cell>
        </row>
        <row r="950">
          <cell r="AS950">
            <v>99.795950572079505</v>
          </cell>
        </row>
        <row r="951">
          <cell r="AS951">
            <v>100.03354018722838</v>
          </cell>
        </row>
        <row r="952">
          <cell r="AS952">
            <v>95.509530117217736</v>
          </cell>
        </row>
        <row r="953">
          <cell r="AS953">
            <v>98.628019884552387</v>
          </cell>
        </row>
        <row r="954">
          <cell r="AS954">
            <v>99.50828870315982</v>
          </cell>
        </row>
        <row r="955">
          <cell r="AS955">
            <v>97.44554981572918</v>
          </cell>
        </row>
        <row r="956">
          <cell r="AS956">
            <v>99.235165302311827</v>
          </cell>
        </row>
        <row r="957">
          <cell r="AS957">
            <v>99.345922764916011</v>
          </cell>
        </row>
        <row r="958">
          <cell r="AS958">
            <v>99.812648191819761</v>
          </cell>
        </row>
        <row r="959">
          <cell r="AS959">
            <v>99.110255548347155</v>
          </cell>
        </row>
        <row r="960">
          <cell r="AS960">
            <v>99.313907853259352</v>
          </cell>
        </row>
        <row r="961">
          <cell r="AS961">
            <v>99.459186839916782</v>
          </cell>
        </row>
        <row r="962">
          <cell r="AS962">
            <v>100.26127705636773</v>
          </cell>
        </row>
        <row r="963">
          <cell r="AS963">
            <v>95.275709637646131</v>
          </cell>
        </row>
        <row r="964">
          <cell r="AS964">
            <v>97.991827926819525</v>
          </cell>
        </row>
        <row r="965">
          <cell r="AS965">
            <v>99.059893854825532</v>
          </cell>
        </row>
        <row r="966">
          <cell r="AS966">
            <v>99.584378575324806</v>
          </cell>
        </row>
        <row r="967">
          <cell r="AS967">
            <v>98.761833735786624</v>
          </cell>
        </row>
        <row r="968">
          <cell r="AS968">
            <v>97.606431269436612</v>
          </cell>
        </row>
        <row r="969">
          <cell r="AS969">
            <v>96.421062953071228</v>
          </cell>
        </row>
        <row r="970">
          <cell r="AS970">
            <v>94.252076084576643</v>
          </cell>
        </row>
        <row r="971">
          <cell r="AS971">
            <v>97.076888940242085</v>
          </cell>
        </row>
        <row r="972">
          <cell r="AS972">
            <v>99.141534843347159</v>
          </cell>
        </row>
        <row r="973">
          <cell r="AS973">
            <v>99.634376452290198</v>
          </cell>
        </row>
        <row r="974">
          <cell r="AS974">
            <v>100.5587546462191</v>
          </cell>
        </row>
        <row r="976">
          <cell r="A976" t="str">
            <v>ST389</v>
          </cell>
          <cell r="AS976">
            <v>95.84769954565148</v>
          </cell>
        </row>
        <row r="977">
          <cell r="A977" t="str">
            <v>ST390</v>
          </cell>
          <cell r="AS977">
            <v>100.26238441701008</v>
          </cell>
        </row>
        <row r="978">
          <cell r="A978" t="str">
            <v>ST391</v>
          </cell>
          <cell r="AS978">
            <v>98.835712833337951</v>
          </cell>
        </row>
        <row r="979">
          <cell r="A979" t="str">
            <v>ST392</v>
          </cell>
          <cell r="AS979">
            <v>99.563123412098136</v>
          </cell>
        </row>
        <row r="980">
          <cell r="A980" t="str">
            <v>ST393</v>
          </cell>
        </row>
        <row r="981">
          <cell r="A981" t="str">
            <v>ST394</v>
          </cell>
          <cell r="AS981">
            <v>99.438369618907075</v>
          </cell>
        </row>
        <row r="982">
          <cell r="A982" t="str">
            <v>ST395</v>
          </cell>
          <cell r="AS982">
            <v>98.642275622859415</v>
          </cell>
        </row>
        <row r="983">
          <cell r="A983" t="str">
            <v>ST396</v>
          </cell>
          <cell r="AS983">
            <v>99.614073029250193</v>
          </cell>
        </row>
        <row r="984">
          <cell r="A984" t="str">
            <v>ST397</v>
          </cell>
          <cell r="AS984">
            <v>99.740392122501049</v>
          </cell>
        </row>
        <row r="985">
          <cell r="A985" t="str">
            <v>ST398</v>
          </cell>
          <cell r="AS985">
            <v>100.69666248352205</v>
          </cell>
        </row>
        <row r="986">
          <cell r="A986" t="str">
            <v>ST399</v>
          </cell>
          <cell r="AS986">
            <v>100.31792758418116</v>
          </cell>
        </row>
        <row r="987">
          <cell r="A987" t="str">
            <v>ST400</v>
          </cell>
          <cell r="AS987">
            <v>100.84109483792494</v>
          </cell>
        </row>
        <row r="988">
          <cell r="A988" t="str">
            <v>ST401</v>
          </cell>
          <cell r="AS988">
            <v>95.905620939078773</v>
          </cell>
        </row>
        <row r="989">
          <cell r="A989" t="str">
            <v>ST402</v>
          </cell>
          <cell r="AS989">
            <v>96.760533281323376</v>
          </cell>
        </row>
        <row r="990">
          <cell r="A990" t="str">
            <v>ST403</v>
          </cell>
          <cell r="AS990">
            <v>99.090851111924238</v>
          </cell>
        </row>
        <row r="991">
          <cell r="A991" t="str">
            <v>ST404</v>
          </cell>
          <cell r="AS991">
            <v>100.28953076247171</v>
          </cell>
        </row>
        <row r="992">
          <cell r="A992" t="str">
            <v>ST405</v>
          </cell>
          <cell r="AS992">
            <v>98.68100870163795</v>
          </cell>
        </row>
        <row r="993">
          <cell r="A993" t="str">
            <v>ST406</v>
          </cell>
          <cell r="AS993">
            <v>98.657011703724478</v>
          </cell>
        </row>
        <row r="994">
          <cell r="A994" t="str">
            <v>ST407</v>
          </cell>
          <cell r="AS994">
            <v>98.539725565001788</v>
          </cell>
        </row>
        <row r="995">
          <cell r="A995" t="str">
            <v>ST408</v>
          </cell>
          <cell r="AS995">
            <v>98.853539615484877</v>
          </cell>
        </row>
        <row r="996">
          <cell r="A996" t="str">
            <v>ST409</v>
          </cell>
          <cell r="AS996">
            <v>97.026739234878065</v>
          </cell>
        </row>
        <row r="997">
          <cell r="A997" t="str">
            <v>ST410</v>
          </cell>
          <cell r="AS997">
            <v>99.348173755912001</v>
          </cell>
        </row>
        <row r="998">
          <cell r="A998" t="str">
            <v>ST411</v>
          </cell>
          <cell r="AS998">
            <v>97.865007404547399</v>
          </cell>
        </row>
        <row r="999">
          <cell r="A999" t="str">
            <v>ST412</v>
          </cell>
          <cell r="AS999">
            <v>99.015667179643799</v>
          </cell>
        </row>
        <row r="1000">
          <cell r="A1000" t="str">
            <v>ST413</v>
          </cell>
          <cell r="AS1000">
            <v>92.840729271609433</v>
          </cell>
        </row>
        <row r="1001">
          <cell r="A1001" t="str">
            <v>ST414</v>
          </cell>
          <cell r="AS1001">
            <v>96.937453604595234</v>
          </cell>
        </row>
        <row r="1002">
          <cell r="A1002" t="str">
            <v>ST415</v>
          </cell>
          <cell r="AS1002">
            <v>96.267168950908413</v>
          </cell>
        </row>
        <row r="1003">
          <cell r="A1003" t="str">
            <v>ST416</v>
          </cell>
          <cell r="AS1003">
            <v>102.55783677768659</v>
          </cell>
        </row>
        <row r="1004">
          <cell r="A1004" t="str">
            <v>ST417</v>
          </cell>
          <cell r="AS1004">
            <v>101.12268847023552</v>
          </cell>
        </row>
        <row r="1005">
          <cell r="A1005" t="str">
            <v>ST418</v>
          </cell>
          <cell r="AS1005">
            <v>98.872876183901013</v>
          </cell>
        </row>
        <row r="1006">
          <cell r="A1006" t="str">
            <v>ST419</v>
          </cell>
          <cell r="AS1006">
            <v>97.893936815743572</v>
          </cell>
        </row>
        <row r="1007">
          <cell r="A1007" t="str">
            <v>ST420</v>
          </cell>
          <cell r="AS1007">
            <v>94.369755090376813</v>
          </cell>
        </row>
      </sheetData>
      <sheetData sheetId="7">
        <row r="16">
          <cell r="D16">
            <v>11.8</v>
          </cell>
        </row>
      </sheetData>
      <sheetData sheetId="8"/>
      <sheetData sheetId="9"/>
      <sheetData sheetId="10">
        <row r="6">
          <cell r="H6">
            <v>1387.6999999999996</v>
          </cell>
        </row>
      </sheetData>
      <sheetData sheetId="11">
        <row r="18">
          <cell r="E18">
            <v>26275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ewMaterials"/>
      <sheetName val="Brewhouse"/>
      <sheetName val="Process"/>
      <sheetName val="Guinnbottling"/>
      <sheetName val="Summary December '23"/>
      <sheetName val="Summary November '23"/>
      <sheetName val="Summary October '23"/>
      <sheetName val="Summary August '23"/>
      <sheetName val="Summary July '23  "/>
      <sheetName val="Summary June '23 "/>
      <sheetName val="Summary May '23 "/>
      <sheetName val="Summary April '23"/>
      <sheetName val="Summary March '23 "/>
      <sheetName val="Summary February '23 "/>
      <sheetName val="Summary January '23"/>
      <sheetName val="Summary December '22  "/>
      <sheetName val="Summary November '22 "/>
      <sheetName val="Summary October '22  "/>
      <sheetName val="Summary September '22 "/>
      <sheetName val="Summary August '22"/>
      <sheetName val="Summary July '22"/>
      <sheetName val="Summary June '22 "/>
      <sheetName val="Summary May '22"/>
      <sheetName val="Summary April '22"/>
      <sheetName val="Summary March '22 "/>
      <sheetName val="Summary February '22"/>
      <sheetName val="Summary January '22  "/>
      <sheetName val="Summary December '21  "/>
      <sheetName val="Brew Time"/>
    </sheetNames>
    <sheetDataSet>
      <sheetData sheetId="0"/>
      <sheetData sheetId="1">
        <row r="15">
          <cell r="A15" t="str">
            <v>GU001</v>
          </cell>
        </row>
        <row r="161">
          <cell r="AU161">
            <v>93.965368107965062</v>
          </cell>
        </row>
        <row r="162">
          <cell r="AU162">
            <v>96.592804250515826</v>
          </cell>
        </row>
        <row r="163">
          <cell r="AU163">
            <v>96.855226146869683</v>
          </cell>
        </row>
        <row r="164">
          <cell r="AU164">
            <v>99.719563433141545</v>
          </cell>
        </row>
        <row r="165">
          <cell r="AU165">
            <v>93.977747984844711</v>
          </cell>
        </row>
        <row r="166">
          <cell r="AU166">
            <v>96.800755402267797</v>
          </cell>
        </row>
        <row r="167">
          <cell r="AU167">
            <v>99.262577009986543</v>
          </cell>
        </row>
        <row r="168">
          <cell r="AU168">
            <v>97.617284872705341</v>
          </cell>
        </row>
        <row r="169">
          <cell r="AU169">
            <v>93.882081223571518</v>
          </cell>
        </row>
        <row r="170">
          <cell r="AU170">
            <v>96.880311362448069</v>
          </cell>
        </row>
        <row r="171">
          <cell r="AU171">
            <v>96.195289997407556</v>
          </cell>
        </row>
        <row r="172">
          <cell r="AU172">
            <v>94.522516586223233</v>
          </cell>
        </row>
        <row r="173">
          <cell r="AU173">
            <v>96.272098390562704</v>
          </cell>
        </row>
        <row r="174">
          <cell r="AU174">
            <v>97.145205727107424</v>
          </cell>
        </row>
        <row r="175">
          <cell r="AU175">
            <v>96.638158603901061</v>
          </cell>
        </row>
        <row r="176">
          <cell r="AU176">
            <v>97.558522019176309</v>
          </cell>
        </row>
        <row r="178">
          <cell r="AU178">
            <v>95.219650212398349</v>
          </cell>
        </row>
        <row r="179">
          <cell r="AU179">
            <v>96.915732176693737</v>
          </cell>
        </row>
        <row r="180">
          <cell r="AU180">
            <v>97.113229437227318</v>
          </cell>
        </row>
        <row r="181">
          <cell r="AU181">
            <v>96.11289270970039</v>
          </cell>
        </row>
        <row r="182">
          <cell r="AU182">
            <v>97.124856870387418</v>
          </cell>
        </row>
        <row r="183">
          <cell r="AU183">
            <v>95.95234352237965</v>
          </cell>
        </row>
        <row r="184">
          <cell r="AU184">
            <v>96.235994895137281</v>
          </cell>
        </row>
        <row r="185">
          <cell r="AU185">
            <v>96.793019114599005</v>
          </cell>
        </row>
        <row r="186">
          <cell r="AU186">
            <v>92.695309482159786</v>
          </cell>
        </row>
        <row r="187">
          <cell r="AU187">
            <v>97.112578466227518</v>
          </cell>
        </row>
        <row r="188">
          <cell r="AU188">
            <v>95.415425829106212</v>
          </cell>
        </row>
        <row r="189">
          <cell r="AU189">
            <v>94.650398073167125</v>
          </cell>
        </row>
        <row r="190">
          <cell r="AU190">
            <v>94.570799056132827</v>
          </cell>
        </row>
        <row r="191">
          <cell r="AU191">
            <v>94.719124067077729</v>
          </cell>
        </row>
        <row r="192">
          <cell r="AU192">
            <v>98.306178948356205</v>
          </cell>
        </row>
        <row r="193">
          <cell r="AU193">
            <v>97.925390388444455</v>
          </cell>
        </row>
        <row r="194">
          <cell r="AU194">
            <v>97.460735039452615</v>
          </cell>
        </row>
        <row r="195">
          <cell r="AU195">
            <v>98.199690790562769</v>
          </cell>
        </row>
        <row r="197">
          <cell r="AU197">
            <v>94.088744814062039</v>
          </cell>
        </row>
        <row r="198">
          <cell r="AU198">
            <v>96.46704124616916</v>
          </cell>
        </row>
        <row r="199">
          <cell r="AU199">
            <v>98.170890958243888</v>
          </cell>
        </row>
        <row r="200">
          <cell r="AU200">
            <v>94.209226425483408</v>
          </cell>
        </row>
        <row r="201">
          <cell r="AU201">
            <v>96.562972599320716</v>
          </cell>
        </row>
        <row r="202">
          <cell r="AU202">
            <v>97.230417534132712</v>
          </cell>
        </row>
        <row r="203">
          <cell r="AU203">
            <v>96.409854967197631</v>
          </cell>
        </row>
        <row r="204">
          <cell r="AU204">
            <v>96.223735556064042</v>
          </cell>
        </row>
        <row r="205">
          <cell r="AU205">
            <v>92.795938408997429</v>
          </cell>
        </row>
        <row r="206">
          <cell r="AU206">
            <v>98.244249996615551</v>
          </cell>
        </row>
        <row r="207">
          <cell r="AU207">
            <v>95.836438954768568</v>
          </cell>
        </row>
        <row r="208">
          <cell r="AU208">
            <v>95.89152658101861</v>
          </cell>
        </row>
        <row r="210">
          <cell r="AU210">
            <v>98.635700007401397</v>
          </cell>
        </row>
        <row r="211">
          <cell r="AU211">
            <v>99.515247118434473</v>
          </cell>
        </row>
        <row r="212">
          <cell r="AU212">
            <v>100.24798044319473</v>
          </cell>
        </row>
        <row r="213">
          <cell r="AU213">
            <v>98.642482588617568</v>
          </cell>
        </row>
        <row r="214">
          <cell r="AU214">
            <v>96.251461303435718</v>
          </cell>
        </row>
        <row r="215">
          <cell r="AU215">
            <v>98.419763453677945</v>
          </cell>
        </row>
        <row r="216">
          <cell r="AU216">
            <v>99.357094534189159</v>
          </cell>
        </row>
        <row r="217">
          <cell r="AU217">
            <v>99.078260666012184</v>
          </cell>
        </row>
        <row r="218">
          <cell r="AU218">
            <v>98.607229669780182</v>
          </cell>
        </row>
        <row r="219">
          <cell r="AU219">
            <v>100.06017468228244</v>
          </cell>
        </row>
        <row r="220">
          <cell r="AU220">
            <v>98.260147384785725</v>
          </cell>
        </row>
        <row r="221">
          <cell r="AU221">
            <v>99.115469296800924</v>
          </cell>
        </row>
        <row r="223">
          <cell r="AU223">
            <v>94.742021388622192</v>
          </cell>
        </row>
        <row r="224">
          <cell r="AU224">
            <v>95.167484764134443</v>
          </cell>
        </row>
        <row r="225">
          <cell r="AU225">
            <v>94.895677912202714</v>
          </cell>
        </row>
        <row r="226">
          <cell r="AU226">
            <v>96.401077155647016</v>
          </cell>
        </row>
        <row r="227">
          <cell r="AU227">
            <v>97.302930067568894</v>
          </cell>
        </row>
        <row r="228">
          <cell r="AU228">
            <v>96.314203603781138</v>
          </cell>
        </row>
        <row r="229">
          <cell r="AU229">
            <v>95.483762066712103</v>
          </cell>
        </row>
        <row r="230">
          <cell r="AU230">
            <v>96.625516268419005</v>
          </cell>
        </row>
        <row r="231">
          <cell r="AU231">
            <v>98.898456815142168</v>
          </cell>
        </row>
        <row r="232">
          <cell r="AU232">
            <v>98.225452926077566</v>
          </cell>
        </row>
        <row r="234">
          <cell r="AU234">
            <v>95.896677174536023</v>
          </cell>
        </row>
        <row r="235">
          <cell r="AU235">
            <v>97.936062938846518</v>
          </cell>
        </row>
        <row r="236">
          <cell r="AU236">
            <v>97.583693826153464</v>
          </cell>
        </row>
        <row r="237">
          <cell r="AU237">
            <v>98.994098566320872</v>
          </cell>
        </row>
        <row r="238">
          <cell r="AU238">
            <v>95.502837408186139</v>
          </cell>
        </row>
        <row r="239">
          <cell r="AU239">
            <v>98.869439166620126</v>
          </cell>
        </row>
        <row r="240">
          <cell r="AU240">
            <v>88.436653657881806</v>
          </cell>
        </row>
        <row r="241">
          <cell r="AU241">
            <v>102.62330939701198</v>
          </cell>
        </row>
        <row r="242">
          <cell r="AU242">
            <v>96.980346516944635</v>
          </cell>
        </row>
        <row r="243">
          <cell r="AU243">
            <v>94.08944508824446</v>
          </cell>
        </row>
        <row r="244">
          <cell r="AU244">
            <v>96.737333077403832</v>
          </cell>
        </row>
        <row r="245">
          <cell r="AU245">
            <v>94.446876631568699</v>
          </cell>
        </row>
        <row r="246">
          <cell r="AU246">
            <v>97.049787257774071</v>
          </cell>
        </row>
        <row r="247">
          <cell r="AU247">
            <v>97.142174485894344</v>
          </cell>
        </row>
        <row r="248">
          <cell r="AU248">
            <v>95.941599519115414</v>
          </cell>
        </row>
        <row r="249">
          <cell r="AU249">
            <v>96.627463359556657</v>
          </cell>
        </row>
        <row r="250">
          <cell r="AU250">
            <v>97.242672763693818</v>
          </cell>
        </row>
        <row r="251">
          <cell r="AU251">
            <v>98.084098750403911</v>
          </cell>
        </row>
        <row r="252">
          <cell r="AU252">
            <v>97.275212826418226</v>
          </cell>
        </row>
        <row r="253">
          <cell r="AU253">
            <v>96.463666376007339</v>
          </cell>
        </row>
        <row r="254">
          <cell r="AU254">
            <v>94.809860277644958</v>
          </cell>
        </row>
        <row r="255">
          <cell r="AU255">
            <v>95.372531830954301</v>
          </cell>
        </row>
        <row r="256">
          <cell r="AU256">
            <v>97.104793218026899</v>
          </cell>
        </row>
        <row r="257">
          <cell r="AU257">
            <v>101.15481250823689</v>
          </cell>
        </row>
        <row r="258">
          <cell r="AU258">
            <v>97.136421299139741</v>
          </cell>
        </row>
        <row r="259">
          <cell r="AU259">
            <v>97.470434535510464</v>
          </cell>
        </row>
        <row r="260">
          <cell r="AU260">
            <v>93.220228527399556</v>
          </cell>
        </row>
        <row r="261">
          <cell r="AU261">
            <v>97.417353739920216</v>
          </cell>
        </row>
        <row r="262">
          <cell r="AU262">
            <v>102.56453826919012</v>
          </cell>
        </row>
        <row r="263">
          <cell r="AU263">
            <v>94.2191347002763</v>
          </cell>
        </row>
        <row r="264">
          <cell r="AU264">
            <v>97.225537612550042</v>
          </cell>
        </row>
        <row r="265">
          <cell r="AU265">
            <v>95.46204926037683</v>
          </cell>
        </row>
        <row r="266">
          <cell r="AU266">
            <v>96.295198372398715</v>
          </cell>
        </row>
        <row r="267">
          <cell r="AU267">
            <v>94.766322071054688</v>
          </cell>
        </row>
        <row r="268">
          <cell r="AU268">
            <v>96.729944015905701</v>
          </cell>
        </row>
        <row r="269">
          <cell r="AU269">
            <v>93.515968326362071</v>
          </cell>
        </row>
        <row r="270">
          <cell r="AU270">
            <v>95.326405402124465</v>
          </cell>
        </row>
        <row r="271">
          <cell r="AU271">
            <v>96.578493608349746</v>
          </cell>
        </row>
        <row r="272">
          <cell r="AU272">
            <v>96.612052964288281</v>
          </cell>
        </row>
        <row r="273">
          <cell r="AU273">
            <v>95.101201382387686</v>
          </cell>
        </row>
        <row r="274">
          <cell r="AU274">
            <v>97.42245815143751</v>
          </cell>
        </row>
        <row r="275">
          <cell r="AU275">
            <v>96.319562398779738</v>
          </cell>
        </row>
        <row r="276">
          <cell r="AU276">
            <v>96.224117927496195</v>
          </cell>
        </row>
        <row r="277">
          <cell r="AU277">
            <v>94.401983484097656</v>
          </cell>
        </row>
        <row r="278">
          <cell r="AU278">
            <v>99.387627351361019</v>
          </cell>
        </row>
        <row r="279">
          <cell r="AU279">
            <v>96.627570521050842</v>
          </cell>
        </row>
        <row r="282">
          <cell r="A282" t="str">
            <v>GU113</v>
          </cell>
          <cell r="AU282">
            <v>93.663100829572898</v>
          </cell>
        </row>
        <row r="283">
          <cell r="A283" t="str">
            <v>GU114</v>
          </cell>
          <cell r="AU283">
            <v>97.254070900973858</v>
          </cell>
        </row>
        <row r="284">
          <cell r="A284" t="str">
            <v>GU115</v>
          </cell>
          <cell r="AU284">
            <v>99.149861756743334</v>
          </cell>
        </row>
        <row r="285">
          <cell r="A285" t="str">
            <v>GU116</v>
          </cell>
          <cell r="AU285">
            <v>94.471130452224315</v>
          </cell>
        </row>
        <row r="286">
          <cell r="A286" t="str">
            <v>GU117</v>
          </cell>
          <cell r="AU286">
            <v>97.247994648231</v>
          </cell>
        </row>
        <row r="287">
          <cell r="A287" t="str">
            <v>GU118</v>
          </cell>
          <cell r="AU287">
            <v>94.48140281101675</v>
          </cell>
        </row>
        <row r="288">
          <cell r="A288" t="str">
            <v>GU119</v>
          </cell>
          <cell r="AU288">
            <v>97.045557790227846</v>
          </cell>
        </row>
        <row r="289">
          <cell r="A289" t="str">
            <v>GU120</v>
          </cell>
          <cell r="AU289">
            <v>96.706799632100712</v>
          </cell>
        </row>
      </sheetData>
      <sheetData sheetId="2">
        <row r="5">
          <cell r="D5">
            <v>17.2</v>
          </cell>
        </row>
      </sheetData>
      <sheetData sheetId="3"/>
      <sheetData sheetId="4"/>
      <sheetData sheetId="5">
        <row r="7">
          <cell r="H7">
            <v>313.3</v>
          </cell>
        </row>
      </sheetData>
      <sheetData sheetId="6">
        <row r="19">
          <cell r="E19">
            <v>4299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9">
          <cell r="E19">
            <v>5839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December '23"/>
      <sheetName val="Summary September '23"/>
      <sheetName val="Summary August '23"/>
      <sheetName val="Summary July '23"/>
      <sheetName val="Summary June '23 "/>
      <sheetName val="Summary May '23 "/>
      <sheetName val="Summary April '23"/>
      <sheetName val="Summary March '23"/>
      <sheetName val="Summary August '22"/>
      <sheetName val="Summary July '22 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 "/>
      <sheetName val="Summary January '22 "/>
      <sheetName val="Summary December '21  "/>
    </sheetNames>
    <sheetDataSet>
      <sheetData sheetId="0" refreshError="1"/>
      <sheetData sheetId="1"/>
      <sheetData sheetId="2"/>
      <sheetData sheetId="3">
        <row r="5">
          <cell r="B5">
            <v>44558</v>
          </cell>
        </row>
        <row r="92">
          <cell r="AU92">
            <v>92.976230173617424</v>
          </cell>
        </row>
        <row r="93">
          <cell r="AU93">
            <v>97.891128934292908</v>
          </cell>
        </row>
        <row r="94">
          <cell r="AU94">
            <v>97.973301157018028</v>
          </cell>
        </row>
        <row r="95">
          <cell r="AU95">
            <v>98.096408180762808</v>
          </cell>
        </row>
        <row r="96">
          <cell r="AU96">
            <v>96.60797006312923</v>
          </cell>
        </row>
        <row r="97">
          <cell r="AU97">
            <v>95.944323197552052</v>
          </cell>
        </row>
        <row r="98">
          <cell r="AU98">
            <v>97.96934029451829</v>
          </cell>
        </row>
        <row r="99">
          <cell r="AU99">
            <v>97.61931982421288</v>
          </cell>
        </row>
        <row r="100">
          <cell r="AU100">
            <v>96.832510902681079</v>
          </cell>
        </row>
        <row r="101">
          <cell r="AU101">
            <v>97.477315897621679</v>
          </cell>
        </row>
        <row r="103">
          <cell r="AU103">
            <v>97.93333635326627</v>
          </cell>
        </row>
        <row r="104">
          <cell r="AU104">
            <v>97.891046918081088</v>
          </cell>
        </row>
        <row r="105">
          <cell r="AU105">
            <v>99.033412354868091</v>
          </cell>
        </row>
        <row r="106">
          <cell r="AU106">
            <v>97.512358148572076</v>
          </cell>
        </row>
        <row r="107">
          <cell r="AU107">
            <v>95.87273211620672</v>
          </cell>
        </row>
        <row r="108">
          <cell r="AU108">
            <v>98.818321955908743</v>
          </cell>
        </row>
        <row r="109">
          <cell r="AU109">
            <v>98.005339225475495</v>
          </cell>
        </row>
        <row r="110">
          <cell r="AU110">
            <v>97.743136116212952</v>
          </cell>
        </row>
        <row r="111">
          <cell r="AU111">
            <v>96.815316848596865</v>
          </cell>
        </row>
        <row r="112">
          <cell r="AU112">
            <v>95.263079291761272</v>
          </cell>
        </row>
        <row r="114">
          <cell r="AU114">
            <v>98.814785799478145</v>
          </cell>
        </row>
        <row r="115">
          <cell r="AU115">
            <v>95.902564497676096</v>
          </cell>
        </row>
        <row r="116">
          <cell r="AU116">
            <v>98.175518315541183</v>
          </cell>
        </row>
        <row r="117">
          <cell r="AU117">
            <v>96.874026079753961</v>
          </cell>
        </row>
        <row r="118">
          <cell r="AU118">
            <v>96.210568758972599</v>
          </cell>
        </row>
        <row r="119">
          <cell r="AU119">
            <v>98.185551655182479</v>
          </cell>
        </row>
        <row r="120">
          <cell r="AU120">
            <v>98.090666634651427</v>
          </cell>
        </row>
        <row r="121">
          <cell r="AU121">
            <v>97.545012872669332</v>
          </cell>
        </row>
        <row r="122">
          <cell r="AU122">
            <v>95.071812655510129</v>
          </cell>
        </row>
        <row r="123">
          <cell r="AU123">
            <v>99.43552908729977</v>
          </cell>
        </row>
        <row r="125">
          <cell r="AU125">
            <v>89.924292290392472</v>
          </cell>
        </row>
        <row r="126">
          <cell r="AU126">
            <v>94.537695289743212</v>
          </cell>
        </row>
        <row r="127">
          <cell r="AU127">
            <v>98.000013979580487</v>
          </cell>
        </row>
        <row r="128">
          <cell r="AU128">
            <v>95.186842986970504</v>
          </cell>
        </row>
        <row r="129">
          <cell r="AU129">
            <v>96.696641173491798</v>
          </cell>
        </row>
        <row r="130">
          <cell r="AU130">
            <v>95.944138129340132</v>
          </cell>
        </row>
        <row r="131">
          <cell r="AU131">
            <v>93.413051544866548</v>
          </cell>
        </row>
        <row r="132">
          <cell r="AU132">
            <v>96.069102087559131</v>
          </cell>
        </row>
        <row r="133">
          <cell r="AU133">
            <v>98.137125811557496</v>
          </cell>
        </row>
        <row r="134">
          <cell r="AU134">
            <v>97.168379942866267</v>
          </cell>
        </row>
        <row r="136">
          <cell r="AU136">
            <v>94.124868174530278</v>
          </cell>
        </row>
        <row r="137">
          <cell r="AU137">
            <v>95.154601054457146</v>
          </cell>
        </row>
        <row r="138">
          <cell r="AU138">
            <v>96.220811022939529</v>
          </cell>
        </row>
        <row r="139">
          <cell r="AU139">
            <v>97.517216436709603</v>
          </cell>
        </row>
        <row r="140">
          <cell r="AU140">
            <v>96.281980045545069</v>
          </cell>
        </row>
        <row r="141">
          <cell r="AU141">
            <v>95.840387117370994</v>
          </cell>
        </row>
        <row r="142">
          <cell r="AU142">
            <v>95.62272817509934</v>
          </cell>
        </row>
        <row r="143">
          <cell r="AU143">
            <v>97.419625508620229</v>
          </cell>
        </row>
        <row r="144">
          <cell r="AU144">
            <v>96.095204819099521</v>
          </cell>
        </row>
        <row r="145">
          <cell r="AU145">
            <v>95.427155830154973</v>
          </cell>
        </row>
        <row r="147">
          <cell r="AU147">
            <v>91.160130162104309</v>
          </cell>
        </row>
        <row r="148">
          <cell r="AU148">
            <v>96.404323693454927</v>
          </cell>
        </row>
        <row r="149">
          <cell r="AU149">
            <v>95.683417143594824</v>
          </cell>
        </row>
        <row r="150">
          <cell r="AU150">
            <v>95.809489237012428</v>
          </cell>
        </row>
        <row r="151">
          <cell r="AU151">
            <v>97.090758279891048</v>
          </cell>
        </row>
        <row r="152">
          <cell r="AU152">
            <v>94.091899893433379</v>
          </cell>
        </row>
        <row r="153">
          <cell r="AU153">
            <v>96.193480056158236</v>
          </cell>
        </row>
        <row r="154">
          <cell r="AU154">
            <v>94.865416286743525</v>
          </cell>
        </row>
        <row r="155">
          <cell r="AU155">
            <v>94.951993001600584</v>
          </cell>
        </row>
        <row r="156">
          <cell r="AU156">
            <v>94.607872565715482</v>
          </cell>
        </row>
        <row r="158">
          <cell r="A158" t="str">
            <v>VM061</v>
          </cell>
          <cell r="AU158">
            <v>93.00523973792491</v>
          </cell>
        </row>
        <row r="159">
          <cell r="A159" t="str">
            <v>VM062</v>
          </cell>
          <cell r="AU159">
            <v>95.154968494234055</v>
          </cell>
        </row>
        <row r="160">
          <cell r="A160" t="str">
            <v>VM063</v>
          </cell>
          <cell r="AU160">
            <v>97.138427856424443</v>
          </cell>
        </row>
        <row r="161">
          <cell r="A161" t="str">
            <v>VM064</v>
          </cell>
          <cell r="AU161">
            <v>95.267023489278699</v>
          </cell>
        </row>
        <row r="162">
          <cell r="A162" t="str">
            <v>VM065</v>
          </cell>
          <cell r="AU162">
            <v>98.162235648460509</v>
          </cell>
        </row>
        <row r="163">
          <cell r="A163" t="str">
            <v>VM066</v>
          </cell>
          <cell r="AU163">
            <v>88.890405461826575</v>
          </cell>
        </row>
      </sheetData>
      <sheetData sheetId="4">
        <row r="5">
          <cell r="C5" t="str">
            <v>DPV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8">
          <cell r="H8">
            <v>403.40000000000003</v>
          </cell>
        </row>
      </sheetData>
      <sheetData sheetId="23" refreshError="1"/>
      <sheetData sheetId="2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September '23 "/>
      <sheetName val="Summary August '23 "/>
      <sheetName val="Summary July '23"/>
      <sheetName val="Summary January '23"/>
      <sheetName val="Summary December '22  "/>
      <sheetName val="Summary November '22  "/>
      <sheetName val="Summary October '22 "/>
      <sheetName val="Summary September '22 "/>
      <sheetName val="Summary August '22 "/>
      <sheetName val="Summary July '22 "/>
      <sheetName val="Summary June '22 "/>
      <sheetName val="Summary May '22 "/>
      <sheetName val="Summary April '22 "/>
      <sheetName val="Summary March '22 "/>
      <sheetName val="Summary February '22 "/>
      <sheetName val="Summary January '22 "/>
      <sheetName val="Summary December '21 "/>
      <sheetName val="Summary November '21 "/>
      <sheetName val="Summary September '21 "/>
      <sheetName val="Summary August '21"/>
      <sheetName val="Summary July'21"/>
      <sheetName val="Summary June '21 "/>
      <sheetName val="Summary May '21"/>
      <sheetName val="Summary April '21 "/>
      <sheetName val="Summary March '21"/>
      <sheetName val="Summary February '21"/>
      <sheetName val="Summary January '21"/>
      <sheetName val="Summary December '20 "/>
      <sheetName val="Summary November '20  "/>
      <sheetName val="Summary October '20 "/>
      <sheetName val="Summary September '20 "/>
      <sheetName val="Summary August '20  "/>
      <sheetName val="Summary July'20  "/>
      <sheetName val="Summary June'20 "/>
      <sheetName val="Summary May'20 "/>
      <sheetName val="Summary March'20 "/>
      <sheetName val="Summary February'20"/>
      <sheetName val="Summary January'20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AT11">
            <v>90.812413514896079</v>
          </cell>
        </row>
        <row r="74">
          <cell r="AT74">
            <v>97.150248014703294</v>
          </cell>
        </row>
        <row r="75">
          <cell r="AT75">
            <v>95.674742958147831</v>
          </cell>
        </row>
        <row r="76">
          <cell r="AT76">
            <v>100.84803557336481</v>
          </cell>
        </row>
        <row r="77">
          <cell r="AT77">
            <v>88.652151049519262</v>
          </cell>
        </row>
        <row r="78">
          <cell r="AT78">
            <v>91.164092280279334</v>
          </cell>
        </row>
        <row r="79">
          <cell r="AT79">
            <v>90.269749115607993</v>
          </cell>
        </row>
      </sheetData>
      <sheetData sheetId="8">
        <row r="4">
          <cell r="D4">
            <v>13.5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Apr'14"/>
      <sheetName val="Summary May'14"/>
      <sheetName val="BrewMaterials"/>
      <sheetName val="Brewhouse"/>
      <sheetName val="Process"/>
      <sheetName val="Packaging"/>
      <sheetName val="Summary December ' 23 "/>
      <sheetName val="Summary November ' 23 "/>
      <sheetName val="Summary October ' 23  "/>
      <sheetName val="Summary September ' 23  "/>
      <sheetName val="Summary August ' 23 "/>
      <sheetName val="Summary July ' 23 "/>
      <sheetName val="Summary June ' 23"/>
      <sheetName val="Summary May ' 23 "/>
      <sheetName val="Summary April ' 23"/>
      <sheetName val="Summary March ' 23 "/>
      <sheetName val="Summary February ' 23 "/>
      <sheetName val="Summary January ' 23"/>
      <sheetName val="Summary December ' 22"/>
      <sheetName val="Summary November ' 22"/>
      <sheetName val="Summary October ' 22"/>
      <sheetName val="Summary September ' 22"/>
      <sheetName val="Summary August' 22"/>
      <sheetName val="Summary July' 22"/>
      <sheetName val="Summary June' 22"/>
      <sheetName val="Summary May' 22 "/>
      <sheetName val="Summary April' 22 "/>
      <sheetName val="Summary March' 22"/>
      <sheetName val="Summary February' 22"/>
      <sheetName val="Summary January' 22"/>
      <sheetName val="Summary December' 21 "/>
      <sheetName val="Summary November' 21"/>
      <sheetName val="Summary October' 21  "/>
      <sheetName val="Summary August' 21 "/>
      <sheetName val="Summary July' 21"/>
      <sheetName val="Summary April' 21"/>
      <sheetName val="Summary March' 21  "/>
      <sheetName val="Summary February' 21 "/>
      <sheetName val="Summary January' 21  "/>
      <sheetName val="Summary December' 20  "/>
      <sheetName val="Summary November' 20  "/>
      <sheetName val="Summary September' 20  "/>
      <sheetName val="Summary August' 20  "/>
      <sheetName val="Summary July' 20 "/>
      <sheetName val="Summary June' 20 "/>
      <sheetName val="Summary May' 20 "/>
      <sheetName val="Summary March' 20 "/>
      <sheetName val="Summary February' 20"/>
      <sheetName val="Summary January' 20   "/>
    </sheetNames>
    <sheetDataSet>
      <sheetData sheetId="0"/>
      <sheetData sheetId="1"/>
      <sheetData sheetId="2"/>
      <sheetData sheetId="3">
        <row r="11">
          <cell r="A11">
            <v>6</v>
          </cell>
        </row>
        <row r="138">
          <cell r="AY138">
            <v>96.857330707129194</v>
          </cell>
        </row>
        <row r="139">
          <cell r="AY139">
            <v>98.558634236722384</v>
          </cell>
        </row>
        <row r="140">
          <cell r="AY140">
            <v>99.06939404796357</v>
          </cell>
        </row>
        <row r="141">
          <cell r="AY141">
            <v>97.738542500229343</v>
          </cell>
        </row>
        <row r="142">
          <cell r="AY142">
            <v>98.88256763553963</v>
          </cell>
        </row>
        <row r="143">
          <cell r="AY143">
            <v>97.355423733832453</v>
          </cell>
        </row>
        <row r="145">
          <cell r="AY145">
            <v>93.537197811356393</v>
          </cell>
        </row>
        <row r="146">
          <cell r="AY146">
            <v>97.637568539650758</v>
          </cell>
        </row>
        <row r="147">
          <cell r="AY147">
            <v>97.44649697695084</v>
          </cell>
        </row>
        <row r="148">
          <cell r="AY148">
            <v>98.773382829033523</v>
          </cell>
        </row>
        <row r="149">
          <cell r="AY149">
            <v>98.071154008854393</v>
          </cell>
        </row>
        <row r="150">
          <cell r="AY150">
            <v>97.063843510838709</v>
          </cell>
        </row>
        <row r="151">
          <cell r="AY151">
            <v>97.828640102350647</v>
          </cell>
        </row>
        <row r="152">
          <cell r="AY152">
            <v>98.087689047934177</v>
          </cell>
        </row>
        <row r="153">
          <cell r="AY153">
            <v>97.828640102350647</v>
          </cell>
        </row>
        <row r="155">
          <cell r="AY155">
            <v>99.698842686065035</v>
          </cell>
        </row>
        <row r="156">
          <cell r="AY156">
            <v>97.271717302321889</v>
          </cell>
        </row>
        <row r="157">
          <cell r="AY157">
            <v>98.289192483980855</v>
          </cell>
        </row>
        <row r="158">
          <cell r="AY158">
            <v>99.439999141619637</v>
          </cell>
        </row>
        <row r="159">
          <cell r="AY159">
            <v>96.974002051291038</v>
          </cell>
        </row>
        <row r="160">
          <cell r="AY160">
            <v>98.975628221718509</v>
          </cell>
        </row>
        <row r="161">
          <cell r="AY161">
            <v>101.59530290991161</v>
          </cell>
        </row>
        <row r="162">
          <cell r="AY162">
            <v>100.37351945912778</v>
          </cell>
        </row>
        <row r="163">
          <cell r="AY163">
            <v>99.626623297989596</v>
          </cell>
        </row>
        <row r="164">
          <cell r="AY164">
            <v>99.801046914684065</v>
          </cell>
        </row>
        <row r="165">
          <cell r="AY165">
            <v>100.42261588043316</v>
          </cell>
        </row>
        <row r="166">
          <cell r="AY166">
            <v>100.59254189240451</v>
          </cell>
        </row>
        <row r="167">
          <cell r="AY167">
            <v>102.82818274430574</v>
          </cell>
        </row>
        <row r="168">
          <cell r="AY168">
            <v>100.73932467067223</v>
          </cell>
        </row>
        <row r="169">
          <cell r="AY169">
            <v>102.03003131939195</v>
          </cell>
        </row>
        <row r="170">
          <cell r="AY170">
            <v>100.72183263222499</v>
          </cell>
        </row>
        <row r="171">
          <cell r="AY171">
            <v>99.794955739547987</v>
          </cell>
        </row>
        <row r="172">
          <cell r="AY172">
            <v>99.174713278737329</v>
          </cell>
        </row>
        <row r="173">
          <cell r="AY173">
            <v>99.745776886868242</v>
          </cell>
        </row>
        <row r="174">
          <cell r="AY174">
            <v>101.45896771126101</v>
          </cell>
        </row>
        <row r="176">
          <cell r="AY176">
            <v>98.50164878062526</v>
          </cell>
        </row>
        <row r="177">
          <cell r="AY177">
            <v>97.864376229539815</v>
          </cell>
        </row>
        <row r="178">
          <cell r="AY178">
            <v>96.213174293907031</v>
          </cell>
        </row>
        <row r="179">
          <cell r="AY179">
            <v>96.737733426605146</v>
          </cell>
        </row>
        <row r="180">
          <cell r="AY180">
            <v>98.671919625154061</v>
          </cell>
        </row>
        <row r="181">
          <cell r="AY181">
            <v>98.678382046481531</v>
          </cell>
        </row>
        <row r="182">
          <cell r="AY182">
            <v>97.166069677953075</v>
          </cell>
        </row>
        <row r="183">
          <cell r="AY183">
            <v>98.512845152088531</v>
          </cell>
        </row>
        <row r="184">
          <cell r="AY184">
            <v>98.221762980912644</v>
          </cell>
        </row>
        <row r="185">
          <cell r="AY185">
            <v>96.458672125242785</v>
          </cell>
        </row>
        <row r="187">
          <cell r="AY187">
            <v>99.38661333018382</v>
          </cell>
        </row>
        <row r="188">
          <cell r="AY188">
            <v>99.646849535565863</v>
          </cell>
        </row>
        <row r="189">
          <cell r="AY189">
            <v>96.44315275935341</v>
          </cell>
        </row>
        <row r="190">
          <cell r="AY190">
            <v>95.740088181090002</v>
          </cell>
        </row>
        <row r="191">
          <cell r="AY191">
            <v>101.96087155142641</v>
          </cell>
        </row>
        <row r="192">
          <cell r="AY192">
            <v>100.87431145241574</v>
          </cell>
        </row>
        <row r="193">
          <cell r="AY193">
            <v>100.77276941900652</v>
          </cell>
        </row>
        <row r="194">
          <cell r="AY194">
            <v>99.308077161646651</v>
          </cell>
        </row>
        <row r="195">
          <cell r="AY195">
            <v>97.966049625236295</v>
          </cell>
        </row>
        <row r="196">
          <cell r="AY196">
            <v>99.036532823513113</v>
          </cell>
        </row>
        <row r="197">
          <cell r="AY197">
            <v>99.829910580594287</v>
          </cell>
        </row>
        <row r="198">
          <cell r="AY198">
            <v>101.34551268586694</v>
          </cell>
        </row>
        <row r="200">
          <cell r="AY200">
            <v>95.787719035267713</v>
          </cell>
        </row>
        <row r="201">
          <cell r="AY201">
            <v>98.6328988085925</v>
          </cell>
        </row>
        <row r="202">
          <cell r="AY202">
            <v>94.459968474382819</v>
          </cell>
        </row>
        <row r="203">
          <cell r="AY203">
            <v>106.3879873741687</v>
          </cell>
        </row>
        <row r="204">
          <cell r="AY204">
            <v>98.690694600233016</v>
          </cell>
        </row>
        <row r="205">
          <cell r="AY205">
            <v>98.776855194864339</v>
          </cell>
        </row>
        <row r="206">
          <cell r="AY206">
            <v>97.717380143030724</v>
          </cell>
        </row>
        <row r="207">
          <cell r="AY207">
            <v>98.298402403340631</v>
          </cell>
        </row>
        <row r="208">
          <cell r="AY208">
            <v>99.150475857619696</v>
          </cell>
        </row>
        <row r="209">
          <cell r="AY209">
            <v>98.480851582747462</v>
          </cell>
        </row>
        <row r="210">
          <cell r="AY210">
            <v>98.900294442784613</v>
          </cell>
        </row>
        <row r="211">
          <cell r="AY211">
            <v>99.774000543159772</v>
          </cell>
        </row>
        <row r="212">
          <cell r="AY212">
            <v>100.01290942200356</v>
          </cell>
        </row>
        <row r="213">
          <cell r="AY213">
            <v>98.851572144784257</v>
          </cell>
        </row>
        <row r="214">
          <cell r="AY214">
            <v>95.961586054602336</v>
          </cell>
        </row>
        <row r="215">
          <cell r="AY215">
            <v>97.742034692393759</v>
          </cell>
        </row>
        <row r="216">
          <cell r="AY216">
            <v>98.204218222146736</v>
          </cell>
        </row>
        <row r="217">
          <cell r="AY217">
            <v>97.636227486705479</v>
          </cell>
        </row>
        <row r="218">
          <cell r="AY218">
            <v>97.478600605828163</v>
          </cell>
        </row>
        <row r="219">
          <cell r="AY219">
            <v>98.717661711315671</v>
          </cell>
        </row>
        <row r="220">
          <cell r="AY220">
            <v>98.398499623008561</v>
          </cell>
        </row>
        <row r="221">
          <cell r="AY221">
            <v>98.42316068921798</v>
          </cell>
        </row>
        <row r="222">
          <cell r="AY222">
            <v>95.64281835332649</v>
          </cell>
        </row>
        <row r="223">
          <cell r="AY223">
            <v>100.30596808204508</v>
          </cell>
        </row>
        <row r="224">
          <cell r="AY224">
            <v>97.851077552059024</v>
          </cell>
        </row>
        <row r="225">
          <cell r="AY225">
            <v>96.158768386089662</v>
          </cell>
        </row>
        <row r="226">
          <cell r="AY226">
            <v>102.14052505286946</v>
          </cell>
        </row>
        <row r="227">
          <cell r="AY227">
            <v>97.431150141503139</v>
          </cell>
        </row>
        <row r="228">
          <cell r="AY228">
            <v>100.92420324719012</v>
          </cell>
        </row>
        <row r="229">
          <cell r="AY229">
            <v>99.872915840059974</v>
          </cell>
        </row>
        <row r="230">
          <cell r="AY230">
            <v>98.084502197854505</v>
          </cell>
        </row>
        <row r="231">
          <cell r="AY231">
            <v>93.702421135620355</v>
          </cell>
        </row>
        <row r="232">
          <cell r="AY232">
            <v>98.855100098271564</v>
          </cell>
        </row>
        <row r="233">
          <cell r="AY233">
            <v>98.396198262432364</v>
          </cell>
        </row>
        <row r="234">
          <cell r="AY234">
            <v>97.777907843168137</v>
          </cell>
        </row>
        <row r="235">
          <cell r="AY235">
            <v>99.308677437581736</v>
          </cell>
        </row>
        <row r="236">
          <cell r="AY236">
            <v>98.038546530836541</v>
          </cell>
        </row>
        <row r="237">
          <cell r="AY237">
            <v>99.401997081305353</v>
          </cell>
        </row>
        <row r="238">
          <cell r="AY238">
            <v>97.48935368165435</v>
          </cell>
        </row>
        <row r="239">
          <cell r="AY239">
            <v>99.898950116799284</v>
          </cell>
        </row>
        <row r="240">
          <cell r="AY240">
            <v>99.398999137874881</v>
          </cell>
        </row>
        <row r="241">
          <cell r="AY241">
            <v>100.7519165779202</v>
          </cell>
        </row>
        <row r="242">
          <cell r="AY242">
            <v>93.544301682511559</v>
          </cell>
        </row>
        <row r="243">
          <cell r="AY243">
            <v>101.0188654292426</v>
          </cell>
        </row>
        <row r="244">
          <cell r="AY244">
            <v>99.528763203902798</v>
          </cell>
        </row>
        <row r="245">
          <cell r="AY245">
            <v>100.66092013193017</v>
          </cell>
        </row>
        <row r="246">
          <cell r="AY246">
            <v>100.08424635979156</v>
          </cell>
        </row>
        <row r="247">
          <cell r="AY247">
            <v>99.518279181903651</v>
          </cell>
        </row>
        <row r="249">
          <cell r="A249" t="str">
            <v>SM103</v>
          </cell>
          <cell r="AY249">
            <v>99.163679317628919</v>
          </cell>
        </row>
        <row r="250">
          <cell r="A250" t="str">
            <v>SM104</v>
          </cell>
          <cell r="AY250">
            <v>100.11534610570595</v>
          </cell>
        </row>
        <row r="251">
          <cell r="A251" t="str">
            <v>SM105</v>
          </cell>
          <cell r="AY251">
            <v>100.73961911513112</v>
          </cell>
        </row>
        <row r="252">
          <cell r="A252" t="str">
            <v>SM106</v>
          </cell>
          <cell r="AY252">
            <v>99.354012675244334</v>
          </cell>
        </row>
        <row r="253">
          <cell r="A253" t="str">
            <v>SM107</v>
          </cell>
          <cell r="AY253">
            <v>99.145167583223554</v>
          </cell>
        </row>
        <row r="254">
          <cell r="A254" t="str">
            <v>SM108</v>
          </cell>
          <cell r="AY254">
            <v>99.57415406203171</v>
          </cell>
        </row>
      </sheetData>
      <sheetData sheetId="4">
        <row r="5">
          <cell r="D5">
            <v>17.260000000000002</v>
          </cell>
        </row>
      </sheetData>
      <sheetData sheetId="5"/>
      <sheetData sheetId="6"/>
      <sheetData sheetId="7">
        <row r="10">
          <cell r="H10">
            <v>306.60000000000002</v>
          </cell>
        </row>
      </sheetData>
      <sheetData sheetId="8">
        <row r="22">
          <cell r="E22">
            <v>5897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2">
          <cell r="E22">
            <v>7513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 '23"/>
      <sheetName val="Summary March '23"/>
      <sheetName val="Summary February '23"/>
      <sheetName val="Summary November '22 "/>
      <sheetName val="Summary October '22 "/>
      <sheetName val="Summary March '22"/>
      <sheetName val="Summary February '22 "/>
      <sheetName val="Summary August '21 "/>
      <sheetName val="Summary July '21"/>
      <sheetName val="Summary October '20 "/>
      <sheetName val="Summary September '20  "/>
      <sheetName val="Summary August '20 "/>
      <sheetName val="Summary July '20"/>
      <sheetName val="Summary June '20 "/>
    </sheetNames>
    <sheetDataSet>
      <sheetData sheetId="0"/>
      <sheetData sheetId="1"/>
      <sheetData sheetId="2"/>
      <sheetData sheetId="3">
        <row r="5">
          <cell r="A5" t="str">
            <v>HR001</v>
          </cell>
        </row>
        <row r="13">
          <cell r="AW13">
            <v>84.648574567528044</v>
          </cell>
        </row>
        <row r="14">
          <cell r="AW14">
            <v>92.105311967909813</v>
          </cell>
        </row>
        <row r="16">
          <cell r="AW16">
            <v>95.019583228533136</v>
          </cell>
        </row>
        <row r="17">
          <cell r="AW17">
            <v>96.397043172756128</v>
          </cell>
        </row>
      </sheetData>
      <sheetData sheetId="4">
        <row r="4">
          <cell r="C4" t="str">
            <v>FV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. 3rd  "/>
      <sheetName val="Jan. 4th"/>
      <sheetName val="Jan.5th"/>
      <sheetName val="Jan.6th"/>
      <sheetName val="Jan.7th "/>
      <sheetName val="Jan.8th "/>
      <sheetName val="Jan.9th  "/>
      <sheetName val="Jan.10th  "/>
      <sheetName val="Jan.11th "/>
      <sheetName val="Jan.12th "/>
      <sheetName val="Jan.13th "/>
      <sheetName val="Jan.14th  "/>
      <sheetName val="Jan.16th &amp;17th  "/>
      <sheetName val="Closing- January 2023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2">
          <cell r="L42">
            <v>98.191435797113996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b. 6th"/>
      <sheetName val="Feb. 8th"/>
      <sheetName val="Feb Summ. to 24th"/>
      <sheetName val="Feb. 27th"/>
      <sheetName val="Feb.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>
        <row r="42">
          <cell r="L42">
            <v>97.281713730188258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rch 1st"/>
      <sheetName val="March 2nd"/>
      <sheetName val="March 3rd"/>
      <sheetName val="March 6th"/>
      <sheetName val="March 7th "/>
      <sheetName val="March 8th"/>
      <sheetName val="March 9th"/>
      <sheetName val="March10th "/>
      <sheetName val="March11th  "/>
      <sheetName val="March13th"/>
      <sheetName val="March14th "/>
      <sheetName val="March15th"/>
      <sheetName val="March 16th &amp;18th "/>
      <sheetName val="March 20th"/>
      <sheetName val="March 21st"/>
      <sheetName val="March 22nd"/>
      <sheetName val="March 23"/>
      <sheetName val="March 24 &amp; 25th &amp; 26th"/>
      <sheetName val="March 27th"/>
      <sheetName val="March 28th "/>
      <sheetName val="March 29th "/>
      <sheetName val="March 30th "/>
      <sheetName val="March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L75">
            <v>98.782352819681904</v>
          </cell>
        </row>
        <row r="80">
          <cell r="L80">
            <v>7.04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1  "/>
      <sheetName val="April 3th "/>
      <sheetName val="April 4th "/>
      <sheetName val="April 5th "/>
      <sheetName val="April 6th"/>
      <sheetName val="Apri 8th"/>
      <sheetName val="Apri 11th"/>
      <sheetName val="Apri 12th "/>
      <sheetName val="Apri 13th "/>
      <sheetName val="Apri 14th  "/>
      <sheetName val="Apri 15th"/>
      <sheetName val="Apri 16th "/>
      <sheetName val="Apri 17th  "/>
      <sheetName val="Apri 18th "/>
      <sheetName val="Apri 19th"/>
      <sheetName val="Apri 20th &amp; 24th "/>
      <sheetName val="Apri 26th - 27th"/>
      <sheetName val="Apri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1">
          <cell r="L51">
            <v>98.125375133213936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une 1st"/>
      <sheetName val="June 6th"/>
      <sheetName val="June 12th"/>
      <sheetName val="June 13th "/>
      <sheetName val="June 14th "/>
      <sheetName val="June 15th"/>
      <sheetName val="June 16th"/>
      <sheetName val="June 19th"/>
      <sheetName val="June 20th"/>
      <sheetName val="June 21st"/>
      <sheetName val="June 22nd"/>
      <sheetName val="June 23rd"/>
      <sheetName val="June 26th"/>
      <sheetName val="June 27th "/>
      <sheetName val="June 28th "/>
      <sheetName val="June 29th  "/>
      <sheetName val="June 30th 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5">
          <cell r="L65">
            <v>98.889709416663237</v>
          </cell>
        </row>
        <row r="71">
          <cell r="L71">
            <v>7.3888888888888893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uly 3rd  "/>
      <sheetName val="July 5th"/>
      <sheetName val="July 6th"/>
      <sheetName val="July 7 &amp; 8th"/>
      <sheetName val="July 10th"/>
      <sheetName val="July 11th"/>
      <sheetName val="July 12th"/>
      <sheetName val="July 13th "/>
      <sheetName val="July 14th &amp; 15th  "/>
      <sheetName val="July 17th"/>
      <sheetName val="July 18th "/>
      <sheetName val="July 19th "/>
      <sheetName val="July 20th "/>
      <sheetName val="July 21st &amp;22nd"/>
      <sheetName val="July 24th"/>
      <sheetName val="July 25th"/>
      <sheetName val="July 26th "/>
      <sheetName val="July 27th"/>
      <sheetName val="July 28th "/>
      <sheetName val="Jul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2">
          <cell r="L102">
            <v>98.494349010083567</v>
          </cell>
        </row>
        <row r="108">
          <cell r="L108">
            <v>6.5909090909090908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ug 1st"/>
      <sheetName val="Aug 2nd"/>
      <sheetName val="Aug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>
        <row r="118">
          <cell r="L118">
            <v>97.795315149035787</v>
          </cell>
        </row>
        <row r="124">
          <cell r="L124">
            <v>4.5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ct.2nd "/>
      <sheetName val="Oct.3rd"/>
      <sheetName val="Oct. 4th"/>
      <sheetName val="Oct. 5th "/>
      <sheetName val="Oct. 6th &amp;7th"/>
      <sheetName val="Oct. 9th"/>
      <sheetName val="Oct. 10th"/>
      <sheetName val="Oct. 11th"/>
      <sheetName val="Oct. 12th"/>
      <sheetName val="Oct. 13th &amp; 14th"/>
      <sheetName val="Oct. 16th"/>
      <sheetName val="Oct. 17th"/>
      <sheetName val="Oct. 18th"/>
      <sheetName val="Oct. 20th"/>
      <sheetName val="Oct. 23th"/>
      <sheetName val="Oct. 24th "/>
      <sheetName val="Oct. 26th  "/>
      <sheetName val="Oct. 27th &amp; 28th "/>
      <sheetName val="Oct.30th"/>
      <sheetName val="Oct.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5">
          <cell r="L45">
            <v>97.702105534902586</v>
          </cell>
        </row>
        <row r="51">
          <cell r="L51">
            <v>5.291666666666667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18  (2)"/>
      <sheetName val="August_2023"/>
      <sheetName val="September_2023"/>
      <sheetName val="October_2023"/>
      <sheetName val="November_2023"/>
      <sheetName val="December_2023"/>
      <sheetName val="Average"/>
      <sheetName val="October_2022"/>
      <sheetName val="November_2022"/>
      <sheetName val="December_2022"/>
      <sheetName val="September_2022"/>
      <sheetName val="August_2022"/>
    </sheetNames>
    <sheetDataSet>
      <sheetData sheetId="0"/>
      <sheetData sheetId="1"/>
      <sheetData sheetId="2">
        <row r="7">
          <cell r="J7">
            <v>283.29999999999995</v>
          </cell>
        </row>
      </sheetData>
      <sheetData sheetId="3">
        <row r="7">
          <cell r="G7">
            <v>369.9</v>
          </cell>
        </row>
      </sheetData>
      <sheetData sheetId="4">
        <row r="7">
          <cell r="AA7">
            <v>264.39999999999998</v>
          </cell>
        </row>
      </sheetData>
      <sheetData sheetId="5">
        <row r="3">
          <cell r="O3">
            <v>317.7</v>
          </cell>
        </row>
      </sheetData>
      <sheetData sheetId="6">
        <row r="3">
          <cell r="F3">
            <v>406</v>
          </cell>
        </row>
      </sheetData>
      <sheetData sheetId="7"/>
      <sheetData sheetId="8">
        <row r="3">
          <cell r="D3">
            <v>208.10000000000002</v>
          </cell>
        </row>
      </sheetData>
      <sheetData sheetId="9">
        <row r="7">
          <cell r="I7">
            <v>278.8</v>
          </cell>
        </row>
      </sheetData>
      <sheetData sheetId="10">
        <row r="3">
          <cell r="G3">
            <v>304.60000000000002</v>
          </cell>
        </row>
      </sheetData>
      <sheetData sheetId="11">
        <row r="3">
          <cell r="D3">
            <v>212.5</v>
          </cell>
        </row>
      </sheetData>
      <sheetData sheetId="12">
        <row r="3">
          <cell r="I3">
            <v>305.05</v>
          </cell>
        </row>
        <row r="13">
          <cell r="U13">
            <v>150.4</v>
          </cell>
        </row>
        <row r="17">
          <cell r="U17">
            <v>120.8</v>
          </cell>
        </row>
        <row r="21">
          <cell r="U21">
            <v>19.680851063829799</v>
          </cell>
        </row>
      </sheetData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23"/>
      <sheetName val="August_2018 (2)"/>
      <sheetName val="September_2023"/>
      <sheetName val="October_2023"/>
      <sheetName val="November_2023"/>
      <sheetName val="December_2023"/>
      <sheetName val="October_2022"/>
      <sheetName val="November_2022"/>
      <sheetName val="December_2022"/>
      <sheetName val="September_2022"/>
      <sheetName val="August_20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3">
          <cell r="AN13">
            <v>0.67939571150097466</v>
          </cell>
        </row>
        <row r="25">
          <cell r="U25">
            <v>0.42385964912280699</v>
          </cell>
        </row>
      </sheetData>
      <sheetData sheetId="13"/>
      <sheetData sheetId="14"/>
      <sheetData sheetId="15"/>
      <sheetData sheetId="16" refreshError="1"/>
      <sheetData sheetId="17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anuary'18"/>
      <sheetName val="Summary December'17"/>
      <sheetName val="Summary November'17"/>
      <sheetName val="Summary October'17"/>
      <sheetName val="Summary September'17"/>
      <sheetName val="Summary August'17"/>
      <sheetName val="Summary July'17 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%EFF."/>
      <sheetName val="Sheet1"/>
    </sheetNames>
    <sheetDataSet>
      <sheetData sheetId="0"/>
      <sheetData sheetId="1"/>
      <sheetData sheetId="2"/>
      <sheetData sheetId="3"/>
      <sheetData sheetId="4">
        <row r="7681">
          <cell r="A7681" t="str">
            <v>CA044</v>
          </cell>
        </row>
      </sheetData>
      <sheetData sheetId="5">
        <row r="5311">
          <cell r="AS5311">
            <v>85.152851511661666</v>
          </cell>
        </row>
        <row r="5347">
          <cell r="AS5347">
            <v>96.242731384136675</v>
          </cell>
        </row>
        <row r="5348">
          <cell r="AS5348">
            <v>96.696346841973863</v>
          </cell>
        </row>
        <row r="5349">
          <cell r="AS5349">
            <v>95.126289890925335</v>
          </cell>
        </row>
        <row r="5350">
          <cell r="AS5350">
            <v>99.660489230254768</v>
          </cell>
        </row>
        <row r="5351">
          <cell r="AS5351">
            <v>98.281898080887714</v>
          </cell>
        </row>
        <row r="5352">
          <cell r="AS5352">
            <v>96.026108173442964</v>
          </cell>
        </row>
        <row r="5353">
          <cell r="AS5353">
            <v>96.743154793507031</v>
          </cell>
        </row>
        <row r="5354">
          <cell r="AS5354">
            <v>97.324543944910317</v>
          </cell>
        </row>
        <row r="5355">
          <cell r="AS5355">
            <v>94.904027111234612</v>
          </cell>
        </row>
        <row r="5356">
          <cell r="AS5356">
            <v>95.53313194763814</v>
          </cell>
        </row>
        <row r="5357">
          <cell r="AS5357">
            <v>95.421463455983542</v>
          </cell>
        </row>
        <row r="5358">
          <cell r="AS5358">
            <v>97.128454670344638</v>
          </cell>
        </row>
        <row r="5359">
          <cell r="A5359" t="str">
            <v>CA236</v>
          </cell>
          <cell r="B5359">
            <v>41437</v>
          </cell>
          <cell r="I5359">
            <v>19.79</v>
          </cell>
          <cell r="N5359">
            <v>60</v>
          </cell>
          <cell r="R5359">
            <v>0.51041666666666663</v>
          </cell>
          <cell r="S5359">
            <v>0.61736111111111114</v>
          </cell>
          <cell r="T5359">
            <v>60</v>
          </cell>
          <cell r="AG5359">
            <v>49.011000000000003</v>
          </cell>
          <cell r="AS5359">
            <v>94.981545664755075</v>
          </cell>
          <cell r="AT5359">
            <v>97.074072469002047</v>
          </cell>
        </row>
        <row r="5360">
          <cell r="A5360" t="str">
            <v>CA237</v>
          </cell>
          <cell r="B5360">
            <v>41437</v>
          </cell>
          <cell r="I5360">
            <v>17.7</v>
          </cell>
          <cell r="N5360">
            <v>60</v>
          </cell>
          <cell r="R5360">
            <v>0.58680555555555558</v>
          </cell>
          <cell r="S5360">
            <v>0.69652777777777775</v>
          </cell>
          <cell r="T5360">
            <v>68</v>
          </cell>
          <cell r="AG5360">
            <v>48.531999999999996</v>
          </cell>
          <cell r="AS5360">
            <v>94.053260986347809</v>
          </cell>
          <cell r="AT5360">
            <v>96.1253368644918</v>
          </cell>
        </row>
        <row r="5361">
          <cell r="A5361" t="str">
            <v>CA238</v>
          </cell>
          <cell r="B5361">
            <v>41437</v>
          </cell>
          <cell r="I5361">
            <v>19.7</v>
          </cell>
          <cell r="N5361">
            <v>60</v>
          </cell>
          <cell r="R5361">
            <v>0.65972222222222221</v>
          </cell>
          <cell r="S5361">
            <v>0.76180555555555562</v>
          </cell>
          <cell r="T5361">
            <v>61</v>
          </cell>
          <cell r="AG5361">
            <v>50.466999999999999</v>
          </cell>
          <cell r="AS5361">
            <v>96.931393272913695</v>
          </cell>
          <cell r="AT5361">
            <v>99.066876931102286</v>
          </cell>
        </row>
        <row r="5362">
          <cell r="A5362" t="str">
            <v>CA239</v>
          </cell>
          <cell r="B5362">
            <v>41437</v>
          </cell>
          <cell r="I5362">
            <v>19</v>
          </cell>
          <cell r="N5362">
            <v>60</v>
          </cell>
          <cell r="R5362">
            <v>0.73263888888888884</v>
          </cell>
          <cell r="S5362">
            <v>0.83680555555555547</v>
          </cell>
          <cell r="T5362">
            <v>62</v>
          </cell>
          <cell r="AG5362">
            <v>49.374000000000002</v>
          </cell>
          <cell r="AS5362">
            <v>95.68502653795305</v>
          </cell>
          <cell r="AT5362">
            <v>97.793051643192499</v>
          </cell>
        </row>
      </sheetData>
      <sheetData sheetId="6">
        <row r="7086">
          <cell r="AD7086">
            <v>49.378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May '18 "/>
      <sheetName val="Summary April '18"/>
      <sheetName val="Summary March '18"/>
      <sheetName val="Summary February '18"/>
      <sheetName val="Summary January '18"/>
      <sheetName val="Summary December '17"/>
      <sheetName val="Summary November '17"/>
      <sheetName val="Summary October '17"/>
      <sheetName val="Summary September '17"/>
      <sheetName val="Summary August '17"/>
      <sheetName val="Summary July '17 "/>
      <sheetName val="Summary June '17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Summary May '14"/>
      <sheetName val="Summary Apr '14"/>
      <sheetName val="ProcessMaterials"/>
      <sheetName val="PackMaterials"/>
      <sheetName val="%EFF."/>
    </sheetNames>
    <sheetDataSet>
      <sheetData sheetId="0"/>
      <sheetData sheetId="1"/>
      <sheetData sheetId="2"/>
      <sheetData sheetId="3">
        <row r="2408">
          <cell r="A2408" t="str">
            <v>ST051</v>
          </cell>
        </row>
      </sheetData>
      <sheetData sheetId="4">
        <row r="620">
          <cell r="AQ620">
            <v>94.769044771084623</v>
          </cell>
        </row>
        <row r="641">
          <cell r="AQ641">
            <v>93.076170468981061</v>
          </cell>
        </row>
        <row r="642">
          <cell r="AQ642">
            <v>95.149436694787028</v>
          </cell>
        </row>
        <row r="643">
          <cell r="AQ643">
            <v>95.833974927594824</v>
          </cell>
        </row>
        <row r="644">
          <cell r="AQ644">
            <v>93.377483332023004</v>
          </cell>
        </row>
      </sheetData>
      <sheetData sheetId="5">
        <row r="1851">
          <cell r="Z1851">
            <v>49.381999999999998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VitaMalt - Operator Performance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December '19"/>
      <sheetName val="Summary November '19 "/>
      <sheetName val="Summary October '19  "/>
      <sheetName val="Summary September '19  "/>
      <sheetName val="Summary August '19 "/>
      <sheetName val="Summary July '19 "/>
      <sheetName val="Summary June '19  "/>
      <sheetName val="Summary May '19 "/>
      <sheetName val="Summary April '19 "/>
      <sheetName val="Summary March '19"/>
      <sheetName val="Summary February '19"/>
      <sheetName val="Summary January '19"/>
      <sheetName val="Summary December'18 "/>
      <sheetName val="Summary November'18 "/>
      <sheetName val="Summary October'18"/>
      <sheetName val="Summary September'18 "/>
      <sheetName val="Summary August'18   "/>
      <sheetName val="Summary July'18  "/>
      <sheetName val="Summary June'18 "/>
      <sheetName val="Summary May'18"/>
      <sheetName val="Summary April'18"/>
      <sheetName val="Summary March'18"/>
      <sheetName val="Summary February'18"/>
      <sheetName val="Summary December '17"/>
      <sheetName val="Summary November '17"/>
      <sheetName val="Summary October '17 "/>
      <sheetName val="Summary September '17"/>
      <sheetName val="Summary August '17"/>
      <sheetName val="Summary July '17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 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PackMaterials"/>
      <sheetName val="ProcessMaterials"/>
      <sheetName val="Sheet1"/>
      <sheetName val="Summary May '14"/>
      <sheetName val="Summary July '14)"/>
      <sheetName val="Summary Feb '14"/>
      <sheetName val="Summary Mar '14"/>
      <sheetName val="Summary Apr '14"/>
      <sheetName val="Summary Jan '14"/>
      <sheetName val="Summary Dec '13"/>
      <sheetName val="Summary Nov '1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>
        <row r="154">
          <cell r="AH154">
            <v>15.308000000000002</v>
          </cell>
        </row>
        <row r="708">
          <cell r="AU708">
            <v>93.632484874867401</v>
          </cell>
        </row>
        <row r="709">
          <cell r="AU709">
            <v>94.048293616380349</v>
          </cell>
        </row>
        <row r="710">
          <cell r="AU710">
            <v>96.982003109046275</v>
          </cell>
        </row>
        <row r="711">
          <cell r="AU711">
            <v>95.536254931189035</v>
          </cell>
        </row>
      </sheetData>
      <sheetData sheetId="8">
        <row r="917">
          <cell r="D917">
            <v>14.3</v>
          </cell>
        </row>
      </sheetData>
      <sheetData sheetId="9">
        <row r="769">
          <cell r="I769">
            <v>183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ckMaterials"/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uly '17"/>
      <sheetName val="Summary May '17"/>
      <sheetName val="Summary January '17"/>
      <sheetName val="Summary December '16"/>
      <sheetName val="Summary November '16"/>
      <sheetName val="Summary October '16"/>
      <sheetName val="Summary August '16"/>
      <sheetName val="Summary May '16"/>
      <sheetName val="Summary March '16"/>
      <sheetName val="Summary February '16"/>
      <sheetName val="Summary Jaunary '16"/>
      <sheetName val="Summary November '15"/>
      <sheetName val="Summary August'15"/>
      <sheetName val="Summary June'15"/>
      <sheetName val="Summary May'15"/>
      <sheetName val="Summary April'15"/>
      <sheetName val="Summary March'15"/>
      <sheetName val="Summary February'15"/>
      <sheetName val="Summary Janaury'15"/>
      <sheetName val="Summary December'14"/>
      <sheetName val="Summary November'14"/>
      <sheetName val="Summary September'14"/>
      <sheetName val="Summary August'14"/>
      <sheetName val="Summary July'14"/>
      <sheetName val="Sheet1"/>
      <sheetName val="Summary Feb'14"/>
      <sheetName val="Summary Mar'14"/>
      <sheetName val="Summary Apr'14"/>
      <sheetName val="Summary Sept '12"/>
      <sheetName val="Summary Oct '12"/>
      <sheetName val="Summary Nov '12"/>
      <sheetName val="Summary Dec '12"/>
      <sheetName val="Summary May'14"/>
      <sheetName val="Summary Jan'14"/>
      <sheetName val="NewMMaltLog"/>
      <sheetName val="Summary Dec'13"/>
      <sheetName val="Summary Oct'13"/>
      <sheetName val="Summary Aug '13"/>
      <sheetName val="Summary Sept'13"/>
    </sheetNames>
    <sheetDataSet>
      <sheetData sheetId="0"/>
      <sheetData sheetId="1"/>
      <sheetData sheetId="2"/>
      <sheetData sheetId="3"/>
      <sheetData sheetId="4"/>
      <sheetData sheetId="5"/>
      <sheetData sheetId="6">
        <row r="938">
          <cell r="AY938">
            <v>97.175540388161437</v>
          </cell>
        </row>
        <row r="943">
          <cell r="AY943">
            <v>96.228364837670995</v>
          </cell>
        </row>
        <row r="944">
          <cell r="AY944">
            <v>96.553980410505062</v>
          </cell>
        </row>
        <row r="945">
          <cell r="AY945">
            <v>93.079827038319294</v>
          </cell>
        </row>
        <row r="946">
          <cell r="AY946">
            <v>95.367156437373168</v>
          </cell>
        </row>
      </sheetData>
      <sheetData sheetId="7">
        <row r="1029">
          <cell r="D1029">
            <v>17.3</v>
          </cell>
        </row>
      </sheetData>
      <sheetData sheetId="8">
        <row r="1001">
          <cell r="I1001">
            <v>100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. 3rd "/>
      <sheetName val="Jan. 4th"/>
      <sheetName val="Jan. 5th"/>
      <sheetName val="Jan. 6th"/>
      <sheetName val="Jan. 7th"/>
      <sheetName val="Jan. 8th "/>
      <sheetName val="Jan. 9th"/>
      <sheetName val="Jan. 10th"/>
      <sheetName val="Jan. 11th"/>
      <sheetName val="Jan. 12nd"/>
      <sheetName val="Jan. 13th"/>
      <sheetName val="Jan. 14th"/>
      <sheetName val="Jan. 17th"/>
      <sheetName val="Jan. 18th"/>
      <sheetName val="Jan. 19th "/>
      <sheetName val="Jan. 20th "/>
      <sheetName val="Jan. 21st "/>
      <sheetName val="Jan. 22nd "/>
      <sheetName val="Jan. 23rd"/>
      <sheetName val="Jan. 24th"/>
      <sheetName val="Jan. 25th "/>
      <sheetName val="Jan. 26th "/>
      <sheetName val="Jan. 27th"/>
      <sheetName val="Jan. 28th"/>
      <sheetName val="Jan. 29th"/>
      <sheetName val="Jan.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6">
          <cell r="M26"/>
        </row>
      </sheetData>
      <sheetData sheetId="26"/>
      <sheetData sheetId="27"/>
      <sheetData sheetId="28"/>
      <sheetData sheetId="29">
        <row r="40">
          <cell r="D40">
            <v>96.507822129582451</v>
          </cell>
        </row>
        <row r="41">
          <cell r="D41">
            <v>97.99738587335284</v>
          </cell>
        </row>
        <row r="43">
          <cell r="D43">
            <v>98.304611060419475</v>
          </cell>
        </row>
        <row r="44">
          <cell r="D44">
            <v>98.673584433402866</v>
          </cell>
        </row>
        <row r="45">
          <cell r="D45">
            <v>97.870850874189415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eb. 1"/>
      <sheetName val="Feb. 2"/>
      <sheetName val="Feb.3"/>
      <sheetName val="Feb.4"/>
      <sheetName val="Feb.5"/>
      <sheetName val="Feb.6"/>
      <sheetName val="Feb.8"/>
      <sheetName val="Feb.9"/>
      <sheetName val="Feb10"/>
      <sheetName val="Feb11"/>
      <sheetName val="Feb14"/>
      <sheetName val="Feb16"/>
      <sheetName val="Feb17"/>
      <sheetName val="Feb18"/>
      <sheetName val="Feb19"/>
      <sheetName val="Feb 20"/>
      <sheetName val="Feb 21"/>
      <sheetName val="Feb 22"/>
      <sheetName val="Feb 23"/>
      <sheetName val="Feb 24"/>
      <sheetName val="Feb 25"/>
      <sheetName val="Feb 28"/>
      <sheetName val="MTD_Links"/>
      <sheetName val="YTD_Links"/>
      <sheetName val="KPIs"/>
      <sheetName val="Brewer Performance"/>
    </sheetNames>
    <sheetDataSet>
      <sheetData sheetId="0">
        <row r="10">
          <cell r="I10">
            <v>98.123184148666738</v>
          </cell>
        </row>
        <row r="11">
          <cell r="I11">
            <v>98.683467559299089</v>
          </cell>
        </row>
        <row r="12">
          <cell r="I12">
            <v>98.314511323292791</v>
          </cell>
        </row>
        <row r="13">
          <cell r="I13">
            <v>97.922547536667238</v>
          </cell>
        </row>
      </sheetData>
      <sheetData sheetId="1">
        <row r="10">
          <cell r="I10">
            <v>96.654039768784585</v>
          </cell>
        </row>
        <row r="11">
          <cell r="I11">
            <v>97.626897597506286</v>
          </cell>
        </row>
        <row r="12">
          <cell r="I12">
            <v>96.897954070494137</v>
          </cell>
        </row>
        <row r="13">
          <cell r="I13">
            <v>97.197790342769324</v>
          </cell>
        </row>
        <row r="14">
          <cell r="I14">
            <v>126.64369016344237</v>
          </cell>
        </row>
        <row r="15">
          <cell r="I15">
            <v>96.838505772060998</v>
          </cell>
        </row>
      </sheetData>
      <sheetData sheetId="2">
        <row r="10">
          <cell r="I10">
            <v>93.401228986840337</v>
          </cell>
        </row>
        <row r="11">
          <cell r="I11">
            <v>98.002281531234885</v>
          </cell>
        </row>
        <row r="12">
          <cell r="I12">
            <v>98.835486091836955</v>
          </cell>
        </row>
        <row r="13">
          <cell r="I13">
            <v>98.759890407896819</v>
          </cell>
        </row>
      </sheetData>
      <sheetData sheetId="3">
        <row r="10">
          <cell r="I10">
            <v>99.702074763387657</v>
          </cell>
        </row>
        <row r="11">
          <cell r="I11">
            <v>100.90814824842866</v>
          </cell>
        </row>
        <row r="12">
          <cell r="I12">
            <v>99.144516581875834</v>
          </cell>
        </row>
        <row r="13">
          <cell r="I13">
            <v>98.812178600360937</v>
          </cell>
        </row>
        <row r="16">
          <cell r="I16">
            <v>93.753343561859964</v>
          </cell>
        </row>
        <row r="17">
          <cell r="I17">
            <v>97.360391272612617</v>
          </cell>
        </row>
      </sheetData>
      <sheetData sheetId="4"/>
      <sheetData sheetId="5"/>
      <sheetData sheetId="6">
        <row r="10">
          <cell r="I10">
            <v>94.68833319503716</v>
          </cell>
        </row>
        <row r="13">
          <cell r="I13">
            <v>98.850612416982429</v>
          </cell>
        </row>
        <row r="14">
          <cell r="I14">
            <v>98.168169114883824</v>
          </cell>
        </row>
        <row r="15">
          <cell r="I15">
            <v>98.688171350132521</v>
          </cell>
        </row>
        <row r="16">
          <cell r="I16">
            <v>100.71464055677211</v>
          </cell>
        </row>
        <row r="19">
          <cell r="I19">
            <v>96.029058348682</v>
          </cell>
        </row>
        <row r="20">
          <cell r="I20">
            <v>98.795135429785148</v>
          </cell>
        </row>
        <row r="21">
          <cell r="I21">
            <v>98.899033336355927</v>
          </cell>
        </row>
      </sheetData>
      <sheetData sheetId="7">
        <row r="10">
          <cell r="I10">
            <v>99.276637163611909</v>
          </cell>
        </row>
        <row r="11">
          <cell r="I11">
            <v>97.944376518529467</v>
          </cell>
        </row>
        <row r="12">
          <cell r="I12">
            <v>99.66217750211139</v>
          </cell>
        </row>
        <row r="13">
          <cell r="I13">
            <v>97.944376518529467</v>
          </cell>
        </row>
        <row r="14">
          <cell r="I14">
            <v>98.891096825112442</v>
          </cell>
        </row>
        <row r="17">
          <cell r="I17">
            <v>96.699606498403327</v>
          </cell>
        </row>
        <row r="18">
          <cell r="I18">
            <v>98.974669332616003</v>
          </cell>
        </row>
        <row r="19">
          <cell r="I19">
            <v>98.813320450261855</v>
          </cell>
        </row>
        <row r="20">
          <cell r="I20">
            <v>98.773909354253703</v>
          </cell>
        </row>
      </sheetData>
      <sheetData sheetId="8">
        <row r="10">
          <cell r="I10">
            <v>96.114465070299261</v>
          </cell>
        </row>
        <row r="11">
          <cell r="I11">
            <v>98.703671213689944</v>
          </cell>
        </row>
        <row r="12">
          <cell r="I12">
            <v>100.02066383926034</v>
          </cell>
        </row>
        <row r="13">
          <cell r="I13">
            <v>98.477044369894685</v>
          </cell>
        </row>
        <row r="14">
          <cell r="I14">
            <v>98.898737757590524</v>
          </cell>
        </row>
        <row r="15">
          <cell r="I15">
            <v>98.824177713880189</v>
          </cell>
        </row>
        <row r="16">
          <cell r="I16">
            <v>98.590372337038914</v>
          </cell>
        </row>
        <row r="17">
          <cell r="I17">
            <v>98.637973628130041</v>
          </cell>
        </row>
        <row r="18">
          <cell r="I18">
            <v>98.892528564617351</v>
          </cell>
        </row>
      </sheetData>
      <sheetData sheetId="9">
        <row r="10">
          <cell r="I10">
            <v>95.033114450535422</v>
          </cell>
        </row>
        <row r="11">
          <cell r="I11">
            <v>95.97632563766723</v>
          </cell>
        </row>
        <row r="12">
          <cell r="I12">
            <v>95.15577872519269</v>
          </cell>
        </row>
        <row r="13">
          <cell r="I13">
            <v>94.716849623972706</v>
          </cell>
        </row>
      </sheetData>
      <sheetData sheetId="10">
        <row r="10">
          <cell r="I10">
            <v>93.262012146617025</v>
          </cell>
        </row>
        <row r="11">
          <cell r="I11">
            <v>96.51966443717626</v>
          </cell>
        </row>
        <row r="12">
          <cell r="I12">
            <v>96.420162775074274</v>
          </cell>
        </row>
        <row r="13">
          <cell r="I13">
            <v>94.850777050345258</v>
          </cell>
        </row>
        <row r="14">
          <cell r="I14">
            <v>93.11184471354899</v>
          </cell>
        </row>
        <row r="15">
          <cell r="I15">
            <v>95.233332316878489</v>
          </cell>
        </row>
        <row r="16">
          <cell r="I16">
            <v>96.557005255666269</v>
          </cell>
        </row>
        <row r="17">
          <cell r="I17">
            <v>90.296683351916798</v>
          </cell>
        </row>
      </sheetData>
      <sheetData sheetId="11"/>
      <sheetData sheetId="12">
        <row r="10">
          <cell r="I10">
            <v>96.248353016017901</v>
          </cell>
        </row>
        <row r="11">
          <cell r="I11">
            <v>97.064511461322596</v>
          </cell>
        </row>
        <row r="12">
          <cell r="I12">
            <v>97.960588310011829</v>
          </cell>
        </row>
        <row r="13">
          <cell r="I13">
            <v>101.64563062243221</v>
          </cell>
        </row>
        <row r="16">
          <cell r="I16">
            <v>97.148656534767667</v>
          </cell>
        </row>
        <row r="17">
          <cell r="I17">
            <v>101.13282706862702</v>
          </cell>
        </row>
        <row r="18">
          <cell r="I18">
            <v>98.859340325604236</v>
          </cell>
        </row>
        <row r="19">
          <cell r="I19">
            <v>97.671892686767549</v>
          </cell>
        </row>
        <row r="20">
          <cell r="I20">
            <v>97.795650965100123</v>
          </cell>
        </row>
        <row r="21">
          <cell r="I21">
            <v>97.549177275509706</v>
          </cell>
        </row>
      </sheetData>
      <sheetData sheetId="13">
        <row r="10">
          <cell r="I10">
            <v>90.812413514896079</v>
          </cell>
        </row>
        <row r="11">
          <cell r="I11">
            <v>94.886065993628819</v>
          </cell>
        </row>
        <row r="12">
          <cell r="I12">
            <v>94.665038526850267</v>
          </cell>
        </row>
        <row r="13">
          <cell r="I13">
            <v>95.386395261799493</v>
          </cell>
        </row>
        <row r="14">
          <cell r="I14">
            <v>95.746555809018503</v>
          </cell>
        </row>
        <row r="15">
          <cell r="I15">
            <v>96.458811263569714</v>
          </cell>
        </row>
      </sheetData>
      <sheetData sheetId="14"/>
      <sheetData sheetId="15"/>
      <sheetData sheetId="16">
        <row r="10">
          <cell r="I10">
            <v>92.244154059965609</v>
          </cell>
        </row>
        <row r="11">
          <cell r="I11">
            <v>94.954580288699233</v>
          </cell>
        </row>
        <row r="12">
          <cell r="I12">
            <v>94.753648792324014</v>
          </cell>
        </row>
        <row r="13">
          <cell r="I13">
            <v>95.469672057516448</v>
          </cell>
        </row>
        <row r="16">
          <cell r="I16">
            <v>95.037629150459026</v>
          </cell>
        </row>
        <row r="17">
          <cell r="I17">
            <v>98.344635577363221</v>
          </cell>
        </row>
        <row r="18">
          <cell r="I18">
            <v>96.201930897199915</v>
          </cell>
        </row>
        <row r="19">
          <cell r="I19">
            <v>97.455737205534618</v>
          </cell>
        </row>
      </sheetData>
      <sheetData sheetId="17">
        <row r="10">
          <cell r="I10">
            <v>95.737170130083328</v>
          </cell>
        </row>
        <row r="11">
          <cell r="I11">
            <v>97.204145011682172</v>
          </cell>
        </row>
        <row r="12">
          <cell r="I12">
            <v>97.795650965100123</v>
          </cell>
        </row>
        <row r="13">
          <cell r="I13">
            <v>92.179060669436268</v>
          </cell>
        </row>
        <row r="16">
          <cell r="I16">
            <v>100.56180946337685</v>
          </cell>
        </row>
        <row r="17">
          <cell r="I17">
            <v>98.418170009595116</v>
          </cell>
        </row>
        <row r="18">
          <cell r="I18">
            <v>101.75209232957572</v>
          </cell>
        </row>
        <row r="19">
          <cell r="I19">
            <v>101.90982815614709</v>
          </cell>
        </row>
        <row r="20">
          <cell r="I20">
            <v>98.645399167542877</v>
          </cell>
        </row>
        <row r="21">
          <cell r="I21">
            <v>98.019248385454901</v>
          </cell>
        </row>
        <row r="22">
          <cell r="I22">
            <v>97.631897441591931</v>
          </cell>
        </row>
      </sheetData>
      <sheetData sheetId="18">
        <row r="10">
          <cell r="I10">
            <v>96.330365427788195</v>
          </cell>
        </row>
        <row r="11">
          <cell r="I11">
            <v>96.377132884428931</v>
          </cell>
        </row>
        <row r="14">
          <cell r="I14">
            <v>93.488258370937686</v>
          </cell>
        </row>
        <row r="15">
          <cell r="I15">
            <v>100.81408999243216</v>
          </cell>
        </row>
        <row r="16">
          <cell r="I16">
            <v>98.251697811855152</v>
          </cell>
        </row>
        <row r="17">
          <cell r="I17">
            <v>98.260907082704051</v>
          </cell>
        </row>
        <row r="18">
          <cell r="I18">
            <v>97.874813145247458</v>
          </cell>
        </row>
        <row r="19">
          <cell r="I19">
            <v>96.443322942180714</v>
          </cell>
        </row>
        <row r="20">
          <cell r="I20">
            <v>95.376782036144007</v>
          </cell>
        </row>
        <row r="21">
          <cell r="I21">
            <v>97.722861589047369</v>
          </cell>
        </row>
      </sheetData>
      <sheetData sheetId="19">
        <row r="10">
          <cell r="I10">
            <v>97.344774780858927</v>
          </cell>
        </row>
        <row r="11">
          <cell r="I11">
            <v>99.938000539259747</v>
          </cell>
        </row>
        <row r="12">
          <cell r="I12">
            <v>99.148955916989195</v>
          </cell>
        </row>
        <row r="15">
          <cell r="I15">
            <v>92.353930064406839</v>
          </cell>
        </row>
        <row r="16">
          <cell r="I16">
            <v>97.682055444668023</v>
          </cell>
        </row>
        <row r="17">
          <cell r="I17">
            <v>97.162594227257927</v>
          </cell>
        </row>
        <row r="18">
          <cell r="I18">
            <v>97.082444613255419</v>
          </cell>
        </row>
      </sheetData>
      <sheetData sheetId="20">
        <row r="10">
          <cell r="I10">
            <v>97.743444227837671</v>
          </cell>
        </row>
        <row r="11">
          <cell r="I11">
            <v>100.62303370508012</v>
          </cell>
        </row>
        <row r="12">
          <cell r="I12">
            <v>100.32085756447438</v>
          </cell>
        </row>
        <row r="13">
          <cell r="I13">
            <v>102.21334912318227</v>
          </cell>
        </row>
        <row r="14">
          <cell r="I14">
            <v>102.22340004631398</v>
          </cell>
        </row>
        <row r="15">
          <cell r="I15">
            <v>100.71268145494867</v>
          </cell>
        </row>
        <row r="16">
          <cell r="I16">
            <v>101.60819946880315</v>
          </cell>
        </row>
        <row r="17">
          <cell r="I17">
            <v>99.513054708255964</v>
          </cell>
        </row>
      </sheetData>
      <sheetData sheetId="21">
        <row r="10">
          <cell r="I10">
            <v>95.66367132027942</v>
          </cell>
        </row>
        <row r="11">
          <cell r="I11">
            <v>102.17092463684476</v>
          </cell>
        </row>
        <row r="12">
          <cell r="I12">
            <v>99.720751788720221</v>
          </cell>
        </row>
        <row r="13">
          <cell r="I13">
            <v>99.964453799637965</v>
          </cell>
        </row>
        <row r="14">
          <cell r="I14">
            <v>100.66118230226407</v>
          </cell>
        </row>
        <row r="15">
          <cell r="I15">
            <v>99.195496462717671</v>
          </cell>
        </row>
        <row r="16">
          <cell r="I16">
            <v>100.31967295635533</v>
          </cell>
        </row>
        <row r="17">
          <cell r="I17">
            <v>99.988679850652673</v>
          </cell>
        </row>
        <row r="18">
          <cell r="I18">
            <v>99.769922769334443</v>
          </cell>
        </row>
        <row r="19">
          <cell r="I19">
            <v>100.72177330021805</v>
          </cell>
        </row>
        <row r="20">
          <cell r="I20">
            <v>100.21013716886533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3rd"/>
      <sheetName val="May 4th"/>
      <sheetName val="May 5th "/>
      <sheetName val="May 6th"/>
      <sheetName val="May 9th"/>
      <sheetName val="May 10th"/>
      <sheetName val="May 11th"/>
      <sheetName val="May 12th"/>
      <sheetName val="May 13th "/>
      <sheetName val="May 16th"/>
      <sheetName val="May 17th "/>
      <sheetName val="May 18th "/>
      <sheetName val="May 19th  "/>
      <sheetName val="May 20th  "/>
      <sheetName val="May 21st"/>
      <sheetName val="May 23rd"/>
      <sheetName val="May 24th"/>
      <sheetName val="May 25th "/>
      <sheetName val="May 26th  "/>
      <sheetName val="May 27th "/>
      <sheetName val="May 30th "/>
      <sheetName val="Ma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0">
          <cell r="L40">
            <v>98.589991376020791</v>
          </cell>
        </row>
      </sheetData>
      <sheetData sheetId="22"/>
      <sheetData sheetId="23"/>
      <sheetData sheetId="24"/>
      <sheetData sheetId="25">
        <row r="40">
          <cell r="H40">
            <v>98.517352497406634</v>
          </cell>
        </row>
        <row r="41">
          <cell r="H41">
            <v>98.442574874312371</v>
          </cell>
        </row>
        <row r="43">
          <cell r="H43">
            <v>98.685415156420575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8A64-1E4B-4795-93AF-1113C3B47C6F}">
  <sheetPr codeName="Sheet1">
    <pageSetUpPr fitToPage="1"/>
  </sheetPr>
  <dimension ref="A1:BF110"/>
  <sheetViews>
    <sheetView zoomScale="80" zoomScaleNormal="80" workbookViewId="0">
      <selection activeCell="G90" sqref="G90"/>
    </sheetView>
  </sheetViews>
  <sheetFormatPr defaultColWidth="9.42578125" defaultRowHeight="14.25"/>
  <cols>
    <col min="1" max="1" width="3.42578125" style="275" customWidth="1"/>
    <col min="2" max="2" width="20.7109375" style="275" customWidth="1"/>
    <col min="3" max="3" width="13.42578125" style="275" customWidth="1"/>
    <col min="4" max="4" width="11.5703125" style="275" customWidth="1"/>
    <col min="5" max="5" width="12.42578125" style="275" customWidth="1"/>
    <col min="6" max="6" width="11.42578125" style="275" customWidth="1"/>
    <col min="7" max="7" width="13.42578125" style="275" customWidth="1"/>
    <col min="8" max="8" width="12.42578125" style="275" customWidth="1"/>
    <col min="9" max="9" width="17.5703125" style="275" customWidth="1"/>
    <col min="10" max="10" width="25.28515625" style="275" customWidth="1"/>
    <col min="11" max="11" width="18.5703125" style="275" customWidth="1"/>
    <col min="12" max="12" width="15.7109375" style="275" customWidth="1"/>
    <col min="13" max="13" width="27.5703125" style="275" customWidth="1"/>
    <col min="14" max="14" width="13.28515625" style="275" customWidth="1"/>
    <col min="15" max="15" width="19.42578125" style="275" customWidth="1"/>
    <col min="16" max="16" width="36.5703125" style="6" customWidth="1"/>
    <col min="17" max="17" width="14" style="275" hidden="1" customWidth="1"/>
    <col min="18" max="18" width="16.5703125" style="275" customWidth="1"/>
    <col min="19" max="19" width="15.7109375" style="275" bestFit="1" customWidth="1"/>
    <col min="20" max="20" width="12.42578125" style="275" customWidth="1"/>
    <col min="21" max="21" width="15" style="275" customWidth="1"/>
    <col min="22" max="22" width="12" style="275" customWidth="1"/>
    <col min="23" max="23" width="10.42578125" style="275" customWidth="1"/>
    <col min="24" max="24" width="11.42578125" style="275" customWidth="1"/>
    <col min="25" max="25" width="10.42578125" style="275" customWidth="1"/>
    <col min="26" max="26" width="8.42578125" style="275" customWidth="1"/>
    <col min="27" max="27" width="9.5703125" style="275" customWidth="1"/>
    <col min="28" max="28" width="8.42578125" style="275" customWidth="1"/>
    <col min="29" max="30" width="7.5703125" style="275" customWidth="1"/>
    <col min="31" max="52" width="9.42578125" style="275"/>
    <col min="53" max="53" width="1.5703125" style="275" customWidth="1"/>
    <col min="54" max="55" width="9.42578125" style="275"/>
    <col min="56" max="57" width="15.42578125" style="275" customWidth="1"/>
    <col min="58" max="16384" width="9.42578125" style="275"/>
  </cols>
  <sheetData>
    <row r="1" spans="2:30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57" t="s">
        <v>0</v>
      </c>
      <c r="U1" s="557"/>
      <c r="V1" s="557" t="s">
        <v>1</v>
      </c>
      <c r="W1" s="557"/>
      <c r="X1" s="557" t="s">
        <v>2</v>
      </c>
      <c r="Y1" s="557"/>
      <c r="Z1" s="557" t="s">
        <v>124</v>
      </c>
      <c r="AA1" s="557"/>
    </row>
    <row r="2" spans="2:30" ht="15">
      <c r="B2" s="495" t="s">
        <v>3</v>
      </c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0.17361111111111113</v>
      </c>
      <c r="Y3" s="10">
        <v>0.21180555555555555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98">
        <v>45278</v>
      </c>
      <c r="D4" s="498"/>
      <c r="J4" s="555" t="s">
        <v>153</v>
      </c>
      <c r="K4" s="555"/>
      <c r="L4" s="11"/>
      <c r="M4" s="492" t="s">
        <v>8</v>
      </c>
      <c r="N4" s="493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0.17361111111111113</v>
      </c>
      <c r="Y4" s="10">
        <v>0.21180555555555555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556"/>
      <c r="K5" s="556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0.19444444444444445</v>
      </c>
      <c r="Y5" s="10">
        <v>0.23263888888888887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558" t="s">
        <v>151</v>
      </c>
      <c r="K6" s="559"/>
      <c r="L6" s="311" t="s">
        <v>14</v>
      </c>
      <c r="M6" s="340"/>
      <c r="N6" s="340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0.22222222222222221</v>
      </c>
      <c r="Y6" s="10">
        <v>0.25347222222222221</v>
      </c>
      <c r="Z6" s="273">
        <v>0</v>
      </c>
      <c r="AA6" s="274"/>
      <c r="AB6" s="13"/>
      <c r="AC6" s="13"/>
      <c r="AD6" s="13"/>
    </row>
    <row r="7" spans="2:30" ht="13.35" customHeight="1" thickBot="1">
      <c r="J7" s="560"/>
      <c r="K7" s="561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0.20833333333333334</v>
      </c>
      <c r="Y7" s="10">
        <v>0.24305555555555555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99" t="s">
        <v>17</v>
      </c>
      <c r="C8" s="501" t="s">
        <v>18</v>
      </c>
      <c r="D8" s="501" t="s">
        <v>19</v>
      </c>
      <c r="E8" s="356" t="s">
        <v>20</v>
      </c>
      <c r="F8" s="356" t="s">
        <v>21</v>
      </c>
      <c r="G8" s="501" t="s">
        <v>22</v>
      </c>
      <c r="H8" s="502" t="s">
        <v>144</v>
      </c>
      <c r="I8" s="501" t="s">
        <v>152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26</v>
      </c>
      <c r="O8" s="501"/>
      <c r="P8" s="552" t="s">
        <v>28</v>
      </c>
      <c r="Q8" s="563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0.22222222222222221</v>
      </c>
      <c r="Y8" s="10">
        <v>0.25347222222222221</v>
      </c>
      <c r="Z8" s="273">
        <v>0</v>
      </c>
      <c r="AA8" s="274"/>
      <c r="AB8" s="19"/>
    </row>
    <row r="9" spans="2:30" ht="34.5" customHeight="1">
      <c r="B9" s="500"/>
      <c r="C9" s="497"/>
      <c r="D9" s="497"/>
      <c r="E9" s="357" t="s">
        <v>30</v>
      </c>
      <c r="F9" s="357" t="s">
        <v>31</v>
      </c>
      <c r="G9" s="497"/>
      <c r="H9" s="503"/>
      <c r="I9" s="497"/>
      <c r="J9" s="505"/>
      <c r="K9" s="507"/>
      <c r="L9" s="509"/>
      <c r="M9" s="20" t="s">
        <v>32</v>
      </c>
      <c r="N9" s="21" t="s">
        <v>41</v>
      </c>
      <c r="O9" s="497"/>
      <c r="P9" s="562"/>
      <c r="Q9" s="564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0.19097222222222221</v>
      </c>
      <c r="Y9" s="10">
        <v>0.22569444444444445</v>
      </c>
      <c r="Z9" s="273">
        <v>0</v>
      </c>
      <c r="AA9" s="274">
        <v>75</v>
      </c>
      <c r="AB9" s="19"/>
    </row>
    <row r="10" spans="2:30" ht="15.75" hidden="1" customHeight="1">
      <c r="B10" s="34"/>
      <c r="C10" s="366"/>
      <c r="D10" s="279"/>
      <c r="E10" s="279"/>
      <c r="F10" s="278"/>
      <c r="G10" s="279"/>
      <c r="H10" s="394"/>
      <c r="I10" s="368"/>
      <c r="J10" s="368"/>
      <c r="K10" s="281"/>
      <c r="L10" s="276"/>
      <c r="M10" s="395"/>
      <c r="N10" s="370"/>
      <c r="O10" s="371"/>
      <c r="P10" s="375"/>
      <c r="Q10" s="347"/>
      <c r="S10" s="277">
        <f t="shared" ref="S10:S47" si="0">B10</f>
        <v>0</v>
      </c>
      <c r="T10" s="296" t="e">
        <f t="shared" ref="T10:T47" si="1">VLOOKUP($B10,$S$3:$Y$9,2,FALSE)</f>
        <v>#N/A</v>
      </c>
      <c r="U10" s="296" t="e">
        <f t="shared" ref="U10:U47" si="2">VLOOKUP($B10,$S$3:$Y$9,3,FALSE)</f>
        <v>#N/A</v>
      </c>
      <c r="V10" s="297" t="e">
        <f t="shared" ref="V10:V47" si="3">VLOOKUP($B10,$S$3:$Y$9,4,FALSE)</f>
        <v>#N/A</v>
      </c>
      <c r="W10" s="297" t="e">
        <f t="shared" ref="W10:W47" si="4">VLOOKUP($B10,$S$3:$Y$9,5,FALSE)</f>
        <v>#N/A</v>
      </c>
      <c r="X10" s="297" t="e">
        <f t="shared" ref="X10:X47" si="5">VLOOKUP($B10,$S$3:$Y$9,6,FALSE)</f>
        <v>#N/A</v>
      </c>
      <c r="Y10" s="297" t="e">
        <f t="shared" ref="Y10:Y47" si="6">VLOOKUP($B10,$S$3:$Y$9,7,FALSE)</f>
        <v>#N/A</v>
      </c>
      <c r="Z10" s="297" t="e">
        <f t="shared" ref="Z10:Z47" si="7">VLOOKUP($B10,$S$3:$AA$9,8,FALSE)</f>
        <v>#N/A</v>
      </c>
      <c r="AA10" s="296" t="e">
        <f t="shared" ref="AA10:AA47" si="8">VLOOKUP($B10,$S$3:$AA$9,9,FALSE)</f>
        <v>#N/A</v>
      </c>
    </row>
    <row r="11" spans="2:30" ht="15" hidden="1">
      <c r="B11" s="34"/>
      <c r="C11" s="366"/>
      <c r="D11" s="279"/>
      <c r="E11" s="279"/>
      <c r="F11" s="278"/>
      <c r="G11" s="279"/>
      <c r="H11" s="394"/>
      <c r="I11" s="368"/>
      <c r="J11" s="368"/>
      <c r="K11" s="281"/>
      <c r="L11" s="276"/>
      <c r="M11" s="395"/>
      <c r="N11" s="370"/>
      <c r="O11" s="371"/>
      <c r="P11" s="369"/>
      <c r="Q11" s="347"/>
      <c r="S11" s="277">
        <f t="shared" si="0"/>
        <v>0</v>
      </c>
      <c r="T11" s="296" t="e">
        <f t="shared" si="1"/>
        <v>#N/A</v>
      </c>
      <c r="U11" s="296" t="e">
        <f t="shared" si="2"/>
        <v>#N/A</v>
      </c>
      <c r="V11" s="297" t="e">
        <f t="shared" si="3"/>
        <v>#N/A</v>
      </c>
      <c r="W11" s="297" t="e">
        <f t="shared" si="4"/>
        <v>#N/A</v>
      </c>
      <c r="X11" s="297" t="e">
        <f t="shared" si="5"/>
        <v>#N/A</v>
      </c>
      <c r="Y11" s="297" t="e">
        <f t="shared" si="6"/>
        <v>#N/A</v>
      </c>
      <c r="Z11" s="297" t="e">
        <f t="shared" si="7"/>
        <v>#N/A</v>
      </c>
      <c r="AA11" s="296" t="e">
        <f t="shared" si="8"/>
        <v>#N/A</v>
      </c>
    </row>
    <row r="12" spans="2:30" ht="15" hidden="1">
      <c r="B12" s="34"/>
      <c r="C12" s="366"/>
      <c r="D12" s="279"/>
      <c r="E12" s="279"/>
      <c r="F12" s="278"/>
      <c r="G12" s="279"/>
      <c r="H12" s="394"/>
      <c r="I12" s="368"/>
      <c r="J12" s="368"/>
      <c r="K12" s="281"/>
      <c r="L12" s="276"/>
      <c r="M12" s="395"/>
      <c r="N12" s="370"/>
      <c r="O12" s="371"/>
      <c r="P12" s="369"/>
      <c r="Q12" s="347"/>
      <c r="S12" s="277">
        <f t="shared" si="0"/>
        <v>0</v>
      </c>
      <c r="T12" s="296" t="e">
        <f t="shared" si="1"/>
        <v>#N/A</v>
      </c>
      <c r="U12" s="296" t="e">
        <f t="shared" si="2"/>
        <v>#N/A</v>
      </c>
      <c r="V12" s="297" t="e">
        <f t="shared" si="3"/>
        <v>#N/A</v>
      </c>
      <c r="W12" s="297" t="e">
        <f t="shared" si="4"/>
        <v>#N/A</v>
      </c>
      <c r="X12" s="297" t="e">
        <f t="shared" si="5"/>
        <v>#N/A</v>
      </c>
      <c r="Y12" s="297" t="e">
        <f t="shared" si="6"/>
        <v>#N/A</v>
      </c>
      <c r="Z12" s="297" t="e">
        <f t="shared" si="7"/>
        <v>#N/A</v>
      </c>
      <c r="AA12" s="296" t="e">
        <f t="shared" si="8"/>
        <v>#N/A</v>
      </c>
    </row>
    <row r="13" spans="2:30" ht="15.75" hidden="1" customHeight="1">
      <c r="B13" s="393"/>
      <c r="C13" s="366"/>
      <c r="D13" s="279"/>
      <c r="E13" s="279"/>
      <c r="F13" s="278"/>
      <c r="G13" s="279"/>
      <c r="H13" s="394"/>
      <c r="I13" s="368"/>
      <c r="J13" s="368"/>
      <c r="K13" s="281"/>
      <c r="L13" s="276"/>
      <c r="M13" s="395"/>
      <c r="N13" s="370"/>
      <c r="O13" s="371"/>
      <c r="P13" s="375"/>
      <c r="Q13" s="347"/>
      <c r="S13" s="277">
        <f t="shared" si="0"/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</row>
    <row r="14" spans="2:30" ht="15.75" hidden="1" customHeight="1">
      <c r="B14" s="34"/>
      <c r="C14" s="366"/>
      <c r="D14" s="279"/>
      <c r="E14" s="279"/>
      <c r="F14" s="278"/>
      <c r="G14" s="279"/>
      <c r="H14" s="394"/>
      <c r="I14" s="368"/>
      <c r="J14" s="368"/>
      <c r="K14" s="281"/>
      <c r="L14" s="276"/>
      <c r="M14" s="395"/>
      <c r="N14" s="370"/>
      <c r="O14" s="371"/>
      <c r="P14" s="375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hidden="1" customHeight="1">
      <c r="B15" s="373"/>
      <c r="C15" s="366"/>
      <c r="D15" s="279"/>
      <c r="E15" s="279"/>
      <c r="F15" s="278"/>
      <c r="G15" s="383"/>
      <c r="H15" s="367"/>
      <c r="I15" s="368"/>
      <c r="J15" s="368"/>
      <c r="K15" s="281"/>
      <c r="L15" s="276"/>
      <c r="M15" s="374"/>
      <c r="N15" s="370"/>
      <c r="O15" s="371"/>
      <c r="P15" s="375"/>
      <c r="Q15" s="347"/>
      <c r="S15" s="277">
        <f t="shared" si="0"/>
        <v>0</v>
      </c>
      <c r="T15" s="296" t="e">
        <f t="shared" si="1"/>
        <v>#N/A</v>
      </c>
      <c r="U15" s="296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7" t="e">
        <f t="shared" si="7"/>
        <v>#N/A</v>
      </c>
      <c r="AA15" s="296" t="e">
        <f t="shared" si="8"/>
        <v>#N/A</v>
      </c>
    </row>
    <row r="16" spans="2:30" ht="15.75" hidden="1" customHeight="1">
      <c r="B16" s="373"/>
      <c r="C16" s="366"/>
      <c r="D16" s="279"/>
      <c r="E16" s="279"/>
      <c r="F16" s="278"/>
      <c r="G16" s="383"/>
      <c r="H16" s="367"/>
      <c r="I16" s="368"/>
      <c r="J16" s="368"/>
      <c r="K16" s="281"/>
      <c r="L16" s="276"/>
      <c r="M16" s="374"/>
      <c r="N16" s="370"/>
      <c r="O16" s="371"/>
      <c r="P16" s="375"/>
      <c r="Q16" s="347"/>
      <c r="S16" s="277">
        <f t="shared" si="0"/>
        <v>0</v>
      </c>
      <c r="T16" s="296" t="e">
        <f t="shared" si="1"/>
        <v>#N/A</v>
      </c>
      <c r="U16" s="296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7" t="e">
        <f t="shared" si="7"/>
        <v>#N/A</v>
      </c>
      <c r="AA16" s="296" t="e">
        <f t="shared" si="8"/>
        <v>#N/A</v>
      </c>
    </row>
    <row r="17" spans="2:27" ht="15.75" hidden="1" customHeight="1">
      <c r="B17" s="373"/>
      <c r="C17" s="366"/>
      <c r="D17" s="279"/>
      <c r="E17" s="279"/>
      <c r="F17" s="278"/>
      <c r="G17" s="383"/>
      <c r="H17" s="367"/>
      <c r="I17" s="368"/>
      <c r="J17" s="368"/>
      <c r="K17" s="281"/>
      <c r="L17" s="276"/>
      <c r="M17" s="374"/>
      <c r="N17" s="370"/>
      <c r="O17" s="371"/>
      <c r="P17" s="375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2:27" ht="15.75" hidden="1" customHeight="1">
      <c r="B18" s="373"/>
      <c r="C18" s="366"/>
      <c r="D18" s="279"/>
      <c r="E18" s="279"/>
      <c r="F18" s="278"/>
      <c r="G18" s="383"/>
      <c r="H18" s="367"/>
      <c r="I18" s="368"/>
      <c r="J18" s="368"/>
      <c r="K18" s="281"/>
      <c r="L18" s="276"/>
      <c r="M18" s="374"/>
      <c r="N18" s="370"/>
      <c r="O18" s="371"/>
      <c r="P18" s="375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2:27" ht="15.75" hidden="1" customHeight="1">
      <c r="B19" s="373"/>
      <c r="C19" s="366"/>
      <c r="D19" s="279"/>
      <c r="E19" s="279"/>
      <c r="F19" s="278"/>
      <c r="G19" s="383"/>
      <c r="H19" s="367"/>
      <c r="I19" s="368"/>
      <c r="J19" s="368"/>
      <c r="K19" s="281"/>
      <c r="L19" s="276"/>
      <c r="M19" s="374"/>
      <c r="N19" s="370"/>
      <c r="O19" s="371"/>
      <c r="P19" s="375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2:27" ht="15.75" hidden="1" customHeight="1">
      <c r="B20" s="373"/>
      <c r="C20" s="366"/>
      <c r="D20" s="279"/>
      <c r="E20" s="279"/>
      <c r="F20" s="278"/>
      <c r="G20" s="383"/>
      <c r="H20" s="367"/>
      <c r="I20" s="368"/>
      <c r="J20" s="368"/>
      <c r="K20" s="281"/>
      <c r="L20" s="276"/>
      <c r="M20" s="374"/>
      <c r="N20" s="370"/>
      <c r="O20" s="371"/>
      <c r="P20" s="375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2:27" ht="15.75" hidden="1" customHeight="1">
      <c r="B21" s="373"/>
      <c r="C21" s="366"/>
      <c r="D21" s="279"/>
      <c r="E21" s="279"/>
      <c r="F21" s="278"/>
      <c r="G21" s="383"/>
      <c r="H21" s="367"/>
      <c r="I21" s="368"/>
      <c r="J21" s="368"/>
      <c r="K21" s="281"/>
      <c r="L21" s="276"/>
      <c r="M21" s="374"/>
      <c r="N21" s="370"/>
      <c r="O21" s="371"/>
      <c r="P21" s="375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2:27" ht="15.75" hidden="1" customHeight="1">
      <c r="B22" s="373"/>
      <c r="C22" s="366"/>
      <c r="D22" s="279"/>
      <c r="E22" s="279"/>
      <c r="F22" s="278"/>
      <c r="G22" s="383"/>
      <c r="H22" s="367"/>
      <c r="I22" s="368"/>
      <c r="J22" s="368"/>
      <c r="K22" s="281"/>
      <c r="L22" s="276"/>
      <c r="M22" s="374"/>
      <c r="N22" s="370"/>
      <c r="O22" s="371"/>
      <c r="P22" s="375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2:27" ht="15.75" hidden="1" customHeight="1">
      <c r="B23" s="373"/>
      <c r="C23" s="366"/>
      <c r="D23" s="279"/>
      <c r="E23" s="279"/>
      <c r="F23" s="278"/>
      <c r="G23" s="383"/>
      <c r="H23" s="367"/>
      <c r="I23" s="368"/>
      <c r="J23" s="368"/>
      <c r="K23" s="281"/>
      <c r="L23" s="276"/>
      <c r="M23" s="374"/>
      <c r="N23" s="370"/>
      <c r="O23" s="371"/>
      <c r="P23" s="375"/>
      <c r="Q23" s="347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2:27" ht="15.75" hidden="1" customHeight="1">
      <c r="B24" s="373"/>
      <c r="C24" s="366"/>
      <c r="D24" s="279"/>
      <c r="E24" s="279"/>
      <c r="F24" s="278"/>
      <c r="G24" s="383"/>
      <c r="H24" s="367"/>
      <c r="I24" s="368"/>
      <c r="J24" s="368"/>
      <c r="K24" s="281"/>
      <c r="L24" s="276"/>
      <c r="M24" s="374"/>
      <c r="N24" s="370"/>
      <c r="O24" s="371"/>
      <c r="P24" s="375"/>
      <c r="Q24" s="347"/>
      <c r="S24" s="277">
        <f t="shared" si="0"/>
        <v>0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2:27" ht="15.75" hidden="1" customHeight="1">
      <c r="B25" s="373"/>
      <c r="C25" s="366"/>
      <c r="D25" s="279"/>
      <c r="E25" s="279"/>
      <c r="F25" s="278"/>
      <c r="G25" s="383"/>
      <c r="H25" s="367"/>
      <c r="I25" s="368"/>
      <c r="J25" s="368"/>
      <c r="K25" s="281"/>
      <c r="L25" s="276"/>
      <c r="M25" s="374"/>
      <c r="N25" s="370"/>
      <c r="O25" s="371"/>
      <c r="P25" s="375"/>
      <c r="Q25" s="347"/>
      <c r="S25" s="277">
        <f t="shared" si="0"/>
        <v>0</v>
      </c>
      <c r="T25" s="296" t="e">
        <f t="shared" si="1"/>
        <v>#N/A</v>
      </c>
      <c r="U25" s="296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7" t="e">
        <f t="shared" si="7"/>
        <v>#N/A</v>
      </c>
      <c r="AA25" s="296" t="e">
        <f t="shared" si="8"/>
        <v>#N/A</v>
      </c>
    </row>
    <row r="26" spans="2:27" ht="15.75" hidden="1" customHeight="1">
      <c r="B26" s="373"/>
      <c r="C26" s="366"/>
      <c r="D26" s="279"/>
      <c r="E26" s="279"/>
      <c r="F26" s="278"/>
      <c r="G26" s="383"/>
      <c r="H26" s="367"/>
      <c r="I26" s="368"/>
      <c r="J26" s="368"/>
      <c r="K26" s="281"/>
      <c r="L26" s="276"/>
      <c r="M26" s="374"/>
      <c r="N26" s="370"/>
      <c r="O26" s="371"/>
      <c r="P26" s="375"/>
      <c r="Q26" s="347"/>
      <c r="S26" s="277">
        <f t="shared" si="0"/>
        <v>0</v>
      </c>
      <c r="T26" s="296" t="e">
        <f t="shared" si="1"/>
        <v>#N/A</v>
      </c>
      <c r="U26" s="296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297" t="e">
        <f t="shared" si="7"/>
        <v>#N/A</v>
      </c>
      <c r="AA26" s="296" t="e">
        <f t="shared" si="8"/>
        <v>#N/A</v>
      </c>
    </row>
    <row r="27" spans="2:27" ht="15" hidden="1">
      <c r="B27" s="373"/>
      <c r="C27" s="366"/>
      <c r="D27" s="279"/>
      <c r="E27" s="279"/>
      <c r="F27" s="278"/>
      <c r="G27" s="383"/>
      <c r="H27" s="367"/>
      <c r="I27" s="368"/>
      <c r="J27" s="368"/>
      <c r="K27" s="281"/>
      <c r="L27" s="276"/>
      <c r="M27" s="374"/>
      <c r="N27" s="370"/>
      <c r="O27" s="371"/>
      <c r="P27" s="369"/>
      <c r="Q27" s="347"/>
      <c r="S27" s="277">
        <f t="shared" si="0"/>
        <v>0</v>
      </c>
      <c r="T27" s="296" t="e">
        <f t="shared" si="1"/>
        <v>#N/A</v>
      </c>
      <c r="U27" s="296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297" t="e">
        <f t="shared" si="7"/>
        <v>#N/A</v>
      </c>
      <c r="AA27" s="296" t="e">
        <f t="shared" si="8"/>
        <v>#N/A</v>
      </c>
    </row>
    <row r="28" spans="2:27" ht="15" hidden="1">
      <c r="B28" s="373"/>
      <c r="C28" s="366"/>
      <c r="D28" s="279"/>
      <c r="E28" s="279"/>
      <c r="F28" s="278"/>
      <c r="G28" s="383"/>
      <c r="H28" s="367"/>
      <c r="I28" s="368"/>
      <c r="J28" s="368"/>
      <c r="K28" s="281"/>
      <c r="L28" s="276"/>
      <c r="M28" s="374"/>
      <c r="N28" s="370"/>
      <c r="O28" s="371"/>
      <c r="P28" s="369"/>
      <c r="Q28" s="347"/>
      <c r="S28" s="277">
        <f t="shared" si="0"/>
        <v>0</v>
      </c>
      <c r="T28" s="296" t="e">
        <f t="shared" si="1"/>
        <v>#N/A</v>
      </c>
      <c r="U28" s="296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297" t="e">
        <f t="shared" si="7"/>
        <v>#N/A</v>
      </c>
      <c r="AA28" s="296" t="e">
        <f t="shared" si="8"/>
        <v>#N/A</v>
      </c>
    </row>
    <row r="29" spans="2:27" ht="15" hidden="1">
      <c r="B29" s="373"/>
      <c r="C29" s="366"/>
      <c r="D29" s="279"/>
      <c r="E29" s="279"/>
      <c r="F29" s="278"/>
      <c r="G29" s="383"/>
      <c r="H29" s="367"/>
      <c r="I29" s="368"/>
      <c r="J29" s="368"/>
      <c r="K29" s="392"/>
      <c r="L29" s="276"/>
      <c r="M29" s="374"/>
      <c r="N29" s="370"/>
      <c r="O29" s="371"/>
      <c r="P29" s="369"/>
      <c r="Q29" s="347"/>
      <c r="S29" s="277">
        <f t="shared" si="0"/>
        <v>0</v>
      </c>
      <c r="T29" s="296" t="e">
        <f t="shared" si="1"/>
        <v>#N/A</v>
      </c>
      <c r="U29" s="296" t="e">
        <f t="shared" si="2"/>
        <v>#N/A</v>
      </c>
      <c r="V29" s="297" t="e">
        <f t="shared" si="3"/>
        <v>#N/A</v>
      </c>
      <c r="W29" s="297" t="e">
        <f t="shared" si="4"/>
        <v>#N/A</v>
      </c>
      <c r="X29" s="297" t="e">
        <f t="shared" si="5"/>
        <v>#N/A</v>
      </c>
      <c r="Y29" s="297" t="e">
        <f t="shared" si="6"/>
        <v>#N/A</v>
      </c>
      <c r="Z29" s="297" t="e">
        <f t="shared" si="7"/>
        <v>#N/A</v>
      </c>
      <c r="AA29" s="296" t="e">
        <f t="shared" si="8"/>
        <v>#N/A</v>
      </c>
    </row>
    <row r="30" spans="2:27" ht="15" hidden="1">
      <c r="B30" s="373"/>
      <c r="C30" s="366"/>
      <c r="D30" s="279"/>
      <c r="E30" s="279"/>
      <c r="F30" s="278"/>
      <c r="G30" s="383"/>
      <c r="H30" s="367"/>
      <c r="I30" s="368"/>
      <c r="J30" s="368"/>
      <c r="K30" s="281"/>
      <c r="L30" s="276"/>
      <c r="M30" s="374"/>
      <c r="N30" s="370"/>
      <c r="O30" s="371"/>
      <c r="P30" s="369"/>
      <c r="Q30" s="347"/>
      <c r="S30" s="277">
        <f t="shared" si="0"/>
        <v>0</v>
      </c>
      <c r="T30" s="296" t="e">
        <f t="shared" si="1"/>
        <v>#N/A</v>
      </c>
      <c r="U30" s="296" t="e">
        <f t="shared" si="2"/>
        <v>#N/A</v>
      </c>
      <c r="V30" s="297" t="e">
        <f t="shared" si="3"/>
        <v>#N/A</v>
      </c>
      <c r="W30" s="297" t="e">
        <f t="shared" si="4"/>
        <v>#N/A</v>
      </c>
      <c r="X30" s="297" t="e">
        <f t="shared" si="5"/>
        <v>#N/A</v>
      </c>
      <c r="Y30" s="297" t="e">
        <f t="shared" si="6"/>
        <v>#N/A</v>
      </c>
      <c r="Z30" s="297" t="e">
        <f t="shared" si="7"/>
        <v>#N/A</v>
      </c>
      <c r="AA30" s="296" t="e">
        <f t="shared" si="8"/>
        <v>#N/A</v>
      </c>
    </row>
    <row r="31" spans="2:27" ht="15" hidden="1">
      <c r="B31" s="373"/>
      <c r="C31" s="366"/>
      <c r="D31" s="279"/>
      <c r="E31" s="279"/>
      <c r="F31" s="278"/>
      <c r="G31" s="383"/>
      <c r="H31" s="367"/>
      <c r="I31" s="368"/>
      <c r="J31" s="368"/>
      <c r="K31" s="281"/>
      <c r="L31" s="276"/>
      <c r="M31" s="374"/>
      <c r="N31" s="370"/>
      <c r="O31" s="371"/>
      <c r="P31" s="369"/>
      <c r="Q31" s="347"/>
      <c r="S31" s="277">
        <f t="shared" si="0"/>
        <v>0</v>
      </c>
      <c r="T31" s="296" t="e">
        <f t="shared" si="1"/>
        <v>#N/A</v>
      </c>
      <c r="U31" s="296" t="e">
        <f t="shared" si="2"/>
        <v>#N/A</v>
      </c>
      <c r="V31" s="297" t="e">
        <f t="shared" si="3"/>
        <v>#N/A</v>
      </c>
      <c r="W31" s="297" t="e">
        <f t="shared" si="4"/>
        <v>#N/A</v>
      </c>
      <c r="X31" s="297" t="e">
        <f t="shared" si="5"/>
        <v>#N/A</v>
      </c>
      <c r="Y31" s="297" t="e">
        <f t="shared" si="6"/>
        <v>#N/A</v>
      </c>
      <c r="Z31" s="297" t="e">
        <f t="shared" si="7"/>
        <v>#N/A</v>
      </c>
      <c r="AA31" s="296" t="e">
        <f t="shared" si="8"/>
        <v>#N/A</v>
      </c>
    </row>
    <row r="32" spans="2:27" ht="15" hidden="1">
      <c r="B32" s="373"/>
      <c r="C32" s="366"/>
      <c r="D32" s="279"/>
      <c r="E32" s="279"/>
      <c r="F32" s="278"/>
      <c r="G32" s="383"/>
      <c r="H32" s="367"/>
      <c r="I32" s="368"/>
      <c r="J32" s="368"/>
      <c r="K32" s="281"/>
      <c r="L32" s="276"/>
      <c r="M32" s="374"/>
      <c r="N32" s="370"/>
      <c r="O32" s="371"/>
      <c r="P32" s="369"/>
      <c r="Q32" s="347"/>
      <c r="S32" s="277">
        <f t="shared" si="0"/>
        <v>0</v>
      </c>
      <c r="T32" s="296" t="e">
        <f t="shared" si="1"/>
        <v>#N/A</v>
      </c>
      <c r="U32" s="296" t="e">
        <f t="shared" si="2"/>
        <v>#N/A</v>
      </c>
      <c r="V32" s="297" t="e">
        <f t="shared" si="3"/>
        <v>#N/A</v>
      </c>
      <c r="W32" s="297" t="e">
        <f t="shared" si="4"/>
        <v>#N/A</v>
      </c>
      <c r="X32" s="297" t="e">
        <f t="shared" si="5"/>
        <v>#N/A</v>
      </c>
      <c r="Y32" s="297" t="e">
        <f t="shared" si="6"/>
        <v>#N/A</v>
      </c>
      <c r="Z32" s="297" t="e">
        <f t="shared" si="7"/>
        <v>#N/A</v>
      </c>
      <c r="AA32" s="296" t="e">
        <f t="shared" si="8"/>
        <v>#N/A</v>
      </c>
    </row>
    <row r="33" spans="2:27" ht="15" hidden="1">
      <c r="B33" s="393"/>
      <c r="C33" s="366"/>
      <c r="D33" s="279"/>
      <c r="E33" s="279"/>
      <c r="F33" s="278"/>
      <c r="G33" s="279"/>
      <c r="H33" s="394"/>
      <c r="I33" s="368"/>
      <c r="J33" s="368"/>
      <c r="K33" s="281"/>
      <c r="L33" s="276"/>
      <c r="M33" s="395"/>
      <c r="N33" s="370"/>
      <c r="O33" s="371"/>
      <c r="P33" s="369"/>
      <c r="Q33" s="347"/>
      <c r="S33" s="277">
        <f t="shared" si="0"/>
        <v>0</v>
      </c>
      <c r="T33" s="296" t="e">
        <f t="shared" si="1"/>
        <v>#N/A</v>
      </c>
      <c r="U33" s="296" t="e">
        <f t="shared" si="2"/>
        <v>#N/A</v>
      </c>
      <c r="V33" s="297" t="e">
        <f t="shared" si="3"/>
        <v>#N/A</v>
      </c>
      <c r="W33" s="297" t="e">
        <f t="shared" si="4"/>
        <v>#N/A</v>
      </c>
      <c r="X33" s="297" t="e">
        <f t="shared" si="5"/>
        <v>#N/A</v>
      </c>
      <c r="Y33" s="297" t="e">
        <f t="shared" si="6"/>
        <v>#N/A</v>
      </c>
      <c r="Z33" s="297" t="e">
        <f t="shared" si="7"/>
        <v>#N/A</v>
      </c>
      <c r="AA33" s="296" t="e">
        <f t="shared" si="8"/>
        <v>#N/A</v>
      </c>
    </row>
    <row r="34" spans="2:27" ht="15" hidden="1">
      <c r="B34" s="393"/>
      <c r="C34" s="366"/>
      <c r="D34" s="279"/>
      <c r="E34" s="279"/>
      <c r="F34" s="278"/>
      <c r="G34" s="279"/>
      <c r="H34" s="394"/>
      <c r="I34" s="368"/>
      <c r="J34" s="368"/>
      <c r="K34" s="281"/>
      <c r="L34" s="276"/>
      <c r="M34" s="395"/>
      <c r="N34" s="370"/>
      <c r="O34" s="371"/>
      <c r="P34" s="369"/>
      <c r="Q34" s="347"/>
      <c r="S34" s="277">
        <f t="shared" si="0"/>
        <v>0</v>
      </c>
      <c r="T34" s="296" t="e">
        <f t="shared" si="1"/>
        <v>#N/A</v>
      </c>
      <c r="U34" s="296" t="e">
        <f t="shared" si="2"/>
        <v>#N/A</v>
      </c>
      <c r="V34" s="297" t="e">
        <f t="shared" si="3"/>
        <v>#N/A</v>
      </c>
      <c r="W34" s="297" t="e">
        <f t="shared" si="4"/>
        <v>#N/A</v>
      </c>
      <c r="X34" s="297" t="e">
        <f t="shared" si="5"/>
        <v>#N/A</v>
      </c>
      <c r="Y34" s="297" t="e">
        <f t="shared" si="6"/>
        <v>#N/A</v>
      </c>
      <c r="Z34" s="297" t="e">
        <f t="shared" si="7"/>
        <v>#N/A</v>
      </c>
      <c r="AA34" s="296" t="e">
        <f t="shared" si="8"/>
        <v>#N/A</v>
      </c>
    </row>
    <row r="35" spans="2:27" ht="15" hidden="1">
      <c r="B35" s="393"/>
      <c r="C35" s="366"/>
      <c r="D35" s="279"/>
      <c r="E35" s="279"/>
      <c r="F35" s="278"/>
      <c r="G35" s="279"/>
      <c r="H35" s="394"/>
      <c r="I35" s="368"/>
      <c r="J35" s="368"/>
      <c r="K35" s="281"/>
      <c r="L35" s="276"/>
      <c r="M35" s="395"/>
      <c r="N35" s="370"/>
      <c r="O35" s="371"/>
      <c r="P35" s="369"/>
      <c r="Q35" s="347"/>
      <c r="S35" s="277">
        <f t="shared" si="0"/>
        <v>0</v>
      </c>
      <c r="T35" s="296" t="e">
        <f t="shared" si="1"/>
        <v>#N/A</v>
      </c>
      <c r="U35" s="296" t="e">
        <f t="shared" si="2"/>
        <v>#N/A</v>
      </c>
      <c r="V35" s="297" t="e">
        <f t="shared" si="3"/>
        <v>#N/A</v>
      </c>
      <c r="W35" s="297" t="e">
        <f t="shared" si="4"/>
        <v>#N/A</v>
      </c>
      <c r="X35" s="297" t="e">
        <f t="shared" si="5"/>
        <v>#N/A</v>
      </c>
      <c r="Y35" s="297" t="e">
        <f t="shared" si="6"/>
        <v>#N/A</v>
      </c>
      <c r="Z35" s="297" t="e">
        <f t="shared" si="7"/>
        <v>#N/A</v>
      </c>
      <c r="AA35" s="296" t="e">
        <f t="shared" si="8"/>
        <v>#N/A</v>
      </c>
    </row>
    <row r="36" spans="2:27" ht="15" hidden="1">
      <c r="B36" s="393"/>
      <c r="C36" s="366"/>
      <c r="D36" s="279"/>
      <c r="E36" s="279"/>
      <c r="F36" s="278"/>
      <c r="G36" s="279"/>
      <c r="H36" s="394"/>
      <c r="I36" s="368"/>
      <c r="J36" s="368"/>
      <c r="K36" s="281"/>
      <c r="L36" s="276"/>
      <c r="M36" s="395"/>
      <c r="N36" s="370"/>
      <c r="O36" s="371"/>
      <c r="P36" s="369"/>
      <c r="Q36" s="347"/>
      <c r="S36" s="277">
        <f t="shared" si="0"/>
        <v>0</v>
      </c>
      <c r="T36" s="296" t="e">
        <f t="shared" si="1"/>
        <v>#N/A</v>
      </c>
      <c r="U36" s="296" t="e">
        <f t="shared" si="2"/>
        <v>#N/A</v>
      </c>
      <c r="V36" s="297" t="e">
        <f t="shared" si="3"/>
        <v>#N/A</v>
      </c>
      <c r="W36" s="297" t="e">
        <f t="shared" si="4"/>
        <v>#N/A</v>
      </c>
      <c r="X36" s="297" t="e">
        <f t="shared" si="5"/>
        <v>#N/A</v>
      </c>
      <c r="Y36" s="297" t="e">
        <f t="shared" si="6"/>
        <v>#N/A</v>
      </c>
      <c r="Z36" s="297" t="e">
        <f t="shared" si="7"/>
        <v>#N/A</v>
      </c>
      <c r="AA36" s="296" t="e">
        <f t="shared" si="8"/>
        <v>#N/A</v>
      </c>
    </row>
    <row r="37" spans="2:27" ht="15" hidden="1">
      <c r="B37" s="393"/>
      <c r="C37" s="366"/>
      <c r="D37" s="279"/>
      <c r="E37" s="279"/>
      <c r="F37" s="278"/>
      <c r="G37" s="279"/>
      <c r="H37" s="394"/>
      <c r="I37" s="368"/>
      <c r="J37" s="368"/>
      <c r="K37" s="281"/>
      <c r="L37" s="276"/>
      <c r="M37" s="395"/>
      <c r="N37" s="370"/>
      <c r="O37" s="371"/>
      <c r="P37" s="369"/>
      <c r="Q37" s="347"/>
      <c r="S37" s="277">
        <f t="shared" si="0"/>
        <v>0</v>
      </c>
      <c r="T37" s="296" t="e">
        <f t="shared" si="1"/>
        <v>#N/A</v>
      </c>
      <c r="U37" s="296" t="e">
        <f t="shared" si="2"/>
        <v>#N/A</v>
      </c>
      <c r="V37" s="297" t="e">
        <f t="shared" si="3"/>
        <v>#N/A</v>
      </c>
      <c r="W37" s="297" t="e">
        <f t="shared" si="4"/>
        <v>#N/A</v>
      </c>
      <c r="X37" s="297" t="e">
        <f t="shared" si="5"/>
        <v>#N/A</v>
      </c>
      <c r="Y37" s="297" t="e">
        <f t="shared" si="6"/>
        <v>#N/A</v>
      </c>
      <c r="Z37" s="297" t="e">
        <f t="shared" si="7"/>
        <v>#N/A</v>
      </c>
      <c r="AA37" s="296" t="e">
        <f t="shared" si="8"/>
        <v>#N/A</v>
      </c>
    </row>
    <row r="38" spans="2:27" ht="15" hidden="1">
      <c r="B38" s="393"/>
      <c r="C38" s="366"/>
      <c r="D38" s="279"/>
      <c r="E38" s="279"/>
      <c r="F38" s="278"/>
      <c r="G38" s="279"/>
      <c r="H38" s="394"/>
      <c r="I38" s="368"/>
      <c r="J38" s="368"/>
      <c r="K38" s="281"/>
      <c r="L38" s="276"/>
      <c r="M38" s="395"/>
      <c r="N38" s="370"/>
      <c r="O38" s="371"/>
      <c r="P38" s="369"/>
      <c r="Q38" s="347"/>
      <c r="S38" s="277">
        <f t="shared" si="0"/>
        <v>0</v>
      </c>
      <c r="T38" s="296" t="e">
        <f t="shared" si="1"/>
        <v>#N/A</v>
      </c>
      <c r="U38" s="296" t="e">
        <f t="shared" si="2"/>
        <v>#N/A</v>
      </c>
      <c r="V38" s="297" t="e">
        <f t="shared" si="3"/>
        <v>#N/A</v>
      </c>
      <c r="W38" s="297" t="e">
        <f t="shared" si="4"/>
        <v>#N/A</v>
      </c>
      <c r="X38" s="297" t="e">
        <f t="shared" si="5"/>
        <v>#N/A</v>
      </c>
      <c r="Y38" s="297" t="e">
        <f t="shared" si="6"/>
        <v>#N/A</v>
      </c>
      <c r="Z38" s="297" t="e">
        <f t="shared" si="7"/>
        <v>#N/A</v>
      </c>
      <c r="AA38" s="296" t="e">
        <f t="shared" si="8"/>
        <v>#N/A</v>
      </c>
    </row>
    <row r="39" spans="2:27" ht="15">
      <c r="B39" s="393"/>
      <c r="C39" s="366"/>
      <c r="D39" s="279"/>
      <c r="E39" s="279"/>
      <c r="F39" s="278"/>
      <c r="G39" s="279"/>
      <c r="H39" s="394"/>
      <c r="I39" s="368"/>
      <c r="J39" s="368"/>
      <c r="K39" s="281"/>
      <c r="L39" s="276"/>
      <c r="M39" s="395"/>
      <c r="N39" s="370"/>
      <c r="O39" s="371"/>
      <c r="P39" s="369"/>
      <c r="Q39" s="347"/>
      <c r="S39" s="277">
        <f t="shared" si="0"/>
        <v>0</v>
      </c>
      <c r="T39" s="296" t="e">
        <f t="shared" si="1"/>
        <v>#N/A</v>
      </c>
      <c r="U39" s="296" t="e">
        <f t="shared" si="2"/>
        <v>#N/A</v>
      </c>
      <c r="V39" s="297" t="e">
        <f t="shared" si="3"/>
        <v>#N/A</v>
      </c>
      <c r="W39" s="297" t="e">
        <f t="shared" si="4"/>
        <v>#N/A</v>
      </c>
      <c r="X39" s="297" t="e">
        <f t="shared" si="5"/>
        <v>#N/A</v>
      </c>
      <c r="Y39" s="297" t="e">
        <f t="shared" si="6"/>
        <v>#N/A</v>
      </c>
      <c r="Z39" s="297" t="e">
        <f t="shared" si="7"/>
        <v>#N/A</v>
      </c>
      <c r="AA39" s="296" t="e">
        <f t="shared" si="8"/>
        <v>#N/A</v>
      </c>
    </row>
    <row r="40" spans="2:27" ht="15">
      <c r="B40" s="393"/>
      <c r="C40" s="366"/>
      <c r="D40" s="279"/>
      <c r="E40" s="279"/>
      <c r="F40" s="278"/>
      <c r="G40" s="279"/>
      <c r="H40" s="394"/>
      <c r="I40" s="368"/>
      <c r="J40" s="368"/>
      <c r="K40" s="281"/>
      <c r="L40" s="276"/>
      <c r="M40" s="395"/>
      <c r="N40" s="370"/>
      <c r="O40" s="371"/>
      <c r="P40" s="369"/>
      <c r="Q40" s="347"/>
      <c r="S40" s="277">
        <f t="shared" si="0"/>
        <v>0</v>
      </c>
      <c r="T40" s="296" t="e">
        <f t="shared" si="1"/>
        <v>#N/A</v>
      </c>
      <c r="U40" s="296" t="e">
        <f t="shared" si="2"/>
        <v>#N/A</v>
      </c>
      <c r="V40" s="297" t="e">
        <f t="shared" si="3"/>
        <v>#N/A</v>
      </c>
      <c r="W40" s="297" t="e">
        <f t="shared" si="4"/>
        <v>#N/A</v>
      </c>
      <c r="X40" s="297" t="e">
        <f t="shared" si="5"/>
        <v>#N/A</v>
      </c>
      <c r="Y40" s="297" t="e">
        <f t="shared" si="6"/>
        <v>#N/A</v>
      </c>
      <c r="Z40" s="297" t="e">
        <f t="shared" si="7"/>
        <v>#N/A</v>
      </c>
      <c r="AA40" s="296" t="e">
        <f t="shared" si="8"/>
        <v>#N/A</v>
      </c>
    </row>
    <row r="41" spans="2:27" ht="15">
      <c r="B41" s="393"/>
      <c r="C41" s="366"/>
      <c r="D41" s="279"/>
      <c r="E41" s="279"/>
      <c r="F41" s="278"/>
      <c r="G41" s="279"/>
      <c r="H41" s="394"/>
      <c r="I41" s="368"/>
      <c r="J41" s="368"/>
      <c r="K41" s="281"/>
      <c r="L41" s="276"/>
      <c r="M41" s="395"/>
      <c r="N41" s="370"/>
      <c r="O41" s="371"/>
      <c r="P41" s="369"/>
      <c r="Q41" s="347"/>
      <c r="S41" s="277">
        <f t="shared" si="0"/>
        <v>0</v>
      </c>
      <c r="T41" s="296" t="e">
        <f t="shared" si="1"/>
        <v>#N/A</v>
      </c>
      <c r="U41" s="296" t="e">
        <f t="shared" si="2"/>
        <v>#N/A</v>
      </c>
      <c r="V41" s="297" t="e">
        <f t="shared" si="3"/>
        <v>#N/A</v>
      </c>
      <c r="W41" s="297" t="e">
        <f t="shared" si="4"/>
        <v>#N/A</v>
      </c>
      <c r="X41" s="297" t="e">
        <f t="shared" si="5"/>
        <v>#N/A</v>
      </c>
      <c r="Y41" s="297" t="e">
        <f t="shared" si="6"/>
        <v>#N/A</v>
      </c>
      <c r="Z41" s="297" t="e">
        <f t="shared" si="7"/>
        <v>#N/A</v>
      </c>
      <c r="AA41" s="296" t="e">
        <f t="shared" si="8"/>
        <v>#N/A</v>
      </c>
    </row>
    <row r="42" spans="2:27" ht="15">
      <c r="B42" s="393"/>
      <c r="C42" s="366"/>
      <c r="D42" s="279"/>
      <c r="E42" s="279"/>
      <c r="F42" s="278"/>
      <c r="G42" s="279"/>
      <c r="H42" s="394"/>
      <c r="I42" s="368"/>
      <c r="J42" s="368"/>
      <c r="K42" s="281"/>
      <c r="L42" s="276"/>
      <c r="M42" s="395"/>
      <c r="N42" s="370"/>
      <c r="O42" s="371"/>
      <c r="P42" s="369"/>
      <c r="Q42" s="347"/>
      <c r="S42" s="277">
        <f t="shared" si="0"/>
        <v>0</v>
      </c>
      <c r="T42" s="296" t="e">
        <f t="shared" si="1"/>
        <v>#N/A</v>
      </c>
      <c r="U42" s="296" t="e">
        <f t="shared" si="2"/>
        <v>#N/A</v>
      </c>
      <c r="V42" s="297" t="e">
        <f t="shared" si="3"/>
        <v>#N/A</v>
      </c>
      <c r="W42" s="297" t="e">
        <f t="shared" si="4"/>
        <v>#N/A</v>
      </c>
      <c r="X42" s="297" t="e">
        <f t="shared" si="5"/>
        <v>#N/A</v>
      </c>
      <c r="Y42" s="297" t="e">
        <f t="shared" si="6"/>
        <v>#N/A</v>
      </c>
      <c r="Z42" s="297" t="e">
        <f t="shared" si="7"/>
        <v>#N/A</v>
      </c>
      <c r="AA42" s="296" t="e">
        <f t="shared" si="8"/>
        <v>#N/A</v>
      </c>
    </row>
    <row r="43" spans="2:27" ht="15">
      <c r="B43" s="393"/>
      <c r="C43" s="366"/>
      <c r="D43" s="279"/>
      <c r="E43" s="279"/>
      <c r="F43" s="278"/>
      <c r="G43" s="279"/>
      <c r="H43" s="394"/>
      <c r="I43" s="368"/>
      <c r="J43" s="368"/>
      <c r="K43" s="281"/>
      <c r="L43" s="276"/>
      <c r="M43" s="395"/>
      <c r="N43" s="370"/>
      <c r="O43" s="371"/>
      <c r="P43" s="369"/>
      <c r="Q43" s="347"/>
      <c r="S43" s="277">
        <f t="shared" si="0"/>
        <v>0</v>
      </c>
      <c r="T43" s="296" t="e">
        <f t="shared" si="1"/>
        <v>#N/A</v>
      </c>
      <c r="U43" s="296" t="e">
        <f t="shared" si="2"/>
        <v>#N/A</v>
      </c>
      <c r="V43" s="297" t="e">
        <f t="shared" si="3"/>
        <v>#N/A</v>
      </c>
      <c r="W43" s="297" t="e">
        <f t="shared" si="4"/>
        <v>#N/A</v>
      </c>
      <c r="X43" s="297" t="e">
        <f t="shared" si="5"/>
        <v>#N/A</v>
      </c>
      <c r="Y43" s="297" t="e">
        <f t="shared" si="6"/>
        <v>#N/A</v>
      </c>
      <c r="Z43" s="297" t="e">
        <f t="shared" si="7"/>
        <v>#N/A</v>
      </c>
      <c r="AA43" s="296" t="e">
        <f t="shared" si="8"/>
        <v>#N/A</v>
      </c>
    </row>
    <row r="44" spans="2:27" ht="15" hidden="1">
      <c r="B44" s="393"/>
      <c r="C44" s="366"/>
      <c r="D44" s="279"/>
      <c r="E44" s="279"/>
      <c r="F44" s="278"/>
      <c r="G44" s="279"/>
      <c r="H44" s="394"/>
      <c r="I44" s="368"/>
      <c r="J44" s="368"/>
      <c r="K44" s="281"/>
      <c r="L44" s="276"/>
      <c r="M44" s="395"/>
      <c r="N44" s="370"/>
      <c r="O44" s="371"/>
      <c r="P44" s="369"/>
      <c r="Q44" s="347"/>
      <c r="S44" s="277">
        <f t="shared" si="0"/>
        <v>0</v>
      </c>
      <c r="T44" s="296" t="e">
        <f t="shared" si="1"/>
        <v>#N/A</v>
      </c>
      <c r="U44" s="296" t="e">
        <f t="shared" si="2"/>
        <v>#N/A</v>
      </c>
      <c r="V44" s="297" t="e">
        <f t="shared" si="3"/>
        <v>#N/A</v>
      </c>
      <c r="W44" s="297" t="e">
        <f t="shared" si="4"/>
        <v>#N/A</v>
      </c>
      <c r="X44" s="297" t="e">
        <f t="shared" si="5"/>
        <v>#N/A</v>
      </c>
      <c r="Y44" s="297" t="e">
        <f t="shared" si="6"/>
        <v>#N/A</v>
      </c>
      <c r="Z44" s="297" t="e">
        <f t="shared" si="7"/>
        <v>#N/A</v>
      </c>
      <c r="AA44" s="296" t="e">
        <f t="shared" si="8"/>
        <v>#N/A</v>
      </c>
    </row>
    <row r="45" spans="2:27" ht="15" hidden="1">
      <c r="B45" s="393"/>
      <c r="C45" s="366"/>
      <c r="D45" s="279"/>
      <c r="E45" s="279"/>
      <c r="F45" s="278"/>
      <c r="G45" s="279"/>
      <c r="H45" s="394"/>
      <c r="I45" s="368"/>
      <c r="J45" s="368"/>
      <c r="K45" s="281"/>
      <c r="L45" s="276"/>
      <c r="M45" s="395"/>
      <c r="N45" s="370"/>
      <c r="O45" s="371"/>
      <c r="P45" s="369"/>
      <c r="Q45" s="347"/>
      <c r="S45" s="277">
        <f t="shared" si="0"/>
        <v>0</v>
      </c>
      <c r="T45" s="296" t="e">
        <f t="shared" si="1"/>
        <v>#N/A</v>
      </c>
      <c r="U45" s="296" t="e">
        <f t="shared" si="2"/>
        <v>#N/A</v>
      </c>
      <c r="V45" s="297" t="e">
        <f t="shared" si="3"/>
        <v>#N/A</v>
      </c>
      <c r="W45" s="297" t="e">
        <f t="shared" si="4"/>
        <v>#N/A</v>
      </c>
      <c r="X45" s="297" t="e">
        <f t="shared" si="5"/>
        <v>#N/A</v>
      </c>
      <c r="Y45" s="297" t="e">
        <f t="shared" si="6"/>
        <v>#N/A</v>
      </c>
      <c r="Z45" s="297" t="e">
        <f t="shared" si="7"/>
        <v>#N/A</v>
      </c>
      <c r="AA45" s="296" t="e">
        <f t="shared" si="8"/>
        <v>#N/A</v>
      </c>
    </row>
    <row r="46" spans="2:27" ht="15" hidden="1">
      <c r="B46" s="393"/>
      <c r="C46" s="366"/>
      <c r="D46" s="279"/>
      <c r="E46" s="279"/>
      <c r="F46" s="278"/>
      <c r="G46" s="279"/>
      <c r="H46" s="394"/>
      <c r="I46" s="368"/>
      <c r="J46" s="368"/>
      <c r="K46" s="281"/>
      <c r="L46" s="276"/>
      <c r="M46" s="395"/>
      <c r="N46" s="370"/>
      <c r="O46" s="371"/>
      <c r="P46" s="369"/>
      <c r="Q46" s="347"/>
      <c r="S46" s="277">
        <f t="shared" si="0"/>
        <v>0</v>
      </c>
      <c r="T46" s="296" t="e">
        <f t="shared" si="1"/>
        <v>#N/A</v>
      </c>
      <c r="U46" s="296" t="e">
        <f t="shared" si="2"/>
        <v>#N/A</v>
      </c>
      <c r="V46" s="297" t="e">
        <f t="shared" si="3"/>
        <v>#N/A</v>
      </c>
      <c r="W46" s="297" t="e">
        <f t="shared" si="4"/>
        <v>#N/A</v>
      </c>
      <c r="X46" s="297" t="e">
        <f t="shared" si="5"/>
        <v>#N/A</v>
      </c>
      <c r="Y46" s="297" t="e">
        <f t="shared" si="6"/>
        <v>#N/A</v>
      </c>
      <c r="Z46" s="297" t="e">
        <f t="shared" si="7"/>
        <v>#N/A</v>
      </c>
      <c r="AA46" s="296" t="e">
        <f t="shared" si="8"/>
        <v>#N/A</v>
      </c>
    </row>
    <row r="47" spans="2:27" ht="15" hidden="1">
      <c r="B47" s="373"/>
      <c r="C47" s="366"/>
      <c r="D47" s="279"/>
      <c r="E47" s="279"/>
      <c r="F47" s="278"/>
      <c r="G47" s="383"/>
      <c r="H47" s="367"/>
      <c r="I47" s="368"/>
      <c r="J47" s="368"/>
      <c r="K47" s="281"/>
      <c r="L47" s="276"/>
      <c r="M47" s="374"/>
      <c r="N47" s="370"/>
      <c r="O47" s="371"/>
      <c r="P47" s="369"/>
      <c r="Q47" s="347"/>
      <c r="S47" s="277">
        <f t="shared" si="0"/>
        <v>0</v>
      </c>
      <c r="T47" s="296" t="e">
        <f t="shared" si="1"/>
        <v>#N/A</v>
      </c>
      <c r="U47" s="296" t="e">
        <f t="shared" si="2"/>
        <v>#N/A</v>
      </c>
      <c r="V47" s="297" t="e">
        <f t="shared" si="3"/>
        <v>#N/A</v>
      </c>
      <c r="W47" s="297" t="e">
        <f t="shared" si="4"/>
        <v>#N/A</v>
      </c>
      <c r="X47" s="297" t="e">
        <f t="shared" si="5"/>
        <v>#N/A</v>
      </c>
      <c r="Y47" s="297" t="e">
        <f t="shared" si="6"/>
        <v>#N/A</v>
      </c>
      <c r="Z47" s="297" t="e">
        <f t="shared" si="7"/>
        <v>#N/A</v>
      </c>
      <c r="AA47" s="296" t="e">
        <f t="shared" si="8"/>
        <v>#N/A</v>
      </c>
    </row>
    <row r="48" spans="2:27" ht="15.75" customHeight="1" thickBot="1">
      <c r="B48" s="358"/>
      <c r="C48" s="358"/>
      <c r="D48" s="358"/>
      <c r="E48" s="358"/>
      <c r="F48" s="294"/>
      <c r="G48" s="294"/>
      <c r="H48" s="348"/>
      <c r="I48" s="512" t="s">
        <v>34</v>
      </c>
      <c r="J48" s="512"/>
      <c r="K48" s="512"/>
      <c r="L48" s="512"/>
      <c r="M48" s="512"/>
      <c r="N48" s="512"/>
      <c r="O48" s="1"/>
      <c r="P48" s="12"/>
      <c r="S48" s="277"/>
      <c r="T48" s="296"/>
      <c r="U48" s="296"/>
      <c r="V48" s="297"/>
      <c r="W48" s="297"/>
      <c r="X48" s="297"/>
      <c r="Y48" s="297"/>
      <c r="Z48" s="297"/>
      <c r="AA48" s="296"/>
    </row>
    <row r="49" spans="1:27" ht="30.75" thickBot="1">
      <c r="B49" s="388" t="s">
        <v>145</v>
      </c>
      <c r="C49" s="388"/>
      <c r="D49" s="513" t="s">
        <v>35</v>
      </c>
      <c r="E49" s="514"/>
      <c r="F49" s="294"/>
      <c r="G49" s="294"/>
      <c r="H49" s="23"/>
      <c r="I49" s="24" t="s">
        <v>17</v>
      </c>
      <c r="J49" s="25" t="s">
        <v>146</v>
      </c>
      <c r="K49" s="26" t="s">
        <v>138</v>
      </c>
      <c r="L49" s="25" t="s">
        <v>37</v>
      </c>
      <c r="M49" s="25" t="s">
        <v>38</v>
      </c>
      <c r="N49" s="27" t="s">
        <v>39</v>
      </c>
      <c r="O49" s="294"/>
      <c r="P49" s="12"/>
      <c r="S49" s="277"/>
      <c r="T49" s="296"/>
      <c r="U49" s="296"/>
      <c r="V49" s="297"/>
      <c r="W49" s="297"/>
      <c r="X49" s="297"/>
      <c r="Y49" s="297"/>
      <c r="Z49" s="297"/>
      <c r="AA49" s="296"/>
    </row>
    <row r="50" spans="1:27" ht="15" customHeight="1">
      <c r="A50" s="28"/>
      <c r="B50" s="525" t="s">
        <v>9</v>
      </c>
      <c r="C50" s="362">
        <v>11.8</v>
      </c>
      <c r="D50" s="518">
        <v>11.73</v>
      </c>
      <c r="E50" s="519"/>
      <c r="F50" s="294"/>
      <c r="G50" s="294"/>
      <c r="H50" s="294"/>
      <c r="I50" s="29" t="s">
        <v>6</v>
      </c>
      <c r="J50" s="323"/>
      <c r="K50" s="284">
        <f>COUNTA([16]Brewhouse!$A$1596:$A$1619)</f>
        <v>24</v>
      </c>
      <c r="L50" s="302">
        <f>AVERAGE([16]Brewhouse!$AU$1529,[16]Brewhouse!$AU$1531:$AU$1594,[16]Brewhouse!$AU$1596:$AU$1619)</f>
        <v>98.205761326291494</v>
      </c>
      <c r="M50" s="302">
        <f>AVERAGE([16]Brewhouse!$AU$849:$AU$924,[16]Brewhouse!$AU$926:$AU$971,[16]Brewhouse!$AU$973:$AU$1066,[16]Brewhouse!$AU$1068:$AU$1111,[16]Brewhouse!$AU$1113:$AU$1132,[16]Brewhouse!$AU$1134:$AU$1167,[16]Brewhouse!$AU$1169:$AU$1230,[16]Brewhouse!$AU$1232:$AU$1299,[16]Brewhouse!$AU$1301:$AU$1363,[16]Brewhouse!$AU$1365:$AU$1444,[16]Brewhouse!$AU$1446:$AU$1527,[16]Brewhouse!$AU$1529,[16]Brewhouse!$AU$1531:$AU$1594,[16]Brewhouse!$AU$1596:$AU$1619)</f>
        <v>98.38180565872257</v>
      </c>
      <c r="N50" s="30">
        <v>98</v>
      </c>
      <c r="O50" s="11"/>
      <c r="P50" s="31"/>
      <c r="S50" s="277"/>
      <c r="T50" s="296"/>
      <c r="U50" s="296"/>
      <c r="V50" s="297"/>
      <c r="W50" s="297"/>
      <c r="X50" s="297"/>
      <c r="Y50" s="297"/>
      <c r="Z50" s="297"/>
      <c r="AA50" s="296"/>
    </row>
    <row r="51" spans="1:27" ht="15" customHeight="1">
      <c r="A51" s="28"/>
      <c r="B51" s="526"/>
      <c r="C51" s="349">
        <v>11.9</v>
      </c>
      <c r="D51" s="520"/>
      <c r="E51" s="521"/>
      <c r="F51" s="294"/>
      <c r="G51" s="294"/>
      <c r="H51" s="32"/>
      <c r="I51" s="33" t="s">
        <v>9</v>
      </c>
      <c r="J51" s="323"/>
      <c r="K51" s="284">
        <f>COUNTA([17]Brewhouse!$A$976:$A$1007)</f>
        <v>32</v>
      </c>
      <c r="L51" s="302">
        <f>AVERAGE([17]Brewhouse!$AS$976:$AS$979,[17]Brewhouse!$AS$981:$AS$1007)</f>
        <v>98.538566771868645</v>
      </c>
      <c r="M51" s="302">
        <f>AVERAGE([17]Brewhouse!$AS$577:$AS$618,[17]Brewhouse!$AS$620:$AS$651,[17]Brewhouse!$AS$653:$AS$696,[17]Brewhouse!$AS$698:$AS$708,[17]Brewhouse!$AS$710:$AS$733,[17]Brewhouse!$AS$735:$AS$777,[17]Brewhouse!$AS$779:$AS$822,[17]Brewhouse!$AS$824:$AS$863,[17]Brewhouse!$AS$865:$AS$974,[17]Brewhouse!$AS$976:$AS$979,[17]Brewhouse!$AS$981:$AS$1007)</f>
        <v>98.489670500712904</v>
      </c>
      <c r="N51" s="30">
        <v>98</v>
      </c>
      <c r="O51" s="11"/>
      <c r="P51" s="31"/>
      <c r="S51" s="277"/>
      <c r="T51" s="296"/>
      <c r="U51" s="296"/>
      <c r="V51" s="297"/>
      <c r="W51" s="297"/>
      <c r="X51" s="297"/>
      <c r="Y51" s="297"/>
      <c r="Z51" s="297"/>
      <c r="AA51" s="296"/>
    </row>
    <row r="52" spans="1:27" ht="14.65" customHeight="1">
      <c r="A52" s="28"/>
      <c r="B52" s="526"/>
      <c r="C52" s="349"/>
      <c r="D52" s="518"/>
      <c r="E52" s="519"/>
      <c r="F52" s="294"/>
      <c r="G52" s="294"/>
      <c r="H52" s="32"/>
      <c r="I52" s="34" t="s">
        <v>12</v>
      </c>
      <c r="J52" s="280"/>
      <c r="K52" s="284">
        <f>COUNTA([18]Brewhouse!$A$282:$A$289)</f>
        <v>8</v>
      </c>
      <c r="L52" s="302">
        <f>AVERAGE([18]Brewhouse!$AU$269:$AU$279,[18]Brewhouse!$AU$282:$AU$289)</f>
        <v>96.1861768599382</v>
      </c>
      <c r="M52" s="302">
        <f>AVERAGE([18]Brewhouse!$AU$161:$AU$176,[18]Brewhouse!$AU$178:$AU$195,[18]Brewhouse!$AU$197:$AU$208,[18]Brewhouse!$AU$210:$AU$221,[18]Brewhouse!$AU$223:$AU$232,[18]Brewhouse!$AU$234:$AU$279,[18]Brewhouse!$AU$282:$AU$289)</f>
        <v>96.649159522318769</v>
      </c>
      <c r="N52" s="30">
        <v>98</v>
      </c>
      <c r="O52" s="11"/>
      <c r="P52" s="31"/>
      <c r="S52" s="23"/>
      <c r="T52" s="1"/>
      <c r="U52" s="1"/>
      <c r="AA52" s="285"/>
    </row>
    <row r="53" spans="1:27" ht="14.65" customHeight="1">
      <c r="A53" s="28"/>
      <c r="B53" s="526"/>
      <c r="C53" s="349"/>
      <c r="D53" s="520"/>
      <c r="E53" s="521"/>
      <c r="F53" s="294"/>
      <c r="G53" s="294"/>
      <c r="H53" s="32"/>
      <c r="I53" s="22" t="s">
        <v>33</v>
      </c>
      <c r="J53" s="280"/>
      <c r="K53" s="284">
        <f>COUNTA([19]Brewhouse!$A$158:$A$163)</f>
        <v>6</v>
      </c>
      <c r="L53" s="302">
        <f>AVERAGE([19]Brewhouse!$AU$158:$AU$163)</f>
        <v>94.603050114691541</v>
      </c>
      <c r="M53" s="302">
        <f>AVERAGE([19]Brewhouse!$AU$91:$AU$101,[19]Brewhouse!$AU$103:$AU$112,[19]Brewhouse!$AU$114:$AU$123,[19]Brewhouse!$AU$125:$AU$134,[19]Brewhouse!$AU$136:$AU$145,[19]Brewhouse!$AU$147:$AU$156,[19]Brewhouse!$AU$158:$AU$163)</f>
        <v>96.240013738482446</v>
      </c>
      <c r="N53" s="30">
        <v>98</v>
      </c>
      <c r="O53" s="11"/>
      <c r="P53" s="31"/>
      <c r="S53" s="23"/>
      <c r="T53" s="1"/>
      <c r="U53" s="1"/>
      <c r="AA53" s="285"/>
    </row>
    <row r="54" spans="1:27" ht="14.65" customHeight="1">
      <c r="A54" s="28"/>
      <c r="B54" s="526"/>
      <c r="C54" s="349"/>
      <c r="D54" s="518"/>
      <c r="E54" s="519"/>
      <c r="F54" s="294"/>
      <c r="G54" s="294"/>
      <c r="H54" s="32"/>
      <c r="I54" s="35" t="s">
        <v>29</v>
      </c>
      <c r="J54" s="280"/>
      <c r="K54" s="284"/>
      <c r="L54" s="302"/>
      <c r="M54" s="302"/>
      <c r="N54" s="30">
        <v>98</v>
      </c>
      <c r="O54" s="11"/>
      <c r="P54" s="31"/>
      <c r="S54" s="23"/>
    </row>
    <row r="55" spans="1:27" ht="14.65" customHeight="1">
      <c r="A55" s="28"/>
      <c r="B55" s="526"/>
      <c r="C55" s="349"/>
      <c r="D55" s="520"/>
      <c r="E55" s="521"/>
      <c r="F55" s="294"/>
      <c r="G55" s="294"/>
      <c r="H55" s="32"/>
      <c r="I55" s="36" t="s">
        <v>15</v>
      </c>
      <c r="J55" s="323"/>
      <c r="K55" s="284"/>
      <c r="L55" s="302"/>
      <c r="M55" s="302">
        <f>AVERAGE([20]Brewhouse!$AT$74:$AT$79)</f>
        <v>93.95983649860375</v>
      </c>
      <c r="N55" s="30">
        <v>98</v>
      </c>
      <c r="O55" s="11"/>
      <c r="P55" s="31"/>
      <c r="S55" s="23"/>
    </row>
    <row r="56" spans="1:27" ht="14.65" customHeight="1">
      <c r="A56" s="28"/>
      <c r="B56" s="526"/>
      <c r="C56" s="349"/>
      <c r="D56" s="518"/>
      <c r="E56" s="519"/>
      <c r="F56" s="294"/>
      <c r="G56" s="294"/>
      <c r="H56" s="32"/>
      <c r="I56" s="37" t="s">
        <v>16</v>
      </c>
      <c r="J56" s="323"/>
      <c r="K56" s="284">
        <f>COUNTA([21]Brewhouse!$A$249:$A$254)</f>
        <v>6</v>
      </c>
      <c r="L56" s="302">
        <f>AVERAGE([21]Brewhouse!$AY$249:$AY$254)</f>
        <v>99.681996476494263</v>
      </c>
      <c r="M56" s="302">
        <f>AVERAGE([21]Brewhouse!$AY$138:$AY$143,[21]Brewhouse!$AY$145:$AY$153,[21]Brewhouse!$AY$155,[21]Brewhouse!$AY$156:$AY$174,[21]Brewhouse!$AY$176:$AY$185,[21]Brewhouse!$AY$187:$AY$198,[21]Brewhouse!$AY$200:$AY$247,[21]Brewhouse!$AY$249:$AY$254)</f>
        <v>98.774702677266788</v>
      </c>
      <c r="N56" s="30">
        <v>98</v>
      </c>
      <c r="O56" s="11"/>
      <c r="P56" s="31" t="s">
        <v>41</v>
      </c>
      <c r="S56" s="23"/>
      <c r="X56" s="275" t="s">
        <v>41</v>
      </c>
    </row>
    <row r="57" spans="1:27" ht="14.65" customHeight="1">
      <c r="A57" s="28"/>
      <c r="B57" s="526"/>
      <c r="C57" s="349"/>
      <c r="D57" s="520"/>
      <c r="E57" s="521"/>
      <c r="F57" s="294"/>
      <c r="G57" s="294"/>
      <c r="H57" s="32"/>
      <c r="I57" s="306" t="s">
        <v>137</v>
      </c>
      <c r="J57" s="326"/>
      <c r="K57" s="284"/>
      <c r="L57" s="305"/>
      <c r="M57" s="305">
        <f>AVERAGE([22]Brewhouse!$AW$13:$AW$14,[22]Brewhouse!$AW$16:$AW$17)</f>
        <v>92.042628234181777</v>
      </c>
      <c r="N57" s="30">
        <v>98</v>
      </c>
      <c r="O57" s="11"/>
      <c r="P57" s="31"/>
      <c r="S57" s="23"/>
    </row>
    <row r="58" spans="1:27" ht="15" customHeight="1" thickBot="1">
      <c r="A58" s="28"/>
      <c r="B58" s="526"/>
      <c r="C58" s="349"/>
      <c r="D58" s="565"/>
      <c r="E58" s="566"/>
      <c r="F58" s="294"/>
      <c r="G58" s="294"/>
      <c r="H58" s="32"/>
      <c r="I58" s="38" t="s">
        <v>125</v>
      </c>
      <c r="J58" s="327"/>
      <c r="K58" s="284"/>
      <c r="L58" s="328"/>
      <c r="M58" s="328">
        <f>AVERAGE([22]Brewhouse!$AW$13:$AW$14)</f>
        <v>88.376943267718929</v>
      </c>
      <c r="N58" s="30">
        <v>98</v>
      </c>
      <c r="O58" s="11"/>
      <c r="P58" s="31"/>
      <c r="S58" s="23"/>
    </row>
    <row r="59" spans="1:27" ht="15" customHeight="1" thickTop="1" thickBot="1">
      <c r="A59" s="28"/>
      <c r="B59" s="526"/>
      <c r="C59" s="349"/>
      <c r="D59" s="567"/>
      <c r="E59" s="568"/>
      <c r="F59" s="294"/>
      <c r="G59" s="294"/>
      <c r="H59" s="32"/>
      <c r="I59" s="1"/>
      <c r="J59" s="39"/>
      <c r="K59" s="330">
        <f>SUM(K50:K58)</f>
        <v>76</v>
      </c>
      <c r="L59" s="329">
        <f>((L50*K50)+(L51*K51)+(L52*K52)+(L53*K53)+(L54*K54)+(K57*L57)+(L55*K55)+(L56*K56)+(L58*K58))/(K59)</f>
        <v>97.965422407334373</v>
      </c>
      <c r="M59" s="329">
        <f>AVERAGE('[23]Closing- January 2023'!$L$42,'[24]Feb. 28th'!$L$42,'[25]March 31st'!$L$75,'[26]Apri 28th'!$L$51,L59)</f>
        <v>98.069259977506491</v>
      </c>
      <c r="N59" s="40">
        <v>98</v>
      </c>
      <c r="O59" s="11"/>
      <c r="P59" s="31"/>
      <c r="S59" s="23"/>
    </row>
    <row r="60" spans="1:27" ht="15" customHeight="1">
      <c r="A60" s="28"/>
      <c r="B60" s="526"/>
      <c r="C60" s="349"/>
      <c r="D60" s="565"/>
      <c r="E60" s="566"/>
      <c r="F60" s="294"/>
      <c r="G60" s="294"/>
      <c r="H60" s="32"/>
      <c r="I60" s="1"/>
      <c r="J60" s="39"/>
      <c r="O60" s="11"/>
      <c r="P60" s="31"/>
      <c r="S60" s="23"/>
    </row>
    <row r="61" spans="1:27" ht="21.6" customHeight="1" thickBot="1">
      <c r="B61" s="527"/>
      <c r="C61" s="350"/>
      <c r="D61" s="569"/>
      <c r="E61" s="570"/>
      <c r="F61" s="294"/>
      <c r="G61" s="42"/>
      <c r="H61" s="41"/>
      <c r="I61" s="42"/>
      <c r="J61" s="42"/>
      <c r="K61" s="351"/>
      <c r="L61" s="348"/>
      <c r="M61" s="348"/>
      <c r="N61" s="11"/>
      <c r="O61" s="294"/>
      <c r="P61" s="12"/>
      <c r="S61" s="23"/>
    </row>
    <row r="62" spans="1:27" ht="15.75" thickBot="1">
      <c r="B62" s="571"/>
      <c r="C62" s="362"/>
      <c r="D62" s="528"/>
      <c r="E62" s="529"/>
      <c r="F62" s="43"/>
      <c r="G62" s="41"/>
      <c r="H62" s="41"/>
      <c r="I62" s="42"/>
      <c r="J62" s="574" t="s">
        <v>129</v>
      </c>
      <c r="K62" s="574"/>
      <c r="L62" s="294"/>
      <c r="M62" s="294"/>
      <c r="N62" s="294"/>
      <c r="O62" s="294"/>
      <c r="P62" s="12"/>
      <c r="S62" s="23" t="s">
        <v>41</v>
      </c>
    </row>
    <row r="63" spans="1:27" ht="13.5" customHeight="1" thickBot="1">
      <c r="B63" s="572"/>
      <c r="C63" s="349"/>
      <c r="D63" s="524"/>
      <c r="E63" s="521"/>
      <c r="F63" s="43"/>
      <c r="G63" s="41"/>
      <c r="H63" s="41"/>
      <c r="I63" s="42"/>
      <c r="J63" s="292" t="s">
        <v>17</v>
      </c>
      <c r="K63" s="293" t="s">
        <v>147</v>
      </c>
      <c r="L63" s="531" t="s">
        <v>136</v>
      </c>
      <c r="M63" s="531"/>
      <c r="N63" s="532"/>
      <c r="O63" s="294"/>
      <c r="P63" s="12"/>
      <c r="S63" s="23"/>
    </row>
    <row r="64" spans="1:27" ht="15" customHeight="1" thickBot="1">
      <c r="B64" s="572"/>
      <c r="C64" s="349"/>
      <c r="D64" s="575"/>
      <c r="E64" s="519"/>
      <c r="F64" s="43"/>
      <c r="G64" s="41"/>
      <c r="H64" s="41"/>
      <c r="I64" s="42"/>
      <c r="J64" s="287" t="s">
        <v>6</v>
      </c>
      <c r="K64" s="324"/>
      <c r="L64" s="343" t="s">
        <v>37</v>
      </c>
      <c r="M64" s="307" t="s">
        <v>38</v>
      </c>
      <c r="N64" s="307" t="s">
        <v>84</v>
      </c>
      <c r="O64" s="294"/>
      <c r="P64" s="12"/>
      <c r="S64" s="23"/>
    </row>
    <row r="65" spans="2:58" ht="15.75" customHeight="1" thickBot="1">
      <c r="B65" s="572"/>
      <c r="C65" s="349"/>
      <c r="D65" s="524"/>
      <c r="E65" s="521"/>
      <c r="F65" s="43"/>
      <c r="G65" s="41"/>
      <c r="H65" s="41"/>
      <c r="I65" s="42"/>
      <c r="J65" s="345" t="s">
        <v>9</v>
      </c>
      <c r="K65" s="324">
        <v>5</v>
      </c>
      <c r="L65" s="344" t="e">
        <f>AVERAGE(#REF!,#REF!,K74,#REF!,#REF!,#REF!,#REF!,#REF!,#REF!,#REF!,#REF!)</f>
        <v>#REF!</v>
      </c>
      <c r="M65" s="325" t="e">
        <f>AVERAGE(6,6,'[25]March 31st'!$L$80,'[27]June 30th  '!$L$71,6,L65,'[28]July 31st'!$L$108,'[29]Aug 30th'!$L$124,7,[30]Oct.31st!$L$51)</f>
        <v>#REF!</v>
      </c>
      <c r="N65" s="308">
        <v>9</v>
      </c>
      <c r="O65" s="294"/>
      <c r="P65" s="12"/>
      <c r="S65" s="23"/>
    </row>
    <row r="66" spans="2:58" ht="15" customHeight="1">
      <c r="B66" s="572"/>
      <c r="C66" s="349"/>
      <c r="D66" s="575"/>
      <c r="E66" s="519"/>
      <c r="F66" s="43"/>
      <c r="G66" s="41"/>
      <c r="H66" s="41"/>
      <c r="I66" s="42"/>
      <c r="J66" s="288" t="s">
        <v>40</v>
      </c>
      <c r="K66" s="324"/>
      <c r="L66" s="294"/>
      <c r="M66" s="294"/>
      <c r="N66" s="294"/>
      <c r="O66" s="294"/>
      <c r="P66" s="12"/>
      <c r="S66" s="23"/>
    </row>
    <row r="67" spans="2:58" ht="15" customHeight="1">
      <c r="B67" s="572"/>
      <c r="C67" s="349"/>
      <c r="D67" s="524"/>
      <c r="E67" s="521"/>
      <c r="F67" s="43"/>
      <c r="G67" s="41"/>
      <c r="H67" s="41"/>
      <c r="I67" s="42"/>
      <c r="J67" s="289" t="s">
        <v>33</v>
      </c>
      <c r="K67" s="324"/>
      <c r="L67" s="294"/>
      <c r="M67" s="294"/>
      <c r="N67" s="294"/>
      <c r="O67" s="294"/>
      <c r="P67" s="12"/>
      <c r="S67" s="23"/>
    </row>
    <row r="68" spans="2:58" ht="15">
      <c r="B68" s="572"/>
      <c r="C68" s="349"/>
      <c r="D68" s="575"/>
      <c r="E68" s="519"/>
      <c r="F68" s="43"/>
      <c r="G68" s="41"/>
      <c r="H68" s="41"/>
      <c r="I68" s="42"/>
      <c r="J68" s="290" t="s">
        <v>16</v>
      </c>
      <c r="K68" s="324"/>
      <c r="L68" s="294"/>
      <c r="M68" s="294"/>
      <c r="N68" s="294"/>
      <c r="O68" s="294"/>
      <c r="P68" s="12"/>
      <c r="S68" s="23"/>
      <c r="BD68" s="44"/>
      <c r="BE68" s="44"/>
    </row>
    <row r="69" spans="2:58" ht="15">
      <c r="B69" s="572"/>
      <c r="C69" s="349"/>
      <c r="D69" s="524"/>
      <c r="E69" s="521"/>
      <c r="F69" s="43"/>
      <c r="G69" s="41"/>
      <c r="H69" s="41"/>
      <c r="I69" s="42"/>
      <c r="J69" s="291" t="s">
        <v>15</v>
      </c>
      <c r="K69" s="324"/>
      <c r="L69" s="294"/>
      <c r="M69" s="294"/>
      <c r="N69" s="294"/>
      <c r="O69" s="294"/>
      <c r="P69" s="12"/>
      <c r="S69" s="23"/>
      <c r="BD69" s="44"/>
      <c r="BE69" s="44"/>
    </row>
    <row r="70" spans="2:58" ht="15">
      <c r="B70" s="572"/>
      <c r="C70" s="349"/>
      <c r="D70" s="576"/>
      <c r="E70" s="566"/>
      <c r="F70" s="43"/>
      <c r="G70" s="41"/>
      <c r="H70" s="41"/>
      <c r="I70" s="42"/>
      <c r="J70" s="291" t="s">
        <v>149</v>
      </c>
      <c r="K70" s="324"/>
      <c r="L70" s="294"/>
      <c r="M70" s="294"/>
      <c r="N70" s="294"/>
      <c r="O70" s="294"/>
      <c r="P70" s="12"/>
      <c r="S70" s="23"/>
      <c r="BD70" s="44"/>
      <c r="BE70" s="44"/>
    </row>
    <row r="71" spans="2:58" ht="15.75" thickBot="1">
      <c r="B71" s="573"/>
      <c r="C71" s="350"/>
      <c r="D71" s="577"/>
      <c r="E71" s="578"/>
      <c r="F71" s="43"/>
      <c r="G71" s="41"/>
      <c r="H71" s="41"/>
      <c r="I71" s="42"/>
      <c r="J71" s="291" t="s">
        <v>148</v>
      </c>
      <c r="K71" s="324"/>
      <c r="L71" s="294"/>
      <c r="M71" s="294"/>
      <c r="N71" s="294"/>
      <c r="O71" s="294"/>
      <c r="P71" s="12"/>
      <c r="S71" s="23"/>
      <c r="BD71" s="44"/>
      <c r="BE71" s="44"/>
    </row>
    <row r="72" spans="2:58" ht="17.649999999999999" customHeight="1" thickBot="1">
      <c r="B72" s="312" t="s">
        <v>139</v>
      </c>
      <c r="C72" s="313"/>
      <c r="D72" s="579">
        <f>AVERAGE(D50:E71)</f>
        <v>11.73</v>
      </c>
      <c r="E72" s="580"/>
      <c r="F72" s="43"/>
      <c r="G72" s="41"/>
      <c r="H72" s="41"/>
      <c r="I72" s="42"/>
      <c r="J72" s="295" t="s">
        <v>134</v>
      </c>
      <c r="K72" s="324"/>
      <c r="L72" s="294"/>
      <c r="M72" s="294"/>
      <c r="N72" s="294"/>
      <c r="O72" s="294"/>
      <c r="P72" s="12"/>
      <c r="S72" s="23"/>
      <c r="BD72" s="44"/>
      <c r="BE72" s="44"/>
    </row>
    <row r="73" spans="2:58" ht="17.649999999999999" customHeight="1">
      <c r="B73" s="363"/>
      <c r="C73" s="364"/>
      <c r="D73" s="365"/>
      <c r="E73" s="365"/>
      <c r="F73" s="43"/>
      <c r="G73" s="41"/>
      <c r="H73" s="41"/>
      <c r="I73" s="42"/>
      <c r="J73" s="295" t="s">
        <v>131</v>
      </c>
      <c r="K73" s="324"/>
      <c r="L73" s="294"/>
      <c r="M73" s="294"/>
      <c r="N73" s="294"/>
      <c r="O73" s="294"/>
      <c r="P73" s="12"/>
      <c r="S73" s="23"/>
      <c r="BD73" s="44"/>
      <c r="BE73" s="44"/>
    </row>
    <row r="74" spans="2:58" ht="15.75" customHeight="1">
      <c r="B74" s="45"/>
      <c r="C74" s="11"/>
      <c r="D74" s="11"/>
      <c r="E74" s="46"/>
      <c r="F74" s="23"/>
      <c r="G74" s="11"/>
      <c r="H74" s="41"/>
      <c r="I74" s="42"/>
      <c r="J74" s="346" t="s">
        <v>130</v>
      </c>
      <c r="K74" s="324">
        <f>SUM(K64:K73)</f>
        <v>5</v>
      </c>
      <c r="L74" s="294"/>
      <c r="M74" s="294"/>
      <c r="N74" s="294"/>
      <c r="O74" s="294"/>
      <c r="P74" s="12"/>
    </row>
    <row r="75" spans="2:58" ht="20.25" customHeight="1">
      <c r="B75" s="15" t="s">
        <v>42</v>
      </c>
      <c r="C75" s="1" t="s">
        <v>43</v>
      </c>
      <c r="D75" s="1"/>
      <c r="E75" s="1"/>
      <c r="I75" s="42"/>
      <c r="L75" s="294"/>
      <c r="P75" s="334"/>
    </row>
    <row r="76" spans="2:58" ht="15" customHeight="1" thickBot="1"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8"/>
      <c r="O76" s="48"/>
      <c r="P76" s="49"/>
      <c r="X76" s="275" t="s">
        <v>41</v>
      </c>
    </row>
    <row r="77" spans="2:58" ht="15" customHeight="1" thickBot="1">
      <c r="B77" s="537" t="s">
        <v>17</v>
      </c>
      <c r="C77" s="537" t="s">
        <v>44</v>
      </c>
      <c r="D77" s="540" t="s">
        <v>45</v>
      </c>
      <c r="E77" s="501" t="s">
        <v>46</v>
      </c>
      <c r="F77" s="510" t="s">
        <v>47</v>
      </c>
      <c r="G77" s="549" t="s">
        <v>48</v>
      </c>
      <c r="H77" s="537" t="s">
        <v>49</v>
      </c>
      <c r="I77" s="581" t="s">
        <v>50</v>
      </c>
      <c r="J77" s="543" t="s">
        <v>28</v>
      </c>
      <c r="K77" s="499" t="s">
        <v>51</v>
      </c>
      <c r="L77" s="552" t="s">
        <v>52</v>
      </c>
      <c r="M77" s="543" t="s">
        <v>53</v>
      </c>
      <c r="N77" s="77"/>
      <c r="O77" s="13"/>
      <c r="P77" s="50"/>
    </row>
    <row r="78" spans="2:58" ht="28.5" customHeight="1" thickTop="1" thickBot="1">
      <c r="B78" s="539"/>
      <c r="C78" s="539"/>
      <c r="D78" s="541"/>
      <c r="E78" s="542"/>
      <c r="F78" s="554"/>
      <c r="G78" s="550"/>
      <c r="H78" s="539"/>
      <c r="I78" s="582"/>
      <c r="J78" s="544"/>
      <c r="K78" s="551"/>
      <c r="L78" s="553"/>
      <c r="M78" s="544"/>
      <c r="N78" s="77"/>
      <c r="O78" s="13"/>
      <c r="P78" s="50"/>
      <c r="Q78" s="355"/>
      <c r="R78" s="355"/>
      <c r="S78" s="355"/>
      <c r="T78" s="355"/>
      <c r="U78" s="51">
        <v>43466</v>
      </c>
      <c r="V78" s="51">
        <v>43467</v>
      </c>
      <c r="W78" s="51">
        <v>43468</v>
      </c>
      <c r="X78" s="51">
        <v>43469</v>
      </c>
      <c r="Y78" s="51">
        <v>43470</v>
      </c>
      <c r="Z78" s="51">
        <v>43471</v>
      </c>
      <c r="AA78" s="51">
        <v>43472</v>
      </c>
      <c r="AB78" s="51">
        <v>43473</v>
      </c>
      <c r="AC78" s="51">
        <v>43474</v>
      </c>
      <c r="AD78" s="51">
        <v>43475</v>
      </c>
      <c r="AE78" s="51">
        <v>43476</v>
      </c>
      <c r="AF78" s="51">
        <v>43477</v>
      </c>
      <c r="AG78" s="51">
        <v>43478</v>
      </c>
      <c r="AH78" s="51">
        <v>43479</v>
      </c>
      <c r="AI78" s="51">
        <v>43480</v>
      </c>
      <c r="AJ78" s="51">
        <v>43481</v>
      </c>
      <c r="AK78" s="51">
        <v>43482</v>
      </c>
      <c r="AL78" s="51">
        <v>43483</v>
      </c>
      <c r="AM78" s="51">
        <v>43484</v>
      </c>
      <c r="AN78" s="51">
        <v>43485</v>
      </c>
      <c r="AO78" s="51">
        <v>43486</v>
      </c>
      <c r="AP78" s="51">
        <v>43487</v>
      </c>
      <c r="AQ78" s="51">
        <v>43488</v>
      </c>
      <c r="AR78" s="51">
        <v>43489</v>
      </c>
      <c r="AS78" s="51">
        <v>43490</v>
      </c>
      <c r="AT78" s="51">
        <v>43491</v>
      </c>
      <c r="AU78" s="51">
        <v>43492</v>
      </c>
      <c r="AV78" s="51">
        <v>43493</v>
      </c>
      <c r="AW78" s="51">
        <v>43494</v>
      </c>
      <c r="AX78" s="51">
        <v>43495</v>
      </c>
      <c r="AY78" s="51">
        <v>43496</v>
      </c>
    </row>
    <row r="79" spans="2:58" s="54" customFormat="1" ht="41.25" customHeight="1">
      <c r="B79" s="385" t="s">
        <v>9</v>
      </c>
      <c r="C79" s="283">
        <v>45278</v>
      </c>
      <c r="D79" s="377">
        <f>[31]December_2023!$U$13</f>
        <v>150.4</v>
      </c>
      <c r="E79" s="378"/>
      <c r="F79" s="379"/>
      <c r="G79" s="303">
        <f>[31]December_2023!$U$17</f>
        <v>120.8</v>
      </c>
      <c r="H79" s="381"/>
      <c r="I79" s="382"/>
      <c r="J79" s="360" t="s">
        <v>150</v>
      </c>
      <c r="K79" s="380">
        <f>[32]December_2023!$U$25</f>
        <v>0.42385964912280699</v>
      </c>
      <c r="L79" s="391">
        <f>(((D79+E79)-G79)/(D79+E79))*100</f>
        <v>19.680851063829792</v>
      </c>
      <c r="M79" s="357" t="s">
        <v>154</v>
      </c>
      <c r="N79" s="13"/>
      <c r="O79" s="13"/>
      <c r="P79" s="50"/>
      <c r="T79" s="272" t="s">
        <v>54</v>
      </c>
      <c r="U79" s="279"/>
      <c r="V79" s="279"/>
      <c r="W79" s="279"/>
      <c r="X79" s="279"/>
      <c r="Y79" s="279"/>
      <c r="Z79" s="279"/>
      <c r="AA79" s="279"/>
      <c r="AB79" s="279"/>
      <c r="AC79" s="279"/>
      <c r="AD79" s="279"/>
      <c r="AE79" s="279"/>
      <c r="AF79" s="279"/>
      <c r="AG79" s="279"/>
      <c r="AH79" s="279"/>
      <c r="AI79" s="279"/>
      <c r="AJ79" s="279"/>
      <c r="AK79" s="279"/>
      <c r="AL79" s="279"/>
      <c r="AM79" s="279"/>
      <c r="AN79" s="279"/>
      <c r="AO79" s="279"/>
      <c r="AP79" s="279"/>
      <c r="AQ79" s="279"/>
      <c r="AR79" s="279"/>
      <c r="AS79" s="279"/>
      <c r="AT79" s="279"/>
      <c r="AU79" s="279"/>
      <c r="AV79" s="279"/>
      <c r="AW79" s="279"/>
      <c r="AX79" s="279"/>
    </row>
    <row r="80" spans="2:58" s="54" customFormat="1" ht="18.75" customHeight="1" thickBot="1">
      <c r="B80" s="387"/>
      <c r="C80" s="283"/>
      <c r="D80" s="279"/>
      <c r="E80" s="279"/>
      <c r="F80" s="279"/>
      <c r="G80" s="279"/>
      <c r="H80" s="320"/>
      <c r="I80" s="321"/>
      <c r="J80" s="281" t="s">
        <v>41</v>
      </c>
      <c r="K80" s="376"/>
      <c r="L80" s="314"/>
      <c r="M80" s="384"/>
      <c r="N80" s="13"/>
      <c r="O80" s="13"/>
      <c r="P80" s="50"/>
      <c r="T80" s="272" t="s">
        <v>51</v>
      </c>
      <c r="U80" s="57" t="e">
        <f>[14]January_2019!D8</f>
        <v>#DIV/0!</v>
      </c>
      <c r="V80" s="57">
        <f>[14]January_2019!E8</f>
        <v>1.0319298245614037</v>
      </c>
      <c r="W80" s="57">
        <f>[14]January_2019!F8</f>
        <v>1.7789473684210526</v>
      </c>
      <c r="X80" s="57">
        <f>[14]January_2019!G8</f>
        <v>0.51929824561403504</v>
      </c>
      <c r="Y80" s="57" t="e">
        <f>[14]January_2019!H8</f>
        <v>#DIV/0!</v>
      </c>
      <c r="Z80" s="57" t="e">
        <f>[14]January_2019!I8</f>
        <v>#DIV/0!</v>
      </c>
      <c r="AA80" s="57">
        <f>[14]January_2019!J8</f>
        <v>1.365263157894737</v>
      </c>
      <c r="AB80" s="57" t="e">
        <f>[14]January_2019!K8</f>
        <v>#DIV/0!</v>
      </c>
      <c r="AC80" s="57">
        <f>[14]January_2019!L8</f>
        <v>1.0028070175438597</v>
      </c>
      <c r="AD80" s="57">
        <f>[14]January_2019!M8</f>
        <v>1.7828070175438597</v>
      </c>
      <c r="AE80" s="57" t="e">
        <f>[14]January_2019!N8</f>
        <v>#DIV/0!</v>
      </c>
      <c r="AF80" s="57" t="e">
        <f>[14]January_2019!O8</f>
        <v>#DIV/0!</v>
      </c>
      <c r="AG80" s="57">
        <f>[14]January_2019!P8</f>
        <v>0.19222222222222221</v>
      </c>
      <c r="AH80" s="57">
        <f>[14]January_2019!Q8</f>
        <v>0.52219298245614032</v>
      </c>
      <c r="AI80" s="57">
        <f>[14]January_2019!R8</f>
        <v>0.42912280701754385</v>
      </c>
      <c r="AJ80" s="57" t="e">
        <f>[14]January_2019!S8</f>
        <v>#DIV/0!</v>
      </c>
      <c r="AK80" s="57">
        <f>[14]January_2019!T8</f>
        <v>1.0340350877192983</v>
      </c>
      <c r="AL80" s="57">
        <f>[14]January_2019!U8</f>
        <v>0.98421052631578942</v>
      </c>
      <c r="AM80" s="57" t="e">
        <f>[14]January_2019!V8</f>
        <v>#DIV/0!</v>
      </c>
      <c r="AN80" s="57" t="e">
        <f>[14]January_2019!W8</f>
        <v>#DIV/0!</v>
      </c>
      <c r="AO80" s="57">
        <f>[14]January_2019!X8</f>
        <v>0.66052631578947374</v>
      </c>
      <c r="AP80" s="57">
        <f>[14]January_2019!Y8</f>
        <v>1.0375438596491227</v>
      </c>
      <c r="AQ80" s="57">
        <f>[14]January_2019!Z8</f>
        <v>0.90456140350877201</v>
      </c>
      <c r="AR80" s="57">
        <f>[14]January_2019!AA8</f>
        <v>1.0217543859649123</v>
      </c>
      <c r="AS80" s="57">
        <f>[14]January_2019!AB8</f>
        <v>0.65614035087719302</v>
      </c>
      <c r="AT80" s="57" t="e">
        <f>[14]January_2019!AC8</f>
        <v>#DIV/0!</v>
      </c>
      <c r="AU80" s="57" t="e">
        <f>[14]January_2019!AD8</f>
        <v>#DIV/0!</v>
      </c>
      <c r="AV80" s="57">
        <f>[14]January_2019!AE8</f>
        <v>1.7021052631578948</v>
      </c>
      <c r="AW80" s="57">
        <f>[14]January_2019!AF8</f>
        <v>0.60192982456140354</v>
      </c>
      <c r="AX80" s="57">
        <f>[14]January_2019!AG8</f>
        <v>1.4870175438596491</v>
      </c>
      <c r="AY80" s="277" t="e">
        <f>[14]January_2019!AH8</f>
        <v>#DIV/0!</v>
      </c>
      <c r="AZ80" s="277"/>
      <c r="BA80" s="277"/>
      <c r="BB80" s="277"/>
      <c r="BC80" s="277"/>
      <c r="BD80" s="277"/>
      <c r="BE80" s="277"/>
      <c r="BF80" s="277"/>
    </row>
    <row r="81" spans="2:58" s="54" customFormat="1" ht="45.75" hidden="1" customHeight="1" thickBot="1">
      <c r="B81" s="29"/>
      <c r="C81" s="283"/>
      <c r="D81" s="279"/>
      <c r="E81" s="279"/>
      <c r="F81" s="279"/>
      <c r="G81" s="279"/>
      <c r="H81" s="381"/>
      <c r="I81" s="382"/>
      <c r="J81" s="390"/>
      <c r="K81" s="372"/>
      <c r="L81" s="391"/>
      <c r="M81" s="357"/>
      <c r="N81" s="13"/>
      <c r="O81" s="13"/>
      <c r="P81" s="50"/>
      <c r="T81" s="272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277"/>
      <c r="AZ81" s="277"/>
      <c r="BA81" s="277"/>
      <c r="BB81" s="277"/>
      <c r="BC81" s="277"/>
      <c r="BD81" s="277"/>
      <c r="BE81" s="277"/>
      <c r="BF81" s="277"/>
    </row>
    <row r="82" spans="2:58" s="54" customFormat="1" ht="28.5" hidden="1" customHeight="1" thickBot="1">
      <c r="B82" s="361"/>
      <c r="C82" s="283"/>
      <c r="D82" s="304"/>
      <c r="E82" s="279"/>
      <c r="F82" s="279"/>
      <c r="G82" s="279"/>
      <c r="H82" s="320"/>
      <c r="I82" s="321"/>
      <c r="J82" s="389"/>
      <c r="K82" s="376"/>
      <c r="L82" s="314"/>
      <c r="M82" s="354"/>
      <c r="N82" s="13"/>
      <c r="O82" s="13"/>
      <c r="P82" s="50"/>
      <c r="T82" s="272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277"/>
      <c r="AZ82" s="277"/>
      <c r="BA82" s="277"/>
      <c r="BB82" s="277"/>
      <c r="BC82" s="277"/>
      <c r="BD82" s="277"/>
      <c r="BE82" s="277"/>
      <c r="BF82" s="277"/>
    </row>
    <row r="83" spans="2:58" s="54" customFormat="1" ht="45.75" hidden="1" customHeight="1">
      <c r="B83" s="385"/>
      <c r="C83" s="283"/>
      <c r="D83" s="279"/>
      <c r="E83" s="279"/>
      <c r="F83" s="279"/>
      <c r="G83" s="279"/>
      <c r="H83" s="320"/>
      <c r="I83" s="322"/>
      <c r="J83" s="360"/>
      <c r="K83" s="286"/>
      <c r="L83" s="314"/>
      <c r="M83" s="384"/>
      <c r="N83" s="13"/>
      <c r="O83" s="13"/>
      <c r="P83" s="50"/>
      <c r="T83" s="272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277"/>
      <c r="AZ83" s="277"/>
      <c r="BA83" s="277"/>
      <c r="BB83" s="277"/>
      <c r="BC83" s="277"/>
      <c r="BD83" s="277"/>
      <c r="BE83" s="277"/>
      <c r="BF83" s="277"/>
    </row>
    <row r="84" spans="2:58" s="54" customFormat="1" ht="45.75" hidden="1" customHeight="1">
      <c r="B84" s="361"/>
      <c r="C84" s="283"/>
      <c r="D84" s="279"/>
      <c r="E84" s="279"/>
      <c r="F84" s="279"/>
      <c r="G84" s="279"/>
      <c r="H84" s="320"/>
      <c r="I84" s="322"/>
      <c r="J84" s="281"/>
      <c r="K84" s="286"/>
      <c r="L84" s="314"/>
      <c r="M84" s="339"/>
      <c r="N84" s="13"/>
      <c r="O84" s="13"/>
      <c r="P84" s="50"/>
      <c r="T84" s="272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277"/>
      <c r="AZ84" s="277"/>
      <c r="BA84" s="277"/>
      <c r="BB84" s="277"/>
      <c r="BC84" s="277"/>
      <c r="BD84" s="277"/>
      <c r="BE84" s="277"/>
      <c r="BF84" s="277"/>
    </row>
    <row r="85" spans="2:58" ht="15.75" hidden="1" thickBot="1">
      <c r="B85" s="33"/>
      <c r="C85" s="310"/>
      <c r="D85" s="279"/>
      <c r="E85" s="279"/>
      <c r="F85" s="279"/>
      <c r="G85" s="279"/>
      <c r="H85" s="352"/>
      <c r="I85" s="353"/>
      <c r="J85" s="52"/>
      <c r="K85" s="52"/>
      <c r="L85" s="53"/>
      <c r="M85" s="55"/>
      <c r="N85" s="77"/>
      <c r="O85" s="13"/>
      <c r="P85" s="56"/>
    </row>
    <row r="86" spans="2:58" ht="15.75" thickBot="1">
      <c r="B86" s="58"/>
      <c r="C86" s="309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9"/>
      <c r="O86" s="56"/>
      <c r="P86" s="60"/>
    </row>
    <row r="87" spans="2:58" ht="15.75" thickBot="1">
      <c r="B87" s="545" t="s">
        <v>55</v>
      </c>
      <c r="C87" s="546"/>
      <c r="D87" s="546"/>
      <c r="E87" s="546"/>
      <c r="F87" s="547"/>
      <c r="G87" s="545" t="s">
        <v>56</v>
      </c>
      <c r="H87" s="546"/>
      <c r="I87" s="546"/>
      <c r="J87" s="547"/>
      <c r="K87" s="545" t="s">
        <v>51</v>
      </c>
      <c r="L87" s="546"/>
      <c r="M87" s="546"/>
      <c r="N87" s="548"/>
      <c r="O87" s="56"/>
      <c r="P87" s="50"/>
    </row>
    <row r="88" spans="2:58" ht="15">
      <c r="B88" s="61" t="s">
        <v>17</v>
      </c>
      <c r="C88" s="62" t="s">
        <v>36</v>
      </c>
      <c r="D88" s="62" t="s">
        <v>37</v>
      </c>
      <c r="E88" s="62" t="s">
        <v>38</v>
      </c>
      <c r="F88" s="63" t="s">
        <v>39</v>
      </c>
      <c r="G88" s="62" t="s">
        <v>36</v>
      </c>
      <c r="H88" s="62" t="s">
        <v>37</v>
      </c>
      <c r="I88" s="62" t="s">
        <v>38</v>
      </c>
      <c r="J88" s="63" t="s">
        <v>39</v>
      </c>
      <c r="K88" s="62" t="s">
        <v>36</v>
      </c>
      <c r="L88" s="62" t="s">
        <v>37</v>
      </c>
      <c r="M88" s="62" t="s">
        <v>38</v>
      </c>
      <c r="N88" s="63" t="s">
        <v>39</v>
      </c>
      <c r="O88" s="56"/>
      <c r="P88" s="64"/>
    </row>
    <row r="89" spans="2:58" ht="15">
      <c r="B89" s="29" t="s">
        <v>6</v>
      </c>
      <c r="D89" s="76">
        <v>5.181332008533289</v>
      </c>
      <c r="E89" s="76">
        <v>6.6038502743493472</v>
      </c>
      <c r="F89" s="66">
        <v>4.8</v>
      </c>
      <c r="H89" s="76">
        <v>5.2502762338962023</v>
      </c>
      <c r="I89" s="76">
        <v>6.9665257793219286</v>
      </c>
      <c r="J89" s="66">
        <v>4.8</v>
      </c>
      <c r="L89" s="194">
        <v>0.70807017543859652</v>
      </c>
      <c r="M89" s="194">
        <v>0.77999467121139654</v>
      </c>
      <c r="N89" s="68">
        <v>1</v>
      </c>
      <c r="O89" s="56"/>
      <c r="P89" s="69"/>
    </row>
    <row r="90" spans="2:58" ht="15">
      <c r="B90" s="33" t="s">
        <v>9</v>
      </c>
      <c r="C90" s="65">
        <f>AVERAGE(L79,L81)</f>
        <v>19.680851063829792</v>
      </c>
      <c r="D90" s="76">
        <v>6.5498914589415387</v>
      </c>
      <c r="E90" s="76">
        <v>6.1662321034923213</v>
      </c>
      <c r="F90" s="66">
        <v>4.8</v>
      </c>
      <c r="G90" s="65">
        <f>[31]December_2023!$U$21</f>
        <v>19.680851063829799</v>
      </c>
      <c r="H90" s="76">
        <v>6.3458281571920923</v>
      </c>
      <c r="I90" s="76">
        <v>5.9138833775175614</v>
      </c>
      <c r="J90" s="66">
        <v>4.8</v>
      </c>
      <c r="K90" s="67">
        <f>AVERAGE(K79,K81)</f>
        <v>0.42385964912280699</v>
      </c>
      <c r="L90" s="194">
        <v>0.66137426900584784</v>
      </c>
      <c r="M90" s="194">
        <v>0.71942943874066057</v>
      </c>
      <c r="N90" s="68">
        <v>1</v>
      </c>
      <c r="P90" s="69"/>
    </row>
    <row r="91" spans="2:58" ht="15">
      <c r="B91" s="34" t="s">
        <v>40</v>
      </c>
      <c r="C91" s="65"/>
      <c r="D91" s="76">
        <v>8.4423676012461133</v>
      </c>
      <c r="E91" s="76">
        <v>8.9890454879433594</v>
      </c>
      <c r="F91" s="66">
        <v>5.5</v>
      </c>
      <c r="G91" s="65"/>
      <c r="H91" s="76">
        <v>5.9624998430282856</v>
      </c>
      <c r="I91" s="76">
        <v>8.6652309201910018</v>
      </c>
      <c r="J91" s="66">
        <v>5.5</v>
      </c>
      <c r="K91" s="67"/>
      <c r="L91" s="194">
        <v>0.5156140350877193</v>
      </c>
      <c r="M91" s="194">
        <v>0.65035607537361928</v>
      </c>
      <c r="N91" s="68">
        <v>1</v>
      </c>
      <c r="P91" s="69"/>
    </row>
    <row r="92" spans="2:58" ht="15">
      <c r="B92" s="22" t="s">
        <v>33</v>
      </c>
      <c r="C92" s="65"/>
      <c r="D92" s="76">
        <v>3.5978480161398938</v>
      </c>
      <c r="E92" s="76">
        <v>2.9936806546492249</v>
      </c>
      <c r="F92" s="66">
        <v>3.3</v>
      </c>
      <c r="G92" s="65"/>
      <c r="H92" s="76">
        <v>6.0982020044620322</v>
      </c>
      <c r="I92" s="76">
        <v>3.3134542932705222</v>
      </c>
      <c r="J92" s="66">
        <v>3.3</v>
      </c>
      <c r="K92" s="67"/>
      <c r="L92" s="194">
        <v>0.50298245614035086</v>
      </c>
      <c r="M92" s="194">
        <v>1.0625518341307816</v>
      </c>
      <c r="N92" s="68">
        <v>1</v>
      </c>
      <c r="P92" s="69"/>
    </row>
    <row r="93" spans="2:58" ht="15">
      <c r="B93" s="35" t="s">
        <v>29</v>
      </c>
      <c r="C93" s="65"/>
      <c r="D93" s="76"/>
      <c r="E93" s="76"/>
      <c r="F93" s="66">
        <v>3.3</v>
      </c>
      <c r="G93" s="282"/>
      <c r="H93" s="76"/>
      <c r="I93" s="76"/>
      <c r="J93" s="66">
        <v>3</v>
      </c>
      <c r="K93" s="67"/>
      <c r="L93" s="194"/>
      <c r="M93" s="194"/>
      <c r="N93" s="68">
        <v>1</v>
      </c>
      <c r="P93" s="69"/>
    </row>
    <row r="94" spans="2:58" ht="15">
      <c r="B94" s="36" t="s">
        <v>15</v>
      </c>
      <c r="C94" s="282"/>
      <c r="D94" s="76"/>
      <c r="E94" s="76">
        <v>6.4174306465055304</v>
      </c>
      <c r="F94" s="70">
        <f>[15]May_2022!$M$43</f>
        <v>3.4878406700073312</v>
      </c>
      <c r="G94" s="282"/>
      <c r="H94" s="76"/>
      <c r="I94" s="76">
        <v>7.0730654939490236</v>
      </c>
      <c r="J94" s="70">
        <v>5.5</v>
      </c>
      <c r="K94" s="67"/>
      <c r="L94" s="194"/>
      <c r="M94" s="194">
        <v>1.0342105263157895</v>
      </c>
      <c r="N94" s="68">
        <v>1</v>
      </c>
      <c r="P94" s="69"/>
    </row>
    <row r="95" spans="2:58" ht="15">
      <c r="B95" s="37" t="s">
        <v>16</v>
      </c>
      <c r="C95" s="65"/>
      <c r="D95" s="76">
        <v>2.7692803091289537</v>
      </c>
      <c r="E95" s="76">
        <v>3.0589057857018314</v>
      </c>
      <c r="F95" s="70">
        <v>3.3</v>
      </c>
      <c r="G95" s="282"/>
      <c r="H95" s="76">
        <v>4.2179953480824466</v>
      </c>
      <c r="I95" s="76">
        <v>4.9470952635574701</v>
      </c>
      <c r="J95" s="70">
        <v>3.3</v>
      </c>
      <c r="K95" s="67"/>
      <c r="L95" s="194">
        <v>1.0594736842105266</v>
      </c>
      <c r="M95" s="194">
        <v>1.0223839009287927</v>
      </c>
      <c r="N95" s="71">
        <v>1</v>
      </c>
      <c r="P95" s="69"/>
    </row>
    <row r="96" spans="2:58" ht="15.75" thickBot="1">
      <c r="B96" s="38" t="s">
        <v>127</v>
      </c>
      <c r="C96" s="65"/>
      <c r="D96" s="76"/>
      <c r="E96" s="76">
        <v>11.178247734138981</v>
      </c>
      <c r="F96" s="72">
        <v>7.5</v>
      </c>
      <c r="G96" s="73"/>
      <c r="H96" s="76"/>
      <c r="I96" s="76">
        <v>14.598510156332937</v>
      </c>
      <c r="J96" s="72">
        <v>7.5</v>
      </c>
      <c r="K96" s="67"/>
      <c r="L96" s="194"/>
      <c r="M96" s="194">
        <v>0.30947368421052629</v>
      </c>
      <c r="N96" s="71">
        <v>1</v>
      </c>
      <c r="P96" s="69"/>
    </row>
    <row r="97" spans="3:30" ht="15">
      <c r="C97" s="65"/>
      <c r="D97" s="76">
        <v>5.3927000828210607</v>
      </c>
      <c r="E97" s="76">
        <v>6.2517133375322747</v>
      </c>
      <c r="F97" s="341">
        <v>4.5</v>
      </c>
      <c r="G97" s="74"/>
      <c r="H97" s="76">
        <v>5.4965257407735688</v>
      </c>
      <c r="I97" s="76">
        <v>6.5279580392540781</v>
      </c>
      <c r="J97" s="342">
        <v>4.5</v>
      </c>
      <c r="K97" s="67"/>
      <c r="L97" s="194">
        <v>0.69682017543859642</v>
      </c>
      <c r="M97" s="194">
        <v>0.78265037728044273</v>
      </c>
      <c r="N97" s="386">
        <v>1</v>
      </c>
      <c r="O97" s="74"/>
      <c r="P97" s="75"/>
    </row>
    <row r="102" spans="3:30">
      <c r="F102" s="315"/>
    </row>
    <row r="110" spans="3:30">
      <c r="AD110" s="275" t="s">
        <v>57</v>
      </c>
    </row>
  </sheetData>
  <mergeCells count="54">
    <mergeCell ref="M77:M78"/>
    <mergeCell ref="B87:F87"/>
    <mergeCell ref="G87:J87"/>
    <mergeCell ref="K87:N87"/>
    <mergeCell ref="G77:G78"/>
    <mergeCell ref="H77:H78"/>
    <mergeCell ref="I77:I78"/>
    <mergeCell ref="J77:J78"/>
    <mergeCell ref="K77:K78"/>
    <mergeCell ref="L77:L78"/>
    <mergeCell ref="F77:F78"/>
    <mergeCell ref="D72:E72"/>
    <mergeCell ref="B77:B78"/>
    <mergeCell ref="C77:C78"/>
    <mergeCell ref="D77:D78"/>
    <mergeCell ref="E77:E78"/>
    <mergeCell ref="B62:B71"/>
    <mergeCell ref="D62:E63"/>
    <mergeCell ref="J62:K62"/>
    <mergeCell ref="L63:N63"/>
    <mergeCell ref="D64:E65"/>
    <mergeCell ref="D66:E67"/>
    <mergeCell ref="D68:E69"/>
    <mergeCell ref="D70:E71"/>
    <mergeCell ref="Q8:Q9"/>
    <mergeCell ref="I48:N48"/>
    <mergeCell ref="B50:B61"/>
    <mergeCell ref="D50:E51"/>
    <mergeCell ref="D52:E53"/>
    <mergeCell ref="D54:E55"/>
    <mergeCell ref="D56:E57"/>
    <mergeCell ref="D58:E59"/>
    <mergeCell ref="D60:E61"/>
    <mergeCell ref="X1:Y1"/>
    <mergeCell ref="Z1:AA1"/>
    <mergeCell ref="B2:O2"/>
    <mergeCell ref="D49:E49"/>
    <mergeCell ref="J6:K7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C4:D4"/>
    <mergeCell ref="J4:K5"/>
    <mergeCell ref="M4:N4"/>
    <mergeCell ref="T1:U1"/>
    <mergeCell ref="V1:W1"/>
  </mergeCells>
  <conditionalFormatting sqref="B72:B73">
    <cfRule type="cellIs" dxfId="3733" priority="157" operator="notBetween">
      <formula>#REF!</formula>
      <formula>#REF!</formula>
    </cfRule>
  </conditionalFormatting>
  <conditionalFormatting sqref="C76">
    <cfRule type="cellIs" dxfId="3732" priority="190" stopIfTrue="1" operator="greaterThan">
      <formula>100</formula>
    </cfRule>
    <cfRule type="cellIs" dxfId="3731" priority="189" stopIfTrue="1" operator="lessThan">
      <formula>96</formula>
    </cfRule>
  </conditionalFormatting>
  <conditionalFormatting sqref="C90">
    <cfRule type="cellIs" dxfId="3730" priority="212" stopIfTrue="1" operator="greaterThan">
      <formula>$F89</formula>
    </cfRule>
    <cfRule type="cellIs" dxfId="3729" priority="106" stopIfTrue="1" operator="lessThanOrEqual">
      <formula>0</formula>
    </cfRule>
  </conditionalFormatting>
  <conditionalFormatting sqref="C91:C93">
    <cfRule type="cellIs" dxfId="3728" priority="105" stopIfTrue="1" operator="greaterThan">
      <formula>$F91</formula>
    </cfRule>
  </conditionalFormatting>
  <conditionalFormatting sqref="C91:C94">
    <cfRule type="cellIs" dxfId="3727" priority="129" stopIfTrue="1" operator="lessThanOrEqual">
      <formula>0</formula>
    </cfRule>
  </conditionalFormatting>
  <conditionalFormatting sqref="C94">
    <cfRule type="cellIs" dxfId="3726" priority="128" stopIfTrue="1" operator="greaterThan">
      <formula>$J94</formula>
    </cfRule>
  </conditionalFormatting>
  <conditionalFormatting sqref="C95:C97">
    <cfRule type="cellIs" dxfId="3725" priority="145" stopIfTrue="1" operator="greaterThan">
      <formula>$F95</formula>
    </cfRule>
    <cfRule type="cellIs" dxfId="3724" priority="146" stopIfTrue="1" operator="lessThanOrEqual">
      <formula>0</formula>
    </cfRule>
  </conditionalFormatting>
  <conditionalFormatting sqref="C100:C104">
    <cfRule type="cellIs" dxfId="3723" priority="181" stopIfTrue="1" operator="lessThanOrEqual">
      <formula>0</formula>
    </cfRule>
  </conditionalFormatting>
  <conditionalFormatting sqref="C101:C104">
    <cfRule type="cellIs" dxfId="3722" priority="180" stopIfTrue="1" operator="greaterThan">
      <formula>$F$100</formula>
    </cfRule>
  </conditionalFormatting>
  <conditionalFormatting sqref="C106">
    <cfRule type="cellIs" dxfId="3721" priority="183" stopIfTrue="1" operator="lessThanOrEqual">
      <formula>0</formula>
    </cfRule>
    <cfRule type="cellIs" dxfId="3720" priority="182" stopIfTrue="1" operator="greaterThan">
      <formula>$F$100</formula>
    </cfRule>
  </conditionalFormatting>
  <conditionalFormatting sqref="C100:D100 D102:D108">
    <cfRule type="cellIs" dxfId="3719" priority="175" stopIfTrue="1" operator="greaterThan">
      <formula>4.5</formula>
    </cfRule>
  </conditionalFormatting>
  <conditionalFormatting sqref="D72:D73">
    <cfRule type="cellIs" dxfId="3718" priority="158" operator="notBetween">
      <formula>#REF!</formula>
      <formula>#REF!</formula>
    </cfRule>
  </conditionalFormatting>
  <conditionalFormatting sqref="D89:D96">
    <cfRule type="cellIs" dxfId="3717" priority="144" stopIfTrue="1" operator="lessThanOrEqual">
      <formula>0</formula>
    </cfRule>
  </conditionalFormatting>
  <conditionalFormatting sqref="D97">
    <cfRule type="cellIs" dxfId="3716" priority="143" stopIfTrue="1" operator="lessThanOrEqual">
      <formula>0</formula>
    </cfRule>
  </conditionalFormatting>
  <conditionalFormatting sqref="D100 D102:D108">
    <cfRule type="cellIs" dxfId="3715" priority="176" stopIfTrue="1" operator="lessThanOrEqual">
      <formula>0</formula>
    </cfRule>
  </conditionalFormatting>
  <conditionalFormatting sqref="D101">
    <cfRule type="cellIs" dxfId="3714" priority="167" stopIfTrue="1" operator="greaterThan">
      <formula>$F$100</formula>
    </cfRule>
    <cfRule type="cellIs" dxfId="3713" priority="168" stopIfTrue="1" operator="lessThanOrEqual">
      <formula>0</formula>
    </cfRule>
  </conditionalFormatting>
  <conditionalFormatting sqref="D89:E97">
    <cfRule type="cellIs" dxfId="3712" priority="135" stopIfTrue="1" operator="greaterThan">
      <formula>$F89</formula>
    </cfRule>
  </conditionalFormatting>
  <conditionalFormatting sqref="E10:E14">
    <cfRule type="cellIs" dxfId="3711" priority="52" operator="lessThan">
      <formula>48</formula>
    </cfRule>
  </conditionalFormatting>
  <conditionalFormatting sqref="E33:E46">
    <cfRule type="cellIs" dxfId="3710" priority="25" operator="lessThan">
      <formula>48</formula>
    </cfRule>
  </conditionalFormatting>
  <conditionalFormatting sqref="E76">
    <cfRule type="cellIs" dxfId="3709" priority="169" stopIfTrue="1" operator="lessThan">
      <formula>96.8</formula>
    </cfRule>
    <cfRule type="cellIs" dxfId="3708" priority="170" stopIfTrue="1" operator="greaterThan">
      <formula>100</formula>
    </cfRule>
  </conditionalFormatting>
  <conditionalFormatting sqref="E89:E97">
    <cfRule type="cellIs" dxfId="3707" priority="136" stopIfTrue="1" operator="lessThanOrEqual">
      <formula>0</formula>
    </cfRule>
  </conditionalFormatting>
  <conditionalFormatting sqref="E100:E108">
    <cfRule type="cellIs" dxfId="3706" priority="161" stopIfTrue="1" operator="greaterThan">
      <formula>4.5</formula>
    </cfRule>
    <cfRule type="cellIs" dxfId="3705" priority="162" stopIfTrue="1" operator="lessThanOrEqual">
      <formula>0</formula>
    </cfRule>
  </conditionalFormatting>
  <conditionalFormatting sqref="E75:F76">
    <cfRule type="cellIs" dxfId="3704" priority="171" stopIfTrue="1" operator="lessThan">
      <formula>96.5</formula>
    </cfRule>
    <cfRule type="cellIs" dxfId="3703" priority="172" stopIfTrue="1" operator="greaterThan">
      <formula>100</formula>
    </cfRule>
  </conditionalFormatting>
  <conditionalFormatting sqref="F10:F12">
    <cfRule type="cellIs" dxfId="3702" priority="62" operator="greaterThan">
      <formula>#REF!</formula>
    </cfRule>
  </conditionalFormatting>
  <conditionalFormatting sqref="F10:F47">
    <cfRule type="cellIs" dxfId="3701" priority="15" operator="greaterThan">
      <formula>$AA10</formula>
    </cfRule>
  </conditionalFormatting>
  <conditionalFormatting sqref="F13">
    <cfRule type="cellIs" dxfId="3700" priority="53" operator="greaterThan">
      <formula>$AA47</formula>
    </cfRule>
  </conditionalFormatting>
  <conditionalFormatting sqref="F14">
    <cfRule type="cellIs" dxfId="3699" priority="196" operator="greaterThan">
      <formula>#REF!</formula>
    </cfRule>
  </conditionalFormatting>
  <conditionalFormatting sqref="F33:F46">
    <cfRule type="cellIs" dxfId="3698" priority="26" operator="greaterThan">
      <formula>$AA48</formula>
    </cfRule>
  </conditionalFormatting>
  <conditionalFormatting sqref="F76">
    <cfRule type="cellIs" dxfId="3697" priority="188" stopIfTrue="1" operator="greaterThan">
      <formula>100</formula>
    </cfRule>
    <cfRule type="cellIs" dxfId="3696" priority="187" stopIfTrue="1" operator="lessThan">
      <formula>96.8</formula>
    </cfRule>
  </conditionalFormatting>
  <conditionalFormatting sqref="F97">
    <cfRule type="cellIs" dxfId="3695" priority="137" stopIfTrue="1" operator="greaterThan">
      <formula>$F97</formula>
    </cfRule>
    <cfRule type="cellIs" dxfId="3694" priority="138" stopIfTrue="1" operator="lessThanOrEqual">
      <formula>0</formula>
    </cfRule>
  </conditionalFormatting>
  <conditionalFormatting sqref="G10:G14">
    <cfRule type="expression" dxfId="3693" priority="54">
      <formula>IF(+(IF(G10&lt;#REF!,0,IF(G10&gt;#REF!,0,1)))=0,1)</formula>
    </cfRule>
  </conditionalFormatting>
  <conditionalFormatting sqref="G33:G46">
    <cfRule type="expression" dxfId="3692" priority="27">
      <formula>IF(+(IF(G33&lt;#REF!,0,IF(G33&gt;#REF!,0,1)))=0,1)</formula>
    </cfRule>
  </conditionalFormatting>
  <conditionalFormatting sqref="G90">
    <cfRule type="cellIs" dxfId="3691" priority="71" stopIfTrue="1" operator="lessThanOrEqual">
      <formula>0</formula>
    </cfRule>
    <cfRule type="cellIs" dxfId="3690" priority="70" stopIfTrue="1" operator="greaterThan">
      <formula>$F89</formula>
    </cfRule>
  </conditionalFormatting>
  <conditionalFormatting sqref="G90:G91">
    <cfRule type="cellIs" dxfId="3689" priority="192" stopIfTrue="1" operator="lessThanOrEqual">
      <formula>0</formula>
    </cfRule>
    <cfRule type="cellIs" dxfId="3688" priority="191" stopIfTrue="1" operator="greaterThan">
      <formula>$F89</formula>
    </cfRule>
  </conditionalFormatting>
  <conditionalFormatting sqref="G92">
    <cfRule type="cellIs" dxfId="3687" priority="140" stopIfTrue="1" operator="lessThanOrEqual">
      <formula>0</formula>
    </cfRule>
    <cfRule type="cellIs" dxfId="3686" priority="139" stopIfTrue="1" operator="greaterThan">
      <formula>$F92</formula>
    </cfRule>
  </conditionalFormatting>
  <conditionalFormatting sqref="G93:G96">
    <cfRule type="cellIs" dxfId="3685" priority="149" stopIfTrue="1" operator="lessThanOrEqual">
      <formula>0</formula>
    </cfRule>
    <cfRule type="cellIs" dxfId="3684" priority="148" stopIfTrue="1" operator="greaterThan">
      <formula>$J93</formula>
    </cfRule>
  </conditionalFormatting>
  <conditionalFormatting sqref="G97">
    <cfRule type="cellIs" dxfId="3683" priority="147" operator="greaterThan">
      <formula>4.5</formula>
    </cfRule>
  </conditionalFormatting>
  <conditionalFormatting sqref="G102:G107 C105 C107">
    <cfRule type="cellIs" dxfId="3682" priority="184" stopIfTrue="1" operator="greaterThan">
      <formula>4.5</formula>
    </cfRule>
    <cfRule type="cellIs" dxfId="3681" priority="185" stopIfTrue="1" operator="lessThanOrEqual">
      <formula>0</formula>
    </cfRule>
  </conditionalFormatting>
  <conditionalFormatting sqref="G62:H62 G63:G73 H63:H74">
    <cfRule type="cellIs" dxfId="3680" priority="163" stopIfTrue="1" operator="greaterThan">
      <formula>0</formula>
    </cfRule>
  </conditionalFormatting>
  <conditionalFormatting sqref="G101:H101">
    <cfRule type="cellIs" dxfId="3679" priority="166" stopIfTrue="1" operator="lessThanOrEqual">
      <formula>0</formula>
    </cfRule>
    <cfRule type="cellIs" dxfId="3678" priority="165" stopIfTrue="1" operator="greaterThan">
      <formula>$F$100</formula>
    </cfRule>
  </conditionalFormatting>
  <conditionalFormatting sqref="H10">
    <cfRule type="expression" dxfId="3677" priority="63">
      <formula>IF(+(IF(H10&lt;T27,0,IF(H10&gt;U27,0,1)))=0,1)</formula>
    </cfRule>
  </conditionalFormatting>
  <conditionalFormatting sqref="H10:H12">
    <cfRule type="expression" dxfId="3676" priority="64">
      <formula>IF(+(IF(H10&lt;#REF!,0,IF(H10&gt;#REF!,0,1)))=0,1)</formula>
    </cfRule>
  </conditionalFormatting>
  <conditionalFormatting sqref="H11:H12">
    <cfRule type="expression" dxfId="3675" priority="207">
      <formula>IF(+(IF(H11&lt;T47,0,IF(H11&gt;U47,0,1)))=0,1)</formula>
    </cfRule>
  </conditionalFormatting>
  <conditionalFormatting sqref="H13">
    <cfRule type="expression" dxfId="3674" priority="55">
      <formula>IF(+(IF(H13&lt;T56,0,IF(H13&gt;U56,0,1)))=0,1)</formula>
    </cfRule>
    <cfRule type="expression" dxfId="3673" priority="56">
      <formula>IF(+(IF(H13&lt;T47,0,IF(H13&gt;U47,0,1)))=0,1)</formula>
    </cfRule>
  </conditionalFormatting>
  <conditionalFormatting sqref="H14">
    <cfRule type="expression" dxfId="3672" priority="197">
      <formula>IF(+(IF(H14&lt;T50,0,IF(H14&gt;U50,0,1)))=0,1)</formula>
    </cfRule>
    <cfRule type="expression" dxfId="3671" priority="198">
      <formula>IF(+(IF(H14&lt;#REF!,0,IF(H14&gt;#REF!,0,1)))=0,1)</formula>
    </cfRule>
  </conditionalFormatting>
  <conditionalFormatting sqref="H15:H32">
    <cfRule type="expression" dxfId="3670" priority="209">
      <formula>IF(+(IF(H15&lt;T66,0,IF(H15&gt;U66,0,1)))=0,1)</formula>
    </cfRule>
  </conditionalFormatting>
  <conditionalFormatting sqref="H33:H46">
    <cfRule type="expression" dxfId="3669" priority="29">
      <formula>IF(+(IF(H33&lt;T48,0,IF(H33&gt;U48,0,1)))=0,1)</formula>
    </cfRule>
    <cfRule type="expression" dxfId="3668" priority="28">
      <formula>IF(+(IF(H33&lt;T57,0,IF(H33&gt;U57,0,1)))=0,1)</formula>
    </cfRule>
  </conditionalFormatting>
  <conditionalFormatting sqref="H47">
    <cfRule type="expression" dxfId="3667" priority="193">
      <formula>IF(+(IF(H47&lt;#REF!,0,IF(H47&gt;#REF!,0,1)))=0,1)</formula>
    </cfRule>
  </conditionalFormatting>
  <conditionalFormatting sqref="H51:H61">
    <cfRule type="cellIs" dxfId="3666" priority="159" stopIfTrue="1" operator="greaterThan">
      <formula>0</formula>
    </cfRule>
  </conditionalFormatting>
  <conditionalFormatting sqref="H79">
    <cfRule type="cellIs" dxfId="3665" priority="12" stopIfTrue="1" operator="lessThanOrEqual">
      <formula>0</formula>
    </cfRule>
    <cfRule type="cellIs" dxfId="3664" priority="14" stopIfTrue="1" operator="lessThanOrEqual">
      <formula>0</formula>
    </cfRule>
    <cfRule type="cellIs" dxfId="3663" priority="13" stopIfTrue="1" operator="greaterThan">
      <formula>$F$54</formula>
    </cfRule>
    <cfRule type="cellIs" dxfId="3662" priority="11" stopIfTrue="1" operator="greaterThan">
      <formula>$F$56</formula>
    </cfRule>
    <cfRule type="cellIs" dxfId="3661" priority="2" stopIfTrue="1" operator="lessThanOrEqual">
      <formula>0</formula>
    </cfRule>
    <cfRule type="cellIs" dxfId="3660" priority="3" stopIfTrue="1" operator="greaterThan">
      <formula>$F$53</formula>
    </cfRule>
  </conditionalFormatting>
  <conditionalFormatting sqref="H80">
    <cfRule type="cellIs" dxfId="3659" priority="92" stopIfTrue="1" operator="lessThanOrEqual">
      <formula>0</formula>
    </cfRule>
    <cfRule type="cellIs" dxfId="3658" priority="93" stopIfTrue="1" operator="greaterThan">
      <formula>$F$88</formula>
    </cfRule>
    <cfRule type="cellIs" dxfId="3657" priority="104" stopIfTrue="1" operator="lessThanOrEqual">
      <formula>0</formula>
    </cfRule>
    <cfRule type="cellIs" dxfId="3656" priority="101" stopIfTrue="1" operator="greaterThan">
      <formula>$F$91</formula>
    </cfRule>
    <cfRule type="cellIs" dxfId="3655" priority="102" stopIfTrue="1" operator="lessThanOrEqual">
      <formula>0</formula>
    </cfRule>
    <cfRule type="cellIs" dxfId="3654" priority="103" stopIfTrue="1" operator="greaterThan">
      <formula>$F$89</formula>
    </cfRule>
  </conditionalFormatting>
  <conditionalFormatting sqref="H81">
    <cfRule type="cellIs" dxfId="3653" priority="45" stopIfTrue="1" operator="lessThanOrEqual">
      <formula>0</formula>
    </cfRule>
    <cfRule type="cellIs" dxfId="3652" priority="36" stopIfTrue="1" operator="greaterThan">
      <formula>$F$72</formula>
    </cfRule>
    <cfRule type="cellIs" dxfId="3651" priority="35" stopIfTrue="1" operator="lessThanOrEqual">
      <formula>0</formula>
    </cfRule>
    <cfRule type="cellIs" dxfId="3650" priority="44" stopIfTrue="1" operator="greaterThan">
      <formula>$F$75</formula>
    </cfRule>
    <cfRule type="cellIs" dxfId="3649" priority="47" stopIfTrue="1" operator="lessThanOrEqual">
      <formula>0</formula>
    </cfRule>
    <cfRule type="cellIs" dxfId="3648" priority="46" stopIfTrue="1" operator="greaterThan">
      <formula>$F$73</formula>
    </cfRule>
  </conditionalFormatting>
  <conditionalFormatting sqref="H82">
    <cfRule type="cellIs" dxfId="3647" priority="84" stopIfTrue="1" operator="greaterThan">
      <formula>#REF!</formula>
    </cfRule>
    <cfRule type="cellIs" dxfId="3646" priority="75" stopIfTrue="1" operator="lessThanOrEqual">
      <formula>0</formula>
    </cfRule>
    <cfRule type="cellIs" dxfId="3645" priority="76" stopIfTrue="1" operator="greaterThan">
      <formula>#REF!</formula>
    </cfRule>
  </conditionalFormatting>
  <conditionalFormatting sqref="H82:H84">
    <cfRule type="cellIs" dxfId="3644" priority="85" stopIfTrue="1" operator="lessThanOrEqual">
      <formula>0</formula>
    </cfRule>
  </conditionalFormatting>
  <conditionalFormatting sqref="H83:H84">
    <cfRule type="cellIs" dxfId="3643" priority="125" stopIfTrue="1" operator="lessThanOrEqual">
      <formula>0</formula>
    </cfRule>
    <cfRule type="cellIs" dxfId="3642" priority="124" stopIfTrue="1" operator="greaterThan">
      <formula>$F$90</formula>
    </cfRule>
    <cfRule type="cellIs" dxfId="3641" priority="122" stopIfTrue="1" operator="greaterThan">
      <formula>$F$92</formula>
    </cfRule>
    <cfRule type="cellIs" dxfId="3640" priority="114" stopIfTrue="1" operator="greaterThan">
      <formula>$F$89</formula>
    </cfRule>
    <cfRule type="cellIs" dxfId="3639" priority="123" stopIfTrue="1" operator="lessThanOrEqual">
      <formula>0</formula>
    </cfRule>
  </conditionalFormatting>
  <conditionalFormatting sqref="H85">
    <cfRule type="cellIs" dxfId="3638" priority="155" stopIfTrue="1" operator="greaterThan">
      <formula>$F$82</formula>
    </cfRule>
    <cfRule type="cellIs" dxfId="3637" priority="156" stopIfTrue="1" operator="lessThanOrEqual">
      <formula>0</formula>
    </cfRule>
    <cfRule type="cellIs" dxfId="3636" priority="153" stopIfTrue="1" operator="greaterThan">
      <formula>$F$86</formula>
    </cfRule>
    <cfRule type="cellIs" dxfId="3635" priority="154" stopIfTrue="1" operator="lessThanOrEqual">
      <formula>0</formula>
    </cfRule>
  </conditionalFormatting>
  <conditionalFormatting sqref="H89:H96">
    <cfRule type="cellIs" dxfId="3634" priority="127" stopIfTrue="1" operator="lessThanOrEqual">
      <formula>0</formula>
    </cfRule>
    <cfRule type="cellIs" dxfId="3633" priority="126" stopIfTrue="1" operator="greaterThan">
      <formula>$J89</formula>
    </cfRule>
  </conditionalFormatting>
  <conditionalFormatting sqref="H97">
    <cfRule type="cellIs" dxfId="3632" priority="132" operator="greaterThan">
      <formula>5.3</formula>
    </cfRule>
  </conditionalFormatting>
  <conditionalFormatting sqref="H100 H102:H108">
    <cfRule type="cellIs" dxfId="3631" priority="177" stopIfTrue="1" operator="greaterThan">
      <formula>4.5</formula>
    </cfRule>
    <cfRule type="cellIs" dxfId="3630" priority="178" stopIfTrue="1" operator="lessThanOrEqual">
      <formula>0</formula>
    </cfRule>
  </conditionalFormatting>
  <conditionalFormatting sqref="H79:I79">
    <cfRule type="cellIs" dxfId="3629" priority="4" stopIfTrue="1" operator="lessThanOrEqual">
      <formula>0</formula>
    </cfRule>
    <cfRule type="cellIs" dxfId="3628" priority="1" stopIfTrue="1" operator="greaterThan">
      <formula>$F$55</formula>
    </cfRule>
  </conditionalFormatting>
  <conditionalFormatting sqref="H80:I80">
    <cfRule type="cellIs" dxfId="3627" priority="94" stopIfTrue="1" operator="lessThanOrEqual">
      <formula>0</formula>
    </cfRule>
    <cfRule type="cellIs" dxfId="3626" priority="91" stopIfTrue="1" operator="greaterThan">
      <formula>$F$90</formula>
    </cfRule>
  </conditionalFormatting>
  <conditionalFormatting sqref="H81:I81">
    <cfRule type="cellIs" dxfId="3625" priority="37" stopIfTrue="1" operator="lessThanOrEqual">
      <formula>0</formula>
    </cfRule>
    <cfRule type="cellIs" dxfId="3624" priority="34" stopIfTrue="1" operator="greaterThan">
      <formula>$F$74</formula>
    </cfRule>
  </conditionalFormatting>
  <conditionalFormatting sqref="H82:I82">
    <cfRule type="cellIs" dxfId="3623" priority="83" stopIfTrue="1" operator="lessThanOrEqual">
      <formula>0</formula>
    </cfRule>
    <cfRule type="cellIs" dxfId="3622" priority="82" stopIfTrue="1" operator="greaterThan">
      <formula>#REF!</formula>
    </cfRule>
    <cfRule type="cellIs" dxfId="3621" priority="74" stopIfTrue="1" operator="greaterThan">
      <formula>#REF!</formula>
    </cfRule>
    <cfRule type="cellIs" dxfId="3620" priority="77" stopIfTrue="1" operator="lessThanOrEqual">
      <formula>0</formula>
    </cfRule>
  </conditionalFormatting>
  <conditionalFormatting sqref="H83:I83">
    <cfRule type="cellIs" dxfId="3619" priority="115" stopIfTrue="1" operator="lessThanOrEqual">
      <formula>0</formula>
    </cfRule>
  </conditionalFormatting>
  <conditionalFormatting sqref="H83:I84">
    <cfRule type="cellIs" dxfId="3618" priority="72" stopIfTrue="1" operator="greaterThan">
      <formula>$F$91</formula>
    </cfRule>
  </conditionalFormatting>
  <conditionalFormatting sqref="H84:I84">
    <cfRule type="cellIs" dxfId="3617" priority="73" stopIfTrue="1" operator="lessThanOrEqual">
      <formula>0</formula>
    </cfRule>
  </conditionalFormatting>
  <conditionalFormatting sqref="I10:I14">
    <cfRule type="cellIs" dxfId="3616" priority="49" operator="lessThan">
      <formula>97.8</formula>
    </cfRule>
  </conditionalFormatting>
  <conditionalFormatting sqref="I10:I47">
    <cfRule type="cellIs" dxfId="3615" priority="21" operator="lessThan">
      <formula>98</formula>
    </cfRule>
  </conditionalFormatting>
  <conditionalFormatting sqref="I33:I46">
    <cfRule type="cellIs" dxfId="3614" priority="22" operator="lessThan">
      <formula>97.8</formula>
    </cfRule>
  </conditionalFormatting>
  <conditionalFormatting sqref="I79">
    <cfRule type="cellIs" dxfId="3613" priority="5" stopIfTrue="1" operator="greaterThan">
      <formula>$F$53</formula>
    </cfRule>
    <cfRule type="cellIs" dxfId="3612" priority="6" stopIfTrue="1" operator="lessThanOrEqual">
      <formula>0</formula>
    </cfRule>
    <cfRule type="cellIs" dxfId="3611" priority="7" stopIfTrue="1" operator="greaterThan">
      <formula>$F$55</formula>
    </cfRule>
    <cfRule type="cellIs" dxfId="3610" priority="8" stopIfTrue="1" operator="lessThanOrEqual">
      <formula>0</formula>
    </cfRule>
    <cfRule type="cellIs" dxfId="3609" priority="9" stopIfTrue="1" operator="greaterThan">
      <formula>$F$53</formula>
    </cfRule>
    <cfRule type="cellIs" dxfId="3608" priority="10" stopIfTrue="1" operator="lessThanOrEqual">
      <formula>0</formula>
    </cfRule>
  </conditionalFormatting>
  <conditionalFormatting sqref="I80">
    <cfRule type="cellIs" dxfId="3607" priority="99" stopIfTrue="1" operator="greaterThan">
      <formula>$F$88</formula>
    </cfRule>
    <cfRule type="cellIs" dxfId="3606" priority="97" stopIfTrue="1" operator="greaterThan">
      <formula>$F$90</formula>
    </cfRule>
    <cfRule type="cellIs" dxfId="3605" priority="96" stopIfTrue="1" operator="lessThanOrEqual">
      <formula>0</formula>
    </cfRule>
    <cfRule type="cellIs" dxfId="3604" priority="95" stopIfTrue="1" operator="greaterThan">
      <formula>$F$88</formula>
    </cfRule>
    <cfRule type="cellIs" dxfId="3603" priority="100" stopIfTrue="1" operator="lessThanOrEqual">
      <formula>0</formula>
    </cfRule>
    <cfRule type="cellIs" dxfId="3602" priority="98" stopIfTrue="1" operator="lessThanOrEqual">
      <formula>0</formula>
    </cfRule>
  </conditionalFormatting>
  <conditionalFormatting sqref="I81">
    <cfRule type="cellIs" dxfId="3601" priority="43" stopIfTrue="1" operator="lessThanOrEqual">
      <formula>0</formula>
    </cfRule>
    <cfRule type="cellIs" dxfId="3600" priority="42" stopIfTrue="1" operator="greaterThan">
      <formula>$F$72</formula>
    </cfRule>
    <cfRule type="cellIs" dxfId="3599" priority="41" stopIfTrue="1" operator="lessThanOrEqual">
      <formula>0</formula>
    </cfRule>
    <cfRule type="cellIs" dxfId="3598" priority="40" stopIfTrue="1" operator="greaterThan">
      <formula>$F$74</formula>
    </cfRule>
    <cfRule type="cellIs" dxfId="3597" priority="39" stopIfTrue="1" operator="lessThanOrEqual">
      <formula>0</formula>
    </cfRule>
    <cfRule type="cellIs" dxfId="3596" priority="38" stopIfTrue="1" operator="greaterThan">
      <formula>$F$72</formula>
    </cfRule>
  </conditionalFormatting>
  <conditionalFormatting sqref="I82">
    <cfRule type="cellIs" dxfId="3595" priority="80" stopIfTrue="1" operator="greaterThan">
      <formula>#REF!</formula>
    </cfRule>
    <cfRule type="cellIs" dxfId="3594" priority="79" stopIfTrue="1" operator="lessThanOrEqual">
      <formula>0</formula>
    </cfRule>
    <cfRule type="cellIs" dxfId="3593" priority="78" stopIfTrue="1" operator="greaterThan">
      <formula>#REF!</formula>
    </cfRule>
    <cfRule type="cellIs" dxfId="3592" priority="81" stopIfTrue="1" operator="lessThanOrEqual">
      <formula>0</formula>
    </cfRule>
  </conditionalFormatting>
  <conditionalFormatting sqref="I83:I84">
    <cfRule type="cellIs" dxfId="3591" priority="118" stopIfTrue="1" operator="greaterThan">
      <formula>$F$91</formula>
    </cfRule>
    <cfRule type="cellIs" dxfId="3590" priority="116" stopIfTrue="1" operator="greaterThan">
      <formula>$F$89</formula>
    </cfRule>
    <cfRule type="cellIs" dxfId="3589" priority="117" stopIfTrue="1" operator="lessThanOrEqual">
      <formula>0</formula>
    </cfRule>
    <cfRule type="cellIs" dxfId="3588" priority="119" stopIfTrue="1" operator="lessThanOrEqual">
      <formula>0</formula>
    </cfRule>
    <cfRule type="cellIs" dxfId="3587" priority="120" stopIfTrue="1" operator="greaterThan">
      <formula>$F$89</formula>
    </cfRule>
    <cfRule type="cellIs" dxfId="3586" priority="121" stopIfTrue="1" operator="lessThanOrEqual">
      <formula>0</formula>
    </cfRule>
  </conditionalFormatting>
  <conditionalFormatting sqref="I89:I97">
    <cfRule type="cellIs" dxfId="3585" priority="133" stopIfTrue="1" operator="greaterThan">
      <formula>$J89</formula>
    </cfRule>
    <cfRule type="cellIs" dxfId="3584" priority="134" stopIfTrue="1" operator="lessThanOrEqual">
      <formula>0</formula>
    </cfRule>
  </conditionalFormatting>
  <conditionalFormatting sqref="I100:I108">
    <cfRule type="cellIs" dxfId="3583" priority="173" stopIfTrue="1" operator="greaterThan">
      <formula>4.5</formula>
    </cfRule>
    <cfRule type="cellIs" dxfId="3582" priority="174" stopIfTrue="1" operator="lessThanOrEqual">
      <formula>0</formula>
    </cfRule>
  </conditionalFormatting>
  <conditionalFormatting sqref="J10:J14">
    <cfRule type="cellIs" dxfId="3581" priority="51" operator="notBetween">
      <formula>98</formula>
      <formula>99.9</formula>
    </cfRule>
  </conditionalFormatting>
  <conditionalFormatting sqref="J10:J47">
    <cfRule type="cellIs" dxfId="3580" priority="20" operator="lessThan">
      <formula>97.4</formula>
    </cfRule>
  </conditionalFormatting>
  <conditionalFormatting sqref="J33:J46">
    <cfRule type="cellIs" dxfId="3579" priority="24" operator="notBetween">
      <formula>98</formula>
      <formula>99.9</formula>
    </cfRule>
  </conditionalFormatting>
  <conditionalFormatting sqref="J50:J52">
    <cfRule type="cellIs" dxfId="3578" priority="108" stopIfTrue="1" operator="greaterThan">
      <formula>100</formula>
    </cfRule>
    <cfRule type="cellIs" dxfId="3577" priority="109" operator="lessThan">
      <formula>98</formula>
    </cfRule>
    <cfRule type="cellIs" dxfId="3576" priority="107" stopIfTrue="1" operator="lessThan">
      <formula>96.8</formula>
    </cfRule>
  </conditionalFormatting>
  <conditionalFormatting sqref="J50:J54">
    <cfRule type="cellIs" dxfId="3575" priority="48" operator="lessThan">
      <formula>97.4</formula>
    </cfRule>
  </conditionalFormatting>
  <conditionalFormatting sqref="J55 L59:M59 L61:M61">
    <cfRule type="cellIs" dxfId="3574" priority="110" operator="lessThan">
      <formula>98</formula>
    </cfRule>
  </conditionalFormatting>
  <conditionalFormatting sqref="J56:J57">
    <cfRule type="cellIs" dxfId="3573" priority="111" stopIfTrue="1" operator="lessThan">
      <formula>96.8</formula>
    </cfRule>
    <cfRule type="cellIs" dxfId="3572" priority="112" stopIfTrue="1" operator="greaterThan">
      <formula>100</formula>
    </cfRule>
  </conditionalFormatting>
  <conditionalFormatting sqref="J56:J58">
    <cfRule type="cellIs" dxfId="3571" priority="113" operator="lessThan">
      <formula>98</formula>
    </cfRule>
  </conditionalFormatting>
  <conditionalFormatting sqref="K10:K14">
    <cfRule type="cellIs" dxfId="3570" priority="50" operator="greaterThan">
      <formula>6.4</formula>
    </cfRule>
  </conditionalFormatting>
  <conditionalFormatting sqref="K10:K47">
    <cfRule type="cellIs" dxfId="3569" priority="17" operator="lessThan">
      <formula>4</formula>
    </cfRule>
    <cfRule type="cellIs" dxfId="3568" priority="16" operator="greaterThan">
      <formula>6</formula>
    </cfRule>
  </conditionalFormatting>
  <conditionalFormatting sqref="K33:K46">
    <cfRule type="cellIs" dxfId="3567" priority="23" operator="greaterThan">
      <formula>6.4</formula>
    </cfRule>
  </conditionalFormatting>
  <conditionalFormatting sqref="K64:K73">
    <cfRule type="cellIs" dxfId="3566" priority="141" operator="notEqual">
      <formula>#REF!</formula>
    </cfRule>
  </conditionalFormatting>
  <conditionalFormatting sqref="K79:K84 J85:K85 L89:N89 K90:N97">
    <cfRule type="cellIs" dxfId="3565" priority="152" stopIfTrue="1" operator="lessThan">
      <formula>100%</formula>
    </cfRule>
  </conditionalFormatting>
  <conditionalFormatting sqref="K100:K105">
    <cfRule type="cellIs" dxfId="3564" priority="179" stopIfTrue="1" operator="lessThan">
      <formula>100%</formula>
    </cfRule>
  </conditionalFormatting>
  <conditionalFormatting sqref="K107:K108">
    <cfRule type="cellIs" dxfId="3563" priority="186" stopIfTrue="1" operator="lessThan">
      <formula>100%</formula>
    </cfRule>
  </conditionalFormatting>
  <conditionalFormatting sqref="L10:L47">
    <cfRule type="cellIs" dxfId="3562" priority="19" operator="greaterThan">
      <formula>65</formula>
    </cfRule>
    <cfRule type="cellIs" dxfId="3561" priority="18" operator="between">
      <formula>61</formula>
      <formula>65</formula>
    </cfRule>
  </conditionalFormatting>
  <conditionalFormatting sqref="L52:L58">
    <cfRule type="cellIs" dxfId="3560" priority="88" operator="lessThan">
      <formula>98</formula>
    </cfRule>
  </conditionalFormatting>
  <conditionalFormatting sqref="L65:N65">
    <cfRule type="cellIs" dxfId="3559" priority="87" operator="notEqual">
      <formula>#REF!</formula>
    </cfRule>
  </conditionalFormatting>
  <conditionalFormatting sqref="L100:N108">
    <cfRule type="cellIs" dxfId="3558" priority="164" stopIfTrue="1" operator="lessThan">
      <formula>100%</formula>
    </cfRule>
  </conditionalFormatting>
  <conditionalFormatting sqref="M10:M11">
    <cfRule type="expression" dxfId="3557" priority="65">
      <formula>IF(+(IF(M10&lt;V23,0,IF(M10&gt;W23,0,1)))=0,1)</formula>
    </cfRule>
  </conditionalFormatting>
  <conditionalFormatting sqref="M13">
    <cfRule type="expression" dxfId="3556" priority="58">
      <formula>IF(+(IF(M13&lt;V47,0,IF(M13&gt;W47,0,1)))=0,1)</formula>
    </cfRule>
    <cfRule type="expression" dxfId="3555" priority="57">
      <formula>IF(+(IF(M13&lt;V52,0,IF(M13&gt;W52,0,1)))=0,1)</formula>
    </cfRule>
  </conditionalFormatting>
  <conditionalFormatting sqref="M14">
    <cfRule type="expression" dxfId="3554" priority="199">
      <formula>IF(+(IF(M14&lt;V27,0,IF(M14&gt;W27,0,1)))=0,1)</formula>
    </cfRule>
  </conditionalFormatting>
  <conditionalFormatting sqref="M15:M32">
    <cfRule type="expression" dxfId="3553" priority="210">
      <formula>IF(+(IF(M15&lt;V62,0,IF(M15&gt;W62,0,1)))=0,1)</formula>
    </cfRule>
  </conditionalFormatting>
  <conditionalFormatting sqref="M33:M46">
    <cfRule type="expression" dxfId="3552" priority="31">
      <formula>IF(+(IF(M33&lt;V48,0,IF(M33&gt;W48,0,1)))=0,1)</formula>
    </cfRule>
    <cfRule type="expression" dxfId="3551" priority="30">
      <formula>IF(+(IF(M33&lt;V53,0,IF(M33&gt;W53,0,1)))=0,1)</formula>
    </cfRule>
  </conditionalFormatting>
  <conditionalFormatting sqref="M50:M58">
    <cfRule type="cellIs" dxfId="3550" priority="86" operator="lessThan">
      <formula>98</formula>
    </cfRule>
  </conditionalFormatting>
  <conditionalFormatting sqref="M10:N12">
    <cfRule type="expression" dxfId="3549" priority="66">
      <formula>IF(+(IF(M10&lt;#REF!,0,IF(M10&gt;#REF!,0,1)))=0,1)</formula>
    </cfRule>
  </conditionalFormatting>
  <conditionalFormatting sqref="M14:N14">
    <cfRule type="expression" dxfId="3548" priority="200">
      <formula>IF(+(IF(M14&lt;#REF!,0,IF(M14&gt;#REF!,0,1)))=0,1)</formula>
    </cfRule>
  </conditionalFormatting>
  <conditionalFormatting sqref="M47:N47">
    <cfRule type="expression" dxfId="3547" priority="194">
      <formula>IF(+(IF(M47&lt;#REF!,0,IF(M47&gt;#REF!,0,1)))=0,1)</formula>
    </cfRule>
  </conditionalFormatting>
  <conditionalFormatting sqref="N10:N11">
    <cfRule type="expression" dxfId="3546" priority="67">
      <formula>IF(+(IF(N10&lt;X23,0,IF(N10&gt;Y23,0,1)))=0,1)</formula>
    </cfRule>
  </conditionalFormatting>
  <conditionalFormatting sqref="N13">
    <cfRule type="expression" dxfId="3545" priority="60">
      <formula>IF(+(IF(N13&lt;X47,0,IF(N13&gt;Y47,0,1)))=0,1)</formula>
    </cfRule>
    <cfRule type="expression" dxfId="3544" priority="59">
      <formula>IF(+(IF(N13&lt;X52,0,IF(N13&gt;Y52,0,1)))=0,1)</formula>
    </cfRule>
  </conditionalFormatting>
  <conditionalFormatting sqref="N14">
    <cfRule type="expression" dxfId="3543" priority="203">
      <formula>IF(+(IF(N14&lt;X27,0,IF(N14&gt;Y27,0,1)))=0,1)</formula>
    </cfRule>
  </conditionalFormatting>
  <conditionalFormatting sqref="N15:N32">
    <cfRule type="expression" dxfId="3542" priority="211">
      <formula>IF(+(IF(N15&lt;X62,0,IF(N15&gt;Y62,0,1)))=0,1)</formula>
    </cfRule>
  </conditionalFormatting>
  <conditionalFormatting sqref="N33:N46">
    <cfRule type="expression" dxfId="3541" priority="33">
      <formula>IF(+(IF(N33&lt;X48,0,IF(N33&gt;Y48,0,1)))=0,1)</formula>
    </cfRule>
    <cfRule type="expression" dxfId="3540" priority="32">
      <formula>IF(+(IF(N33&lt;X53,0,IF(N33&gt;Y53,0,1)))=0,1)</formula>
    </cfRule>
  </conditionalFormatting>
  <conditionalFormatting sqref="P6">
    <cfRule type="cellIs" dxfId="3539" priority="160" operator="greaterThanOrEqual">
      <formula>19</formula>
    </cfRule>
  </conditionalFormatting>
  <dataValidations count="1">
    <dataValidation type="list" allowBlank="1" showInputMessage="1" showErrorMessage="1" sqref="S8 B13 B15:B47" xr:uid="{0829AB47-947B-4730-ADDD-DF3E14D3F471}">
      <formula1>ProductList</formula1>
    </dataValidation>
  </dataValidations>
  <pageMargins left="0.7" right="0.7" top="0.75" bottom="0.75" header="0.3" footer="0.3"/>
  <pageSetup scale="46" fitToWidth="0" orientation="landscape" r:id="rId1"/>
  <rowBreaks count="1" manualBreakCount="1">
    <brk id="102" max="16383" man="1"/>
  </rowBreaks>
  <colBreaks count="1" manualBreakCount="1">
    <brk id="15" max="8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80519-D943-4BE5-A0E7-E12CE448C20A}">
  <sheetPr>
    <pageSetUpPr fitToPage="1"/>
  </sheetPr>
  <dimension ref="A1:BE82"/>
  <sheetViews>
    <sheetView topLeftCell="A9" zoomScale="80" zoomScaleNormal="80" workbookViewId="0">
      <selection activeCell="B16" sqref="B16:O16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4" t="s">
        <v>0</v>
      </c>
      <c r="T1" s="494"/>
      <c r="U1" s="494" t="s">
        <v>1</v>
      </c>
      <c r="V1" s="494"/>
      <c r="W1" s="494" t="s">
        <v>2</v>
      </c>
      <c r="X1" s="494"/>
      <c r="Y1" s="494" t="s">
        <v>124</v>
      </c>
      <c r="Z1" s="494"/>
    </row>
    <row r="2" spans="2:29" ht="15">
      <c r="B2" s="495" t="s">
        <v>3</v>
      </c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46080</v>
      </c>
      <c r="J4" s="398" t="s">
        <v>167</v>
      </c>
      <c r="K4" s="398"/>
      <c r="L4" s="11"/>
      <c r="M4" s="492" t="s">
        <v>8</v>
      </c>
      <c r="N4" s="493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8"/>
      <c r="D5" s="49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9" t="s">
        <v>17</v>
      </c>
      <c r="C8" s="501" t="s">
        <v>18</v>
      </c>
      <c r="D8" s="501" t="s">
        <v>19</v>
      </c>
      <c r="E8" s="356" t="s">
        <v>20</v>
      </c>
      <c r="F8" s="356" t="s">
        <v>21</v>
      </c>
      <c r="G8" s="501" t="s">
        <v>22</v>
      </c>
      <c r="H8" s="502" t="s">
        <v>144</v>
      </c>
      <c r="I8" s="501" t="s">
        <v>165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169</v>
      </c>
      <c r="O8" s="510" t="s">
        <v>155</v>
      </c>
      <c r="P8" s="496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.6" customHeight="1">
      <c r="B9" s="500"/>
      <c r="C9" s="497"/>
      <c r="D9" s="497"/>
      <c r="E9" s="357" t="s">
        <v>30</v>
      </c>
      <c r="F9" s="357" t="s">
        <v>31</v>
      </c>
      <c r="G9" s="497"/>
      <c r="H9" s="503"/>
      <c r="I9" s="497"/>
      <c r="J9" s="505"/>
      <c r="K9" s="507"/>
      <c r="L9" s="509"/>
      <c r="M9" s="20" t="s">
        <v>32</v>
      </c>
      <c r="N9" s="21" t="s">
        <v>41</v>
      </c>
      <c r="O9" s="511"/>
      <c r="P9" s="497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22" t="s">
        <v>33</v>
      </c>
      <c r="C10" s="366" t="str">
        <f>[6]Brewhouse!A38</f>
        <v>VM014</v>
      </c>
      <c r="D10" s="279">
        <f>[6]Brewhouse!AE38</f>
        <v>50</v>
      </c>
      <c r="E10" s="279">
        <f>[6]Brewhouse!AJ38</f>
        <v>44.2</v>
      </c>
      <c r="F10" s="278">
        <f>[6]Brewhouse!X38</f>
        <v>79</v>
      </c>
      <c r="G10" s="279">
        <f>[6]Brewhouse!AH38</f>
        <v>15.5</v>
      </c>
      <c r="H10" s="396">
        <v>15.4</v>
      </c>
      <c r="I10" s="368">
        <f>[6]Brewhouse!AV38</f>
        <v>96.780047980030858</v>
      </c>
      <c r="J10" s="368">
        <f>[6]Brewhouse!AW38</f>
        <v>97.096494709841537</v>
      </c>
      <c r="K10" s="281">
        <f>[6]Brewhouse!S38</f>
        <v>15.520000000000012</v>
      </c>
      <c r="L10" s="276">
        <f>[6]Brewhouse!R38</f>
        <v>61</v>
      </c>
      <c r="M10" s="374">
        <f>[6]Brewhouse!$W38-[6]Brewhouse!$V38</f>
        <v>0.13680555555555551</v>
      </c>
      <c r="N10" s="370">
        <f>[6]Brewhouse!AB38</f>
        <v>0.31041666666666667</v>
      </c>
      <c r="O10" s="371" t="str">
        <f>[6]Brewhouse!$AZ38</f>
        <v>D. Gomaz</v>
      </c>
      <c r="P10" s="418"/>
      <c r="R10" s="277" t="str">
        <f t="shared" ref="R10:R28" si="0">B10</f>
        <v>VITAMALT</v>
      </c>
      <c r="S10" s="472">
        <f t="shared" ref="S10:S42" si="1">VLOOKUP($B10,$R$3:$X$9,2,FALSE)</f>
        <v>14.2</v>
      </c>
      <c r="T10" s="472">
        <f t="shared" ref="T10:T42" si="2">VLOOKUP($B10,$R$3:$X$9,3,FALSE)</f>
        <v>14.6</v>
      </c>
      <c r="U10" s="297">
        <f t="shared" ref="U10:U42" si="3">VLOOKUP($B10,$R$3:$X$9,4,FALSE)</f>
        <v>0</v>
      </c>
      <c r="V10" s="297">
        <f t="shared" ref="V10:V42" si="4">VLOOKUP($B10,$R$3:$X$9,5,FALSE)</f>
        <v>0.13905092592592591</v>
      </c>
      <c r="W10" s="297">
        <f t="shared" ref="W10:W42" si="5">VLOOKUP($B10,$R$3:$X$9,6,FALSE)</f>
        <v>0.26041666666666669</v>
      </c>
      <c r="X10" s="297">
        <f t="shared" ref="X10:X42" si="6">VLOOKUP($B10,$R$3:$X$9,7,FALSE)</f>
        <v>0.2951388888888889</v>
      </c>
      <c r="Y10" s="297">
        <f t="shared" ref="Y10:Y42" si="7">VLOOKUP($B10,$R$3:$Z$9,8,FALSE)</f>
        <v>0</v>
      </c>
      <c r="Z10" s="472">
        <f t="shared" ref="Z10:Z42" si="8">VLOOKUP($B10,$R$3:$Z$9,9,FALSE)</f>
        <v>75</v>
      </c>
    </row>
    <row r="11" spans="2:29" ht="16.5" customHeight="1">
      <c r="B11" s="22" t="s">
        <v>33</v>
      </c>
      <c r="C11" s="366" t="str">
        <f>[6]Brewhouse!A39</f>
        <v>VM015</v>
      </c>
      <c r="D11" s="279">
        <f>[6]Brewhouse!AE39</f>
        <v>50</v>
      </c>
      <c r="E11" s="279">
        <f>[6]Brewhouse!AJ39</f>
        <v>47.1</v>
      </c>
      <c r="F11" s="278">
        <f>[6]Brewhouse!X39</f>
        <v>85</v>
      </c>
      <c r="G11" s="279">
        <f>[6]Brewhouse!AH39</f>
        <v>14.5</v>
      </c>
      <c r="H11" s="396">
        <v>14.4</v>
      </c>
      <c r="I11" s="368">
        <f>[6]Brewhouse!AV39</f>
        <v>97.023341517405328</v>
      </c>
      <c r="J11" s="368">
        <f>[6]Brewhouse!AW39</f>
        <v>97.329083955958396</v>
      </c>
      <c r="K11" s="281">
        <f>[6]Brewhouse!S39</f>
        <v>13.719999999999999</v>
      </c>
      <c r="L11" s="276">
        <f>[6]Brewhouse!R39</f>
        <v>62</v>
      </c>
      <c r="M11" s="374">
        <f>[6]Brewhouse!$W39-[6]Brewhouse!$V39</f>
        <v>0.1388888888888889</v>
      </c>
      <c r="N11" s="370">
        <f>[6]Brewhouse!AB39</f>
        <v>0.31388888888888894</v>
      </c>
      <c r="O11" s="371" t="str">
        <f>[6]Brewhouse!$AZ39</f>
        <v>D. Gomaz</v>
      </c>
      <c r="P11" s="418"/>
      <c r="R11" s="277" t="str">
        <f t="shared" si="0"/>
        <v>VITAMALT</v>
      </c>
      <c r="S11" s="472">
        <f t="shared" si="1"/>
        <v>14.2</v>
      </c>
      <c r="T11" s="472">
        <f t="shared" si="2"/>
        <v>14.6</v>
      </c>
      <c r="U11" s="297">
        <f t="shared" si="3"/>
        <v>0</v>
      </c>
      <c r="V11" s="297">
        <f t="shared" si="4"/>
        <v>0.13905092592592591</v>
      </c>
      <c r="W11" s="297">
        <f t="shared" si="5"/>
        <v>0.26041666666666669</v>
      </c>
      <c r="X11" s="297">
        <f t="shared" si="6"/>
        <v>0.2951388888888889</v>
      </c>
      <c r="Y11" s="297">
        <f t="shared" si="7"/>
        <v>0</v>
      </c>
      <c r="Z11" s="472">
        <f t="shared" si="8"/>
        <v>75</v>
      </c>
    </row>
    <row r="12" spans="2:29" ht="16.5" customHeight="1">
      <c r="B12" s="22" t="s">
        <v>33</v>
      </c>
      <c r="C12" s="366" t="str">
        <f>[6]Brewhouse!A40</f>
        <v>VM016</v>
      </c>
      <c r="D12" s="279">
        <f>[6]Brewhouse!AE40</f>
        <v>50.1</v>
      </c>
      <c r="E12" s="279">
        <f>[6]Brewhouse!AJ40</f>
        <v>47.6</v>
      </c>
      <c r="F12" s="278">
        <f>[6]Brewhouse!X40</f>
        <v>85</v>
      </c>
      <c r="G12" s="279">
        <f>[6]Brewhouse!AH40</f>
        <v>14.3</v>
      </c>
      <c r="H12" s="396">
        <v>14.4</v>
      </c>
      <c r="I12" s="368">
        <f>[6]Brewhouse!AV40</f>
        <v>96.378271472837781</v>
      </c>
      <c r="J12" s="368">
        <f>[6]Brewhouse!AW40</f>
        <v>96.684538195630623</v>
      </c>
      <c r="K12" s="281">
        <f>[6]Brewhouse!S40</f>
        <v>9.5009980039920112</v>
      </c>
      <c r="L12" s="276">
        <f>[6]Brewhouse!R40</f>
        <v>62</v>
      </c>
      <c r="M12" s="374">
        <f>[6]Brewhouse!$W40-[6]Brewhouse!$V40</f>
        <v>0.1381944444444444</v>
      </c>
      <c r="N12" s="370">
        <f>[6]Brewhouse!AB40</f>
        <v>0.30138888888888887</v>
      </c>
      <c r="O12" s="371" t="str">
        <f>[6]Brewhouse!$AZ40</f>
        <v>D. Gomaz</v>
      </c>
      <c r="P12" s="418"/>
      <c r="R12" s="277" t="str">
        <f t="shared" si="0"/>
        <v>VITAMALT</v>
      </c>
      <c r="S12" s="472">
        <f t="shared" si="1"/>
        <v>14.2</v>
      </c>
      <c r="T12" s="472">
        <f t="shared" si="2"/>
        <v>14.6</v>
      </c>
      <c r="U12" s="297">
        <f t="shared" si="3"/>
        <v>0</v>
      </c>
      <c r="V12" s="297">
        <f t="shared" si="4"/>
        <v>0.13905092592592591</v>
      </c>
      <c r="W12" s="297">
        <f t="shared" si="5"/>
        <v>0.26041666666666669</v>
      </c>
      <c r="X12" s="297">
        <f t="shared" si="6"/>
        <v>0.2951388888888889</v>
      </c>
      <c r="Y12" s="297">
        <f t="shared" si="7"/>
        <v>0</v>
      </c>
      <c r="Z12" s="472">
        <f t="shared" si="8"/>
        <v>75</v>
      </c>
    </row>
    <row r="13" spans="2:29" ht="16.5" customHeight="1">
      <c r="B13" s="22" t="s">
        <v>33</v>
      </c>
      <c r="C13" s="366" t="str">
        <f>[6]Brewhouse!A41</f>
        <v>VM017</v>
      </c>
      <c r="D13" s="279">
        <f>[6]Brewhouse!AE41</f>
        <v>52</v>
      </c>
      <c r="E13" s="279">
        <f>[6]Brewhouse!AJ41</f>
        <v>47.4</v>
      </c>
      <c r="F13" s="278">
        <f>[6]Brewhouse!X41</f>
        <v>85</v>
      </c>
      <c r="G13" s="279">
        <f>[6]Brewhouse!AH41</f>
        <v>14.4</v>
      </c>
      <c r="H13" s="396">
        <v>14.3</v>
      </c>
      <c r="I13" s="368">
        <f>[6]Brewhouse!AV41</f>
        <v>96.736022639137431</v>
      </c>
      <c r="J13" s="368">
        <f>[6]Brewhouse!AW41</f>
        <v>97.043426208188279</v>
      </c>
      <c r="K13" s="281">
        <f>[6]Brewhouse!S41</f>
        <v>11.269230769230768</v>
      </c>
      <c r="L13" s="276">
        <f>[6]Brewhouse!R41</f>
        <v>61</v>
      </c>
      <c r="M13" s="374">
        <f>[6]Brewhouse!$W41-[6]Brewhouse!$V41</f>
        <v>0.13749999999999996</v>
      </c>
      <c r="N13" s="370">
        <f>[6]Brewhouse!AB41</f>
        <v>0.30277777777777781</v>
      </c>
      <c r="O13" s="371" t="str">
        <f>[6]Brewhouse!$AZ41</f>
        <v>D. Gomaz</v>
      </c>
      <c r="P13" s="418"/>
      <c r="R13" s="277" t="str">
        <f t="shared" si="0"/>
        <v>VITAMALT</v>
      </c>
      <c r="S13" s="472">
        <f t="shared" si="1"/>
        <v>14.2</v>
      </c>
      <c r="T13" s="472">
        <f t="shared" si="2"/>
        <v>14.6</v>
      </c>
      <c r="U13" s="297">
        <f t="shared" si="3"/>
        <v>0</v>
      </c>
      <c r="V13" s="297">
        <f t="shared" si="4"/>
        <v>0.13905092592592591</v>
      </c>
      <c r="W13" s="297">
        <f t="shared" si="5"/>
        <v>0.26041666666666669</v>
      </c>
      <c r="X13" s="297">
        <f t="shared" si="6"/>
        <v>0.2951388888888889</v>
      </c>
      <c r="Y13" s="297">
        <f t="shared" si="7"/>
        <v>0</v>
      </c>
      <c r="Z13" s="472">
        <f t="shared" si="8"/>
        <v>75</v>
      </c>
    </row>
    <row r="14" spans="2:29" ht="16.5" customHeight="1">
      <c r="B14" s="22" t="s">
        <v>33</v>
      </c>
      <c r="C14" s="366" t="str">
        <f>[6]Brewhouse!A42</f>
        <v>VM018</v>
      </c>
      <c r="D14" s="279">
        <f>[6]Brewhouse!AE42</f>
        <v>53.1</v>
      </c>
      <c r="E14" s="279">
        <f>[6]Brewhouse!AJ42</f>
        <v>47.6</v>
      </c>
      <c r="F14" s="278">
        <f>[6]Brewhouse!X42</f>
        <v>83</v>
      </c>
      <c r="G14" s="279">
        <f>[6]Brewhouse!AH42</f>
        <v>14.5</v>
      </c>
      <c r="H14" s="396">
        <v>14.5</v>
      </c>
      <c r="I14" s="368">
        <f>[6]Brewhouse!AV42</f>
        <v>97.949689692825132</v>
      </c>
      <c r="J14" s="368">
        <f>[6]Brewhouse!AW42</f>
        <v>98.259651988138174</v>
      </c>
      <c r="K14" s="281">
        <f>[6]Brewhouse!S42</f>
        <v>14.613935969868169</v>
      </c>
      <c r="L14" s="276">
        <f>[6]Brewhouse!R42</f>
        <v>60</v>
      </c>
      <c r="M14" s="374">
        <f>[6]Brewhouse!$W42-[6]Brewhouse!$V42</f>
        <v>0.14097222222222228</v>
      </c>
      <c r="N14" s="370">
        <f>[6]Brewhouse!AB42</f>
        <v>0.30555555555555558</v>
      </c>
      <c r="O14" s="371" t="str">
        <f>[6]Brewhouse!$AZ42</f>
        <v>D. Gomaz</v>
      </c>
      <c r="P14" s="418"/>
      <c r="R14" s="277" t="str">
        <f t="shared" si="0"/>
        <v>VITAMALT</v>
      </c>
      <c r="S14" s="472">
        <f t="shared" si="1"/>
        <v>14.2</v>
      </c>
      <c r="T14" s="472">
        <f t="shared" si="2"/>
        <v>14.6</v>
      </c>
      <c r="U14" s="297">
        <f t="shared" si="3"/>
        <v>0</v>
      </c>
      <c r="V14" s="297">
        <f t="shared" si="4"/>
        <v>0.13905092592592591</v>
      </c>
      <c r="W14" s="297">
        <f t="shared" si="5"/>
        <v>0.26041666666666669</v>
      </c>
      <c r="X14" s="297">
        <f t="shared" si="6"/>
        <v>0.2951388888888889</v>
      </c>
      <c r="Y14" s="297">
        <f t="shared" si="7"/>
        <v>0</v>
      </c>
      <c r="Z14" s="472">
        <f t="shared" si="8"/>
        <v>75</v>
      </c>
    </row>
    <row r="15" spans="2:29" ht="16.5" customHeight="1">
      <c r="B15" s="22" t="s">
        <v>33</v>
      </c>
      <c r="C15" s="366" t="str">
        <f>[6]Brewhouse!A43</f>
        <v>VM019</v>
      </c>
      <c r="D15" s="279">
        <f>[6]Brewhouse!AE43</f>
        <v>52.1</v>
      </c>
      <c r="E15" s="279">
        <f>[6]Brewhouse!AJ43</f>
        <v>47</v>
      </c>
      <c r="F15" s="278">
        <f>[6]Brewhouse!X43</f>
        <v>84</v>
      </c>
      <c r="G15" s="279">
        <f>[6]Brewhouse!AH43</f>
        <v>14.4</v>
      </c>
      <c r="H15" s="396">
        <v>14.4</v>
      </c>
      <c r="I15" s="368">
        <f>[6]Brewhouse!AV43</f>
        <v>95.818529932594828</v>
      </c>
      <c r="J15" s="368">
        <f>[6]Brewhouse!AW43</f>
        <v>96.124285059000897</v>
      </c>
      <c r="K15" s="281">
        <f>[6]Brewhouse!S43</f>
        <v>10.863723608445303</v>
      </c>
      <c r="L15" s="276">
        <f>[6]Brewhouse!R43</f>
        <v>60</v>
      </c>
      <c r="M15" s="374">
        <f>[6]Brewhouse!$W43-[6]Brewhouse!$V43</f>
        <v>0.15069444444444446</v>
      </c>
      <c r="N15" s="370">
        <f>[6]Brewhouse!AB43</f>
        <v>0.46666666666666667</v>
      </c>
      <c r="O15" s="371" t="str">
        <f>[6]Brewhouse!$AZ43</f>
        <v>R. Regis</v>
      </c>
      <c r="P15" s="418"/>
      <c r="R15" s="277" t="str">
        <f t="shared" si="0"/>
        <v>VITAMALT</v>
      </c>
      <c r="S15" s="472">
        <f t="shared" si="1"/>
        <v>14.2</v>
      </c>
      <c r="T15" s="472">
        <f t="shared" si="2"/>
        <v>14.6</v>
      </c>
      <c r="U15" s="297">
        <f t="shared" si="3"/>
        <v>0</v>
      </c>
      <c r="V15" s="297">
        <f t="shared" si="4"/>
        <v>0.13905092592592591</v>
      </c>
      <c r="W15" s="297">
        <f t="shared" si="5"/>
        <v>0.26041666666666669</v>
      </c>
      <c r="X15" s="297">
        <f t="shared" si="6"/>
        <v>0.2951388888888889</v>
      </c>
      <c r="Y15" s="297">
        <f t="shared" si="7"/>
        <v>0</v>
      </c>
      <c r="Z15" s="472">
        <f t="shared" si="8"/>
        <v>75</v>
      </c>
    </row>
    <row r="16" spans="2:29" ht="16.5" customHeight="1">
      <c r="B16" s="22" t="s">
        <v>33</v>
      </c>
      <c r="C16" s="366" t="str">
        <f>[6]Brewhouse!A44</f>
        <v>VM020</v>
      </c>
      <c r="D16" s="279">
        <f>[6]Brewhouse!AE44</f>
        <v>50.1</v>
      </c>
      <c r="E16" s="279">
        <f>[6]Brewhouse!AJ44</f>
        <v>47.2</v>
      </c>
      <c r="F16" s="278">
        <f>[6]Brewhouse!X44</f>
        <v>85</v>
      </c>
      <c r="G16" s="279">
        <f>[6]Brewhouse!AH44</f>
        <v>14.6</v>
      </c>
      <c r="H16" s="396">
        <v>14.7</v>
      </c>
      <c r="I16" s="368">
        <f>[6]Brewhouse!AV44</f>
        <v>97.823512224151031</v>
      </c>
      <c r="J16" s="368">
        <f>[6]Brewhouse!AW44</f>
        <v>98.133075230217401</v>
      </c>
      <c r="K16" s="281">
        <f>[6]Brewhouse!S44</f>
        <v>14.091816367265459</v>
      </c>
      <c r="L16" s="276">
        <f>[6]Brewhouse!R44</f>
        <v>61</v>
      </c>
      <c r="M16" s="374">
        <f>[6]Brewhouse!$W44-[6]Brewhouse!$V44</f>
        <v>0.15486111111111112</v>
      </c>
      <c r="N16" s="370">
        <f>[6]Brewhouse!AB44</f>
        <v>0.31597222222222221</v>
      </c>
      <c r="O16" s="371" t="str">
        <f>[6]Brewhouse!$AZ44</f>
        <v>R. Regis</v>
      </c>
      <c r="P16" s="418"/>
      <c r="R16" s="277" t="str">
        <f t="shared" si="0"/>
        <v>VITAMALT</v>
      </c>
      <c r="S16" s="472">
        <f t="shared" si="1"/>
        <v>14.2</v>
      </c>
      <c r="T16" s="472">
        <f t="shared" si="2"/>
        <v>14.6</v>
      </c>
      <c r="U16" s="297">
        <f t="shared" si="3"/>
        <v>0</v>
      </c>
      <c r="V16" s="297">
        <f t="shared" si="4"/>
        <v>0.13905092592592591</v>
      </c>
      <c r="W16" s="297">
        <f t="shared" si="5"/>
        <v>0.26041666666666669</v>
      </c>
      <c r="X16" s="297">
        <f t="shared" si="6"/>
        <v>0.2951388888888889</v>
      </c>
      <c r="Y16" s="297">
        <f t="shared" si="7"/>
        <v>0</v>
      </c>
      <c r="Z16" s="472">
        <f t="shared" si="8"/>
        <v>75</v>
      </c>
    </row>
    <row r="17" spans="1:26" ht="16.5" customHeight="1">
      <c r="B17" s="22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8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6" ht="16.5" customHeight="1">
      <c r="B18" s="22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6.5" customHeight="1">
      <c r="B19" s="22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6.5" customHeight="1">
      <c r="B20" s="22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6.5" hidden="1" customHeight="1">
      <c r="B21" s="22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6.5" hidden="1" customHeight="1">
      <c r="B22" s="22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418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6.5" hidden="1" customHeight="1">
      <c r="B23" s="22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371"/>
      <c r="P23" s="418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6.5" hidden="1" customHeight="1">
      <c r="B24" s="22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371"/>
      <c r="P24" s="418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6.5" hidden="1" customHeight="1">
      <c r="B25" s="22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74"/>
      <c r="N25" s="370"/>
      <c r="O25" s="371"/>
      <c r="P25" s="418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6.5" hidden="1" customHeight="1">
      <c r="B26" s="22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74"/>
      <c r="N26" s="370"/>
      <c r="O26" s="371"/>
      <c r="P26" s="418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8" hidden="1" customHeight="1">
      <c r="B27" s="22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74"/>
      <c r="N27" s="370"/>
      <c r="O27" s="371"/>
      <c r="P27" s="418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6.5" hidden="1" customHeight="1">
      <c r="B28" s="22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18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5.75" customHeight="1" thickBot="1">
      <c r="B29" s="358"/>
      <c r="C29" s="358"/>
      <c r="D29" s="358"/>
      <c r="E29" s="358"/>
      <c r="F29" s="294"/>
      <c r="G29" s="294"/>
      <c r="H29" s="348"/>
      <c r="I29" s="512"/>
      <c r="J29" s="512"/>
      <c r="K29" s="512"/>
      <c r="L29" s="512"/>
      <c r="M29" s="512"/>
      <c r="N29" s="512"/>
      <c r="O29" s="1"/>
      <c r="P29" s="12"/>
      <c r="R29" s="277">
        <f t="shared" ref="R29:R35" si="9">B29</f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5.75" customHeight="1" thickBot="1">
      <c r="B30" s="388" t="s">
        <v>162</v>
      </c>
      <c r="C30" s="388"/>
      <c r="D30" s="513" t="s">
        <v>35</v>
      </c>
      <c r="E30" s="514"/>
      <c r="F30" s="294"/>
      <c r="G30" s="294"/>
      <c r="H30" s="348"/>
      <c r="I30" s="24" t="s">
        <v>17</v>
      </c>
      <c r="J30" s="25"/>
      <c r="K30" s="26" t="s">
        <v>138</v>
      </c>
      <c r="L30" s="25" t="s">
        <v>37</v>
      </c>
      <c r="M30" s="25" t="s">
        <v>38</v>
      </c>
      <c r="N30" s="27" t="s">
        <v>39</v>
      </c>
      <c r="O30" s="294"/>
      <c r="P30" s="12"/>
      <c r="R30" s="277" t="str">
        <f t="shared" si="9"/>
        <v xml:space="preserve">BRAND 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5" customHeight="1">
      <c r="A31" s="28"/>
      <c r="B31" s="525"/>
      <c r="C31" s="362"/>
      <c r="D31" s="518"/>
      <c r="E31" s="519"/>
      <c r="F31" s="294"/>
      <c r="G31" s="294"/>
      <c r="H31" s="348"/>
      <c r="I31" s="29" t="s">
        <v>6</v>
      </c>
      <c r="J31" s="323"/>
      <c r="K31" s="284"/>
      <c r="L31" s="305"/>
      <c r="M31" s="305">
        <f>AVERAGE([4]Brewhouse!$AU$42:$AU$123,[4]Brewhouse!$AU$125:$AU$188)</f>
        <v>97.59634929965118</v>
      </c>
      <c r="N31" s="30">
        <v>98</v>
      </c>
      <c r="O31" s="11"/>
      <c r="P31" s="31"/>
      <c r="R31" s="277">
        <f t="shared" si="9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5" customHeight="1">
      <c r="A32" s="28"/>
      <c r="B32" s="526"/>
      <c r="C32" s="362"/>
      <c r="D32" s="520"/>
      <c r="E32" s="521"/>
      <c r="F32" s="294"/>
      <c r="G32" s="294"/>
      <c r="H32" s="348"/>
      <c r="I32" s="33" t="s">
        <v>9</v>
      </c>
      <c r="J32" s="280"/>
      <c r="K32" s="284"/>
      <c r="L32" s="302"/>
      <c r="M32" s="302">
        <f>AVERAGE([3]Brewhouse!$AS$52:$AS$81,[3]Brewhouse!$AS$83:$AS$124)</f>
        <v>98.31661114924232</v>
      </c>
      <c r="N32" s="30">
        <v>98</v>
      </c>
      <c r="O32" s="11"/>
      <c r="P32" s="31"/>
      <c r="R32" s="277">
        <f t="shared" si="9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27" ht="14.65" customHeight="1">
      <c r="A33" s="28"/>
      <c r="B33" s="526"/>
      <c r="C33" s="362"/>
      <c r="D33" s="522"/>
      <c r="E33" s="523"/>
      <c r="F33" s="294"/>
      <c r="G33" s="294"/>
      <c r="H33" s="348"/>
      <c r="I33" s="34" t="s">
        <v>12</v>
      </c>
      <c r="J33" s="280"/>
      <c r="K33" s="284"/>
      <c r="L33" s="302"/>
      <c r="M33" s="302">
        <f>AVERAGE([5]Brewhouse!$AU$16:$AU$23,[5]Brewhouse!$AU$25:$AU$27)</f>
        <v>97.933890431198279</v>
      </c>
      <c r="N33" s="30">
        <v>98</v>
      </c>
      <c r="O33" s="11"/>
      <c r="P33" s="31"/>
      <c r="R33" s="277">
        <f t="shared" si="9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27" ht="14.65" customHeight="1">
      <c r="A34" s="28"/>
      <c r="B34" s="526"/>
      <c r="C34" s="362"/>
      <c r="D34" s="524"/>
      <c r="E34" s="521"/>
      <c r="F34" s="294"/>
      <c r="G34" s="294"/>
      <c r="H34" s="348"/>
      <c r="I34" s="22" t="s">
        <v>33</v>
      </c>
      <c r="J34" s="280">
        <f>AVERAGE(I10:I16)</f>
        <v>96.929916494140343</v>
      </c>
      <c r="K34" s="284">
        <f>COUNTA([6]Brewhouse!$A$38:$A$44)</f>
        <v>7</v>
      </c>
      <c r="L34" s="302">
        <f>AVERAGE([6]Brewhouse!$AV$38:$AV$44)</f>
        <v>96.929916494140343</v>
      </c>
      <c r="M34" s="302">
        <f>AVERAGE([6]Brewhouse!$AV$23:$AV$34,[6]Brewhouse!$AV$36,[6]Brewhouse!$AV$38:$AV$44)</f>
        <v>97.74055230745536</v>
      </c>
      <c r="N34" s="30">
        <v>98</v>
      </c>
      <c r="O34" s="11"/>
      <c r="P34" s="31"/>
      <c r="R34" s="277">
        <f t="shared" si="9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27" ht="14.65" customHeight="1">
      <c r="A35" s="28"/>
      <c r="B35" s="526"/>
      <c r="C35" s="362"/>
      <c r="D35" s="522"/>
      <c r="E35" s="523"/>
      <c r="F35" s="417"/>
      <c r="G35" s="294"/>
      <c r="H35" s="348"/>
      <c r="I35" s="35" t="s">
        <v>29</v>
      </c>
      <c r="J35" s="280"/>
      <c r="K35" s="284"/>
      <c r="L35" s="302"/>
      <c r="M35" s="302"/>
      <c r="N35" s="30">
        <v>98</v>
      </c>
      <c r="O35" s="11"/>
      <c r="P35" s="31"/>
      <c r="R35" s="277">
        <f t="shared" si="9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27" ht="14.65" customHeight="1">
      <c r="A36" s="28"/>
      <c r="B36" s="526"/>
      <c r="C36" s="362"/>
      <c r="D36" s="524"/>
      <c r="E36" s="521"/>
      <c r="F36" s="417"/>
      <c r="G36" s="294"/>
      <c r="H36" s="348"/>
      <c r="I36" s="36" t="s">
        <v>15</v>
      </c>
      <c r="J36" s="323"/>
      <c r="K36" s="284"/>
      <c r="L36" s="302"/>
      <c r="M36" s="302">
        <f>AVERAGE([7]Brewhouse!$AT$4:$AT$11)</f>
        <v>92.826224508052405</v>
      </c>
      <c r="N36" s="30">
        <v>98</v>
      </c>
      <c r="O36" s="11"/>
      <c r="P36" s="31"/>
      <c r="R36" s="277">
        <f t="shared" ref="R36:R42" si="10">B36</f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27" ht="14.65" customHeight="1">
      <c r="A37" s="28"/>
      <c r="B37" s="526"/>
      <c r="C37" s="362"/>
      <c r="D37" s="522"/>
      <c r="E37" s="523"/>
      <c r="F37" s="417"/>
      <c r="G37" s="294"/>
      <c r="H37" s="348"/>
      <c r="I37" s="37" t="s">
        <v>16</v>
      </c>
      <c r="J37" s="323"/>
      <c r="K37" s="284"/>
      <c r="L37" s="302"/>
      <c r="M37" s="302">
        <f>AVERAGE([8]Brewhouse!$AY$5:$AY$14,[8]Brewhouse!$AY$16:$AY$23)</f>
        <v>97.293615171264676</v>
      </c>
      <c r="N37" s="30">
        <v>98</v>
      </c>
      <c r="O37" s="11"/>
      <c r="P37" s="31" t="s">
        <v>41</v>
      </c>
      <c r="R37" s="277">
        <f t="shared" si="1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27" ht="14.65" customHeight="1">
      <c r="A38" s="28"/>
      <c r="B38" s="526"/>
      <c r="C38" s="362"/>
      <c r="D38" s="524"/>
      <c r="E38" s="521"/>
      <c r="F38" s="294"/>
      <c r="G38" s="294"/>
      <c r="H38" s="348"/>
      <c r="I38" s="411" t="s">
        <v>158</v>
      </c>
      <c r="J38" s="326"/>
      <c r="K38" s="284"/>
      <c r="L38" s="305"/>
      <c r="M38" s="305"/>
      <c r="N38" s="30">
        <v>98</v>
      </c>
      <c r="O38" s="11"/>
      <c r="P38" s="31"/>
      <c r="R38" s="277">
        <f t="shared" si="1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27" ht="14.65" customHeight="1">
      <c r="A39" s="28"/>
      <c r="B39" s="526"/>
      <c r="C39" s="349"/>
      <c r="D39" s="522"/>
      <c r="E39" s="523"/>
      <c r="F39" s="294"/>
      <c r="G39" s="294"/>
      <c r="H39" s="348"/>
      <c r="I39" s="410" t="s">
        <v>157</v>
      </c>
      <c r="J39" s="326"/>
      <c r="K39" s="284"/>
      <c r="L39" s="305"/>
      <c r="M39" s="305"/>
      <c r="N39" s="30">
        <v>98</v>
      </c>
      <c r="O39" s="11"/>
      <c r="P39" s="31"/>
      <c r="R39" s="277">
        <f t="shared" si="1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  <c r="AA39" s="472"/>
    </row>
    <row r="40" spans="1:27" ht="15" customHeight="1" thickBot="1">
      <c r="A40" s="28"/>
      <c r="B40" s="526"/>
      <c r="C40" s="349"/>
      <c r="D40" s="524"/>
      <c r="E40" s="521"/>
      <c r="F40" s="294"/>
      <c r="G40" s="294"/>
      <c r="H40" s="348"/>
      <c r="I40" s="406" t="s">
        <v>156</v>
      </c>
      <c r="J40" s="327"/>
      <c r="K40" s="407"/>
      <c r="L40" s="408"/>
      <c r="M40" s="408"/>
      <c r="N40" s="409">
        <v>98</v>
      </c>
      <c r="O40" s="11"/>
      <c r="P40" s="31"/>
      <c r="R40" s="277">
        <f t="shared" si="1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  <c r="AA40" s="472"/>
    </row>
    <row r="41" spans="1:27" ht="15" customHeight="1" thickBot="1">
      <c r="A41" s="28"/>
      <c r="B41" s="526"/>
      <c r="C41" s="349"/>
      <c r="D41" s="518"/>
      <c r="E41" s="519"/>
      <c r="F41" s="294"/>
      <c r="G41" s="294"/>
      <c r="H41" s="348"/>
      <c r="I41" s="1"/>
      <c r="J41" s="39"/>
      <c r="K41" s="404">
        <f>SUM(K31:K40)</f>
        <v>7</v>
      </c>
      <c r="L41" s="405">
        <f>((L31*K31)+(L32*K32)+(L33*K33)+(L34*K34)+(L35*K35)+(K38*L38)+(L36*K36)+(L37*K37)+(L40*K40))/(K41)</f>
        <v>96.929916494140343</v>
      </c>
      <c r="M41" s="405">
        <f>AVERAGE('[9]Jan30th-31st'!$L$42,L41)</f>
        <v>97.378979114990898</v>
      </c>
      <c r="N41" s="40">
        <v>98</v>
      </c>
      <c r="O41" s="11"/>
      <c r="P41" s="31"/>
      <c r="R41" s="277">
        <f t="shared" si="10"/>
        <v>0</v>
      </c>
      <c r="S41" s="472" t="e">
        <f t="shared" si="1"/>
        <v>#N/A</v>
      </c>
      <c r="T41" s="472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2" t="e">
        <f t="shared" si="8"/>
        <v>#N/A</v>
      </c>
      <c r="AA41" s="472"/>
    </row>
    <row r="42" spans="1:27" ht="15.75" thickBot="1">
      <c r="B42" s="583"/>
      <c r="C42" s="350"/>
      <c r="D42" s="520"/>
      <c r="E42" s="521"/>
      <c r="F42" s="294"/>
      <c r="G42" s="42"/>
      <c r="H42" s="41"/>
      <c r="I42" s="42"/>
      <c r="J42" s="42"/>
      <c r="K42" s="351"/>
      <c r="L42" s="348"/>
      <c r="M42" s="348"/>
      <c r="N42" s="11"/>
      <c r="O42" s="294"/>
      <c r="P42" s="12"/>
      <c r="R42" s="277">
        <f t="shared" si="10"/>
        <v>0</v>
      </c>
      <c r="S42" s="472" t="e">
        <f t="shared" si="1"/>
        <v>#N/A</v>
      </c>
      <c r="T42" s="472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472" t="e">
        <f t="shared" si="8"/>
        <v>#N/A</v>
      </c>
      <c r="AA42" s="472"/>
    </row>
    <row r="43" spans="1:27" ht="15.75" thickBot="1">
      <c r="B43" s="525"/>
      <c r="C43" s="362"/>
      <c r="D43" s="528"/>
      <c r="E43" s="529"/>
      <c r="F43" s="294"/>
      <c r="G43" s="42"/>
      <c r="H43" s="41"/>
      <c r="I43" s="42"/>
      <c r="J43" s="530" t="s">
        <v>129</v>
      </c>
      <c r="K43" s="530"/>
      <c r="L43" s="294"/>
      <c r="M43" s="294"/>
      <c r="N43" s="294"/>
      <c r="O43" s="294"/>
      <c r="P43" s="12"/>
    </row>
    <row r="44" spans="1:27" ht="15.75" thickBot="1">
      <c r="B44" s="526"/>
      <c r="C44" s="362"/>
      <c r="D44" s="524"/>
      <c r="E44" s="521"/>
      <c r="F44" s="294"/>
      <c r="G44" s="42"/>
      <c r="H44" s="41"/>
      <c r="I44" s="41"/>
      <c r="J44" s="292" t="s">
        <v>17</v>
      </c>
      <c r="K44" s="293" t="s">
        <v>172</v>
      </c>
      <c r="L44" s="531" t="s">
        <v>136</v>
      </c>
      <c r="M44" s="531"/>
      <c r="N44" s="532"/>
      <c r="O44" s="294"/>
      <c r="P44" s="12"/>
    </row>
    <row r="45" spans="1:27" ht="15" customHeight="1" thickBot="1">
      <c r="B45" s="526"/>
      <c r="C45" s="349"/>
      <c r="D45" s="522"/>
      <c r="E45" s="523"/>
      <c r="F45" s="294"/>
      <c r="G45" s="42"/>
      <c r="H45" s="41"/>
      <c r="I45" s="41"/>
      <c r="J45" s="287" t="s">
        <v>6</v>
      </c>
      <c r="K45" s="324"/>
      <c r="L45" s="473" t="s">
        <v>37</v>
      </c>
      <c r="M45" s="474" t="s">
        <v>38</v>
      </c>
      <c r="N45" s="474" t="s">
        <v>84</v>
      </c>
      <c r="O45" s="294"/>
      <c r="P45" s="12"/>
    </row>
    <row r="46" spans="1:27" ht="15.75" customHeight="1" thickBot="1">
      <c r="B46" s="526"/>
      <c r="C46" s="349"/>
      <c r="D46" s="524"/>
      <c r="E46" s="521"/>
      <c r="F46" s="294"/>
      <c r="G46" s="42"/>
      <c r="H46" s="41"/>
      <c r="I46" s="41"/>
      <c r="J46" s="345" t="s">
        <v>9</v>
      </c>
      <c r="K46" s="324"/>
      <c r="L46" s="344">
        <f>AVERAGE(K55)</f>
        <v>7</v>
      </c>
      <c r="M46" s="325">
        <f>AVERAGE('[9]Jan30th-31st'!$L$47,L46,'[10]Feb 26th '!$L$39)</f>
        <v>6.3956521739130432</v>
      </c>
      <c r="N46" s="416">
        <v>9.1999999999999993</v>
      </c>
      <c r="O46" s="294"/>
      <c r="P46" s="12"/>
    </row>
    <row r="47" spans="1:27" ht="15" customHeight="1">
      <c r="B47" s="526"/>
      <c r="C47" s="349"/>
      <c r="D47" s="522"/>
      <c r="E47" s="523"/>
      <c r="F47" s="294"/>
      <c r="G47" s="42"/>
      <c r="H47" s="41"/>
      <c r="I47" s="41"/>
      <c r="J47" s="288" t="s">
        <v>40</v>
      </c>
      <c r="K47" s="324"/>
      <c r="L47" s="294"/>
      <c r="M47" s="294"/>
      <c r="N47" s="294"/>
      <c r="O47" s="294"/>
      <c r="P47" s="12"/>
    </row>
    <row r="48" spans="1:27" ht="15" customHeight="1">
      <c r="B48" s="526"/>
      <c r="C48" s="349"/>
      <c r="D48" s="524"/>
      <c r="E48" s="521"/>
      <c r="F48" s="294"/>
      <c r="G48" s="42"/>
      <c r="H48" s="41"/>
      <c r="I48" s="41"/>
      <c r="J48" s="289" t="s">
        <v>33</v>
      </c>
      <c r="K48" s="324">
        <v>7</v>
      </c>
      <c r="L48" s="294"/>
      <c r="M48" s="294"/>
      <c r="N48" s="294"/>
      <c r="O48" s="294"/>
      <c r="P48" s="12"/>
    </row>
    <row r="49" spans="1:57" ht="15">
      <c r="B49" s="526"/>
      <c r="C49" s="349"/>
      <c r="D49" s="522"/>
      <c r="E49" s="523"/>
      <c r="F49" s="294"/>
      <c r="G49" s="42"/>
      <c r="H49" s="41"/>
      <c r="I49" s="41"/>
      <c r="J49" s="290" t="s">
        <v>16</v>
      </c>
      <c r="K49" s="324"/>
      <c r="L49" s="294"/>
      <c r="M49" s="294"/>
      <c r="N49" s="294"/>
      <c r="O49" s="294"/>
      <c r="P49" s="12"/>
      <c r="BC49" s="44"/>
      <c r="BD49" s="44"/>
    </row>
    <row r="50" spans="1:57" ht="15">
      <c r="B50" s="526"/>
      <c r="C50" s="349"/>
      <c r="D50" s="524"/>
      <c r="E50" s="521"/>
      <c r="F50" s="294"/>
      <c r="G50" s="42"/>
      <c r="H50" s="41"/>
      <c r="I50" s="41"/>
      <c r="J50" s="291" t="s">
        <v>15</v>
      </c>
      <c r="K50" s="324"/>
      <c r="L50" s="294"/>
      <c r="M50" s="294"/>
      <c r="N50" s="294"/>
      <c r="O50" s="294"/>
      <c r="P50" s="12"/>
      <c r="BC50" s="44"/>
      <c r="BD50" s="44"/>
    </row>
    <row r="51" spans="1:57" ht="15">
      <c r="B51" s="526"/>
      <c r="C51" s="349"/>
      <c r="D51" s="522"/>
      <c r="E51" s="523"/>
      <c r="F51" s="294"/>
      <c r="G51" s="42"/>
      <c r="H51" s="41"/>
      <c r="I51" s="41"/>
      <c r="J51" s="291" t="s">
        <v>149</v>
      </c>
      <c r="K51" s="324"/>
      <c r="L51" s="294"/>
      <c r="M51" s="294"/>
      <c r="N51" s="294"/>
      <c r="O51" s="294"/>
      <c r="P51" s="12"/>
      <c r="BC51" s="44"/>
      <c r="BD51" s="44"/>
    </row>
    <row r="52" spans="1:57" ht="15.75" thickBot="1">
      <c r="B52" s="527"/>
      <c r="C52" s="350"/>
      <c r="D52" s="533"/>
      <c r="E52" s="534"/>
      <c r="F52" s="294" t="s">
        <v>166</v>
      </c>
      <c r="G52" s="42"/>
      <c r="H52" s="41"/>
      <c r="I52" s="41"/>
      <c r="J52" s="291" t="s">
        <v>148</v>
      </c>
      <c r="K52" s="324"/>
      <c r="L52" s="294"/>
      <c r="M52" s="294"/>
      <c r="N52" s="294" t="s">
        <v>41</v>
      </c>
      <c r="O52" s="294"/>
      <c r="P52" s="12"/>
      <c r="BC52" s="44"/>
      <c r="BD52" s="44"/>
    </row>
    <row r="53" spans="1:57" ht="17.649999999999999" customHeight="1" thickBot="1">
      <c r="B53" s="312" t="s">
        <v>139</v>
      </c>
      <c r="C53" s="313"/>
      <c r="D53" s="535"/>
      <c r="E53" s="536"/>
      <c r="F53" s="294"/>
      <c r="H53" s="41"/>
      <c r="I53" s="41"/>
      <c r="J53" s="295" t="s">
        <v>134</v>
      </c>
      <c r="K53" s="324"/>
      <c r="L53" s="294"/>
      <c r="M53" s="294"/>
      <c r="N53" s="294"/>
      <c r="O53" s="294"/>
      <c r="P53" s="12"/>
      <c r="BC53" s="44"/>
      <c r="BD53" s="44"/>
    </row>
    <row r="54" spans="1:57" ht="17.649999999999999" customHeight="1">
      <c r="B54" s="363"/>
      <c r="C54" s="364"/>
      <c r="D54" s="365"/>
      <c r="E54" s="365"/>
      <c r="F54" s="294"/>
      <c r="G54" s="42"/>
      <c r="H54" s="41"/>
      <c r="I54" s="41"/>
      <c r="J54" s="295" t="s">
        <v>131</v>
      </c>
      <c r="K54" s="324"/>
      <c r="L54" s="294"/>
      <c r="M54" s="294"/>
      <c r="N54" s="294"/>
      <c r="O54" s="294"/>
      <c r="P54" s="12"/>
      <c r="BC54" s="44"/>
      <c r="BD54" s="44"/>
    </row>
    <row r="55" spans="1:57" ht="15.6" customHeight="1">
      <c r="B55" s="45"/>
      <c r="C55" s="11"/>
      <c r="D55" s="11"/>
      <c r="E55" s="46"/>
      <c r="F55" s="294"/>
      <c r="G55" s="42"/>
      <c r="H55" s="41"/>
      <c r="I55" s="41"/>
      <c r="J55" s="346" t="s">
        <v>130</v>
      </c>
      <c r="K55" s="324">
        <f>SUM(K45:K54)</f>
        <v>7</v>
      </c>
      <c r="L55" s="294"/>
      <c r="M55" s="294"/>
      <c r="N55" s="294"/>
      <c r="O55" s="294"/>
      <c r="P55" s="12"/>
    </row>
    <row r="56" spans="1:57" ht="20.25" customHeight="1">
      <c r="B56" s="15" t="s">
        <v>42</v>
      </c>
      <c r="C56" s="1" t="s">
        <v>43</v>
      </c>
      <c r="D56" s="1"/>
      <c r="E56" s="1"/>
      <c r="F56" s="294"/>
      <c r="G56" s="42"/>
      <c r="H56" s="41"/>
      <c r="I56" s="42"/>
      <c r="L56" s="294"/>
      <c r="N56" s="315"/>
      <c r="P56" s="334"/>
    </row>
    <row r="57" spans="1:57" ht="15" customHeight="1" thickBot="1"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1"/>
      <c r="O57" s="48"/>
      <c r="P57" s="49"/>
    </row>
    <row r="58" spans="1:57" ht="15" customHeight="1" thickBot="1">
      <c r="B58" s="537" t="s">
        <v>17</v>
      </c>
      <c r="C58" s="537" t="s">
        <v>44</v>
      </c>
      <c r="D58" s="540" t="s">
        <v>45</v>
      </c>
      <c r="E58" s="501" t="s">
        <v>46</v>
      </c>
      <c r="F58" s="510" t="s">
        <v>47</v>
      </c>
      <c r="G58" s="549" t="s">
        <v>48</v>
      </c>
      <c r="H58" s="537" t="s">
        <v>49</v>
      </c>
      <c r="I58" s="537" t="s">
        <v>50</v>
      </c>
      <c r="J58" s="543" t="s">
        <v>28</v>
      </c>
      <c r="K58" s="499" t="s">
        <v>51</v>
      </c>
      <c r="L58" s="552" t="s">
        <v>52</v>
      </c>
      <c r="M58" s="543" t="s">
        <v>53</v>
      </c>
      <c r="N58" s="13"/>
      <c r="O58" s="13"/>
      <c r="P58" s="50"/>
    </row>
    <row r="59" spans="1:57" ht="28.5" customHeight="1" thickTop="1" thickBot="1">
      <c r="B59" s="538"/>
      <c r="C59" s="539"/>
      <c r="D59" s="541"/>
      <c r="E59" s="542"/>
      <c r="F59" s="554"/>
      <c r="G59" s="550"/>
      <c r="H59" s="538"/>
      <c r="I59" s="538"/>
      <c r="J59" s="544"/>
      <c r="K59" s="551"/>
      <c r="L59" s="553"/>
      <c r="M59" s="544"/>
      <c r="N59" s="13"/>
      <c r="O59" s="13"/>
      <c r="P59" s="50"/>
      <c r="Q59" s="355"/>
      <c r="AB59" s="475">
        <v>43474</v>
      </c>
      <c r="AC59" s="475">
        <v>43475</v>
      </c>
      <c r="AD59" s="475">
        <v>43476</v>
      </c>
      <c r="AE59" s="475">
        <v>43477</v>
      </c>
      <c r="AF59" s="475">
        <v>43478</v>
      </c>
      <c r="AG59" s="475">
        <v>43479</v>
      </c>
      <c r="AH59" s="475">
        <v>43480</v>
      </c>
      <c r="AI59" s="475">
        <v>43481</v>
      </c>
      <c r="AJ59" s="475">
        <v>43482</v>
      </c>
      <c r="AK59" s="475">
        <v>43483</v>
      </c>
      <c r="AL59" s="475">
        <v>43484</v>
      </c>
      <c r="AM59" s="475">
        <v>43485</v>
      </c>
      <c r="AN59" s="475">
        <v>43486</v>
      </c>
      <c r="AO59" s="475">
        <v>43487</v>
      </c>
      <c r="AP59" s="475">
        <v>43488</v>
      </c>
      <c r="AQ59" s="475">
        <v>43489</v>
      </c>
      <c r="AR59" s="475">
        <v>43490</v>
      </c>
      <c r="AS59" s="475">
        <v>43491</v>
      </c>
      <c r="AT59" s="475">
        <v>43492</v>
      </c>
      <c r="AU59" s="475">
        <v>43493</v>
      </c>
      <c r="AV59" s="475">
        <v>43494</v>
      </c>
      <c r="AW59" s="475">
        <v>43495</v>
      </c>
      <c r="AX59" s="475">
        <v>43496</v>
      </c>
    </row>
    <row r="60" spans="1:57" s="54" customFormat="1" ht="36.75" customHeight="1" thickBot="1">
      <c r="B60" s="481"/>
      <c r="C60" s="479"/>
      <c r="D60" s="442"/>
      <c r="E60" s="443"/>
      <c r="F60" s="444"/>
      <c r="G60" s="445"/>
      <c r="H60" s="458"/>
      <c r="I60" s="458"/>
      <c r="J60" s="448" t="s">
        <v>150</v>
      </c>
      <c r="K60" s="44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>
        <f>[14]January_2019!L5</f>
        <v>0</v>
      </c>
      <c r="AC60" s="57">
        <f>[14]January_2019!M5</f>
        <v>0</v>
      </c>
      <c r="AD60" s="57">
        <f>[14]January_2019!N5</f>
        <v>0</v>
      </c>
      <c r="AE60" s="57">
        <f>[14]January_2019!O5</f>
        <v>0</v>
      </c>
      <c r="AF60" s="57">
        <f>[14]January_2019!P5</f>
        <v>0</v>
      </c>
      <c r="AG60" s="57">
        <f>[14]January_2019!Q5</f>
        <v>0</v>
      </c>
      <c r="AH60" s="57">
        <f>[14]January_2019!R5</f>
        <v>0</v>
      </c>
      <c r="AI60" s="57">
        <f>[14]January_2019!S5</f>
        <v>0</v>
      </c>
      <c r="AJ60" s="57">
        <f>[14]January_2019!T5</f>
        <v>0</v>
      </c>
      <c r="AK60" s="57">
        <f>[14]January_2019!U5</f>
        <v>0</v>
      </c>
      <c r="AL60" s="57">
        <f>[14]January_2019!V5</f>
        <v>0</v>
      </c>
      <c r="AM60" s="57">
        <f>[14]January_2019!W5</f>
        <v>0</v>
      </c>
      <c r="AN60" s="57">
        <f>[14]January_2019!X5</f>
        <v>0</v>
      </c>
      <c r="AO60" s="57">
        <f>[14]January_2019!Y5</f>
        <v>0</v>
      </c>
      <c r="AP60" s="57">
        <f>[14]January_2019!Z5</f>
        <v>0</v>
      </c>
      <c r="AQ60" s="57">
        <f>[14]January_2019!AA5</f>
        <v>0</v>
      </c>
      <c r="AR60" s="57">
        <f>[14]January_2019!AB5</f>
        <v>0</v>
      </c>
      <c r="AS60" s="57">
        <f>[14]January_2019!AC5</f>
        <v>0</v>
      </c>
      <c r="AT60" s="57">
        <f>[14]January_2019!AD5</f>
        <v>0</v>
      </c>
      <c r="AU60" s="57">
        <f>[14]January_2019!AE5</f>
        <v>0</v>
      </c>
      <c r="AV60" s="57">
        <f>[14]January_2019!AF5</f>
        <v>0</v>
      </c>
      <c r="AW60" s="57">
        <f>[14]January_2019!AG5</f>
        <v>0</v>
      </c>
      <c r="AX60" s="277">
        <f>[14]January_2019!AH5</f>
        <v>0</v>
      </c>
      <c r="AY60" s="277"/>
      <c r="AZ60" s="277"/>
      <c r="BA60" s="277"/>
      <c r="BB60" s="277"/>
      <c r="BC60" s="277"/>
      <c r="BD60" s="277"/>
      <c r="BE60" s="277"/>
    </row>
    <row r="61" spans="1:57" s="54" customFormat="1" ht="14.25" hidden="1" customHeight="1" thickBot="1">
      <c r="B61" s="480"/>
      <c r="C61" s="479"/>
      <c r="D61" s="442"/>
      <c r="E61" s="443"/>
      <c r="F61" s="444"/>
      <c r="G61" s="445"/>
      <c r="H61" s="458"/>
      <c r="I61" s="458"/>
      <c r="J61" s="476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>
        <f>[14]January_2019!L6</f>
        <v>0</v>
      </c>
      <c r="AC61" s="57">
        <f>[14]January_2019!M6</f>
        <v>0</v>
      </c>
      <c r="AD61" s="57">
        <f>[14]January_2019!N6</f>
        <v>0</v>
      </c>
      <c r="AE61" s="57">
        <f>[14]January_2019!O6</f>
        <v>0</v>
      </c>
      <c r="AF61" s="57">
        <f>[14]January_2019!P6</f>
        <v>0</v>
      </c>
      <c r="AG61" s="57">
        <f>[14]January_2019!Q6</f>
        <v>0</v>
      </c>
      <c r="AH61" s="57">
        <f>[14]January_2019!R6</f>
        <v>0</v>
      </c>
      <c r="AI61" s="57">
        <f>[14]January_2019!S6</f>
        <v>0</v>
      </c>
      <c r="AJ61" s="57">
        <f>[14]January_2019!T6</f>
        <v>0</v>
      </c>
      <c r="AK61" s="57">
        <f>[14]January_2019!U6</f>
        <v>0</v>
      </c>
      <c r="AL61" s="57">
        <f>[14]January_2019!V6</f>
        <v>0</v>
      </c>
      <c r="AM61" s="57">
        <f>[14]January_2019!W6</f>
        <v>0</v>
      </c>
      <c r="AN61" s="57">
        <f>[14]January_2019!X6</f>
        <v>0</v>
      </c>
      <c r="AO61" s="57">
        <f>[14]January_2019!Y6</f>
        <v>0</v>
      </c>
      <c r="AP61" s="57">
        <f>[14]January_2019!Z6</f>
        <v>0</v>
      </c>
      <c r="AQ61" s="57">
        <f>[14]January_2019!AA6</f>
        <v>0</v>
      </c>
      <c r="AR61" s="57">
        <f>[14]January_2019!AB6</f>
        <v>0</v>
      </c>
      <c r="AS61" s="57">
        <f>[14]January_2019!AC6</f>
        <v>0</v>
      </c>
      <c r="AT61" s="57">
        <f>[14]January_2019!AD6</f>
        <v>0</v>
      </c>
      <c r="AU61" s="57">
        <f>[14]January_2019!AE6</f>
        <v>0</v>
      </c>
      <c r="AV61" s="57">
        <f>[14]January_2019!AF6</f>
        <v>0</v>
      </c>
      <c r="AW61" s="57">
        <f>[14]January_2019!AG6</f>
        <v>0</v>
      </c>
      <c r="AX61" s="277">
        <f>[14]January_2019!AH6</f>
        <v>0</v>
      </c>
      <c r="AY61" s="277"/>
      <c r="AZ61" s="277"/>
      <c r="BA61" s="277"/>
      <c r="BB61" s="277"/>
      <c r="BC61" s="277"/>
      <c r="BD61" s="277"/>
      <c r="BE61" s="277"/>
    </row>
    <row r="62" spans="1:57" s="54" customFormat="1" ht="37.15" hidden="1" customHeight="1" thickBot="1">
      <c r="A62" s="54" t="s">
        <v>168</v>
      </c>
      <c r="B62" s="480"/>
      <c r="C62" s="479"/>
      <c r="D62" s="442"/>
      <c r="E62" s="443"/>
      <c r="F62" s="444"/>
      <c r="G62" s="445"/>
      <c r="H62" s="458"/>
      <c r="I62" s="458"/>
      <c r="J62" s="448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>
        <f>[14]January_2019!L7</f>
        <v>285.8</v>
      </c>
      <c r="AC62" s="57">
        <f>[14]January_2019!M7</f>
        <v>508.1</v>
      </c>
      <c r="AD62" s="57">
        <f>[14]January_2019!N7</f>
        <v>0</v>
      </c>
      <c r="AE62" s="57">
        <f>[14]January_2019!O7</f>
        <v>0</v>
      </c>
      <c r="AF62" s="57">
        <f>[14]January_2019!P7</f>
        <v>109.56666666666666</v>
      </c>
      <c r="AG62" s="57">
        <f>[14]January_2019!Q7</f>
        <v>297.64999999999998</v>
      </c>
      <c r="AH62" s="57">
        <f>[14]January_2019!R7</f>
        <v>122.3</v>
      </c>
      <c r="AI62" s="57">
        <f>[14]January_2019!S7</f>
        <v>0</v>
      </c>
      <c r="AJ62" s="57">
        <f>[14]January_2019!T7</f>
        <v>294.7</v>
      </c>
      <c r="AK62" s="57">
        <f>[14]January_2019!U7</f>
        <v>280.5</v>
      </c>
      <c r="AL62" s="57">
        <f>[14]January_2019!V7</f>
        <v>0</v>
      </c>
      <c r="AM62" s="57">
        <f>[14]January_2019!W7</f>
        <v>0</v>
      </c>
      <c r="AN62" s="57">
        <f>[14]January_2019!X7</f>
        <v>188.25</v>
      </c>
      <c r="AO62" s="57">
        <f>[14]January_2019!Y7</f>
        <v>295.7</v>
      </c>
      <c r="AP62" s="57">
        <f>[14]January_2019!Z7</f>
        <v>257.8</v>
      </c>
      <c r="AQ62" s="57">
        <f>[14]January_2019!AA7</f>
        <v>291.2</v>
      </c>
      <c r="AR62" s="57">
        <f>[14]January_2019!AB7</f>
        <v>187</v>
      </c>
      <c r="AS62" s="57">
        <f>[14]January_2019!AC7</f>
        <v>0</v>
      </c>
      <c r="AT62" s="57">
        <f>[14]January_2019!AD7</f>
        <v>0</v>
      </c>
      <c r="AU62" s="57">
        <f>[14]January_2019!AE7</f>
        <v>485.1</v>
      </c>
      <c r="AV62" s="57">
        <f>[14]January_2019!AF7</f>
        <v>171.55</v>
      </c>
      <c r="AW62" s="57">
        <f>[14]January_2019!AG7</f>
        <v>423.8</v>
      </c>
      <c r="AX62" s="277">
        <f>[14]January_2019!AH7</f>
        <v>0</v>
      </c>
      <c r="AY62" s="277"/>
      <c r="AZ62" s="277"/>
      <c r="BA62" s="277"/>
      <c r="BB62" s="277"/>
      <c r="BC62" s="277"/>
      <c r="BD62" s="277"/>
      <c r="BE62" s="277"/>
    </row>
    <row r="63" spans="1:57" s="54" customFormat="1" ht="19.5" hidden="1" customHeight="1" thickBot="1">
      <c r="B63" s="478"/>
      <c r="C63" s="430"/>
      <c r="D63" s="431"/>
      <c r="E63" s="432"/>
      <c r="F63" s="433"/>
      <c r="G63" s="434"/>
      <c r="H63" s="458"/>
      <c r="I63" s="458"/>
      <c r="J63" s="451"/>
      <c r="K63" s="436"/>
      <c r="L63" s="452"/>
      <c r="M63" s="421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s="54" customFormat="1" ht="38.450000000000003" hidden="1" customHeight="1" thickBot="1">
      <c r="B64" s="480"/>
      <c r="C64" s="479"/>
      <c r="D64" s="442"/>
      <c r="E64" s="443"/>
      <c r="F64" s="444"/>
      <c r="G64" s="445"/>
      <c r="H64" s="458"/>
      <c r="I64" s="458"/>
      <c r="J64" s="448" t="s">
        <v>171</v>
      </c>
      <c r="K64" s="459"/>
      <c r="L64" s="457" t="e">
        <f>(((D64+E64)-G64)/(D64+E64))*100</f>
        <v>#DIV/0!</v>
      </c>
      <c r="M64" s="45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15" hidden="1">
      <c r="B65" s="453"/>
      <c r="C65" s="430"/>
      <c r="D65" s="431"/>
      <c r="E65" s="432"/>
      <c r="F65" s="433"/>
      <c r="G65" s="434"/>
      <c r="H65" s="435"/>
      <c r="I65" s="450"/>
      <c r="J65" s="451"/>
      <c r="K65" s="436"/>
      <c r="L65" s="452"/>
      <c r="M65" s="421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7.15" hidden="1" customHeight="1" thickBot="1">
      <c r="B66" s="480"/>
      <c r="C66" s="479"/>
      <c r="D66" s="442"/>
      <c r="E66" s="443"/>
      <c r="F66" s="444"/>
      <c r="G66" s="445"/>
      <c r="H66" s="446"/>
      <c r="I66" s="447"/>
      <c r="J66" s="448"/>
      <c r="K66" s="449"/>
      <c r="L66" s="457"/>
      <c r="M66" s="455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16.5" hidden="1" customHeight="1" thickBot="1">
      <c r="B67" s="437"/>
      <c r="C67" s="423"/>
      <c r="D67" s="424"/>
      <c r="E67" s="425"/>
      <c r="F67" s="426"/>
      <c r="G67" s="427"/>
      <c r="H67" s="428"/>
      <c r="I67" s="438"/>
      <c r="J67" s="439"/>
      <c r="K67" s="429"/>
      <c r="L67" s="440"/>
      <c r="M67" s="422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415"/>
      <c r="AC67" s="415"/>
      <c r="AD67" s="415"/>
      <c r="AE67" s="415"/>
      <c r="AF67" s="415"/>
      <c r="AG67" s="415"/>
      <c r="AH67" s="415"/>
      <c r="AI67" s="415"/>
      <c r="AJ67" s="415"/>
      <c r="AK67" s="415"/>
      <c r="AL67" s="415"/>
      <c r="AM67" s="415"/>
      <c r="AN67" s="415"/>
      <c r="AO67" s="415"/>
      <c r="AP67" s="415"/>
      <c r="AQ67" s="415"/>
      <c r="AR67" s="415"/>
      <c r="AS67" s="415"/>
      <c r="AT67" s="415"/>
      <c r="AU67" s="415"/>
      <c r="AV67" s="415"/>
      <c r="AW67" s="415"/>
    </row>
    <row r="68" spans="2:57" s="54" customFormat="1" ht="37.15" hidden="1" customHeight="1" thickBot="1">
      <c r="B68" s="456"/>
      <c r="C68" s="441"/>
      <c r="D68" s="442"/>
      <c r="E68" s="443"/>
      <c r="F68" s="444"/>
      <c r="G68" s="445"/>
      <c r="H68" s="446"/>
      <c r="I68" s="447"/>
      <c r="J68" s="448"/>
      <c r="K68" s="449"/>
      <c r="L68" s="457"/>
      <c r="M68" s="454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s="54" customFormat="1" ht="37.15" customHeight="1">
      <c r="B69" s="466"/>
      <c r="C69" s="430"/>
      <c r="D69" s="460"/>
      <c r="E69" s="461"/>
      <c r="F69" s="462"/>
      <c r="G69" s="460"/>
      <c r="H69" s="463"/>
      <c r="I69" s="463"/>
      <c r="J69" s="463"/>
      <c r="K69" s="464"/>
      <c r="L69" s="465"/>
      <c r="M69" s="50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2:57" ht="18" customHeight="1" thickBot="1">
      <c r="B70" s="59"/>
      <c r="C70" s="30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 t="s">
        <v>41</v>
      </c>
      <c r="O70" s="56"/>
      <c r="P70" s="60"/>
    </row>
    <row r="71" spans="2:57" ht="15.75" thickBot="1">
      <c r="B71" s="545" t="s">
        <v>55</v>
      </c>
      <c r="C71" s="546"/>
      <c r="D71" s="546"/>
      <c r="E71" s="546"/>
      <c r="F71" s="547"/>
      <c r="G71" s="545" t="s">
        <v>56</v>
      </c>
      <c r="H71" s="546"/>
      <c r="I71" s="546"/>
      <c r="J71" s="547"/>
      <c r="K71" s="545" t="s">
        <v>51</v>
      </c>
      <c r="L71" s="546"/>
      <c r="M71" s="546"/>
      <c r="N71" s="548"/>
      <c r="O71" s="56"/>
      <c r="P71" s="50"/>
    </row>
    <row r="72" spans="2:57" ht="15">
      <c r="B72" s="61" t="s">
        <v>17</v>
      </c>
      <c r="C72" s="62" t="s">
        <v>36</v>
      </c>
      <c r="D72" s="62" t="s">
        <v>37</v>
      </c>
      <c r="E72" s="62" t="s">
        <v>38</v>
      </c>
      <c r="F72" s="63" t="s">
        <v>39</v>
      </c>
      <c r="G72" s="62" t="s">
        <v>36</v>
      </c>
      <c r="H72" s="62" t="s">
        <v>37</v>
      </c>
      <c r="I72" s="62" t="s">
        <v>38</v>
      </c>
      <c r="J72" s="63" t="s">
        <v>39</v>
      </c>
      <c r="K72" s="62" t="s">
        <v>36</v>
      </c>
      <c r="L72" s="62" t="s">
        <v>37</v>
      </c>
      <c r="M72" s="62" t="s">
        <v>38</v>
      </c>
      <c r="N72" s="63" t="s">
        <v>39</v>
      </c>
      <c r="O72" s="56"/>
      <c r="P72" s="64"/>
    </row>
    <row r="73" spans="2:57" ht="15">
      <c r="B73" s="29" t="s">
        <v>6</v>
      </c>
      <c r="C73" s="282"/>
      <c r="D73" s="76"/>
      <c r="E73" s="76"/>
      <c r="F73" s="66">
        <v>4.8</v>
      </c>
      <c r="G73" s="65"/>
      <c r="H73" s="477"/>
      <c r="I73" s="477"/>
      <c r="J73" s="66">
        <v>4.8</v>
      </c>
      <c r="K73" s="67"/>
      <c r="L73" s="194"/>
      <c r="M73" s="194"/>
      <c r="N73" s="68">
        <v>1</v>
      </c>
      <c r="O73" s="56"/>
      <c r="P73" s="69"/>
    </row>
    <row r="74" spans="2:57" ht="15">
      <c r="B74" s="33" t="s">
        <v>9</v>
      </c>
      <c r="C74" s="65"/>
      <c r="D74" s="76"/>
      <c r="E74" s="76"/>
      <c r="F74" s="66">
        <v>4.8</v>
      </c>
      <c r="G74" s="65"/>
      <c r="H74" s="76"/>
      <c r="I74" s="76"/>
      <c r="J74" s="66">
        <v>4.8</v>
      </c>
      <c r="K74" s="67"/>
      <c r="L74" s="194"/>
      <c r="M74" s="194"/>
      <c r="N74" s="68">
        <v>1</v>
      </c>
      <c r="P74" s="69"/>
    </row>
    <row r="75" spans="2:57" ht="15">
      <c r="B75" s="34" t="s">
        <v>40</v>
      </c>
      <c r="C75" s="65"/>
      <c r="D75" s="76"/>
      <c r="E75" s="76"/>
      <c r="F75" s="66">
        <v>5.5</v>
      </c>
      <c r="G75" s="65"/>
      <c r="H75" s="76"/>
      <c r="I75" s="76"/>
      <c r="J75" s="66">
        <v>5.5</v>
      </c>
      <c r="K75" s="67"/>
      <c r="L75" s="194"/>
      <c r="M75" s="194"/>
      <c r="N75" s="68">
        <v>1</v>
      </c>
      <c r="P75" s="69"/>
    </row>
    <row r="76" spans="2:57" ht="15">
      <c r="B76" s="22" t="s">
        <v>33</v>
      </c>
      <c r="C76" s="65"/>
      <c r="D76" s="76"/>
      <c r="E76" s="76"/>
      <c r="F76" s="66">
        <v>3.3</v>
      </c>
      <c r="G76" s="65"/>
      <c r="H76" s="76"/>
      <c r="I76" s="76"/>
      <c r="J76" s="66">
        <v>3.3</v>
      </c>
      <c r="K76" s="67"/>
      <c r="L76" s="194"/>
      <c r="M76" s="194"/>
      <c r="N76" s="68">
        <v>1</v>
      </c>
      <c r="P76" s="69"/>
    </row>
    <row r="77" spans="2:57" ht="15">
      <c r="B77" s="35" t="s">
        <v>164</v>
      </c>
      <c r="C77" s="65"/>
      <c r="D77" s="76"/>
      <c r="E77" s="76"/>
      <c r="F77" s="66">
        <v>3.3</v>
      </c>
      <c r="G77" s="282"/>
      <c r="H77" s="76"/>
      <c r="I77" s="76"/>
      <c r="J77" s="66">
        <v>3</v>
      </c>
      <c r="K77" s="67"/>
      <c r="L77" s="194"/>
      <c r="M77" s="194"/>
      <c r="N77" s="68">
        <v>1</v>
      </c>
      <c r="P77" s="69"/>
    </row>
    <row r="78" spans="2:57" ht="15">
      <c r="B78" s="36" t="s">
        <v>15</v>
      </c>
      <c r="C78" s="65"/>
      <c r="D78" s="76"/>
      <c r="E78" s="76"/>
      <c r="F78" s="70">
        <f>[15]May_2022!$M$43</f>
        <v>3.4878406700073312</v>
      </c>
      <c r="G78" s="282"/>
      <c r="H78" s="76"/>
      <c r="I78" s="76"/>
      <c r="J78" s="66">
        <v>5.5</v>
      </c>
      <c r="K78" s="67"/>
      <c r="L78" s="194"/>
      <c r="M78" s="194"/>
      <c r="N78" s="68">
        <v>1</v>
      </c>
      <c r="P78" s="69"/>
    </row>
    <row r="79" spans="2:57" ht="15">
      <c r="B79" s="37" t="s">
        <v>16</v>
      </c>
      <c r="C79" s="65"/>
      <c r="D79" s="76"/>
      <c r="E79" s="76"/>
      <c r="F79" s="66">
        <v>3.3</v>
      </c>
      <c r="G79" s="282"/>
      <c r="H79" s="76"/>
      <c r="I79" s="76"/>
      <c r="J79" s="66">
        <v>3.3</v>
      </c>
      <c r="K79" s="67"/>
      <c r="L79" s="194"/>
      <c r="M79" s="194"/>
      <c r="N79" s="71">
        <v>1</v>
      </c>
      <c r="P79" s="69"/>
    </row>
    <row r="80" spans="2:57" ht="15.75" thickBot="1">
      <c r="B80" s="38" t="s">
        <v>163</v>
      </c>
      <c r="C80" s="65"/>
      <c r="D80" s="76"/>
      <c r="E80" s="76"/>
      <c r="F80" s="66">
        <v>7.5</v>
      </c>
      <c r="G80" s="282"/>
      <c r="H80" s="76"/>
      <c r="I80" s="76"/>
      <c r="J80" s="66">
        <v>7.5</v>
      </c>
      <c r="K80" s="67"/>
      <c r="L80" s="194"/>
      <c r="M80" s="194"/>
      <c r="N80" s="71">
        <v>1</v>
      </c>
      <c r="P80" s="69"/>
    </row>
    <row r="81" spans="2:16" ht="15.75" thickBot="1">
      <c r="B81" s="414" t="s">
        <v>161</v>
      </c>
      <c r="C81" s="65"/>
      <c r="D81" s="76"/>
      <c r="E81" s="76"/>
      <c r="F81" s="66">
        <v>4.8</v>
      </c>
      <c r="G81" s="282"/>
      <c r="H81" s="76"/>
      <c r="I81" s="76"/>
      <c r="J81" s="66">
        <v>4.8</v>
      </c>
      <c r="K81" s="67"/>
      <c r="L81" s="194"/>
      <c r="M81" s="194"/>
      <c r="N81" s="71">
        <v>1</v>
      </c>
      <c r="O81" s="74"/>
      <c r="P81" s="75"/>
    </row>
    <row r="82" spans="2:16" ht="15">
      <c r="D82" s="76"/>
      <c r="E82" s="76"/>
      <c r="F82" s="341">
        <v>5.5</v>
      </c>
      <c r="H82" s="76"/>
      <c r="I82" s="76"/>
      <c r="J82" s="341">
        <v>5.5</v>
      </c>
      <c r="L82" s="194"/>
      <c r="M82" s="194"/>
      <c r="N82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9:N29"/>
    <mergeCell ref="D30:E30"/>
    <mergeCell ref="B31:B42"/>
    <mergeCell ref="D31:E32"/>
    <mergeCell ref="D33:E34"/>
    <mergeCell ref="D35:E36"/>
    <mergeCell ref="D37:E38"/>
    <mergeCell ref="D39:E40"/>
    <mergeCell ref="D41:E42"/>
    <mergeCell ref="B43:B52"/>
    <mergeCell ref="D43:E44"/>
    <mergeCell ref="J43:K43"/>
    <mergeCell ref="L44:N44"/>
    <mergeCell ref="D45:E46"/>
    <mergeCell ref="D47:E48"/>
    <mergeCell ref="D49:E50"/>
    <mergeCell ref="D51:E52"/>
    <mergeCell ref="D53:E53"/>
    <mergeCell ref="B58:B59"/>
    <mergeCell ref="C58:C59"/>
    <mergeCell ref="D58:D59"/>
    <mergeCell ref="E58:E59"/>
    <mergeCell ref="M58:M59"/>
    <mergeCell ref="B71:F71"/>
    <mergeCell ref="G71:J71"/>
    <mergeCell ref="K71:N71"/>
    <mergeCell ref="G58:G59"/>
    <mergeCell ref="H58:H59"/>
    <mergeCell ref="I58:I59"/>
    <mergeCell ref="J58:J59"/>
    <mergeCell ref="K58:K59"/>
    <mergeCell ref="L58:L59"/>
    <mergeCell ref="F58:F59"/>
  </mergeCells>
  <conditionalFormatting sqref="B53:B54">
    <cfRule type="cellIs" dxfId="3538" priority="86" operator="notBetween">
      <formula>#REF!</formula>
      <formula>#REF!</formula>
    </cfRule>
  </conditionalFormatting>
  <conditionalFormatting sqref="C57">
    <cfRule type="cellIs" dxfId="3537" priority="180" stopIfTrue="1" operator="lessThan">
      <formula>96</formula>
    </cfRule>
    <cfRule type="cellIs" dxfId="3536" priority="181" stopIfTrue="1" operator="greaterThan">
      <formula>100</formula>
    </cfRule>
  </conditionalFormatting>
  <conditionalFormatting sqref="C73:C77">
    <cfRule type="cellIs" dxfId="3535" priority="149" stopIfTrue="1" operator="lessThanOrEqual">
      <formula>0</formula>
    </cfRule>
  </conditionalFormatting>
  <conditionalFormatting sqref="C73:C81">
    <cfRule type="cellIs" dxfId="3534" priority="148" stopIfTrue="1" operator="greaterThan">
      <formula>$F73</formula>
    </cfRule>
  </conditionalFormatting>
  <conditionalFormatting sqref="C74">
    <cfRule type="cellIs" dxfId="3533" priority="182" stopIfTrue="1" operator="greaterThan">
      <formula>$F73</formula>
    </cfRule>
  </conditionalFormatting>
  <conditionalFormatting sqref="C78">
    <cfRule type="cellIs" dxfId="3532" priority="110" stopIfTrue="1" operator="lessThanOrEqual">
      <formula>0</formula>
    </cfRule>
    <cfRule type="cellIs" dxfId="3531" priority="111" stopIfTrue="1" operator="greaterThan">
      <formula>$F77</formula>
    </cfRule>
  </conditionalFormatting>
  <conditionalFormatting sqref="C79:C81">
    <cfRule type="cellIs" dxfId="3530" priority="150" stopIfTrue="1" operator="lessThanOrEqual">
      <formula>0</formula>
    </cfRule>
  </conditionalFormatting>
  <conditionalFormatting sqref="C84:C88">
    <cfRule type="cellIs" dxfId="3529" priority="172" stopIfTrue="1" operator="lessThanOrEqual">
      <formula>0</formula>
    </cfRule>
  </conditionalFormatting>
  <conditionalFormatting sqref="C85:C88">
    <cfRule type="cellIs" dxfId="3528" priority="171" stopIfTrue="1" operator="greaterThan">
      <formula>$F$84</formula>
    </cfRule>
  </conditionalFormatting>
  <conditionalFormatting sqref="C90">
    <cfRule type="cellIs" dxfId="3527" priority="173" stopIfTrue="1" operator="greaterThan">
      <formula>$F$84</formula>
    </cfRule>
    <cfRule type="cellIs" dxfId="3526" priority="174" stopIfTrue="1" operator="lessThanOrEqual">
      <formula>0</formula>
    </cfRule>
  </conditionalFormatting>
  <conditionalFormatting sqref="C84:D84 D86:D92">
    <cfRule type="cellIs" dxfId="3525" priority="166" stopIfTrue="1" operator="greaterThan">
      <formula>4.5</formula>
    </cfRule>
  </conditionalFormatting>
  <conditionalFormatting sqref="D53:D54">
    <cfRule type="cellIs" dxfId="3524" priority="87" operator="notBetween">
      <formula>#REF!</formula>
      <formula>#REF!</formula>
    </cfRule>
  </conditionalFormatting>
  <conditionalFormatting sqref="D73:D80">
    <cfRule type="cellIs" dxfId="3523" priority="59" stopIfTrue="1" operator="lessThanOrEqual">
      <formula>0</formula>
    </cfRule>
  </conditionalFormatting>
  <conditionalFormatting sqref="D73:D82">
    <cfRule type="cellIs" dxfId="3522" priority="38" stopIfTrue="1" operator="lessThanOrEqual">
      <formula>0</formula>
    </cfRule>
  </conditionalFormatting>
  <conditionalFormatting sqref="D81">
    <cfRule type="cellIs" dxfId="3521" priority="58" stopIfTrue="1" operator="lessThanOrEqual">
      <formula>0</formula>
    </cfRule>
  </conditionalFormatting>
  <conditionalFormatting sqref="D82">
    <cfRule type="cellIs" dxfId="3520" priority="53" stopIfTrue="1" operator="lessThanOrEqual">
      <formula>0</formula>
    </cfRule>
  </conditionalFormatting>
  <conditionalFormatting sqref="D84 D86:D92">
    <cfRule type="cellIs" dxfId="3519" priority="167" stopIfTrue="1" operator="lessThanOrEqual">
      <formula>0</formula>
    </cfRule>
  </conditionalFormatting>
  <conditionalFormatting sqref="D85">
    <cfRule type="cellIs" dxfId="3518" priority="159" stopIfTrue="1" operator="lessThanOrEqual">
      <formula>0</formula>
    </cfRule>
    <cfRule type="cellIs" dxfId="3517" priority="158" stopIfTrue="1" operator="greaterThan">
      <formula>$F$84</formula>
    </cfRule>
  </conditionalFormatting>
  <conditionalFormatting sqref="D73:E82">
    <cfRule type="cellIs" dxfId="3516" priority="40" stopIfTrue="1" operator="greaterThan">
      <formula>$F73</formula>
    </cfRule>
  </conditionalFormatting>
  <conditionalFormatting sqref="D82:E82">
    <cfRule type="cellIs" dxfId="3515" priority="42" stopIfTrue="1" operator="lessThanOrEqual">
      <formula>0</formula>
    </cfRule>
  </conditionalFormatting>
  <conditionalFormatting sqref="E10:E28">
    <cfRule type="cellIs" dxfId="3514" priority="29" operator="lessThan">
      <formula>48</formula>
    </cfRule>
  </conditionalFormatting>
  <conditionalFormatting sqref="E56 E57:F57">
    <cfRule type="cellIs" dxfId="3513" priority="163" stopIfTrue="1" operator="greaterThan">
      <formula>100</formula>
    </cfRule>
  </conditionalFormatting>
  <conditionalFormatting sqref="E57">
    <cfRule type="cellIs" dxfId="3512" priority="160" stopIfTrue="1" operator="lessThan">
      <formula>96.8</formula>
    </cfRule>
    <cfRule type="cellIs" dxfId="3511" priority="161" stopIfTrue="1" operator="greaterThan">
      <formula>100</formula>
    </cfRule>
  </conditionalFormatting>
  <conditionalFormatting sqref="E73:E81">
    <cfRule type="cellIs" dxfId="3510" priority="39" stopIfTrue="1" operator="lessThanOrEqual">
      <formula>0</formula>
    </cfRule>
  </conditionalFormatting>
  <conditionalFormatting sqref="E73:E82">
    <cfRule type="cellIs" dxfId="3509" priority="41" stopIfTrue="1" operator="lessThanOrEqual">
      <formula>0</formula>
    </cfRule>
  </conditionalFormatting>
  <conditionalFormatting sqref="E84:E92">
    <cfRule type="cellIs" dxfId="3508" priority="152" stopIfTrue="1" operator="greaterThan">
      <formula>4.5</formula>
    </cfRule>
    <cfRule type="cellIs" dxfId="3507" priority="153" stopIfTrue="1" operator="lessThanOrEqual">
      <formula>0</formula>
    </cfRule>
  </conditionalFormatting>
  <conditionalFormatting sqref="E57:F57 E56">
    <cfRule type="cellIs" dxfId="3506" priority="162" stopIfTrue="1" operator="lessThan">
      <formula>96.5</formula>
    </cfRule>
  </conditionalFormatting>
  <conditionalFormatting sqref="F10:F28">
    <cfRule type="cellIs" dxfId="3505" priority="34" operator="greaterThan">
      <formula>60</formula>
    </cfRule>
  </conditionalFormatting>
  <conditionalFormatting sqref="F57">
    <cfRule type="cellIs" dxfId="3504" priority="179" stopIfTrue="1" operator="greaterThan">
      <formula>100</formula>
    </cfRule>
    <cfRule type="cellIs" dxfId="3503" priority="178" stopIfTrue="1" operator="lessThan">
      <formula>96.8</formula>
    </cfRule>
  </conditionalFormatting>
  <conditionalFormatting sqref="F82">
    <cfRule type="cellIs" dxfId="3502" priority="57" stopIfTrue="1" operator="lessThanOrEqual">
      <formula>0</formula>
    </cfRule>
    <cfRule type="cellIs" dxfId="3501" priority="56" stopIfTrue="1" operator="greaterThan">
      <formula>$F82</formula>
    </cfRule>
  </conditionalFormatting>
  <conditionalFormatting sqref="G10:G27">
    <cfRule type="expression" dxfId="3500" priority="12">
      <formula>IF(+(IF(G10&lt;S10,0,IF(G10&gt;T10,0,1)))=0,1)</formula>
    </cfRule>
  </conditionalFormatting>
  <conditionalFormatting sqref="G73:G74">
    <cfRule type="cellIs" dxfId="3499" priority="54" stopIfTrue="1" operator="greaterThan">
      <formula>$F73</formula>
    </cfRule>
    <cfRule type="cellIs" dxfId="3498" priority="55" stopIfTrue="1" operator="lessThanOrEqual">
      <formula>0</formula>
    </cfRule>
    <cfRule type="cellIs" dxfId="3497" priority="60" stopIfTrue="1" operator="greaterThan">
      <formula>$F73</formula>
    </cfRule>
    <cfRule type="cellIs" dxfId="3496" priority="61" stopIfTrue="1" operator="lessThanOrEqual">
      <formula>0</formula>
    </cfRule>
  </conditionalFormatting>
  <conditionalFormatting sqref="G75">
    <cfRule type="cellIs" dxfId="3495" priority="64" stopIfTrue="1" operator="greaterThan">
      <formula>$F74</formula>
    </cfRule>
    <cfRule type="cellIs" dxfId="3494" priority="65" stopIfTrue="1" operator="lessThanOrEqual">
      <formula>0</formula>
    </cfRule>
  </conditionalFormatting>
  <conditionalFormatting sqref="G76">
    <cfRule type="cellIs" dxfId="3493" priority="48" stopIfTrue="1" operator="greaterThan">
      <formula>$F76</formula>
    </cfRule>
    <cfRule type="cellIs" dxfId="3492" priority="49" stopIfTrue="1" operator="lessThanOrEqual">
      <formula>0</formula>
    </cfRule>
    <cfRule type="cellIs" dxfId="3491" priority="47" stopIfTrue="1" operator="lessThanOrEqual">
      <formula>0</formula>
    </cfRule>
    <cfRule type="cellIs" dxfId="3490" priority="46" stopIfTrue="1" operator="greaterThan">
      <formula>$F76</formula>
    </cfRule>
  </conditionalFormatting>
  <conditionalFormatting sqref="G77:G81">
    <cfRule type="cellIs" dxfId="3489" priority="62" stopIfTrue="1" operator="greaterThan">
      <formula>$J77</formula>
    </cfRule>
    <cfRule type="cellIs" dxfId="3488" priority="63" stopIfTrue="1" operator="lessThanOrEqual">
      <formula>0</formula>
    </cfRule>
  </conditionalFormatting>
  <conditionalFormatting sqref="G86:G91 C89 C91">
    <cfRule type="cellIs" dxfId="3487" priority="176" stopIfTrue="1" operator="lessThanOrEqual">
      <formula>0</formula>
    </cfRule>
    <cfRule type="cellIs" dxfId="3486" priority="175" stopIfTrue="1" operator="greaterThan">
      <formula>4.5</formula>
    </cfRule>
  </conditionalFormatting>
  <conditionalFormatting sqref="G85:H85">
    <cfRule type="cellIs" dxfId="3485" priority="157" stopIfTrue="1" operator="lessThanOrEqual">
      <formula>0</formula>
    </cfRule>
    <cfRule type="cellIs" dxfId="3484" priority="156" stopIfTrue="1" operator="greaterThan">
      <formula>$F$84</formula>
    </cfRule>
  </conditionalFormatting>
  <conditionalFormatting sqref="H10:H27 G28:H28">
    <cfRule type="expression" dxfId="3483" priority="83">
      <formula>IF(+(IF(G10&lt;#REF!,0,IF(G10&gt;#REF!,0,1)))=0,1)</formula>
    </cfRule>
  </conditionalFormatting>
  <conditionalFormatting sqref="H42:H56 I44:I55">
    <cfRule type="cellIs" dxfId="3482" priority="154" stopIfTrue="1" operator="greaterThan">
      <formula>0</formula>
    </cfRule>
  </conditionalFormatting>
  <conditionalFormatting sqref="H60:H64">
    <cfRule type="cellIs" dxfId="3481" priority="70" stopIfTrue="1" operator="greaterThan">
      <formula>$F$73</formula>
    </cfRule>
    <cfRule type="cellIs" dxfId="3480" priority="79" stopIfTrue="1" operator="lessThanOrEqual">
      <formula>0</formula>
    </cfRule>
    <cfRule type="cellIs" dxfId="3479" priority="69" stopIfTrue="1" operator="lessThanOrEqual">
      <formula>0</formula>
    </cfRule>
    <cfRule type="cellIs" dxfId="3478" priority="81" stopIfTrue="1" operator="lessThanOrEqual">
      <formula>0</formula>
    </cfRule>
    <cfRule type="cellIs" dxfId="3477" priority="78" stopIfTrue="1" operator="greaterThan">
      <formula>$F$76</formula>
    </cfRule>
    <cfRule type="cellIs" dxfId="3476" priority="80" stopIfTrue="1" operator="greaterThan">
      <formula>$F$74</formula>
    </cfRule>
  </conditionalFormatting>
  <conditionalFormatting sqref="H65:H66">
    <cfRule type="cellIs" dxfId="3475" priority="123" stopIfTrue="1" operator="lessThanOrEqual">
      <formula>0</formula>
    </cfRule>
    <cfRule type="cellIs" dxfId="3474" priority="122" stopIfTrue="1" operator="greaterThan">
      <formula>$F$28</formula>
    </cfRule>
    <cfRule type="cellIs" dxfId="3473" priority="125" stopIfTrue="1" operator="lessThanOrEqual">
      <formula>0</formula>
    </cfRule>
    <cfRule type="cellIs" dxfId="3472" priority="124" stopIfTrue="1" operator="greaterThan">
      <formula>#REF!</formula>
    </cfRule>
    <cfRule type="cellIs" dxfId="3471" priority="113" stopIfTrue="1" operator="lessThanOrEqual">
      <formula>0</formula>
    </cfRule>
    <cfRule type="cellIs" dxfId="3470" priority="114" stopIfTrue="1" operator="greaterThan">
      <formula>#REF!</formula>
    </cfRule>
  </conditionalFormatting>
  <conditionalFormatting sqref="H67">
    <cfRule type="cellIs" dxfId="3469" priority="139" stopIfTrue="1" operator="lessThanOrEqual">
      <formula>0</formula>
    </cfRule>
    <cfRule type="cellIs" dxfId="3468" priority="138" stopIfTrue="1" operator="greaterThan">
      <formula>$F$42</formula>
    </cfRule>
    <cfRule type="cellIs" dxfId="3467" priority="137" stopIfTrue="1" operator="lessThanOrEqual">
      <formula>0</formula>
    </cfRule>
    <cfRule type="cellIs" dxfId="3466" priority="136" stopIfTrue="1" operator="greaterThan">
      <formula>$F$44</formula>
    </cfRule>
    <cfRule type="cellIs" dxfId="3465" priority="127" stopIfTrue="1" operator="lessThanOrEqual">
      <formula>0</formula>
    </cfRule>
    <cfRule type="cellIs" dxfId="3464" priority="128" stopIfTrue="1" operator="greaterThan">
      <formula>$F$41</formula>
    </cfRule>
  </conditionalFormatting>
  <conditionalFormatting sqref="H68:H69">
    <cfRule type="cellIs" dxfId="3463" priority="108" stopIfTrue="1" operator="greaterThan">
      <formula>#REF!</formula>
    </cfRule>
    <cfRule type="cellIs" dxfId="3462" priority="107" stopIfTrue="1" operator="lessThanOrEqual">
      <formula>0</formula>
    </cfRule>
    <cfRule type="cellIs" dxfId="3461" priority="97" stopIfTrue="1" operator="lessThanOrEqual">
      <formula>0</formula>
    </cfRule>
    <cfRule type="cellIs" dxfId="3460" priority="98" stopIfTrue="1" operator="greaterThan">
      <formula>#REF!</formula>
    </cfRule>
    <cfRule type="cellIs" dxfId="3459" priority="106" stopIfTrue="1" operator="greaterThan">
      <formula>$F$28</formula>
    </cfRule>
    <cfRule type="cellIs" dxfId="3458" priority="109" stopIfTrue="1" operator="lessThanOrEqual">
      <formula>0</formula>
    </cfRule>
  </conditionalFormatting>
  <conditionalFormatting sqref="H84 H86:H92">
    <cfRule type="cellIs" dxfId="3457" priority="168" stopIfTrue="1" operator="greaterThan">
      <formula>4.5</formula>
    </cfRule>
    <cfRule type="cellIs" dxfId="3456" priority="169" stopIfTrue="1" operator="lessThanOrEqual">
      <formula>0</formula>
    </cfRule>
  </conditionalFormatting>
  <conditionalFormatting sqref="H60:I64">
    <cfRule type="cellIs" dxfId="3455" priority="71" stopIfTrue="1" operator="lessThanOrEqual">
      <formula>0</formula>
    </cfRule>
    <cfRule type="cellIs" dxfId="3454" priority="68" stopIfTrue="1" operator="greaterThan">
      <formula>$F$75</formula>
    </cfRule>
  </conditionalFormatting>
  <conditionalFormatting sqref="H65:I66">
    <cfRule type="cellIs" dxfId="3453" priority="112" stopIfTrue="1" operator="greaterThan">
      <formula>#REF!</formula>
    </cfRule>
    <cfRule type="cellIs" dxfId="3452" priority="115" stopIfTrue="1" operator="lessThanOrEqual">
      <formula>0</formula>
    </cfRule>
  </conditionalFormatting>
  <conditionalFormatting sqref="H67:I67">
    <cfRule type="cellIs" dxfId="3451" priority="126" stopIfTrue="1" operator="greaterThan">
      <formula>$F$43</formula>
    </cfRule>
    <cfRule type="cellIs" dxfId="3450" priority="129" stopIfTrue="1" operator="lessThanOrEqual">
      <formula>0</formula>
    </cfRule>
  </conditionalFormatting>
  <conditionalFormatting sqref="H68:I69">
    <cfRule type="cellIs" dxfId="3449" priority="96" stopIfTrue="1" operator="greaterThan">
      <formula>#REF!</formula>
    </cfRule>
    <cfRule type="cellIs" dxfId="3448" priority="99" stopIfTrue="1" operator="lessThanOrEqual">
      <formula>0</formula>
    </cfRule>
  </conditionalFormatting>
  <conditionalFormatting sqref="H73:I80">
    <cfRule type="cellIs" dxfId="3447" priority="36" stopIfTrue="1" operator="greaterThan">
      <formula>$J73</formula>
    </cfRule>
    <cfRule type="cellIs" dxfId="3446" priority="37" stopIfTrue="1" operator="lessThanOrEqual">
      <formula>0</formula>
    </cfRule>
  </conditionalFormatting>
  <conditionalFormatting sqref="H81:I81">
    <cfRule type="cellIs" dxfId="3445" priority="45" operator="greaterThan">
      <formula>5.3</formula>
    </cfRule>
  </conditionalFormatting>
  <conditionalFormatting sqref="H82:I82">
    <cfRule type="cellIs" dxfId="3444" priority="44" stopIfTrue="1" operator="lessThanOrEqual">
      <formula>0</formula>
    </cfRule>
    <cfRule type="cellIs" dxfId="3443" priority="43" stopIfTrue="1" operator="greaterThan">
      <formula>$J82</formula>
    </cfRule>
  </conditionalFormatting>
  <conditionalFormatting sqref="I60:I64">
    <cfRule type="cellIs" dxfId="3442" priority="74" stopIfTrue="1" operator="greaterThan">
      <formula>$F$75</formula>
    </cfRule>
    <cfRule type="cellIs" dxfId="3441" priority="76" stopIfTrue="1" operator="greaterThan">
      <formula>$F$73</formula>
    </cfRule>
    <cfRule type="cellIs" dxfId="3440" priority="75" stopIfTrue="1" operator="lessThanOrEqual">
      <formula>0</formula>
    </cfRule>
    <cfRule type="cellIs" dxfId="3439" priority="73" stopIfTrue="1" operator="lessThanOrEqual">
      <formula>0</formula>
    </cfRule>
    <cfRule type="cellIs" dxfId="3438" priority="72" stopIfTrue="1" operator="greaterThan">
      <formula>$F$73</formula>
    </cfRule>
    <cfRule type="cellIs" dxfId="3437" priority="77" stopIfTrue="1" operator="lessThanOrEqual">
      <formula>0</formula>
    </cfRule>
  </conditionalFormatting>
  <conditionalFormatting sqref="I65:I66">
    <cfRule type="cellIs" dxfId="3436" priority="117" stopIfTrue="1" operator="lessThanOrEqual">
      <formula>0</formula>
    </cfRule>
    <cfRule type="cellIs" dxfId="3435" priority="118" stopIfTrue="1" operator="greaterThan">
      <formula>#REF!</formula>
    </cfRule>
    <cfRule type="cellIs" dxfId="3434" priority="116" stopIfTrue="1" operator="greaterThan">
      <formula>#REF!</formula>
    </cfRule>
    <cfRule type="cellIs" dxfId="3433" priority="120" stopIfTrue="1" operator="greaterThan">
      <formula>#REF!</formula>
    </cfRule>
    <cfRule type="cellIs" dxfId="3432" priority="121" stopIfTrue="1" operator="lessThanOrEqual">
      <formula>0</formula>
    </cfRule>
    <cfRule type="cellIs" dxfId="3431" priority="119" stopIfTrue="1" operator="lessThanOrEqual">
      <formula>0</formula>
    </cfRule>
  </conditionalFormatting>
  <conditionalFormatting sqref="I67">
    <cfRule type="cellIs" dxfId="3430" priority="135" stopIfTrue="1" operator="lessThanOrEqual">
      <formula>0</formula>
    </cfRule>
    <cfRule type="cellIs" dxfId="3429" priority="133" stopIfTrue="1" operator="lessThanOrEqual">
      <formula>0</formula>
    </cfRule>
    <cfRule type="cellIs" dxfId="3428" priority="132" stopIfTrue="1" operator="greaterThan">
      <formula>$F$43</formula>
    </cfRule>
    <cfRule type="cellIs" dxfId="3427" priority="131" stopIfTrue="1" operator="lessThanOrEqual">
      <formula>0</formula>
    </cfRule>
    <cfRule type="cellIs" dxfId="3426" priority="134" stopIfTrue="1" operator="greaterThan">
      <formula>$F$41</formula>
    </cfRule>
    <cfRule type="cellIs" dxfId="3425" priority="130" stopIfTrue="1" operator="greaterThan">
      <formula>$F$41</formula>
    </cfRule>
  </conditionalFormatting>
  <conditionalFormatting sqref="I68:I69">
    <cfRule type="cellIs" dxfId="3424" priority="102" stopIfTrue="1" operator="greaterThan">
      <formula>#REF!</formula>
    </cfRule>
    <cfRule type="cellIs" dxfId="3423" priority="103" stopIfTrue="1" operator="lessThanOrEqual">
      <formula>0</formula>
    </cfRule>
    <cfRule type="cellIs" dxfId="3422" priority="104" stopIfTrue="1" operator="greaterThan">
      <formula>#REF!</formula>
    </cfRule>
    <cfRule type="cellIs" dxfId="3421" priority="105" stopIfTrue="1" operator="lessThanOrEqual">
      <formula>0</formula>
    </cfRule>
    <cfRule type="cellIs" dxfId="3420" priority="100" stopIfTrue="1" operator="greaterThan">
      <formula>#REF!</formula>
    </cfRule>
    <cfRule type="cellIs" dxfId="3419" priority="101" stopIfTrue="1" operator="lessThanOrEqual">
      <formula>0</formula>
    </cfRule>
  </conditionalFormatting>
  <conditionalFormatting sqref="I84:I92">
    <cfRule type="cellIs" dxfId="3418" priority="164" stopIfTrue="1" operator="greaterThan">
      <formula>4.5</formula>
    </cfRule>
    <cfRule type="cellIs" dxfId="3417" priority="165" stopIfTrue="1" operator="lessThanOrEqual">
      <formula>0</formula>
    </cfRule>
  </conditionalFormatting>
  <conditionalFormatting sqref="I10:J28">
    <cfRule type="cellIs" dxfId="3416" priority="25" operator="lessThan">
      <formula>97.9</formula>
    </cfRule>
  </conditionalFormatting>
  <conditionalFormatting sqref="J31">
    <cfRule type="cellIs" dxfId="3415" priority="67" operator="lessThan">
      <formula>97.95</formula>
    </cfRule>
  </conditionalFormatting>
  <conditionalFormatting sqref="J33">
    <cfRule type="cellIs" dxfId="3414" priority="142" stopIfTrue="1" operator="greaterThan">
      <formula>100</formula>
    </cfRule>
    <cfRule type="cellIs" dxfId="3413" priority="141" stopIfTrue="1" operator="lessThan">
      <formula>96.8</formula>
    </cfRule>
    <cfRule type="cellIs" dxfId="3412" priority="143" operator="lessThan">
      <formula>98</formula>
    </cfRule>
  </conditionalFormatting>
  <conditionalFormatting sqref="J33:J35">
    <cfRule type="cellIs" dxfId="3411" priority="140" operator="lessThan">
      <formula>97.4</formula>
    </cfRule>
  </conditionalFormatting>
  <conditionalFormatting sqref="J36:J37">
    <cfRule type="cellIs" dxfId="3410" priority="144" operator="lessThan">
      <formula>98</formula>
    </cfRule>
  </conditionalFormatting>
  <conditionalFormatting sqref="J38:J39">
    <cfRule type="cellIs" dxfId="3409" priority="145" stopIfTrue="1" operator="lessThan">
      <formula>96.8</formula>
    </cfRule>
    <cfRule type="cellIs" dxfId="3408" priority="146" stopIfTrue="1" operator="greaterThan">
      <formula>100</formula>
    </cfRule>
  </conditionalFormatting>
  <conditionalFormatting sqref="J38:J40">
    <cfRule type="cellIs" dxfId="3407" priority="147" operator="lessThan">
      <formula>98</formula>
    </cfRule>
  </conditionalFormatting>
  <conditionalFormatting sqref="J69">
    <cfRule type="cellIs" dxfId="3406" priority="95" stopIfTrue="1" operator="lessThanOrEqual">
      <formula>0</formula>
    </cfRule>
    <cfRule type="cellIs" dxfId="3405" priority="94" stopIfTrue="1" operator="greaterThan">
      <formula>#REF!</formula>
    </cfRule>
    <cfRule type="cellIs" dxfId="3404" priority="93" stopIfTrue="1" operator="lessThanOrEqual">
      <formula>0</formula>
    </cfRule>
    <cfRule type="cellIs" dxfId="3403" priority="92" stopIfTrue="1" operator="greaterThan">
      <formula>#REF!</formula>
    </cfRule>
    <cfRule type="cellIs" dxfId="3402" priority="91" stopIfTrue="1" operator="lessThanOrEqual">
      <formula>0</formula>
    </cfRule>
    <cfRule type="cellIs" dxfId="3401" priority="90" stopIfTrue="1" operator="greaterThan">
      <formula>#REF!</formula>
    </cfRule>
    <cfRule type="cellIs" dxfId="3400" priority="89" stopIfTrue="1" operator="lessThanOrEqual">
      <formula>0</formula>
    </cfRule>
    <cfRule type="cellIs" dxfId="3399" priority="88" stopIfTrue="1" operator="greaterThan">
      <formula>#REF!</formula>
    </cfRule>
  </conditionalFormatting>
  <conditionalFormatting sqref="J82">
    <cfRule type="cellIs" dxfId="3398" priority="51" stopIfTrue="1" operator="lessThanOrEqual">
      <formula>0</formula>
    </cfRule>
    <cfRule type="cellIs" dxfId="3397" priority="50" stopIfTrue="1" operator="greaterThan">
      <formula>$F82</formula>
    </cfRule>
  </conditionalFormatting>
  <conditionalFormatting sqref="K10:K28">
    <cfRule type="cellIs" dxfId="3396" priority="26" operator="greaterThan">
      <formula>6</formula>
    </cfRule>
    <cfRule type="cellIs" dxfId="3395" priority="27" operator="lessThan">
      <formula>4</formula>
    </cfRule>
    <cfRule type="cellIs" dxfId="3394" priority="28" operator="greaterThan">
      <formula>6.4</formula>
    </cfRule>
  </conditionalFormatting>
  <conditionalFormatting sqref="K60:K69">
    <cfRule type="cellIs" dxfId="3393" priority="82" stopIfTrue="1" operator="lessThan">
      <formula>100%</formula>
    </cfRule>
  </conditionalFormatting>
  <conditionalFormatting sqref="K84:K89">
    <cfRule type="cellIs" dxfId="3392" priority="170" stopIfTrue="1" operator="lessThan">
      <formula>100%</formula>
    </cfRule>
  </conditionalFormatting>
  <conditionalFormatting sqref="K91:K92">
    <cfRule type="cellIs" dxfId="3391" priority="177" stopIfTrue="1" operator="lessThan">
      <formula>100%</formula>
    </cfRule>
  </conditionalFormatting>
  <conditionalFormatting sqref="K73:M81">
    <cfRule type="cellIs" dxfId="3390" priority="35" stopIfTrue="1" operator="lessThan">
      <formula>100%</formula>
    </cfRule>
  </conditionalFormatting>
  <conditionalFormatting sqref="L10:L28">
    <cfRule type="cellIs" dxfId="3389" priority="33" operator="greaterThan">
      <formula>65</formula>
    </cfRule>
    <cfRule type="cellIs" dxfId="3388" priority="32" operator="between">
      <formula>61</formula>
      <formula>65</formula>
    </cfRule>
  </conditionalFormatting>
  <conditionalFormatting sqref="L31:M42">
    <cfRule type="cellIs" dxfId="3387" priority="84" operator="lessThan">
      <formula>97.95</formula>
    </cfRule>
  </conditionalFormatting>
  <conditionalFormatting sqref="L82:M82">
    <cfRule type="cellIs" dxfId="3386" priority="52" stopIfTrue="1" operator="lessThan">
      <formula>100%</formula>
    </cfRule>
  </conditionalFormatting>
  <conditionalFormatting sqref="L46:N46">
    <cfRule type="cellIs" dxfId="3385" priority="85" operator="notEqual">
      <formula>#REF!</formula>
    </cfRule>
  </conditionalFormatting>
  <conditionalFormatting sqref="L84:N92">
    <cfRule type="cellIs" dxfId="3384" priority="155" stopIfTrue="1" operator="lessThan">
      <formula>100%</formula>
    </cfRule>
  </conditionalFormatting>
  <conditionalFormatting sqref="M10:M27">
    <cfRule type="expression" dxfId="3383" priority="8">
      <formula>IF(+(IF(M10&lt;U10,0,IF(M10&gt;V10,0,1)))=0,1)</formula>
    </cfRule>
  </conditionalFormatting>
  <conditionalFormatting sqref="M28:N28">
    <cfRule type="expression" dxfId="3382" priority="183">
      <formula>IF(+(IF(M28&lt;#REF!,0,IF(M28&gt;#REF!,0,1)))=0,1)</formula>
    </cfRule>
  </conditionalFormatting>
  <conditionalFormatting sqref="N10:N27">
    <cfRule type="expression" dxfId="3381" priority="1">
      <formula>IF(+(IF(N10&lt;W10,0,IF(N10&gt;X10,0,1)))=0,1)</formula>
    </cfRule>
  </conditionalFormatting>
  <conditionalFormatting sqref="N73:N82">
    <cfRule type="cellIs" dxfId="3380" priority="66" stopIfTrue="1" operator="lessThan">
      <formula>100%</formula>
    </cfRule>
  </conditionalFormatting>
  <conditionalFormatting sqref="P6">
    <cfRule type="cellIs" dxfId="3379" priority="151" operator="greaterThanOrEqual">
      <formula>19</formula>
    </cfRule>
  </conditionalFormatting>
  <dataValidations count="1">
    <dataValidation type="list" allowBlank="1" showInputMessage="1" showErrorMessage="1" sqref="R8" xr:uid="{6656408F-B2EE-4E91-93D0-270CA870CEC9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6" max="16383" man="1"/>
  </rowBreaks>
  <colBreaks count="1" manualBreakCount="1">
    <brk id="15" max="89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8978F-FF78-4FD2-9E0C-296D6260E934}">
  <sheetPr>
    <pageSetUpPr fitToPage="1"/>
  </sheetPr>
  <dimension ref="A1:BE76"/>
  <sheetViews>
    <sheetView zoomScale="80" zoomScaleNormal="80" workbookViewId="0">
      <selection activeCell="M10" sqref="M10:M12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4" t="s">
        <v>0</v>
      </c>
      <c r="T1" s="494"/>
      <c r="U1" s="494" t="s">
        <v>1</v>
      </c>
      <c r="V1" s="494"/>
      <c r="W1" s="494" t="s">
        <v>2</v>
      </c>
      <c r="X1" s="494"/>
      <c r="Y1" s="494" t="s">
        <v>124</v>
      </c>
      <c r="Z1" s="494"/>
    </row>
    <row r="2" spans="2:29" ht="15">
      <c r="B2" s="495" t="s">
        <v>3</v>
      </c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46080</v>
      </c>
      <c r="J4" s="398" t="s">
        <v>167</v>
      </c>
      <c r="K4" s="398"/>
      <c r="L4" s="11"/>
      <c r="M4" s="492" t="s">
        <v>8</v>
      </c>
      <c r="N4" s="493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8"/>
      <c r="D5" s="49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9" t="s">
        <v>17</v>
      </c>
      <c r="C8" s="501" t="s">
        <v>18</v>
      </c>
      <c r="D8" s="501" t="s">
        <v>19</v>
      </c>
      <c r="E8" s="356" t="s">
        <v>20</v>
      </c>
      <c r="F8" s="356" t="s">
        <v>21</v>
      </c>
      <c r="G8" s="501" t="s">
        <v>22</v>
      </c>
      <c r="H8" s="502" t="s">
        <v>144</v>
      </c>
      <c r="I8" s="501" t="s">
        <v>165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169</v>
      </c>
      <c r="O8" s="510" t="s">
        <v>155</v>
      </c>
      <c r="P8" s="496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.6" customHeight="1">
      <c r="B9" s="500"/>
      <c r="C9" s="497"/>
      <c r="D9" s="497"/>
      <c r="E9" s="357" t="s">
        <v>30</v>
      </c>
      <c r="F9" s="357" t="s">
        <v>31</v>
      </c>
      <c r="G9" s="497"/>
      <c r="H9" s="503"/>
      <c r="I9" s="497"/>
      <c r="J9" s="505"/>
      <c r="K9" s="507"/>
      <c r="L9" s="509"/>
      <c r="M9" s="20" t="s">
        <v>32</v>
      </c>
      <c r="N9" s="21" t="s">
        <v>41</v>
      </c>
      <c r="O9" s="511"/>
      <c r="P9" s="497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34" t="s">
        <v>12</v>
      </c>
      <c r="C10" s="366" t="str">
        <f>[5]Brewhouse!$A34</f>
        <v>GU017</v>
      </c>
      <c r="D10" s="279">
        <f>[5]Brewhouse!$AF34</f>
        <v>49.5</v>
      </c>
      <c r="E10" s="279">
        <f>[5]Brewhouse!$AI34</f>
        <v>48.4</v>
      </c>
      <c r="F10" s="278">
        <f>[5]Brewhouse!$V34</f>
        <v>62</v>
      </c>
      <c r="G10" s="279">
        <f>[5]Brewhouse!$AG34</f>
        <v>17.3</v>
      </c>
      <c r="H10" s="396"/>
      <c r="I10" s="482">
        <f>[5]Brewhouse!$AU34</f>
        <v>90.907169651305182</v>
      </c>
      <c r="J10" s="482">
        <f>[5]Brewhouse!$AV34</f>
        <v>92.090918440810455</v>
      </c>
      <c r="K10" s="483">
        <f>[5]Brewhouse!$R34</f>
        <v>16.928571428571423</v>
      </c>
      <c r="L10" s="276">
        <f>[5]Brewhouse!$O34</f>
        <v>60</v>
      </c>
      <c r="M10" s="374">
        <f>[5]Brewhouse!$U34-[5]Brewhouse!$T34</f>
        <v>0.12013888888888891</v>
      </c>
      <c r="N10" s="370">
        <f>[5]Brewhouse!$Z34</f>
        <v>0.26736111111111116</v>
      </c>
      <c r="O10" s="420" t="str">
        <f>[5]Brewhouse!$AW34</f>
        <v>K. Benjamin</v>
      </c>
      <c r="P10" s="418"/>
      <c r="R10" s="277" t="str">
        <f t="shared" ref="R10:R36" si="0">B10</f>
        <v>GUINNESS</v>
      </c>
      <c r="S10" s="472">
        <f t="shared" ref="S10:S36" si="1">VLOOKUP($B10,$R$3:$X$9,2,FALSE)</f>
        <v>17</v>
      </c>
      <c r="T10" s="472">
        <f t="shared" ref="T10:T36" si="2">VLOOKUP($B10,$R$3:$X$9,3,FALSE)</f>
        <v>17.5</v>
      </c>
      <c r="U10" s="297">
        <f t="shared" ref="U10:U36" si="3">VLOOKUP($B10,$R$3:$X$9,4,FALSE)</f>
        <v>0</v>
      </c>
      <c r="V10" s="297">
        <f t="shared" ref="V10:V36" si="4">VLOOKUP($B10,$R$3:$X$9,5,FALSE)</f>
        <v>0.1076388888888889</v>
      </c>
      <c r="W10" s="297">
        <f t="shared" ref="W10:W36" si="5">VLOOKUP($B10,$R$3:$X$9,6,FALSE)</f>
        <v>0.24652777777777779</v>
      </c>
      <c r="X10" s="297">
        <f t="shared" ref="X10:X36" si="6">VLOOKUP($B10,$R$3:$X$9,7,FALSE)</f>
        <v>0.28472222222222221</v>
      </c>
      <c r="Y10" s="297">
        <f t="shared" ref="Y10:Y36" si="7">VLOOKUP($B10,$R$3:$Z$9,8,FALSE)</f>
        <v>0</v>
      </c>
      <c r="Z10" s="472">
        <f t="shared" ref="Z10:Z36" si="8">VLOOKUP($B10,$R$3:$Z$9,9,FALSE)</f>
        <v>60</v>
      </c>
    </row>
    <row r="11" spans="2:29" ht="16.5" customHeight="1">
      <c r="B11" s="34" t="s">
        <v>12</v>
      </c>
      <c r="C11" s="366" t="str">
        <f>[5]Brewhouse!$A35</f>
        <v>GU018</v>
      </c>
      <c r="D11" s="279">
        <f>[5]Brewhouse!$AF35</f>
        <v>49.7</v>
      </c>
      <c r="E11" s="279">
        <f>[5]Brewhouse!$AI35</f>
        <v>49.2</v>
      </c>
      <c r="F11" s="278">
        <f>[5]Brewhouse!$V35</f>
        <v>60</v>
      </c>
      <c r="G11" s="279">
        <f>[5]Brewhouse!$AG35</f>
        <v>17.100000000000001</v>
      </c>
      <c r="H11" s="396"/>
      <c r="I11" s="482">
        <f>[5]Brewhouse!$AU35</f>
        <v>91.553613748299583</v>
      </c>
      <c r="J11" s="482">
        <f>[5]Brewhouse!$AV35</f>
        <v>92.744944283945514</v>
      </c>
      <c r="K11" s="483">
        <f>[5]Brewhouse!$R35</f>
        <v>13.714285714285715</v>
      </c>
      <c r="L11" s="276">
        <f>[5]Brewhouse!$O35</f>
        <v>59</v>
      </c>
      <c r="M11" s="374">
        <f>[5]Brewhouse!$U35-[5]Brewhouse!$T35</f>
        <v>0.11597222222222237</v>
      </c>
      <c r="N11" s="370">
        <f>[5]Brewhouse!$Z35</f>
        <v>0.2694444444444446</v>
      </c>
      <c r="O11" s="420" t="str">
        <f>[5]Brewhouse!$AW35</f>
        <v>K. Benjamin</v>
      </c>
      <c r="P11" s="418"/>
      <c r="R11" s="277" t="str">
        <f t="shared" si="0"/>
        <v>GUINNESS</v>
      </c>
      <c r="S11" s="472">
        <f t="shared" si="1"/>
        <v>17</v>
      </c>
      <c r="T11" s="472">
        <f t="shared" si="2"/>
        <v>17.5</v>
      </c>
      <c r="U11" s="297">
        <f t="shared" si="3"/>
        <v>0</v>
      </c>
      <c r="V11" s="297">
        <f t="shared" si="4"/>
        <v>0.1076388888888889</v>
      </c>
      <c r="W11" s="297">
        <f t="shared" si="5"/>
        <v>0.24652777777777779</v>
      </c>
      <c r="X11" s="297">
        <f t="shared" si="6"/>
        <v>0.28472222222222221</v>
      </c>
      <c r="Y11" s="297">
        <f t="shared" si="7"/>
        <v>0</v>
      </c>
      <c r="Z11" s="472">
        <f t="shared" si="8"/>
        <v>60</v>
      </c>
    </row>
    <row r="12" spans="2:29" ht="16.5" customHeight="1">
      <c r="B12" s="34" t="s">
        <v>12</v>
      </c>
      <c r="C12" s="366" t="str">
        <f>[5]Brewhouse!$A36</f>
        <v>GU019</v>
      </c>
      <c r="D12" s="279">
        <f>[5]Brewhouse!$AF36</f>
        <v>51.2</v>
      </c>
      <c r="E12" s="279">
        <f>[5]Brewhouse!$AI36</f>
        <v>50.3</v>
      </c>
      <c r="F12" s="278">
        <f>[5]Brewhouse!$V36</f>
        <v>61</v>
      </c>
      <c r="G12" s="279">
        <f>[5]Brewhouse!$AG36</f>
        <v>17.5</v>
      </c>
      <c r="H12" s="396"/>
      <c r="I12" s="482">
        <f>[5]Brewhouse!$AU36</f>
        <v>95.905976258581575</v>
      </c>
      <c r="J12" s="482">
        <f>[5]Brewhouse!$AV36</f>
        <v>97.153941394964903</v>
      </c>
      <c r="K12" s="483">
        <f>[5]Brewhouse!$R36</f>
        <v>12.263814616755797</v>
      </c>
      <c r="L12" s="276">
        <f>[5]Brewhouse!$O36</f>
        <v>60</v>
      </c>
      <c r="M12" s="374">
        <f>[5]Brewhouse!$U36-[5]Brewhouse!$T36</f>
        <v>0.11527777777777781</v>
      </c>
      <c r="N12" s="370">
        <f>[5]Brewhouse!$Z36</f>
        <v>0.27083333333333326</v>
      </c>
      <c r="O12" s="420" t="str">
        <f>[5]Brewhouse!$AW36</f>
        <v>R. Regis</v>
      </c>
      <c r="P12" s="418"/>
      <c r="R12" s="277" t="str">
        <f t="shared" si="0"/>
        <v>GUINNESS</v>
      </c>
      <c r="S12" s="472">
        <f t="shared" si="1"/>
        <v>17</v>
      </c>
      <c r="T12" s="472">
        <f t="shared" si="2"/>
        <v>17.5</v>
      </c>
      <c r="U12" s="297">
        <f t="shared" si="3"/>
        <v>0</v>
      </c>
      <c r="V12" s="297">
        <f t="shared" si="4"/>
        <v>0.1076388888888889</v>
      </c>
      <c r="W12" s="297">
        <f t="shared" si="5"/>
        <v>0.24652777777777779</v>
      </c>
      <c r="X12" s="297">
        <f t="shared" si="6"/>
        <v>0.28472222222222221</v>
      </c>
      <c r="Y12" s="297">
        <f t="shared" si="7"/>
        <v>0</v>
      </c>
      <c r="Z12" s="472">
        <f t="shared" si="8"/>
        <v>60</v>
      </c>
    </row>
    <row r="13" spans="2:29" ht="16.5" customHeight="1">
      <c r="B13" s="34"/>
      <c r="C13" s="366"/>
      <c r="D13" s="279"/>
      <c r="E13" s="279"/>
      <c r="F13" s="278"/>
      <c r="G13" s="279"/>
      <c r="H13" s="396"/>
      <c r="I13" s="482"/>
      <c r="J13" s="482"/>
      <c r="K13" s="483"/>
      <c r="L13" s="276"/>
      <c r="M13" s="374"/>
      <c r="N13" s="370"/>
      <c r="O13" s="420"/>
      <c r="P13" s="418"/>
      <c r="R13" s="277">
        <f t="shared" si="0"/>
        <v>0</v>
      </c>
      <c r="S13" s="472" t="e">
        <f t="shared" si="1"/>
        <v>#N/A</v>
      </c>
      <c r="T13" s="472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472" t="e">
        <f t="shared" si="8"/>
        <v>#N/A</v>
      </c>
    </row>
    <row r="14" spans="2:29" ht="16.5" customHeight="1">
      <c r="B14" s="34"/>
      <c r="C14" s="366"/>
      <c r="D14" s="279"/>
      <c r="E14" s="279"/>
      <c r="F14" s="278"/>
      <c r="G14" s="279"/>
      <c r="H14" s="396"/>
      <c r="I14" s="482"/>
      <c r="J14" s="482"/>
      <c r="K14" s="483"/>
      <c r="L14" s="276"/>
      <c r="M14" s="374"/>
      <c r="N14" s="370"/>
      <c r="O14" s="420"/>
      <c r="P14" s="418"/>
      <c r="R14" s="277">
        <f t="shared" si="0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6.5" customHeight="1">
      <c r="B15" s="34"/>
      <c r="C15" s="366"/>
      <c r="D15" s="279"/>
      <c r="E15" s="279"/>
      <c r="F15" s="278"/>
      <c r="G15" s="279"/>
      <c r="H15" s="396"/>
      <c r="I15" s="482"/>
      <c r="J15" s="482"/>
      <c r="K15" s="483"/>
      <c r="L15" s="276"/>
      <c r="M15" s="374"/>
      <c r="N15" s="370"/>
      <c r="O15" s="420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6.5" customHeight="1">
      <c r="B16" s="22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371"/>
      <c r="P16" s="418"/>
      <c r="R16" s="277">
        <f t="shared" si="0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6.5" customHeight="1">
      <c r="B17" s="22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8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6.5" customHeight="1">
      <c r="B18" s="22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6.5" customHeight="1">
      <c r="B19" s="22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6.5" customHeight="1">
      <c r="B20" s="22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8" customHeight="1">
      <c r="B21" s="22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6.5" customHeight="1">
      <c r="B22" s="22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512"/>
      <c r="J23" s="512"/>
      <c r="K23" s="512"/>
      <c r="L23" s="512"/>
      <c r="M23" s="512"/>
      <c r="N23" s="512"/>
      <c r="O23" s="1"/>
      <c r="P23" s="12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5.75" customHeight="1" thickBot="1">
      <c r="B24" s="388" t="s">
        <v>162</v>
      </c>
      <c r="C24" s="388"/>
      <c r="D24" s="513" t="s">
        <v>35</v>
      </c>
      <c r="E24" s="514"/>
      <c r="F24" s="294"/>
      <c r="G24" s="294"/>
      <c r="H24" s="348"/>
      <c r="I24" s="24" t="s">
        <v>17</v>
      </c>
      <c r="J24" s="25"/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0"/>
        <v xml:space="preserve">BRAND 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5" customHeight="1">
      <c r="A25" s="28"/>
      <c r="B25" s="525"/>
      <c r="C25" s="362"/>
      <c r="D25" s="518"/>
      <c r="E25" s="519"/>
      <c r="F25" s="294"/>
      <c r="G25" s="294"/>
      <c r="H25" s="348"/>
      <c r="I25" s="29" t="s">
        <v>6</v>
      </c>
      <c r="J25" s="323"/>
      <c r="K25" s="284"/>
      <c r="L25" s="305"/>
      <c r="M25" s="305">
        <f>AVERAGE([4]Brewhouse!$AU$42:$AU$123,[4]Brewhouse!$AU$125:$AU$188)</f>
        <v>97.59634929965118</v>
      </c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5" customHeight="1">
      <c r="A26" s="28"/>
      <c r="B26" s="526"/>
      <c r="C26" s="362"/>
      <c r="D26" s="520"/>
      <c r="E26" s="521"/>
      <c r="F26" s="294"/>
      <c r="G26" s="294"/>
      <c r="H26" s="348"/>
      <c r="I26" s="33" t="s">
        <v>9</v>
      </c>
      <c r="J26" s="280"/>
      <c r="K26" s="284"/>
      <c r="L26" s="302"/>
      <c r="M26" s="302">
        <f>AVERAGE([3]Brewhouse!$AS$52:$AS$81,[3]Brewhouse!$AS$83:$AS$124)</f>
        <v>98.31661114924232</v>
      </c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26"/>
      <c r="C27" s="362"/>
      <c r="D27" s="522"/>
      <c r="E27" s="523"/>
      <c r="F27" s="294"/>
      <c r="G27" s="294"/>
      <c r="H27" s="348"/>
      <c r="I27" s="34" t="s">
        <v>12</v>
      </c>
      <c r="J27" s="280"/>
      <c r="K27" s="284"/>
      <c r="L27" s="302"/>
      <c r="M27" s="302">
        <f>AVERAGE([5]Brewhouse!$AU$16:$AU$23,[5]Brewhouse!$AU$25:$AU$27)</f>
        <v>97.933890431198279</v>
      </c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26"/>
      <c r="C28" s="362"/>
      <c r="D28" s="524"/>
      <c r="E28" s="521"/>
      <c r="F28" s="294"/>
      <c r="G28" s="294"/>
      <c r="H28" s="348"/>
      <c r="I28" s="22" t="s">
        <v>33</v>
      </c>
      <c r="J28" s="280">
        <f>AVERAGE(I10:I10)</f>
        <v>90.907169651305182</v>
      </c>
      <c r="K28" s="284">
        <f>COUNTA([6]Brewhouse!$A$38:$A$44)</f>
        <v>7</v>
      </c>
      <c r="L28" s="302">
        <f>AVERAGE([6]Brewhouse!$AV$38:$AV$44)</f>
        <v>96.929916494140343</v>
      </c>
      <c r="M28" s="302">
        <f>AVERAGE([6]Brewhouse!$AV$23:$AV$34,[6]Brewhouse!$AV$36,[6]Brewhouse!$AV$38:$AV$44)</f>
        <v>97.74055230745536</v>
      </c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26"/>
      <c r="C29" s="362"/>
      <c r="D29" s="522"/>
      <c r="E29" s="523"/>
      <c r="F29" s="417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65" customHeight="1">
      <c r="A30" s="28"/>
      <c r="B30" s="526"/>
      <c r="C30" s="362"/>
      <c r="D30" s="524"/>
      <c r="E30" s="521"/>
      <c r="F30" s="417"/>
      <c r="G30" s="294"/>
      <c r="H30" s="348"/>
      <c r="I30" s="36" t="s">
        <v>15</v>
      </c>
      <c r="J30" s="323"/>
      <c r="K30" s="284"/>
      <c r="L30" s="302"/>
      <c r="M30" s="302">
        <f>AVERAGE([7]Brewhouse!$AT$4:$AT$11)</f>
        <v>92.826224508052405</v>
      </c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4.65" customHeight="1">
      <c r="A31" s="28"/>
      <c r="B31" s="526"/>
      <c r="C31" s="362"/>
      <c r="D31" s="522"/>
      <c r="E31" s="523"/>
      <c r="F31" s="417"/>
      <c r="G31" s="294"/>
      <c r="H31" s="348"/>
      <c r="I31" s="37" t="s">
        <v>16</v>
      </c>
      <c r="J31" s="323"/>
      <c r="K31" s="284"/>
      <c r="L31" s="302"/>
      <c r="M31" s="302">
        <f>AVERAGE([8]Brewhouse!$AY$5:$AY$14,[8]Brewhouse!$AY$16:$AY$23)</f>
        <v>97.293615171264676</v>
      </c>
      <c r="N31" s="30">
        <v>98</v>
      </c>
      <c r="O31" s="11"/>
      <c r="P31" s="31" t="s">
        <v>41</v>
      </c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4.65" customHeight="1">
      <c r="A32" s="28"/>
      <c r="B32" s="526"/>
      <c r="C32" s="362"/>
      <c r="D32" s="524"/>
      <c r="E32" s="521"/>
      <c r="F32" s="294"/>
      <c r="G32" s="294"/>
      <c r="H32" s="348"/>
      <c r="I32" s="411" t="s">
        <v>158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1:56" ht="14.65" customHeight="1">
      <c r="A33" s="28"/>
      <c r="B33" s="526"/>
      <c r="C33" s="349"/>
      <c r="D33" s="522"/>
      <c r="E33" s="523"/>
      <c r="F33" s="294"/>
      <c r="G33" s="294"/>
      <c r="H33" s="348"/>
      <c r="I33" s="410" t="s">
        <v>157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5" customHeight="1" thickBot="1">
      <c r="A34" s="28"/>
      <c r="B34" s="526"/>
      <c r="C34" s="349"/>
      <c r="D34" s="524"/>
      <c r="E34" s="521"/>
      <c r="F34" s="294"/>
      <c r="G34" s="294"/>
      <c r="H34" s="348"/>
      <c r="I34" s="406" t="s">
        <v>156</v>
      </c>
      <c r="J34" s="327"/>
      <c r="K34" s="407"/>
      <c r="L34" s="408"/>
      <c r="M34" s="408"/>
      <c r="N34" s="409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" customHeight="1" thickBot="1">
      <c r="A35" s="28"/>
      <c r="B35" s="526"/>
      <c r="C35" s="349"/>
      <c r="D35" s="518"/>
      <c r="E35" s="519"/>
      <c r="F35" s="294"/>
      <c r="G35" s="294"/>
      <c r="H35" s="348"/>
      <c r="I35" s="1"/>
      <c r="J35" s="39"/>
      <c r="K35" s="404">
        <f>SUM(K25:K34)</f>
        <v>7</v>
      </c>
      <c r="L35" s="405">
        <f>((L25*K25)+(L26*K26)+(L27*K27)+(L28*K28)+(L29*K29)+(K32*L32)+(L30*K30)+(L31*K31)+(L34*K34))/(K35)</f>
        <v>96.929916494140343</v>
      </c>
      <c r="M35" s="405">
        <f>AVERAGE('[9]Jan30th-31st'!$L$42,L35)</f>
        <v>97.378979114990898</v>
      </c>
      <c r="N35" s="4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.75" thickBot="1">
      <c r="B36" s="583"/>
      <c r="C36" s="350"/>
      <c r="D36" s="520"/>
      <c r="E36" s="521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.75" thickBot="1">
      <c r="B37" s="525"/>
      <c r="C37" s="362"/>
      <c r="D37" s="528"/>
      <c r="E37" s="529"/>
      <c r="F37" s="294"/>
      <c r="G37" s="42"/>
      <c r="H37" s="41"/>
      <c r="I37" s="42"/>
      <c r="J37" s="530" t="s">
        <v>129</v>
      </c>
      <c r="K37" s="530"/>
      <c r="L37" s="294"/>
      <c r="M37" s="294"/>
      <c r="N37" s="294"/>
      <c r="O37" s="294"/>
      <c r="P37" s="12"/>
    </row>
    <row r="38" spans="1:56" ht="15.75" thickBot="1">
      <c r="B38" s="526"/>
      <c r="C38" s="362"/>
      <c r="D38" s="524"/>
      <c r="E38" s="521"/>
      <c r="F38" s="294"/>
      <c r="G38" s="42"/>
      <c r="H38" s="41"/>
      <c r="I38" s="41"/>
      <c r="J38" s="292" t="s">
        <v>17</v>
      </c>
      <c r="K38" s="293" t="s">
        <v>172</v>
      </c>
      <c r="L38" s="531" t="s">
        <v>136</v>
      </c>
      <c r="M38" s="531"/>
      <c r="N38" s="532"/>
      <c r="O38" s="294"/>
      <c r="P38" s="12"/>
    </row>
    <row r="39" spans="1:56" ht="15" customHeight="1" thickBot="1">
      <c r="B39" s="526"/>
      <c r="C39" s="349"/>
      <c r="D39" s="522"/>
      <c r="E39" s="523"/>
      <c r="F39" s="294"/>
      <c r="G39" s="42"/>
      <c r="H39" s="41"/>
      <c r="I39" s="41"/>
      <c r="J39" s="287" t="s">
        <v>6</v>
      </c>
      <c r="K39" s="324"/>
      <c r="L39" s="473" t="s">
        <v>37</v>
      </c>
      <c r="M39" s="474" t="s">
        <v>38</v>
      </c>
      <c r="N39" s="474" t="s">
        <v>84</v>
      </c>
      <c r="O39" s="294"/>
      <c r="P39" s="12"/>
    </row>
    <row r="40" spans="1:56" ht="15.75" customHeight="1" thickBot="1">
      <c r="B40" s="526"/>
      <c r="C40" s="349"/>
      <c r="D40" s="524"/>
      <c r="E40" s="521"/>
      <c r="F40" s="294"/>
      <c r="G40" s="42"/>
      <c r="H40" s="41"/>
      <c r="I40" s="41"/>
      <c r="J40" s="345" t="s">
        <v>9</v>
      </c>
      <c r="K40" s="324"/>
      <c r="L40" s="344">
        <f>AVERAGE(K49,'Mar 1st'!K55)</f>
        <v>5</v>
      </c>
      <c r="M40" s="325">
        <f>AVERAGE('[9]Jan30th-31st'!$L$47,L40,'[10]Feb 26th '!$L$39)</f>
        <v>5.7289855072463771</v>
      </c>
      <c r="N40" s="416">
        <v>9.1999999999999993</v>
      </c>
      <c r="O40" s="294"/>
      <c r="P40" s="12"/>
    </row>
    <row r="41" spans="1:56" ht="15" customHeight="1">
      <c r="B41" s="526"/>
      <c r="C41" s="349"/>
      <c r="D41" s="522"/>
      <c r="E41" s="523"/>
      <c r="F41" s="294"/>
      <c r="G41" s="42"/>
      <c r="H41" s="41"/>
      <c r="I41" s="41"/>
      <c r="J41" s="288" t="s">
        <v>40</v>
      </c>
      <c r="K41" s="324">
        <v>3</v>
      </c>
      <c r="L41" s="294"/>
      <c r="M41" s="294"/>
      <c r="N41" s="294"/>
      <c r="O41" s="294"/>
      <c r="P41" s="12"/>
    </row>
    <row r="42" spans="1:56" ht="15" customHeight="1">
      <c r="B42" s="526"/>
      <c r="C42" s="349"/>
      <c r="D42" s="524"/>
      <c r="E42" s="521"/>
      <c r="F42" s="294"/>
      <c r="G42" s="42"/>
      <c r="H42" s="41"/>
      <c r="I42" s="41"/>
      <c r="J42" s="289" t="s">
        <v>33</v>
      </c>
      <c r="K42" s="324"/>
      <c r="L42" s="294"/>
      <c r="M42" s="294"/>
      <c r="N42" s="294"/>
      <c r="O42" s="294"/>
      <c r="P42" s="12"/>
    </row>
    <row r="43" spans="1:56" ht="15">
      <c r="B43" s="526"/>
      <c r="C43" s="349"/>
      <c r="D43" s="522"/>
      <c r="E43" s="523"/>
      <c r="F43" s="294"/>
      <c r="G43" s="42"/>
      <c r="H43" s="41"/>
      <c r="I43" s="41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6"/>
      <c r="C44" s="349"/>
      <c r="D44" s="524"/>
      <c r="E44" s="521"/>
      <c r="F44" s="294"/>
      <c r="G44" s="42"/>
      <c r="H44" s="41"/>
      <c r="I44" s="41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6"/>
      <c r="C45" s="349"/>
      <c r="D45" s="522"/>
      <c r="E45" s="523"/>
      <c r="F45" s="294"/>
      <c r="G45" s="42"/>
      <c r="H45" s="41"/>
      <c r="I45" s="41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527"/>
      <c r="C46" s="350"/>
      <c r="D46" s="533"/>
      <c r="E46" s="534"/>
      <c r="F46" s="294" t="s">
        <v>166</v>
      </c>
      <c r="G46" s="42"/>
      <c r="H46" s="41"/>
      <c r="I46" s="41"/>
      <c r="J46" s="291" t="s">
        <v>148</v>
      </c>
      <c r="K46" s="324"/>
      <c r="L46" s="294"/>
      <c r="M46" s="294"/>
      <c r="N46" s="294" t="s">
        <v>41</v>
      </c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35"/>
      <c r="E47" s="536"/>
      <c r="F47" s="294"/>
      <c r="H47" s="41"/>
      <c r="I47" s="41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1"/>
      <c r="I48" s="41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1:57" ht="15.6" customHeight="1">
      <c r="B49" s="45"/>
      <c r="C49" s="11"/>
      <c r="D49" s="11"/>
      <c r="E49" s="46"/>
      <c r="F49" s="294"/>
      <c r="G49" s="42"/>
      <c r="H49" s="41"/>
      <c r="I49" s="41"/>
      <c r="J49" s="346" t="s">
        <v>130</v>
      </c>
      <c r="K49" s="324">
        <f>SUM(K39:K48)</f>
        <v>3</v>
      </c>
      <c r="L49" s="294"/>
      <c r="M49" s="294"/>
      <c r="N49" s="294"/>
      <c r="O49" s="294"/>
      <c r="P49" s="12"/>
    </row>
    <row r="50" spans="1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L50" s="294"/>
      <c r="N50" s="315"/>
      <c r="P50" s="334"/>
    </row>
    <row r="51" spans="1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1:57" ht="15" customHeight="1" thickBot="1">
      <c r="B52" s="537" t="s">
        <v>17</v>
      </c>
      <c r="C52" s="537" t="s">
        <v>44</v>
      </c>
      <c r="D52" s="540" t="s">
        <v>45</v>
      </c>
      <c r="E52" s="501" t="s">
        <v>46</v>
      </c>
      <c r="F52" s="510" t="s">
        <v>47</v>
      </c>
      <c r="G52" s="549" t="s">
        <v>48</v>
      </c>
      <c r="H52" s="537" t="s">
        <v>49</v>
      </c>
      <c r="I52" s="537" t="s">
        <v>50</v>
      </c>
      <c r="J52" s="543" t="s">
        <v>28</v>
      </c>
      <c r="K52" s="499" t="s">
        <v>51</v>
      </c>
      <c r="L52" s="552" t="s">
        <v>52</v>
      </c>
      <c r="M52" s="543" t="s">
        <v>53</v>
      </c>
      <c r="N52" s="13"/>
      <c r="O52" s="13"/>
      <c r="P52" s="50"/>
    </row>
    <row r="53" spans="1:57" ht="28.5" customHeight="1" thickTop="1" thickBot="1">
      <c r="B53" s="538"/>
      <c r="C53" s="539"/>
      <c r="D53" s="541"/>
      <c r="E53" s="542"/>
      <c r="F53" s="554"/>
      <c r="G53" s="550"/>
      <c r="H53" s="538"/>
      <c r="I53" s="538"/>
      <c r="J53" s="544"/>
      <c r="K53" s="551"/>
      <c r="L53" s="553"/>
      <c r="M53" s="544"/>
      <c r="N53" s="13"/>
      <c r="O53" s="13"/>
      <c r="P53" s="50"/>
      <c r="Q53" s="355"/>
      <c r="AB53" s="475">
        <v>43474</v>
      </c>
      <c r="AC53" s="475">
        <v>43475</v>
      </c>
      <c r="AD53" s="475">
        <v>43476</v>
      </c>
      <c r="AE53" s="475">
        <v>43477</v>
      </c>
      <c r="AF53" s="475">
        <v>43478</v>
      </c>
      <c r="AG53" s="475">
        <v>43479</v>
      </c>
      <c r="AH53" s="475">
        <v>43480</v>
      </c>
      <c r="AI53" s="475">
        <v>43481</v>
      </c>
      <c r="AJ53" s="475">
        <v>43482</v>
      </c>
      <c r="AK53" s="475">
        <v>43483</v>
      </c>
      <c r="AL53" s="475">
        <v>43484</v>
      </c>
      <c r="AM53" s="475">
        <v>43485</v>
      </c>
      <c r="AN53" s="475">
        <v>43486</v>
      </c>
      <c r="AO53" s="475">
        <v>43487</v>
      </c>
      <c r="AP53" s="475">
        <v>43488</v>
      </c>
      <c r="AQ53" s="475">
        <v>43489</v>
      </c>
      <c r="AR53" s="475">
        <v>43490</v>
      </c>
      <c r="AS53" s="475">
        <v>43491</v>
      </c>
      <c r="AT53" s="475">
        <v>43492</v>
      </c>
      <c r="AU53" s="475">
        <v>43493</v>
      </c>
      <c r="AV53" s="475">
        <v>43494</v>
      </c>
      <c r="AW53" s="475">
        <v>43495</v>
      </c>
      <c r="AX53" s="475">
        <v>43496</v>
      </c>
    </row>
    <row r="54" spans="1:57" s="54" customFormat="1" ht="36.75" customHeight="1" thickBot="1">
      <c r="B54" s="484" t="str">
        <f>J40</f>
        <v>STAG</v>
      </c>
      <c r="C54" s="479">
        <v>46083</v>
      </c>
      <c r="D54" s="442">
        <f>[11]March_2026!$E$13</f>
        <v>196.89999999999998</v>
      </c>
      <c r="E54" s="443"/>
      <c r="F54" s="444"/>
      <c r="G54" s="445">
        <f>[11]March_2026!$E$17</f>
        <v>182</v>
      </c>
      <c r="H54" s="458"/>
      <c r="I54" s="458"/>
      <c r="J54" s="448" t="s">
        <v>175</v>
      </c>
      <c r="K54" s="449">
        <f>[13]March_2026!$E$25</f>
        <v>0.31929824561403508</v>
      </c>
      <c r="L54" s="457">
        <f>(((D54+E54)-G54)/(D54+E54))*100</f>
        <v>7.5672930421533664</v>
      </c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[14]January_2019!L5</f>
        <v>0</v>
      </c>
      <c r="AC54" s="57">
        <f>[14]January_2019!M5</f>
        <v>0</v>
      </c>
      <c r="AD54" s="57">
        <f>[14]January_2019!N5</f>
        <v>0</v>
      </c>
      <c r="AE54" s="57">
        <f>[14]January_2019!O5</f>
        <v>0</v>
      </c>
      <c r="AF54" s="57">
        <f>[14]January_2019!P5</f>
        <v>0</v>
      </c>
      <c r="AG54" s="57">
        <f>[14]January_2019!Q5</f>
        <v>0</v>
      </c>
      <c r="AH54" s="57">
        <f>[14]January_2019!R5</f>
        <v>0</v>
      </c>
      <c r="AI54" s="57">
        <f>[14]January_2019!S5</f>
        <v>0</v>
      </c>
      <c r="AJ54" s="57">
        <f>[14]January_2019!T5</f>
        <v>0</v>
      </c>
      <c r="AK54" s="57">
        <f>[14]January_2019!U5</f>
        <v>0</v>
      </c>
      <c r="AL54" s="57">
        <f>[14]January_2019!V5</f>
        <v>0</v>
      </c>
      <c r="AM54" s="57">
        <f>[14]January_2019!W5</f>
        <v>0</v>
      </c>
      <c r="AN54" s="57">
        <f>[14]January_2019!X5</f>
        <v>0</v>
      </c>
      <c r="AO54" s="57">
        <f>[14]January_2019!Y5</f>
        <v>0</v>
      </c>
      <c r="AP54" s="57">
        <f>[14]January_2019!Z5</f>
        <v>0</v>
      </c>
      <c r="AQ54" s="57">
        <f>[14]January_2019!AA5</f>
        <v>0</v>
      </c>
      <c r="AR54" s="57">
        <f>[14]January_2019!AB5</f>
        <v>0</v>
      </c>
      <c r="AS54" s="57">
        <f>[14]January_2019!AC5</f>
        <v>0</v>
      </c>
      <c r="AT54" s="57">
        <f>[14]January_2019!AD5</f>
        <v>0</v>
      </c>
      <c r="AU54" s="57">
        <f>[14]January_2019!AE5</f>
        <v>0</v>
      </c>
      <c r="AV54" s="57">
        <f>[14]January_2019!AF5</f>
        <v>0</v>
      </c>
      <c r="AW54" s="57">
        <f>[14]January_2019!AG5</f>
        <v>0</v>
      </c>
      <c r="AX54" s="277">
        <f>[14]January_2019!AH5</f>
        <v>0</v>
      </c>
      <c r="AY54" s="277"/>
      <c r="AZ54" s="277"/>
      <c r="BA54" s="277"/>
      <c r="BB54" s="277"/>
      <c r="BC54" s="277"/>
      <c r="BD54" s="277"/>
      <c r="BE54" s="277"/>
    </row>
    <row r="55" spans="1:57" s="54" customFormat="1" ht="14.25" hidden="1" customHeight="1" thickBot="1">
      <c r="B55" s="480"/>
      <c r="C55" s="479"/>
      <c r="D55" s="442"/>
      <c r="E55" s="443"/>
      <c r="F55" s="444"/>
      <c r="G55" s="445"/>
      <c r="H55" s="458"/>
      <c r="I55" s="458"/>
      <c r="J55" s="476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[14]January_2019!L6</f>
        <v>0</v>
      </c>
      <c r="AC55" s="57">
        <f>[14]January_2019!M6</f>
        <v>0</v>
      </c>
      <c r="AD55" s="57">
        <f>[14]January_2019!N6</f>
        <v>0</v>
      </c>
      <c r="AE55" s="57">
        <f>[14]January_2019!O6</f>
        <v>0</v>
      </c>
      <c r="AF55" s="57">
        <f>[14]January_2019!P6</f>
        <v>0</v>
      </c>
      <c r="AG55" s="57">
        <f>[14]January_2019!Q6</f>
        <v>0</v>
      </c>
      <c r="AH55" s="57">
        <f>[14]January_2019!R6</f>
        <v>0</v>
      </c>
      <c r="AI55" s="57">
        <f>[14]January_2019!S6</f>
        <v>0</v>
      </c>
      <c r="AJ55" s="57">
        <f>[14]January_2019!T6</f>
        <v>0</v>
      </c>
      <c r="AK55" s="57">
        <f>[14]January_2019!U6</f>
        <v>0</v>
      </c>
      <c r="AL55" s="57">
        <f>[14]January_2019!V6</f>
        <v>0</v>
      </c>
      <c r="AM55" s="57">
        <f>[14]January_2019!W6</f>
        <v>0</v>
      </c>
      <c r="AN55" s="57">
        <f>[14]January_2019!X6</f>
        <v>0</v>
      </c>
      <c r="AO55" s="57">
        <f>[14]January_2019!Y6</f>
        <v>0</v>
      </c>
      <c r="AP55" s="57">
        <f>[14]January_2019!Z6</f>
        <v>0</v>
      </c>
      <c r="AQ55" s="57">
        <f>[14]January_2019!AA6</f>
        <v>0</v>
      </c>
      <c r="AR55" s="57">
        <f>[14]January_2019!AB6</f>
        <v>0</v>
      </c>
      <c r="AS55" s="57">
        <f>[14]January_2019!AC6</f>
        <v>0</v>
      </c>
      <c r="AT55" s="57">
        <f>[14]January_2019!AD6</f>
        <v>0</v>
      </c>
      <c r="AU55" s="57">
        <f>[14]January_2019!AE6</f>
        <v>0</v>
      </c>
      <c r="AV55" s="57">
        <f>[14]January_2019!AF6</f>
        <v>0</v>
      </c>
      <c r="AW55" s="57">
        <f>[14]January_2019!AG6</f>
        <v>0</v>
      </c>
      <c r="AX55" s="277">
        <f>[14]January_2019!AH6</f>
        <v>0</v>
      </c>
      <c r="AY55" s="277"/>
      <c r="AZ55" s="277"/>
      <c r="BA55" s="277"/>
      <c r="BB55" s="277"/>
      <c r="BC55" s="277"/>
      <c r="BD55" s="277"/>
      <c r="BE55" s="277"/>
    </row>
    <row r="56" spans="1:57" s="54" customFormat="1" ht="37.15" hidden="1" customHeight="1" thickBot="1">
      <c r="A56" s="54" t="s">
        <v>168</v>
      </c>
      <c r="B56" s="480"/>
      <c r="C56" s="479"/>
      <c r="D56" s="442"/>
      <c r="E56" s="443"/>
      <c r="F56" s="444"/>
      <c r="G56" s="445"/>
      <c r="H56" s="458"/>
      <c r="I56" s="458"/>
      <c r="J56" s="448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[14]January_2019!L7</f>
        <v>285.8</v>
      </c>
      <c r="AC56" s="57">
        <f>[14]January_2019!M7</f>
        <v>508.1</v>
      </c>
      <c r="AD56" s="57">
        <f>[14]January_2019!N7</f>
        <v>0</v>
      </c>
      <c r="AE56" s="57">
        <f>[14]January_2019!O7</f>
        <v>0</v>
      </c>
      <c r="AF56" s="57">
        <f>[14]January_2019!P7</f>
        <v>109.56666666666666</v>
      </c>
      <c r="AG56" s="57">
        <f>[14]January_2019!Q7</f>
        <v>297.64999999999998</v>
      </c>
      <c r="AH56" s="57">
        <f>[14]January_2019!R7</f>
        <v>122.3</v>
      </c>
      <c r="AI56" s="57">
        <f>[14]January_2019!S7</f>
        <v>0</v>
      </c>
      <c r="AJ56" s="57">
        <f>[14]January_2019!T7</f>
        <v>294.7</v>
      </c>
      <c r="AK56" s="57">
        <f>[14]January_2019!U7</f>
        <v>280.5</v>
      </c>
      <c r="AL56" s="57">
        <f>[14]January_2019!V7</f>
        <v>0</v>
      </c>
      <c r="AM56" s="57">
        <f>[14]January_2019!W7</f>
        <v>0</v>
      </c>
      <c r="AN56" s="57">
        <f>[14]January_2019!X7</f>
        <v>188.25</v>
      </c>
      <c r="AO56" s="57">
        <f>[14]January_2019!Y7</f>
        <v>295.7</v>
      </c>
      <c r="AP56" s="57">
        <f>[14]January_2019!Z7</f>
        <v>257.8</v>
      </c>
      <c r="AQ56" s="57">
        <f>[14]January_2019!AA7</f>
        <v>291.2</v>
      </c>
      <c r="AR56" s="57">
        <f>[14]January_2019!AB7</f>
        <v>187</v>
      </c>
      <c r="AS56" s="57">
        <f>[14]January_2019!AC7</f>
        <v>0</v>
      </c>
      <c r="AT56" s="57">
        <f>[14]January_2019!AD7</f>
        <v>0</v>
      </c>
      <c r="AU56" s="57">
        <f>[14]January_2019!AE7</f>
        <v>485.1</v>
      </c>
      <c r="AV56" s="57">
        <f>[14]January_2019!AF7</f>
        <v>171.55</v>
      </c>
      <c r="AW56" s="57">
        <f>[14]January_2019!AG7</f>
        <v>423.8</v>
      </c>
      <c r="AX56" s="277">
        <f>[14]January_2019!AH7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1:57" s="54" customFormat="1" ht="19.5" hidden="1" customHeight="1" thickBot="1">
      <c r="B57" s="478"/>
      <c r="C57" s="430"/>
      <c r="D57" s="431"/>
      <c r="E57" s="432"/>
      <c r="F57" s="433"/>
      <c r="G57" s="434"/>
      <c r="H57" s="458"/>
      <c r="I57" s="458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1:57" s="54" customFormat="1" ht="38.450000000000003" hidden="1" customHeight="1" thickBot="1">
      <c r="B58" s="480"/>
      <c r="C58" s="479"/>
      <c r="D58" s="442"/>
      <c r="E58" s="443"/>
      <c r="F58" s="444"/>
      <c r="G58" s="445"/>
      <c r="H58" s="458"/>
      <c r="I58" s="458"/>
      <c r="J58" s="448" t="s">
        <v>171</v>
      </c>
      <c r="K58" s="459"/>
      <c r="L58" s="457" t="e">
        <f>(((D58+E58)-G58)/(D58+E58))*100</f>
        <v>#DIV/0!</v>
      </c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1:57" s="54" customFormat="1" ht="15" hidden="1">
      <c r="B59" s="453"/>
      <c r="C59" s="430"/>
      <c r="D59" s="431"/>
      <c r="E59" s="432"/>
      <c r="F59" s="433"/>
      <c r="G59" s="434"/>
      <c r="H59" s="435"/>
      <c r="I59" s="450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37.15" hidden="1" customHeight="1" thickBot="1">
      <c r="B60" s="480"/>
      <c r="C60" s="479"/>
      <c r="D60" s="442"/>
      <c r="E60" s="443"/>
      <c r="F60" s="444"/>
      <c r="G60" s="445"/>
      <c r="H60" s="446"/>
      <c r="I60" s="447"/>
      <c r="J60" s="448"/>
      <c r="K60" s="44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16.5" hidden="1" customHeight="1" thickBot="1">
      <c r="B61" s="437"/>
      <c r="C61" s="423"/>
      <c r="D61" s="424"/>
      <c r="E61" s="425"/>
      <c r="F61" s="426"/>
      <c r="G61" s="427"/>
      <c r="H61" s="428"/>
      <c r="I61" s="438"/>
      <c r="J61" s="439"/>
      <c r="K61" s="429"/>
      <c r="L61" s="440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1:57" s="54" customFormat="1" ht="37.15" hidden="1" customHeight="1" thickBot="1">
      <c r="B62" s="456"/>
      <c r="C62" s="441"/>
      <c r="D62" s="442"/>
      <c r="E62" s="443"/>
      <c r="F62" s="444"/>
      <c r="G62" s="445"/>
      <c r="H62" s="446"/>
      <c r="I62" s="447"/>
      <c r="J62" s="448"/>
      <c r="K62" s="449"/>
      <c r="L62" s="457"/>
      <c r="M62" s="454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s="54" customFormat="1" ht="37.15" customHeight="1">
      <c r="B63" s="466"/>
      <c r="C63" s="430"/>
      <c r="D63" s="460"/>
      <c r="E63" s="461"/>
      <c r="F63" s="462"/>
      <c r="G63" s="460"/>
      <c r="H63" s="463"/>
      <c r="I63" s="463"/>
      <c r="J63" s="463"/>
      <c r="K63" s="464"/>
      <c r="L63" s="465"/>
      <c r="M63" s="50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ht="18" customHeight="1" thickBot="1">
      <c r="B64" s="59"/>
      <c r="C64" s="30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 t="s">
        <v>41</v>
      </c>
      <c r="O64" s="56"/>
      <c r="P64" s="60"/>
    </row>
    <row r="65" spans="2:16" ht="15.75" thickBot="1">
      <c r="B65" s="545" t="s">
        <v>55</v>
      </c>
      <c r="C65" s="546"/>
      <c r="D65" s="546"/>
      <c r="E65" s="546"/>
      <c r="F65" s="547"/>
      <c r="G65" s="545" t="s">
        <v>56</v>
      </c>
      <c r="H65" s="546"/>
      <c r="I65" s="546"/>
      <c r="J65" s="547"/>
      <c r="K65" s="545" t="s">
        <v>51</v>
      </c>
      <c r="L65" s="546"/>
      <c r="M65" s="546"/>
      <c r="N65" s="548"/>
      <c r="O65" s="56"/>
      <c r="P65" s="50"/>
    </row>
    <row r="66" spans="2:16" ht="15">
      <c r="B66" s="61" t="s">
        <v>17</v>
      </c>
      <c r="C66" s="62" t="s">
        <v>36</v>
      </c>
      <c r="D66" s="62" t="s">
        <v>37</v>
      </c>
      <c r="E66" s="62" t="s">
        <v>38</v>
      </c>
      <c r="F66" s="63" t="s">
        <v>39</v>
      </c>
      <c r="G66" s="62" t="s">
        <v>36</v>
      </c>
      <c r="H66" s="62" t="s">
        <v>37</v>
      </c>
      <c r="I66" s="62" t="s">
        <v>38</v>
      </c>
      <c r="J66" s="63" t="s">
        <v>39</v>
      </c>
      <c r="K66" s="62" t="s">
        <v>36</v>
      </c>
      <c r="L66" s="62" t="s">
        <v>37</v>
      </c>
      <c r="M66" s="62" t="s">
        <v>38</v>
      </c>
      <c r="N66" s="63" t="s">
        <v>39</v>
      </c>
      <c r="O66" s="56"/>
      <c r="P66" s="64"/>
    </row>
    <row r="67" spans="2:16" ht="15">
      <c r="B67" s="29" t="s">
        <v>6</v>
      </c>
      <c r="C67" s="282"/>
      <c r="D67" s="76"/>
      <c r="E67" s="76"/>
      <c r="F67" s="66">
        <v>4.8</v>
      </c>
      <c r="G67" s="65"/>
      <c r="H67" s="477"/>
      <c r="I67" s="477"/>
      <c r="J67" s="66">
        <v>4.8</v>
      </c>
      <c r="K67" s="67"/>
      <c r="L67" s="194"/>
      <c r="M67" s="194"/>
      <c r="N67" s="68">
        <v>1</v>
      </c>
      <c r="O67" s="56"/>
      <c r="P67" s="69"/>
    </row>
    <row r="68" spans="2:16" ht="15">
      <c r="B68" s="33" t="s">
        <v>9</v>
      </c>
      <c r="C68" s="65">
        <f>L54</f>
        <v>7.5672930421533664</v>
      </c>
      <c r="D68" s="76"/>
      <c r="E68" s="76"/>
      <c r="F68" s="66">
        <v>4.8</v>
      </c>
      <c r="G68" s="65"/>
      <c r="H68" s="76"/>
      <c r="I68" s="76"/>
      <c r="J68" s="66">
        <v>4.8</v>
      </c>
      <c r="K68" s="67">
        <f>K54</f>
        <v>0.31929824561403508</v>
      </c>
      <c r="L68" s="194"/>
      <c r="M68" s="194"/>
      <c r="N68" s="68">
        <v>1</v>
      </c>
      <c r="P68" s="69"/>
    </row>
    <row r="69" spans="2:16" ht="15">
      <c r="B69" s="34" t="s">
        <v>40</v>
      </c>
      <c r="C69" s="65"/>
      <c r="D69" s="76"/>
      <c r="E69" s="76"/>
      <c r="F69" s="66">
        <v>5.5</v>
      </c>
      <c r="G69" s="65"/>
      <c r="H69" s="76"/>
      <c r="I69" s="76"/>
      <c r="J69" s="66">
        <v>5.5</v>
      </c>
      <c r="K69" s="67"/>
      <c r="L69" s="194"/>
      <c r="M69" s="194"/>
      <c r="N69" s="68">
        <v>1</v>
      </c>
      <c r="P69" s="69"/>
    </row>
    <row r="70" spans="2:16" ht="15">
      <c r="B70" s="22" t="s">
        <v>33</v>
      </c>
      <c r="C70" s="65"/>
      <c r="D70" s="76"/>
      <c r="E70" s="76"/>
      <c r="F70" s="66">
        <v>3.3</v>
      </c>
      <c r="G70" s="65"/>
      <c r="H70" s="76"/>
      <c r="I70" s="76"/>
      <c r="J70" s="66">
        <v>3.3</v>
      </c>
      <c r="K70" s="67"/>
      <c r="L70" s="194"/>
      <c r="M70" s="194"/>
      <c r="N70" s="68">
        <v>1</v>
      </c>
      <c r="P70" s="69"/>
    </row>
    <row r="71" spans="2:16" ht="15">
      <c r="B71" s="35" t="s">
        <v>164</v>
      </c>
      <c r="C71" s="65"/>
      <c r="D71" s="76"/>
      <c r="E71" s="76"/>
      <c r="F71" s="66">
        <v>3.3</v>
      </c>
      <c r="G71" s="282"/>
      <c r="H71" s="76"/>
      <c r="I71" s="76"/>
      <c r="J71" s="66">
        <v>3</v>
      </c>
      <c r="K71" s="67"/>
      <c r="L71" s="194"/>
      <c r="M71" s="194"/>
      <c r="N71" s="68">
        <v>1</v>
      </c>
      <c r="P71" s="69"/>
    </row>
    <row r="72" spans="2:16" ht="15">
      <c r="B72" s="36" t="s">
        <v>15</v>
      </c>
      <c r="C72" s="65"/>
      <c r="D72" s="76"/>
      <c r="E72" s="76"/>
      <c r="F72" s="70">
        <f>[15]May_2022!$M$43</f>
        <v>3.4878406700073312</v>
      </c>
      <c r="G72" s="282"/>
      <c r="H72" s="76"/>
      <c r="I72" s="76"/>
      <c r="J72" s="66">
        <v>5.5</v>
      </c>
      <c r="K72" s="67"/>
      <c r="L72" s="194"/>
      <c r="M72" s="194"/>
      <c r="N72" s="68">
        <v>1</v>
      </c>
      <c r="P72" s="69"/>
    </row>
    <row r="73" spans="2:16" ht="15">
      <c r="B73" s="37" t="s">
        <v>16</v>
      </c>
      <c r="C73" s="65"/>
      <c r="D73" s="76"/>
      <c r="E73" s="76"/>
      <c r="F73" s="66">
        <v>3.3</v>
      </c>
      <c r="G73" s="282"/>
      <c r="H73" s="76"/>
      <c r="I73" s="76"/>
      <c r="J73" s="66">
        <v>3.3</v>
      </c>
      <c r="K73" s="67"/>
      <c r="L73" s="194"/>
      <c r="M73" s="194"/>
      <c r="N73" s="71">
        <v>1</v>
      </c>
      <c r="P73" s="69"/>
    </row>
    <row r="74" spans="2:16" ht="15.75" thickBot="1">
      <c r="B74" s="38" t="s">
        <v>163</v>
      </c>
      <c r="C74" s="65"/>
      <c r="D74" s="76"/>
      <c r="E74" s="76"/>
      <c r="F74" s="66">
        <v>7.5</v>
      </c>
      <c r="G74" s="282"/>
      <c r="H74" s="76"/>
      <c r="I74" s="76"/>
      <c r="J74" s="66">
        <v>7.5</v>
      </c>
      <c r="K74" s="67"/>
      <c r="L74" s="194"/>
      <c r="M74" s="194"/>
      <c r="N74" s="71">
        <v>1</v>
      </c>
      <c r="P74" s="69"/>
    </row>
    <row r="75" spans="2:16" ht="15.75" thickBot="1">
      <c r="B75" s="414" t="s">
        <v>161</v>
      </c>
      <c r="C75" s="65"/>
      <c r="D75" s="76"/>
      <c r="E75" s="76"/>
      <c r="F75" s="66">
        <v>4.8</v>
      </c>
      <c r="G75" s="282"/>
      <c r="H75" s="76"/>
      <c r="I75" s="76"/>
      <c r="J75" s="66">
        <v>4.8</v>
      </c>
      <c r="K75" s="67"/>
      <c r="L75" s="194"/>
      <c r="M75" s="194"/>
      <c r="N75" s="71">
        <v>1</v>
      </c>
      <c r="O75" s="74"/>
      <c r="P75" s="75"/>
    </row>
    <row r="76" spans="2:16" ht="15">
      <c r="D76" s="76"/>
      <c r="E76" s="76"/>
      <c r="F76" s="341">
        <v>5.5</v>
      </c>
      <c r="H76" s="76"/>
      <c r="I76" s="76"/>
      <c r="J76" s="341">
        <v>5.5</v>
      </c>
      <c r="L76" s="194"/>
      <c r="M76" s="194"/>
      <c r="N76" s="386">
        <v>1</v>
      </c>
    </row>
  </sheetData>
  <mergeCells count="51">
    <mergeCell ref="M52:M53"/>
    <mergeCell ref="B65:F65"/>
    <mergeCell ref="G65:J65"/>
    <mergeCell ref="K65:N65"/>
    <mergeCell ref="G52:G53"/>
    <mergeCell ref="H52:H53"/>
    <mergeCell ref="I52:I53"/>
    <mergeCell ref="J52:J53"/>
    <mergeCell ref="K52:K53"/>
    <mergeCell ref="L52:L53"/>
    <mergeCell ref="F52:F53"/>
    <mergeCell ref="D47:E47"/>
    <mergeCell ref="B52:B53"/>
    <mergeCell ref="C52:C53"/>
    <mergeCell ref="D52:D53"/>
    <mergeCell ref="E52:E53"/>
    <mergeCell ref="B37:B46"/>
    <mergeCell ref="D37:E38"/>
    <mergeCell ref="J37:K37"/>
    <mergeCell ref="L38:N38"/>
    <mergeCell ref="D39:E40"/>
    <mergeCell ref="D41:E42"/>
    <mergeCell ref="D43:E44"/>
    <mergeCell ref="D45:E46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7:B48">
    <cfRule type="cellIs" dxfId="3378" priority="75" operator="notBetween">
      <formula>#REF!</formula>
      <formula>#REF!</formula>
    </cfRule>
  </conditionalFormatting>
  <conditionalFormatting sqref="C51">
    <cfRule type="cellIs" dxfId="3377" priority="169" stopIfTrue="1" operator="lessThan">
      <formula>96</formula>
    </cfRule>
    <cfRule type="cellIs" dxfId="3376" priority="170" stopIfTrue="1" operator="greaterThan">
      <formula>100</formula>
    </cfRule>
  </conditionalFormatting>
  <conditionalFormatting sqref="C67:C71">
    <cfRule type="cellIs" dxfId="3375" priority="138" stopIfTrue="1" operator="lessThanOrEqual">
      <formula>0</formula>
    </cfRule>
  </conditionalFormatting>
  <conditionalFormatting sqref="C67:C75">
    <cfRule type="cellIs" dxfId="3374" priority="137" stopIfTrue="1" operator="greaterThan">
      <formula>$F67</formula>
    </cfRule>
  </conditionalFormatting>
  <conditionalFormatting sqref="C68">
    <cfRule type="cellIs" dxfId="3373" priority="171" stopIfTrue="1" operator="greaterThan">
      <formula>$F67</formula>
    </cfRule>
  </conditionalFormatting>
  <conditionalFormatting sqref="C72">
    <cfRule type="cellIs" dxfId="3372" priority="99" stopIfTrue="1" operator="lessThanOrEqual">
      <formula>0</formula>
    </cfRule>
    <cfRule type="cellIs" dxfId="3371" priority="100" stopIfTrue="1" operator="greaterThan">
      <formula>$F71</formula>
    </cfRule>
  </conditionalFormatting>
  <conditionalFormatting sqref="C73:C75">
    <cfRule type="cellIs" dxfId="3370" priority="139" stopIfTrue="1" operator="lessThanOrEqual">
      <formula>0</formula>
    </cfRule>
  </conditionalFormatting>
  <conditionalFormatting sqref="C78:C82">
    <cfRule type="cellIs" dxfId="3369" priority="161" stopIfTrue="1" operator="lessThanOrEqual">
      <formula>0</formula>
    </cfRule>
  </conditionalFormatting>
  <conditionalFormatting sqref="C79:C82">
    <cfRule type="cellIs" dxfId="3368" priority="160" stopIfTrue="1" operator="greaterThan">
      <formula>$F$78</formula>
    </cfRule>
  </conditionalFormatting>
  <conditionalFormatting sqref="C84">
    <cfRule type="cellIs" dxfId="3367" priority="162" stopIfTrue="1" operator="greaterThan">
      <formula>$F$78</formula>
    </cfRule>
    <cfRule type="cellIs" dxfId="3366" priority="163" stopIfTrue="1" operator="lessThanOrEqual">
      <formula>0</formula>
    </cfRule>
  </conditionalFormatting>
  <conditionalFormatting sqref="C78:D78 D80:D86">
    <cfRule type="cellIs" dxfId="3365" priority="155" stopIfTrue="1" operator="greaterThan">
      <formula>4.5</formula>
    </cfRule>
  </conditionalFormatting>
  <conditionalFormatting sqref="D47:D48">
    <cfRule type="cellIs" dxfId="3364" priority="76" operator="notBetween">
      <formula>#REF!</formula>
      <formula>#REF!</formula>
    </cfRule>
  </conditionalFormatting>
  <conditionalFormatting sqref="D67:D74">
    <cfRule type="cellIs" dxfId="3363" priority="48" stopIfTrue="1" operator="lessThanOrEqual">
      <formula>0</formula>
    </cfRule>
  </conditionalFormatting>
  <conditionalFormatting sqref="D67:D76">
    <cfRule type="cellIs" dxfId="3362" priority="27" stopIfTrue="1" operator="lessThanOrEqual">
      <formula>0</formula>
    </cfRule>
  </conditionalFormatting>
  <conditionalFormatting sqref="D75">
    <cfRule type="cellIs" dxfId="3361" priority="47" stopIfTrue="1" operator="lessThanOrEqual">
      <formula>0</formula>
    </cfRule>
  </conditionalFormatting>
  <conditionalFormatting sqref="D76">
    <cfRule type="cellIs" dxfId="3360" priority="42" stopIfTrue="1" operator="lessThanOrEqual">
      <formula>0</formula>
    </cfRule>
  </conditionalFormatting>
  <conditionalFormatting sqref="D78 D80:D86">
    <cfRule type="cellIs" dxfId="3359" priority="156" stopIfTrue="1" operator="lessThanOrEqual">
      <formula>0</formula>
    </cfRule>
  </conditionalFormatting>
  <conditionalFormatting sqref="D79">
    <cfRule type="cellIs" dxfId="3358" priority="148" stopIfTrue="1" operator="lessThanOrEqual">
      <formula>0</formula>
    </cfRule>
    <cfRule type="cellIs" dxfId="3357" priority="147" stopIfTrue="1" operator="greaterThan">
      <formula>$F$78</formula>
    </cfRule>
  </conditionalFormatting>
  <conditionalFormatting sqref="D67:E76">
    <cfRule type="cellIs" dxfId="3356" priority="29" stopIfTrue="1" operator="greaterThan">
      <formula>$F67</formula>
    </cfRule>
  </conditionalFormatting>
  <conditionalFormatting sqref="D76:E76">
    <cfRule type="cellIs" dxfId="3355" priority="31" stopIfTrue="1" operator="lessThanOrEqual">
      <formula>0</formula>
    </cfRule>
  </conditionalFormatting>
  <conditionalFormatting sqref="E10:E22">
    <cfRule type="cellIs" dxfId="3354" priority="20" operator="lessThan">
      <formula>48</formula>
    </cfRule>
  </conditionalFormatting>
  <conditionalFormatting sqref="E50 E51:F51">
    <cfRule type="cellIs" dxfId="3353" priority="152" stopIfTrue="1" operator="greaterThan">
      <formula>100</formula>
    </cfRule>
  </conditionalFormatting>
  <conditionalFormatting sqref="E51">
    <cfRule type="cellIs" dxfId="3352" priority="149" stopIfTrue="1" operator="lessThan">
      <formula>96.8</formula>
    </cfRule>
    <cfRule type="cellIs" dxfId="3351" priority="150" stopIfTrue="1" operator="greaterThan">
      <formula>100</formula>
    </cfRule>
  </conditionalFormatting>
  <conditionalFormatting sqref="E67:E75">
    <cfRule type="cellIs" dxfId="3350" priority="28" stopIfTrue="1" operator="lessThanOrEqual">
      <formula>0</formula>
    </cfRule>
  </conditionalFormatting>
  <conditionalFormatting sqref="E67:E76">
    <cfRule type="cellIs" dxfId="3349" priority="30" stopIfTrue="1" operator="lessThanOrEqual">
      <formula>0</formula>
    </cfRule>
  </conditionalFormatting>
  <conditionalFormatting sqref="E78:E86">
    <cfRule type="cellIs" dxfId="3348" priority="141" stopIfTrue="1" operator="greaterThan">
      <formula>4.5</formula>
    </cfRule>
    <cfRule type="cellIs" dxfId="3347" priority="142" stopIfTrue="1" operator="lessThanOrEqual">
      <formula>0</formula>
    </cfRule>
  </conditionalFormatting>
  <conditionalFormatting sqref="E51:F51 E50">
    <cfRule type="cellIs" dxfId="3346" priority="151" stopIfTrue="1" operator="lessThan">
      <formula>96.5</formula>
    </cfRule>
  </conditionalFormatting>
  <conditionalFormatting sqref="F10:F22">
    <cfRule type="cellIs" dxfId="3345" priority="23" operator="greaterThan">
      <formula>60</formula>
    </cfRule>
  </conditionalFormatting>
  <conditionalFormatting sqref="F51">
    <cfRule type="cellIs" dxfId="3344" priority="168" stopIfTrue="1" operator="greaterThan">
      <formula>100</formula>
    </cfRule>
    <cfRule type="cellIs" dxfId="3343" priority="167" stopIfTrue="1" operator="lessThan">
      <formula>96.8</formula>
    </cfRule>
  </conditionalFormatting>
  <conditionalFormatting sqref="F76">
    <cfRule type="cellIs" dxfId="3342" priority="46" stopIfTrue="1" operator="lessThanOrEqual">
      <formula>0</formula>
    </cfRule>
    <cfRule type="cellIs" dxfId="3341" priority="45" stopIfTrue="1" operator="greaterThan">
      <formula>$F76</formula>
    </cfRule>
  </conditionalFormatting>
  <conditionalFormatting sqref="G10:G21">
    <cfRule type="expression" dxfId="3340" priority="15">
      <formula>IF(+(IF(G10&lt;S10,0,IF(G10&gt;T10,0,1)))=0,1)</formula>
    </cfRule>
  </conditionalFormatting>
  <conditionalFormatting sqref="G67:G68">
    <cfRule type="cellIs" dxfId="3339" priority="43" stopIfTrue="1" operator="greaterThan">
      <formula>$F67</formula>
    </cfRule>
    <cfRule type="cellIs" dxfId="3338" priority="44" stopIfTrue="1" operator="lessThanOrEqual">
      <formula>0</formula>
    </cfRule>
    <cfRule type="cellIs" dxfId="3337" priority="49" stopIfTrue="1" operator="greaterThan">
      <formula>$F67</formula>
    </cfRule>
    <cfRule type="cellIs" dxfId="3336" priority="50" stopIfTrue="1" operator="lessThanOrEqual">
      <formula>0</formula>
    </cfRule>
  </conditionalFormatting>
  <conditionalFormatting sqref="G69">
    <cfRule type="cellIs" dxfId="3335" priority="53" stopIfTrue="1" operator="greaterThan">
      <formula>$F68</formula>
    </cfRule>
    <cfRule type="cellIs" dxfId="3334" priority="54" stopIfTrue="1" operator="lessThanOrEqual">
      <formula>0</formula>
    </cfRule>
  </conditionalFormatting>
  <conditionalFormatting sqref="G70">
    <cfRule type="cellIs" dxfId="3333" priority="37" stopIfTrue="1" operator="greaterThan">
      <formula>$F70</formula>
    </cfRule>
    <cfRule type="cellIs" dxfId="3332" priority="38" stopIfTrue="1" operator="lessThanOrEqual">
      <formula>0</formula>
    </cfRule>
    <cfRule type="cellIs" dxfId="3331" priority="36" stopIfTrue="1" operator="lessThanOrEqual">
      <formula>0</formula>
    </cfRule>
    <cfRule type="cellIs" dxfId="3330" priority="35" stopIfTrue="1" operator="greaterThan">
      <formula>$F70</formula>
    </cfRule>
  </conditionalFormatting>
  <conditionalFormatting sqref="G71:G75">
    <cfRule type="cellIs" dxfId="3329" priority="51" stopIfTrue="1" operator="greaterThan">
      <formula>$J71</formula>
    </cfRule>
    <cfRule type="cellIs" dxfId="3328" priority="52" stopIfTrue="1" operator="lessThanOrEqual">
      <formula>0</formula>
    </cfRule>
  </conditionalFormatting>
  <conditionalFormatting sqref="G80:G85 C83 C85">
    <cfRule type="cellIs" dxfId="3327" priority="165" stopIfTrue="1" operator="lessThanOrEqual">
      <formula>0</formula>
    </cfRule>
    <cfRule type="cellIs" dxfId="3326" priority="164" stopIfTrue="1" operator="greaterThan">
      <formula>4.5</formula>
    </cfRule>
  </conditionalFormatting>
  <conditionalFormatting sqref="G79:H79">
    <cfRule type="cellIs" dxfId="3325" priority="146" stopIfTrue="1" operator="lessThanOrEqual">
      <formula>0</formula>
    </cfRule>
    <cfRule type="cellIs" dxfId="3324" priority="145" stopIfTrue="1" operator="greaterThan">
      <formula>$F$78</formula>
    </cfRule>
  </conditionalFormatting>
  <conditionalFormatting sqref="H10:H21 G22:H22">
    <cfRule type="expression" dxfId="3323" priority="72">
      <formula>IF(+(IF(G10&lt;#REF!,0,IF(G10&gt;#REF!,0,1)))=0,1)</formula>
    </cfRule>
  </conditionalFormatting>
  <conditionalFormatting sqref="H36:H50 I38:I49">
    <cfRule type="cellIs" dxfId="3322" priority="143" stopIfTrue="1" operator="greaterThan">
      <formula>0</formula>
    </cfRule>
  </conditionalFormatting>
  <conditionalFormatting sqref="H54:H58">
    <cfRule type="cellIs" dxfId="3321" priority="59" stopIfTrue="1" operator="greaterThan">
      <formula>$F$67</formula>
    </cfRule>
    <cfRule type="cellIs" dxfId="3320" priority="68" stopIfTrue="1" operator="lessThanOrEqual">
      <formula>0</formula>
    </cfRule>
    <cfRule type="cellIs" dxfId="3319" priority="58" stopIfTrue="1" operator="lessThanOrEqual">
      <formula>0</formula>
    </cfRule>
    <cfRule type="cellIs" dxfId="3318" priority="70" stopIfTrue="1" operator="lessThanOrEqual">
      <formula>0</formula>
    </cfRule>
    <cfRule type="cellIs" dxfId="3317" priority="67" stopIfTrue="1" operator="greaterThan">
      <formula>$F$70</formula>
    </cfRule>
    <cfRule type="cellIs" dxfId="3316" priority="69" stopIfTrue="1" operator="greaterThan">
      <formula>$F$68</formula>
    </cfRule>
  </conditionalFormatting>
  <conditionalFormatting sqref="H59:H60">
    <cfRule type="cellIs" dxfId="3315" priority="112" stopIfTrue="1" operator="lessThanOrEqual">
      <formula>0</formula>
    </cfRule>
    <cfRule type="cellIs" dxfId="3314" priority="111" stopIfTrue="1" operator="greaterThan">
      <formula>$F$22</formula>
    </cfRule>
    <cfRule type="cellIs" dxfId="3313" priority="114" stopIfTrue="1" operator="lessThanOrEqual">
      <formula>0</formula>
    </cfRule>
    <cfRule type="cellIs" dxfId="3312" priority="113" stopIfTrue="1" operator="greaterThan">
      <formula>#REF!</formula>
    </cfRule>
    <cfRule type="cellIs" dxfId="3311" priority="102" stopIfTrue="1" operator="lessThanOrEqual">
      <formula>0</formula>
    </cfRule>
    <cfRule type="cellIs" dxfId="3310" priority="103" stopIfTrue="1" operator="greaterThan">
      <formula>#REF!</formula>
    </cfRule>
  </conditionalFormatting>
  <conditionalFormatting sqref="H61">
    <cfRule type="cellIs" dxfId="3309" priority="128" stopIfTrue="1" operator="lessThanOrEqual">
      <formula>0</formula>
    </cfRule>
    <cfRule type="cellIs" dxfId="3308" priority="127" stopIfTrue="1" operator="greaterThan">
      <formula>$F$36</formula>
    </cfRule>
    <cfRule type="cellIs" dxfId="3307" priority="126" stopIfTrue="1" operator="lessThanOrEqual">
      <formula>0</formula>
    </cfRule>
    <cfRule type="cellIs" dxfId="3306" priority="125" stopIfTrue="1" operator="greaterThan">
      <formula>$F$38</formula>
    </cfRule>
    <cfRule type="cellIs" dxfId="3305" priority="116" stopIfTrue="1" operator="lessThanOrEqual">
      <formula>0</formula>
    </cfRule>
    <cfRule type="cellIs" dxfId="3304" priority="117" stopIfTrue="1" operator="greaterThan">
      <formula>$F$35</formula>
    </cfRule>
  </conditionalFormatting>
  <conditionalFormatting sqref="H62:H63">
    <cfRule type="cellIs" dxfId="3303" priority="97" stopIfTrue="1" operator="greaterThan">
      <formula>#REF!</formula>
    </cfRule>
    <cfRule type="cellIs" dxfId="3302" priority="96" stopIfTrue="1" operator="lessThanOrEqual">
      <formula>0</formula>
    </cfRule>
    <cfRule type="cellIs" dxfId="3301" priority="86" stopIfTrue="1" operator="lessThanOrEqual">
      <formula>0</formula>
    </cfRule>
    <cfRule type="cellIs" dxfId="3300" priority="87" stopIfTrue="1" operator="greaterThan">
      <formula>#REF!</formula>
    </cfRule>
    <cfRule type="cellIs" dxfId="3299" priority="95" stopIfTrue="1" operator="greaterThan">
      <formula>$F$22</formula>
    </cfRule>
    <cfRule type="cellIs" dxfId="3298" priority="98" stopIfTrue="1" operator="lessThanOrEqual">
      <formula>0</formula>
    </cfRule>
  </conditionalFormatting>
  <conditionalFormatting sqref="H78 H80:H86">
    <cfRule type="cellIs" dxfId="3297" priority="157" stopIfTrue="1" operator="greaterThan">
      <formula>4.5</formula>
    </cfRule>
    <cfRule type="cellIs" dxfId="3296" priority="158" stopIfTrue="1" operator="lessThanOrEqual">
      <formula>0</formula>
    </cfRule>
  </conditionalFormatting>
  <conditionalFormatting sqref="H54:I58">
    <cfRule type="cellIs" dxfId="3295" priority="60" stopIfTrue="1" operator="lessThanOrEqual">
      <formula>0</formula>
    </cfRule>
    <cfRule type="cellIs" dxfId="3294" priority="57" stopIfTrue="1" operator="greaterThan">
      <formula>$F$69</formula>
    </cfRule>
  </conditionalFormatting>
  <conditionalFormatting sqref="H59:I60">
    <cfRule type="cellIs" dxfId="3293" priority="101" stopIfTrue="1" operator="greaterThan">
      <formula>#REF!</formula>
    </cfRule>
    <cfRule type="cellIs" dxfId="3292" priority="104" stopIfTrue="1" operator="lessThanOrEqual">
      <formula>0</formula>
    </cfRule>
  </conditionalFormatting>
  <conditionalFormatting sqref="H61:I61">
    <cfRule type="cellIs" dxfId="3291" priority="115" stopIfTrue="1" operator="greaterThan">
      <formula>$F$37</formula>
    </cfRule>
    <cfRule type="cellIs" dxfId="3290" priority="118" stopIfTrue="1" operator="lessThanOrEqual">
      <formula>0</formula>
    </cfRule>
  </conditionalFormatting>
  <conditionalFormatting sqref="H62:I63">
    <cfRule type="cellIs" dxfId="3289" priority="85" stopIfTrue="1" operator="greaterThan">
      <formula>#REF!</formula>
    </cfRule>
    <cfRule type="cellIs" dxfId="3288" priority="88" stopIfTrue="1" operator="lessThanOrEqual">
      <formula>0</formula>
    </cfRule>
  </conditionalFormatting>
  <conditionalFormatting sqref="H67:I74">
    <cfRule type="cellIs" dxfId="3287" priority="25" stopIfTrue="1" operator="greaterThan">
      <formula>$J67</formula>
    </cfRule>
    <cfRule type="cellIs" dxfId="3286" priority="26" stopIfTrue="1" operator="lessThanOrEqual">
      <formula>0</formula>
    </cfRule>
  </conditionalFormatting>
  <conditionalFormatting sqref="H75:I75">
    <cfRule type="cellIs" dxfId="3285" priority="34" operator="greaterThan">
      <formula>5.3</formula>
    </cfRule>
  </conditionalFormatting>
  <conditionalFormatting sqref="H76:I76">
    <cfRule type="cellIs" dxfId="3284" priority="33" stopIfTrue="1" operator="lessThanOrEqual">
      <formula>0</formula>
    </cfRule>
    <cfRule type="cellIs" dxfId="3283" priority="32" stopIfTrue="1" operator="greaterThan">
      <formula>$J76</formula>
    </cfRule>
  </conditionalFormatting>
  <conditionalFormatting sqref="I54:I58">
    <cfRule type="cellIs" dxfId="3282" priority="63" stopIfTrue="1" operator="greaterThan">
      <formula>$F$69</formula>
    </cfRule>
    <cfRule type="cellIs" dxfId="3281" priority="65" stopIfTrue="1" operator="greaterThan">
      <formula>$F$67</formula>
    </cfRule>
    <cfRule type="cellIs" dxfId="3280" priority="64" stopIfTrue="1" operator="lessThanOrEqual">
      <formula>0</formula>
    </cfRule>
    <cfRule type="cellIs" dxfId="3279" priority="62" stopIfTrue="1" operator="lessThanOrEqual">
      <formula>0</formula>
    </cfRule>
    <cfRule type="cellIs" dxfId="3278" priority="61" stopIfTrue="1" operator="greaterThan">
      <formula>$F$67</formula>
    </cfRule>
    <cfRule type="cellIs" dxfId="3277" priority="66" stopIfTrue="1" operator="lessThanOrEqual">
      <formula>0</formula>
    </cfRule>
  </conditionalFormatting>
  <conditionalFormatting sqref="I59:I60">
    <cfRule type="cellIs" dxfId="3276" priority="106" stopIfTrue="1" operator="lessThanOrEqual">
      <formula>0</formula>
    </cfRule>
    <cfRule type="cellIs" dxfId="3275" priority="107" stopIfTrue="1" operator="greaterThan">
      <formula>#REF!</formula>
    </cfRule>
    <cfRule type="cellIs" dxfId="3274" priority="105" stopIfTrue="1" operator="greaterThan">
      <formula>#REF!</formula>
    </cfRule>
    <cfRule type="cellIs" dxfId="3273" priority="109" stopIfTrue="1" operator="greaterThan">
      <formula>#REF!</formula>
    </cfRule>
    <cfRule type="cellIs" dxfId="3272" priority="110" stopIfTrue="1" operator="lessThanOrEqual">
      <formula>0</formula>
    </cfRule>
    <cfRule type="cellIs" dxfId="3271" priority="108" stopIfTrue="1" operator="lessThanOrEqual">
      <formula>0</formula>
    </cfRule>
  </conditionalFormatting>
  <conditionalFormatting sqref="I61">
    <cfRule type="cellIs" dxfId="3270" priority="124" stopIfTrue="1" operator="lessThanOrEqual">
      <formula>0</formula>
    </cfRule>
    <cfRule type="cellIs" dxfId="3269" priority="122" stopIfTrue="1" operator="lessThanOrEqual">
      <formula>0</formula>
    </cfRule>
    <cfRule type="cellIs" dxfId="3268" priority="121" stopIfTrue="1" operator="greaterThan">
      <formula>$F$37</formula>
    </cfRule>
    <cfRule type="cellIs" dxfId="3267" priority="120" stopIfTrue="1" operator="lessThanOrEqual">
      <formula>0</formula>
    </cfRule>
    <cfRule type="cellIs" dxfId="3266" priority="123" stopIfTrue="1" operator="greaterThan">
      <formula>$F$35</formula>
    </cfRule>
    <cfRule type="cellIs" dxfId="3265" priority="119" stopIfTrue="1" operator="greaterThan">
      <formula>$F$35</formula>
    </cfRule>
  </conditionalFormatting>
  <conditionalFormatting sqref="I62:I63">
    <cfRule type="cellIs" dxfId="3264" priority="91" stopIfTrue="1" operator="greaterThan">
      <formula>#REF!</formula>
    </cfRule>
    <cfRule type="cellIs" dxfId="3263" priority="92" stopIfTrue="1" operator="lessThanOrEqual">
      <formula>0</formula>
    </cfRule>
    <cfRule type="cellIs" dxfId="3262" priority="93" stopIfTrue="1" operator="greaterThan">
      <formula>#REF!</formula>
    </cfRule>
    <cfRule type="cellIs" dxfId="3261" priority="94" stopIfTrue="1" operator="lessThanOrEqual">
      <formula>0</formula>
    </cfRule>
    <cfRule type="cellIs" dxfId="3260" priority="89" stopIfTrue="1" operator="greaterThan">
      <formula>#REF!</formula>
    </cfRule>
    <cfRule type="cellIs" dxfId="3259" priority="90" stopIfTrue="1" operator="lessThanOrEqual">
      <formula>0</formula>
    </cfRule>
  </conditionalFormatting>
  <conditionalFormatting sqref="I78:I86">
    <cfRule type="cellIs" dxfId="3258" priority="153" stopIfTrue="1" operator="greaterThan">
      <formula>4.5</formula>
    </cfRule>
    <cfRule type="cellIs" dxfId="3257" priority="154" stopIfTrue="1" operator="lessThanOrEqual">
      <formula>0</formula>
    </cfRule>
  </conditionalFormatting>
  <conditionalFormatting sqref="I10:J22">
    <cfRule type="cellIs" dxfId="3256" priority="16" operator="lessThan">
      <formula>97.9</formula>
    </cfRule>
  </conditionalFormatting>
  <conditionalFormatting sqref="J25">
    <cfRule type="cellIs" dxfId="3255" priority="56" operator="lessThan">
      <formula>97.95</formula>
    </cfRule>
  </conditionalFormatting>
  <conditionalFormatting sqref="J27">
    <cfRule type="cellIs" dxfId="3254" priority="131" stopIfTrue="1" operator="greaterThan">
      <formula>100</formula>
    </cfRule>
    <cfRule type="cellIs" dxfId="3253" priority="130" stopIfTrue="1" operator="lessThan">
      <formula>96.8</formula>
    </cfRule>
    <cfRule type="cellIs" dxfId="3252" priority="132" operator="lessThan">
      <formula>98</formula>
    </cfRule>
  </conditionalFormatting>
  <conditionalFormatting sqref="J27:J29">
    <cfRule type="cellIs" dxfId="3251" priority="129" operator="lessThan">
      <formula>97.4</formula>
    </cfRule>
  </conditionalFormatting>
  <conditionalFormatting sqref="J30:J31">
    <cfRule type="cellIs" dxfId="3250" priority="133" operator="lessThan">
      <formula>98</formula>
    </cfRule>
  </conditionalFormatting>
  <conditionalFormatting sqref="J32:J33">
    <cfRule type="cellIs" dxfId="3249" priority="134" stopIfTrue="1" operator="lessThan">
      <formula>96.8</formula>
    </cfRule>
    <cfRule type="cellIs" dxfId="3248" priority="135" stopIfTrue="1" operator="greaterThan">
      <formula>100</formula>
    </cfRule>
  </conditionalFormatting>
  <conditionalFormatting sqref="J32:J34">
    <cfRule type="cellIs" dxfId="3247" priority="136" operator="lessThan">
      <formula>98</formula>
    </cfRule>
  </conditionalFormatting>
  <conditionalFormatting sqref="J63">
    <cfRule type="cellIs" dxfId="3246" priority="84" stopIfTrue="1" operator="lessThanOrEqual">
      <formula>0</formula>
    </cfRule>
    <cfRule type="cellIs" dxfId="3245" priority="83" stopIfTrue="1" operator="greaterThan">
      <formula>#REF!</formula>
    </cfRule>
    <cfRule type="cellIs" dxfId="3244" priority="82" stopIfTrue="1" operator="lessThanOrEqual">
      <formula>0</formula>
    </cfRule>
    <cfRule type="cellIs" dxfId="3243" priority="81" stopIfTrue="1" operator="greaterThan">
      <formula>#REF!</formula>
    </cfRule>
    <cfRule type="cellIs" dxfId="3242" priority="80" stopIfTrue="1" operator="lessThanOrEqual">
      <formula>0</formula>
    </cfRule>
    <cfRule type="cellIs" dxfId="3241" priority="79" stopIfTrue="1" operator="greaterThan">
      <formula>#REF!</formula>
    </cfRule>
    <cfRule type="cellIs" dxfId="3240" priority="78" stopIfTrue="1" operator="lessThanOrEqual">
      <formula>0</formula>
    </cfRule>
    <cfRule type="cellIs" dxfId="3239" priority="77" stopIfTrue="1" operator="greaterThan">
      <formula>#REF!</formula>
    </cfRule>
  </conditionalFormatting>
  <conditionalFormatting sqref="J76">
    <cfRule type="cellIs" dxfId="3238" priority="40" stopIfTrue="1" operator="lessThanOrEqual">
      <formula>0</formula>
    </cfRule>
    <cfRule type="cellIs" dxfId="3237" priority="39" stopIfTrue="1" operator="greaterThan">
      <formula>$F76</formula>
    </cfRule>
  </conditionalFormatting>
  <conditionalFormatting sqref="K10:K22">
    <cfRule type="cellIs" dxfId="3236" priority="17" operator="greaterThan">
      <formula>6</formula>
    </cfRule>
    <cfRule type="cellIs" dxfId="3235" priority="18" operator="lessThan">
      <formula>4</formula>
    </cfRule>
    <cfRule type="cellIs" dxfId="3234" priority="19" operator="greaterThan">
      <formula>6.4</formula>
    </cfRule>
  </conditionalFormatting>
  <conditionalFormatting sqref="K54:K63">
    <cfRule type="cellIs" dxfId="3233" priority="71" stopIfTrue="1" operator="lessThan">
      <formula>100%</formula>
    </cfRule>
  </conditionalFormatting>
  <conditionalFormatting sqref="K78:K83">
    <cfRule type="cellIs" dxfId="3232" priority="159" stopIfTrue="1" operator="lessThan">
      <formula>100%</formula>
    </cfRule>
  </conditionalFormatting>
  <conditionalFormatting sqref="K85:K86">
    <cfRule type="cellIs" dxfId="3231" priority="166" stopIfTrue="1" operator="lessThan">
      <formula>100%</formula>
    </cfRule>
  </conditionalFormatting>
  <conditionalFormatting sqref="K67:M75">
    <cfRule type="cellIs" dxfId="3230" priority="24" stopIfTrue="1" operator="lessThan">
      <formula>100%</formula>
    </cfRule>
  </conditionalFormatting>
  <conditionalFormatting sqref="L10:L22">
    <cfRule type="cellIs" dxfId="3229" priority="22" operator="greaterThan">
      <formula>65</formula>
    </cfRule>
    <cfRule type="cellIs" dxfId="3228" priority="21" operator="between">
      <formula>61</formula>
      <formula>65</formula>
    </cfRule>
  </conditionalFormatting>
  <conditionalFormatting sqref="L25:M36">
    <cfRule type="cellIs" dxfId="3227" priority="73" operator="lessThan">
      <formula>97.95</formula>
    </cfRule>
  </conditionalFormatting>
  <conditionalFormatting sqref="L76:M76">
    <cfRule type="cellIs" dxfId="3226" priority="41" stopIfTrue="1" operator="lessThan">
      <formula>100%</formula>
    </cfRule>
  </conditionalFormatting>
  <conditionalFormatting sqref="L40:N40">
    <cfRule type="cellIs" dxfId="3225" priority="74" operator="notEqual">
      <formula>#REF!</formula>
    </cfRule>
  </conditionalFormatting>
  <conditionalFormatting sqref="L78:N86">
    <cfRule type="cellIs" dxfId="3224" priority="144" stopIfTrue="1" operator="lessThan">
      <formula>100%</formula>
    </cfRule>
  </conditionalFormatting>
  <conditionalFormatting sqref="M10:M21">
    <cfRule type="expression" dxfId="3223" priority="14">
      <formula>IF(+(IF(M10&lt;U10,0,IF(M10&gt;V10,0,1)))=0,1)</formula>
    </cfRule>
  </conditionalFormatting>
  <conditionalFormatting sqref="M22:N22">
    <cfRule type="expression" dxfId="3222" priority="172">
      <formula>IF(+(IF(M22&lt;#REF!,0,IF(M22&gt;#REF!,0,1)))=0,1)</formula>
    </cfRule>
  </conditionalFormatting>
  <conditionalFormatting sqref="N10:N21">
    <cfRule type="expression" dxfId="3221" priority="13">
      <formula>IF(+(IF(N10&lt;W10,0,IF(N10&gt;X10,0,1)))=0,1)</formula>
    </cfRule>
  </conditionalFormatting>
  <conditionalFormatting sqref="N67:N76">
    <cfRule type="cellIs" dxfId="3220" priority="55" stopIfTrue="1" operator="lessThan">
      <formula>100%</formula>
    </cfRule>
  </conditionalFormatting>
  <conditionalFormatting sqref="P6">
    <cfRule type="cellIs" dxfId="3219" priority="140" operator="greaterThanOrEqual">
      <formula>19</formula>
    </cfRule>
  </conditionalFormatting>
  <dataValidations count="1">
    <dataValidation type="list" allowBlank="1" showInputMessage="1" showErrorMessage="1" sqref="R8" xr:uid="{7F7F2D66-83BC-4590-BEAF-70EDCE397A6C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D3112-9E26-441E-8A88-B65C9DF39022}">
  <sheetPr>
    <pageSetUpPr fitToPage="1"/>
  </sheetPr>
  <dimension ref="A1:BE76"/>
  <sheetViews>
    <sheetView topLeftCell="A30" zoomScale="70" zoomScaleNormal="70" workbookViewId="0">
      <selection activeCell="E10" sqref="E10:E19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4" t="s">
        <v>0</v>
      </c>
      <c r="T1" s="494"/>
      <c r="U1" s="494" t="s">
        <v>1</v>
      </c>
      <c r="V1" s="494"/>
      <c r="W1" s="494" t="s">
        <v>2</v>
      </c>
      <c r="X1" s="494"/>
      <c r="Y1" s="494" t="s">
        <v>124</v>
      </c>
      <c r="Z1" s="494"/>
    </row>
    <row r="2" spans="2:29" ht="15">
      <c r="B2" s="495" t="s">
        <v>3</v>
      </c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46085</v>
      </c>
      <c r="J4" s="398" t="s">
        <v>167</v>
      </c>
      <c r="K4" s="398"/>
      <c r="L4" s="11"/>
      <c r="M4" s="492" t="s">
        <v>8</v>
      </c>
      <c r="N4" s="493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8"/>
      <c r="D5" s="49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9" t="s">
        <v>17</v>
      </c>
      <c r="C8" s="501" t="s">
        <v>18</v>
      </c>
      <c r="D8" s="501" t="s">
        <v>19</v>
      </c>
      <c r="E8" s="356" t="s">
        <v>20</v>
      </c>
      <c r="F8" s="356" t="s">
        <v>21</v>
      </c>
      <c r="G8" s="501" t="s">
        <v>22</v>
      </c>
      <c r="H8" s="502" t="s">
        <v>144</v>
      </c>
      <c r="I8" s="501" t="s">
        <v>165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169</v>
      </c>
      <c r="O8" s="510" t="s">
        <v>155</v>
      </c>
      <c r="P8" s="496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.6" customHeight="1">
      <c r="B9" s="500"/>
      <c r="C9" s="497"/>
      <c r="D9" s="497"/>
      <c r="E9" s="357" t="s">
        <v>30</v>
      </c>
      <c r="F9" s="357" t="s">
        <v>31</v>
      </c>
      <c r="G9" s="497"/>
      <c r="H9" s="503"/>
      <c r="I9" s="497"/>
      <c r="J9" s="505"/>
      <c r="K9" s="507"/>
      <c r="L9" s="509"/>
      <c r="M9" s="20" t="s">
        <v>32</v>
      </c>
      <c r="N9" s="21" t="s">
        <v>41</v>
      </c>
      <c r="O9" s="511"/>
      <c r="P9" s="497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34" t="s">
        <v>12</v>
      </c>
      <c r="C10" s="366" t="str">
        <f>[5]Brewhouse!$A37</f>
        <v>GU020</v>
      </c>
      <c r="D10" s="279">
        <f>[5]Brewhouse!$AF37</f>
        <v>50.9</v>
      </c>
      <c r="E10" s="279">
        <f>[5]Brewhouse!$AI37</f>
        <v>50.4</v>
      </c>
      <c r="F10" s="278">
        <f>[5]Brewhouse!$V37</f>
        <v>60</v>
      </c>
      <c r="G10" s="279">
        <f>[5]Brewhouse!$AG37</f>
        <v>17.5</v>
      </c>
      <c r="H10" s="396"/>
      <c r="I10" s="482">
        <f>[5]Brewhouse!$AU37</f>
        <v>96.879053203911113</v>
      </c>
      <c r="J10" s="482">
        <f>[5]Brewhouse!$AV37</f>
        <v>97.191655936131852</v>
      </c>
      <c r="K10" s="483">
        <f>[5]Brewhouse!$R37</f>
        <v>12.107142857142859</v>
      </c>
      <c r="L10" s="276">
        <f>[5]Brewhouse!$O37</f>
        <v>59</v>
      </c>
      <c r="M10" s="374">
        <f>[5]Brewhouse!$U37-[5]Brewhouse!$T37</f>
        <v>0.12083333333333335</v>
      </c>
      <c r="N10" s="370">
        <f>[5]Brewhouse!$Z37</f>
        <v>0.28055555555555545</v>
      </c>
      <c r="O10" s="420" t="str">
        <f>[5]Brewhouse!$AW37</f>
        <v>R. Regis</v>
      </c>
      <c r="P10" s="357"/>
      <c r="R10" s="277" t="str">
        <f t="shared" ref="R10" si="0">B10</f>
        <v>GUINNESS</v>
      </c>
      <c r="S10" s="472">
        <f t="shared" ref="S10:S36" si="1">VLOOKUP($B10,$R$3:$X$9,2,FALSE)</f>
        <v>17</v>
      </c>
      <c r="T10" s="472">
        <f t="shared" ref="T10:T36" si="2">VLOOKUP($B10,$R$3:$X$9,3,FALSE)</f>
        <v>17.5</v>
      </c>
      <c r="U10" s="297">
        <f t="shared" ref="U10:U36" si="3">VLOOKUP($B10,$R$3:$X$9,4,FALSE)</f>
        <v>0</v>
      </c>
      <c r="V10" s="297">
        <f t="shared" ref="V10:V36" si="4">VLOOKUP($B10,$R$3:$X$9,5,FALSE)</f>
        <v>0.1076388888888889</v>
      </c>
      <c r="W10" s="297">
        <f t="shared" ref="W10:W36" si="5">VLOOKUP($B10,$R$3:$X$9,6,FALSE)</f>
        <v>0.24652777777777779</v>
      </c>
      <c r="X10" s="297">
        <f t="shared" ref="X10:X36" si="6">VLOOKUP($B10,$R$3:$X$9,7,FALSE)</f>
        <v>0.28472222222222221</v>
      </c>
      <c r="Y10" s="297">
        <f t="shared" ref="Y10:Y36" si="7">VLOOKUP($B10,$R$3:$Z$9,8,FALSE)</f>
        <v>0</v>
      </c>
      <c r="Z10" s="472">
        <f t="shared" ref="Z10:Z36" si="8">VLOOKUP($B10,$R$3:$Z$9,9,FALSE)</f>
        <v>60</v>
      </c>
    </row>
    <row r="11" spans="2:29" ht="16.5" customHeight="1">
      <c r="B11" s="34" t="s">
        <v>12</v>
      </c>
      <c r="C11" s="366" t="str">
        <f>[5]Brewhouse!$A38</f>
        <v>GU021</v>
      </c>
      <c r="D11" s="279">
        <f>[5]Brewhouse!$AF38</f>
        <v>51.5</v>
      </c>
      <c r="E11" s="279">
        <f>[5]Brewhouse!$AI38</f>
        <v>50</v>
      </c>
      <c r="F11" s="278">
        <f>[5]Brewhouse!$V38</f>
        <v>67</v>
      </c>
      <c r="G11" s="279">
        <f>[5]Brewhouse!$AG38</f>
        <v>17.399999999999999</v>
      </c>
      <c r="H11" s="396"/>
      <c r="I11" s="482">
        <f>[5]Brewhouse!$AU38</f>
        <v>95.469150075246716</v>
      </c>
      <c r="J11" s="482">
        <f>[5]Brewhouse!$AV38</f>
        <v>95.777257404595858</v>
      </c>
      <c r="K11" s="483">
        <f>[5]Brewhouse!$R38</f>
        <v>11.194295900178256</v>
      </c>
      <c r="L11" s="276">
        <f>[5]Brewhouse!$O38</f>
        <v>58</v>
      </c>
      <c r="M11" s="374">
        <f>[5]Brewhouse!$U38-[5]Brewhouse!$T38</f>
        <v>0.12291666666666667</v>
      </c>
      <c r="N11" s="370">
        <f>[5]Brewhouse!$Z38</f>
        <v>0.26874999999999999</v>
      </c>
      <c r="O11" s="420" t="str">
        <f>[5]Brewhouse!$AW38</f>
        <v>R. Regis</v>
      </c>
      <c r="P11" s="418"/>
      <c r="R11" s="277" t="str">
        <f t="shared" ref="R11" si="9">B11</f>
        <v>GUINNESS</v>
      </c>
      <c r="S11" s="472">
        <f t="shared" si="1"/>
        <v>17</v>
      </c>
      <c r="T11" s="472">
        <f t="shared" si="2"/>
        <v>17.5</v>
      </c>
      <c r="U11" s="297">
        <f t="shared" si="3"/>
        <v>0</v>
      </c>
      <c r="V11" s="297">
        <f t="shared" si="4"/>
        <v>0.1076388888888889</v>
      </c>
      <c r="W11" s="297">
        <f t="shared" si="5"/>
        <v>0.24652777777777779</v>
      </c>
      <c r="X11" s="297">
        <f t="shared" si="6"/>
        <v>0.28472222222222221</v>
      </c>
      <c r="Y11" s="297">
        <f t="shared" si="7"/>
        <v>0</v>
      </c>
      <c r="Z11" s="472">
        <f t="shared" si="8"/>
        <v>60</v>
      </c>
    </row>
    <row r="12" spans="2:29" ht="16.5" customHeight="1">
      <c r="B12" s="34" t="s">
        <v>12</v>
      </c>
      <c r="C12" s="366" t="str">
        <f>[5]Brewhouse!$A39</f>
        <v>GU022</v>
      </c>
      <c r="D12" s="279">
        <f>[5]Brewhouse!$AF39</f>
        <v>50</v>
      </c>
      <c r="E12" s="279">
        <f>[5]Brewhouse!$AI39</f>
        <v>50.3</v>
      </c>
      <c r="F12" s="278">
        <f>[5]Brewhouse!$V39</f>
        <v>63</v>
      </c>
      <c r="G12" s="279">
        <f>[5]Brewhouse!$AG39</f>
        <v>17.2</v>
      </c>
      <c r="H12" s="396"/>
      <c r="I12" s="482">
        <f>[5]Brewhouse!$AU39</f>
        <v>94.854987439727708</v>
      </c>
      <c r="J12" s="482">
        <f>[5]Brewhouse!$AV39</f>
        <v>95.161112683667412</v>
      </c>
      <c r="K12" s="483">
        <f>[5]Brewhouse!$R39</f>
        <v>14.581105169340464</v>
      </c>
      <c r="L12" s="276">
        <f>[5]Brewhouse!$O39</f>
        <v>60</v>
      </c>
      <c r="M12" s="374">
        <f>[5]Brewhouse!$U39-[5]Brewhouse!$T39</f>
        <v>0.11319444444444449</v>
      </c>
      <c r="N12" s="370">
        <f>[5]Brewhouse!$Z39</f>
        <v>0.30277777777777781</v>
      </c>
      <c r="O12" s="420" t="str">
        <f>[5]Brewhouse!$AW39</f>
        <v>D. Gomaz</v>
      </c>
      <c r="P12" s="418"/>
      <c r="R12" s="277" t="str">
        <f t="shared" ref="R12:R22" si="10">B12</f>
        <v>GUINNESS</v>
      </c>
      <c r="S12" s="472">
        <f t="shared" si="1"/>
        <v>17</v>
      </c>
      <c r="T12" s="472">
        <f t="shared" si="2"/>
        <v>17.5</v>
      </c>
      <c r="U12" s="297">
        <f t="shared" si="3"/>
        <v>0</v>
      </c>
      <c r="V12" s="297">
        <f t="shared" si="4"/>
        <v>0.1076388888888889</v>
      </c>
      <c r="W12" s="297">
        <f t="shared" si="5"/>
        <v>0.24652777777777779</v>
      </c>
      <c r="X12" s="297">
        <f t="shared" si="6"/>
        <v>0.28472222222222221</v>
      </c>
      <c r="Y12" s="297">
        <f t="shared" si="7"/>
        <v>0</v>
      </c>
      <c r="Z12" s="472">
        <f t="shared" si="8"/>
        <v>60</v>
      </c>
    </row>
    <row r="13" spans="2:29" ht="16.5" customHeight="1">
      <c r="B13" s="34" t="s">
        <v>12</v>
      </c>
      <c r="C13" s="366" t="str">
        <f>[5]Brewhouse!$A40</f>
        <v>GU023</v>
      </c>
      <c r="D13" s="279">
        <f>[5]Brewhouse!$AF40</f>
        <v>50.9</v>
      </c>
      <c r="E13" s="279">
        <f>[5]Brewhouse!$AI40</f>
        <v>50.1</v>
      </c>
      <c r="F13" s="278">
        <f>[5]Brewhouse!$V40</f>
        <v>57</v>
      </c>
      <c r="G13" s="279">
        <f>[5]Brewhouse!$AG40</f>
        <v>17.5</v>
      </c>
      <c r="H13" s="396"/>
      <c r="I13" s="482">
        <f>[5]Brewhouse!$AU40</f>
        <v>96.379391191673903</v>
      </c>
      <c r="J13" s="482">
        <f>[5]Brewhouse!$AV40</f>
        <v>96.690327070285321</v>
      </c>
      <c r="K13" s="483">
        <f>[5]Brewhouse!$R40</f>
        <v>11.729055258467019</v>
      </c>
      <c r="L13" s="276">
        <f>[5]Brewhouse!$O40</f>
        <v>59</v>
      </c>
      <c r="M13" s="374">
        <f>[5]Brewhouse!$U40-[5]Brewhouse!$T40</f>
        <v>0.12777777777777777</v>
      </c>
      <c r="N13" s="370">
        <f>[5]Brewhouse!$Z40</f>
        <v>0.26944444444444443</v>
      </c>
      <c r="O13" s="420" t="str">
        <f>[5]Brewhouse!$AW40</f>
        <v>D. Gomaz</v>
      </c>
      <c r="P13" s="418"/>
      <c r="R13" s="277" t="str">
        <f t="shared" si="10"/>
        <v>GUINNESS</v>
      </c>
      <c r="S13" s="472">
        <f t="shared" si="1"/>
        <v>17</v>
      </c>
      <c r="T13" s="472">
        <f t="shared" si="2"/>
        <v>17.5</v>
      </c>
      <c r="U13" s="297">
        <f t="shared" si="3"/>
        <v>0</v>
      </c>
      <c r="V13" s="297">
        <f t="shared" si="4"/>
        <v>0.1076388888888889</v>
      </c>
      <c r="W13" s="297">
        <f t="shared" si="5"/>
        <v>0.24652777777777779</v>
      </c>
      <c r="X13" s="297">
        <f t="shared" si="6"/>
        <v>0.28472222222222221</v>
      </c>
      <c r="Y13" s="297">
        <f t="shared" si="7"/>
        <v>0</v>
      </c>
      <c r="Z13" s="472">
        <f t="shared" si="8"/>
        <v>60</v>
      </c>
    </row>
    <row r="14" spans="2:29" ht="16.5" customHeight="1">
      <c r="B14" s="34" t="s">
        <v>12</v>
      </c>
      <c r="C14" s="366" t="str">
        <f>[5]Brewhouse!$A41</f>
        <v>GU024</v>
      </c>
      <c r="D14" s="279">
        <f>[5]Brewhouse!$AF41</f>
        <v>51</v>
      </c>
      <c r="E14" s="279">
        <f>[5]Brewhouse!$AI41</f>
        <v>50.1</v>
      </c>
      <c r="F14" s="278">
        <f>[5]Brewhouse!$V41</f>
        <v>59</v>
      </c>
      <c r="G14" s="279">
        <f>[5]Brewhouse!$AG41</f>
        <v>17.600000000000001</v>
      </c>
      <c r="H14" s="396"/>
      <c r="I14" s="482">
        <f>[5]Brewhouse!$AU41</f>
        <v>96.151545309064119</v>
      </c>
      <c r="J14" s="482">
        <f>[5]Brewhouse!$AV41</f>
        <v>96.462340316811449</v>
      </c>
      <c r="K14" s="483">
        <f>[5]Brewhouse!$R41</f>
        <v>13.892857142857146</v>
      </c>
      <c r="L14" s="276">
        <f>[5]Brewhouse!$O41</f>
        <v>59</v>
      </c>
      <c r="M14" s="374">
        <f>[5]Brewhouse!$U41-[5]Brewhouse!$T41</f>
        <v>0.1166666666666667</v>
      </c>
      <c r="N14" s="370">
        <f>[5]Brewhouse!$Z41</f>
        <v>0.27986111111111112</v>
      </c>
      <c r="O14" s="420" t="str">
        <f>[5]Brewhouse!$AW41</f>
        <v>K. Benjamin</v>
      </c>
      <c r="P14" s="418"/>
      <c r="R14" s="277" t="str">
        <f t="shared" si="10"/>
        <v>GUINNESS</v>
      </c>
      <c r="S14" s="472">
        <f t="shared" si="1"/>
        <v>17</v>
      </c>
      <c r="T14" s="472">
        <f t="shared" si="2"/>
        <v>17.5</v>
      </c>
      <c r="U14" s="297">
        <f t="shared" si="3"/>
        <v>0</v>
      </c>
      <c r="V14" s="297">
        <f t="shared" si="4"/>
        <v>0.1076388888888889</v>
      </c>
      <c r="W14" s="297">
        <f t="shared" si="5"/>
        <v>0.24652777777777779</v>
      </c>
      <c r="X14" s="297">
        <f t="shared" si="6"/>
        <v>0.28472222222222221</v>
      </c>
      <c r="Y14" s="297">
        <f t="shared" si="7"/>
        <v>0</v>
      </c>
      <c r="Z14" s="472">
        <f t="shared" si="8"/>
        <v>60</v>
      </c>
    </row>
    <row r="15" spans="2:29" ht="16.5" customHeight="1">
      <c r="B15" s="34"/>
      <c r="C15" s="366"/>
      <c r="D15" s="279"/>
      <c r="E15" s="279"/>
      <c r="F15" s="278"/>
      <c r="G15" s="279"/>
      <c r="H15" s="396"/>
      <c r="I15" s="482"/>
      <c r="J15" s="482"/>
      <c r="K15" s="483"/>
      <c r="L15" s="276"/>
      <c r="M15" s="374"/>
      <c r="N15" s="370"/>
      <c r="O15" s="420"/>
      <c r="P15" s="418"/>
      <c r="R15" s="277">
        <f t="shared" si="1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6.5" customHeight="1">
      <c r="B16" s="34"/>
      <c r="C16" s="366"/>
      <c r="D16" s="279"/>
      <c r="E16" s="279"/>
      <c r="F16" s="278"/>
      <c r="G16" s="279"/>
      <c r="H16" s="396"/>
      <c r="I16" s="482"/>
      <c r="J16" s="482"/>
      <c r="K16" s="483"/>
      <c r="L16" s="276"/>
      <c r="M16" s="374"/>
      <c r="N16" s="370"/>
      <c r="O16" s="420"/>
      <c r="P16" s="418"/>
      <c r="R16" s="277">
        <f t="shared" si="10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6.5" customHeight="1">
      <c r="B17" s="29" t="s">
        <v>6</v>
      </c>
      <c r="C17" s="366" t="str">
        <f>[4]Brewhouse!$A198</f>
        <v>CA155</v>
      </c>
      <c r="D17" s="279">
        <f>[4]Brewhouse!$AF198</f>
        <v>48.6</v>
      </c>
      <c r="E17" s="279">
        <f>[4]Brewhouse!$AI198</f>
        <v>48.9</v>
      </c>
      <c r="F17" s="278">
        <f>[4]Brewhouse!$V198</f>
        <v>56</v>
      </c>
      <c r="G17" s="279">
        <f>[4]Brewhouse!AG198</f>
        <v>11.6</v>
      </c>
      <c r="H17" s="396"/>
      <c r="I17" s="368">
        <f>[4]Brewhouse!$AU198</f>
        <v>96.242072087973199</v>
      </c>
      <c r="J17" s="368">
        <f>[4]Brewhouse!$AV198</f>
        <v>96.597066213964908</v>
      </c>
      <c r="K17" s="281">
        <f>[4]Brewhouse!$Q198</f>
        <v>11.16981132075472</v>
      </c>
      <c r="L17" s="276">
        <f>[4]Brewhouse!$P198</f>
        <v>60</v>
      </c>
      <c r="M17" s="397">
        <f>[4]Brewhouse!$U198-[4]Brewhouse!$T198</f>
        <v>0.11041666666666661</v>
      </c>
      <c r="N17" s="370">
        <f>[4]Brewhouse!$Z198</f>
        <v>0.25972222222222219</v>
      </c>
      <c r="O17" s="420" t="str">
        <f>[4]Brewhouse!$AX198</f>
        <v>K. Benjamin</v>
      </c>
      <c r="P17" s="418"/>
      <c r="R17" s="277" t="str">
        <f t="shared" si="1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7" ht="16.5" customHeight="1">
      <c r="B18" s="29" t="s">
        <v>6</v>
      </c>
      <c r="C18" s="366" t="str">
        <f>[4]Brewhouse!$A199</f>
        <v>CA156</v>
      </c>
      <c r="D18" s="279">
        <f>[4]Brewhouse!$AF199</f>
        <v>49.8</v>
      </c>
      <c r="E18" s="279">
        <f>[4]Brewhouse!$AI199</f>
        <v>50.3</v>
      </c>
      <c r="F18" s="278">
        <f>[4]Brewhouse!$V199</f>
        <v>61</v>
      </c>
      <c r="G18" s="279">
        <f>[4]Brewhouse!AG199</f>
        <v>11.6</v>
      </c>
      <c r="H18" s="396"/>
      <c r="I18" s="368">
        <f>[4]Brewhouse!$AU199</f>
        <v>98.87254747107896</v>
      </c>
      <c r="J18" s="368">
        <f>[4]Brewhouse!$AV199</f>
        <v>99.237275049088936</v>
      </c>
      <c r="K18" s="281">
        <f>[4]Brewhouse!$Q199</f>
        <v>11.337099811676088</v>
      </c>
      <c r="L18" s="276">
        <f>[4]Brewhouse!$P199</f>
        <v>60</v>
      </c>
      <c r="M18" s="397">
        <f>[4]Brewhouse!$U199-[4]Brewhouse!$T199</f>
        <v>0.11180555555555549</v>
      </c>
      <c r="N18" s="370">
        <f>[4]Brewhouse!$Z199</f>
        <v>0.26041666666666663</v>
      </c>
      <c r="O18" s="420" t="str">
        <f>[4]Brewhouse!$AX199</f>
        <v>R. Regis</v>
      </c>
      <c r="P18" s="418"/>
      <c r="R18" s="277" t="str">
        <f t="shared" si="10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1:27" ht="16.5" customHeight="1">
      <c r="B19" s="29" t="s">
        <v>6</v>
      </c>
      <c r="C19" s="366" t="str">
        <f>[4]Brewhouse!$A200</f>
        <v>CA157</v>
      </c>
      <c r="D19" s="279">
        <f>[4]Brewhouse!$AF200</f>
        <v>49.2</v>
      </c>
      <c r="E19" s="279">
        <f>[4]Brewhouse!$AI200</f>
        <v>49.8</v>
      </c>
      <c r="F19" s="278">
        <f>[4]Brewhouse!$V200</f>
        <v>51</v>
      </c>
      <c r="G19" s="279">
        <f>[4]Brewhouse!AG200</f>
        <v>12</v>
      </c>
      <c r="H19" s="396"/>
      <c r="I19" s="368">
        <f>[4]Brewhouse!$AU200</f>
        <v>101.57164076036193</v>
      </c>
      <c r="J19" s="368">
        <f>[4]Brewhouse!$AV200</f>
        <v>101.94629329074706</v>
      </c>
      <c r="K19" s="281">
        <f>[4]Brewhouse!$Q200</f>
        <v>10.207156308851227</v>
      </c>
      <c r="L19" s="276">
        <f>[4]Brewhouse!$P200</f>
        <v>60</v>
      </c>
      <c r="M19" s="397">
        <f>[4]Brewhouse!$U200-[4]Brewhouse!$T200</f>
        <v>0.11250000000000004</v>
      </c>
      <c r="N19" s="370">
        <f>[4]Brewhouse!$Z200</f>
        <v>0.26458333333333339</v>
      </c>
      <c r="O19" s="420" t="str">
        <f>[4]Brewhouse!$AX200</f>
        <v>R. Regis</v>
      </c>
      <c r="P19" s="418"/>
      <c r="R19" s="277" t="str">
        <f t="shared" si="10"/>
        <v>CARIB</v>
      </c>
      <c r="S19" s="472">
        <f t="shared" si="1"/>
        <v>11.6</v>
      </c>
      <c r="T19" s="472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472">
        <f t="shared" si="8"/>
        <v>60</v>
      </c>
    </row>
    <row r="20" spans="1:27" ht="16.5" customHeight="1">
      <c r="B20" s="22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si="1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8" customHeight="1">
      <c r="B21" s="22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8"/>
      <c r="R21" s="277">
        <f t="shared" si="1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6.5" customHeight="1">
      <c r="B22" s="22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si="1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512"/>
      <c r="J23" s="512"/>
      <c r="K23" s="512"/>
      <c r="L23" s="512"/>
      <c r="M23" s="512"/>
      <c r="N23" s="512"/>
      <c r="O23" s="1"/>
      <c r="P23" s="12"/>
      <c r="R23" s="277">
        <f t="shared" ref="R23:R36" si="11">B23</f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5.75" customHeight="1" thickBot="1">
      <c r="B24" s="388" t="s">
        <v>162</v>
      </c>
      <c r="C24" s="388"/>
      <c r="D24" s="513" t="s">
        <v>35</v>
      </c>
      <c r="E24" s="514"/>
      <c r="F24" s="294"/>
      <c r="G24" s="294"/>
      <c r="H24" s="348"/>
      <c r="I24" s="24" t="s">
        <v>17</v>
      </c>
      <c r="J24" s="25"/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11"/>
        <v xml:space="preserve">BRAND 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5" customHeight="1">
      <c r="A25" s="28"/>
      <c r="B25" s="525"/>
      <c r="C25" s="362"/>
      <c r="D25" s="518"/>
      <c r="E25" s="519"/>
      <c r="F25" s="294"/>
      <c r="G25" s="294"/>
      <c r="H25" s="348"/>
      <c r="I25" s="29" t="s">
        <v>6</v>
      </c>
      <c r="J25" s="323">
        <f>AVERAGE(I17:I19)</f>
        <v>98.895420106471363</v>
      </c>
      <c r="K25" s="284">
        <f>COUNTA([4]Brewhouse!$A$198:$A$200)</f>
        <v>3</v>
      </c>
      <c r="L25" s="305">
        <f>AVERAGE([4]Brewhouse!$AU$198:$AU$200)</f>
        <v>98.895420106471363</v>
      </c>
      <c r="M25" s="305">
        <f>AVERAGE([4]Brewhouse!$AU$42:$AU$123,[4]Brewhouse!$AU$125:$AU$188,[4]Brewhouse!$AU$198:$AU$200)</f>
        <v>97.622505087707964</v>
      </c>
      <c r="N25" s="30">
        <v>98</v>
      </c>
      <c r="O25" s="11"/>
      <c r="P25" s="31"/>
      <c r="R25" s="277">
        <f t="shared" si="11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5" customHeight="1">
      <c r="A26" s="28"/>
      <c r="B26" s="526"/>
      <c r="C26" s="362"/>
      <c r="D26" s="520"/>
      <c r="E26" s="521"/>
      <c r="F26" s="294"/>
      <c r="G26" s="294"/>
      <c r="H26" s="348"/>
      <c r="I26" s="33" t="s">
        <v>9</v>
      </c>
      <c r="J26" s="280"/>
      <c r="K26" s="284"/>
      <c r="L26" s="302"/>
      <c r="M26" s="302">
        <f>AVERAGE([3]Brewhouse!$AS$52:$AS$81,[3]Brewhouse!$AS$83:$AS$124)</f>
        <v>98.31661114924232</v>
      </c>
      <c r="N26" s="30">
        <v>98</v>
      </c>
      <c r="O26" s="11"/>
      <c r="P26" s="31"/>
      <c r="R26" s="277">
        <f t="shared" si="11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26"/>
      <c r="C27" s="362"/>
      <c r="D27" s="522"/>
      <c r="E27" s="523"/>
      <c r="F27" s="294"/>
      <c r="G27" s="294"/>
      <c r="H27" s="348"/>
      <c r="I27" s="34" t="s">
        <v>12</v>
      </c>
      <c r="J27" s="280">
        <f>AVERAGE(I10:I14)</f>
        <v>95.946825443924723</v>
      </c>
      <c r="K27" s="284">
        <f>COUNTA([5]Brewhouse!$A$34:$A$41)</f>
        <v>8</v>
      </c>
      <c r="L27" s="302">
        <f>AVERAGE([5]Brewhouse!$AU$34:$AU$41)</f>
        <v>94.762610859726223</v>
      </c>
      <c r="M27" s="302">
        <f>AVERAGE([5]Brewhouse!$AU$16:$AU$23,[5]Brewhouse!$AU$25:$AU$32,[5]Brewhouse!$AU$34:$AU$41)</f>
        <v>97.131453825415363</v>
      </c>
      <c r="N27" s="30">
        <v>98</v>
      </c>
      <c r="O27" s="11"/>
      <c r="P27" s="31"/>
      <c r="R27" s="277">
        <f t="shared" si="11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26"/>
      <c r="C28" s="362"/>
      <c r="D28" s="524"/>
      <c r="E28" s="521"/>
      <c r="F28" s="294"/>
      <c r="G28" s="294"/>
      <c r="H28" s="348"/>
      <c r="I28" s="22" t="s">
        <v>33</v>
      </c>
      <c r="J28" s="280"/>
      <c r="K28" s="284">
        <f>COUNTA([6]Brewhouse!$A$38:$A$44)</f>
        <v>7</v>
      </c>
      <c r="L28" s="302">
        <f>AVERAGE([6]Brewhouse!$AV$38:$AV$44)</f>
        <v>96.929916494140343</v>
      </c>
      <c r="M28" s="302">
        <f>AVERAGE([6]Brewhouse!$AV$23:$AV$34,[6]Brewhouse!$AV$36,[6]Brewhouse!$AV$38:$AV$44)</f>
        <v>97.74055230745536</v>
      </c>
      <c r="N28" s="30">
        <v>98</v>
      </c>
      <c r="O28" s="11"/>
      <c r="P28" s="31"/>
      <c r="R28" s="277">
        <f t="shared" si="11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26"/>
      <c r="C29" s="362"/>
      <c r="D29" s="522"/>
      <c r="E29" s="523"/>
      <c r="F29" s="417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si="11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65" customHeight="1">
      <c r="A30" s="28"/>
      <c r="B30" s="526"/>
      <c r="C30" s="362"/>
      <c r="D30" s="524"/>
      <c r="E30" s="521"/>
      <c r="F30" s="417"/>
      <c r="G30" s="294"/>
      <c r="H30" s="348"/>
      <c r="I30" s="36" t="s">
        <v>15</v>
      </c>
      <c r="J30" s="323"/>
      <c r="K30" s="284"/>
      <c r="L30" s="302"/>
      <c r="M30" s="302">
        <f>AVERAGE([7]Brewhouse!$AT$4:$AT$11)</f>
        <v>92.826224508052405</v>
      </c>
      <c r="N30" s="30">
        <v>98</v>
      </c>
      <c r="O30" s="11"/>
      <c r="P30" s="31"/>
      <c r="R30" s="277">
        <f t="shared" si="11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4.65" customHeight="1">
      <c r="A31" s="28"/>
      <c r="B31" s="526"/>
      <c r="C31" s="362"/>
      <c r="D31" s="522"/>
      <c r="E31" s="523"/>
      <c r="F31" s="417"/>
      <c r="G31" s="294"/>
      <c r="H31" s="348"/>
      <c r="I31" s="37" t="s">
        <v>16</v>
      </c>
      <c r="J31" s="323"/>
      <c r="K31" s="284"/>
      <c r="L31" s="302"/>
      <c r="M31" s="302">
        <f>AVERAGE([8]Brewhouse!$AY$5:$AY$14,[8]Brewhouse!$AY$16:$AY$23)</f>
        <v>97.293615171264676</v>
      </c>
      <c r="N31" s="30">
        <v>98</v>
      </c>
      <c r="O31" s="11"/>
      <c r="P31" s="31" t="s">
        <v>41</v>
      </c>
      <c r="R31" s="277">
        <f t="shared" si="11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4.65" customHeight="1">
      <c r="A32" s="28"/>
      <c r="B32" s="526"/>
      <c r="C32" s="362"/>
      <c r="D32" s="524"/>
      <c r="E32" s="521"/>
      <c r="F32" s="294"/>
      <c r="G32" s="294"/>
      <c r="H32" s="348"/>
      <c r="I32" s="411" t="s">
        <v>158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11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1:56" ht="14.65" customHeight="1">
      <c r="A33" s="28"/>
      <c r="B33" s="526"/>
      <c r="C33" s="349"/>
      <c r="D33" s="522"/>
      <c r="E33" s="523"/>
      <c r="F33" s="294"/>
      <c r="G33" s="294"/>
      <c r="H33" s="348"/>
      <c r="I33" s="410" t="s">
        <v>157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11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5" customHeight="1" thickBot="1">
      <c r="A34" s="28"/>
      <c r="B34" s="526"/>
      <c r="C34" s="349"/>
      <c r="D34" s="524"/>
      <c r="E34" s="521"/>
      <c r="F34" s="294"/>
      <c r="G34" s="294"/>
      <c r="H34" s="348"/>
      <c r="I34" s="406" t="s">
        <v>156</v>
      </c>
      <c r="J34" s="327"/>
      <c r="K34" s="407"/>
      <c r="L34" s="408"/>
      <c r="M34" s="408"/>
      <c r="N34" s="409">
        <v>98</v>
      </c>
      <c r="O34" s="11"/>
      <c r="P34" s="31"/>
      <c r="R34" s="277">
        <f t="shared" si="11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" customHeight="1" thickBot="1">
      <c r="A35" s="28"/>
      <c r="B35" s="526"/>
      <c r="C35" s="349"/>
      <c r="D35" s="518"/>
      <c r="E35" s="519"/>
      <c r="F35" s="294"/>
      <c r="G35" s="294"/>
      <c r="H35" s="348"/>
      <c r="I35" s="1"/>
      <c r="J35" s="39"/>
      <c r="K35" s="404">
        <f>SUM(K25:K34)</f>
        <v>18</v>
      </c>
      <c r="L35" s="405">
        <f>((L25*K25)+(L26*K26)+(L27*K27)+(L28*K28)+(L29*K29)+(K32*L32)+(L30*K30)+(L31*K31)+(L34*K34))/(K35)</f>
        <v>96.294253480900352</v>
      </c>
      <c r="M35" s="405">
        <f>AVERAGE('[9]Jan30th-31st'!$L$42,L35)</f>
        <v>97.061147608370902</v>
      </c>
      <c r="N35" s="40">
        <v>98</v>
      </c>
      <c r="O35" s="11"/>
      <c r="P35" s="31"/>
      <c r="R35" s="277">
        <f t="shared" si="11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.75" thickBot="1">
      <c r="B36" s="583"/>
      <c r="C36" s="350"/>
      <c r="D36" s="520"/>
      <c r="E36" s="521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>
        <f t="shared" si="11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.75" thickBot="1">
      <c r="B37" s="525"/>
      <c r="C37" s="362"/>
      <c r="D37" s="528"/>
      <c r="E37" s="529"/>
      <c r="F37" s="294"/>
      <c r="G37" s="42"/>
      <c r="H37" s="41"/>
      <c r="I37" s="42"/>
      <c r="J37" s="530" t="s">
        <v>129</v>
      </c>
      <c r="K37" s="530"/>
      <c r="L37" s="294"/>
      <c r="M37" s="294"/>
      <c r="N37" s="294"/>
      <c r="O37" s="294"/>
      <c r="P37" s="12"/>
    </row>
    <row r="38" spans="1:56" ht="15.75" thickBot="1">
      <c r="B38" s="526"/>
      <c r="C38" s="362"/>
      <c r="D38" s="524"/>
      <c r="E38" s="521"/>
      <c r="F38" s="294"/>
      <c r="G38" s="42"/>
      <c r="H38" s="41"/>
      <c r="I38" s="41"/>
      <c r="J38" s="292" t="s">
        <v>17</v>
      </c>
      <c r="K38" s="293" t="s">
        <v>172</v>
      </c>
      <c r="L38" s="531" t="s">
        <v>136</v>
      </c>
      <c r="M38" s="531"/>
      <c r="N38" s="532"/>
      <c r="O38" s="294"/>
      <c r="P38" s="12"/>
    </row>
    <row r="39" spans="1:56" ht="15" customHeight="1" thickBot="1">
      <c r="B39" s="526"/>
      <c r="C39" s="349"/>
      <c r="D39" s="522"/>
      <c r="E39" s="523"/>
      <c r="F39" s="294"/>
      <c r="G39" s="42"/>
      <c r="H39" s="41"/>
      <c r="I39" s="41"/>
      <c r="J39" s="287" t="s">
        <v>6</v>
      </c>
      <c r="K39" s="324">
        <v>3</v>
      </c>
      <c r="L39" s="473" t="s">
        <v>37</v>
      </c>
      <c r="M39" s="474" t="s">
        <v>38</v>
      </c>
      <c r="N39" s="474" t="s">
        <v>84</v>
      </c>
      <c r="O39" s="294"/>
      <c r="P39" s="12"/>
    </row>
    <row r="40" spans="1:56" ht="15.75" customHeight="1" thickBot="1">
      <c r="B40" s="526"/>
      <c r="C40" s="349"/>
      <c r="D40" s="524"/>
      <c r="E40" s="521"/>
      <c r="F40" s="294"/>
      <c r="G40" s="42"/>
      <c r="H40" s="41"/>
      <c r="I40" s="41"/>
      <c r="J40" s="345" t="s">
        <v>9</v>
      </c>
      <c r="K40" s="324"/>
      <c r="L40" s="344">
        <f>AVERAGE(K49,'Mar 2nd'!K49,'Mar 1st'!K55)</f>
        <v>6</v>
      </c>
      <c r="M40" s="325">
        <f>AVERAGE('[9]Jan30th-31st'!$L$47,L40,'[10]Feb 26th '!$L$39)</f>
        <v>6.0623188405797102</v>
      </c>
      <c r="N40" s="416">
        <v>9.1999999999999993</v>
      </c>
      <c r="O40" s="294"/>
      <c r="P40" s="12"/>
    </row>
    <row r="41" spans="1:56" ht="15" customHeight="1">
      <c r="B41" s="526"/>
      <c r="C41" s="349"/>
      <c r="D41" s="522"/>
      <c r="E41" s="523"/>
      <c r="F41" s="294"/>
      <c r="G41" s="42"/>
      <c r="H41" s="41"/>
      <c r="I41" s="41"/>
      <c r="J41" s="288" t="s">
        <v>40</v>
      </c>
      <c r="K41" s="324">
        <v>5</v>
      </c>
      <c r="L41" s="294"/>
      <c r="M41" s="294"/>
      <c r="N41" s="294"/>
      <c r="O41" s="294"/>
      <c r="P41" s="12"/>
    </row>
    <row r="42" spans="1:56" ht="15" customHeight="1">
      <c r="B42" s="526"/>
      <c r="C42" s="349"/>
      <c r="D42" s="524"/>
      <c r="E42" s="521"/>
      <c r="F42" s="294"/>
      <c r="G42" s="42"/>
      <c r="H42" s="41"/>
      <c r="I42" s="41"/>
      <c r="J42" s="289" t="s">
        <v>33</v>
      </c>
      <c r="K42" s="324"/>
      <c r="L42" s="294"/>
      <c r="M42" s="294"/>
      <c r="N42" s="294"/>
      <c r="O42" s="294"/>
      <c r="P42" s="12"/>
    </row>
    <row r="43" spans="1:56" ht="15">
      <c r="B43" s="526"/>
      <c r="C43" s="349"/>
      <c r="D43" s="522"/>
      <c r="E43" s="523"/>
      <c r="F43" s="294"/>
      <c r="G43" s="42"/>
      <c r="H43" s="41"/>
      <c r="I43" s="41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6"/>
      <c r="C44" s="349"/>
      <c r="D44" s="524"/>
      <c r="E44" s="521"/>
      <c r="F44" s="294"/>
      <c r="G44" s="42"/>
      <c r="H44" s="41"/>
      <c r="I44" s="41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6"/>
      <c r="C45" s="349"/>
      <c r="D45" s="522"/>
      <c r="E45" s="523"/>
      <c r="F45" s="294"/>
      <c r="G45" s="42"/>
      <c r="H45" s="41"/>
      <c r="I45" s="41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527"/>
      <c r="C46" s="350"/>
      <c r="D46" s="533"/>
      <c r="E46" s="534"/>
      <c r="F46" s="294" t="s">
        <v>166</v>
      </c>
      <c r="G46" s="42"/>
      <c r="H46" s="41"/>
      <c r="I46" s="41"/>
      <c r="J46" s="291" t="s">
        <v>148</v>
      </c>
      <c r="K46" s="324"/>
      <c r="L46" s="294"/>
      <c r="M46" s="294"/>
      <c r="N46" s="294" t="s">
        <v>41</v>
      </c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35"/>
      <c r="E47" s="536"/>
      <c r="F47" s="294"/>
      <c r="H47" s="41"/>
      <c r="I47" s="41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1"/>
      <c r="I48" s="41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1:57" ht="15.6" customHeight="1">
      <c r="B49" s="45"/>
      <c r="C49" s="11"/>
      <c r="D49" s="11"/>
      <c r="E49" s="46"/>
      <c r="F49" s="294"/>
      <c r="G49" s="42"/>
      <c r="H49" s="41"/>
      <c r="I49" s="41"/>
      <c r="J49" s="346" t="s">
        <v>130</v>
      </c>
      <c r="K49" s="324">
        <f>SUM(K39:K48)</f>
        <v>8</v>
      </c>
      <c r="L49" s="294"/>
      <c r="M49" s="294"/>
      <c r="N49" s="294"/>
      <c r="O49" s="294"/>
      <c r="P49" s="12"/>
    </row>
    <row r="50" spans="1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L50" s="294"/>
      <c r="N50" s="315"/>
      <c r="P50" s="334"/>
    </row>
    <row r="51" spans="1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1:57" ht="15" customHeight="1" thickBot="1">
      <c r="B52" s="537" t="s">
        <v>17</v>
      </c>
      <c r="C52" s="537" t="s">
        <v>44</v>
      </c>
      <c r="D52" s="540" t="s">
        <v>45</v>
      </c>
      <c r="E52" s="501" t="s">
        <v>46</v>
      </c>
      <c r="F52" s="510" t="s">
        <v>47</v>
      </c>
      <c r="G52" s="549" t="s">
        <v>48</v>
      </c>
      <c r="H52" s="537" t="s">
        <v>49</v>
      </c>
      <c r="I52" s="537" t="s">
        <v>50</v>
      </c>
      <c r="J52" s="543" t="s">
        <v>28</v>
      </c>
      <c r="K52" s="499" t="s">
        <v>51</v>
      </c>
      <c r="L52" s="552" t="s">
        <v>52</v>
      </c>
      <c r="M52" s="543" t="s">
        <v>53</v>
      </c>
      <c r="N52" s="13"/>
      <c r="O52" s="13"/>
      <c r="P52" s="50"/>
    </row>
    <row r="53" spans="1:57" ht="28.5" customHeight="1" thickTop="1" thickBot="1">
      <c r="B53" s="538"/>
      <c r="C53" s="539"/>
      <c r="D53" s="541"/>
      <c r="E53" s="542"/>
      <c r="F53" s="554"/>
      <c r="G53" s="550"/>
      <c r="H53" s="538"/>
      <c r="I53" s="538"/>
      <c r="J53" s="544"/>
      <c r="K53" s="551"/>
      <c r="L53" s="553"/>
      <c r="M53" s="544"/>
      <c r="N53" s="13"/>
      <c r="O53" s="13"/>
      <c r="P53" s="50"/>
      <c r="Q53" s="355"/>
      <c r="AB53" s="475">
        <v>43474</v>
      </c>
      <c r="AC53" s="475">
        <v>43475</v>
      </c>
      <c r="AD53" s="475">
        <v>43476</v>
      </c>
      <c r="AE53" s="475">
        <v>43477</v>
      </c>
      <c r="AF53" s="475">
        <v>43478</v>
      </c>
      <c r="AG53" s="475">
        <v>43479</v>
      </c>
      <c r="AH53" s="475">
        <v>43480</v>
      </c>
      <c r="AI53" s="475">
        <v>43481</v>
      </c>
      <c r="AJ53" s="475">
        <v>43482</v>
      </c>
      <c r="AK53" s="475">
        <v>43483</v>
      </c>
      <c r="AL53" s="475">
        <v>43484</v>
      </c>
      <c r="AM53" s="475">
        <v>43485</v>
      </c>
      <c r="AN53" s="475">
        <v>43486</v>
      </c>
      <c r="AO53" s="475">
        <v>43487</v>
      </c>
      <c r="AP53" s="475">
        <v>43488</v>
      </c>
      <c r="AQ53" s="475">
        <v>43489</v>
      </c>
      <c r="AR53" s="475">
        <v>43490</v>
      </c>
      <c r="AS53" s="475">
        <v>43491</v>
      </c>
      <c r="AT53" s="475">
        <v>43492</v>
      </c>
      <c r="AU53" s="475">
        <v>43493</v>
      </c>
      <c r="AV53" s="475">
        <v>43494</v>
      </c>
      <c r="AW53" s="475">
        <v>43495</v>
      </c>
      <c r="AX53" s="475">
        <v>43496</v>
      </c>
    </row>
    <row r="54" spans="1:57" s="54" customFormat="1" ht="36.75" customHeight="1" thickBot="1">
      <c r="B54" s="484" t="str">
        <f>J40</f>
        <v>STAG</v>
      </c>
      <c r="C54" s="479">
        <v>46084</v>
      </c>
      <c r="D54" s="442">
        <f>[11]March_2026!$F$13</f>
        <v>605.29999999999995</v>
      </c>
      <c r="E54" s="443"/>
      <c r="F54" s="444"/>
      <c r="G54" s="445">
        <f>[11]March_2026!$F$17</f>
        <v>568.1</v>
      </c>
      <c r="H54" s="458"/>
      <c r="I54" s="458"/>
      <c r="J54" s="448" t="s">
        <v>174</v>
      </c>
      <c r="K54" s="449">
        <f>[13]March_2026!$F$25</f>
        <v>0.9966666666666667</v>
      </c>
      <c r="L54" s="457">
        <f>(((D54+E54)-G54)/(D54+E54))*100</f>
        <v>6.1457128696514021</v>
      </c>
      <c r="M54" s="455" t="s">
        <v>173</v>
      </c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[14]January_2019!L5</f>
        <v>0</v>
      </c>
      <c r="AC54" s="57">
        <f>[14]January_2019!M5</f>
        <v>0</v>
      </c>
      <c r="AD54" s="57">
        <f>[14]January_2019!N5</f>
        <v>0</v>
      </c>
      <c r="AE54" s="57">
        <f>[14]January_2019!O5</f>
        <v>0</v>
      </c>
      <c r="AF54" s="57">
        <f>[14]January_2019!P5</f>
        <v>0</v>
      </c>
      <c r="AG54" s="57">
        <f>[14]January_2019!Q5</f>
        <v>0</v>
      </c>
      <c r="AH54" s="57">
        <f>[14]January_2019!R5</f>
        <v>0</v>
      </c>
      <c r="AI54" s="57">
        <f>[14]January_2019!S5</f>
        <v>0</v>
      </c>
      <c r="AJ54" s="57">
        <f>[14]January_2019!T5</f>
        <v>0</v>
      </c>
      <c r="AK54" s="57">
        <f>[14]January_2019!U5</f>
        <v>0</v>
      </c>
      <c r="AL54" s="57">
        <f>[14]January_2019!V5</f>
        <v>0</v>
      </c>
      <c r="AM54" s="57">
        <f>[14]January_2019!W5</f>
        <v>0</v>
      </c>
      <c r="AN54" s="57">
        <f>[14]January_2019!X5</f>
        <v>0</v>
      </c>
      <c r="AO54" s="57">
        <f>[14]January_2019!Y5</f>
        <v>0</v>
      </c>
      <c r="AP54" s="57">
        <f>[14]January_2019!Z5</f>
        <v>0</v>
      </c>
      <c r="AQ54" s="57">
        <f>[14]January_2019!AA5</f>
        <v>0</v>
      </c>
      <c r="AR54" s="57">
        <f>[14]January_2019!AB5</f>
        <v>0</v>
      </c>
      <c r="AS54" s="57">
        <f>[14]January_2019!AC5</f>
        <v>0</v>
      </c>
      <c r="AT54" s="57">
        <f>[14]January_2019!AD5</f>
        <v>0</v>
      </c>
      <c r="AU54" s="57">
        <f>[14]January_2019!AE5</f>
        <v>0</v>
      </c>
      <c r="AV54" s="57">
        <f>[14]January_2019!AF5</f>
        <v>0</v>
      </c>
      <c r="AW54" s="57">
        <f>[14]January_2019!AG5</f>
        <v>0</v>
      </c>
      <c r="AX54" s="277">
        <f>[14]January_2019!AH5</f>
        <v>0</v>
      </c>
      <c r="AY54" s="277"/>
      <c r="AZ54" s="277"/>
      <c r="BA54" s="277"/>
      <c r="BB54" s="277"/>
      <c r="BC54" s="277"/>
      <c r="BD54" s="277"/>
      <c r="BE54" s="277"/>
    </row>
    <row r="55" spans="1:57" s="54" customFormat="1" ht="14.25" customHeight="1" thickBot="1">
      <c r="B55" s="480"/>
      <c r="C55" s="479"/>
      <c r="D55" s="442"/>
      <c r="E55" s="443"/>
      <c r="F55" s="444"/>
      <c r="G55" s="445"/>
      <c r="H55" s="458"/>
      <c r="I55" s="458"/>
      <c r="J55" s="476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[14]January_2019!L6</f>
        <v>0</v>
      </c>
      <c r="AC55" s="57">
        <f>[14]January_2019!M6</f>
        <v>0</v>
      </c>
      <c r="AD55" s="57">
        <f>[14]January_2019!N6</f>
        <v>0</v>
      </c>
      <c r="AE55" s="57">
        <f>[14]January_2019!O6</f>
        <v>0</v>
      </c>
      <c r="AF55" s="57">
        <f>[14]January_2019!P6</f>
        <v>0</v>
      </c>
      <c r="AG55" s="57">
        <f>[14]January_2019!Q6</f>
        <v>0</v>
      </c>
      <c r="AH55" s="57">
        <f>[14]January_2019!R6</f>
        <v>0</v>
      </c>
      <c r="AI55" s="57">
        <f>[14]January_2019!S6</f>
        <v>0</v>
      </c>
      <c r="AJ55" s="57">
        <f>[14]January_2019!T6</f>
        <v>0</v>
      </c>
      <c r="AK55" s="57">
        <f>[14]January_2019!U6</f>
        <v>0</v>
      </c>
      <c r="AL55" s="57">
        <f>[14]January_2019!V6</f>
        <v>0</v>
      </c>
      <c r="AM55" s="57">
        <f>[14]January_2019!W6</f>
        <v>0</v>
      </c>
      <c r="AN55" s="57">
        <f>[14]January_2019!X6</f>
        <v>0</v>
      </c>
      <c r="AO55" s="57">
        <f>[14]January_2019!Y6</f>
        <v>0</v>
      </c>
      <c r="AP55" s="57">
        <f>[14]January_2019!Z6</f>
        <v>0</v>
      </c>
      <c r="AQ55" s="57">
        <f>[14]January_2019!AA6</f>
        <v>0</v>
      </c>
      <c r="AR55" s="57">
        <f>[14]January_2019!AB6</f>
        <v>0</v>
      </c>
      <c r="AS55" s="57">
        <f>[14]January_2019!AC6</f>
        <v>0</v>
      </c>
      <c r="AT55" s="57">
        <f>[14]January_2019!AD6</f>
        <v>0</v>
      </c>
      <c r="AU55" s="57">
        <f>[14]January_2019!AE6</f>
        <v>0</v>
      </c>
      <c r="AV55" s="57">
        <f>[14]January_2019!AF6</f>
        <v>0</v>
      </c>
      <c r="AW55" s="57">
        <f>[14]January_2019!AG6</f>
        <v>0</v>
      </c>
      <c r="AX55" s="277">
        <f>[14]January_2019!AH6</f>
        <v>0</v>
      </c>
      <c r="AY55" s="277"/>
      <c r="AZ55" s="277"/>
      <c r="BA55" s="277"/>
      <c r="BB55" s="277"/>
      <c r="BC55" s="277"/>
      <c r="BD55" s="277"/>
      <c r="BE55" s="277"/>
    </row>
    <row r="56" spans="1:57" s="54" customFormat="1" ht="37.15" customHeight="1" thickBot="1">
      <c r="A56" s="54" t="s">
        <v>168</v>
      </c>
      <c r="B56" s="484" t="str">
        <f>J42</f>
        <v>VITAMALT</v>
      </c>
      <c r="C56" s="479">
        <v>46084</v>
      </c>
      <c r="D56" s="442">
        <f>[11]March_2026!$D$13</f>
        <v>205.5</v>
      </c>
      <c r="E56" s="443"/>
      <c r="F56" s="444"/>
      <c r="G56" s="445">
        <f>[11]March_2026!$D$17</f>
        <v>195.3</v>
      </c>
      <c r="H56" s="458"/>
      <c r="I56" s="458"/>
      <c r="J56" s="448" t="s">
        <v>171</v>
      </c>
      <c r="K56" s="449">
        <f>[13]March_2026!$D$25</f>
        <v>0.68526315789473691</v>
      </c>
      <c r="L56" s="457">
        <f>(((D56+E56)-G56)/(D56+E56))*100</f>
        <v>4.9635036496350304</v>
      </c>
      <c r="M56" s="455" t="s">
        <v>173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[14]January_2019!L7</f>
        <v>285.8</v>
      </c>
      <c r="AC56" s="57">
        <f>[14]January_2019!M7</f>
        <v>508.1</v>
      </c>
      <c r="AD56" s="57">
        <f>[14]January_2019!N7</f>
        <v>0</v>
      </c>
      <c r="AE56" s="57">
        <f>[14]January_2019!O7</f>
        <v>0</v>
      </c>
      <c r="AF56" s="57">
        <f>[14]January_2019!P7</f>
        <v>109.56666666666666</v>
      </c>
      <c r="AG56" s="57">
        <f>[14]January_2019!Q7</f>
        <v>297.64999999999998</v>
      </c>
      <c r="AH56" s="57">
        <f>[14]January_2019!R7</f>
        <v>122.3</v>
      </c>
      <c r="AI56" s="57">
        <f>[14]January_2019!S7</f>
        <v>0</v>
      </c>
      <c r="AJ56" s="57">
        <f>[14]January_2019!T7</f>
        <v>294.7</v>
      </c>
      <c r="AK56" s="57">
        <f>[14]January_2019!U7</f>
        <v>280.5</v>
      </c>
      <c r="AL56" s="57">
        <f>[14]January_2019!V7</f>
        <v>0</v>
      </c>
      <c r="AM56" s="57">
        <f>[14]January_2019!W7</f>
        <v>0</v>
      </c>
      <c r="AN56" s="57">
        <f>[14]January_2019!X7</f>
        <v>188.25</v>
      </c>
      <c r="AO56" s="57">
        <f>[14]January_2019!Y7</f>
        <v>295.7</v>
      </c>
      <c r="AP56" s="57">
        <f>[14]January_2019!Z7</f>
        <v>257.8</v>
      </c>
      <c r="AQ56" s="57">
        <f>[14]January_2019!AA7</f>
        <v>291.2</v>
      </c>
      <c r="AR56" s="57">
        <f>[14]January_2019!AB7</f>
        <v>187</v>
      </c>
      <c r="AS56" s="57">
        <f>[14]January_2019!AC7</f>
        <v>0</v>
      </c>
      <c r="AT56" s="57">
        <f>[14]January_2019!AD7</f>
        <v>0</v>
      </c>
      <c r="AU56" s="57">
        <f>[14]January_2019!AE7</f>
        <v>485.1</v>
      </c>
      <c r="AV56" s="57">
        <f>[14]January_2019!AF7</f>
        <v>171.55</v>
      </c>
      <c r="AW56" s="57">
        <f>[14]January_2019!AG7</f>
        <v>423.8</v>
      </c>
      <c r="AX56" s="277">
        <f>[14]January_2019!AH7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1:57" s="54" customFormat="1" ht="19.5" hidden="1" customHeight="1" thickBot="1">
      <c r="B57" s="478"/>
      <c r="C57" s="430"/>
      <c r="D57" s="431"/>
      <c r="E57" s="432"/>
      <c r="F57" s="433"/>
      <c r="G57" s="434"/>
      <c r="H57" s="458"/>
      <c r="I57" s="458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1:57" s="54" customFormat="1" ht="38.450000000000003" hidden="1" customHeight="1" thickBot="1">
      <c r="B58" s="480"/>
      <c r="C58" s="479"/>
      <c r="D58" s="442"/>
      <c r="E58" s="443"/>
      <c r="F58" s="444"/>
      <c r="G58" s="445"/>
      <c r="H58" s="458"/>
      <c r="I58" s="458"/>
      <c r="J58" s="448" t="s">
        <v>171</v>
      </c>
      <c r="K58" s="459"/>
      <c r="L58" s="457" t="e">
        <f>(((D58+E58)-G58)/(D58+E58))*100</f>
        <v>#DIV/0!</v>
      </c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1:57" s="54" customFormat="1" ht="15.75" hidden="1" thickBot="1">
      <c r="B59" s="453"/>
      <c r="C59" s="430"/>
      <c r="D59" s="431"/>
      <c r="E59" s="432"/>
      <c r="F59" s="433"/>
      <c r="G59" s="434"/>
      <c r="H59" s="435"/>
      <c r="I59" s="450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37.15" hidden="1" customHeight="1" thickBot="1">
      <c r="B60" s="480"/>
      <c r="C60" s="479"/>
      <c r="D60" s="442"/>
      <c r="E60" s="443"/>
      <c r="F60" s="444"/>
      <c r="G60" s="445"/>
      <c r="H60" s="446"/>
      <c r="I60" s="447"/>
      <c r="J60" s="448"/>
      <c r="K60" s="44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16.5" hidden="1" customHeight="1" thickBot="1">
      <c r="B61" s="437"/>
      <c r="C61" s="423"/>
      <c r="D61" s="424"/>
      <c r="E61" s="425"/>
      <c r="F61" s="426"/>
      <c r="G61" s="427"/>
      <c r="H61" s="428"/>
      <c r="I61" s="438"/>
      <c r="J61" s="439"/>
      <c r="K61" s="429"/>
      <c r="L61" s="440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1:57" s="54" customFormat="1" ht="37.15" hidden="1" customHeight="1" thickBot="1">
      <c r="B62" s="456"/>
      <c r="C62" s="441"/>
      <c r="D62" s="442"/>
      <c r="E62" s="443"/>
      <c r="F62" s="444"/>
      <c r="G62" s="445"/>
      <c r="H62" s="446"/>
      <c r="I62" s="447"/>
      <c r="J62" s="448"/>
      <c r="K62" s="449"/>
      <c r="L62" s="457"/>
      <c r="M62" s="454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s="54" customFormat="1" ht="37.15" customHeight="1">
      <c r="B63" s="466"/>
      <c r="C63" s="430"/>
      <c r="D63" s="460"/>
      <c r="E63" s="461"/>
      <c r="F63" s="462"/>
      <c r="G63" s="460"/>
      <c r="H63" s="463"/>
      <c r="I63" s="463"/>
      <c r="J63" s="463"/>
      <c r="K63" s="464"/>
      <c r="L63" s="465"/>
      <c r="M63" s="50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ht="18" customHeight="1" thickBot="1">
      <c r="B64" s="59"/>
      <c r="C64" s="30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 t="s">
        <v>41</v>
      </c>
      <c r="O64" s="56"/>
      <c r="P64" s="60"/>
    </row>
    <row r="65" spans="2:16" ht="15.75" thickBot="1">
      <c r="B65" s="545" t="s">
        <v>55</v>
      </c>
      <c r="C65" s="546"/>
      <c r="D65" s="546"/>
      <c r="E65" s="546"/>
      <c r="F65" s="547"/>
      <c r="G65" s="545" t="s">
        <v>56</v>
      </c>
      <c r="H65" s="546"/>
      <c r="I65" s="546"/>
      <c r="J65" s="547"/>
      <c r="K65" s="545" t="s">
        <v>51</v>
      </c>
      <c r="L65" s="546"/>
      <c r="M65" s="546"/>
      <c r="N65" s="548"/>
      <c r="O65" s="56"/>
      <c r="P65" s="50"/>
    </row>
    <row r="66" spans="2:16" ht="15">
      <c r="B66" s="61" t="s">
        <v>17</v>
      </c>
      <c r="C66" s="62" t="s">
        <v>36</v>
      </c>
      <c r="D66" s="62" t="s">
        <v>37</v>
      </c>
      <c r="E66" s="62" t="s">
        <v>38</v>
      </c>
      <c r="F66" s="63" t="s">
        <v>39</v>
      </c>
      <c r="G66" s="62" t="s">
        <v>36</v>
      </c>
      <c r="H66" s="62" t="s">
        <v>37</v>
      </c>
      <c r="I66" s="62" t="s">
        <v>38</v>
      </c>
      <c r="J66" s="63" t="s">
        <v>39</v>
      </c>
      <c r="K66" s="62" t="s">
        <v>36</v>
      </c>
      <c r="L66" s="62" t="s">
        <v>37</v>
      </c>
      <c r="M66" s="62" t="s">
        <v>38</v>
      </c>
      <c r="N66" s="63" t="s">
        <v>39</v>
      </c>
      <c r="O66" s="56"/>
      <c r="P66" s="64"/>
    </row>
    <row r="67" spans="2:16" ht="15">
      <c r="B67" s="29" t="s">
        <v>6</v>
      </c>
      <c r="C67" s="282"/>
      <c r="D67" s="76"/>
      <c r="E67" s="76">
        <v>7.3039460765120872</v>
      </c>
      <c r="F67" s="66">
        <v>4.8</v>
      </c>
      <c r="G67" s="65"/>
      <c r="H67" s="477"/>
      <c r="I67" s="477">
        <v>7.4664910432255231</v>
      </c>
      <c r="J67" s="66">
        <v>4.8</v>
      </c>
      <c r="K67" s="67"/>
      <c r="L67" s="194"/>
      <c r="M67" s="194">
        <v>0.38993405267767983</v>
      </c>
      <c r="N67" s="68">
        <v>1</v>
      </c>
      <c r="O67" s="56"/>
      <c r="P67" s="69"/>
    </row>
    <row r="68" spans="2:16" ht="15">
      <c r="B68" s="33" t="s">
        <v>9</v>
      </c>
      <c r="C68" s="65"/>
      <c r="D68" s="76">
        <v>7.025900565644533</v>
      </c>
      <c r="E68" s="76">
        <v>6.4149147319533819</v>
      </c>
      <c r="F68" s="66">
        <v>4.8</v>
      </c>
      <c r="G68" s="65"/>
      <c r="H68" s="76">
        <v>7.2057488520690356</v>
      </c>
      <c r="I68" s="76">
        <v>6.4809053832841554</v>
      </c>
      <c r="J68" s="66">
        <v>4.8</v>
      </c>
      <c r="K68" s="67"/>
      <c r="L68" s="194">
        <v>0.66210526315789475</v>
      </c>
      <c r="M68" s="194">
        <v>0.56980105779238654</v>
      </c>
      <c r="N68" s="68">
        <v>1</v>
      </c>
      <c r="P68" s="69"/>
    </row>
    <row r="69" spans="2:16" ht="15">
      <c r="B69" s="34" t="s">
        <v>40</v>
      </c>
      <c r="C69" s="65"/>
      <c r="D69" s="76"/>
      <c r="E69" s="76">
        <v>12.083525257177943</v>
      </c>
      <c r="F69" s="66">
        <v>5.5</v>
      </c>
      <c r="G69" s="65"/>
      <c r="H69" s="76"/>
      <c r="I69" s="76">
        <v>12.623654161138989</v>
      </c>
      <c r="J69" s="66">
        <v>5.5</v>
      </c>
      <c r="K69" s="67"/>
      <c r="L69" s="194"/>
      <c r="M69" s="194">
        <v>0.33891812865497073</v>
      </c>
      <c r="N69" s="68">
        <v>1</v>
      </c>
      <c r="P69" s="69"/>
    </row>
    <row r="70" spans="2:16" ht="15">
      <c r="B70" s="22" t="s">
        <v>33</v>
      </c>
      <c r="C70" s="65"/>
      <c r="D70" s="76"/>
      <c r="E70" s="76">
        <v>5.0755456997699637</v>
      </c>
      <c r="F70" s="66">
        <v>3.3</v>
      </c>
      <c r="G70" s="65"/>
      <c r="H70" s="76"/>
      <c r="I70" s="76">
        <v>4.6359882890480018</v>
      </c>
      <c r="J70" s="66">
        <v>3.3</v>
      </c>
      <c r="K70" s="67"/>
      <c r="L70" s="194"/>
      <c r="M70" s="194">
        <v>0.66833333333333345</v>
      </c>
      <c r="N70" s="68">
        <v>1</v>
      </c>
      <c r="P70" s="69"/>
    </row>
    <row r="71" spans="2:16" ht="15">
      <c r="B71" s="35" t="s">
        <v>164</v>
      </c>
      <c r="C71" s="65"/>
      <c r="D71" s="76"/>
      <c r="E71" s="76"/>
      <c r="F71" s="66">
        <v>3.3</v>
      </c>
      <c r="G71" s="282"/>
      <c r="H71" s="76"/>
      <c r="I71" s="76"/>
      <c r="J71" s="66">
        <v>3</v>
      </c>
      <c r="K71" s="67"/>
      <c r="L71" s="194"/>
      <c r="M71" s="194"/>
      <c r="N71" s="68">
        <v>1</v>
      </c>
      <c r="P71" s="69"/>
    </row>
    <row r="72" spans="2:16" ht="15">
      <c r="B72" s="36" t="s">
        <v>15</v>
      </c>
      <c r="C72" s="65"/>
      <c r="D72" s="76"/>
      <c r="E72" s="76">
        <v>5.1105651105651271</v>
      </c>
      <c r="F72" s="70">
        <f>[15]May_2022!$M$43</f>
        <v>3.4878406700073312</v>
      </c>
      <c r="G72" s="282"/>
      <c r="H72" s="76"/>
      <c r="I72" s="76">
        <v>7.9131369535794072</v>
      </c>
      <c r="J72" s="66">
        <v>5.5</v>
      </c>
      <c r="K72" s="67"/>
      <c r="L72" s="194"/>
      <c r="M72" s="194">
        <v>1.3550877192982456</v>
      </c>
      <c r="N72" s="68">
        <v>1</v>
      </c>
      <c r="P72" s="69"/>
    </row>
    <row r="73" spans="2:16" ht="15">
      <c r="B73" s="37" t="s">
        <v>16</v>
      </c>
      <c r="C73" s="65"/>
      <c r="D73" s="76"/>
      <c r="E73" s="76">
        <v>3.9401442566476499</v>
      </c>
      <c r="F73" s="66">
        <v>3.3</v>
      </c>
      <c r="G73" s="282"/>
      <c r="H73" s="76"/>
      <c r="I73" s="76">
        <v>4.7059150132172638</v>
      </c>
      <c r="J73" s="66">
        <v>3.3</v>
      </c>
      <c r="K73" s="67"/>
      <c r="L73" s="194"/>
      <c r="M73" s="194">
        <v>0.82374269005847967</v>
      </c>
      <c r="N73" s="71">
        <v>1</v>
      </c>
      <c r="P73" s="69"/>
    </row>
    <row r="74" spans="2:16" ht="15.75" thickBot="1">
      <c r="B74" s="38" t="s">
        <v>163</v>
      </c>
      <c r="C74" s="65"/>
      <c r="D74" s="76"/>
      <c r="E74" s="76"/>
      <c r="F74" s="66">
        <v>7.5</v>
      </c>
      <c r="G74" s="282"/>
      <c r="H74" s="76"/>
      <c r="I74" s="76"/>
      <c r="J74" s="66">
        <v>7.5</v>
      </c>
      <c r="K74" s="67"/>
      <c r="L74" s="194"/>
      <c r="M74" s="194"/>
      <c r="N74" s="71">
        <v>1</v>
      </c>
      <c r="P74" s="69"/>
    </row>
    <row r="75" spans="2:16" ht="15.75" thickBot="1">
      <c r="B75" s="414" t="s">
        <v>161</v>
      </c>
      <c r="C75" s="65"/>
      <c r="D75" s="76"/>
      <c r="E75" s="76"/>
      <c r="F75" s="66">
        <v>4.8</v>
      </c>
      <c r="G75" s="282"/>
      <c r="H75" s="76"/>
      <c r="I75" s="76"/>
      <c r="J75" s="66">
        <v>4.8</v>
      </c>
      <c r="K75" s="67"/>
      <c r="L75" s="194"/>
      <c r="M75" s="194"/>
      <c r="N75" s="71">
        <v>1</v>
      </c>
      <c r="O75" s="74"/>
      <c r="P75" s="75"/>
    </row>
    <row r="76" spans="2:16" ht="15">
      <c r="D76" s="76">
        <v>7.025900565644533</v>
      </c>
      <c r="E76" s="76">
        <v>6.8625093553031427</v>
      </c>
      <c r="F76" s="341">
        <v>5.5</v>
      </c>
      <c r="H76" s="76">
        <v>7.2057488520690356</v>
      </c>
      <c r="I76" s="76">
        <v>7.1241557771258277</v>
      </c>
      <c r="J76" s="341">
        <v>5.5</v>
      </c>
      <c r="L76" s="194">
        <v>0.66210526315789475</v>
      </c>
      <c r="M76" s="194">
        <v>0.41803204678362577</v>
      </c>
      <c r="N76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B37:B46"/>
    <mergeCell ref="D37:E38"/>
    <mergeCell ref="J37:K37"/>
    <mergeCell ref="L38:N38"/>
    <mergeCell ref="D39:E40"/>
    <mergeCell ref="D41:E42"/>
    <mergeCell ref="D43:E44"/>
    <mergeCell ref="D45:E46"/>
    <mergeCell ref="D47:E47"/>
    <mergeCell ref="B52:B53"/>
    <mergeCell ref="C52:C53"/>
    <mergeCell ref="D52:D53"/>
    <mergeCell ref="E52:E53"/>
    <mergeCell ref="M52:M53"/>
    <mergeCell ref="B65:F65"/>
    <mergeCell ref="G65:J65"/>
    <mergeCell ref="K65:N65"/>
    <mergeCell ref="G52:G53"/>
    <mergeCell ref="H52:H53"/>
    <mergeCell ref="I52:I53"/>
    <mergeCell ref="J52:J53"/>
    <mergeCell ref="K52:K53"/>
    <mergeCell ref="L52:L53"/>
    <mergeCell ref="F52:F53"/>
  </mergeCells>
  <conditionalFormatting sqref="B47:B48">
    <cfRule type="cellIs" dxfId="3218" priority="75" operator="notBetween">
      <formula>#REF!</formula>
      <formula>#REF!</formula>
    </cfRule>
  </conditionalFormatting>
  <conditionalFormatting sqref="C51">
    <cfRule type="cellIs" dxfId="3217" priority="169" stopIfTrue="1" operator="lessThan">
      <formula>96</formula>
    </cfRule>
    <cfRule type="cellIs" dxfId="3216" priority="170" stopIfTrue="1" operator="greaterThan">
      <formula>100</formula>
    </cfRule>
  </conditionalFormatting>
  <conditionalFormatting sqref="C67:C71">
    <cfRule type="cellIs" dxfId="3215" priority="138" stopIfTrue="1" operator="lessThanOrEqual">
      <formula>0</formula>
    </cfRule>
  </conditionalFormatting>
  <conditionalFormatting sqref="C67:C75">
    <cfRule type="cellIs" dxfId="3214" priority="137" stopIfTrue="1" operator="greaterThan">
      <formula>$F67</formula>
    </cfRule>
  </conditionalFormatting>
  <conditionalFormatting sqref="C68">
    <cfRule type="cellIs" dxfId="3213" priority="171" stopIfTrue="1" operator="greaterThan">
      <formula>$F67</formula>
    </cfRule>
  </conditionalFormatting>
  <conditionalFormatting sqref="C72">
    <cfRule type="cellIs" dxfId="3212" priority="99" stopIfTrue="1" operator="lessThanOrEqual">
      <formula>0</formula>
    </cfRule>
    <cfRule type="cellIs" dxfId="3211" priority="100" stopIfTrue="1" operator="greaterThan">
      <formula>$F71</formula>
    </cfRule>
  </conditionalFormatting>
  <conditionalFormatting sqref="C73:C75">
    <cfRule type="cellIs" dxfId="3210" priority="139" stopIfTrue="1" operator="lessThanOrEqual">
      <formula>0</formula>
    </cfRule>
  </conditionalFormatting>
  <conditionalFormatting sqref="C78:C82">
    <cfRule type="cellIs" dxfId="3209" priority="161" stopIfTrue="1" operator="lessThanOrEqual">
      <formula>0</formula>
    </cfRule>
  </conditionalFormatting>
  <conditionalFormatting sqref="C79:C82">
    <cfRule type="cellIs" dxfId="3208" priority="160" stopIfTrue="1" operator="greaterThan">
      <formula>$F$78</formula>
    </cfRule>
  </conditionalFormatting>
  <conditionalFormatting sqref="C84">
    <cfRule type="cellIs" dxfId="3207" priority="162" stopIfTrue="1" operator="greaterThan">
      <formula>$F$78</formula>
    </cfRule>
    <cfRule type="cellIs" dxfId="3206" priority="163" stopIfTrue="1" operator="lessThanOrEqual">
      <formula>0</formula>
    </cfRule>
  </conditionalFormatting>
  <conditionalFormatting sqref="C78:D78 D80:D86">
    <cfRule type="cellIs" dxfId="3205" priority="155" stopIfTrue="1" operator="greaterThan">
      <formula>4.5</formula>
    </cfRule>
  </conditionalFormatting>
  <conditionalFormatting sqref="D47:D48">
    <cfRule type="cellIs" dxfId="3204" priority="76" operator="notBetween">
      <formula>#REF!</formula>
      <formula>#REF!</formula>
    </cfRule>
  </conditionalFormatting>
  <conditionalFormatting sqref="D67:D74">
    <cfRule type="cellIs" dxfId="3203" priority="48" stopIfTrue="1" operator="lessThanOrEqual">
      <formula>0</formula>
    </cfRule>
  </conditionalFormatting>
  <conditionalFormatting sqref="D67:D76">
    <cfRule type="cellIs" dxfId="3202" priority="27" stopIfTrue="1" operator="lessThanOrEqual">
      <formula>0</formula>
    </cfRule>
  </conditionalFormatting>
  <conditionalFormatting sqref="D75">
    <cfRule type="cellIs" dxfId="3201" priority="47" stopIfTrue="1" operator="lessThanOrEqual">
      <formula>0</formula>
    </cfRule>
  </conditionalFormatting>
  <conditionalFormatting sqref="D76">
    <cfRule type="cellIs" dxfId="3200" priority="42" stopIfTrue="1" operator="lessThanOrEqual">
      <formula>0</formula>
    </cfRule>
  </conditionalFormatting>
  <conditionalFormatting sqref="D78 D80:D86">
    <cfRule type="cellIs" dxfId="3199" priority="156" stopIfTrue="1" operator="lessThanOrEqual">
      <formula>0</formula>
    </cfRule>
  </conditionalFormatting>
  <conditionalFormatting sqref="D79">
    <cfRule type="cellIs" dxfId="3198" priority="148" stopIfTrue="1" operator="lessThanOrEqual">
      <formula>0</formula>
    </cfRule>
    <cfRule type="cellIs" dxfId="3197" priority="147" stopIfTrue="1" operator="greaterThan">
      <formula>$F$78</formula>
    </cfRule>
  </conditionalFormatting>
  <conditionalFormatting sqref="D67:E76">
    <cfRule type="cellIs" dxfId="3196" priority="29" stopIfTrue="1" operator="greaterThan">
      <formula>$F67</formula>
    </cfRule>
  </conditionalFormatting>
  <conditionalFormatting sqref="D76:E76">
    <cfRule type="cellIs" dxfId="3195" priority="31" stopIfTrue="1" operator="lessThanOrEqual">
      <formula>0</formula>
    </cfRule>
  </conditionalFormatting>
  <conditionalFormatting sqref="E10:E22">
    <cfRule type="cellIs" dxfId="3194" priority="20" operator="lessThan">
      <formula>48</formula>
    </cfRule>
  </conditionalFormatting>
  <conditionalFormatting sqref="E50 E51:F51">
    <cfRule type="cellIs" dxfId="3193" priority="152" stopIfTrue="1" operator="greaterThan">
      <formula>100</formula>
    </cfRule>
  </conditionalFormatting>
  <conditionalFormatting sqref="E51">
    <cfRule type="cellIs" dxfId="3192" priority="149" stopIfTrue="1" operator="lessThan">
      <formula>96.8</formula>
    </cfRule>
    <cfRule type="cellIs" dxfId="3191" priority="150" stopIfTrue="1" operator="greaterThan">
      <formula>100</formula>
    </cfRule>
  </conditionalFormatting>
  <conditionalFormatting sqref="E67:E75">
    <cfRule type="cellIs" dxfId="3190" priority="28" stopIfTrue="1" operator="lessThanOrEqual">
      <formula>0</formula>
    </cfRule>
  </conditionalFormatting>
  <conditionalFormatting sqref="E67:E76">
    <cfRule type="cellIs" dxfId="3189" priority="30" stopIfTrue="1" operator="lessThanOrEqual">
      <formula>0</formula>
    </cfRule>
  </conditionalFormatting>
  <conditionalFormatting sqref="E78:E86">
    <cfRule type="cellIs" dxfId="3188" priority="141" stopIfTrue="1" operator="greaterThan">
      <formula>4.5</formula>
    </cfRule>
    <cfRule type="cellIs" dxfId="3187" priority="142" stopIfTrue="1" operator="lessThanOrEqual">
      <formula>0</formula>
    </cfRule>
  </conditionalFormatting>
  <conditionalFormatting sqref="E51:F51 E50">
    <cfRule type="cellIs" dxfId="3186" priority="151" stopIfTrue="1" operator="lessThan">
      <formula>96.5</formula>
    </cfRule>
  </conditionalFormatting>
  <conditionalFormatting sqref="F10:F22">
    <cfRule type="cellIs" dxfId="3185" priority="23" operator="greaterThan">
      <formula>60</formula>
    </cfRule>
  </conditionalFormatting>
  <conditionalFormatting sqref="F51">
    <cfRule type="cellIs" dxfId="3184" priority="168" stopIfTrue="1" operator="greaterThan">
      <formula>100</formula>
    </cfRule>
    <cfRule type="cellIs" dxfId="3183" priority="167" stopIfTrue="1" operator="lessThan">
      <formula>96.8</formula>
    </cfRule>
  </conditionalFormatting>
  <conditionalFormatting sqref="F76">
    <cfRule type="cellIs" dxfId="3182" priority="46" stopIfTrue="1" operator="lessThanOrEqual">
      <formula>0</formula>
    </cfRule>
    <cfRule type="cellIs" dxfId="3181" priority="45" stopIfTrue="1" operator="greaterThan">
      <formula>$F76</formula>
    </cfRule>
  </conditionalFormatting>
  <conditionalFormatting sqref="G10:G21">
    <cfRule type="expression" dxfId="3180" priority="15">
      <formula>IF(+(IF(G10&lt;S10,0,IF(G10&gt;T10,0,1)))=0,1)</formula>
    </cfRule>
  </conditionalFormatting>
  <conditionalFormatting sqref="G67:G68">
    <cfRule type="cellIs" dxfId="3179" priority="43" stopIfTrue="1" operator="greaterThan">
      <formula>$F67</formula>
    </cfRule>
    <cfRule type="cellIs" dxfId="3178" priority="44" stopIfTrue="1" operator="lessThanOrEqual">
      <formula>0</formula>
    </cfRule>
    <cfRule type="cellIs" dxfId="3177" priority="49" stopIfTrue="1" operator="greaterThan">
      <formula>$F67</formula>
    </cfRule>
    <cfRule type="cellIs" dxfId="3176" priority="50" stopIfTrue="1" operator="lessThanOrEqual">
      <formula>0</formula>
    </cfRule>
  </conditionalFormatting>
  <conditionalFormatting sqref="G69">
    <cfRule type="cellIs" dxfId="3175" priority="53" stopIfTrue="1" operator="greaterThan">
      <formula>$F68</formula>
    </cfRule>
    <cfRule type="cellIs" dxfId="3174" priority="54" stopIfTrue="1" operator="lessThanOrEqual">
      <formula>0</formula>
    </cfRule>
  </conditionalFormatting>
  <conditionalFormatting sqref="G70">
    <cfRule type="cellIs" dxfId="3173" priority="37" stopIfTrue="1" operator="greaterThan">
      <formula>$F70</formula>
    </cfRule>
    <cfRule type="cellIs" dxfId="3172" priority="38" stopIfTrue="1" operator="lessThanOrEqual">
      <formula>0</formula>
    </cfRule>
    <cfRule type="cellIs" dxfId="3171" priority="36" stopIfTrue="1" operator="lessThanOrEqual">
      <formula>0</formula>
    </cfRule>
    <cfRule type="cellIs" dxfId="3170" priority="35" stopIfTrue="1" operator="greaterThan">
      <formula>$F70</formula>
    </cfRule>
  </conditionalFormatting>
  <conditionalFormatting sqref="G71:G75">
    <cfRule type="cellIs" dxfId="3169" priority="51" stopIfTrue="1" operator="greaterThan">
      <formula>$J71</formula>
    </cfRule>
    <cfRule type="cellIs" dxfId="3168" priority="52" stopIfTrue="1" operator="lessThanOrEqual">
      <formula>0</formula>
    </cfRule>
  </conditionalFormatting>
  <conditionalFormatting sqref="G80:G85 C83 C85">
    <cfRule type="cellIs" dxfId="3167" priority="165" stopIfTrue="1" operator="lessThanOrEqual">
      <formula>0</formula>
    </cfRule>
    <cfRule type="cellIs" dxfId="3166" priority="164" stopIfTrue="1" operator="greaterThan">
      <formula>4.5</formula>
    </cfRule>
  </conditionalFormatting>
  <conditionalFormatting sqref="G79:H79">
    <cfRule type="cellIs" dxfId="3165" priority="146" stopIfTrue="1" operator="lessThanOrEqual">
      <formula>0</formula>
    </cfRule>
    <cfRule type="cellIs" dxfId="3164" priority="145" stopIfTrue="1" operator="greaterThan">
      <formula>$F$78</formula>
    </cfRule>
  </conditionalFormatting>
  <conditionalFormatting sqref="H10:H21 G22:H22">
    <cfRule type="expression" dxfId="3163" priority="72">
      <formula>IF(+(IF(G10&lt;#REF!,0,IF(G10&gt;#REF!,0,1)))=0,1)</formula>
    </cfRule>
  </conditionalFormatting>
  <conditionalFormatting sqref="H36:H50 I38:I49">
    <cfRule type="cellIs" dxfId="3162" priority="143" stopIfTrue="1" operator="greaterThan">
      <formula>0</formula>
    </cfRule>
  </conditionalFormatting>
  <conditionalFormatting sqref="H54:H58">
    <cfRule type="cellIs" dxfId="3161" priority="59" stopIfTrue="1" operator="greaterThan">
      <formula>$F$67</formula>
    </cfRule>
    <cfRule type="cellIs" dxfId="3160" priority="68" stopIfTrue="1" operator="lessThanOrEqual">
      <formula>0</formula>
    </cfRule>
    <cfRule type="cellIs" dxfId="3159" priority="58" stopIfTrue="1" operator="lessThanOrEqual">
      <formula>0</formula>
    </cfRule>
    <cfRule type="cellIs" dxfId="3158" priority="70" stopIfTrue="1" operator="lessThanOrEqual">
      <formula>0</formula>
    </cfRule>
    <cfRule type="cellIs" dxfId="3157" priority="67" stopIfTrue="1" operator="greaterThan">
      <formula>$F$70</formula>
    </cfRule>
    <cfRule type="cellIs" dxfId="3156" priority="69" stopIfTrue="1" operator="greaterThan">
      <formula>$F$68</formula>
    </cfRule>
  </conditionalFormatting>
  <conditionalFormatting sqref="H59:H60">
    <cfRule type="cellIs" dxfId="3155" priority="112" stopIfTrue="1" operator="lessThanOrEqual">
      <formula>0</formula>
    </cfRule>
    <cfRule type="cellIs" dxfId="3154" priority="111" stopIfTrue="1" operator="greaterThan">
      <formula>$F$22</formula>
    </cfRule>
    <cfRule type="cellIs" dxfId="3153" priority="114" stopIfTrue="1" operator="lessThanOrEqual">
      <formula>0</formula>
    </cfRule>
    <cfRule type="cellIs" dxfId="3152" priority="113" stopIfTrue="1" operator="greaterThan">
      <formula>#REF!</formula>
    </cfRule>
    <cfRule type="cellIs" dxfId="3151" priority="102" stopIfTrue="1" operator="lessThanOrEqual">
      <formula>0</formula>
    </cfRule>
    <cfRule type="cellIs" dxfId="3150" priority="103" stopIfTrue="1" operator="greaterThan">
      <formula>#REF!</formula>
    </cfRule>
  </conditionalFormatting>
  <conditionalFormatting sqref="H61">
    <cfRule type="cellIs" dxfId="3149" priority="128" stopIfTrue="1" operator="lessThanOrEqual">
      <formula>0</formula>
    </cfRule>
    <cfRule type="cellIs" dxfId="3148" priority="127" stopIfTrue="1" operator="greaterThan">
      <formula>$F$36</formula>
    </cfRule>
    <cfRule type="cellIs" dxfId="3147" priority="126" stopIfTrue="1" operator="lessThanOrEqual">
      <formula>0</formula>
    </cfRule>
    <cfRule type="cellIs" dxfId="3146" priority="125" stopIfTrue="1" operator="greaterThan">
      <formula>$F$38</formula>
    </cfRule>
    <cfRule type="cellIs" dxfId="3145" priority="116" stopIfTrue="1" operator="lessThanOrEqual">
      <formula>0</formula>
    </cfRule>
    <cfRule type="cellIs" dxfId="3144" priority="117" stopIfTrue="1" operator="greaterThan">
      <formula>$F$35</formula>
    </cfRule>
  </conditionalFormatting>
  <conditionalFormatting sqref="H62:H63">
    <cfRule type="cellIs" dxfId="3143" priority="97" stopIfTrue="1" operator="greaterThan">
      <formula>#REF!</formula>
    </cfRule>
    <cfRule type="cellIs" dxfId="3142" priority="96" stopIfTrue="1" operator="lessThanOrEqual">
      <formula>0</formula>
    </cfRule>
    <cfRule type="cellIs" dxfId="3141" priority="86" stopIfTrue="1" operator="lessThanOrEqual">
      <formula>0</formula>
    </cfRule>
    <cfRule type="cellIs" dxfId="3140" priority="87" stopIfTrue="1" operator="greaterThan">
      <formula>#REF!</formula>
    </cfRule>
    <cfRule type="cellIs" dxfId="3139" priority="95" stopIfTrue="1" operator="greaterThan">
      <formula>$F$22</formula>
    </cfRule>
    <cfRule type="cellIs" dxfId="3138" priority="98" stopIfTrue="1" operator="lessThanOrEqual">
      <formula>0</formula>
    </cfRule>
  </conditionalFormatting>
  <conditionalFormatting sqref="H78 H80:H86">
    <cfRule type="cellIs" dxfId="3137" priority="157" stopIfTrue="1" operator="greaterThan">
      <formula>4.5</formula>
    </cfRule>
    <cfRule type="cellIs" dxfId="3136" priority="158" stopIfTrue="1" operator="lessThanOrEqual">
      <formula>0</formula>
    </cfRule>
  </conditionalFormatting>
  <conditionalFormatting sqref="H54:I58">
    <cfRule type="cellIs" dxfId="3135" priority="60" stopIfTrue="1" operator="lessThanOrEqual">
      <formula>0</formula>
    </cfRule>
    <cfRule type="cellIs" dxfId="3134" priority="57" stopIfTrue="1" operator="greaterThan">
      <formula>$F$69</formula>
    </cfRule>
  </conditionalFormatting>
  <conditionalFormatting sqref="H59:I60">
    <cfRule type="cellIs" dxfId="3133" priority="101" stopIfTrue="1" operator="greaterThan">
      <formula>#REF!</formula>
    </cfRule>
    <cfRule type="cellIs" dxfId="3132" priority="104" stopIfTrue="1" operator="lessThanOrEqual">
      <formula>0</formula>
    </cfRule>
  </conditionalFormatting>
  <conditionalFormatting sqref="H61:I61">
    <cfRule type="cellIs" dxfId="3131" priority="115" stopIfTrue="1" operator="greaterThan">
      <formula>$F$37</formula>
    </cfRule>
    <cfRule type="cellIs" dxfId="3130" priority="118" stopIfTrue="1" operator="lessThanOrEqual">
      <formula>0</formula>
    </cfRule>
  </conditionalFormatting>
  <conditionalFormatting sqref="H62:I63">
    <cfRule type="cellIs" dxfId="3129" priority="85" stopIfTrue="1" operator="greaterThan">
      <formula>#REF!</formula>
    </cfRule>
    <cfRule type="cellIs" dxfId="3128" priority="88" stopIfTrue="1" operator="lessThanOrEqual">
      <formula>0</formula>
    </cfRule>
  </conditionalFormatting>
  <conditionalFormatting sqref="H67:I74">
    <cfRule type="cellIs" dxfId="3127" priority="25" stopIfTrue="1" operator="greaterThan">
      <formula>$J67</formula>
    </cfRule>
    <cfRule type="cellIs" dxfId="3126" priority="26" stopIfTrue="1" operator="lessThanOrEqual">
      <formula>0</formula>
    </cfRule>
  </conditionalFormatting>
  <conditionalFormatting sqref="H75:I75">
    <cfRule type="cellIs" dxfId="3125" priority="34" operator="greaterThan">
      <formula>5.3</formula>
    </cfRule>
  </conditionalFormatting>
  <conditionalFormatting sqref="H76:I76">
    <cfRule type="cellIs" dxfId="3124" priority="33" stopIfTrue="1" operator="lessThanOrEqual">
      <formula>0</formula>
    </cfRule>
    <cfRule type="cellIs" dxfId="3123" priority="32" stopIfTrue="1" operator="greaterThan">
      <formula>$J76</formula>
    </cfRule>
  </conditionalFormatting>
  <conditionalFormatting sqref="I54:I58">
    <cfRule type="cellIs" dxfId="3122" priority="63" stopIfTrue="1" operator="greaterThan">
      <formula>$F$69</formula>
    </cfRule>
    <cfRule type="cellIs" dxfId="3121" priority="65" stopIfTrue="1" operator="greaterThan">
      <formula>$F$67</formula>
    </cfRule>
    <cfRule type="cellIs" dxfId="3120" priority="64" stopIfTrue="1" operator="lessThanOrEqual">
      <formula>0</formula>
    </cfRule>
    <cfRule type="cellIs" dxfId="3119" priority="62" stopIfTrue="1" operator="lessThanOrEqual">
      <formula>0</formula>
    </cfRule>
    <cfRule type="cellIs" dxfId="3118" priority="61" stopIfTrue="1" operator="greaterThan">
      <formula>$F$67</formula>
    </cfRule>
    <cfRule type="cellIs" dxfId="3117" priority="66" stopIfTrue="1" operator="lessThanOrEqual">
      <formula>0</formula>
    </cfRule>
  </conditionalFormatting>
  <conditionalFormatting sqref="I59:I60">
    <cfRule type="cellIs" dxfId="3116" priority="106" stopIfTrue="1" operator="lessThanOrEqual">
      <formula>0</formula>
    </cfRule>
    <cfRule type="cellIs" dxfId="3115" priority="107" stopIfTrue="1" operator="greaterThan">
      <formula>#REF!</formula>
    </cfRule>
    <cfRule type="cellIs" dxfId="3114" priority="105" stopIfTrue="1" operator="greaterThan">
      <formula>#REF!</formula>
    </cfRule>
    <cfRule type="cellIs" dxfId="3113" priority="109" stopIfTrue="1" operator="greaterThan">
      <formula>#REF!</formula>
    </cfRule>
    <cfRule type="cellIs" dxfId="3112" priority="110" stopIfTrue="1" operator="lessThanOrEqual">
      <formula>0</formula>
    </cfRule>
    <cfRule type="cellIs" dxfId="3111" priority="108" stopIfTrue="1" operator="lessThanOrEqual">
      <formula>0</formula>
    </cfRule>
  </conditionalFormatting>
  <conditionalFormatting sqref="I61">
    <cfRule type="cellIs" dxfId="3110" priority="124" stopIfTrue="1" operator="lessThanOrEqual">
      <formula>0</formula>
    </cfRule>
    <cfRule type="cellIs" dxfId="3109" priority="122" stopIfTrue="1" operator="lessThanOrEqual">
      <formula>0</formula>
    </cfRule>
    <cfRule type="cellIs" dxfId="3108" priority="121" stopIfTrue="1" operator="greaterThan">
      <formula>$F$37</formula>
    </cfRule>
    <cfRule type="cellIs" dxfId="3107" priority="120" stopIfTrue="1" operator="lessThanOrEqual">
      <formula>0</formula>
    </cfRule>
    <cfRule type="cellIs" dxfId="3106" priority="123" stopIfTrue="1" operator="greaterThan">
      <formula>$F$35</formula>
    </cfRule>
    <cfRule type="cellIs" dxfId="3105" priority="119" stopIfTrue="1" operator="greaterThan">
      <formula>$F$35</formula>
    </cfRule>
  </conditionalFormatting>
  <conditionalFormatting sqref="I62:I63">
    <cfRule type="cellIs" dxfId="3104" priority="91" stopIfTrue="1" operator="greaterThan">
      <formula>#REF!</formula>
    </cfRule>
    <cfRule type="cellIs" dxfId="3103" priority="92" stopIfTrue="1" operator="lessThanOrEqual">
      <formula>0</formula>
    </cfRule>
    <cfRule type="cellIs" dxfId="3102" priority="93" stopIfTrue="1" operator="greaterThan">
      <formula>#REF!</formula>
    </cfRule>
    <cfRule type="cellIs" dxfId="3101" priority="94" stopIfTrue="1" operator="lessThanOrEqual">
      <formula>0</formula>
    </cfRule>
    <cfRule type="cellIs" dxfId="3100" priority="89" stopIfTrue="1" operator="greaterThan">
      <formula>#REF!</formula>
    </cfRule>
    <cfRule type="cellIs" dxfId="3099" priority="90" stopIfTrue="1" operator="lessThanOrEqual">
      <formula>0</formula>
    </cfRule>
  </conditionalFormatting>
  <conditionalFormatting sqref="I78:I86">
    <cfRule type="cellIs" dxfId="3098" priority="153" stopIfTrue="1" operator="greaterThan">
      <formula>4.5</formula>
    </cfRule>
    <cfRule type="cellIs" dxfId="3097" priority="154" stopIfTrue="1" operator="lessThanOrEqual">
      <formula>0</formula>
    </cfRule>
  </conditionalFormatting>
  <conditionalFormatting sqref="I10:J22">
    <cfRule type="cellIs" dxfId="3096" priority="16" operator="lessThan">
      <formula>97.9</formula>
    </cfRule>
  </conditionalFormatting>
  <conditionalFormatting sqref="J25">
    <cfRule type="cellIs" dxfId="3095" priority="56" operator="lessThan">
      <formula>97.95</formula>
    </cfRule>
  </conditionalFormatting>
  <conditionalFormatting sqref="J27">
    <cfRule type="cellIs" dxfId="3094" priority="131" stopIfTrue="1" operator="greaterThan">
      <formula>100</formula>
    </cfRule>
    <cfRule type="cellIs" dxfId="3093" priority="130" stopIfTrue="1" operator="lessThan">
      <formula>96.8</formula>
    </cfRule>
    <cfRule type="cellIs" dxfId="3092" priority="132" operator="lessThan">
      <formula>98</formula>
    </cfRule>
  </conditionalFormatting>
  <conditionalFormatting sqref="J27:J29">
    <cfRule type="cellIs" dxfId="3091" priority="129" operator="lessThan">
      <formula>97.4</formula>
    </cfRule>
  </conditionalFormatting>
  <conditionalFormatting sqref="J30:J31">
    <cfRule type="cellIs" dxfId="3090" priority="133" operator="lessThan">
      <formula>98</formula>
    </cfRule>
  </conditionalFormatting>
  <conditionalFormatting sqref="J32:J33">
    <cfRule type="cellIs" dxfId="3089" priority="134" stopIfTrue="1" operator="lessThan">
      <formula>96.8</formula>
    </cfRule>
    <cfRule type="cellIs" dxfId="3088" priority="135" stopIfTrue="1" operator="greaterThan">
      <formula>100</formula>
    </cfRule>
  </conditionalFormatting>
  <conditionalFormatting sqref="J32:J34">
    <cfRule type="cellIs" dxfId="3087" priority="136" operator="lessThan">
      <formula>98</formula>
    </cfRule>
  </conditionalFormatting>
  <conditionalFormatting sqref="J63">
    <cfRule type="cellIs" dxfId="3086" priority="84" stopIfTrue="1" operator="lessThanOrEqual">
      <formula>0</formula>
    </cfRule>
    <cfRule type="cellIs" dxfId="3085" priority="83" stopIfTrue="1" operator="greaterThan">
      <formula>#REF!</formula>
    </cfRule>
    <cfRule type="cellIs" dxfId="3084" priority="82" stopIfTrue="1" operator="lessThanOrEqual">
      <formula>0</formula>
    </cfRule>
    <cfRule type="cellIs" dxfId="3083" priority="81" stopIfTrue="1" operator="greaterThan">
      <formula>#REF!</formula>
    </cfRule>
    <cfRule type="cellIs" dxfId="3082" priority="80" stopIfTrue="1" operator="lessThanOrEqual">
      <formula>0</formula>
    </cfRule>
    <cfRule type="cellIs" dxfId="3081" priority="79" stopIfTrue="1" operator="greaterThan">
      <formula>#REF!</formula>
    </cfRule>
    <cfRule type="cellIs" dxfId="3080" priority="78" stopIfTrue="1" operator="lessThanOrEqual">
      <formula>0</formula>
    </cfRule>
    <cfRule type="cellIs" dxfId="3079" priority="77" stopIfTrue="1" operator="greaterThan">
      <formula>#REF!</formula>
    </cfRule>
  </conditionalFormatting>
  <conditionalFormatting sqref="J76">
    <cfRule type="cellIs" dxfId="3078" priority="40" stopIfTrue="1" operator="lessThanOrEqual">
      <formula>0</formula>
    </cfRule>
    <cfRule type="cellIs" dxfId="3077" priority="39" stopIfTrue="1" operator="greaterThan">
      <formula>$F76</formula>
    </cfRule>
  </conditionalFormatting>
  <conditionalFormatting sqref="K10:K22">
    <cfRule type="cellIs" dxfId="3076" priority="17" operator="greaterThan">
      <formula>6</formula>
    </cfRule>
    <cfRule type="cellIs" dxfId="3075" priority="18" operator="lessThan">
      <formula>4</formula>
    </cfRule>
    <cfRule type="cellIs" dxfId="3074" priority="19" operator="greaterThan">
      <formula>6.4</formula>
    </cfRule>
  </conditionalFormatting>
  <conditionalFormatting sqref="K54:K63">
    <cfRule type="cellIs" dxfId="3073" priority="71" stopIfTrue="1" operator="lessThan">
      <formula>100%</formula>
    </cfRule>
  </conditionalFormatting>
  <conditionalFormatting sqref="K78:K83">
    <cfRule type="cellIs" dxfId="3072" priority="159" stopIfTrue="1" operator="lessThan">
      <formula>100%</formula>
    </cfRule>
  </conditionalFormatting>
  <conditionalFormatting sqref="K85:K86">
    <cfRule type="cellIs" dxfId="3071" priority="166" stopIfTrue="1" operator="lessThan">
      <formula>100%</formula>
    </cfRule>
  </conditionalFormatting>
  <conditionalFormatting sqref="K67:M75">
    <cfRule type="cellIs" dxfId="3070" priority="24" stopIfTrue="1" operator="lessThan">
      <formula>100%</formula>
    </cfRule>
  </conditionalFormatting>
  <conditionalFormatting sqref="L10:L22">
    <cfRule type="cellIs" dxfId="3069" priority="22" operator="greaterThan">
      <formula>65</formula>
    </cfRule>
    <cfRule type="cellIs" dxfId="3068" priority="21" operator="between">
      <formula>61</formula>
      <formula>65</formula>
    </cfRule>
  </conditionalFormatting>
  <conditionalFormatting sqref="L25:M36">
    <cfRule type="cellIs" dxfId="3067" priority="73" operator="lessThan">
      <formula>97.95</formula>
    </cfRule>
  </conditionalFormatting>
  <conditionalFormatting sqref="L76:M76">
    <cfRule type="cellIs" dxfId="3066" priority="41" stopIfTrue="1" operator="lessThan">
      <formula>100%</formula>
    </cfRule>
  </conditionalFormatting>
  <conditionalFormatting sqref="L40:N40">
    <cfRule type="cellIs" dxfId="3065" priority="74" operator="notEqual">
      <formula>#REF!</formula>
    </cfRule>
  </conditionalFormatting>
  <conditionalFormatting sqref="L78:N86">
    <cfRule type="cellIs" dxfId="3064" priority="144" stopIfTrue="1" operator="lessThan">
      <formula>100%</formula>
    </cfRule>
  </conditionalFormatting>
  <conditionalFormatting sqref="M10:M21">
    <cfRule type="expression" dxfId="3063" priority="14">
      <formula>IF(+(IF(M10&lt;U10,0,IF(M10&gt;V10,0,1)))=0,1)</formula>
    </cfRule>
  </conditionalFormatting>
  <conditionalFormatting sqref="M22:N22">
    <cfRule type="expression" dxfId="3062" priority="172">
      <formula>IF(+(IF(M22&lt;#REF!,0,IF(M22&gt;#REF!,0,1)))=0,1)</formula>
    </cfRule>
  </conditionalFormatting>
  <conditionalFormatting sqref="N10:N21">
    <cfRule type="expression" dxfId="3061" priority="13">
      <formula>IF(+(IF(N10&lt;W10,0,IF(N10&gt;X10,0,1)))=0,1)</formula>
    </cfRule>
  </conditionalFormatting>
  <conditionalFormatting sqref="N67:N76">
    <cfRule type="cellIs" dxfId="3060" priority="55" stopIfTrue="1" operator="lessThan">
      <formula>100%</formula>
    </cfRule>
  </conditionalFormatting>
  <conditionalFormatting sqref="P6">
    <cfRule type="cellIs" dxfId="3059" priority="140" operator="greaterThanOrEqual">
      <formula>19</formula>
    </cfRule>
  </conditionalFormatting>
  <dataValidations count="1">
    <dataValidation type="list" allowBlank="1" showInputMessage="1" showErrorMessage="1" sqref="R8" xr:uid="{23F7C0FF-2528-4132-A6C2-8B18704FC9BC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DABA9-4BD8-48E2-BE07-EFB3EC6D09DB}">
  <sheetPr>
    <pageSetUpPr fitToPage="1"/>
  </sheetPr>
  <dimension ref="A1:BE78"/>
  <sheetViews>
    <sheetView topLeftCell="A6" zoomScale="85" zoomScaleNormal="85" workbookViewId="0">
      <selection activeCell="E10" sqref="E10:E18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4" t="s">
        <v>0</v>
      </c>
      <c r="T1" s="494"/>
      <c r="U1" s="494" t="s">
        <v>1</v>
      </c>
      <c r="V1" s="494"/>
      <c r="W1" s="494" t="s">
        <v>2</v>
      </c>
      <c r="X1" s="494"/>
      <c r="Y1" s="494" t="s">
        <v>124</v>
      </c>
      <c r="Z1" s="494"/>
    </row>
    <row r="2" spans="2:29" ht="15">
      <c r="B2" s="495" t="s">
        <v>3</v>
      </c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46086</v>
      </c>
      <c r="J4" s="398" t="s">
        <v>167</v>
      </c>
      <c r="K4" s="398"/>
      <c r="L4" s="11"/>
      <c r="M4" s="492" t="s">
        <v>8</v>
      </c>
      <c r="N4" s="493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8"/>
      <c r="D5" s="49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9" t="s">
        <v>17</v>
      </c>
      <c r="C8" s="501" t="s">
        <v>18</v>
      </c>
      <c r="D8" s="501" t="s">
        <v>19</v>
      </c>
      <c r="E8" s="356" t="s">
        <v>20</v>
      </c>
      <c r="F8" s="356" t="s">
        <v>21</v>
      </c>
      <c r="G8" s="501" t="s">
        <v>22</v>
      </c>
      <c r="H8" s="502" t="s">
        <v>144</v>
      </c>
      <c r="I8" s="501" t="s">
        <v>165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169</v>
      </c>
      <c r="O8" s="510" t="s">
        <v>155</v>
      </c>
      <c r="P8" s="496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.6" customHeight="1">
      <c r="B9" s="500"/>
      <c r="C9" s="497"/>
      <c r="D9" s="497"/>
      <c r="E9" s="357" t="s">
        <v>30</v>
      </c>
      <c r="F9" s="357" t="s">
        <v>31</v>
      </c>
      <c r="G9" s="497"/>
      <c r="H9" s="503"/>
      <c r="I9" s="497"/>
      <c r="J9" s="505"/>
      <c r="K9" s="507"/>
      <c r="L9" s="509"/>
      <c r="M9" s="20" t="s">
        <v>32</v>
      </c>
      <c r="N9" s="21" t="s">
        <v>41</v>
      </c>
      <c r="O9" s="511"/>
      <c r="P9" s="497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29" t="s">
        <v>6</v>
      </c>
      <c r="C10" s="366" t="str">
        <f>[4]Brewhouse!$A201</f>
        <v>CA158</v>
      </c>
      <c r="D10" s="279">
        <f>[4]Brewhouse!$AF201</f>
        <v>49.6</v>
      </c>
      <c r="E10" s="279">
        <f>[4]Brewhouse!$AI201</f>
        <v>49.9</v>
      </c>
      <c r="F10" s="278">
        <f>[4]Brewhouse!$V201</f>
        <v>58</v>
      </c>
      <c r="G10" s="279">
        <f>[4]Brewhouse!AG201</f>
        <v>11.9</v>
      </c>
      <c r="H10" s="396"/>
      <c r="I10" s="368">
        <f>[4]Brewhouse!$AU201</f>
        <v>99.130786137236072</v>
      </c>
      <c r="J10" s="368">
        <f>[4]Brewhouse!$AV201</f>
        <v>99.496860796406921</v>
      </c>
      <c r="K10" s="281">
        <f>[4]Brewhouse!$Q201</f>
        <v>11.713747645951035</v>
      </c>
      <c r="L10" s="276">
        <f>[4]Brewhouse!$P201</f>
        <v>60</v>
      </c>
      <c r="M10" s="397">
        <f>[4]Brewhouse!$U201-[4]Brewhouse!$T201</f>
        <v>0.10902777777777778</v>
      </c>
      <c r="N10" s="370">
        <f>[4]Brewhouse!$Z201</f>
        <v>0.26041666666666669</v>
      </c>
      <c r="O10" s="420" t="str">
        <f>[4]Brewhouse!$AX201</f>
        <v>R. Regis</v>
      </c>
      <c r="P10" s="418"/>
      <c r="R10" s="277" t="str">
        <f t="shared" ref="R10:R21" si="0">B10</f>
        <v>CARIB</v>
      </c>
      <c r="S10" s="472">
        <f t="shared" ref="S10:S21" si="1">VLOOKUP($B10,$R$3:$X$9,2,FALSE)</f>
        <v>11.6</v>
      </c>
      <c r="T10" s="472">
        <f t="shared" ref="T10:T21" si="2">VLOOKUP($B10,$R$3:$X$9,3,FALSE)</f>
        <v>12</v>
      </c>
      <c r="U10" s="297">
        <f t="shared" ref="U10:U21" si="3">VLOOKUP($B10,$R$3:$X$9,4,FALSE)</f>
        <v>0</v>
      </c>
      <c r="V10" s="297">
        <f t="shared" ref="V10:V21" si="4">VLOOKUP($B10,$R$3:$X$9,5,FALSE)</f>
        <v>0.118055555555556</v>
      </c>
      <c r="W10" s="297">
        <f t="shared" ref="W10:W21" si="5">VLOOKUP($B10,$R$3:$X$9,6,FALSE)</f>
        <v>0.22569444444444445</v>
      </c>
      <c r="X10" s="297">
        <f t="shared" ref="X10:X21" si="6">VLOOKUP($B10,$R$3:$X$9,7,FALSE)</f>
        <v>0.2638888888888889</v>
      </c>
      <c r="Y10" s="297">
        <f t="shared" ref="Y10:Y21" si="7">VLOOKUP($B10,$R$3:$Z$9,8,FALSE)</f>
        <v>0</v>
      </c>
      <c r="Z10" s="472">
        <f t="shared" ref="Z10:Z21" si="8">VLOOKUP($B10,$R$3:$Z$9,9,FALSE)</f>
        <v>60</v>
      </c>
    </row>
    <row r="11" spans="2:29" ht="16.5" customHeight="1">
      <c r="B11" s="29" t="s">
        <v>6</v>
      </c>
      <c r="C11" s="366" t="str">
        <f>[4]Brewhouse!$A202</f>
        <v>CA159</v>
      </c>
      <c r="D11" s="279">
        <f>[4]Brewhouse!$AF202</f>
        <v>47.9</v>
      </c>
      <c r="E11" s="279">
        <f>[4]Brewhouse!$AI202</f>
        <v>47</v>
      </c>
      <c r="F11" s="278">
        <f>[4]Brewhouse!$V202</f>
        <v>58</v>
      </c>
      <c r="G11" s="279">
        <f>[4]Brewhouse!AG202</f>
        <v>12</v>
      </c>
      <c r="H11" s="396"/>
      <c r="I11" s="368">
        <f>[4]Brewhouse!$AU202</f>
        <v>94.664735774609312</v>
      </c>
      <c r="J11" s="368">
        <f>[4]Brewhouse!$AV202</f>
        <v>95.014203393720891</v>
      </c>
      <c r="K11" s="281">
        <f>[4]Brewhouse!$Q202</f>
        <v>11.735849056603771</v>
      </c>
      <c r="L11" s="276">
        <f>[4]Brewhouse!$P202</f>
        <v>60</v>
      </c>
      <c r="M11" s="397">
        <f>[4]Brewhouse!$U202-[4]Brewhouse!$T202</f>
        <v>0.11041666666666666</v>
      </c>
      <c r="N11" s="370">
        <f>[4]Brewhouse!$Z202</f>
        <v>0.24999999999999997</v>
      </c>
      <c r="O11" s="420" t="str">
        <f>[4]Brewhouse!$AX202</f>
        <v>K. Benjamin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6.5" customHeight="1">
      <c r="B12" s="29" t="s">
        <v>6</v>
      </c>
      <c r="C12" s="366" t="str">
        <f>[4]Brewhouse!$A203</f>
        <v>CA160</v>
      </c>
      <c r="D12" s="279">
        <f>[4]Brewhouse!$AF203</f>
        <v>48.6</v>
      </c>
      <c r="E12" s="279">
        <f>[4]Brewhouse!$AI203</f>
        <v>48.7</v>
      </c>
      <c r="F12" s="278">
        <f>[4]Brewhouse!$V203</f>
        <v>56</v>
      </c>
      <c r="G12" s="279">
        <f>[4]Brewhouse!AG203</f>
        <v>12</v>
      </c>
      <c r="H12" s="396"/>
      <c r="I12" s="368">
        <f>[4]Brewhouse!$AU203</f>
        <v>98.211317122475975</v>
      </c>
      <c r="J12" s="368">
        <f>[4]Brewhouse!$AV203</f>
        <v>98.57384751341705</v>
      </c>
      <c r="K12" s="281">
        <f>[4]Brewhouse!$Q203</f>
        <v>12.074074074074066</v>
      </c>
      <c r="L12" s="276">
        <f>[4]Brewhouse!$P203</f>
        <v>60</v>
      </c>
      <c r="M12" s="397">
        <f>[4]Brewhouse!$U203-[4]Brewhouse!$T203</f>
        <v>0.10694444444444445</v>
      </c>
      <c r="N12" s="370">
        <f>[4]Brewhouse!$Z203</f>
        <v>0.25208333333333338</v>
      </c>
      <c r="O12" s="420" t="str">
        <f>[4]Brewhouse!$AX203</f>
        <v>K. Benjamin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6.5" customHeight="1">
      <c r="B13" s="29" t="s">
        <v>6</v>
      </c>
      <c r="C13" s="366" t="str">
        <f>[4]Brewhouse!$A204</f>
        <v>CA161</v>
      </c>
      <c r="D13" s="279">
        <f>[4]Brewhouse!$AF204</f>
        <v>48.6</v>
      </c>
      <c r="E13" s="279">
        <f>[4]Brewhouse!$AI204</f>
        <v>47.9</v>
      </c>
      <c r="F13" s="278">
        <f>[4]Brewhouse!$V204</f>
        <v>57</v>
      </c>
      <c r="G13" s="279">
        <f>[4]Brewhouse!AG204</f>
        <v>12</v>
      </c>
      <c r="H13" s="396"/>
      <c r="I13" s="368">
        <f>[4]Brewhouse!$AU204</f>
        <v>96.718815813314833</v>
      </c>
      <c r="J13" s="368">
        <f>[4]Brewhouse!$AV204</f>
        <v>97.075807359351259</v>
      </c>
      <c r="K13" s="281">
        <f>[4]Brewhouse!$Q204</f>
        <v>11.333333333333329</v>
      </c>
      <c r="L13" s="276">
        <f>[4]Brewhouse!$P204</f>
        <v>60</v>
      </c>
      <c r="M13" s="397">
        <f>[4]Brewhouse!$U204-[4]Brewhouse!$T204</f>
        <v>0.10625000000000007</v>
      </c>
      <c r="N13" s="370">
        <f>[4]Brewhouse!$Z204</f>
        <v>0.24652777777777785</v>
      </c>
      <c r="O13" s="420" t="str">
        <f>[4]Brewhouse!$AX204</f>
        <v>K. Benjamin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6.5" customHeight="1">
      <c r="B14" s="29" t="s">
        <v>6</v>
      </c>
      <c r="C14" s="366" t="str">
        <f>[4]Brewhouse!$A205</f>
        <v>CA162</v>
      </c>
      <c r="D14" s="279">
        <f>[4]Brewhouse!$AF205</f>
        <v>49.2</v>
      </c>
      <c r="E14" s="279">
        <f>[4]Brewhouse!$AI205</f>
        <v>49</v>
      </c>
      <c r="F14" s="278">
        <f>[4]Brewhouse!$V205</f>
        <v>61</v>
      </c>
      <c r="G14" s="279">
        <f>[4]Brewhouse!AG205</f>
        <v>12.1</v>
      </c>
      <c r="H14" s="396"/>
      <c r="I14" s="368">
        <f>[4]Brewhouse!$AU205</f>
        <v>99.681744479307142</v>
      </c>
      <c r="J14" s="368">
        <f>[4]Brewhouse!$AV205</f>
        <v>100.04970270300866</v>
      </c>
      <c r="K14" s="281">
        <f>[4]Brewhouse!$Q205</f>
        <v>10.962962962962965</v>
      </c>
      <c r="L14" s="276">
        <f>[4]Brewhouse!$P205</f>
        <v>59</v>
      </c>
      <c r="M14" s="397">
        <f>[4]Brewhouse!$U205-[4]Brewhouse!$T205</f>
        <v>0.10624999999999996</v>
      </c>
      <c r="N14" s="370">
        <f>[4]Brewhouse!$Z205</f>
        <v>0.24166666666666659</v>
      </c>
      <c r="O14" s="420" t="str">
        <f>[4]Brewhouse!$AX205</f>
        <v>K. Benjamin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6.5" customHeight="1">
      <c r="B15" s="29" t="s">
        <v>6</v>
      </c>
      <c r="C15" s="366" t="str">
        <f>[4]Brewhouse!$A206</f>
        <v>CA163</v>
      </c>
      <c r="D15" s="279">
        <f>[4]Brewhouse!$AF206</f>
        <v>49</v>
      </c>
      <c r="E15" s="279">
        <f>[4]Brewhouse!$AI206</f>
        <v>49.7</v>
      </c>
      <c r="F15" s="278">
        <f>[4]Brewhouse!$V206</f>
        <v>57</v>
      </c>
      <c r="G15" s="279">
        <f>[4]Brewhouse!AG206</f>
        <v>11.6</v>
      </c>
      <c r="H15" s="396"/>
      <c r="I15" s="368">
        <f>[4]Brewhouse!$AU206</f>
        <v>96.837780355457184</v>
      </c>
      <c r="J15" s="368">
        <f>[4]Brewhouse!$AV206</f>
        <v>97.195211002566822</v>
      </c>
      <c r="K15" s="281">
        <f>[4]Brewhouse!$Q206</f>
        <v>14.296296296296292</v>
      </c>
      <c r="L15" s="276">
        <f>[4]Brewhouse!$P206</f>
        <v>62</v>
      </c>
      <c r="M15" s="397">
        <f>[4]Brewhouse!$U206-[4]Brewhouse!$T206</f>
        <v>0.11041666666666672</v>
      </c>
      <c r="N15" s="370">
        <f>[4]Brewhouse!$Z206</f>
        <v>0.25138888888888888</v>
      </c>
      <c r="O15" s="420" t="str">
        <f>[4]Brewhouse!$AX206</f>
        <v>K. Benjamin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6.5" customHeight="1">
      <c r="B16" s="29" t="s">
        <v>6</v>
      </c>
      <c r="C16" s="366" t="str">
        <f>[4]Brewhouse!$A207</f>
        <v>CA164</v>
      </c>
      <c r="D16" s="279">
        <f>[4]Brewhouse!$AF207</f>
        <v>50.9</v>
      </c>
      <c r="E16" s="279">
        <f>[4]Brewhouse!$AI207</f>
        <v>51.4</v>
      </c>
      <c r="F16" s="278">
        <f>[4]Brewhouse!$V207</f>
        <v>64</v>
      </c>
      <c r="G16" s="279">
        <f>[4]Brewhouse!AG207</f>
        <v>11.7</v>
      </c>
      <c r="H16" s="396"/>
      <c r="I16" s="368">
        <f>[4]Brewhouse!$AU207</f>
        <v>101.84066195473321</v>
      </c>
      <c r="J16" s="368">
        <f>[4]Brewhouse!$AV207</f>
        <v>102.21658945549265</v>
      </c>
      <c r="K16" s="281">
        <f>[4]Brewhouse!$Q207</f>
        <v>10.222222222222214</v>
      </c>
      <c r="L16" s="276">
        <f>[4]Brewhouse!$P207</f>
        <v>60</v>
      </c>
      <c r="M16" s="397">
        <f>[4]Brewhouse!$U207-[4]Brewhouse!$T207</f>
        <v>0.11250000000000004</v>
      </c>
      <c r="N16" s="370">
        <f>[4]Brewhouse!$Z207</f>
        <v>0.24861111111111112</v>
      </c>
      <c r="O16" s="420" t="str">
        <f>[4]Brewhouse!$AX207</f>
        <v>K. Benjamin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6.5" customHeight="1">
      <c r="B17" s="29" t="s">
        <v>6</v>
      </c>
      <c r="C17" s="366" t="str">
        <f>[4]Brewhouse!$A208</f>
        <v>CA165</v>
      </c>
      <c r="D17" s="279">
        <f>[4]Brewhouse!$AF208</f>
        <v>49.6</v>
      </c>
      <c r="E17" s="279">
        <f>[4]Brewhouse!$AI208</f>
        <v>49.2</v>
      </c>
      <c r="F17" s="278">
        <f>[4]Brewhouse!$V208</f>
        <v>61</v>
      </c>
      <c r="G17" s="279">
        <f>[4]Brewhouse!AG208</f>
        <v>12</v>
      </c>
      <c r="H17" s="396"/>
      <c r="I17" s="368">
        <f>[4]Brewhouse!$AU208</f>
        <v>98.972363799020584</v>
      </c>
      <c r="J17" s="368">
        <f>[4]Brewhouse!$AV208</f>
        <v>99.337763674477713</v>
      </c>
      <c r="K17" s="281">
        <f>[4]Brewhouse!$Q208</f>
        <v>10.962962962962965</v>
      </c>
      <c r="L17" s="276">
        <f>[4]Brewhouse!$P208</f>
        <v>60</v>
      </c>
      <c r="M17" s="397">
        <f>[4]Brewhouse!$U208-[4]Brewhouse!$T208</f>
        <v>0.10486111111111107</v>
      </c>
      <c r="N17" s="370">
        <f>[4]Brewhouse!$Z208</f>
        <v>0.2402777777777777</v>
      </c>
      <c r="O17" s="420" t="str">
        <f>[4]Brewhouse!$AX208</f>
        <v>K. Benjamin</v>
      </c>
      <c r="P17" s="418"/>
      <c r="R17" s="277" t="str">
        <f t="shared" si="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7" ht="16.5" customHeight="1">
      <c r="B18" s="29" t="s">
        <v>6</v>
      </c>
      <c r="C18" s="366" t="str">
        <f>[4]Brewhouse!$A209</f>
        <v>CA166</v>
      </c>
      <c r="D18" s="279">
        <f>[4]Brewhouse!$AF209</f>
        <v>49.3</v>
      </c>
      <c r="E18" s="279">
        <f>[4]Brewhouse!$AI209</f>
        <v>49</v>
      </c>
      <c r="F18" s="278">
        <f>[4]Brewhouse!$V209</f>
        <v>60</v>
      </c>
      <c r="G18" s="279">
        <f>[4]Brewhouse!AG209</f>
        <v>12</v>
      </c>
      <c r="H18" s="396"/>
      <c r="I18" s="368">
        <f>[4]Brewhouse!$AU209</f>
        <v>97.717648278528927</v>
      </c>
      <c r="J18" s="368">
        <f>[4]Brewhouse!$AV209</f>
        <v>98.078621572225174</v>
      </c>
      <c r="K18" s="281">
        <f>[4]Brewhouse!$Q209</f>
        <v>10.203327171903888</v>
      </c>
      <c r="L18" s="276">
        <f>[4]Brewhouse!$P209</f>
        <v>60</v>
      </c>
      <c r="M18" s="397">
        <f>[4]Brewhouse!$U209-[4]Brewhouse!$T209</f>
        <v>0.10347222222222219</v>
      </c>
      <c r="N18" s="370">
        <f>[4]Brewhouse!$Z209</f>
        <v>0.25833333333333319</v>
      </c>
      <c r="O18" s="420" t="str">
        <f>[4]Brewhouse!$AX209</f>
        <v>R. Regis</v>
      </c>
      <c r="P18" s="418"/>
      <c r="R18" s="277" t="str">
        <f t="shared" si="0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1:27" ht="16.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6.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6.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6.5" hidden="1" customHeight="1">
      <c r="B22" s="22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418"/>
      <c r="R22" s="277">
        <f t="shared" ref="R22:R38" si="9">B22</f>
        <v>0</v>
      </c>
      <c r="S22" s="472" t="e">
        <f t="shared" ref="S22:S38" si="10">VLOOKUP($B22,$R$3:$X$9,2,FALSE)</f>
        <v>#N/A</v>
      </c>
      <c r="T22" s="472" t="e">
        <f t="shared" ref="T22:T38" si="11">VLOOKUP($B22,$R$3:$X$9,3,FALSE)</f>
        <v>#N/A</v>
      </c>
      <c r="U22" s="297" t="e">
        <f t="shared" ref="U22:U38" si="12">VLOOKUP($B22,$R$3:$X$9,4,FALSE)</f>
        <v>#N/A</v>
      </c>
      <c r="V22" s="297" t="e">
        <f t="shared" ref="V22:V38" si="13">VLOOKUP($B22,$R$3:$X$9,5,FALSE)</f>
        <v>#N/A</v>
      </c>
      <c r="W22" s="297" t="e">
        <f t="shared" ref="W22:W38" si="14">VLOOKUP($B22,$R$3:$X$9,6,FALSE)</f>
        <v>#N/A</v>
      </c>
      <c r="X22" s="297" t="e">
        <f t="shared" ref="X22:X38" si="15">VLOOKUP($B22,$R$3:$X$9,7,FALSE)</f>
        <v>#N/A</v>
      </c>
      <c r="Y22" s="297" t="e">
        <f t="shared" ref="Y22:Y38" si="16">VLOOKUP($B22,$R$3:$Z$9,8,FALSE)</f>
        <v>#N/A</v>
      </c>
      <c r="Z22" s="472" t="e">
        <f t="shared" ref="Z22:Z38" si="17">VLOOKUP($B22,$R$3:$Z$9,9,FALSE)</f>
        <v>#N/A</v>
      </c>
    </row>
    <row r="23" spans="1:27" ht="18" hidden="1" customHeight="1">
      <c r="B23" s="22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371"/>
      <c r="P23" s="418"/>
      <c r="R23" s="277">
        <f t="shared" si="9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7" ht="16.5" hidden="1" customHeight="1">
      <c r="B24" s="22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8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7" ht="15.75" customHeight="1" thickBot="1">
      <c r="B25" s="358"/>
      <c r="C25" s="358"/>
      <c r="D25" s="358"/>
      <c r="E25" s="358"/>
      <c r="F25" s="294"/>
      <c r="G25" s="294"/>
      <c r="H25" s="348"/>
      <c r="I25" s="512"/>
      <c r="J25" s="512"/>
      <c r="K25" s="512"/>
      <c r="L25" s="512"/>
      <c r="M25" s="512"/>
      <c r="N25" s="512"/>
      <c r="O25" s="1"/>
      <c r="P25" s="12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7" ht="15.75" customHeight="1" thickBot="1">
      <c r="B26" s="388" t="s">
        <v>162</v>
      </c>
      <c r="C26" s="388"/>
      <c r="D26" s="513" t="s">
        <v>35</v>
      </c>
      <c r="E26" s="514"/>
      <c r="F26" s="294"/>
      <c r="G26" s="294"/>
      <c r="H26" s="348"/>
      <c r="I26" s="24" t="s">
        <v>17</v>
      </c>
      <c r="J26" s="25"/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9"/>
        <v xml:space="preserve">BRAND 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7" ht="15" customHeight="1">
      <c r="A27" s="28"/>
      <c r="B27" s="525"/>
      <c r="C27" s="362"/>
      <c r="D27" s="518"/>
      <c r="E27" s="519"/>
      <c r="F27" s="294"/>
      <c r="G27" s="294"/>
      <c r="H27" s="348"/>
      <c r="I27" s="29" t="s">
        <v>6</v>
      </c>
      <c r="J27" s="323">
        <f>AVERAGE(I10:I18)</f>
        <v>98.197317079409274</v>
      </c>
      <c r="K27" s="284">
        <f>COUNTA([4]Brewhouse!$A$198:$A$209)</f>
        <v>12</v>
      </c>
      <c r="L27" s="305">
        <f>AVERAGE([4]Brewhouse!$AU$198:$AU$209)</f>
        <v>98.371842836174764</v>
      </c>
      <c r="M27" s="305">
        <f>AVERAGE([4]Brewhouse!$AU$42:$AU$123,[4]Brewhouse!$AU$125:$AU$188,[4]Brewhouse!$AU$198:$AU$209)</f>
        <v>97.655247542931434</v>
      </c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7" ht="15" customHeight="1">
      <c r="A28" s="28"/>
      <c r="B28" s="526"/>
      <c r="C28" s="362"/>
      <c r="D28" s="520"/>
      <c r="E28" s="521"/>
      <c r="F28" s="294"/>
      <c r="G28" s="294"/>
      <c r="H28" s="348"/>
      <c r="I28" s="33" t="s">
        <v>9</v>
      </c>
      <c r="J28" s="280"/>
      <c r="K28" s="284"/>
      <c r="L28" s="302"/>
      <c r="M28" s="302">
        <f>AVERAGE([3]Brewhouse!$AS$52:$AS$81,[3]Brewhouse!$AS$83:$AS$124)</f>
        <v>98.31661114924232</v>
      </c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7" ht="14.65" customHeight="1">
      <c r="A29" s="28"/>
      <c r="B29" s="526"/>
      <c r="C29" s="362"/>
      <c r="D29" s="522"/>
      <c r="E29" s="523"/>
      <c r="F29" s="294"/>
      <c r="G29" s="294"/>
      <c r="H29" s="348"/>
      <c r="I29" s="34" t="s">
        <v>12</v>
      </c>
      <c r="J29" s="280"/>
      <c r="K29" s="284">
        <f>COUNTA([5]Brewhouse!$A$34:$A$41)</f>
        <v>8</v>
      </c>
      <c r="L29" s="302">
        <f>AVERAGE([5]Brewhouse!$AU$34:$AU$41)</f>
        <v>94.762610859726223</v>
      </c>
      <c r="M29" s="302">
        <f>AVERAGE([5]Brewhouse!$AU$16:$AU$23,[5]Brewhouse!$AU$25:$AU$32,[5]Brewhouse!$AU$34:$AU$41)</f>
        <v>97.131453825415363</v>
      </c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7" ht="14.65" customHeight="1">
      <c r="A30" s="28"/>
      <c r="B30" s="526"/>
      <c r="C30" s="362"/>
      <c r="D30" s="524"/>
      <c r="E30" s="521"/>
      <c r="F30" s="294"/>
      <c r="G30" s="294"/>
      <c r="H30" s="348"/>
      <c r="I30" s="22" t="s">
        <v>33</v>
      </c>
      <c r="J30" s="280"/>
      <c r="K30" s="284">
        <f>COUNTA([6]Brewhouse!$A$38:$A$44)</f>
        <v>7</v>
      </c>
      <c r="L30" s="302">
        <f>AVERAGE([6]Brewhouse!$AV$38:$AV$44)</f>
        <v>96.929916494140343</v>
      </c>
      <c r="M30" s="302">
        <f>AVERAGE([6]Brewhouse!$AV$23:$AV$34,[6]Brewhouse!$AV$36,[6]Brewhouse!$AV$38:$AV$44)</f>
        <v>97.74055230745536</v>
      </c>
      <c r="N30" s="30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7" ht="14.65" customHeight="1">
      <c r="A31" s="28"/>
      <c r="B31" s="526"/>
      <c r="C31" s="362"/>
      <c r="D31" s="522"/>
      <c r="E31" s="523"/>
      <c r="F31" s="417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7" ht="14.65" customHeight="1">
      <c r="A32" s="28"/>
      <c r="B32" s="526"/>
      <c r="C32" s="362"/>
      <c r="D32" s="524"/>
      <c r="E32" s="521"/>
      <c r="F32" s="417"/>
      <c r="G32" s="294"/>
      <c r="H32" s="348"/>
      <c r="I32" s="36" t="s">
        <v>15</v>
      </c>
      <c r="J32" s="323"/>
      <c r="K32" s="284"/>
      <c r="L32" s="302"/>
      <c r="M32" s="302">
        <f>AVERAGE([7]Brewhouse!$AT$4:$AT$11)</f>
        <v>92.826224508052405</v>
      </c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  <c r="AA32" s="472"/>
    </row>
    <row r="33" spans="1:56" ht="14.65" customHeight="1">
      <c r="A33" s="28"/>
      <c r="B33" s="526"/>
      <c r="C33" s="362"/>
      <c r="D33" s="522"/>
      <c r="E33" s="523"/>
      <c r="F33" s="417"/>
      <c r="G33" s="294"/>
      <c r="H33" s="348"/>
      <c r="I33" s="37" t="s">
        <v>16</v>
      </c>
      <c r="J33" s="323"/>
      <c r="K33" s="284"/>
      <c r="L33" s="302"/>
      <c r="M33" s="302">
        <f>AVERAGE([8]Brewhouse!$AY$5:$AY$14,[8]Brewhouse!$AY$16:$AY$23)</f>
        <v>97.293615171264676</v>
      </c>
      <c r="N33" s="30">
        <v>98</v>
      </c>
      <c r="O33" s="11"/>
      <c r="P33" s="31" t="s">
        <v>41</v>
      </c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  <c r="AA33" s="472"/>
    </row>
    <row r="34" spans="1:56" ht="14.65" customHeight="1">
      <c r="A34" s="28"/>
      <c r="B34" s="526"/>
      <c r="C34" s="362"/>
      <c r="D34" s="524"/>
      <c r="E34" s="521"/>
      <c r="F34" s="294"/>
      <c r="G34" s="294"/>
      <c r="H34" s="348"/>
      <c r="I34" s="411" t="s">
        <v>158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  <c r="AA34" s="472"/>
    </row>
    <row r="35" spans="1:56" ht="14.65" customHeight="1">
      <c r="A35" s="28"/>
      <c r="B35" s="526"/>
      <c r="C35" s="349"/>
      <c r="D35" s="522"/>
      <c r="E35" s="523"/>
      <c r="F35" s="294"/>
      <c r="G35" s="294"/>
      <c r="H35" s="348"/>
      <c r="I35" s="410" t="s">
        <v>157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  <c r="AA35" s="472"/>
    </row>
    <row r="36" spans="1:56" ht="15" customHeight="1" thickBot="1">
      <c r="A36" s="28"/>
      <c r="B36" s="526"/>
      <c r="C36" s="349"/>
      <c r="D36" s="524"/>
      <c r="E36" s="521"/>
      <c r="F36" s="294"/>
      <c r="G36" s="294"/>
      <c r="H36" s="348"/>
      <c r="I36" s="406" t="s">
        <v>156</v>
      </c>
      <c r="J36" s="327"/>
      <c r="K36" s="407"/>
      <c r="L36" s="408"/>
      <c r="M36" s="408"/>
      <c r="N36" s="409">
        <v>98</v>
      </c>
      <c r="O36" s="11"/>
      <c r="P36" s="31"/>
      <c r="R36" s="277">
        <f t="shared" si="9"/>
        <v>0</v>
      </c>
      <c r="S36" s="472" t="e">
        <f t="shared" si="10"/>
        <v>#N/A</v>
      </c>
      <c r="T36" s="472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2" t="e">
        <f t="shared" si="17"/>
        <v>#N/A</v>
      </c>
      <c r="AA36" s="472"/>
    </row>
    <row r="37" spans="1:56" ht="15" customHeight="1" thickBot="1">
      <c r="A37" s="28"/>
      <c r="B37" s="526"/>
      <c r="C37" s="349"/>
      <c r="D37" s="518"/>
      <c r="E37" s="519"/>
      <c r="F37" s="294"/>
      <c r="G37" s="294"/>
      <c r="H37" s="348"/>
      <c r="I37" s="1"/>
      <c r="J37" s="39"/>
      <c r="K37" s="404">
        <f>SUM(K27:K36)</f>
        <v>27</v>
      </c>
      <c r="L37" s="405">
        <f>((L27*K27)+(L28*K28)+(L29*K29)+(L30*K30)+(L31*K31)+(K34*L34)+(L32*K32)+(L33*K33)+(L36*K36))/(K37)</f>
        <v>96.928608013736635</v>
      </c>
      <c r="M37" s="405">
        <f>AVERAGE('[9]Jan30th-31st'!$L$42,L37)</f>
        <v>97.378324874789058</v>
      </c>
      <c r="N37" s="40">
        <v>98</v>
      </c>
      <c r="O37" s="11"/>
      <c r="P37" s="31"/>
      <c r="R37" s="277">
        <f t="shared" si="9"/>
        <v>0</v>
      </c>
      <c r="S37" s="472" t="e">
        <f t="shared" si="10"/>
        <v>#N/A</v>
      </c>
      <c r="T37" s="472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472" t="e">
        <f t="shared" si="17"/>
        <v>#N/A</v>
      </c>
      <c r="AA37" s="472"/>
    </row>
    <row r="38" spans="1:56" ht="15.75" thickBot="1">
      <c r="B38" s="583"/>
      <c r="C38" s="350"/>
      <c r="D38" s="520"/>
      <c r="E38" s="521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>
        <f t="shared" si="9"/>
        <v>0</v>
      </c>
      <c r="S38" s="472" t="e">
        <f t="shared" si="10"/>
        <v>#N/A</v>
      </c>
      <c r="T38" s="472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472" t="e">
        <f t="shared" si="17"/>
        <v>#N/A</v>
      </c>
      <c r="AA38" s="472"/>
    </row>
    <row r="39" spans="1:56" ht="15.75" thickBot="1">
      <c r="B39" s="525"/>
      <c r="C39" s="362"/>
      <c r="D39" s="528"/>
      <c r="E39" s="529"/>
      <c r="F39" s="294"/>
      <c r="G39" s="42"/>
      <c r="H39" s="41"/>
      <c r="I39" s="42"/>
      <c r="J39" s="530" t="s">
        <v>129</v>
      </c>
      <c r="K39" s="530"/>
      <c r="L39" s="294"/>
      <c r="M39" s="294"/>
      <c r="N39" s="294"/>
      <c r="O39" s="294"/>
      <c r="P39" s="12"/>
    </row>
    <row r="40" spans="1:56" ht="15.75" thickBot="1">
      <c r="B40" s="526"/>
      <c r="C40" s="362"/>
      <c r="D40" s="524"/>
      <c r="E40" s="521"/>
      <c r="F40" s="294"/>
      <c r="G40" s="42"/>
      <c r="H40" s="41"/>
      <c r="I40" s="41"/>
      <c r="J40" s="292" t="s">
        <v>17</v>
      </c>
      <c r="K40" s="293" t="s">
        <v>172</v>
      </c>
      <c r="L40" s="531" t="s">
        <v>136</v>
      </c>
      <c r="M40" s="531"/>
      <c r="N40" s="532"/>
      <c r="O40" s="294"/>
      <c r="P40" s="12"/>
    </row>
    <row r="41" spans="1:56" ht="15" customHeight="1" thickBot="1">
      <c r="B41" s="526"/>
      <c r="C41" s="349"/>
      <c r="D41" s="522"/>
      <c r="E41" s="523"/>
      <c r="F41" s="294"/>
      <c r="G41" s="42"/>
      <c r="H41" s="41"/>
      <c r="I41" s="41"/>
      <c r="J41" s="287" t="s">
        <v>6</v>
      </c>
      <c r="K41" s="324">
        <v>9</v>
      </c>
      <c r="L41" s="473" t="s">
        <v>37</v>
      </c>
      <c r="M41" s="474" t="s">
        <v>38</v>
      </c>
      <c r="N41" s="474" t="s">
        <v>84</v>
      </c>
      <c r="O41" s="294"/>
      <c r="P41" s="12"/>
    </row>
    <row r="42" spans="1:56" ht="15.75" customHeight="1" thickBot="1">
      <c r="B42" s="526"/>
      <c r="C42" s="349"/>
      <c r="D42" s="524"/>
      <c r="E42" s="521"/>
      <c r="F42" s="294"/>
      <c r="G42" s="42"/>
      <c r="H42" s="41"/>
      <c r="I42" s="41"/>
      <c r="J42" s="345" t="s">
        <v>9</v>
      </c>
      <c r="K42" s="324"/>
      <c r="L42" s="344">
        <f>AVERAGE(K51,'Mar 2nd'!K49,'Mar 1st'!K55,'Mar 3rd'!K49)</f>
        <v>6.75</v>
      </c>
      <c r="M42" s="325">
        <f>AVERAGE('[9]Jan30th-31st'!$L$47,L42,'[10]Feb 26th '!$L$39)</f>
        <v>6.3123188405797102</v>
      </c>
      <c r="N42" s="416">
        <v>9.1999999999999993</v>
      </c>
      <c r="O42" s="294"/>
      <c r="P42" s="12"/>
    </row>
    <row r="43" spans="1:56" ht="15" customHeight="1">
      <c r="B43" s="526"/>
      <c r="C43" s="349"/>
      <c r="D43" s="522"/>
      <c r="E43" s="523"/>
      <c r="F43" s="294"/>
      <c r="G43" s="42"/>
      <c r="H43" s="41"/>
      <c r="I43" s="41"/>
      <c r="J43" s="288" t="s">
        <v>40</v>
      </c>
      <c r="K43" s="324"/>
      <c r="L43" s="294"/>
      <c r="M43" s="294"/>
      <c r="N43" s="294"/>
      <c r="O43" s="294"/>
      <c r="P43" s="12"/>
    </row>
    <row r="44" spans="1:56" ht="15" customHeight="1">
      <c r="B44" s="526"/>
      <c r="C44" s="349"/>
      <c r="D44" s="524"/>
      <c r="E44" s="521"/>
      <c r="F44" s="294"/>
      <c r="G44" s="42"/>
      <c r="H44" s="41"/>
      <c r="I44" s="41"/>
      <c r="J44" s="289" t="s">
        <v>33</v>
      </c>
      <c r="K44" s="324"/>
      <c r="L44" s="294"/>
      <c r="M44" s="294"/>
      <c r="N44" s="294"/>
      <c r="O44" s="294"/>
      <c r="P44" s="12"/>
    </row>
    <row r="45" spans="1:56" ht="15">
      <c r="B45" s="526"/>
      <c r="C45" s="349"/>
      <c r="D45" s="522"/>
      <c r="E45" s="523"/>
      <c r="F45" s="294"/>
      <c r="G45" s="42"/>
      <c r="H45" s="41"/>
      <c r="I45" s="41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6"/>
      <c r="C46" s="349"/>
      <c r="D46" s="524"/>
      <c r="E46" s="521"/>
      <c r="F46" s="294"/>
      <c r="G46" s="42"/>
      <c r="H46" s="41"/>
      <c r="I46" s="41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26"/>
      <c r="C47" s="349"/>
      <c r="D47" s="522"/>
      <c r="E47" s="523"/>
      <c r="F47" s="294"/>
      <c r="G47" s="42"/>
      <c r="H47" s="41"/>
      <c r="I47" s="41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527"/>
      <c r="C48" s="350"/>
      <c r="D48" s="533"/>
      <c r="E48" s="534"/>
      <c r="F48" s="294" t="s">
        <v>166</v>
      </c>
      <c r="G48" s="42"/>
      <c r="H48" s="41"/>
      <c r="I48" s="41"/>
      <c r="J48" s="291" t="s">
        <v>148</v>
      </c>
      <c r="K48" s="324"/>
      <c r="L48" s="294"/>
      <c r="M48" s="294"/>
      <c r="N48" s="294" t="s">
        <v>41</v>
      </c>
      <c r="O48" s="294"/>
      <c r="P48" s="12"/>
      <c r="BC48" s="44"/>
      <c r="BD48" s="44"/>
    </row>
    <row r="49" spans="1:57" ht="17.649999999999999" customHeight="1" thickBot="1">
      <c r="B49" s="312" t="s">
        <v>139</v>
      </c>
      <c r="C49" s="313"/>
      <c r="D49" s="535"/>
      <c r="E49" s="536"/>
      <c r="F49" s="294"/>
      <c r="H49" s="41"/>
      <c r="I49" s="41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1:57" ht="17.649999999999999" customHeight="1">
      <c r="B50" s="363"/>
      <c r="C50" s="364"/>
      <c r="D50" s="365"/>
      <c r="E50" s="365"/>
      <c r="F50" s="294"/>
      <c r="G50" s="42"/>
      <c r="H50" s="41"/>
      <c r="I50" s="41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1:57" ht="15.6" customHeight="1">
      <c r="B51" s="45"/>
      <c r="C51" s="11"/>
      <c r="D51" s="11"/>
      <c r="E51" s="46"/>
      <c r="F51" s="294"/>
      <c r="G51" s="42"/>
      <c r="H51" s="41"/>
      <c r="I51" s="41"/>
      <c r="J51" s="346" t="s">
        <v>130</v>
      </c>
      <c r="K51" s="324">
        <f>SUM(K41:K50)</f>
        <v>9</v>
      </c>
      <c r="L51" s="294"/>
      <c r="M51" s="294"/>
      <c r="N51" s="294"/>
      <c r="O51" s="294"/>
      <c r="P51" s="12"/>
    </row>
    <row r="52" spans="1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L52" s="294"/>
      <c r="N52" s="315"/>
      <c r="P52" s="334"/>
    </row>
    <row r="53" spans="1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1:57" ht="15" customHeight="1" thickBot="1">
      <c r="B54" s="537" t="s">
        <v>17</v>
      </c>
      <c r="C54" s="537" t="s">
        <v>44</v>
      </c>
      <c r="D54" s="540" t="s">
        <v>45</v>
      </c>
      <c r="E54" s="501" t="s">
        <v>46</v>
      </c>
      <c r="F54" s="510" t="s">
        <v>47</v>
      </c>
      <c r="G54" s="549" t="s">
        <v>48</v>
      </c>
      <c r="H54" s="537" t="s">
        <v>49</v>
      </c>
      <c r="I54" s="537" t="s">
        <v>50</v>
      </c>
      <c r="J54" s="543" t="s">
        <v>28</v>
      </c>
      <c r="K54" s="499" t="s">
        <v>51</v>
      </c>
      <c r="L54" s="552" t="s">
        <v>52</v>
      </c>
      <c r="M54" s="543" t="s">
        <v>53</v>
      </c>
      <c r="N54" s="13"/>
      <c r="O54" s="13"/>
      <c r="P54" s="50"/>
    </row>
    <row r="55" spans="1:57" ht="28.5" customHeight="1" thickTop="1" thickBot="1">
      <c r="B55" s="538"/>
      <c r="C55" s="539"/>
      <c r="D55" s="541"/>
      <c r="E55" s="542"/>
      <c r="F55" s="554"/>
      <c r="G55" s="550"/>
      <c r="H55" s="538"/>
      <c r="I55" s="538"/>
      <c r="J55" s="544"/>
      <c r="K55" s="551"/>
      <c r="L55" s="553"/>
      <c r="M55" s="544"/>
      <c r="N55" s="13"/>
      <c r="O55" s="13"/>
      <c r="P55" s="50"/>
      <c r="Q55" s="355"/>
      <c r="AB55" s="475">
        <v>43474</v>
      </c>
      <c r="AC55" s="475">
        <v>43475</v>
      </c>
      <c r="AD55" s="475">
        <v>43476</v>
      </c>
      <c r="AE55" s="475">
        <v>43477</v>
      </c>
      <c r="AF55" s="475">
        <v>43478</v>
      </c>
      <c r="AG55" s="475">
        <v>43479</v>
      </c>
      <c r="AH55" s="475">
        <v>43480</v>
      </c>
      <c r="AI55" s="475">
        <v>43481</v>
      </c>
      <c r="AJ55" s="475">
        <v>43482</v>
      </c>
      <c r="AK55" s="475">
        <v>43483</v>
      </c>
      <c r="AL55" s="475">
        <v>43484</v>
      </c>
      <c r="AM55" s="475">
        <v>43485</v>
      </c>
      <c r="AN55" s="475">
        <v>43486</v>
      </c>
      <c r="AO55" s="475">
        <v>43487</v>
      </c>
      <c r="AP55" s="475">
        <v>43488</v>
      </c>
      <c r="AQ55" s="475">
        <v>43489</v>
      </c>
      <c r="AR55" s="475">
        <v>43490</v>
      </c>
      <c r="AS55" s="475">
        <v>43491</v>
      </c>
      <c r="AT55" s="475">
        <v>43492</v>
      </c>
      <c r="AU55" s="475">
        <v>43493</v>
      </c>
      <c r="AV55" s="475">
        <v>43494</v>
      </c>
      <c r="AW55" s="475">
        <v>43495</v>
      </c>
      <c r="AX55" s="475">
        <v>43496</v>
      </c>
    </row>
    <row r="56" spans="1:57" s="54" customFormat="1" ht="36.75" customHeight="1" thickBot="1">
      <c r="B56" s="480" t="str">
        <f>J41</f>
        <v>CARIB</v>
      </c>
      <c r="C56" s="479">
        <v>46085</v>
      </c>
      <c r="D56" s="442">
        <f>[11]March_2026!$G$3</f>
        <v>314.39999999999998</v>
      </c>
      <c r="E56" s="443"/>
      <c r="F56" s="444"/>
      <c r="G56" s="445">
        <f>[11]March_2026!$G$7</f>
        <v>286.8</v>
      </c>
      <c r="H56" s="458"/>
      <c r="I56" s="458"/>
      <c r="J56" s="448" t="s">
        <v>176</v>
      </c>
      <c r="K56" s="449">
        <f>[13]March_2026!$G$18</f>
        <v>0.33543859649122809</v>
      </c>
      <c r="L56" s="457">
        <f>(((D56+E56)-G56)/(D56+E56))*100</f>
        <v>8.7786259541984624</v>
      </c>
      <c r="M56" s="455" t="s">
        <v>173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[14]January_2019!L5</f>
        <v>0</v>
      </c>
      <c r="AC56" s="57">
        <f>[14]January_2019!M5</f>
        <v>0</v>
      </c>
      <c r="AD56" s="57">
        <f>[14]January_2019!N5</f>
        <v>0</v>
      </c>
      <c r="AE56" s="57">
        <f>[14]January_2019!O5</f>
        <v>0</v>
      </c>
      <c r="AF56" s="57">
        <f>[14]January_2019!P5</f>
        <v>0</v>
      </c>
      <c r="AG56" s="57">
        <f>[14]January_2019!Q5</f>
        <v>0</v>
      </c>
      <c r="AH56" s="57">
        <f>[14]January_2019!R5</f>
        <v>0</v>
      </c>
      <c r="AI56" s="57">
        <f>[14]January_2019!S5</f>
        <v>0</v>
      </c>
      <c r="AJ56" s="57">
        <f>[14]January_2019!T5</f>
        <v>0</v>
      </c>
      <c r="AK56" s="57">
        <f>[14]January_2019!U5</f>
        <v>0</v>
      </c>
      <c r="AL56" s="57">
        <f>[14]January_2019!V5</f>
        <v>0</v>
      </c>
      <c r="AM56" s="57">
        <f>[14]January_2019!W5</f>
        <v>0</v>
      </c>
      <c r="AN56" s="57">
        <f>[14]January_2019!X5</f>
        <v>0</v>
      </c>
      <c r="AO56" s="57">
        <f>[14]January_2019!Y5</f>
        <v>0</v>
      </c>
      <c r="AP56" s="57">
        <f>[14]January_2019!Z5</f>
        <v>0</v>
      </c>
      <c r="AQ56" s="57">
        <f>[14]January_2019!AA5</f>
        <v>0</v>
      </c>
      <c r="AR56" s="57">
        <f>[14]January_2019!AB5</f>
        <v>0</v>
      </c>
      <c r="AS56" s="57">
        <f>[14]January_2019!AC5</f>
        <v>0</v>
      </c>
      <c r="AT56" s="57">
        <f>[14]January_2019!AD5</f>
        <v>0</v>
      </c>
      <c r="AU56" s="57">
        <f>[14]January_2019!AE5</f>
        <v>0</v>
      </c>
      <c r="AV56" s="57">
        <f>[14]January_2019!AF5</f>
        <v>0</v>
      </c>
      <c r="AW56" s="57">
        <f>[14]January_2019!AG5</f>
        <v>0</v>
      </c>
      <c r="AX56" s="277">
        <f>[14]January_2019!AH5</f>
        <v>0</v>
      </c>
      <c r="AY56" s="277"/>
      <c r="AZ56" s="277"/>
      <c r="BA56" s="277"/>
      <c r="BB56" s="277"/>
      <c r="BC56" s="277"/>
      <c r="BD56" s="277"/>
      <c r="BE56" s="277"/>
    </row>
    <row r="57" spans="1:57" s="54" customFormat="1" ht="14.25" customHeight="1" thickBot="1">
      <c r="B57" s="480"/>
      <c r="C57" s="479"/>
      <c r="D57" s="442"/>
      <c r="E57" s="443"/>
      <c r="F57" s="444"/>
      <c r="G57" s="445"/>
      <c r="H57" s="458"/>
      <c r="I57" s="458"/>
      <c r="J57" s="476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[14]January_2019!L6</f>
        <v>0</v>
      </c>
      <c r="AC57" s="57">
        <f>[14]January_2019!M6</f>
        <v>0</v>
      </c>
      <c r="AD57" s="57">
        <f>[14]January_2019!N6</f>
        <v>0</v>
      </c>
      <c r="AE57" s="57">
        <f>[14]January_2019!O6</f>
        <v>0</v>
      </c>
      <c r="AF57" s="57">
        <f>[14]January_2019!P6</f>
        <v>0</v>
      </c>
      <c r="AG57" s="57">
        <f>[14]January_2019!Q6</f>
        <v>0</v>
      </c>
      <c r="AH57" s="57">
        <f>[14]January_2019!R6</f>
        <v>0</v>
      </c>
      <c r="AI57" s="57">
        <f>[14]January_2019!S6</f>
        <v>0</v>
      </c>
      <c r="AJ57" s="57">
        <f>[14]January_2019!T6</f>
        <v>0</v>
      </c>
      <c r="AK57" s="57">
        <f>[14]January_2019!U6</f>
        <v>0</v>
      </c>
      <c r="AL57" s="57">
        <f>[14]January_2019!V6</f>
        <v>0</v>
      </c>
      <c r="AM57" s="57">
        <f>[14]January_2019!W6</f>
        <v>0</v>
      </c>
      <c r="AN57" s="57">
        <f>[14]January_2019!X6</f>
        <v>0</v>
      </c>
      <c r="AO57" s="57">
        <f>[14]January_2019!Y6</f>
        <v>0</v>
      </c>
      <c r="AP57" s="57">
        <f>[14]January_2019!Z6</f>
        <v>0</v>
      </c>
      <c r="AQ57" s="57">
        <f>[14]January_2019!AA6</f>
        <v>0</v>
      </c>
      <c r="AR57" s="57">
        <f>[14]January_2019!AB6</f>
        <v>0</v>
      </c>
      <c r="AS57" s="57">
        <f>[14]January_2019!AC6</f>
        <v>0</v>
      </c>
      <c r="AT57" s="57">
        <f>[14]January_2019!AD6</f>
        <v>0</v>
      </c>
      <c r="AU57" s="57">
        <f>[14]January_2019!AE6</f>
        <v>0</v>
      </c>
      <c r="AV57" s="57">
        <f>[14]January_2019!AF6</f>
        <v>0</v>
      </c>
      <c r="AW57" s="57">
        <f>[14]January_2019!AG6</f>
        <v>0</v>
      </c>
      <c r="AX57" s="277">
        <f>[14]January_2019!AH6</f>
        <v>0</v>
      </c>
      <c r="AY57" s="277"/>
      <c r="AZ57" s="277"/>
      <c r="BA57" s="277"/>
      <c r="BB57" s="277"/>
      <c r="BC57" s="277"/>
      <c r="BD57" s="277"/>
      <c r="BE57" s="277"/>
    </row>
    <row r="58" spans="1:57" s="54" customFormat="1" ht="37.15" customHeight="1" thickBot="1">
      <c r="A58" s="54" t="s">
        <v>168</v>
      </c>
      <c r="B58" s="485" t="str">
        <f>J44</f>
        <v>VITAMALT</v>
      </c>
      <c r="C58" s="479">
        <v>46085</v>
      </c>
      <c r="D58" s="442">
        <f>[11]March_2026!$F$65</f>
        <v>374.3</v>
      </c>
      <c r="E58" s="443">
        <f>SUM([12]VITAMALT!$J$6:$J$13)</f>
        <v>16.399999999999999</v>
      </c>
      <c r="F58" s="444"/>
      <c r="G58" s="445">
        <f>[11]March_2026!$F$70</f>
        <v>372</v>
      </c>
      <c r="H58" s="458"/>
      <c r="I58" s="458"/>
      <c r="J58" s="448" t="s">
        <v>150</v>
      </c>
      <c r="K58" s="449">
        <f>[13]March_2026!$G$60</f>
        <v>1.3052631578947369</v>
      </c>
      <c r="L58" s="457">
        <f>(((D58+E58)-G58)/(D58+E58))*100</f>
        <v>4.786281034041461</v>
      </c>
      <c r="M58" s="455" t="s">
        <v>177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[14]January_2019!L7</f>
        <v>285.8</v>
      </c>
      <c r="AC58" s="57">
        <f>[14]January_2019!M7</f>
        <v>508.1</v>
      </c>
      <c r="AD58" s="57">
        <f>[14]January_2019!N7</f>
        <v>0</v>
      </c>
      <c r="AE58" s="57">
        <f>[14]January_2019!O7</f>
        <v>0</v>
      </c>
      <c r="AF58" s="57">
        <f>[14]January_2019!P7</f>
        <v>109.56666666666666</v>
      </c>
      <c r="AG58" s="57">
        <f>[14]January_2019!Q7</f>
        <v>297.64999999999998</v>
      </c>
      <c r="AH58" s="57">
        <f>[14]January_2019!R7</f>
        <v>122.3</v>
      </c>
      <c r="AI58" s="57">
        <f>[14]January_2019!S7</f>
        <v>0</v>
      </c>
      <c r="AJ58" s="57">
        <f>[14]January_2019!T7</f>
        <v>294.7</v>
      </c>
      <c r="AK58" s="57">
        <f>[14]January_2019!U7</f>
        <v>280.5</v>
      </c>
      <c r="AL58" s="57">
        <f>[14]January_2019!V7</f>
        <v>0</v>
      </c>
      <c r="AM58" s="57">
        <f>[14]January_2019!W7</f>
        <v>0</v>
      </c>
      <c r="AN58" s="57">
        <f>[14]January_2019!X7</f>
        <v>188.25</v>
      </c>
      <c r="AO58" s="57">
        <f>[14]January_2019!Y7</f>
        <v>295.7</v>
      </c>
      <c r="AP58" s="57">
        <f>[14]January_2019!Z7</f>
        <v>257.8</v>
      </c>
      <c r="AQ58" s="57">
        <f>[14]January_2019!AA7</f>
        <v>291.2</v>
      </c>
      <c r="AR58" s="57">
        <f>[14]January_2019!AB7</f>
        <v>187</v>
      </c>
      <c r="AS58" s="57">
        <f>[14]January_2019!AC7</f>
        <v>0</v>
      </c>
      <c r="AT58" s="57">
        <f>[14]January_2019!AD7</f>
        <v>0</v>
      </c>
      <c r="AU58" s="57">
        <f>[14]January_2019!AE7</f>
        <v>485.1</v>
      </c>
      <c r="AV58" s="57">
        <f>[14]January_2019!AF7</f>
        <v>171.55</v>
      </c>
      <c r="AW58" s="57">
        <f>[14]January_2019!AG7</f>
        <v>423.8</v>
      </c>
      <c r="AX58" s="277">
        <f>[14]January_2019!AH7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1:57" s="54" customFormat="1" ht="19.5" hidden="1" customHeight="1" thickBot="1">
      <c r="B59" s="478"/>
      <c r="C59" s="430"/>
      <c r="D59" s="431"/>
      <c r="E59" s="432"/>
      <c r="F59" s="433"/>
      <c r="G59" s="434"/>
      <c r="H59" s="458"/>
      <c r="I59" s="458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38.450000000000003" hidden="1" customHeight="1" thickBot="1">
      <c r="B60" s="480"/>
      <c r="C60" s="479"/>
      <c r="D60" s="442"/>
      <c r="E60" s="443"/>
      <c r="F60" s="444"/>
      <c r="G60" s="445"/>
      <c r="H60" s="458"/>
      <c r="I60" s="458"/>
      <c r="J60" s="448" t="s">
        <v>171</v>
      </c>
      <c r="K60" s="459"/>
      <c r="L60" s="457" t="e">
        <f>(((D60+E60)-G60)/(D60+E60))*100</f>
        <v>#DIV/0!</v>
      </c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15" hidden="1">
      <c r="B61" s="453"/>
      <c r="C61" s="430"/>
      <c r="D61" s="431"/>
      <c r="E61" s="432"/>
      <c r="F61" s="433"/>
      <c r="G61" s="434"/>
      <c r="H61" s="435"/>
      <c r="I61" s="450"/>
      <c r="J61" s="451"/>
      <c r="K61" s="436"/>
      <c r="L61" s="452"/>
      <c r="M61" s="421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37.15" hidden="1" customHeight="1" thickBot="1">
      <c r="B62" s="480"/>
      <c r="C62" s="479"/>
      <c r="D62" s="442"/>
      <c r="E62" s="443"/>
      <c r="F62" s="444"/>
      <c r="G62" s="445"/>
      <c r="H62" s="446"/>
      <c r="I62" s="447"/>
      <c r="J62" s="448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s="54" customFormat="1" ht="16.5" hidden="1" customHeight="1" thickBot="1">
      <c r="B63" s="437"/>
      <c r="C63" s="423"/>
      <c r="D63" s="424"/>
      <c r="E63" s="425"/>
      <c r="F63" s="426"/>
      <c r="G63" s="427"/>
      <c r="H63" s="428"/>
      <c r="I63" s="438"/>
      <c r="J63" s="439"/>
      <c r="K63" s="429"/>
      <c r="L63" s="440"/>
      <c r="M63" s="422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1:57" s="54" customFormat="1" ht="37.15" hidden="1" customHeight="1" thickBot="1">
      <c r="B64" s="456"/>
      <c r="C64" s="441"/>
      <c r="D64" s="442"/>
      <c r="E64" s="443"/>
      <c r="F64" s="444"/>
      <c r="G64" s="445"/>
      <c r="H64" s="446"/>
      <c r="I64" s="447"/>
      <c r="J64" s="448"/>
      <c r="K64" s="449"/>
      <c r="L64" s="457"/>
      <c r="M64" s="454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customHeight="1">
      <c r="B65" s="466"/>
      <c r="C65" s="430"/>
      <c r="D65" s="460"/>
      <c r="E65" s="461"/>
      <c r="F65" s="462"/>
      <c r="G65" s="460"/>
      <c r="H65" s="463"/>
      <c r="I65" s="463"/>
      <c r="J65" s="463"/>
      <c r="K65" s="464"/>
      <c r="L65" s="465"/>
      <c r="M65" s="5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 t="s">
        <v>41</v>
      </c>
      <c r="O66" s="56"/>
      <c r="P66" s="60"/>
    </row>
    <row r="67" spans="2:57" ht="15.75" thickBot="1">
      <c r="B67" s="545" t="s">
        <v>55</v>
      </c>
      <c r="C67" s="546"/>
      <c r="D67" s="546"/>
      <c r="E67" s="546"/>
      <c r="F67" s="547"/>
      <c r="G67" s="545" t="s">
        <v>56</v>
      </c>
      <c r="H67" s="546"/>
      <c r="I67" s="546"/>
      <c r="J67" s="547"/>
      <c r="K67" s="545" t="s">
        <v>51</v>
      </c>
      <c r="L67" s="546"/>
      <c r="M67" s="546"/>
      <c r="N67" s="548"/>
      <c r="O67" s="56"/>
      <c r="P67" s="50"/>
    </row>
    <row r="68" spans="2:57" ht="15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 t="s">
        <v>36</v>
      </c>
      <c r="L68" s="62" t="s">
        <v>37</v>
      </c>
      <c r="M68" s="62" t="s">
        <v>38</v>
      </c>
      <c r="N68" s="63" t="s">
        <v>39</v>
      </c>
      <c r="O68" s="56"/>
      <c r="P68" s="64"/>
    </row>
    <row r="69" spans="2:57" ht="15">
      <c r="B69" s="29" t="s">
        <v>6</v>
      </c>
      <c r="C69" s="282">
        <f>L56</f>
        <v>8.7786259541984624</v>
      </c>
      <c r="D69" s="76">
        <v>8.7786259541984624</v>
      </c>
      <c r="E69" s="76">
        <v>7.3706095828564644</v>
      </c>
      <c r="F69" s="66">
        <v>4.8</v>
      </c>
      <c r="G69" s="65">
        <f>[11]March_2026!$G$11</f>
        <v>8.4081085941424085</v>
      </c>
      <c r="H69" s="477">
        <v>8.4081085941424085</v>
      </c>
      <c r="I69" s="477">
        <v>7.5088378267587412</v>
      </c>
      <c r="J69" s="66">
        <v>4.8</v>
      </c>
      <c r="K69" s="67">
        <f>K56</f>
        <v>0.33543859649122809</v>
      </c>
      <c r="L69" s="194">
        <v>0.33543859649122809</v>
      </c>
      <c r="M69" s="194">
        <v>0.3879408195117135</v>
      </c>
      <c r="N69" s="68">
        <v>1</v>
      </c>
      <c r="O69" s="56"/>
      <c r="P69" s="69"/>
    </row>
    <row r="70" spans="2:57" ht="15">
      <c r="B70" s="33" t="s">
        <v>9</v>
      </c>
      <c r="C70" s="65"/>
      <c r="D70" s="76">
        <v>7.025900565644533</v>
      </c>
      <c r="E70" s="76">
        <v>6.4149147319533819</v>
      </c>
      <c r="F70" s="66">
        <v>4.8</v>
      </c>
      <c r="G70" s="65"/>
      <c r="H70" s="76">
        <v>7.2057488520690356</v>
      </c>
      <c r="I70" s="76">
        <v>6.4809053832841554</v>
      </c>
      <c r="J70" s="66">
        <v>4.8</v>
      </c>
      <c r="K70" s="67"/>
      <c r="L70" s="194">
        <v>0.66210526315789475</v>
      </c>
      <c r="M70" s="194">
        <v>0.56980105779238654</v>
      </c>
      <c r="N70" s="68">
        <v>1</v>
      </c>
      <c r="P70" s="69"/>
    </row>
    <row r="71" spans="2:57" ht="15">
      <c r="B71" s="34" t="s">
        <v>40</v>
      </c>
      <c r="C71" s="65"/>
      <c r="D71" s="76"/>
      <c r="E71" s="76">
        <v>12.433093745220976</v>
      </c>
      <c r="F71" s="66">
        <v>5.5</v>
      </c>
      <c r="G71" s="65"/>
      <c r="H71" s="76"/>
      <c r="I71" s="76">
        <v>12.623654161138989</v>
      </c>
      <c r="J71" s="66">
        <v>5.5</v>
      </c>
      <c r="K71" s="67"/>
      <c r="L71" s="194"/>
      <c r="M71" s="194">
        <v>0.33891812865497073</v>
      </c>
      <c r="N71" s="68">
        <v>1</v>
      </c>
      <c r="P71" s="69"/>
    </row>
    <row r="72" spans="2:57" ht="15">
      <c r="B72" s="22" t="s">
        <v>33</v>
      </c>
      <c r="C72" s="65">
        <f>L58</f>
        <v>4.786281034041461</v>
      </c>
      <c r="D72" s="76">
        <v>4.786281034041461</v>
      </c>
      <c r="E72" s="76">
        <v>4.9619586520196597</v>
      </c>
      <c r="F72" s="66">
        <v>3.3</v>
      </c>
      <c r="G72" s="65">
        <f>[11]March_2026!$F$74</f>
        <v>5.4251963146907434</v>
      </c>
      <c r="H72" s="76">
        <v>5.4251963146907434</v>
      </c>
      <c r="I72" s="76">
        <v>4.9501867212112511</v>
      </c>
      <c r="J72" s="66">
        <v>3.3</v>
      </c>
      <c r="K72" s="67">
        <f>K58</f>
        <v>1.3052631578947369</v>
      </c>
      <c r="L72" s="194">
        <v>1.3052631578947369</v>
      </c>
      <c r="M72" s="194">
        <v>0.88064327485380123</v>
      </c>
      <c r="N72" s="68">
        <v>1</v>
      </c>
      <c r="P72" s="69"/>
    </row>
    <row r="73" spans="2:57" ht="15">
      <c r="B73" s="35" t="s">
        <v>164</v>
      </c>
      <c r="C73" s="65"/>
      <c r="D73" s="76"/>
      <c r="E73" s="76"/>
      <c r="F73" s="66">
        <v>3.3</v>
      </c>
      <c r="G73" s="282"/>
      <c r="H73" s="76"/>
      <c r="I73" s="76"/>
      <c r="J73" s="66">
        <v>3</v>
      </c>
      <c r="K73" s="67"/>
      <c r="L73" s="194"/>
      <c r="M73" s="194"/>
      <c r="N73" s="68">
        <v>1</v>
      </c>
      <c r="P73" s="69"/>
    </row>
    <row r="74" spans="2:57" ht="15">
      <c r="B74" s="36" t="s">
        <v>15</v>
      </c>
      <c r="C74" s="65"/>
      <c r="D74" s="76"/>
      <c r="E74" s="76">
        <v>5.1105651105651271</v>
      </c>
      <c r="F74" s="70">
        <f>[15]May_2022!$M$43</f>
        <v>3.4878406700073312</v>
      </c>
      <c r="G74" s="282"/>
      <c r="H74" s="76"/>
      <c r="I74" s="76">
        <v>7.9131369535794072</v>
      </c>
      <c r="J74" s="66">
        <v>5.5</v>
      </c>
      <c r="K74" s="67"/>
      <c r="L74" s="194"/>
      <c r="M74" s="194">
        <v>1.3550877192982456</v>
      </c>
      <c r="N74" s="68">
        <v>1</v>
      </c>
      <c r="P74" s="69"/>
    </row>
    <row r="75" spans="2:57" ht="15">
      <c r="B75" s="37" t="s">
        <v>16</v>
      </c>
      <c r="C75" s="65"/>
      <c r="D75" s="76"/>
      <c r="E75" s="76">
        <v>3.9401442566476499</v>
      </c>
      <c r="F75" s="66">
        <v>3.3</v>
      </c>
      <c r="G75" s="282"/>
      <c r="H75" s="76"/>
      <c r="I75" s="76">
        <v>4.7059150132172638</v>
      </c>
      <c r="J75" s="66">
        <v>3.3</v>
      </c>
      <c r="K75" s="67"/>
      <c r="L75" s="194"/>
      <c r="M75" s="194">
        <v>0.82374269005847967</v>
      </c>
      <c r="N75" s="71">
        <v>1</v>
      </c>
      <c r="P75" s="69"/>
    </row>
    <row r="76" spans="2:57" ht="15.75" thickBot="1">
      <c r="B76" s="38" t="s">
        <v>163</v>
      </c>
      <c r="C76" s="65"/>
      <c r="D76" s="76"/>
      <c r="E76" s="76"/>
      <c r="F76" s="66">
        <v>7.5</v>
      </c>
      <c r="G76" s="282"/>
      <c r="H76" s="76"/>
      <c r="I76" s="76"/>
      <c r="J76" s="66">
        <v>7.5</v>
      </c>
      <c r="K76" s="67"/>
      <c r="L76" s="194"/>
      <c r="M76" s="194"/>
      <c r="N76" s="71">
        <v>1</v>
      </c>
      <c r="P76" s="69"/>
    </row>
    <row r="77" spans="2:57" ht="15.75" thickBot="1">
      <c r="B77" s="414" t="s">
        <v>161</v>
      </c>
      <c r="C77" s="65"/>
      <c r="D77" s="76"/>
      <c r="E77" s="76"/>
      <c r="F77" s="66">
        <v>4.8</v>
      </c>
      <c r="G77" s="282"/>
      <c r="H77" s="76"/>
      <c r="I77" s="76"/>
      <c r="J77" s="66">
        <v>4.8</v>
      </c>
      <c r="K77" s="67"/>
      <c r="L77" s="194"/>
      <c r="M77" s="194"/>
      <c r="N77" s="71">
        <v>1</v>
      </c>
      <c r="O77" s="74"/>
      <c r="P77" s="75"/>
    </row>
    <row r="78" spans="2:57" ht="15">
      <c r="D78" s="76">
        <v>6.8367585240541748</v>
      </c>
      <c r="E78" s="76">
        <v>6.8648925558981873</v>
      </c>
      <c r="F78" s="341">
        <v>5.5</v>
      </c>
      <c r="H78" s="76">
        <v>6.871403613643162</v>
      </c>
      <c r="I78" s="76">
        <v>7.0877699144866817</v>
      </c>
      <c r="J78" s="341">
        <v>5.5</v>
      </c>
      <c r="L78" s="194">
        <v>0.72540350877192983</v>
      </c>
      <c r="M78" s="194">
        <v>0.44783344162876332</v>
      </c>
      <c r="N78" s="386">
        <v>1</v>
      </c>
    </row>
  </sheetData>
  <mergeCells count="51">
    <mergeCell ref="M54:M55"/>
    <mergeCell ref="B67:F67"/>
    <mergeCell ref="G67:J67"/>
    <mergeCell ref="K67:N67"/>
    <mergeCell ref="G54:G55"/>
    <mergeCell ref="H54:H55"/>
    <mergeCell ref="I54:I55"/>
    <mergeCell ref="J54:J55"/>
    <mergeCell ref="K54:K55"/>
    <mergeCell ref="L54:L55"/>
    <mergeCell ref="F54:F55"/>
    <mergeCell ref="D49:E49"/>
    <mergeCell ref="B54:B55"/>
    <mergeCell ref="C54:C55"/>
    <mergeCell ref="D54:D55"/>
    <mergeCell ref="E54:E55"/>
    <mergeCell ref="B39:B48"/>
    <mergeCell ref="D39:E40"/>
    <mergeCell ref="J39:K39"/>
    <mergeCell ref="L40:N40"/>
    <mergeCell ref="D41:E42"/>
    <mergeCell ref="D43:E44"/>
    <mergeCell ref="D45:E46"/>
    <mergeCell ref="D47:E48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9:B50">
    <cfRule type="cellIs" dxfId="3058" priority="63" operator="notBetween">
      <formula>#REF!</formula>
      <formula>#REF!</formula>
    </cfRule>
  </conditionalFormatting>
  <conditionalFormatting sqref="C53">
    <cfRule type="cellIs" dxfId="3057" priority="157" stopIfTrue="1" operator="lessThan">
      <formula>96</formula>
    </cfRule>
    <cfRule type="cellIs" dxfId="3056" priority="158" stopIfTrue="1" operator="greaterThan">
      <formula>100</formula>
    </cfRule>
  </conditionalFormatting>
  <conditionalFormatting sqref="C69:C73">
    <cfRule type="cellIs" dxfId="3055" priority="126" stopIfTrue="1" operator="lessThanOrEqual">
      <formula>0</formula>
    </cfRule>
  </conditionalFormatting>
  <conditionalFormatting sqref="C69:C77">
    <cfRule type="cellIs" dxfId="3054" priority="125" stopIfTrue="1" operator="greaterThan">
      <formula>$F69</formula>
    </cfRule>
  </conditionalFormatting>
  <conditionalFormatting sqref="C70">
    <cfRule type="cellIs" dxfId="3053" priority="159" stopIfTrue="1" operator="greaterThan">
      <formula>$F69</formula>
    </cfRule>
  </conditionalFormatting>
  <conditionalFormatting sqref="C74">
    <cfRule type="cellIs" dxfId="3052" priority="87" stopIfTrue="1" operator="lessThanOrEqual">
      <formula>0</formula>
    </cfRule>
    <cfRule type="cellIs" dxfId="3051" priority="88" stopIfTrue="1" operator="greaterThan">
      <formula>$F73</formula>
    </cfRule>
  </conditionalFormatting>
  <conditionalFormatting sqref="C75:C77">
    <cfRule type="cellIs" dxfId="3050" priority="127" stopIfTrue="1" operator="lessThanOrEqual">
      <formula>0</formula>
    </cfRule>
  </conditionalFormatting>
  <conditionalFormatting sqref="C80:C84">
    <cfRule type="cellIs" dxfId="3049" priority="149" stopIfTrue="1" operator="lessThanOrEqual">
      <formula>0</formula>
    </cfRule>
  </conditionalFormatting>
  <conditionalFormatting sqref="C81:C84">
    <cfRule type="cellIs" dxfId="3048" priority="148" stopIfTrue="1" operator="greaterThan">
      <formula>$F$80</formula>
    </cfRule>
  </conditionalFormatting>
  <conditionalFormatting sqref="C86">
    <cfRule type="cellIs" dxfId="3047" priority="150" stopIfTrue="1" operator="greaterThan">
      <formula>$F$80</formula>
    </cfRule>
    <cfRule type="cellIs" dxfId="3046" priority="151" stopIfTrue="1" operator="lessThanOrEqual">
      <formula>0</formula>
    </cfRule>
  </conditionalFormatting>
  <conditionalFormatting sqref="C80:D80 D82:D88">
    <cfRule type="cellIs" dxfId="3045" priority="143" stopIfTrue="1" operator="greaterThan">
      <formula>4.5</formula>
    </cfRule>
  </conditionalFormatting>
  <conditionalFormatting sqref="D49:D50">
    <cfRule type="cellIs" dxfId="3044" priority="64" operator="notBetween">
      <formula>#REF!</formula>
      <formula>#REF!</formula>
    </cfRule>
  </conditionalFormatting>
  <conditionalFormatting sqref="D69:D76">
    <cfRule type="cellIs" dxfId="3043" priority="36" stopIfTrue="1" operator="lessThanOrEqual">
      <formula>0</formula>
    </cfRule>
  </conditionalFormatting>
  <conditionalFormatting sqref="D69:D78">
    <cfRule type="cellIs" dxfId="3042" priority="15" stopIfTrue="1" operator="lessThanOrEqual">
      <formula>0</formula>
    </cfRule>
  </conditionalFormatting>
  <conditionalFormatting sqref="D77">
    <cfRule type="cellIs" dxfId="3041" priority="35" stopIfTrue="1" operator="lessThanOrEqual">
      <formula>0</formula>
    </cfRule>
  </conditionalFormatting>
  <conditionalFormatting sqref="D78">
    <cfRule type="cellIs" dxfId="3040" priority="30" stopIfTrue="1" operator="lessThanOrEqual">
      <formula>0</formula>
    </cfRule>
  </conditionalFormatting>
  <conditionalFormatting sqref="D80 D82:D88">
    <cfRule type="cellIs" dxfId="3039" priority="144" stopIfTrue="1" operator="lessThanOrEqual">
      <formula>0</formula>
    </cfRule>
  </conditionalFormatting>
  <conditionalFormatting sqref="D81">
    <cfRule type="cellIs" dxfId="3038" priority="136" stopIfTrue="1" operator="lessThanOrEqual">
      <formula>0</formula>
    </cfRule>
    <cfRule type="cellIs" dxfId="3037" priority="135" stopIfTrue="1" operator="greaterThan">
      <formula>$F$80</formula>
    </cfRule>
  </conditionalFormatting>
  <conditionalFormatting sqref="D69:E78">
    <cfRule type="cellIs" dxfId="3036" priority="17" stopIfTrue="1" operator="greaterThan">
      <formula>$F69</formula>
    </cfRule>
  </conditionalFormatting>
  <conditionalFormatting sqref="D78:E78">
    <cfRule type="cellIs" dxfId="3035" priority="19" stopIfTrue="1" operator="lessThanOrEqual">
      <formula>0</formula>
    </cfRule>
  </conditionalFormatting>
  <conditionalFormatting sqref="E10:E24">
    <cfRule type="cellIs" dxfId="3034" priority="8" operator="lessThan">
      <formula>48</formula>
    </cfRule>
  </conditionalFormatting>
  <conditionalFormatting sqref="E52 E53:F53">
    <cfRule type="cellIs" dxfId="3033" priority="140" stopIfTrue="1" operator="greaterThan">
      <formula>100</formula>
    </cfRule>
  </conditionalFormatting>
  <conditionalFormatting sqref="E53">
    <cfRule type="cellIs" dxfId="3032" priority="137" stopIfTrue="1" operator="lessThan">
      <formula>96.8</formula>
    </cfRule>
    <cfRule type="cellIs" dxfId="3031" priority="138" stopIfTrue="1" operator="greaterThan">
      <formula>100</formula>
    </cfRule>
  </conditionalFormatting>
  <conditionalFormatting sqref="E69:E77">
    <cfRule type="cellIs" dxfId="3030" priority="16" stopIfTrue="1" operator="lessThanOrEqual">
      <formula>0</formula>
    </cfRule>
  </conditionalFormatting>
  <conditionalFormatting sqref="E69:E78">
    <cfRule type="cellIs" dxfId="3029" priority="18" stopIfTrue="1" operator="lessThanOrEqual">
      <formula>0</formula>
    </cfRule>
  </conditionalFormatting>
  <conditionalFormatting sqref="E80:E88">
    <cfRule type="cellIs" dxfId="3028" priority="129" stopIfTrue="1" operator="greaterThan">
      <formula>4.5</formula>
    </cfRule>
    <cfRule type="cellIs" dxfId="3027" priority="130" stopIfTrue="1" operator="lessThanOrEqual">
      <formula>0</formula>
    </cfRule>
  </conditionalFormatting>
  <conditionalFormatting sqref="E53:F53 E52">
    <cfRule type="cellIs" dxfId="3026" priority="139" stopIfTrue="1" operator="lessThan">
      <formula>96.5</formula>
    </cfRule>
  </conditionalFormatting>
  <conditionalFormatting sqref="F10:F24">
    <cfRule type="cellIs" dxfId="3025" priority="11" operator="greaterThan">
      <formula>60</formula>
    </cfRule>
  </conditionalFormatting>
  <conditionalFormatting sqref="F53">
    <cfRule type="cellIs" dxfId="3024" priority="156" stopIfTrue="1" operator="greaterThan">
      <formula>100</formula>
    </cfRule>
    <cfRule type="cellIs" dxfId="3023" priority="155" stopIfTrue="1" operator="lessThan">
      <formula>96.8</formula>
    </cfRule>
  </conditionalFormatting>
  <conditionalFormatting sqref="F78">
    <cfRule type="cellIs" dxfId="3022" priority="34" stopIfTrue="1" operator="lessThanOrEqual">
      <formula>0</formula>
    </cfRule>
    <cfRule type="cellIs" dxfId="3021" priority="33" stopIfTrue="1" operator="greaterThan">
      <formula>$F78</formula>
    </cfRule>
  </conditionalFormatting>
  <conditionalFormatting sqref="G10:G23">
    <cfRule type="expression" dxfId="3020" priority="3">
      <formula>IF(+(IF(G10&lt;S10,0,IF(G10&gt;T10,0,1)))=0,1)</formula>
    </cfRule>
  </conditionalFormatting>
  <conditionalFormatting sqref="G69:G70">
    <cfRule type="cellIs" dxfId="3019" priority="31" stopIfTrue="1" operator="greaterThan">
      <formula>$F69</formula>
    </cfRule>
    <cfRule type="cellIs" dxfId="3018" priority="32" stopIfTrue="1" operator="lessThanOrEqual">
      <formula>0</formula>
    </cfRule>
    <cfRule type="cellIs" dxfId="3017" priority="37" stopIfTrue="1" operator="greaterThan">
      <formula>$F69</formula>
    </cfRule>
    <cfRule type="cellIs" dxfId="3016" priority="38" stopIfTrue="1" operator="lessThanOrEqual">
      <formula>0</formula>
    </cfRule>
  </conditionalFormatting>
  <conditionalFormatting sqref="G71">
    <cfRule type="cellIs" dxfId="3015" priority="41" stopIfTrue="1" operator="greaterThan">
      <formula>$F70</formula>
    </cfRule>
    <cfRule type="cellIs" dxfId="3014" priority="42" stopIfTrue="1" operator="lessThanOrEqual">
      <formula>0</formula>
    </cfRule>
  </conditionalFormatting>
  <conditionalFormatting sqref="G72">
    <cfRule type="cellIs" dxfId="3013" priority="25" stopIfTrue="1" operator="greaterThan">
      <formula>$F72</formula>
    </cfRule>
    <cfRule type="cellIs" dxfId="3012" priority="26" stopIfTrue="1" operator="lessThanOrEqual">
      <formula>0</formula>
    </cfRule>
    <cfRule type="cellIs" dxfId="3011" priority="24" stopIfTrue="1" operator="lessThanOrEqual">
      <formula>0</formula>
    </cfRule>
    <cfRule type="cellIs" dxfId="3010" priority="23" stopIfTrue="1" operator="greaterThan">
      <formula>$F72</formula>
    </cfRule>
  </conditionalFormatting>
  <conditionalFormatting sqref="G73:G77">
    <cfRule type="cellIs" dxfId="3009" priority="39" stopIfTrue="1" operator="greaterThan">
      <formula>$J73</formula>
    </cfRule>
    <cfRule type="cellIs" dxfId="3008" priority="40" stopIfTrue="1" operator="lessThanOrEqual">
      <formula>0</formula>
    </cfRule>
  </conditionalFormatting>
  <conditionalFormatting sqref="G82:G87 C85 C87">
    <cfRule type="cellIs" dxfId="3007" priority="153" stopIfTrue="1" operator="lessThanOrEqual">
      <formula>0</formula>
    </cfRule>
    <cfRule type="cellIs" dxfId="3006" priority="152" stopIfTrue="1" operator="greaterThan">
      <formula>4.5</formula>
    </cfRule>
  </conditionalFormatting>
  <conditionalFormatting sqref="G81:H81">
    <cfRule type="cellIs" dxfId="3005" priority="134" stopIfTrue="1" operator="lessThanOrEqual">
      <formula>0</formula>
    </cfRule>
    <cfRule type="cellIs" dxfId="3004" priority="133" stopIfTrue="1" operator="greaterThan">
      <formula>$F$80</formula>
    </cfRule>
  </conditionalFormatting>
  <conditionalFormatting sqref="H10:H23 G24:H24">
    <cfRule type="expression" dxfId="3003" priority="60">
      <formula>IF(+(IF(G10&lt;#REF!,0,IF(G10&gt;#REF!,0,1)))=0,1)</formula>
    </cfRule>
  </conditionalFormatting>
  <conditionalFormatting sqref="H38:H52 I40:I51">
    <cfRule type="cellIs" dxfId="3002" priority="131" stopIfTrue="1" operator="greaterThan">
      <formula>0</formula>
    </cfRule>
  </conditionalFormatting>
  <conditionalFormatting sqref="H56:H60">
    <cfRule type="cellIs" dxfId="3001" priority="47" stopIfTrue="1" operator="greaterThan">
      <formula>$F$69</formula>
    </cfRule>
    <cfRule type="cellIs" dxfId="3000" priority="56" stopIfTrue="1" operator="lessThanOrEqual">
      <formula>0</formula>
    </cfRule>
    <cfRule type="cellIs" dxfId="2999" priority="46" stopIfTrue="1" operator="lessThanOrEqual">
      <formula>0</formula>
    </cfRule>
    <cfRule type="cellIs" dxfId="2998" priority="58" stopIfTrue="1" operator="lessThanOrEqual">
      <formula>0</formula>
    </cfRule>
    <cfRule type="cellIs" dxfId="2997" priority="55" stopIfTrue="1" operator="greaterThan">
      <formula>$F$72</formula>
    </cfRule>
    <cfRule type="cellIs" dxfId="2996" priority="57" stopIfTrue="1" operator="greaterThan">
      <formula>$F$70</formula>
    </cfRule>
  </conditionalFormatting>
  <conditionalFormatting sqref="H61:H62">
    <cfRule type="cellIs" dxfId="2995" priority="100" stopIfTrue="1" operator="lessThanOrEqual">
      <formula>0</formula>
    </cfRule>
    <cfRule type="cellIs" dxfId="2994" priority="99" stopIfTrue="1" operator="greaterThan">
      <formula>$F$24</formula>
    </cfRule>
    <cfRule type="cellIs" dxfId="2993" priority="102" stopIfTrue="1" operator="lessThanOrEqual">
      <formula>0</formula>
    </cfRule>
    <cfRule type="cellIs" dxfId="2992" priority="101" stopIfTrue="1" operator="greaterThan">
      <formula>#REF!</formula>
    </cfRule>
    <cfRule type="cellIs" dxfId="2991" priority="90" stopIfTrue="1" operator="lessThanOrEqual">
      <formula>0</formula>
    </cfRule>
    <cfRule type="cellIs" dxfId="2990" priority="91" stopIfTrue="1" operator="greaterThan">
      <formula>#REF!</formula>
    </cfRule>
  </conditionalFormatting>
  <conditionalFormatting sqref="H63">
    <cfRule type="cellIs" dxfId="2989" priority="116" stopIfTrue="1" operator="lessThanOrEqual">
      <formula>0</formula>
    </cfRule>
    <cfRule type="cellIs" dxfId="2988" priority="115" stopIfTrue="1" operator="greaterThan">
      <formula>$F$38</formula>
    </cfRule>
    <cfRule type="cellIs" dxfId="2987" priority="114" stopIfTrue="1" operator="lessThanOrEqual">
      <formula>0</formula>
    </cfRule>
    <cfRule type="cellIs" dxfId="2986" priority="113" stopIfTrue="1" operator="greaterThan">
      <formula>$F$40</formula>
    </cfRule>
    <cfRule type="cellIs" dxfId="2985" priority="104" stopIfTrue="1" operator="lessThanOrEqual">
      <formula>0</formula>
    </cfRule>
    <cfRule type="cellIs" dxfId="2984" priority="105" stopIfTrue="1" operator="greaterThan">
      <formula>$F$37</formula>
    </cfRule>
  </conditionalFormatting>
  <conditionalFormatting sqref="H64:H65">
    <cfRule type="cellIs" dxfId="2983" priority="85" stopIfTrue="1" operator="greaterThan">
      <formula>#REF!</formula>
    </cfRule>
    <cfRule type="cellIs" dxfId="2982" priority="84" stopIfTrue="1" operator="lessThanOrEqual">
      <formula>0</formula>
    </cfRule>
    <cfRule type="cellIs" dxfId="2981" priority="74" stopIfTrue="1" operator="lessThanOrEqual">
      <formula>0</formula>
    </cfRule>
    <cfRule type="cellIs" dxfId="2980" priority="75" stopIfTrue="1" operator="greaterThan">
      <formula>#REF!</formula>
    </cfRule>
    <cfRule type="cellIs" dxfId="2979" priority="83" stopIfTrue="1" operator="greaterThan">
      <formula>$F$24</formula>
    </cfRule>
    <cfRule type="cellIs" dxfId="2978" priority="86" stopIfTrue="1" operator="lessThanOrEqual">
      <formula>0</formula>
    </cfRule>
  </conditionalFormatting>
  <conditionalFormatting sqref="H80 H82:H88">
    <cfRule type="cellIs" dxfId="2977" priority="145" stopIfTrue="1" operator="greaterThan">
      <formula>4.5</formula>
    </cfRule>
    <cfRule type="cellIs" dxfId="2976" priority="146" stopIfTrue="1" operator="lessThanOrEqual">
      <formula>0</formula>
    </cfRule>
  </conditionalFormatting>
  <conditionalFormatting sqref="H56:I60">
    <cfRule type="cellIs" dxfId="2975" priority="48" stopIfTrue="1" operator="lessThanOrEqual">
      <formula>0</formula>
    </cfRule>
    <cfRule type="cellIs" dxfId="2974" priority="45" stopIfTrue="1" operator="greaterThan">
      <formula>$F$71</formula>
    </cfRule>
  </conditionalFormatting>
  <conditionalFormatting sqref="H61:I62">
    <cfRule type="cellIs" dxfId="2973" priority="89" stopIfTrue="1" operator="greaterThan">
      <formula>#REF!</formula>
    </cfRule>
    <cfRule type="cellIs" dxfId="2972" priority="92" stopIfTrue="1" operator="lessThanOrEqual">
      <formula>0</formula>
    </cfRule>
  </conditionalFormatting>
  <conditionalFormatting sqref="H63:I63">
    <cfRule type="cellIs" dxfId="2971" priority="103" stopIfTrue="1" operator="greaterThan">
      <formula>$F$39</formula>
    </cfRule>
    <cfRule type="cellIs" dxfId="2970" priority="106" stopIfTrue="1" operator="lessThanOrEqual">
      <formula>0</formula>
    </cfRule>
  </conditionalFormatting>
  <conditionalFormatting sqref="H64:I65">
    <cfRule type="cellIs" dxfId="2969" priority="73" stopIfTrue="1" operator="greaterThan">
      <formula>#REF!</formula>
    </cfRule>
    <cfRule type="cellIs" dxfId="2968" priority="76" stopIfTrue="1" operator="lessThanOrEqual">
      <formula>0</formula>
    </cfRule>
  </conditionalFormatting>
  <conditionalFormatting sqref="H69:I76">
    <cfRule type="cellIs" dxfId="2967" priority="13" stopIfTrue="1" operator="greaterThan">
      <formula>$J69</formula>
    </cfRule>
    <cfRule type="cellIs" dxfId="2966" priority="14" stopIfTrue="1" operator="lessThanOrEqual">
      <formula>0</formula>
    </cfRule>
  </conditionalFormatting>
  <conditionalFormatting sqref="H77:I77">
    <cfRule type="cellIs" dxfId="2965" priority="22" operator="greaterThan">
      <formula>5.3</formula>
    </cfRule>
  </conditionalFormatting>
  <conditionalFormatting sqref="H78:I78">
    <cfRule type="cellIs" dxfId="2964" priority="21" stopIfTrue="1" operator="lessThanOrEqual">
      <formula>0</formula>
    </cfRule>
    <cfRule type="cellIs" dxfId="2963" priority="20" stopIfTrue="1" operator="greaterThan">
      <formula>$J78</formula>
    </cfRule>
  </conditionalFormatting>
  <conditionalFormatting sqref="I56:I60">
    <cfRule type="cellIs" dxfId="2962" priority="51" stopIfTrue="1" operator="greaterThan">
      <formula>$F$71</formula>
    </cfRule>
    <cfRule type="cellIs" dxfId="2961" priority="53" stopIfTrue="1" operator="greaterThan">
      <formula>$F$69</formula>
    </cfRule>
    <cfRule type="cellIs" dxfId="2960" priority="52" stopIfTrue="1" operator="lessThanOrEqual">
      <formula>0</formula>
    </cfRule>
    <cfRule type="cellIs" dxfId="2959" priority="50" stopIfTrue="1" operator="lessThanOrEqual">
      <formula>0</formula>
    </cfRule>
    <cfRule type="cellIs" dxfId="2958" priority="49" stopIfTrue="1" operator="greaterThan">
      <formula>$F$69</formula>
    </cfRule>
    <cfRule type="cellIs" dxfId="2957" priority="54" stopIfTrue="1" operator="lessThanOrEqual">
      <formula>0</formula>
    </cfRule>
  </conditionalFormatting>
  <conditionalFormatting sqref="I61:I62">
    <cfRule type="cellIs" dxfId="2956" priority="94" stopIfTrue="1" operator="lessThanOrEqual">
      <formula>0</formula>
    </cfRule>
    <cfRule type="cellIs" dxfId="2955" priority="95" stopIfTrue="1" operator="greaterThan">
      <formula>#REF!</formula>
    </cfRule>
    <cfRule type="cellIs" dxfId="2954" priority="93" stopIfTrue="1" operator="greaterThan">
      <formula>#REF!</formula>
    </cfRule>
    <cfRule type="cellIs" dxfId="2953" priority="97" stopIfTrue="1" operator="greaterThan">
      <formula>#REF!</formula>
    </cfRule>
    <cfRule type="cellIs" dxfId="2952" priority="98" stopIfTrue="1" operator="lessThanOrEqual">
      <formula>0</formula>
    </cfRule>
    <cfRule type="cellIs" dxfId="2951" priority="96" stopIfTrue="1" operator="lessThanOrEqual">
      <formula>0</formula>
    </cfRule>
  </conditionalFormatting>
  <conditionalFormatting sqref="I63">
    <cfRule type="cellIs" dxfId="2950" priority="112" stopIfTrue="1" operator="lessThanOrEqual">
      <formula>0</formula>
    </cfRule>
    <cfRule type="cellIs" dxfId="2949" priority="110" stopIfTrue="1" operator="lessThanOrEqual">
      <formula>0</formula>
    </cfRule>
    <cfRule type="cellIs" dxfId="2948" priority="109" stopIfTrue="1" operator="greaterThan">
      <formula>$F$39</formula>
    </cfRule>
    <cfRule type="cellIs" dxfId="2947" priority="108" stopIfTrue="1" operator="lessThanOrEqual">
      <formula>0</formula>
    </cfRule>
    <cfRule type="cellIs" dxfId="2946" priority="111" stopIfTrue="1" operator="greaterThan">
      <formula>$F$37</formula>
    </cfRule>
    <cfRule type="cellIs" dxfId="2945" priority="107" stopIfTrue="1" operator="greaterThan">
      <formula>$F$37</formula>
    </cfRule>
  </conditionalFormatting>
  <conditionalFormatting sqref="I64:I65">
    <cfRule type="cellIs" dxfId="2944" priority="79" stopIfTrue="1" operator="greaterThan">
      <formula>#REF!</formula>
    </cfRule>
    <cfRule type="cellIs" dxfId="2943" priority="80" stopIfTrue="1" operator="lessThanOrEqual">
      <formula>0</formula>
    </cfRule>
    <cfRule type="cellIs" dxfId="2942" priority="81" stopIfTrue="1" operator="greaterThan">
      <formula>#REF!</formula>
    </cfRule>
    <cfRule type="cellIs" dxfId="2941" priority="82" stopIfTrue="1" operator="lessThanOrEqual">
      <formula>0</formula>
    </cfRule>
    <cfRule type="cellIs" dxfId="2940" priority="77" stopIfTrue="1" operator="greaterThan">
      <formula>#REF!</formula>
    </cfRule>
    <cfRule type="cellIs" dxfId="2939" priority="78" stopIfTrue="1" operator="lessThanOrEqual">
      <formula>0</formula>
    </cfRule>
  </conditionalFormatting>
  <conditionalFormatting sqref="I80:I88">
    <cfRule type="cellIs" dxfId="2938" priority="141" stopIfTrue="1" operator="greaterThan">
      <formula>4.5</formula>
    </cfRule>
    <cfRule type="cellIs" dxfId="2937" priority="142" stopIfTrue="1" operator="lessThanOrEqual">
      <formula>0</formula>
    </cfRule>
  </conditionalFormatting>
  <conditionalFormatting sqref="I10:J24">
    <cfRule type="cellIs" dxfId="2936" priority="4" operator="lessThan">
      <formula>97.9</formula>
    </cfRule>
  </conditionalFormatting>
  <conditionalFormatting sqref="J27">
    <cfRule type="cellIs" dxfId="2935" priority="44" operator="lessThan">
      <formula>97.95</formula>
    </cfRule>
  </conditionalFormatting>
  <conditionalFormatting sqref="J29">
    <cfRule type="cellIs" dxfId="2934" priority="119" stopIfTrue="1" operator="greaterThan">
      <formula>100</formula>
    </cfRule>
    <cfRule type="cellIs" dxfId="2933" priority="118" stopIfTrue="1" operator="lessThan">
      <formula>96.8</formula>
    </cfRule>
    <cfRule type="cellIs" dxfId="2932" priority="120" operator="lessThan">
      <formula>98</formula>
    </cfRule>
  </conditionalFormatting>
  <conditionalFormatting sqref="J29:J31">
    <cfRule type="cellIs" dxfId="2931" priority="117" operator="lessThan">
      <formula>97.4</formula>
    </cfRule>
  </conditionalFormatting>
  <conditionalFormatting sqref="J32:J33">
    <cfRule type="cellIs" dxfId="2930" priority="121" operator="lessThan">
      <formula>98</formula>
    </cfRule>
  </conditionalFormatting>
  <conditionalFormatting sqref="J34:J35">
    <cfRule type="cellIs" dxfId="2929" priority="122" stopIfTrue="1" operator="lessThan">
      <formula>96.8</formula>
    </cfRule>
    <cfRule type="cellIs" dxfId="2928" priority="123" stopIfTrue="1" operator="greaterThan">
      <formula>100</formula>
    </cfRule>
  </conditionalFormatting>
  <conditionalFormatting sqref="J34:J36">
    <cfRule type="cellIs" dxfId="2927" priority="124" operator="lessThan">
      <formula>98</formula>
    </cfRule>
  </conditionalFormatting>
  <conditionalFormatting sqref="J65">
    <cfRule type="cellIs" dxfId="2926" priority="72" stopIfTrue="1" operator="lessThanOrEqual">
      <formula>0</formula>
    </cfRule>
    <cfRule type="cellIs" dxfId="2925" priority="71" stopIfTrue="1" operator="greaterThan">
      <formula>#REF!</formula>
    </cfRule>
    <cfRule type="cellIs" dxfId="2924" priority="70" stopIfTrue="1" operator="lessThanOrEqual">
      <formula>0</formula>
    </cfRule>
    <cfRule type="cellIs" dxfId="2923" priority="69" stopIfTrue="1" operator="greaterThan">
      <formula>#REF!</formula>
    </cfRule>
    <cfRule type="cellIs" dxfId="2922" priority="68" stopIfTrue="1" operator="lessThanOrEqual">
      <formula>0</formula>
    </cfRule>
    <cfRule type="cellIs" dxfId="2921" priority="67" stopIfTrue="1" operator="greaterThan">
      <formula>#REF!</formula>
    </cfRule>
    <cfRule type="cellIs" dxfId="2920" priority="66" stopIfTrue="1" operator="lessThanOrEqual">
      <formula>0</formula>
    </cfRule>
    <cfRule type="cellIs" dxfId="2919" priority="65" stopIfTrue="1" operator="greaterThan">
      <formula>#REF!</formula>
    </cfRule>
  </conditionalFormatting>
  <conditionalFormatting sqref="J78">
    <cfRule type="cellIs" dxfId="2918" priority="28" stopIfTrue="1" operator="lessThanOrEqual">
      <formula>0</formula>
    </cfRule>
    <cfRule type="cellIs" dxfId="2917" priority="27" stopIfTrue="1" operator="greaterThan">
      <formula>$F78</formula>
    </cfRule>
  </conditionalFormatting>
  <conditionalFormatting sqref="K10:K24">
    <cfRule type="cellIs" dxfId="2916" priority="5" operator="greaterThan">
      <formula>6</formula>
    </cfRule>
    <cfRule type="cellIs" dxfId="2915" priority="6" operator="lessThan">
      <formula>4</formula>
    </cfRule>
    <cfRule type="cellIs" dxfId="2914" priority="7" operator="greaterThan">
      <formula>6.4</formula>
    </cfRule>
  </conditionalFormatting>
  <conditionalFormatting sqref="K56:K65">
    <cfRule type="cellIs" dxfId="2913" priority="59" stopIfTrue="1" operator="lessThan">
      <formula>100%</formula>
    </cfRule>
  </conditionalFormatting>
  <conditionalFormatting sqref="K80:K85">
    <cfRule type="cellIs" dxfId="2912" priority="147" stopIfTrue="1" operator="lessThan">
      <formula>100%</formula>
    </cfRule>
  </conditionalFormatting>
  <conditionalFormatting sqref="K87:K88">
    <cfRule type="cellIs" dxfId="2911" priority="154" stopIfTrue="1" operator="lessThan">
      <formula>100%</formula>
    </cfRule>
  </conditionalFormatting>
  <conditionalFormatting sqref="K69:M77">
    <cfRule type="cellIs" dxfId="2910" priority="12" stopIfTrue="1" operator="lessThan">
      <formula>100%</formula>
    </cfRule>
  </conditionalFormatting>
  <conditionalFormatting sqref="L10:L24">
    <cfRule type="cellIs" dxfId="2909" priority="10" operator="greaterThan">
      <formula>65</formula>
    </cfRule>
    <cfRule type="cellIs" dxfId="2908" priority="9" operator="between">
      <formula>61</formula>
      <formula>65</formula>
    </cfRule>
  </conditionalFormatting>
  <conditionalFormatting sqref="L27:M38">
    <cfRule type="cellIs" dxfId="2907" priority="61" operator="lessThan">
      <formula>97.95</formula>
    </cfRule>
  </conditionalFormatting>
  <conditionalFormatting sqref="L78:M78">
    <cfRule type="cellIs" dxfId="2906" priority="29" stopIfTrue="1" operator="lessThan">
      <formula>100%</formula>
    </cfRule>
  </conditionalFormatting>
  <conditionalFormatting sqref="L42:N42">
    <cfRule type="cellIs" dxfId="2905" priority="62" operator="notEqual">
      <formula>#REF!</formula>
    </cfRule>
  </conditionalFormatting>
  <conditionalFormatting sqref="L80:N88">
    <cfRule type="cellIs" dxfId="2904" priority="132" stopIfTrue="1" operator="lessThan">
      <formula>100%</formula>
    </cfRule>
  </conditionalFormatting>
  <conditionalFormatting sqref="M10:M23">
    <cfRule type="expression" dxfId="2903" priority="2">
      <formula>IF(+(IF(M10&lt;U10,0,IF(M10&gt;V10,0,1)))=0,1)</formula>
    </cfRule>
  </conditionalFormatting>
  <conditionalFormatting sqref="M24:N24">
    <cfRule type="expression" dxfId="2902" priority="160">
      <formula>IF(+(IF(M24&lt;#REF!,0,IF(M24&gt;#REF!,0,1)))=0,1)</formula>
    </cfRule>
  </conditionalFormatting>
  <conditionalFormatting sqref="N10:N23">
    <cfRule type="expression" dxfId="2901" priority="1">
      <formula>IF(+(IF(N10&lt;W10,0,IF(N10&gt;X10,0,1)))=0,1)</formula>
    </cfRule>
  </conditionalFormatting>
  <conditionalFormatting sqref="N69:N78">
    <cfRule type="cellIs" dxfId="2900" priority="43" stopIfTrue="1" operator="lessThan">
      <formula>100%</formula>
    </cfRule>
  </conditionalFormatting>
  <conditionalFormatting sqref="P6">
    <cfRule type="cellIs" dxfId="2899" priority="128" operator="greaterThanOrEqual">
      <formula>19</formula>
    </cfRule>
  </conditionalFormatting>
  <dataValidations count="1">
    <dataValidation type="list" allowBlank="1" showInputMessage="1" showErrorMessage="1" sqref="R8" xr:uid="{DE81B49D-CFCE-46CC-8CDD-A72A84F28337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D72F-0678-4399-90ED-1EA157B8CDC1}">
  <sheetPr>
    <pageSetUpPr fitToPage="1"/>
  </sheetPr>
  <dimension ref="A1:BE79"/>
  <sheetViews>
    <sheetView topLeftCell="A26" zoomScale="85" zoomScaleNormal="85" workbookViewId="0">
      <selection activeCell="E10" sqref="E10:E17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4" t="s">
        <v>0</v>
      </c>
      <c r="T1" s="494"/>
      <c r="U1" s="494" t="s">
        <v>1</v>
      </c>
      <c r="V1" s="494"/>
      <c r="W1" s="494" t="s">
        <v>2</v>
      </c>
      <c r="X1" s="494"/>
      <c r="Y1" s="494" t="s">
        <v>124</v>
      </c>
      <c r="Z1" s="494"/>
    </row>
    <row r="2" spans="2:29" ht="15">
      <c r="B2" s="495" t="s">
        <v>3</v>
      </c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46087</v>
      </c>
      <c r="J4" s="398" t="s">
        <v>167</v>
      </c>
      <c r="K4" s="398"/>
      <c r="L4" s="11"/>
      <c r="M4" s="492" t="s">
        <v>8</v>
      </c>
      <c r="N4" s="493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8"/>
      <c r="D5" s="49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9" t="s">
        <v>17</v>
      </c>
      <c r="C8" s="501" t="s">
        <v>18</v>
      </c>
      <c r="D8" s="501" t="s">
        <v>19</v>
      </c>
      <c r="E8" s="356" t="s">
        <v>20</v>
      </c>
      <c r="F8" s="356" t="s">
        <v>21</v>
      </c>
      <c r="G8" s="501" t="s">
        <v>22</v>
      </c>
      <c r="H8" s="502" t="s">
        <v>144</v>
      </c>
      <c r="I8" s="501" t="s">
        <v>165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169</v>
      </c>
      <c r="O8" s="510" t="s">
        <v>155</v>
      </c>
      <c r="P8" s="496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.6" customHeight="1">
      <c r="B9" s="500"/>
      <c r="C9" s="497"/>
      <c r="D9" s="497"/>
      <c r="E9" s="357" t="s">
        <v>30</v>
      </c>
      <c r="F9" s="357" t="s">
        <v>31</v>
      </c>
      <c r="G9" s="497"/>
      <c r="H9" s="503"/>
      <c r="I9" s="497"/>
      <c r="J9" s="505"/>
      <c r="K9" s="507"/>
      <c r="L9" s="509"/>
      <c r="M9" s="20" t="s">
        <v>32</v>
      </c>
      <c r="N9" s="21" t="s">
        <v>41</v>
      </c>
      <c r="O9" s="511"/>
      <c r="P9" s="497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29" t="s">
        <v>6</v>
      </c>
      <c r="C10" s="366" t="str">
        <f>[4]Brewhouse!$A210</f>
        <v>CA167</v>
      </c>
      <c r="D10" s="279">
        <f>[4]Brewhouse!$AF210</f>
        <v>48.6</v>
      </c>
      <c r="E10" s="279">
        <f>[4]Brewhouse!$AI210</f>
        <v>47.6</v>
      </c>
      <c r="F10" s="278">
        <f>[4]Brewhouse!$V210</f>
        <v>58</v>
      </c>
      <c r="G10" s="279">
        <f>[4]Brewhouse!AG210</f>
        <v>12</v>
      </c>
      <c r="H10" s="396">
        <v>12</v>
      </c>
      <c r="I10" s="368">
        <f>[4]Brewhouse!$AU210</f>
        <v>95.753750342141842</v>
      </c>
      <c r="J10" s="368">
        <f>[4]Brewhouse!$AV210</f>
        <v>96.107267294819877</v>
      </c>
      <c r="K10" s="281">
        <f>[4]Brewhouse!$Q210</f>
        <v>11.497227356746762</v>
      </c>
      <c r="L10" s="276">
        <f>[4]Brewhouse!$P210</f>
        <v>60</v>
      </c>
      <c r="M10" s="397">
        <f>[4]Brewhouse!$U210-[4]Brewhouse!$T210</f>
        <v>0.11527777777777776</v>
      </c>
      <c r="N10" s="370">
        <f>[4]Brewhouse!$Z210</f>
        <v>0.24722222222222223</v>
      </c>
      <c r="O10" s="420" t="str">
        <f>[4]Brewhouse!$AX210</f>
        <v>R. Regis</v>
      </c>
      <c r="P10" s="418"/>
      <c r="R10" s="277" t="str">
        <f t="shared" ref="R10:R25" si="0">B10</f>
        <v>CARIB</v>
      </c>
      <c r="S10" s="472">
        <f t="shared" ref="S10:S39" si="1">VLOOKUP($B10,$R$3:$X$9,2,FALSE)</f>
        <v>11.6</v>
      </c>
      <c r="T10" s="472">
        <f t="shared" ref="T10:T39" si="2">VLOOKUP($B10,$R$3:$X$9,3,FALSE)</f>
        <v>12</v>
      </c>
      <c r="U10" s="297">
        <f t="shared" ref="U10:U39" si="3">VLOOKUP($B10,$R$3:$X$9,4,FALSE)</f>
        <v>0</v>
      </c>
      <c r="V10" s="297">
        <f t="shared" ref="V10:V39" si="4">VLOOKUP($B10,$R$3:$X$9,5,FALSE)</f>
        <v>0.118055555555556</v>
      </c>
      <c r="W10" s="297">
        <f t="shared" ref="W10:W39" si="5">VLOOKUP($B10,$R$3:$X$9,6,FALSE)</f>
        <v>0.22569444444444445</v>
      </c>
      <c r="X10" s="297">
        <f t="shared" ref="X10:X39" si="6">VLOOKUP($B10,$R$3:$X$9,7,FALSE)</f>
        <v>0.2638888888888889</v>
      </c>
      <c r="Y10" s="297">
        <f t="shared" ref="Y10:Y39" si="7">VLOOKUP($B10,$R$3:$Z$9,8,FALSE)</f>
        <v>0</v>
      </c>
      <c r="Z10" s="472">
        <f t="shared" ref="Z10:Z39" si="8">VLOOKUP($B10,$R$3:$Z$9,9,FALSE)</f>
        <v>60</v>
      </c>
    </row>
    <row r="11" spans="2:29" ht="16.5" customHeight="1">
      <c r="B11" s="29" t="s">
        <v>6</v>
      </c>
      <c r="C11" s="366" t="str">
        <f>[4]Brewhouse!$A211</f>
        <v>CA168</v>
      </c>
      <c r="D11" s="279">
        <f>[4]Brewhouse!$AF211</f>
        <v>49.9</v>
      </c>
      <c r="E11" s="279">
        <f>[4]Brewhouse!$AI211</f>
        <v>50.4</v>
      </c>
      <c r="F11" s="278">
        <f>[4]Brewhouse!$V211</f>
        <v>63</v>
      </c>
      <c r="G11" s="279">
        <f>[4]Brewhouse!AG211</f>
        <v>11.7</v>
      </c>
      <c r="H11" s="396">
        <v>11.7</v>
      </c>
      <c r="I11" s="368">
        <f>[4]Brewhouse!$AU211</f>
        <v>98.477078860461759</v>
      </c>
      <c r="J11" s="368">
        <f>[4]Brewhouse!$AV211</f>
        <v>98.840709785311105</v>
      </c>
      <c r="K11" s="281">
        <f>[4]Brewhouse!$Q211</f>
        <v>12.05175600739372</v>
      </c>
      <c r="L11" s="276">
        <f>[4]Brewhouse!$P211</f>
        <v>60</v>
      </c>
      <c r="M11" s="397">
        <f>[4]Brewhouse!$U211-[4]Brewhouse!$T211</f>
        <v>0.10902777777777778</v>
      </c>
      <c r="N11" s="370">
        <f>[4]Brewhouse!$Z211</f>
        <v>0.2729166666666667</v>
      </c>
      <c r="O11" s="420" t="str">
        <f>[4]Brewhouse!$AX211</f>
        <v>D. Gomaz</v>
      </c>
      <c r="P11" s="418" t="s">
        <v>178</v>
      </c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6.5" customHeight="1">
      <c r="B12" s="29" t="s">
        <v>6</v>
      </c>
      <c r="C12" s="366" t="str">
        <f>[4]Brewhouse!$A212</f>
        <v>CA169</v>
      </c>
      <c r="D12" s="279">
        <f>[4]Brewhouse!$AF212</f>
        <v>49.4</v>
      </c>
      <c r="E12" s="279">
        <f>[4]Brewhouse!$AI212</f>
        <v>49.3</v>
      </c>
      <c r="F12" s="278">
        <f>[4]Brewhouse!$V212</f>
        <v>60</v>
      </c>
      <c r="G12" s="279">
        <f>[4]Brewhouse!AG212</f>
        <v>11.9</v>
      </c>
      <c r="H12" s="396">
        <v>11.9</v>
      </c>
      <c r="I12" s="368">
        <f>[4]Brewhouse!$AU212</f>
        <v>98.060574842581516</v>
      </c>
      <c r="J12" s="368">
        <f>[4]Brewhouse!$AV212</f>
        <v>98.422667808111015</v>
      </c>
      <c r="K12" s="281">
        <f>[4]Brewhouse!$Q212</f>
        <v>11.497227356746762</v>
      </c>
      <c r="L12" s="276">
        <f>[4]Brewhouse!$P212</f>
        <v>60</v>
      </c>
      <c r="M12" s="397">
        <f>[4]Brewhouse!$U212-[4]Brewhouse!$T212</f>
        <v>0.10555555555555551</v>
      </c>
      <c r="N12" s="370">
        <f>[4]Brewhouse!$Z212</f>
        <v>0.26180555555555551</v>
      </c>
      <c r="O12" s="420" t="str">
        <f>[4]Brewhouse!$AX212</f>
        <v>D. Gomaz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6.5" customHeight="1">
      <c r="B13" s="29" t="s">
        <v>6</v>
      </c>
      <c r="C13" s="366" t="str">
        <f>[4]Brewhouse!$A213</f>
        <v>CA170</v>
      </c>
      <c r="D13" s="279">
        <f>[4]Brewhouse!$AF213</f>
        <v>49.8</v>
      </c>
      <c r="E13" s="279">
        <f>[4]Brewhouse!$AI213</f>
        <v>50.4</v>
      </c>
      <c r="F13" s="278">
        <f>[4]Brewhouse!$V213</f>
        <v>62</v>
      </c>
      <c r="G13" s="279">
        <f>[4]Brewhouse!AG213</f>
        <v>11.7</v>
      </c>
      <c r="H13" s="396">
        <v>11.8</v>
      </c>
      <c r="I13" s="368">
        <f>[4]Brewhouse!$AU213</f>
        <v>98.477078860461759</v>
      </c>
      <c r="J13" s="368">
        <f>[4]Brewhouse!$AV213</f>
        <v>98.840709785311105</v>
      </c>
      <c r="K13" s="281">
        <f>[4]Brewhouse!$Q213</f>
        <v>12.236598890942693</v>
      </c>
      <c r="L13" s="276">
        <f>[4]Brewhouse!$P213</f>
        <v>61</v>
      </c>
      <c r="M13" s="397">
        <f>[4]Brewhouse!$U213-[4]Brewhouse!$T213</f>
        <v>0.10902777777777783</v>
      </c>
      <c r="N13" s="370">
        <f>[4]Brewhouse!$Z213</f>
        <v>0.2597222222222223</v>
      </c>
      <c r="O13" s="420" t="str">
        <f>[4]Brewhouse!$AX213</f>
        <v>D. Gomaz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6.5" customHeight="1">
      <c r="B14" s="29" t="s">
        <v>6</v>
      </c>
      <c r="C14" s="366" t="str">
        <f>[4]Brewhouse!$A214</f>
        <v>CA171</v>
      </c>
      <c r="D14" s="279">
        <f>[4]Brewhouse!$AF214</f>
        <v>48.6</v>
      </c>
      <c r="E14" s="279">
        <f>[4]Brewhouse!$AI214</f>
        <v>48.2</v>
      </c>
      <c r="F14" s="278">
        <f>[4]Brewhouse!$V214</f>
        <v>59</v>
      </c>
      <c r="G14" s="279">
        <f>[4]Brewhouse!AG214</f>
        <v>12</v>
      </c>
      <c r="H14" s="487">
        <v>12.4</v>
      </c>
      <c r="I14" s="368">
        <f>[4]Brewhouse!$AU214</f>
        <v>96.84005415922779</v>
      </c>
      <c r="J14" s="368">
        <f>[4]Brewhouse!$AV214</f>
        <v>97.197611025189474</v>
      </c>
      <c r="K14" s="281">
        <f>[4]Brewhouse!$Q214</f>
        <v>12.236598890942693</v>
      </c>
      <c r="L14" s="276">
        <f>[4]Brewhouse!$P214</f>
        <v>60</v>
      </c>
      <c r="M14" s="397">
        <f>[4]Brewhouse!$U214-[4]Brewhouse!$T214</f>
        <v>0.10902777777777783</v>
      </c>
      <c r="N14" s="370">
        <f>[4]Brewhouse!$Z214</f>
        <v>0.29166666666666674</v>
      </c>
      <c r="O14" s="420" t="str">
        <f>[4]Brewhouse!$AX214</f>
        <v>D. Gomaz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6.5" customHeight="1">
      <c r="B15" s="29" t="s">
        <v>6</v>
      </c>
      <c r="C15" s="366" t="str">
        <f>[4]Brewhouse!$A215</f>
        <v>CA172</v>
      </c>
      <c r="D15" s="279">
        <f>[4]Brewhouse!$AF215</f>
        <v>49.5</v>
      </c>
      <c r="E15" s="279">
        <f>[4]Brewhouse!$AI215</f>
        <v>49.9</v>
      </c>
      <c r="F15" s="278">
        <f>[4]Brewhouse!$V215</f>
        <v>60</v>
      </c>
      <c r="G15" s="279">
        <f>[4]Brewhouse!AG215</f>
        <v>12</v>
      </c>
      <c r="H15" s="487">
        <v>12.2</v>
      </c>
      <c r="I15" s="368">
        <f>[4]Brewhouse!$AU215</f>
        <v>100.25557474160721</v>
      </c>
      <c r="J15" s="368">
        <f>[4]Brewhouse!$AV215</f>
        <v>100.62574253437666</v>
      </c>
      <c r="K15" s="281">
        <f>[4]Brewhouse!$Q215</f>
        <v>11.312384473197778</v>
      </c>
      <c r="L15" s="276">
        <f>[4]Brewhouse!$P215</f>
        <v>60</v>
      </c>
      <c r="M15" s="397">
        <f>[4]Brewhouse!$U215-[4]Brewhouse!$T215</f>
        <v>0.11041666666666672</v>
      </c>
      <c r="N15" s="370">
        <f>[4]Brewhouse!$Z215</f>
        <v>0.24861111111111112</v>
      </c>
      <c r="O15" s="420" t="str">
        <f>[4]Brewhouse!$AX215</f>
        <v>D. Gomaz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6.5" customHeight="1">
      <c r="B16" s="29" t="s">
        <v>6</v>
      </c>
      <c r="C16" s="366" t="str">
        <f>[4]Brewhouse!$A216</f>
        <v>CA173</v>
      </c>
      <c r="D16" s="279">
        <f>[4]Brewhouse!$AF216</f>
        <v>49.8</v>
      </c>
      <c r="E16" s="279">
        <f>[4]Brewhouse!$AI216</f>
        <v>49.7</v>
      </c>
      <c r="F16" s="278">
        <f>[4]Brewhouse!$V216</f>
        <v>62</v>
      </c>
      <c r="G16" s="279">
        <f>[4]Brewhouse!AG216</f>
        <v>11.8</v>
      </c>
      <c r="H16" s="396">
        <v>12</v>
      </c>
      <c r="I16" s="368">
        <f>[4]Brewhouse!$AU216</f>
        <v>97.982769910971371</v>
      </c>
      <c r="J16" s="368">
        <f>[4]Brewhouse!$AV216</f>
        <v>98.344575578384735</v>
      </c>
      <c r="K16" s="281">
        <f>[4]Brewhouse!$Q216</f>
        <v>11.497227356746762</v>
      </c>
      <c r="L16" s="276">
        <f>[4]Brewhouse!$P216</f>
        <v>59</v>
      </c>
      <c r="M16" s="397">
        <f>[4]Brewhouse!$U216-[4]Brewhouse!$T216</f>
        <v>0.10902777777777783</v>
      </c>
      <c r="N16" s="370">
        <f>[4]Brewhouse!$Z216</f>
        <v>0.24861111111111112</v>
      </c>
      <c r="O16" s="420" t="str">
        <f>[4]Brewhouse!$AX216</f>
        <v>D. Gomaz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6.5" customHeight="1">
      <c r="B17" s="29" t="s">
        <v>6</v>
      </c>
      <c r="C17" s="366" t="str">
        <f>[4]Brewhouse!$A217</f>
        <v>CA174</v>
      </c>
      <c r="D17" s="279">
        <f>[4]Brewhouse!$AF217</f>
        <v>49.7</v>
      </c>
      <c r="E17" s="279">
        <f>[4]Brewhouse!$AI217</f>
        <v>49.9</v>
      </c>
      <c r="F17" s="278">
        <f>[4]Brewhouse!$V217</f>
        <v>63</v>
      </c>
      <c r="G17" s="279">
        <f>[4]Brewhouse!AG217</f>
        <v>11.8</v>
      </c>
      <c r="H17" s="396">
        <v>11.8</v>
      </c>
      <c r="I17" s="368">
        <f>[4]Brewhouse!$AU217</f>
        <v>98.499505757279664</v>
      </c>
      <c r="J17" s="368">
        <f>[4]Brewhouse!$AV217</f>
        <v>98.863189719284065</v>
      </c>
      <c r="K17" s="281">
        <f>[4]Brewhouse!$Q217</f>
        <v>11.682070240295749</v>
      </c>
      <c r="L17" s="276">
        <f>[4]Brewhouse!$P217</f>
        <v>60</v>
      </c>
      <c r="M17" s="397">
        <f>[4]Brewhouse!$U217-[4]Brewhouse!$T217</f>
        <v>0.11041666666666672</v>
      </c>
      <c r="N17" s="370">
        <f>[4]Brewhouse!$Z217</f>
        <v>0.25208333333333333</v>
      </c>
      <c r="O17" s="420" t="str">
        <f>[4]Brewhouse!$AX217</f>
        <v>R. Regis</v>
      </c>
      <c r="P17" s="418"/>
      <c r="R17" s="277" t="str">
        <f t="shared" si="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6.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6.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6.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6.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6.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6.5" hidden="1" customHeight="1">
      <c r="B23" s="22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371"/>
      <c r="P23" s="418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8" hidden="1" customHeight="1">
      <c r="B24" s="22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371"/>
      <c r="P24" s="418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6.5" hidden="1" customHeight="1">
      <c r="B25" s="22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18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5.75" customHeight="1" thickBot="1">
      <c r="B26" s="358"/>
      <c r="C26" s="358"/>
      <c r="D26" s="358"/>
      <c r="E26" s="358"/>
      <c r="F26" s="294"/>
      <c r="G26" s="294"/>
      <c r="H26" s="348"/>
      <c r="I26" s="512"/>
      <c r="J26" s="512"/>
      <c r="K26" s="512"/>
      <c r="L26" s="512"/>
      <c r="M26" s="512"/>
      <c r="N26" s="512"/>
      <c r="O26" s="1"/>
      <c r="P26" s="12"/>
      <c r="R26" s="277">
        <f t="shared" ref="R26:R39" si="9">B26</f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5.75" customHeight="1" thickBot="1">
      <c r="B27" s="388" t="s">
        <v>162</v>
      </c>
      <c r="C27" s="388"/>
      <c r="D27" s="513" t="s">
        <v>35</v>
      </c>
      <c r="E27" s="514"/>
      <c r="F27" s="294"/>
      <c r="G27" s="294"/>
      <c r="H27" s="348"/>
      <c r="I27" s="24" t="s">
        <v>17</v>
      </c>
      <c r="J27" s="25"/>
      <c r="K27" s="26" t="s">
        <v>138</v>
      </c>
      <c r="L27" s="25" t="s">
        <v>37</v>
      </c>
      <c r="M27" s="25" t="s">
        <v>38</v>
      </c>
      <c r="N27" s="27" t="s">
        <v>39</v>
      </c>
      <c r="O27" s="294"/>
      <c r="P27" s="12"/>
      <c r="R27" s="277" t="str">
        <f t="shared" si="9"/>
        <v xml:space="preserve">BRAND 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5" customHeight="1">
      <c r="A28" s="28"/>
      <c r="B28" s="525"/>
      <c r="C28" s="362"/>
      <c r="D28" s="518"/>
      <c r="E28" s="519"/>
      <c r="F28" s="294"/>
      <c r="G28" s="294"/>
      <c r="H28" s="348"/>
      <c r="I28" s="29" t="s">
        <v>6</v>
      </c>
      <c r="J28" s="323">
        <f>AVERAGE(I10:I17)</f>
        <v>98.043298434341608</v>
      </c>
      <c r="K28" s="284">
        <f>COUNTA([4]Brewhouse!$A$198:$A$217)</f>
        <v>20</v>
      </c>
      <c r="L28" s="305">
        <f>AVERAGE([4]Brewhouse!$AU$198:$AU$217)</f>
        <v>98.240425075441493</v>
      </c>
      <c r="M28" s="305">
        <f>AVERAGE([4]Brewhouse!$AU$42:$AU$123,[4]Brewhouse!$AU$125:$AU$188,[4]Brewhouse!$AU$198:$AU$217)</f>
        <v>97.673948790710256</v>
      </c>
      <c r="N28" s="30">
        <v>98</v>
      </c>
      <c r="O28" s="11"/>
      <c r="P28" s="31"/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5" customHeight="1">
      <c r="A29" s="28"/>
      <c r="B29" s="526"/>
      <c r="C29" s="362"/>
      <c r="D29" s="520"/>
      <c r="E29" s="521"/>
      <c r="F29" s="294"/>
      <c r="G29" s="294"/>
      <c r="H29" s="348"/>
      <c r="I29" s="33" t="s">
        <v>9</v>
      </c>
      <c r="J29" s="280"/>
      <c r="K29" s="284"/>
      <c r="L29" s="302"/>
      <c r="M29" s="302">
        <f>AVERAGE([3]Brewhouse!$AS$52:$AS$81,[3]Brewhouse!$AS$83:$AS$124)</f>
        <v>98.31661114924232</v>
      </c>
      <c r="N29" s="30">
        <v>98</v>
      </c>
      <c r="O29" s="11"/>
      <c r="P29" s="31"/>
      <c r="R29" s="277">
        <f t="shared" si="9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65" customHeight="1">
      <c r="A30" s="28"/>
      <c r="B30" s="526"/>
      <c r="C30" s="362"/>
      <c r="D30" s="522"/>
      <c r="E30" s="523"/>
      <c r="F30" s="294"/>
      <c r="G30" s="294"/>
      <c r="H30" s="348"/>
      <c r="I30" s="34" t="s">
        <v>12</v>
      </c>
      <c r="J30" s="280"/>
      <c r="K30" s="284">
        <f>COUNTA([5]Brewhouse!$A$34:$A$41)</f>
        <v>8</v>
      </c>
      <c r="L30" s="302">
        <f>AVERAGE([5]Brewhouse!$AU$34:$AU$41)</f>
        <v>94.762610859726223</v>
      </c>
      <c r="M30" s="302">
        <f>AVERAGE([5]Brewhouse!$AU$16:$AU$23,[5]Brewhouse!$AU$25:$AU$32,[5]Brewhouse!$AU$34:$AU$41)</f>
        <v>97.131453825415363</v>
      </c>
      <c r="N30" s="30">
        <v>98</v>
      </c>
      <c r="O30" s="11"/>
      <c r="P30" s="31"/>
      <c r="R30" s="277">
        <f t="shared" si="9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26"/>
      <c r="C31" s="362"/>
      <c r="D31" s="524"/>
      <c r="E31" s="521"/>
      <c r="F31" s="294"/>
      <c r="G31" s="294"/>
      <c r="H31" s="348"/>
      <c r="I31" s="22" t="s">
        <v>33</v>
      </c>
      <c r="J31" s="280"/>
      <c r="K31" s="284">
        <f>COUNTA([6]Brewhouse!$A$38:$A$44)</f>
        <v>7</v>
      </c>
      <c r="L31" s="302">
        <f>AVERAGE([6]Brewhouse!$AV$38:$AV$44)</f>
        <v>96.929916494140343</v>
      </c>
      <c r="M31" s="302">
        <f>AVERAGE([6]Brewhouse!$AV$23:$AV$34,[6]Brewhouse!$AV$36,[6]Brewhouse!$AV$38:$AV$44)</f>
        <v>97.74055230745536</v>
      </c>
      <c r="N31" s="30">
        <v>98</v>
      </c>
      <c r="O31" s="11"/>
      <c r="P31" s="31"/>
      <c r="R31" s="277">
        <f t="shared" si="9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26"/>
      <c r="C32" s="362"/>
      <c r="D32" s="522"/>
      <c r="E32" s="523"/>
      <c r="F32" s="417"/>
      <c r="G32" s="294"/>
      <c r="H32" s="348"/>
      <c r="I32" s="35" t="s">
        <v>29</v>
      </c>
      <c r="J32" s="280"/>
      <c r="K32" s="284"/>
      <c r="L32" s="302"/>
      <c r="M32" s="302"/>
      <c r="N32" s="30">
        <v>98</v>
      </c>
      <c r="O32" s="11"/>
      <c r="P32" s="31"/>
      <c r="R32" s="277">
        <f t="shared" si="9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26"/>
      <c r="C33" s="362"/>
      <c r="D33" s="524"/>
      <c r="E33" s="521"/>
      <c r="F33" s="417"/>
      <c r="G33" s="294"/>
      <c r="H33" s="348"/>
      <c r="I33" s="36" t="s">
        <v>15</v>
      </c>
      <c r="J33" s="323"/>
      <c r="K33" s="284"/>
      <c r="L33" s="302"/>
      <c r="M33" s="302">
        <f>AVERAGE([7]Brewhouse!$AT$4:$AT$11)</f>
        <v>92.826224508052405</v>
      </c>
      <c r="N33" s="30">
        <v>98</v>
      </c>
      <c r="O33" s="11"/>
      <c r="P33" s="31"/>
      <c r="R33" s="277">
        <f t="shared" si="9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4.65" customHeight="1">
      <c r="A34" s="28"/>
      <c r="B34" s="526"/>
      <c r="C34" s="362"/>
      <c r="D34" s="522"/>
      <c r="E34" s="523"/>
      <c r="F34" s="417"/>
      <c r="G34" s="294"/>
      <c r="H34" s="348"/>
      <c r="I34" s="37" t="s">
        <v>16</v>
      </c>
      <c r="J34" s="323"/>
      <c r="K34" s="284"/>
      <c r="L34" s="302"/>
      <c r="M34" s="302">
        <f>AVERAGE([8]Brewhouse!$AY$5:$AY$14,[8]Brewhouse!$AY$16:$AY$23)</f>
        <v>97.293615171264676</v>
      </c>
      <c r="N34" s="30">
        <v>98</v>
      </c>
      <c r="O34" s="11"/>
      <c r="P34" s="31" t="s">
        <v>41</v>
      </c>
      <c r="R34" s="277">
        <f t="shared" si="9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4.65" customHeight="1">
      <c r="A35" s="28"/>
      <c r="B35" s="526"/>
      <c r="C35" s="362"/>
      <c r="D35" s="524"/>
      <c r="E35" s="521"/>
      <c r="F35" s="294"/>
      <c r="G35" s="294"/>
      <c r="H35" s="348"/>
      <c r="I35" s="411" t="s">
        <v>158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9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4.65" customHeight="1">
      <c r="A36" s="28"/>
      <c r="B36" s="526"/>
      <c r="C36" s="349"/>
      <c r="D36" s="522"/>
      <c r="E36" s="523"/>
      <c r="F36" s="294"/>
      <c r="G36" s="294"/>
      <c r="H36" s="348"/>
      <c r="I36" s="410" t="s">
        <v>157</v>
      </c>
      <c r="J36" s="326"/>
      <c r="K36" s="284"/>
      <c r="L36" s="305"/>
      <c r="M36" s="305"/>
      <c r="N36" s="30">
        <v>98</v>
      </c>
      <c r="O36" s="11"/>
      <c r="P36" s="31"/>
      <c r="R36" s="277">
        <f t="shared" si="9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" customHeight="1" thickBot="1">
      <c r="A37" s="28"/>
      <c r="B37" s="526"/>
      <c r="C37" s="349"/>
      <c r="D37" s="524"/>
      <c r="E37" s="521"/>
      <c r="F37" s="294"/>
      <c r="G37" s="294"/>
      <c r="H37" s="348"/>
      <c r="I37" s="406" t="s">
        <v>156</v>
      </c>
      <c r="J37" s="327"/>
      <c r="K37" s="407"/>
      <c r="L37" s="408"/>
      <c r="M37" s="408"/>
      <c r="N37" s="409">
        <v>98</v>
      </c>
      <c r="O37" s="11"/>
      <c r="P37" s="31"/>
      <c r="R37" s="277">
        <f t="shared" si="9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" customHeight="1" thickBot="1">
      <c r="A38" s="28"/>
      <c r="B38" s="526"/>
      <c r="C38" s="349"/>
      <c r="D38" s="518"/>
      <c r="E38" s="519"/>
      <c r="F38" s="294"/>
      <c r="G38" s="294"/>
      <c r="H38" s="348"/>
      <c r="I38" s="1"/>
      <c r="J38" s="39"/>
      <c r="K38" s="404">
        <f>SUM(K28:K37)</f>
        <v>35</v>
      </c>
      <c r="L38" s="405">
        <f>((L28*K28)+(L29*K29)+(L30*K30)+(L31*K31)+(L32*K32)+(K35*L35)+(L33*K33)+(L34*K34)+(L37*K37))/(K38)</f>
        <v>97.183394395589204</v>
      </c>
      <c r="M38" s="405">
        <f>AVERAGE('[9]Jan30th-31st'!$L$42,L38)</f>
        <v>97.505718065715342</v>
      </c>
      <c r="N38" s="40">
        <v>98</v>
      </c>
      <c r="O38" s="11"/>
      <c r="P38" s="31"/>
      <c r="R38" s="277">
        <f t="shared" si="9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56" ht="15.75" thickBot="1">
      <c r="B39" s="583"/>
      <c r="C39" s="350"/>
      <c r="D39" s="520"/>
      <c r="E39" s="521"/>
      <c r="F39" s="294"/>
      <c r="G39" s="42"/>
      <c r="H39" s="41"/>
      <c r="I39" s="42"/>
      <c r="J39" s="42"/>
      <c r="K39" s="351"/>
      <c r="L39" s="348"/>
      <c r="M39" s="348"/>
      <c r="N39" s="11"/>
      <c r="O39" s="294"/>
      <c r="P39" s="12"/>
      <c r="R39" s="277">
        <f t="shared" si="9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  <c r="AA39" s="472"/>
    </row>
    <row r="40" spans="1:56" ht="15.75" thickBot="1">
      <c r="B40" s="525"/>
      <c r="C40" s="362"/>
      <c r="D40" s="528"/>
      <c r="E40" s="529"/>
      <c r="F40" s="294"/>
      <c r="G40" s="42"/>
      <c r="H40" s="41"/>
      <c r="I40" s="42"/>
      <c r="J40" s="530" t="s">
        <v>129</v>
      </c>
      <c r="K40" s="530"/>
      <c r="L40" s="294"/>
      <c r="M40" s="294"/>
      <c r="N40" s="294"/>
      <c r="O40" s="294"/>
      <c r="P40" s="12"/>
    </row>
    <row r="41" spans="1:56" ht="15.75" thickBot="1">
      <c r="B41" s="526"/>
      <c r="C41" s="362"/>
      <c r="D41" s="524"/>
      <c r="E41" s="521"/>
      <c r="F41" s="294"/>
      <c r="G41" s="42"/>
      <c r="H41" s="41"/>
      <c r="I41" s="41"/>
      <c r="J41" s="292" t="s">
        <v>17</v>
      </c>
      <c r="K41" s="293" t="s">
        <v>172</v>
      </c>
      <c r="L41" s="531" t="s">
        <v>136</v>
      </c>
      <c r="M41" s="531"/>
      <c r="N41" s="532"/>
      <c r="O41" s="294"/>
      <c r="P41" s="12"/>
    </row>
    <row r="42" spans="1:56" ht="15" customHeight="1" thickBot="1">
      <c r="B42" s="526"/>
      <c r="C42" s="349"/>
      <c r="D42" s="522"/>
      <c r="E42" s="523"/>
      <c r="F42" s="294"/>
      <c r="G42" s="42"/>
      <c r="H42" s="41"/>
      <c r="I42" s="41"/>
      <c r="J42" s="287" t="s">
        <v>6</v>
      </c>
      <c r="K42" s="324">
        <v>8</v>
      </c>
      <c r="L42" s="473" t="s">
        <v>37</v>
      </c>
      <c r="M42" s="474" t="s">
        <v>38</v>
      </c>
      <c r="N42" s="474" t="s">
        <v>84</v>
      </c>
      <c r="O42" s="294"/>
      <c r="P42" s="12"/>
    </row>
    <row r="43" spans="1:56" ht="15.75" customHeight="1" thickBot="1">
      <c r="B43" s="526"/>
      <c r="C43" s="349"/>
      <c r="D43" s="524"/>
      <c r="E43" s="521"/>
      <c r="F43" s="294"/>
      <c r="G43" s="42"/>
      <c r="H43" s="41"/>
      <c r="I43" s="41"/>
      <c r="J43" s="345" t="s">
        <v>9</v>
      </c>
      <c r="K43" s="324"/>
      <c r="L43" s="344">
        <f>AVERAGE(K52,'Mar 2nd'!K49,'Mar 1st'!K55,'Mar 3rd'!K49,'Mar 4th'!K51)</f>
        <v>7</v>
      </c>
      <c r="M43" s="325">
        <f>AVERAGE('[9]Jan30th-31st'!$L$47,L43,'[10]Feb 26th '!$L$39)</f>
        <v>6.3956521739130432</v>
      </c>
      <c r="N43" s="416">
        <v>9.1999999999999993</v>
      </c>
      <c r="O43" s="294"/>
      <c r="P43" s="12"/>
    </row>
    <row r="44" spans="1:56" ht="15" customHeight="1">
      <c r="B44" s="526"/>
      <c r="C44" s="349"/>
      <c r="D44" s="522"/>
      <c r="E44" s="523"/>
      <c r="F44" s="294"/>
      <c r="G44" s="42"/>
      <c r="H44" s="41"/>
      <c r="I44" s="41"/>
      <c r="J44" s="288" t="s">
        <v>40</v>
      </c>
      <c r="K44" s="324"/>
      <c r="L44" s="294"/>
      <c r="M44" s="294"/>
      <c r="N44" s="294"/>
      <c r="O44" s="294"/>
      <c r="P44" s="12"/>
    </row>
    <row r="45" spans="1:56" ht="15" customHeight="1">
      <c r="B45" s="526"/>
      <c r="C45" s="349"/>
      <c r="D45" s="524"/>
      <c r="E45" s="521"/>
      <c r="F45" s="294"/>
      <c r="G45" s="42"/>
      <c r="H45" s="41"/>
      <c r="I45" s="41"/>
      <c r="J45" s="289" t="s">
        <v>33</v>
      </c>
      <c r="K45" s="324"/>
      <c r="L45" s="294"/>
      <c r="M45" s="294"/>
      <c r="N45" s="294"/>
      <c r="O45" s="294"/>
      <c r="P45" s="12"/>
    </row>
    <row r="46" spans="1:56" ht="15">
      <c r="B46" s="526"/>
      <c r="C46" s="349"/>
      <c r="D46" s="522"/>
      <c r="E46" s="523"/>
      <c r="F46" s="294"/>
      <c r="G46" s="42"/>
      <c r="H46" s="41"/>
      <c r="I46" s="41"/>
      <c r="J46" s="290" t="s">
        <v>16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26"/>
      <c r="C47" s="349"/>
      <c r="D47" s="524"/>
      <c r="E47" s="521"/>
      <c r="F47" s="294"/>
      <c r="G47" s="42"/>
      <c r="H47" s="41"/>
      <c r="I47" s="41"/>
      <c r="J47" s="291" t="s">
        <v>15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26"/>
      <c r="C48" s="349"/>
      <c r="D48" s="522"/>
      <c r="E48" s="523"/>
      <c r="F48" s="294"/>
      <c r="G48" s="42"/>
      <c r="H48" s="41"/>
      <c r="I48" s="41"/>
      <c r="J48" s="291" t="s">
        <v>149</v>
      </c>
      <c r="K48" s="324"/>
      <c r="L48" s="294"/>
      <c r="M48" s="294"/>
      <c r="N48" s="294"/>
      <c r="O48" s="294"/>
      <c r="P48" s="12"/>
      <c r="BC48" s="44"/>
      <c r="BD48" s="44"/>
    </row>
    <row r="49" spans="1:57" ht="15.75" thickBot="1">
      <c r="B49" s="527"/>
      <c r="C49" s="350"/>
      <c r="D49" s="533"/>
      <c r="E49" s="534"/>
      <c r="F49" s="294" t="s">
        <v>166</v>
      </c>
      <c r="G49" s="42"/>
      <c r="H49" s="41"/>
      <c r="I49" s="41"/>
      <c r="J49" s="291" t="s">
        <v>148</v>
      </c>
      <c r="K49" s="324"/>
      <c r="L49" s="294"/>
      <c r="M49" s="294"/>
      <c r="N49" s="294" t="s">
        <v>41</v>
      </c>
      <c r="O49" s="294"/>
      <c r="P49" s="12"/>
      <c r="BC49" s="44"/>
      <c r="BD49" s="44"/>
    </row>
    <row r="50" spans="1:57" ht="17.649999999999999" customHeight="1" thickBot="1">
      <c r="B50" s="312" t="s">
        <v>139</v>
      </c>
      <c r="C50" s="313"/>
      <c r="D50" s="535"/>
      <c r="E50" s="536"/>
      <c r="F50" s="294"/>
      <c r="H50" s="41"/>
      <c r="I50" s="41"/>
      <c r="J50" s="295" t="s">
        <v>134</v>
      </c>
      <c r="K50" s="324"/>
      <c r="L50" s="294"/>
      <c r="M50" s="294"/>
      <c r="N50" s="294"/>
      <c r="O50" s="294"/>
      <c r="P50" s="12"/>
      <c r="BC50" s="44"/>
      <c r="BD50" s="44"/>
    </row>
    <row r="51" spans="1:57" ht="17.649999999999999" customHeight="1">
      <c r="B51" s="363"/>
      <c r="C51" s="364"/>
      <c r="D51" s="365"/>
      <c r="E51" s="365"/>
      <c r="F51" s="294"/>
      <c r="G51" s="42"/>
      <c r="H51" s="41"/>
      <c r="I51" s="41"/>
      <c r="J51" s="295" t="s">
        <v>131</v>
      </c>
      <c r="K51" s="324"/>
      <c r="L51" s="294"/>
      <c r="M51" s="294"/>
      <c r="N51" s="294"/>
      <c r="O51" s="294"/>
      <c r="P51" s="12"/>
      <c r="BC51" s="44"/>
      <c r="BD51" s="44"/>
    </row>
    <row r="52" spans="1:57" ht="15.6" customHeight="1">
      <c r="B52" s="45"/>
      <c r="C52" s="11"/>
      <c r="D52" s="11"/>
      <c r="E52" s="46"/>
      <c r="F52" s="294"/>
      <c r="G52" s="42"/>
      <c r="H52" s="41"/>
      <c r="I52" s="41"/>
      <c r="J52" s="346" t="s">
        <v>130</v>
      </c>
      <c r="K52" s="324">
        <f>SUM(K42:K51)</f>
        <v>8</v>
      </c>
      <c r="L52" s="294"/>
      <c r="M52" s="294"/>
      <c r="N52" s="294"/>
      <c r="O52" s="294"/>
      <c r="P52" s="12"/>
    </row>
    <row r="53" spans="1:57" ht="20.25" customHeight="1">
      <c r="B53" s="15" t="s">
        <v>42</v>
      </c>
      <c r="C53" s="1" t="s">
        <v>43</v>
      </c>
      <c r="D53" s="1"/>
      <c r="E53" s="1"/>
      <c r="F53" s="294"/>
      <c r="G53" s="42"/>
      <c r="H53" s="41"/>
      <c r="I53" s="42"/>
      <c r="L53" s="294"/>
      <c r="N53" s="315"/>
      <c r="P53" s="334"/>
    </row>
    <row r="54" spans="1:57" ht="15" customHeight="1" thickBot="1"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1"/>
      <c r="O54" s="48"/>
      <c r="P54" s="49"/>
    </row>
    <row r="55" spans="1:57" ht="15" customHeight="1" thickBot="1">
      <c r="B55" s="537" t="s">
        <v>17</v>
      </c>
      <c r="C55" s="537" t="s">
        <v>44</v>
      </c>
      <c r="D55" s="540" t="s">
        <v>45</v>
      </c>
      <c r="E55" s="501" t="s">
        <v>46</v>
      </c>
      <c r="F55" s="510" t="s">
        <v>47</v>
      </c>
      <c r="G55" s="549" t="s">
        <v>48</v>
      </c>
      <c r="H55" s="537" t="s">
        <v>49</v>
      </c>
      <c r="I55" s="537" t="s">
        <v>50</v>
      </c>
      <c r="J55" s="543" t="s">
        <v>28</v>
      </c>
      <c r="K55" s="499" t="s">
        <v>51</v>
      </c>
      <c r="L55" s="552" t="s">
        <v>52</v>
      </c>
      <c r="M55" s="543" t="s">
        <v>53</v>
      </c>
      <c r="N55" s="13"/>
      <c r="O55" s="13"/>
      <c r="P55" s="50"/>
    </row>
    <row r="56" spans="1:57" ht="28.5" customHeight="1" thickTop="1" thickBot="1">
      <c r="B56" s="538"/>
      <c r="C56" s="539"/>
      <c r="D56" s="541"/>
      <c r="E56" s="542"/>
      <c r="F56" s="554"/>
      <c r="G56" s="550"/>
      <c r="H56" s="538"/>
      <c r="I56" s="538"/>
      <c r="J56" s="544"/>
      <c r="K56" s="551"/>
      <c r="L56" s="553"/>
      <c r="M56" s="544"/>
      <c r="N56" s="13"/>
      <c r="O56" s="13"/>
      <c r="P56" s="50"/>
      <c r="Q56" s="355"/>
      <c r="AB56" s="475">
        <v>43474</v>
      </c>
      <c r="AC56" s="475">
        <v>43475</v>
      </c>
      <c r="AD56" s="475">
        <v>43476</v>
      </c>
      <c r="AE56" s="475">
        <v>43477</v>
      </c>
      <c r="AF56" s="475">
        <v>43478</v>
      </c>
      <c r="AG56" s="475">
        <v>43479</v>
      </c>
      <c r="AH56" s="475">
        <v>43480</v>
      </c>
      <c r="AI56" s="475">
        <v>43481</v>
      </c>
      <c r="AJ56" s="475">
        <v>43482</v>
      </c>
      <c r="AK56" s="475">
        <v>43483</v>
      </c>
      <c r="AL56" s="475">
        <v>43484</v>
      </c>
      <c r="AM56" s="475">
        <v>43485</v>
      </c>
      <c r="AN56" s="475">
        <v>43486</v>
      </c>
      <c r="AO56" s="475">
        <v>43487</v>
      </c>
      <c r="AP56" s="475">
        <v>43488</v>
      </c>
      <c r="AQ56" s="475">
        <v>43489</v>
      </c>
      <c r="AR56" s="475">
        <v>43490</v>
      </c>
      <c r="AS56" s="475">
        <v>43491</v>
      </c>
      <c r="AT56" s="475">
        <v>43492</v>
      </c>
      <c r="AU56" s="475">
        <v>43493</v>
      </c>
      <c r="AV56" s="475">
        <v>43494</v>
      </c>
      <c r="AW56" s="475">
        <v>43495</v>
      </c>
      <c r="AX56" s="475">
        <v>43496</v>
      </c>
    </row>
    <row r="57" spans="1:57" s="54" customFormat="1" ht="36.75" customHeight="1" thickBot="1">
      <c r="B57" s="486"/>
      <c r="C57" s="479"/>
      <c r="D57" s="442"/>
      <c r="E57" s="443"/>
      <c r="F57" s="444"/>
      <c r="G57" s="445"/>
      <c r="H57" s="458"/>
      <c r="I57" s="458"/>
      <c r="J57" s="448" t="s">
        <v>174</v>
      </c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[14]January_2019!L5</f>
        <v>0</v>
      </c>
      <c r="AC57" s="57">
        <f>[14]January_2019!M5</f>
        <v>0</v>
      </c>
      <c r="AD57" s="57">
        <f>[14]January_2019!N5</f>
        <v>0</v>
      </c>
      <c r="AE57" s="57">
        <f>[14]January_2019!O5</f>
        <v>0</v>
      </c>
      <c r="AF57" s="57">
        <f>[14]January_2019!P5</f>
        <v>0</v>
      </c>
      <c r="AG57" s="57">
        <f>[14]January_2019!Q5</f>
        <v>0</v>
      </c>
      <c r="AH57" s="57">
        <f>[14]January_2019!R5</f>
        <v>0</v>
      </c>
      <c r="AI57" s="57">
        <f>[14]January_2019!S5</f>
        <v>0</v>
      </c>
      <c r="AJ57" s="57">
        <f>[14]January_2019!T5</f>
        <v>0</v>
      </c>
      <c r="AK57" s="57">
        <f>[14]January_2019!U5</f>
        <v>0</v>
      </c>
      <c r="AL57" s="57">
        <f>[14]January_2019!V5</f>
        <v>0</v>
      </c>
      <c r="AM57" s="57">
        <f>[14]January_2019!W5</f>
        <v>0</v>
      </c>
      <c r="AN57" s="57">
        <f>[14]January_2019!X5</f>
        <v>0</v>
      </c>
      <c r="AO57" s="57">
        <f>[14]January_2019!Y5</f>
        <v>0</v>
      </c>
      <c r="AP57" s="57">
        <f>[14]January_2019!Z5</f>
        <v>0</v>
      </c>
      <c r="AQ57" s="57">
        <f>[14]January_2019!AA5</f>
        <v>0</v>
      </c>
      <c r="AR57" s="57">
        <f>[14]January_2019!AB5</f>
        <v>0</v>
      </c>
      <c r="AS57" s="57">
        <f>[14]January_2019!AC5</f>
        <v>0</v>
      </c>
      <c r="AT57" s="57">
        <f>[14]January_2019!AD5</f>
        <v>0</v>
      </c>
      <c r="AU57" s="57">
        <f>[14]January_2019!AE5</f>
        <v>0</v>
      </c>
      <c r="AV57" s="57">
        <f>[14]January_2019!AF5</f>
        <v>0</v>
      </c>
      <c r="AW57" s="57">
        <f>[14]January_2019!AG5</f>
        <v>0</v>
      </c>
      <c r="AX57" s="277">
        <f>[14]January_2019!AH5</f>
        <v>0</v>
      </c>
      <c r="AY57" s="277"/>
      <c r="AZ57" s="277"/>
      <c r="BA57" s="277"/>
      <c r="BB57" s="277"/>
      <c r="BC57" s="277"/>
      <c r="BD57" s="277"/>
      <c r="BE57" s="277"/>
    </row>
    <row r="58" spans="1:57" s="54" customFormat="1" ht="14.25" customHeight="1" thickBot="1">
      <c r="B58" s="480"/>
      <c r="C58" s="479"/>
      <c r="D58" s="442"/>
      <c r="E58" s="443"/>
      <c r="F58" s="444"/>
      <c r="G58" s="445"/>
      <c r="H58" s="458"/>
      <c r="I58" s="458"/>
      <c r="J58" s="476"/>
      <c r="K58" s="44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[14]January_2019!L6</f>
        <v>0</v>
      </c>
      <c r="AC58" s="57">
        <f>[14]January_2019!M6</f>
        <v>0</v>
      </c>
      <c r="AD58" s="57">
        <f>[14]January_2019!N6</f>
        <v>0</v>
      </c>
      <c r="AE58" s="57">
        <f>[14]January_2019!O6</f>
        <v>0</v>
      </c>
      <c r="AF58" s="57">
        <f>[14]January_2019!P6</f>
        <v>0</v>
      </c>
      <c r="AG58" s="57">
        <f>[14]January_2019!Q6</f>
        <v>0</v>
      </c>
      <c r="AH58" s="57">
        <f>[14]January_2019!R6</f>
        <v>0</v>
      </c>
      <c r="AI58" s="57">
        <f>[14]January_2019!S6</f>
        <v>0</v>
      </c>
      <c r="AJ58" s="57">
        <f>[14]January_2019!T6</f>
        <v>0</v>
      </c>
      <c r="AK58" s="57">
        <f>[14]January_2019!U6</f>
        <v>0</v>
      </c>
      <c r="AL58" s="57">
        <f>[14]January_2019!V6</f>
        <v>0</v>
      </c>
      <c r="AM58" s="57">
        <f>[14]January_2019!W6</f>
        <v>0</v>
      </c>
      <c r="AN58" s="57">
        <f>[14]January_2019!X6</f>
        <v>0</v>
      </c>
      <c r="AO58" s="57">
        <f>[14]January_2019!Y6</f>
        <v>0</v>
      </c>
      <c r="AP58" s="57">
        <f>[14]January_2019!Z6</f>
        <v>0</v>
      </c>
      <c r="AQ58" s="57">
        <f>[14]January_2019!AA6</f>
        <v>0</v>
      </c>
      <c r="AR58" s="57">
        <f>[14]January_2019!AB6</f>
        <v>0</v>
      </c>
      <c r="AS58" s="57">
        <f>[14]January_2019!AC6</f>
        <v>0</v>
      </c>
      <c r="AT58" s="57">
        <f>[14]January_2019!AD6</f>
        <v>0</v>
      </c>
      <c r="AU58" s="57">
        <f>[14]January_2019!AE6</f>
        <v>0</v>
      </c>
      <c r="AV58" s="57">
        <f>[14]January_2019!AF6</f>
        <v>0</v>
      </c>
      <c r="AW58" s="57">
        <f>[14]January_2019!AG6</f>
        <v>0</v>
      </c>
      <c r="AX58" s="277">
        <f>[14]January_2019!AH6</f>
        <v>0</v>
      </c>
      <c r="AY58" s="277"/>
      <c r="AZ58" s="277"/>
      <c r="BA58" s="277"/>
      <c r="BB58" s="277"/>
      <c r="BC58" s="277"/>
      <c r="BD58" s="277"/>
      <c r="BE58" s="277"/>
    </row>
    <row r="59" spans="1:57" s="54" customFormat="1" ht="37.15" hidden="1" customHeight="1" thickBot="1">
      <c r="A59" s="54" t="s">
        <v>168</v>
      </c>
      <c r="B59" s="485"/>
      <c r="C59" s="479"/>
      <c r="D59" s="442"/>
      <c r="E59" s="443"/>
      <c r="F59" s="444"/>
      <c r="G59" s="445"/>
      <c r="H59" s="458"/>
      <c r="I59" s="458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>
        <f>[14]January_2019!L7</f>
        <v>285.8</v>
      </c>
      <c r="AC59" s="57">
        <f>[14]January_2019!M7</f>
        <v>508.1</v>
      </c>
      <c r="AD59" s="57">
        <f>[14]January_2019!N7</f>
        <v>0</v>
      </c>
      <c r="AE59" s="57">
        <f>[14]January_2019!O7</f>
        <v>0</v>
      </c>
      <c r="AF59" s="57">
        <f>[14]January_2019!P7</f>
        <v>109.56666666666666</v>
      </c>
      <c r="AG59" s="57">
        <f>[14]January_2019!Q7</f>
        <v>297.64999999999998</v>
      </c>
      <c r="AH59" s="57">
        <f>[14]January_2019!R7</f>
        <v>122.3</v>
      </c>
      <c r="AI59" s="57">
        <f>[14]January_2019!S7</f>
        <v>0</v>
      </c>
      <c r="AJ59" s="57">
        <f>[14]January_2019!T7</f>
        <v>294.7</v>
      </c>
      <c r="AK59" s="57">
        <f>[14]January_2019!U7</f>
        <v>280.5</v>
      </c>
      <c r="AL59" s="57">
        <f>[14]January_2019!V7</f>
        <v>0</v>
      </c>
      <c r="AM59" s="57">
        <f>[14]January_2019!W7</f>
        <v>0</v>
      </c>
      <c r="AN59" s="57">
        <f>[14]January_2019!X7</f>
        <v>188.25</v>
      </c>
      <c r="AO59" s="57">
        <f>[14]January_2019!Y7</f>
        <v>295.7</v>
      </c>
      <c r="AP59" s="57">
        <f>[14]January_2019!Z7</f>
        <v>257.8</v>
      </c>
      <c r="AQ59" s="57">
        <f>[14]January_2019!AA7</f>
        <v>291.2</v>
      </c>
      <c r="AR59" s="57">
        <f>[14]January_2019!AB7</f>
        <v>187</v>
      </c>
      <c r="AS59" s="57">
        <f>[14]January_2019!AC7</f>
        <v>0</v>
      </c>
      <c r="AT59" s="57">
        <f>[14]January_2019!AD7</f>
        <v>0</v>
      </c>
      <c r="AU59" s="57">
        <f>[14]January_2019!AE7</f>
        <v>485.1</v>
      </c>
      <c r="AV59" s="57">
        <f>[14]January_2019!AF7</f>
        <v>171.55</v>
      </c>
      <c r="AW59" s="57">
        <f>[14]January_2019!AG7</f>
        <v>423.8</v>
      </c>
      <c r="AX59" s="277">
        <f>[14]January_2019!AH7</f>
        <v>0</v>
      </c>
      <c r="AY59" s="277"/>
      <c r="AZ59" s="277"/>
      <c r="BA59" s="277"/>
      <c r="BB59" s="277"/>
      <c r="BC59" s="277"/>
      <c r="BD59" s="277"/>
      <c r="BE59" s="277"/>
    </row>
    <row r="60" spans="1:57" s="54" customFormat="1" ht="19.5" hidden="1" customHeight="1" thickBot="1">
      <c r="B60" s="478"/>
      <c r="C60" s="430"/>
      <c r="D60" s="431"/>
      <c r="E60" s="432"/>
      <c r="F60" s="433"/>
      <c r="G60" s="434"/>
      <c r="H60" s="458"/>
      <c r="I60" s="458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38.450000000000003" hidden="1" customHeight="1" thickBot="1">
      <c r="B61" s="480"/>
      <c r="C61" s="479"/>
      <c r="D61" s="442"/>
      <c r="E61" s="443"/>
      <c r="F61" s="444"/>
      <c r="G61" s="445"/>
      <c r="H61" s="458"/>
      <c r="I61" s="458"/>
      <c r="J61" s="448" t="s">
        <v>171</v>
      </c>
      <c r="K61" s="459"/>
      <c r="L61" s="457" t="e">
        <f>(((D61+E61)-G61)/(D61+E61))*100</f>
        <v>#DIV/0!</v>
      </c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15" hidden="1">
      <c r="B62" s="453"/>
      <c r="C62" s="430"/>
      <c r="D62" s="431"/>
      <c r="E62" s="432"/>
      <c r="F62" s="433"/>
      <c r="G62" s="434"/>
      <c r="H62" s="435"/>
      <c r="I62" s="450"/>
      <c r="J62" s="451"/>
      <c r="K62" s="436"/>
      <c r="L62" s="452"/>
      <c r="M62" s="421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s="54" customFormat="1" ht="37.15" hidden="1" customHeight="1" thickBot="1">
      <c r="B63" s="480"/>
      <c r="C63" s="479"/>
      <c r="D63" s="442"/>
      <c r="E63" s="443"/>
      <c r="F63" s="444"/>
      <c r="G63" s="445"/>
      <c r="H63" s="446"/>
      <c r="I63" s="447"/>
      <c r="J63" s="448"/>
      <c r="K63" s="449"/>
      <c r="L63" s="457"/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s="54" customFormat="1" ht="16.5" hidden="1" customHeight="1" thickBot="1">
      <c r="B64" s="437"/>
      <c r="C64" s="423"/>
      <c r="D64" s="424"/>
      <c r="E64" s="425"/>
      <c r="F64" s="426"/>
      <c r="G64" s="427"/>
      <c r="H64" s="428"/>
      <c r="I64" s="438"/>
      <c r="J64" s="439"/>
      <c r="K64" s="429"/>
      <c r="L64" s="440"/>
      <c r="M64" s="422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415"/>
      <c r="AC64" s="415"/>
      <c r="AD64" s="415"/>
      <c r="AE64" s="415"/>
      <c r="AF64" s="415"/>
      <c r="AG64" s="415"/>
      <c r="AH64" s="415"/>
      <c r="AI64" s="415"/>
      <c r="AJ64" s="415"/>
      <c r="AK64" s="415"/>
      <c r="AL64" s="415"/>
      <c r="AM64" s="415"/>
      <c r="AN64" s="415"/>
      <c r="AO64" s="415"/>
      <c r="AP64" s="415"/>
      <c r="AQ64" s="415"/>
      <c r="AR64" s="415"/>
      <c r="AS64" s="415"/>
      <c r="AT64" s="415"/>
      <c r="AU64" s="415"/>
      <c r="AV64" s="415"/>
      <c r="AW64" s="415"/>
    </row>
    <row r="65" spans="2:57" s="54" customFormat="1" ht="37.15" hidden="1" customHeight="1" thickBot="1">
      <c r="B65" s="456"/>
      <c r="C65" s="441"/>
      <c r="D65" s="442"/>
      <c r="E65" s="443"/>
      <c r="F65" s="444"/>
      <c r="G65" s="445"/>
      <c r="H65" s="446"/>
      <c r="I65" s="447"/>
      <c r="J65" s="448"/>
      <c r="K65" s="449"/>
      <c r="L65" s="457"/>
      <c r="M65" s="454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7.15" customHeight="1">
      <c r="B66" s="466"/>
      <c r="C66" s="430"/>
      <c r="D66" s="460"/>
      <c r="E66" s="461"/>
      <c r="F66" s="462"/>
      <c r="G66" s="460"/>
      <c r="H66" s="463"/>
      <c r="I66" s="463"/>
      <c r="J66" s="463"/>
      <c r="K66" s="464"/>
      <c r="L66" s="465"/>
      <c r="M66" s="50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ht="18" customHeight="1" thickBot="1">
      <c r="B67" s="59"/>
      <c r="C67" s="30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 t="s">
        <v>41</v>
      </c>
      <c r="O67" s="56"/>
      <c r="P67" s="60"/>
    </row>
    <row r="68" spans="2:57" ht="15.75" thickBot="1">
      <c r="B68" s="545" t="s">
        <v>55</v>
      </c>
      <c r="C68" s="546"/>
      <c r="D68" s="546"/>
      <c r="E68" s="546"/>
      <c r="F68" s="547"/>
      <c r="G68" s="545" t="s">
        <v>56</v>
      </c>
      <c r="H68" s="546"/>
      <c r="I68" s="546"/>
      <c r="J68" s="547"/>
      <c r="K68" s="545" t="s">
        <v>51</v>
      </c>
      <c r="L68" s="546"/>
      <c r="M68" s="546"/>
      <c r="N68" s="548"/>
      <c r="O68" s="56"/>
      <c r="P68" s="50"/>
    </row>
    <row r="69" spans="2:57" ht="15">
      <c r="B69" s="61" t="s">
        <v>17</v>
      </c>
      <c r="C69" s="62" t="s">
        <v>36</v>
      </c>
      <c r="D69" s="62" t="s">
        <v>37</v>
      </c>
      <c r="E69" s="62" t="s">
        <v>38</v>
      </c>
      <c r="F69" s="63" t="s">
        <v>39</v>
      </c>
      <c r="G69" s="62" t="s">
        <v>36</v>
      </c>
      <c r="H69" s="62" t="s">
        <v>37</v>
      </c>
      <c r="I69" s="62" t="s">
        <v>38</v>
      </c>
      <c r="J69" s="63" t="s">
        <v>39</v>
      </c>
      <c r="K69" s="62" t="s">
        <v>36</v>
      </c>
      <c r="L69" s="62" t="s">
        <v>37</v>
      </c>
      <c r="M69" s="62" t="s">
        <v>38</v>
      </c>
      <c r="N69" s="63" t="s">
        <v>39</v>
      </c>
      <c r="O69" s="56"/>
      <c r="P69" s="64"/>
    </row>
    <row r="70" spans="2:57" ht="15">
      <c r="B70" s="29" t="s">
        <v>6</v>
      </c>
      <c r="C70" s="282"/>
      <c r="D70" s="76">
        <v>8.7786259541984624</v>
      </c>
      <c r="E70" s="76">
        <v>7.3706095828564644</v>
      </c>
      <c r="F70" s="66">
        <v>4.8</v>
      </c>
      <c r="G70" s="65"/>
      <c r="H70" s="477">
        <v>8.4081085941424085</v>
      </c>
      <c r="I70" s="477">
        <v>7.5088378267587412</v>
      </c>
      <c r="J70" s="66">
        <v>4.8</v>
      </c>
      <c r="K70" s="67"/>
      <c r="L70" s="194">
        <v>0.33543859649122809</v>
      </c>
      <c r="M70" s="194">
        <v>0.3879408195117135</v>
      </c>
      <c r="N70" s="68">
        <v>1</v>
      </c>
      <c r="O70" s="56"/>
      <c r="P70" s="69"/>
    </row>
    <row r="71" spans="2:57" ht="15">
      <c r="B71" s="33" t="s">
        <v>9</v>
      </c>
      <c r="C71" s="65"/>
      <c r="D71" s="76">
        <v>7.025900565644533</v>
      </c>
      <c r="E71" s="76">
        <v>6.4149147319533819</v>
      </c>
      <c r="F71" s="66">
        <v>4.8</v>
      </c>
      <c r="G71" s="65"/>
      <c r="H71" s="76">
        <v>7.2057488520690356</v>
      </c>
      <c r="I71" s="76">
        <v>6.4809053832841554</v>
      </c>
      <c r="J71" s="66">
        <v>4.8</v>
      </c>
      <c r="K71" s="67"/>
      <c r="L71" s="194">
        <v>0.66210526315789475</v>
      </c>
      <c r="M71" s="194">
        <v>0.56980105779238654</v>
      </c>
      <c r="N71" s="68">
        <v>1</v>
      </c>
      <c r="P71" s="69"/>
    </row>
    <row r="72" spans="2:57" ht="15">
      <c r="B72" s="34" t="s">
        <v>40</v>
      </c>
      <c r="C72" s="65"/>
      <c r="D72" s="76"/>
      <c r="E72" s="76">
        <v>12.433093745220976</v>
      </c>
      <c r="F72" s="66">
        <v>5.5</v>
      </c>
      <c r="G72" s="65"/>
      <c r="H72" s="76"/>
      <c r="I72" s="76">
        <v>12.623654161138989</v>
      </c>
      <c r="J72" s="66">
        <v>5.5</v>
      </c>
      <c r="K72" s="67"/>
      <c r="L72" s="194"/>
      <c r="M72" s="194">
        <v>0.33891812865497073</v>
      </c>
      <c r="N72" s="68">
        <v>1</v>
      </c>
      <c r="P72" s="69"/>
    </row>
    <row r="73" spans="2:57" ht="15">
      <c r="B73" s="22" t="s">
        <v>33</v>
      </c>
      <c r="C73" s="65"/>
      <c r="D73" s="76">
        <v>4.786281034041461</v>
      </c>
      <c r="E73" s="76">
        <v>4.9619586520196597</v>
      </c>
      <c r="F73" s="66">
        <v>3.3</v>
      </c>
      <c r="G73" s="65"/>
      <c r="H73" s="76">
        <v>5.4251963146907434</v>
      </c>
      <c r="I73" s="76">
        <v>4.9501867212112511</v>
      </c>
      <c r="J73" s="66">
        <v>3.3</v>
      </c>
      <c r="K73" s="67"/>
      <c r="L73" s="194">
        <v>1.3052631578947369</v>
      </c>
      <c r="M73" s="194">
        <v>0.88064327485380123</v>
      </c>
      <c r="N73" s="68">
        <v>1</v>
      </c>
      <c r="P73" s="69"/>
    </row>
    <row r="74" spans="2:57" ht="15">
      <c r="B74" s="35" t="s">
        <v>164</v>
      </c>
      <c r="C74" s="65"/>
      <c r="D74" s="76"/>
      <c r="E74" s="76"/>
      <c r="F74" s="66">
        <v>3.3</v>
      </c>
      <c r="G74" s="282"/>
      <c r="H74" s="76"/>
      <c r="I74" s="76"/>
      <c r="J74" s="66">
        <v>3</v>
      </c>
      <c r="K74" s="67"/>
      <c r="L74" s="194"/>
      <c r="M74" s="194"/>
      <c r="N74" s="68">
        <v>1</v>
      </c>
      <c r="P74" s="69"/>
    </row>
    <row r="75" spans="2:57" ht="15">
      <c r="B75" s="36" t="s">
        <v>15</v>
      </c>
      <c r="C75" s="65"/>
      <c r="D75" s="76"/>
      <c r="E75" s="76">
        <v>5.1105651105651271</v>
      </c>
      <c r="F75" s="70">
        <f>[15]May_2022!$M$43</f>
        <v>3.4878406700073312</v>
      </c>
      <c r="G75" s="282"/>
      <c r="H75" s="76"/>
      <c r="I75" s="76">
        <v>7.9131369535794072</v>
      </c>
      <c r="J75" s="66">
        <v>5.5</v>
      </c>
      <c r="K75" s="67"/>
      <c r="L75" s="194"/>
      <c r="M75" s="194">
        <v>1.3550877192982456</v>
      </c>
      <c r="N75" s="68">
        <v>1</v>
      </c>
      <c r="P75" s="69"/>
    </row>
    <row r="76" spans="2:57" ht="15">
      <c r="B76" s="37" t="s">
        <v>16</v>
      </c>
      <c r="C76" s="65"/>
      <c r="D76" s="76"/>
      <c r="E76" s="76">
        <v>3.9401442566476499</v>
      </c>
      <c r="F76" s="66">
        <v>3.3</v>
      </c>
      <c r="G76" s="282"/>
      <c r="H76" s="76"/>
      <c r="I76" s="76">
        <v>4.7059150132172638</v>
      </c>
      <c r="J76" s="66">
        <v>3.3</v>
      </c>
      <c r="K76" s="67"/>
      <c r="L76" s="194"/>
      <c r="M76" s="194">
        <v>0.82374269005847967</v>
      </c>
      <c r="N76" s="71">
        <v>1</v>
      </c>
      <c r="P76" s="69"/>
    </row>
    <row r="77" spans="2:57" ht="15.75" thickBot="1">
      <c r="B77" s="38" t="s">
        <v>163</v>
      </c>
      <c r="C77" s="65"/>
      <c r="D77" s="76"/>
      <c r="E77" s="76"/>
      <c r="F77" s="66">
        <v>7.5</v>
      </c>
      <c r="G77" s="282"/>
      <c r="H77" s="76"/>
      <c r="I77" s="76"/>
      <c r="J77" s="66">
        <v>7.5</v>
      </c>
      <c r="K77" s="67"/>
      <c r="L77" s="194"/>
      <c r="M77" s="194"/>
      <c r="N77" s="71">
        <v>1</v>
      </c>
      <c r="P77" s="69"/>
    </row>
    <row r="78" spans="2:57" ht="15.75" thickBot="1">
      <c r="B78" s="414" t="s">
        <v>161</v>
      </c>
      <c r="C78" s="65"/>
      <c r="D78" s="76"/>
      <c r="E78" s="76"/>
      <c r="F78" s="66">
        <v>4.8</v>
      </c>
      <c r="G78" s="282"/>
      <c r="H78" s="76"/>
      <c r="I78" s="76"/>
      <c r="J78" s="66">
        <v>4.8</v>
      </c>
      <c r="K78" s="67"/>
      <c r="L78" s="194"/>
      <c r="M78" s="194"/>
      <c r="N78" s="71">
        <v>1</v>
      </c>
      <c r="O78" s="74"/>
      <c r="P78" s="75"/>
    </row>
    <row r="79" spans="2:57" ht="15">
      <c r="D79" s="76">
        <v>6.8367585240541748</v>
      </c>
      <c r="E79" s="76">
        <v>6.8648925558981873</v>
      </c>
      <c r="F79" s="341">
        <v>5.5</v>
      </c>
      <c r="H79" s="76">
        <v>6.871403613643162</v>
      </c>
      <c r="I79" s="76">
        <v>7.0877699144866817</v>
      </c>
      <c r="J79" s="341">
        <v>5.5</v>
      </c>
      <c r="L79" s="194">
        <v>0.72540350877192983</v>
      </c>
      <c r="M79" s="194">
        <v>0.44783344162876332</v>
      </c>
      <c r="N79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6:N26"/>
    <mergeCell ref="D27:E27"/>
    <mergeCell ref="B28:B39"/>
    <mergeCell ref="D28:E29"/>
    <mergeCell ref="D30:E31"/>
    <mergeCell ref="D32:E33"/>
    <mergeCell ref="D34:E35"/>
    <mergeCell ref="D36:E37"/>
    <mergeCell ref="D38:E39"/>
    <mergeCell ref="B40:B49"/>
    <mergeCell ref="D40:E41"/>
    <mergeCell ref="J40:K40"/>
    <mergeCell ref="L41:N41"/>
    <mergeCell ref="D42:E43"/>
    <mergeCell ref="D44:E45"/>
    <mergeCell ref="D46:E47"/>
    <mergeCell ref="D48:E49"/>
    <mergeCell ref="D50:E50"/>
    <mergeCell ref="B55:B56"/>
    <mergeCell ref="C55:C56"/>
    <mergeCell ref="D55:D56"/>
    <mergeCell ref="E55:E56"/>
    <mergeCell ref="M55:M56"/>
    <mergeCell ref="B68:F68"/>
    <mergeCell ref="G68:J68"/>
    <mergeCell ref="K68:N68"/>
    <mergeCell ref="G55:G56"/>
    <mergeCell ref="H55:H56"/>
    <mergeCell ref="I55:I56"/>
    <mergeCell ref="J55:J56"/>
    <mergeCell ref="K55:K56"/>
    <mergeCell ref="L55:L56"/>
    <mergeCell ref="F55:F56"/>
  </mergeCells>
  <conditionalFormatting sqref="B50:B51">
    <cfRule type="cellIs" dxfId="2898" priority="63" operator="notBetween">
      <formula>#REF!</formula>
      <formula>#REF!</formula>
    </cfRule>
  </conditionalFormatting>
  <conditionalFormatting sqref="C54">
    <cfRule type="cellIs" dxfId="2897" priority="157" stopIfTrue="1" operator="lessThan">
      <formula>96</formula>
    </cfRule>
    <cfRule type="cellIs" dxfId="2896" priority="158" stopIfTrue="1" operator="greaterThan">
      <formula>100</formula>
    </cfRule>
  </conditionalFormatting>
  <conditionalFormatting sqref="C70:C74">
    <cfRule type="cellIs" dxfId="2895" priority="126" stopIfTrue="1" operator="lessThanOrEqual">
      <formula>0</formula>
    </cfRule>
  </conditionalFormatting>
  <conditionalFormatting sqref="C70:C78">
    <cfRule type="cellIs" dxfId="2894" priority="125" stopIfTrue="1" operator="greaterThan">
      <formula>$F70</formula>
    </cfRule>
  </conditionalFormatting>
  <conditionalFormatting sqref="C71">
    <cfRule type="cellIs" dxfId="2893" priority="159" stopIfTrue="1" operator="greaterThan">
      <formula>$F70</formula>
    </cfRule>
  </conditionalFormatting>
  <conditionalFormatting sqref="C75">
    <cfRule type="cellIs" dxfId="2892" priority="87" stopIfTrue="1" operator="lessThanOrEqual">
      <formula>0</formula>
    </cfRule>
    <cfRule type="cellIs" dxfId="2891" priority="88" stopIfTrue="1" operator="greaterThan">
      <formula>$F74</formula>
    </cfRule>
  </conditionalFormatting>
  <conditionalFormatting sqref="C76:C78">
    <cfRule type="cellIs" dxfId="2890" priority="127" stopIfTrue="1" operator="lessThanOrEqual">
      <formula>0</formula>
    </cfRule>
  </conditionalFormatting>
  <conditionalFormatting sqref="C81:C85">
    <cfRule type="cellIs" dxfId="2889" priority="149" stopIfTrue="1" operator="lessThanOrEqual">
      <formula>0</formula>
    </cfRule>
  </conditionalFormatting>
  <conditionalFormatting sqref="C82:C85">
    <cfRule type="cellIs" dxfId="2888" priority="148" stopIfTrue="1" operator="greaterThan">
      <formula>$F$81</formula>
    </cfRule>
  </conditionalFormatting>
  <conditionalFormatting sqref="C87">
    <cfRule type="cellIs" dxfId="2887" priority="150" stopIfTrue="1" operator="greaterThan">
      <formula>$F$81</formula>
    </cfRule>
    <cfRule type="cellIs" dxfId="2886" priority="151" stopIfTrue="1" operator="lessThanOrEqual">
      <formula>0</formula>
    </cfRule>
  </conditionalFormatting>
  <conditionalFormatting sqref="C81:D81 D83:D89">
    <cfRule type="cellIs" dxfId="2885" priority="143" stopIfTrue="1" operator="greaterThan">
      <formula>4.5</formula>
    </cfRule>
  </conditionalFormatting>
  <conditionalFormatting sqref="D50:D51">
    <cfRule type="cellIs" dxfId="2884" priority="64" operator="notBetween">
      <formula>#REF!</formula>
      <formula>#REF!</formula>
    </cfRule>
  </conditionalFormatting>
  <conditionalFormatting sqref="D70:D77">
    <cfRule type="cellIs" dxfId="2883" priority="36" stopIfTrue="1" operator="lessThanOrEqual">
      <formula>0</formula>
    </cfRule>
  </conditionalFormatting>
  <conditionalFormatting sqref="D70:D79">
    <cfRule type="cellIs" dxfId="2882" priority="15" stopIfTrue="1" operator="lessThanOrEqual">
      <formula>0</formula>
    </cfRule>
  </conditionalFormatting>
  <conditionalFormatting sqref="D78">
    <cfRule type="cellIs" dxfId="2881" priority="35" stopIfTrue="1" operator="lessThanOrEqual">
      <formula>0</formula>
    </cfRule>
  </conditionalFormatting>
  <conditionalFormatting sqref="D79">
    <cfRule type="cellIs" dxfId="2880" priority="30" stopIfTrue="1" operator="lessThanOrEqual">
      <formula>0</formula>
    </cfRule>
  </conditionalFormatting>
  <conditionalFormatting sqref="D81 D83:D89">
    <cfRule type="cellIs" dxfId="2879" priority="144" stopIfTrue="1" operator="lessThanOrEqual">
      <formula>0</formula>
    </cfRule>
  </conditionalFormatting>
  <conditionalFormatting sqref="D82">
    <cfRule type="cellIs" dxfId="2878" priority="136" stopIfTrue="1" operator="lessThanOrEqual">
      <formula>0</formula>
    </cfRule>
    <cfRule type="cellIs" dxfId="2877" priority="135" stopIfTrue="1" operator="greaterThan">
      <formula>$F$81</formula>
    </cfRule>
  </conditionalFormatting>
  <conditionalFormatting sqref="D70:E79">
    <cfRule type="cellIs" dxfId="2876" priority="17" stopIfTrue="1" operator="greaterThan">
      <formula>$F70</formula>
    </cfRule>
  </conditionalFormatting>
  <conditionalFormatting sqref="D79:E79">
    <cfRule type="cellIs" dxfId="2875" priority="19" stopIfTrue="1" operator="lessThanOrEqual">
      <formula>0</formula>
    </cfRule>
  </conditionalFormatting>
  <conditionalFormatting sqref="E10:E25">
    <cfRule type="cellIs" dxfId="2874" priority="8" operator="lessThan">
      <formula>48</formula>
    </cfRule>
  </conditionalFormatting>
  <conditionalFormatting sqref="E53 E54:F54">
    <cfRule type="cellIs" dxfId="2873" priority="140" stopIfTrue="1" operator="greaterThan">
      <formula>100</formula>
    </cfRule>
  </conditionalFormatting>
  <conditionalFormatting sqref="E54">
    <cfRule type="cellIs" dxfId="2872" priority="137" stopIfTrue="1" operator="lessThan">
      <formula>96.8</formula>
    </cfRule>
    <cfRule type="cellIs" dxfId="2871" priority="138" stopIfTrue="1" operator="greaterThan">
      <formula>100</formula>
    </cfRule>
  </conditionalFormatting>
  <conditionalFormatting sqref="E70:E78">
    <cfRule type="cellIs" dxfId="2870" priority="16" stopIfTrue="1" operator="lessThanOrEqual">
      <formula>0</formula>
    </cfRule>
  </conditionalFormatting>
  <conditionalFormatting sqref="E70:E79">
    <cfRule type="cellIs" dxfId="2869" priority="18" stopIfTrue="1" operator="lessThanOrEqual">
      <formula>0</formula>
    </cfRule>
  </conditionalFormatting>
  <conditionalFormatting sqref="E81:E89">
    <cfRule type="cellIs" dxfId="2868" priority="129" stopIfTrue="1" operator="greaterThan">
      <formula>4.5</formula>
    </cfRule>
    <cfRule type="cellIs" dxfId="2867" priority="130" stopIfTrue="1" operator="lessThanOrEqual">
      <formula>0</formula>
    </cfRule>
  </conditionalFormatting>
  <conditionalFormatting sqref="E54:F54 E53">
    <cfRule type="cellIs" dxfId="2866" priority="139" stopIfTrue="1" operator="lessThan">
      <formula>96.5</formula>
    </cfRule>
  </conditionalFormatting>
  <conditionalFormatting sqref="F10:F25">
    <cfRule type="cellIs" dxfId="2865" priority="11" operator="greaterThan">
      <formula>60</formula>
    </cfRule>
  </conditionalFormatting>
  <conditionalFormatting sqref="F54">
    <cfRule type="cellIs" dxfId="2864" priority="156" stopIfTrue="1" operator="greaterThan">
      <formula>100</formula>
    </cfRule>
    <cfRule type="cellIs" dxfId="2863" priority="155" stopIfTrue="1" operator="lessThan">
      <formula>96.8</formula>
    </cfRule>
  </conditionalFormatting>
  <conditionalFormatting sqref="F79">
    <cfRule type="cellIs" dxfId="2862" priority="34" stopIfTrue="1" operator="lessThanOrEqual">
      <formula>0</formula>
    </cfRule>
    <cfRule type="cellIs" dxfId="2861" priority="33" stopIfTrue="1" operator="greaterThan">
      <formula>$F79</formula>
    </cfRule>
  </conditionalFormatting>
  <conditionalFormatting sqref="G10:G24">
    <cfRule type="expression" dxfId="2860" priority="3">
      <formula>IF(+(IF(G10&lt;S10,0,IF(G10&gt;T10,0,1)))=0,1)</formula>
    </cfRule>
  </conditionalFormatting>
  <conditionalFormatting sqref="G70:G71">
    <cfRule type="cellIs" dxfId="2859" priority="31" stopIfTrue="1" operator="greaterThan">
      <formula>$F70</formula>
    </cfRule>
    <cfRule type="cellIs" dxfId="2858" priority="32" stopIfTrue="1" operator="lessThanOrEqual">
      <formula>0</formula>
    </cfRule>
    <cfRule type="cellIs" dxfId="2857" priority="37" stopIfTrue="1" operator="greaterThan">
      <formula>$F70</formula>
    </cfRule>
    <cfRule type="cellIs" dxfId="2856" priority="38" stopIfTrue="1" operator="lessThanOrEqual">
      <formula>0</formula>
    </cfRule>
  </conditionalFormatting>
  <conditionalFormatting sqref="G72">
    <cfRule type="cellIs" dxfId="2855" priority="41" stopIfTrue="1" operator="greaterThan">
      <formula>$F71</formula>
    </cfRule>
    <cfRule type="cellIs" dxfId="2854" priority="42" stopIfTrue="1" operator="lessThanOrEqual">
      <formula>0</formula>
    </cfRule>
  </conditionalFormatting>
  <conditionalFormatting sqref="G73">
    <cfRule type="cellIs" dxfId="2853" priority="25" stopIfTrue="1" operator="greaterThan">
      <formula>$F73</formula>
    </cfRule>
    <cfRule type="cellIs" dxfId="2852" priority="26" stopIfTrue="1" operator="lessThanOrEqual">
      <formula>0</formula>
    </cfRule>
    <cfRule type="cellIs" dxfId="2851" priority="24" stopIfTrue="1" operator="lessThanOrEqual">
      <formula>0</formula>
    </cfRule>
    <cfRule type="cellIs" dxfId="2850" priority="23" stopIfTrue="1" operator="greaterThan">
      <formula>$F73</formula>
    </cfRule>
  </conditionalFormatting>
  <conditionalFormatting sqref="G74:G78">
    <cfRule type="cellIs" dxfId="2849" priority="39" stopIfTrue="1" operator="greaterThan">
      <formula>$J74</formula>
    </cfRule>
    <cfRule type="cellIs" dxfId="2848" priority="40" stopIfTrue="1" operator="lessThanOrEqual">
      <formula>0</formula>
    </cfRule>
  </conditionalFormatting>
  <conditionalFormatting sqref="G83:G88 C86 C88">
    <cfRule type="cellIs" dxfId="2847" priority="153" stopIfTrue="1" operator="lessThanOrEqual">
      <formula>0</formula>
    </cfRule>
    <cfRule type="cellIs" dxfId="2846" priority="152" stopIfTrue="1" operator="greaterThan">
      <formula>4.5</formula>
    </cfRule>
  </conditionalFormatting>
  <conditionalFormatting sqref="G82:H82">
    <cfRule type="cellIs" dxfId="2845" priority="134" stopIfTrue="1" operator="lessThanOrEqual">
      <formula>0</formula>
    </cfRule>
    <cfRule type="cellIs" dxfId="2844" priority="133" stopIfTrue="1" operator="greaterThan">
      <formula>$F$81</formula>
    </cfRule>
  </conditionalFormatting>
  <conditionalFormatting sqref="H10:H24 G25:H25">
    <cfRule type="expression" dxfId="2843" priority="60">
      <formula>IF(+(IF(G10&lt;#REF!,0,IF(G10&gt;#REF!,0,1)))=0,1)</formula>
    </cfRule>
  </conditionalFormatting>
  <conditionalFormatting sqref="H39:H53 I41:I52">
    <cfRule type="cellIs" dxfId="2842" priority="131" stopIfTrue="1" operator="greaterThan">
      <formula>0</formula>
    </cfRule>
  </conditionalFormatting>
  <conditionalFormatting sqref="H57:H61">
    <cfRule type="cellIs" dxfId="2841" priority="47" stopIfTrue="1" operator="greaterThan">
      <formula>$F$70</formula>
    </cfRule>
    <cfRule type="cellIs" dxfId="2840" priority="56" stopIfTrue="1" operator="lessThanOrEqual">
      <formula>0</formula>
    </cfRule>
    <cfRule type="cellIs" dxfId="2839" priority="46" stopIfTrue="1" operator="lessThanOrEqual">
      <formula>0</formula>
    </cfRule>
    <cfRule type="cellIs" dxfId="2838" priority="58" stopIfTrue="1" operator="lessThanOrEqual">
      <formula>0</formula>
    </cfRule>
    <cfRule type="cellIs" dxfId="2837" priority="55" stopIfTrue="1" operator="greaterThan">
      <formula>$F$73</formula>
    </cfRule>
    <cfRule type="cellIs" dxfId="2836" priority="57" stopIfTrue="1" operator="greaterThan">
      <formula>$F$71</formula>
    </cfRule>
  </conditionalFormatting>
  <conditionalFormatting sqref="H62:H63">
    <cfRule type="cellIs" dxfId="2835" priority="100" stopIfTrue="1" operator="lessThanOrEqual">
      <formula>0</formula>
    </cfRule>
    <cfRule type="cellIs" dxfId="2834" priority="99" stopIfTrue="1" operator="greaterThan">
      <formula>$F$25</formula>
    </cfRule>
    <cfRule type="cellIs" dxfId="2833" priority="102" stopIfTrue="1" operator="lessThanOrEqual">
      <formula>0</formula>
    </cfRule>
    <cfRule type="cellIs" dxfId="2832" priority="101" stopIfTrue="1" operator="greaterThan">
      <formula>#REF!</formula>
    </cfRule>
    <cfRule type="cellIs" dxfId="2831" priority="90" stopIfTrue="1" operator="lessThanOrEqual">
      <formula>0</formula>
    </cfRule>
    <cfRule type="cellIs" dxfId="2830" priority="91" stopIfTrue="1" operator="greaterThan">
      <formula>#REF!</formula>
    </cfRule>
  </conditionalFormatting>
  <conditionalFormatting sqref="H64">
    <cfRule type="cellIs" dxfId="2829" priority="116" stopIfTrue="1" operator="lessThanOrEqual">
      <formula>0</formula>
    </cfRule>
    <cfRule type="cellIs" dxfId="2828" priority="115" stopIfTrue="1" operator="greaterThan">
      <formula>$F$39</formula>
    </cfRule>
    <cfRule type="cellIs" dxfId="2827" priority="114" stopIfTrue="1" operator="lessThanOrEqual">
      <formula>0</formula>
    </cfRule>
    <cfRule type="cellIs" dxfId="2826" priority="113" stopIfTrue="1" operator="greaterThan">
      <formula>$F$41</formula>
    </cfRule>
    <cfRule type="cellIs" dxfId="2825" priority="104" stopIfTrue="1" operator="lessThanOrEqual">
      <formula>0</formula>
    </cfRule>
    <cfRule type="cellIs" dxfId="2824" priority="105" stopIfTrue="1" operator="greaterThan">
      <formula>$F$38</formula>
    </cfRule>
  </conditionalFormatting>
  <conditionalFormatting sqref="H65:H66">
    <cfRule type="cellIs" dxfId="2823" priority="85" stopIfTrue="1" operator="greaterThan">
      <formula>#REF!</formula>
    </cfRule>
    <cfRule type="cellIs" dxfId="2822" priority="84" stopIfTrue="1" operator="lessThanOrEqual">
      <formula>0</formula>
    </cfRule>
    <cfRule type="cellIs" dxfId="2821" priority="74" stopIfTrue="1" operator="lessThanOrEqual">
      <formula>0</formula>
    </cfRule>
    <cfRule type="cellIs" dxfId="2820" priority="75" stopIfTrue="1" operator="greaterThan">
      <formula>#REF!</formula>
    </cfRule>
    <cfRule type="cellIs" dxfId="2819" priority="83" stopIfTrue="1" operator="greaterThan">
      <formula>$F$25</formula>
    </cfRule>
    <cfRule type="cellIs" dxfId="2818" priority="86" stopIfTrue="1" operator="lessThanOrEqual">
      <formula>0</formula>
    </cfRule>
  </conditionalFormatting>
  <conditionalFormatting sqref="H81 H83:H89">
    <cfRule type="cellIs" dxfId="2817" priority="145" stopIfTrue="1" operator="greaterThan">
      <formula>4.5</formula>
    </cfRule>
    <cfRule type="cellIs" dxfId="2816" priority="146" stopIfTrue="1" operator="lessThanOrEqual">
      <formula>0</formula>
    </cfRule>
  </conditionalFormatting>
  <conditionalFormatting sqref="H57:I61">
    <cfRule type="cellIs" dxfId="2815" priority="48" stopIfTrue="1" operator="lessThanOrEqual">
      <formula>0</formula>
    </cfRule>
    <cfRule type="cellIs" dxfId="2814" priority="45" stopIfTrue="1" operator="greaterThan">
      <formula>$F$72</formula>
    </cfRule>
  </conditionalFormatting>
  <conditionalFormatting sqref="H62:I63">
    <cfRule type="cellIs" dxfId="2813" priority="89" stopIfTrue="1" operator="greaterThan">
      <formula>#REF!</formula>
    </cfRule>
    <cfRule type="cellIs" dxfId="2812" priority="92" stopIfTrue="1" operator="lessThanOrEqual">
      <formula>0</formula>
    </cfRule>
  </conditionalFormatting>
  <conditionalFormatting sqref="H64:I64">
    <cfRule type="cellIs" dxfId="2811" priority="103" stopIfTrue="1" operator="greaterThan">
      <formula>$F$40</formula>
    </cfRule>
    <cfRule type="cellIs" dxfId="2810" priority="106" stopIfTrue="1" operator="lessThanOrEqual">
      <formula>0</formula>
    </cfRule>
  </conditionalFormatting>
  <conditionalFormatting sqref="H65:I66">
    <cfRule type="cellIs" dxfId="2809" priority="73" stopIfTrue="1" operator="greaterThan">
      <formula>#REF!</formula>
    </cfRule>
    <cfRule type="cellIs" dxfId="2808" priority="76" stopIfTrue="1" operator="lessThanOrEqual">
      <formula>0</formula>
    </cfRule>
  </conditionalFormatting>
  <conditionalFormatting sqref="H70:I77">
    <cfRule type="cellIs" dxfId="2807" priority="13" stopIfTrue="1" operator="greaterThan">
      <formula>$J70</formula>
    </cfRule>
    <cfRule type="cellIs" dxfId="2806" priority="14" stopIfTrue="1" operator="lessThanOrEqual">
      <formula>0</formula>
    </cfRule>
  </conditionalFormatting>
  <conditionalFormatting sqref="H78:I78">
    <cfRule type="cellIs" dxfId="2805" priority="22" operator="greaterThan">
      <formula>5.3</formula>
    </cfRule>
  </conditionalFormatting>
  <conditionalFormatting sqref="H79:I79">
    <cfRule type="cellIs" dxfId="2804" priority="21" stopIfTrue="1" operator="lessThanOrEqual">
      <formula>0</formula>
    </cfRule>
    <cfRule type="cellIs" dxfId="2803" priority="20" stopIfTrue="1" operator="greaterThan">
      <formula>$J79</formula>
    </cfRule>
  </conditionalFormatting>
  <conditionalFormatting sqref="I57:I61">
    <cfRule type="cellIs" dxfId="2802" priority="51" stopIfTrue="1" operator="greaterThan">
      <formula>$F$72</formula>
    </cfRule>
    <cfRule type="cellIs" dxfId="2801" priority="53" stopIfTrue="1" operator="greaterThan">
      <formula>$F$70</formula>
    </cfRule>
    <cfRule type="cellIs" dxfId="2800" priority="52" stopIfTrue="1" operator="lessThanOrEqual">
      <formula>0</formula>
    </cfRule>
    <cfRule type="cellIs" dxfId="2799" priority="50" stopIfTrue="1" operator="lessThanOrEqual">
      <formula>0</formula>
    </cfRule>
    <cfRule type="cellIs" dxfId="2798" priority="49" stopIfTrue="1" operator="greaterThan">
      <formula>$F$70</formula>
    </cfRule>
    <cfRule type="cellIs" dxfId="2797" priority="54" stopIfTrue="1" operator="lessThanOrEqual">
      <formula>0</formula>
    </cfRule>
  </conditionalFormatting>
  <conditionalFormatting sqref="I62:I63">
    <cfRule type="cellIs" dxfId="2796" priority="94" stopIfTrue="1" operator="lessThanOrEqual">
      <formula>0</formula>
    </cfRule>
    <cfRule type="cellIs" dxfId="2795" priority="95" stopIfTrue="1" operator="greaterThan">
      <formula>#REF!</formula>
    </cfRule>
    <cfRule type="cellIs" dxfId="2794" priority="93" stopIfTrue="1" operator="greaterThan">
      <formula>#REF!</formula>
    </cfRule>
    <cfRule type="cellIs" dxfId="2793" priority="97" stopIfTrue="1" operator="greaterThan">
      <formula>#REF!</formula>
    </cfRule>
    <cfRule type="cellIs" dxfId="2792" priority="98" stopIfTrue="1" operator="lessThanOrEqual">
      <formula>0</formula>
    </cfRule>
    <cfRule type="cellIs" dxfId="2791" priority="96" stopIfTrue="1" operator="lessThanOrEqual">
      <formula>0</formula>
    </cfRule>
  </conditionalFormatting>
  <conditionalFormatting sqref="I64">
    <cfRule type="cellIs" dxfId="2790" priority="112" stopIfTrue="1" operator="lessThanOrEqual">
      <formula>0</formula>
    </cfRule>
    <cfRule type="cellIs" dxfId="2789" priority="110" stopIfTrue="1" operator="lessThanOrEqual">
      <formula>0</formula>
    </cfRule>
    <cfRule type="cellIs" dxfId="2788" priority="109" stopIfTrue="1" operator="greaterThan">
      <formula>$F$40</formula>
    </cfRule>
    <cfRule type="cellIs" dxfId="2787" priority="108" stopIfTrue="1" operator="lessThanOrEqual">
      <formula>0</formula>
    </cfRule>
    <cfRule type="cellIs" dxfId="2786" priority="111" stopIfTrue="1" operator="greaterThan">
      <formula>$F$38</formula>
    </cfRule>
    <cfRule type="cellIs" dxfId="2785" priority="107" stopIfTrue="1" operator="greaterThan">
      <formula>$F$38</formula>
    </cfRule>
  </conditionalFormatting>
  <conditionalFormatting sqref="I65:I66">
    <cfRule type="cellIs" dxfId="2784" priority="79" stopIfTrue="1" operator="greaterThan">
      <formula>#REF!</formula>
    </cfRule>
    <cfRule type="cellIs" dxfId="2783" priority="80" stopIfTrue="1" operator="lessThanOrEqual">
      <formula>0</formula>
    </cfRule>
    <cfRule type="cellIs" dxfId="2782" priority="81" stopIfTrue="1" operator="greaterThan">
      <formula>#REF!</formula>
    </cfRule>
    <cfRule type="cellIs" dxfId="2781" priority="82" stopIfTrue="1" operator="lessThanOrEqual">
      <formula>0</formula>
    </cfRule>
    <cfRule type="cellIs" dxfId="2780" priority="77" stopIfTrue="1" operator="greaterThan">
      <formula>#REF!</formula>
    </cfRule>
    <cfRule type="cellIs" dxfId="2779" priority="78" stopIfTrue="1" operator="lessThanOrEqual">
      <formula>0</formula>
    </cfRule>
  </conditionalFormatting>
  <conditionalFormatting sqref="I81:I89">
    <cfRule type="cellIs" dxfId="2778" priority="141" stopIfTrue="1" operator="greaterThan">
      <formula>4.5</formula>
    </cfRule>
    <cfRule type="cellIs" dxfId="2777" priority="142" stopIfTrue="1" operator="lessThanOrEqual">
      <formula>0</formula>
    </cfRule>
  </conditionalFormatting>
  <conditionalFormatting sqref="I10:J25">
    <cfRule type="cellIs" dxfId="2776" priority="4" operator="lessThan">
      <formula>97.9</formula>
    </cfRule>
  </conditionalFormatting>
  <conditionalFormatting sqref="J28">
    <cfRule type="cellIs" dxfId="2775" priority="44" operator="lessThan">
      <formula>97.95</formula>
    </cfRule>
  </conditionalFormatting>
  <conditionalFormatting sqref="J30">
    <cfRule type="cellIs" dxfId="2774" priority="119" stopIfTrue="1" operator="greaterThan">
      <formula>100</formula>
    </cfRule>
    <cfRule type="cellIs" dxfId="2773" priority="118" stopIfTrue="1" operator="lessThan">
      <formula>96.8</formula>
    </cfRule>
    <cfRule type="cellIs" dxfId="2772" priority="120" operator="lessThan">
      <formula>98</formula>
    </cfRule>
  </conditionalFormatting>
  <conditionalFormatting sqref="J30:J32">
    <cfRule type="cellIs" dxfId="2771" priority="117" operator="lessThan">
      <formula>97.4</formula>
    </cfRule>
  </conditionalFormatting>
  <conditionalFormatting sqref="J33:J34">
    <cfRule type="cellIs" dxfId="2770" priority="121" operator="lessThan">
      <formula>98</formula>
    </cfRule>
  </conditionalFormatting>
  <conditionalFormatting sqref="J35:J36">
    <cfRule type="cellIs" dxfId="2769" priority="122" stopIfTrue="1" operator="lessThan">
      <formula>96.8</formula>
    </cfRule>
    <cfRule type="cellIs" dxfId="2768" priority="123" stopIfTrue="1" operator="greaterThan">
      <formula>100</formula>
    </cfRule>
  </conditionalFormatting>
  <conditionalFormatting sqref="J35:J37">
    <cfRule type="cellIs" dxfId="2767" priority="124" operator="lessThan">
      <formula>98</formula>
    </cfRule>
  </conditionalFormatting>
  <conditionalFormatting sqref="J66">
    <cfRule type="cellIs" dxfId="2766" priority="72" stopIfTrue="1" operator="lessThanOrEqual">
      <formula>0</formula>
    </cfRule>
    <cfRule type="cellIs" dxfId="2765" priority="71" stopIfTrue="1" operator="greaterThan">
      <formula>#REF!</formula>
    </cfRule>
    <cfRule type="cellIs" dxfId="2764" priority="70" stopIfTrue="1" operator="lessThanOrEqual">
      <formula>0</formula>
    </cfRule>
    <cfRule type="cellIs" dxfId="2763" priority="69" stopIfTrue="1" operator="greaterThan">
      <formula>#REF!</formula>
    </cfRule>
    <cfRule type="cellIs" dxfId="2762" priority="68" stopIfTrue="1" operator="lessThanOrEqual">
      <formula>0</formula>
    </cfRule>
    <cfRule type="cellIs" dxfId="2761" priority="67" stopIfTrue="1" operator="greaterThan">
      <formula>#REF!</formula>
    </cfRule>
    <cfRule type="cellIs" dxfId="2760" priority="66" stopIfTrue="1" operator="lessThanOrEqual">
      <formula>0</formula>
    </cfRule>
    <cfRule type="cellIs" dxfId="2759" priority="65" stopIfTrue="1" operator="greaterThan">
      <formula>#REF!</formula>
    </cfRule>
  </conditionalFormatting>
  <conditionalFormatting sqref="J79">
    <cfRule type="cellIs" dxfId="2758" priority="28" stopIfTrue="1" operator="lessThanOrEqual">
      <formula>0</formula>
    </cfRule>
    <cfRule type="cellIs" dxfId="2757" priority="27" stopIfTrue="1" operator="greaterThan">
      <formula>$F79</formula>
    </cfRule>
  </conditionalFormatting>
  <conditionalFormatting sqref="K10:K25">
    <cfRule type="cellIs" dxfId="2756" priority="5" operator="greaterThan">
      <formula>6</formula>
    </cfRule>
    <cfRule type="cellIs" dxfId="2755" priority="6" operator="lessThan">
      <formula>4</formula>
    </cfRule>
    <cfRule type="cellIs" dxfId="2754" priority="7" operator="greaterThan">
      <formula>6.4</formula>
    </cfRule>
  </conditionalFormatting>
  <conditionalFormatting sqref="K57:K66">
    <cfRule type="cellIs" dxfId="2753" priority="59" stopIfTrue="1" operator="lessThan">
      <formula>100%</formula>
    </cfRule>
  </conditionalFormatting>
  <conditionalFormatting sqref="K81:K86">
    <cfRule type="cellIs" dxfId="2752" priority="147" stopIfTrue="1" operator="lessThan">
      <formula>100%</formula>
    </cfRule>
  </conditionalFormatting>
  <conditionalFormatting sqref="K88:K89">
    <cfRule type="cellIs" dxfId="2751" priority="154" stopIfTrue="1" operator="lessThan">
      <formula>100%</formula>
    </cfRule>
  </conditionalFormatting>
  <conditionalFormatting sqref="K70:M78">
    <cfRule type="cellIs" dxfId="2750" priority="12" stopIfTrue="1" operator="lessThan">
      <formula>100%</formula>
    </cfRule>
  </conditionalFormatting>
  <conditionalFormatting sqref="L10:L25">
    <cfRule type="cellIs" dxfId="2749" priority="10" operator="greaterThan">
      <formula>65</formula>
    </cfRule>
    <cfRule type="cellIs" dxfId="2748" priority="9" operator="between">
      <formula>61</formula>
      <formula>65</formula>
    </cfRule>
  </conditionalFormatting>
  <conditionalFormatting sqref="L28:M39">
    <cfRule type="cellIs" dxfId="2747" priority="61" operator="lessThan">
      <formula>97.95</formula>
    </cfRule>
  </conditionalFormatting>
  <conditionalFormatting sqref="L79:M79">
    <cfRule type="cellIs" dxfId="2746" priority="29" stopIfTrue="1" operator="lessThan">
      <formula>100%</formula>
    </cfRule>
  </conditionalFormatting>
  <conditionalFormatting sqref="L43:N43">
    <cfRule type="cellIs" dxfId="2745" priority="62" operator="notEqual">
      <formula>#REF!</formula>
    </cfRule>
  </conditionalFormatting>
  <conditionalFormatting sqref="L81:N89">
    <cfRule type="cellIs" dxfId="2744" priority="132" stopIfTrue="1" operator="lessThan">
      <formula>100%</formula>
    </cfRule>
  </conditionalFormatting>
  <conditionalFormatting sqref="M10:M24">
    <cfRule type="expression" dxfId="2743" priority="2">
      <formula>IF(+(IF(M10&lt;U10,0,IF(M10&gt;V10,0,1)))=0,1)</formula>
    </cfRule>
  </conditionalFormatting>
  <conditionalFormatting sqref="M25:N25">
    <cfRule type="expression" dxfId="2742" priority="160">
      <formula>IF(+(IF(M25&lt;#REF!,0,IF(M25&gt;#REF!,0,1)))=0,1)</formula>
    </cfRule>
  </conditionalFormatting>
  <conditionalFormatting sqref="N10:N24">
    <cfRule type="expression" dxfId="2741" priority="1">
      <formula>IF(+(IF(N10&lt;W10,0,IF(N10&gt;X10,0,1)))=0,1)</formula>
    </cfRule>
  </conditionalFormatting>
  <conditionalFormatting sqref="N70:N79">
    <cfRule type="cellIs" dxfId="2740" priority="43" stopIfTrue="1" operator="lessThan">
      <formula>100%</formula>
    </cfRule>
  </conditionalFormatting>
  <conditionalFormatting sqref="P6">
    <cfRule type="cellIs" dxfId="2739" priority="128" operator="greaterThanOrEqual">
      <formula>19</formula>
    </cfRule>
  </conditionalFormatting>
  <dataValidations count="1">
    <dataValidation type="list" allowBlank="1" showInputMessage="1" showErrorMessage="1" sqref="R8" xr:uid="{3DFE9499-C8AF-4AC9-A285-8BFA1BE2622F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3" max="16383" man="1"/>
  </rowBreaks>
  <colBreaks count="1" manualBreakCount="1">
    <brk id="15" max="89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4FF27-B1EE-48C5-8D2A-219AB38E253A}">
  <sheetPr>
    <pageSetUpPr fitToPage="1"/>
  </sheetPr>
  <dimension ref="A1:BE76"/>
  <sheetViews>
    <sheetView topLeftCell="B5" zoomScale="85" zoomScaleNormal="85" workbookViewId="0">
      <selection activeCell="A11" sqref="A11:XFD11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4" t="s">
        <v>0</v>
      </c>
      <c r="T1" s="494"/>
      <c r="U1" s="494" t="s">
        <v>1</v>
      </c>
      <c r="V1" s="494"/>
      <c r="W1" s="494" t="s">
        <v>2</v>
      </c>
      <c r="X1" s="494"/>
      <c r="Y1" s="494" t="s">
        <v>124</v>
      </c>
      <c r="Z1" s="494"/>
    </row>
    <row r="2" spans="2:29" ht="15">
      <c r="B2" s="495" t="s">
        <v>3</v>
      </c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46087</v>
      </c>
      <c r="J4" s="398" t="s">
        <v>167</v>
      </c>
      <c r="K4" s="398"/>
      <c r="L4" s="11"/>
      <c r="M4" s="492" t="s">
        <v>8</v>
      </c>
      <c r="N4" s="493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8"/>
      <c r="D5" s="49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9" t="s">
        <v>17</v>
      </c>
      <c r="C8" s="501" t="s">
        <v>18</v>
      </c>
      <c r="D8" s="501" t="s">
        <v>19</v>
      </c>
      <c r="E8" s="356" t="s">
        <v>20</v>
      </c>
      <c r="F8" s="356" t="s">
        <v>21</v>
      </c>
      <c r="G8" s="501" t="s">
        <v>22</v>
      </c>
      <c r="H8" s="502" t="s">
        <v>144</v>
      </c>
      <c r="I8" s="501" t="s">
        <v>165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169</v>
      </c>
      <c r="O8" s="510" t="s">
        <v>155</v>
      </c>
      <c r="P8" s="496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.6" customHeight="1">
      <c r="B9" s="500"/>
      <c r="C9" s="497"/>
      <c r="D9" s="497"/>
      <c r="E9" s="357" t="s">
        <v>30</v>
      </c>
      <c r="F9" s="357" t="s">
        <v>31</v>
      </c>
      <c r="G9" s="497"/>
      <c r="H9" s="503"/>
      <c r="I9" s="497"/>
      <c r="J9" s="505"/>
      <c r="K9" s="507"/>
      <c r="L9" s="509"/>
      <c r="M9" s="20" t="s">
        <v>32</v>
      </c>
      <c r="N9" s="21" t="s">
        <v>41</v>
      </c>
      <c r="O9" s="511"/>
      <c r="P9" s="497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29" t="s">
        <v>6</v>
      </c>
      <c r="C10" s="366" t="str">
        <f>[4]Brewhouse!$A218</f>
        <v>CA175</v>
      </c>
      <c r="D10" s="279">
        <f>[4]Brewhouse!$AF218</f>
        <v>48.1</v>
      </c>
      <c r="E10" s="279">
        <f>[4]Brewhouse!$AI218</f>
        <v>48.5</v>
      </c>
      <c r="F10" s="278">
        <f>[4]Brewhouse!$V218</f>
        <v>61</v>
      </c>
      <c r="G10" s="279">
        <f>[4]Brewhouse!AG218</f>
        <v>11.7</v>
      </c>
      <c r="H10" s="396"/>
      <c r="I10" s="368">
        <f>[4]Brewhouse!$AU218</f>
        <v>94.764649300245921</v>
      </c>
      <c r="J10" s="368">
        <f>[4]Brewhouse!$AV218</f>
        <v>95.114571916420388</v>
      </c>
      <c r="K10" s="281">
        <f>[4]Brewhouse!$Q218</f>
        <v>17.966728280961181</v>
      </c>
      <c r="L10" s="276">
        <f>[4]Brewhouse!$P218</f>
        <v>60</v>
      </c>
      <c r="M10" s="397">
        <f>[4]Brewhouse!$U218-[4]Brewhouse!$T218</f>
        <v>0.14097222222222228</v>
      </c>
      <c r="N10" s="370">
        <f>[4]Brewhouse!$Z218</f>
        <v>0.2777777777777779</v>
      </c>
      <c r="O10" s="420" t="str">
        <f>[4]Brewhouse!$AX218</f>
        <v>R. Regis</v>
      </c>
      <c r="P10" s="418"/>
      <c r="R10" s="277" t="str">
        <f t="shared" ref="R10:R36" si="0">B10</f>
        <v>CARIB</v>
      </c>
      <c r="S10" s="472">
        <f t="shared" ref="S10:S36" si="1">VLOOKUP($B10,$R$3:$X$9,2,FALSE)</f>
        <v>11.6</v>
      </c>
      <c r="T10" s="472">
        <f t="shared" ref="T10:T36" si="2">VLOOKUP($B10,$R$3:$X$9,3,FALSE)</f>
        <v>12</v>
      </c>
      <c r="U10" s="297">
        <f t="shared" ref="U10:U36" si="3">VLOOKUP($B10,$R$3:$X$9,4,FALSE)</f>
        <v>0</v>
      </c>
      <c r="V10" s="297">
        <f t="shared" ref="V10:V36" si="4">VLOOKUP($B10,$R$3:$X$9,5,FALSE)</f>
        <v>0.118055555555556</v>
      </c>
      <c r="W10" s="297">
        <f t="shared" ref="W10:W36" si="5">VLOOKUP($B10,$R$3:$X$9,6,FALSE)</f>
        <v>0.22569444444444445</v>
      </c>
      <c r="X10" s="297">
        <f t="shared" ref="X10:X36" si="6">VLOOKUP($B10,$R$3:$X$9,7,FALSE)</f>
        <v>0.2638888888888889</v>
      </c>
      <c r="Y10" s="297">
        <f t="shared" ref="Y10:Y36" si="7">VLOOKUP($B10,$R$3:$Z$9,8,FALSE)</f>
        <v>0</v>
      </c>
      <c r="Z10" s="472">
        <f t="shared" ref="Z10:Z36" si="8">VLOOKUP($B10,$R$3:$Z$9,9,FALSE)</f>
        <v>60</v>
      </c>
    </row>
    <row r="11" spans="2:29" ht="16.5" customHeight="1">
      <c r="B11" s="29" t="s">
        <v>6</v>
      </c>
      <c r="C11" s="366" t="str">
        <f>[4]Brewhouse!$A219</f>
        <v>CA176</v>
      </c>
      <c r="D11" s="279">
        <f>[4]Brewhouse!$AF219</f>
        <v>57.7</v>
      </c>
      <c r="E11" s="279">
        <f>[4]Brewhouse!$AI219</f>
        <v>57.8</v>
      </c>
      <c r="F11" s="278">
        <f>[4]Brewhouse!$V219</f>
        <v>70</v>
      </c>
      <c r="G11" s="279">
        <f>[4]Brewhouse!AG219</f>
        <v>11.9</v>
      </c>
      <c r="H11" s="396"/>
      <c r="I11" s="368">
        <f>[4]Brewhouse!$AU219</f>
        <v>114.82483845154799</v>
      </c>
      <c r="J11" s="368">
        <f>[4]Brewhouse!$AV219</f>
        <v>115.24886881828296</v>
      </c>
      <c r="K11" s="281">
        <f>[4]Brewhouse!$Q219</f>
        <v>8.1355932203389845</v>
      </c>
      <c r="L11" s="276">
        <f>[4]Brewhouse!$P219</f>
        <v>62</v>
      </c>
      <c r="M11" s="397">
        <f>[4]Brewhouse!$U219-[4]Brewhouse!$T219</f>
        <v>0.13124999999999998</v>
      </c>
      <c r="N11" s="370">
        <f>[4]Brewhouse!$Z219</f>
        <v>0.31874999999999998</v>
      </c>
      <c r="O11" s="420" t="str">
        <f>[4]Brewhouse!$AX219</f>
        <v>D. Gomaz</v>
      </c>
      <c r="P11" s="418"/>
      <c r="R11" s="277" t="str">
        <f t="shared" ref="R11" si="9">B11</f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6.5" customHeight="1">
      <c r="B12" s="29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97"/>
      <c r="N12" s="370"/>
      <c r="O12" s="420"/>
      <c r="P12" s="418"/>
      <c r="R12" s="277">
        <f t="shared" ref="R12:R30" si="10">B12</f>
        <v>0</v>
      </c>
      <c r="S12" s="472" t="e">
        <f t="shared" si="1"/>
        <v>#N/A</v>
      </c>
      <c r="T12" s="472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472" t="e">
        <f t="shared" si="8"/>
        <v>#N/A</v>
      </c>
    </row>
    <row r="13" spans="2:29" ht="16.5" customHeight="1">
      <c r="B13" s="33" t="s">
        <v>9</v>
      </c>
      <c r="C13" s="366" t="str">
        <f>[3]Brewhouse!$A134</f>
        <v>ST082</v>
      </c>
      <c r="D13" s="279">
        <f>[3]Brewhouse!$AB134</f>
        <v>52</v>
      </c>
      <c r="E13" s="279">
        <f>[3]Brewhouse!$AG134</f>
        <v>48</v>
      </c>
      <c r="F13" s="278">
        <f>[3]Brewhouse!$V134</f>
        <v>58</v>
      </c>
      <c r="G13" s="279">
        <f>[3]Brewhouse!$AE134</f>
        <v>12</v>
      </c>
      <c r="H13" s="487"/>
      <c r="I13" s="368">
        <f>[3]Brewhouse!$AS134</f>
        <v>97.537234970496229</v>
      </c>
      <c r="J13" s="368">
        <f>[3]Brewhouse!$AT134</f>
        <v>97.840911016249095</v>
      </c>
      <c r="K13" s="281">
        <f>[3]Brewhouse!$Q134</f>
        <v>17.451923076923066</v>
      </c>
      <c r="L13" s="276">
        <f>[3]Brewhouse!$P134</f>
        <v>62</v>
      </c>
      <c r="M13" s="374">
        <f>[3]Brewhouse!$U134-[3]Brewhouse!$T134</f>
        <v>0.1118055555555556</v>
      </c>
      <c r="N13" s="370">
        <f>[3]Brewhouse!$AW134</f>
        <v>0.2951388888888889</v>
      </c>
      <c r="O13" s="371" t="str">
        <f>[3]Brewhouse!$AV134</f>
        <v>D. Gomaz</v>
      </c>
      <c r="P13" s="418"/>
      <c r="R13" s="277" t="str">
        <f t="shared" si="10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6.5" customHeight="1">
      <c r="B14" s="33" t="s">
        <v>9</v>
      </c>
      <c r="C14" s="366" t="str">
        <f>[3]Brewhouse!$A135</f>
        <v>ST083</v>
      </c>
      <c r="D14" s="279">
        <f>[3]Brewhouse!$AB135</f>
        <v>52</v>
      </c>
      <c r="E14" s="279">
        <f>[3]Brewhouse!$AG135</f>
        <v>47.6</v>
      </c>
      <c r="F14" s="278">
        <f>[3]Brewhouse!$V135</f>
        <v>53</v>
      </c>
      <c r="G14" s="279">
        <f>[3]Brewhouse!$AE135</f>
        <v>12.3</v>
      </c>
      <c r="H14" s="487"/>
      <c r="I14" s="368">
        <f>[3]Brewhouse!$AS135</f>
        <v>100.40321390300859</v>
      </c>
      <c r="J14" s="368">
        <f>[3]Brewhouse!$AT135</f>
        <v>100.71486801507319</v>
      </c>
      <c r="K14" s="281">
        <f>[3]Brewhouse!$Q135</f>
        <v>15.144230769230768</v>
      </c>
      <c r="L14" s="276">
        <f>[3]Brewhouse!$P135</f>
        <v>60</v>
      </c>
      <c r="M14" s="374">
        <f>[3]Brewhouse!$U135-[3]Brewhouse!$T135</f>
        <v>0.10972222222222228</v>
      </c>
      <c r="N14" s="370">
        <f>[3]Brewhouse!$AW135</f>
        <v>0.25208333333333338</v>
      </c>
      <c r="O14" s="371" t="str">
        <f>[3]Brewhouse!$AV135</f>
        <v>D. Gomaz</v>
      </c>
      <c r="P14" s="418"/>
      <c r="R14" s="277" t="str">
        <f t="shared" si="10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6.5" customHeight="1">
      <c r="B15" s="33" t="s">
        <v>9</v>
      </c>
      <c r="C15" s="366" t="str">
        <f>[3]Brewhouse!$A136</f>
        <v>ST084</v>
      </c>
      <c r="D15" s="279">
        <f>[3]Brewhouse!$AB136</f>
        <v>52</v>
      </c>
      <c r="E15" s="279">
        <f>[3]Brewhouse!$AG136</f>
        <v>46.8</v>
      </c>
      <c r="F15" s="278">
        <f>[3]Brewhouse!$V136</f>
        <v>52</v>
      </c>
      <c r="G15" s="279">
        <f>[3]Brewhouse!$AE136</f>
        <v>12</v>
      </c>
      <c r="H15" s="487"/>
      <c r="I15" s="368">
        <f>[3]Brewhouse!$AS136</f>
        <v>96.434077770876058</v>
      </c>
      <c r="J15" s="368">
        <f>[3]Brewhouse!$AT136</f>
        <v>96.733207060749976</v>
      </c>
      <c r="K15" s="281">
        <f>[3]Brewhouse!$Q136</f>
        <v>15.72115384615384</v>
      </c>
      <c r="L15" s="276">
        <f>[3]Brewhouse!$P136</f>
        <v>61</v>
      </c>
      <c r="M15" s="374">
        <f>[3]Brewhouse!$U136-[3]Brewhouse!$T136</f>
        <v>0.1034722222222223</v>
      </c>
      <c r="N15" s="370">
        <f>[3]Brewhouse!$AW136</f>
        <v>0.25416666666666665</v>
      </c>
      <c r="O15" s="371" t="str">
        <f>[3]Brewhouse!$AV136</f>
        <v>K. Benjamin</v>
      </c>
      <c r="P15" s="418"/>
      <c r="R15" s="277" t="str">
        <f t="shared" si="10"/>
        <v>STAG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6.5" customHeight="1">
      <c r="B16" s="33" t="s">
        <v>9</v>
      </c>
      <c r="C16" s="366" t="str">
        <f>[3]Brewhouse!$A137</f>
        <v>ST085</v>
      </c>
      <c r="D16" s="279">
        <f>[3]Brewhouse!$AB137</f>
        <v>52</v>
      </c>
      <c r="E16" s="279">
        <f>[3]Brewhouse!$AG137</f>
        <v>48.1</v>
      </c>
      <c r="F16" s="278">
        <f>[3]Brewhouse!$V137</f>
        <v>58</v>
      </c>
      <c r="G16" s="279">
        <f>[3]Brewhouse!$AE137</f>
        <v>12</v>
      </c>
      <c r="H16" s="487"/>
      <c r="I16" s="368">
        <f>[3]Brewhouse!$AS137</f>
        <v>98.484252856431482</v>
      </c>
      <c r="J16" s="368">
        <f>[3]Brewhouse!$AT137</f>
        <v>98.7902617869333</v>
      </c>
      <c r="K16" s="281">
        <f>[3]Brewhouse!$Q137</f>
        <v>15.72115384615384</v>
      </c>
      <c r="L16" s="276">
        <f>[3]Brewhouse!$P137</f>
        <v>62</v>
      </c>
      <c r="M16" s="374">
        <f>[3]Brewhouse!$U137-[3]Brewhouse!$T137</f>
        <v>0.11111111111111116</v>
      </c>
      <c r="N16" s="370">
        <f>[3]Brewhouse!$AW137</f>
        <v>0.25</v>
      </c>
      <c r="O16" s="371" t="str">
        <f>[3]Brewhouse!$AV137</f>
        <v>K. Benjamin</v>
      </c>
      <c r="P16" s="418"/>
      <c r="R16" s="277" t="str">
        <f t="shared" si="10"/>
        <v>STAG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6.5" customHeight="1">
      <c r="B17" s="33"/>
      <c r="C17" s="366"/>
      <c r="D17" s="279"/>
      <c r="E17" s="279"/>
      <c r="F17" s="278"/>
      <c r="G17" s="279"/>
      <c r="H17" s="487"/>
      <c r="I17" s="368"/>
      <c r="J17" s="368"/>
      <c r="K17" s="281"/>
      <c r="L17" s="276"/>
      <c r="M17" s="374"/>
      <c r="N17" s="370"/>
      <c r="O17" s="371"/>
      <c r="P17" s="418"/>
      <c r="R17" s="277">
        <f t="shared" si="1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6.5" customHeight="1">
      <c r="B18" s="33"/>
      <c r="C18" s="366"/>
      <c r="D18" s="279"/>
      <c r="E18" s="279"/>
      <c r="F18" s="278"/>
      <c r="G18" s="279"/>
      <c r="H18" s="487"/>
      <c r="I18" s="368"/>
      <c r="J18" s="368"/>
      <c r="K18" s="281"/>
      <c r="L18" s="276"/>
      <c r="M18" s="374"/>
      <c r="N18" s="370"/>
      <c r="O18" s="371"/>
      <c r="P18" s="418"/>
      <c r="R18" s="277">
        <f t="shared" si="1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6.5" customHeight="1">
      <c r="B19" s="33"/>
      <c r="C19" s="366"/>
      <c r="D19" s="279"/>
      <c r="E19" s="279"/>
      <c r="F19" s="278"/>
      <c r="G19" s="279"/>
      <c r="H19" s="487"/>
      <c r="I19" s="368"/>
      <c r="J19" s="368"/>
      <c r="K19" s="281"/>
      <c r="L19" s="276"/>
      <c r="M19" s="374"/>
      <c r="N19" s="370"/>
      <c r="O19" s="371"/>
      <c r="P19" s="418"/>
      <c r="R19" s="277">
        <f t="shared" si="1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6.5" customHeight="1">
      <c r="B20" s="33"/>
      <c r="C20" s="366"/>
      <c r="D20" s="279"/>
      <c r="E20" s="279"/>
      <c r="F20" s="278"/>
      <c r="G20" s="279"/>
      <c r="H20" s="487"/>
      <c r="I20" s="368"/>
      <c r="J20" s="368"/>
      <c r="K20" s="281"/>
      <c r="L20" s="276"/>
      <c r="M20" s="374"/>
      <c r="N20" s="370"/>
      <c r="O20" s="371"/>
      <c r="P20" s="418"/>
      <c r="R20" s="277">
        <f t="shared" si="1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8" customHeight="1">
      <c r="B21" s="33"/>
      <c r="C21" s="366"/>
      <c r="D21" s="279"/>
      <c r="E21" s="279"/>
      <c r="F21" s="278"/>
      <c r="G21" s="279"/>
      <c r="H21" s="487"/>
      <c r="I21" s="368"/>
      <c r="J21" s="368"/>
      <c r="K21" s="281"/>
      <c r="L21" s="276"/>
      <c r="M21" s="374"/>
      <c r="N21" s="370"/>
      <c r="O21" s="371"/>
      <c r="P21" s="418"/>
      <c r="R21" s="277">
        <f t="shared" si="1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6.5" customHeight="1">
      <c r="B22" s="22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si="1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512"/>
      <c r="J23" s="512"/>
      <c r="K23" s="512"/>
      <c r="L23" s="512"/>
      <c r="M23" s="512"/>
      <c r="N23" s="512"/>
      <c r="O23" s="1"/>
      <c r="P23" s="12"/>
      <c r="R23" s="277">
        <f t="shared" si="1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5.75" customHeight="1" thickBot="1">
      <c r="B24" s="388" t="s">
        <v>162</v>
      </c>
      <c r="C24" s="388"/>
      <c r="D24" s="513" t="s">
        <v>35</v>
      </c>
      <c r="E24" s="514"/>
      <c r="F24" s="294"/>
      <c r="G24" s="294"/>
      <c r="H24" s="348"/>
      <c r="I24" s="24" t="s">
        <v>17</v>
      </c>
      <c r="J24" s="25"/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10"/>
        <v xml:space="preserve">BRAND 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5" customHeight="1">
      <c r="A25" s="28"/>
      <c r="B25" s="525"/>
      <c r="C25" s="362"/>
      <c r="D25" s="518"/>
      <c r="E25" s="519"/>
      <c r="F25" s="294"/>
      <c r="G25" s="294"/>
      <c r="H25" s="348"/>
      <c r="I25" s="29" t="s">
        <v>6</v>
      </c>
      <c r="J25" s="323">
        <f>AVERAGE(I10:I11)</f>
        <v>104.79474387589696</v>
      </c>
      <c r="K25" s="284">
        <f>COUNTA([4]Brewhouse!$A$198:$A$219)</f>
        <v>22</v>
      </c>
      <c r="L25" s="305">
        <f>AVERAGE([4]Brewhouse!$AU$198:$AU$219)</f>
        <v>98.836272239119268</v>
      </c>
      <c r="M25" s="305">
        <f>AVERAGE([4]Brewhouse!$AU$42:$AU$123,[4]Brewhouse!$AU$125:$AU$188,[4]Brewhouse!$AU$198:$AU$219)</f>
        <v>97.758720160771986</v>
      </c>
      <c r="N25" s="30">
        <v>98</v>
      </c>
      <c r="O25" s="11"/>
      <c r="P25" s="31"/>
      <c r="R25" s="277">
        <f t="shared" si="1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5" customHeight="1">
      <c r="A26" s="28"/>
      <c r="B26" s="526"/>
      <c r="C26" s="362"/>
      <c r="D26" s="520"/>
      <c r="E26" s="521"/>
      <c r="F26" s="294"/>
      <c r="G26" s="294"/>
      <c r="H26" s="348"/>
      <c r="I26" s="33" t="s">
        <v>9</v>
      </c>
      <c r="J26" s="280">
        <f>AVERAGE(I13:I16)</f>
        <v>98.214694875203094</v>
      </c>
      <c r="K26" s="284">
        <f>COUNTA([3]Brewhouse!$A$134:$A$137)</f>
        <v>4</v>
      </c>
      <c r="L26" s="302">
        <f>AVERAGE([3]Brewhouse!$AS$134:$AS$137)</f>
        <v>98.214694875203094</v>
      </c>
      <c r="M26" s="302">
        <f>AVERAGE([3]Brewhouse!$AS$52:$AS$81,[3]Brewhouse!$AS$83:$AS$124,[3]Brewhouse!$AS$134:$AS$137)</f>
        <v>98.311247134819212</v>
      </c>
      <c r="N26" s="30">
        <v>98</v>
      </c>
      <c r="O26" s="11"/>
      <c r="P26" s="31"/>
      <c r="R26" s="277">
        <f t="shared" si="1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26"/>
      <c r="C27" s="362"/>
      <c r="D27" s="522"/>
      <c r="E27" s="523"/>
      <c r="F27" s="294"/>
      <c r="G27" s="294"/>
      <c r="H27" s="348"/>
      <c r="I27" s="34" t="s">
        <v>12</v>
      </c>
      <c r="J27" s="280"/>
      <c r="K27" s="284">
        <f>COUNTA([5]Brewhouse!$A$34:$A$41)</f>
        <v>8</v>
      </c>
      <c r="L27" s="302">
        <f>AVERAGE([5]Brewhouse!$AU$34:$AU$41)</f>
        <v>94.762610859726223</v>
      </c>
      <c r="M27" s="302">
        <f>AVERAGE([5]Brewhouse!$AU$16:$AU$23,[5]Brewhouse!$AU$25:$AU$32,[5]Brewhouse!$AU$34:$AU$41)</f>
        <v>97.131453825415363</v>
      </c>
      <c r="N27" s="30">
        <v>98</v>
      </c>
      <c r="O27" s="11"/>
      <c r="P27" s="31"/>
      <c r="R27" s="277">
        <f t="shared" si="1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26"/>
      <c r="C28" s="362"/>
      <c r="D28" s="524"/>
      <c r="E28" s="521"/>
      <c r="F28" s="294"/>
      <c r="G28" s="294"/>
      <c r="H28" s="348"/>
      <c r="I28" s="22" t="s">
        <v>33</v>
      </c>
      <c r="J28" s="280"/>
      <c r="K28" s="284">
        <f>COUNTA([6]Brewhouse!$A$38:$A$44)</f>
        <v>7</v>
      </c>
      <c r="L28" s="302">
        <f>AVERAGE([6]Brewhouse!$AV$38:$AV$44)</f>
        <v>96.929916494140343</v>
      </c>
      <c r="M28" s="302">
        <f>AVERAGE([6]Brewhouse!$AV$23:$AV$34,[6]Brewhouse!$AV$36,[6]Brewhouse!$AV$38:$AV$44)</f>
        <v>97.74055230745536</v>
      </c>
      <c r="N28" s="30">
        <v>98</v>
      </c>
      <c r="O28" s="11"/>
      <c r="P28" s="31"/>
      <c r="R28" s="277">
        <f t="shared" si="1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26"/>
      <c r="C29" s="362"/>
      <c r="D29" s="522"/>
      <c r="E29" s="523"/>
      <c r="F29" s="417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si="1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65" customHeight="1">
      <c r="A30" s="28"/>
      <c r="B30" s="526"/>
      <c r="C30" s="362"/>
      <c r="D30" s="524"/>
      <c r="E30" s="521"/>
      <c r="F30" s="417"/>
      <c r="G30" s="294"/>
      <c r="H30" s="348"/>
      <c r="I30" s="36" t="s">
        <v>15</v>
      </c>
      <c r="J30" s="323"/>
      <c r="K30" s="284"/>
      <c r="L30" s="302"/>
      <c r="M30" s="302">
        <f>AVERAGE([7]Brewhouse!$AT$4:$AT$11)</f>
        <v>92.826224508052405</v>
      </c>
      <c r="N30" s="30">
        <v>98</v>
      </c>
      <c r="O30" s="11"/>
      <c r="P30" s="31"/>
      <c r="R30" s="277">
        <f t="shared" si="1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4.65" customHeight="1">
      <c r="A31" s="28"/>
      <c r="B31" s="526"/>
      <c r="C31" s="362"/>
      <c r="D31" s="522"/>
      <c r="E31" s="523"/>
      <c r="F31" s="417"/>
      <c r="G31" s="294"/>
      <c r="H31" s="348"/>
      <c r="I31" s="37" t="s">
        <v>16</v>
      </c>
      <c r="J31" s="323"/>
      <c r="K31" s="284"/>
      <c r="L31" s="302"/>
      <c r="M31" s="302">
        <f>AVERAGE([8]Brewhouse!$AY$5:$AY$14,[8]Brewhouse!$AY$16:$AY$23)</f>
        <v>97.293615171264676</v>
      </c>
      <c r="N31" s="30">
        <v>98</v>
      </c>
      <c r="O31" s="11"/>
      <c r="P31" s="31" t="s">
        <v>41</v>
      </c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4.65" customHeight="1">
      <c r="A32" s="28"/>
      <c r="B32" s="526"/>
      <c r="C32" s="362"/>
      <c r="D32" s="524"/>
      <c r="E32" s="521"/>
      <c r="F32" s="294"/>
      <c r="G32" s="294"/>
      <c r="H32" s="348"/>
      <c r="I32" s="411" t="s">
        <v>158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1:56" ht="14.65" customHeight="1">
      <c r="A33" s="28"/>
      <c r="B33" s="526"/>
      <c r="C33" s="349"/>
      <c r="D33" s="522"/>
      <c r="E33" s="523"/>
      <c r="F33" s="294"/>
      <c r="G33" s="294"/>
      <c r="H33" s="348"/>
      <c r="I33" s="410" t="s">
        <v>157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5" customHeight="1" thickBot="1">
      <c r="A34" s="28"/>
      <c r="B34" s="526"/>
      <c r="C34" s="349"/>
      <c r="D34" s="524"/>
      <c r="E34" s="521"/>
      <c r="F34" s="294"/>
      <c r="G34" s="294"/>
      <c r="H34" s="348"/>
      <c r="I34" s="406" t="s">
        <v>156</v>
      </c>
      <c r="J34" s="327"/>
      <c r="K34" s="407"/>
      <c r="L34" s="408"/>
      <c r="M34" s="408"/>
      <c r="N34" s="409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" customHeight="1" thickBot="1">
      <c r="A35" s="28"/>
      <c r="B35" s="526"/>
      <c r="C35" s="349"/>
      <c r="D35" s="518"/>
      <c r="E35" s="519"/>
      <c r="F35" s="294"/>
      <c r="G35" s="294"/>
      <c r="H35" s="348"/>
      <c r="I35" s="1"/>
      <c r="J35" s="39"/>
      <c r="K35" s="404">
        <f>SUM(K25:K34)</f>
        <v>41</v>
      </c>
      <c r="L35" s="405">
        <f>((L25*K25)+(L26*K26)+(L27*K27)+(L28*K28)+(L29*K29)+(K32*L32)+(L30*K30)+(L31*K31)+(L34*K34))/(K35)</f>
        <v>97.655294417029964</v>
      </c>
      <c r="M35" s="405">
        <f>AVERAGE('[9]Jan30th-31st'!$L$42,L35)</f>
        <v>97.741668076435715</v>
      </c>
      <c r="N35" s="4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.75" thickBot="1">
      <c r="B36" s="583"/>
      <c r="C36" s="350"/>
      <c r="D36" s="520"/>
      <c r="E36" s="521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.75" thickBot="1">
      <c r="B37" s="525"/>
      <c r="C37" s="362"/>
      <c r="D37" s="528"/>
      <c r="E37" s="529"/>
      <c r="F37" s="294"/>
      <c r="G37" s="42"/>
      <c r="H37" s="41"/>
      <c r="I37" s="42"/>
      <c r="J37" s="530" t="s">
        <v>129</v>
      </c>
      <c r="K37" s="530"/>
      <c r="L37" s="294"/>
      <c r="M37" s="294"/>
      <c r="N37" s="294"/>
      <c r="O37" s="294"/>
      <c r="P37" s="12"/>
    </row>
    <row r="38" spans="1:56" ht="15.75" thickBot="1">
      <c r="B38" s="526"/>
      <c r="C38" s="362"/>
      <c r="D38" s="524"/>
      <c r="E38" s="521"/>
      <c r="F38" s="294"/>
      <c r="G38" s="42"/>
      <c r="H38" s="41"/>
      <c r="I38" s="41"/>
      <c r="J38" s="292" t="s">
        <v>17</v>
      </c>
      <c r="K38" s="293" t="s">
        <v>172</v>
      </c>
      <c r="L38" s="531" t="s">
        <v>136</v>
      </c>
      <c r="M38" s="531"/>
      <c r="N38" s="532"/>
      <c r="O38" s="294"/>
      <c r="P38" s="12"/>
    </row>
    <row r="39" spans="1:56" ht="15" customHeight="1" thickBot="1">
      <c r="B39" s="526"/>
      <c r="C39" s="349"/>
      <c r="D39" s="522"/>
      <c r="E39" s="523"/>
      <c r="F39" s="294"/>
      <c r="G39" s="42"/>
      <c r="H39" s="41"/>
      <c r="I39" s="41"/>
      <c r="J39" s="287" t="s">
        <v>6</v>
      </c>
      <c r="K39" s="324">
        <v>2</v>
      </c>
      <c r="L39" s="473" t="s">
        <v>37</v>
      </c>
      <c r="M39" s="474" t="s">
        <v>38</v>
      </c>
      <c r="N39" s="474" t="s">
        <v>84</v>
      </c>
      <c r="O39" s="294"/>
      <c r="P39" s="12"/>
    </row>
    <row r="40" spans="1:56" ht="15.75" customHeight="1" thickBot="1">
      <c r="B40" s="526"/>
      <c r="C40" s="349"/>
      <c r="D40" s="524"/>
      <c r="E40" s="521"/>
      <c r="F40" s="294"/>
      <c r="G40" s="42"/>
      <c r="H40" s="41"/>
      <c r="I40" s="41"/>
      <c r="J40" s="345" t="s">
        <v>9</v>
      </c>
      <c r="K40" s="324">
        <v>4</v>
      </c>
      <c r="L40" s="344">
        <f>AVERAGE(K49,'Mar 2nd'!K49,'Mar 1st'!K55,'Mar 3rd'!K49,'Mar 4th'!K51,'Mar 5th'!K52)</f>
        <v>6.833333333333333</v>
      </c>
      <c r="M40" s="325">
        <f>AVERAGE('[9]Jan30th-31st'!$L$47,L40,'[10]Feb 26th '!$L$39)</f>
        <v>6.3400966183574878</v>
      </c>
      <c r="N40" s="416">
        <v>9.1999999999999993</v>
      </c>
      <c r="O40" s="294"/>
      <c r="P40" s="12"/>
    </row>
    <row r="41" spans="1:56" ht="15" customHeight="1">
      <c r="B41" s="526"/>
      <c r="C41" s="349"/>
      <c r="D41" s="522"/>
      <c r="E41" s="523"/>
      <c r="F41" s="294"/>
      <c r="G41" s="42"/>
      <c r="H41" s="41"/>
      <c r="I41" s="41"/>
      <c r="J41" s="288" t="s">
        <v>40</v>
      </c>
      <c r="K41" s="324"/>
      <c r="L41" s="294"/>
      <c r="M41" s="294"/>
      <c r="N41" s="294"/>
      <c r="O41" s="294"/>
      <c r="P41" s="12"/>
    </row>
    <row r="42" spans="1:56" ht="15" customHeight="1">
      <c r="B42" s="526"/>
      <c r="C42" s="349"/>
      <c r="D42" s="524"/>
      <c r="E42" s="521"/>
      <c r="F42" s="294"/>
      <c r="G42" s="42"/>
      <c r="H42" s="41"/>
      <c r="I42" s="41"/>
      <c r="J42" s="289" t="s">
        <v>33</v>
      </c>
      <c r="K42" s="324"/>
      <c r="L42" s="294"/>
      <c r="M42" s="294"/>
      <c r="N42" s="294"/>
      <c r="O42" s="294"/>
      <c r="P42" s="12"/>
    </row>
    <row r="43" spans="1:56" ht="15">
      <c r="B43" s="526"/>
      <c r="C43" s="349"/>
      <c r="D43" s="522"/>
      <c r="E43" s="523"/>
      <c r="F43" s="294"/>
      <c r="G43" s="42"/>
      <c r="H43" s="41"/>
      <c r="I43" s="41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6"/>
      <c r="C44" s="349"/>
      <c r="D44" s="524"/>
      <c r="E44" s="521"/>
      <c r="F44" s="294"/>
      <c r="G44" s="42"/>
      <c r="H44" s="41"/>
      <c r="I44" s="41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6"/>
      <c r="C45" s="349"/>
      <c r="D45" s="522"/>
      <c r="E45" s="523"/>
      <c r="F45" s="294"/>
      <c r="G45" s="42"/>
      <c r="H45" s="41"/>
      <c r="I45" s="41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527"/>
      <c r="C46" s="350"/>
      <c r="D46" s="533"/>
      <c r="E46" s="534"/>
      <c r="F46" s="294" t="s">
        <v>166</v>
      </c>
      <c r="G46" s="42"/>
      <c r="H46" s="41"/>
      <c r="I46" s="41"/>
      <c r="J46" s="291" t="s">
        <v>148</v>
      </c>
      <c r="K46" s="324"/>
      <c r="L46" s="294"/>
      <c r="M46" s="294"/>
      <c r="N46" s="294" t="s">
        <v>41</v>
      </c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35"/>
      <c r="E47" s="536"/>
      <c r="F47" s="294"/>
      <c r="H47" s="41"/>
      <c r="I47" s="41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1"/>
      <c r="I48" s="41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1:57" ht="15.6" customHeight="1">
      <c r="B49" s="45"/>
      <c r="C49" s="11"/>
      <c r="D49" s="11"/>
      <c r="E49" s="46"/>
      <c r="F49" s="294"/>
      <c r="G49" s="42"/>
      <c r="H49" s="41"/>
      <c r="I49" s="41"/>
      <c r="J49" s="346" t="s">
        <v>130</v>
      </c>
      <c r="K49" s="324">
        <f>SUM(K39:K48)</f>
        <v>6</v>
      </c>
      <c r="L49" s="294"/>
      <c r="M49" s="294"/>
      <c r="N49" s="294"/>
      <c r="O49" s="294"/>
      <c r="P49" s="12"/>
    </row>
    <row r="50" spans="1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L50" s="294"/>
      <c r="N50" s="315"/>
      <c r="P50" s="334"/>
    </row>
    <row r="51" spans="1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1:57" ht="15" customHeight="1" thickBot="1">
      <c r="B52" s="537" t="s">
        <v>17</v>
      </c>
      <c r="C52" s="537" t="s">
        <v>44</v>
      </c>
      <c r="D52" s="540" t="s">
        <v>45</v>
      </c>
      <c r="E52" s="501" t="s">
        <v>46</v>
      </c>
      <c r="F52" s="510" t="s">
        <v>47</v>
      </c>
      <c r="G52" s="549" t="s">
        <v>48</v>
      </c>
      <c r="H52" s="537" t="s">
        <v>49</v>
      </c>
      <c r="I52" s="537" t="s">
        <v>50</v>
      </c>
      <c r="J52" s="543" t="s">
        <v>28</v>
      </c>
      <c r="K52" s="499" t="s">
        <v>51</v>
      </c>
      <c r="L52" s="552" t="s">
        <v>52</v>
      </c>
      <c r="M52" s="543" t="s">
        <v>53</v>
      </c>
      <c r="N52" s="13"/>
      <c r="O52" s="13"/>
      <c r="P52" s="50"/>
    </row>
    <row r="53" spans="1:57" ht="28.5" customHeight="1" thickTop="1" thickBot="1">
      <c r="B53" s="538"/>
      <c r="C53" s="539"/>
      <c r="D53" s="541"/>
      <c r="E53" s="542"/>
      <c r="F53" s="554"/>
      <c r="G53" s="550"/>
      <c r="H53" s="538"/>
      <c r="I53" s="538"/>
      <c r="J53" s="544"/>
      <c r="K53" s="551"/>
      <c r="L53" s="553"/>
      <c r="M53" s="544"/>
      <c r="N53" s="13"/>
      <c r="O53" s="13"/>
      <c r="P53" s="50"/>
      <c r="Q53" s="355"/>
      <c r="AB53" s="475">
        <v>43474</v>
      </c>
      <c r="AC53" s="475">
        <v>43475</v>
      </c>
      <c r="AD53" s="475">
        <v>43476</v>
      </c>
      <c r="AE53" s="475">
        <v>43477</v>
      </c>
      <c r="AF53" s="475">
        <v>43478</v>
      </c>
      <c r="AG53" s="475">
        <v>43479</v>
      </c>
      <c r="AH53" s="475">
        <v>43480</v>
      </c>
      <c r="AI53" s="475">
        <v>43481</v>
      </c>
      <c r="AJ53" s="475">
        <v>43482</v>
      </c>
      <c r="AK53" s="475">
        <v>43483</v>
      </c>
      <c r="AL53" s="475">
        <v>43484</v>
      </c>
      <c r="AM53" s="475">
        <v>43485</v>
      </c>
      <c r="AN53" s="475">
        <v>43486</v>
      </c>
      <c r="AO53" s="475">
        <v>43487</v>
      </c>
      <c r="AP53" s="475">
        <v>43488</v>
      </c>
      <c r="AQ53" s="475">
        <v>43489</v>
      </c>
      <c r="AR53" s="475">
        <v>43490</v>
      </c>
      <c r="AS53" s="475">
        <v>43491</v>
      </c>
      <c r="AT53" s="475">
        <v>43492</v>
      </c>
      <c r="AU53" s="475">
        <v>43493</v>
      </c>
      <c r="AV53" s="475">
        <v>43494</v>
      </c>
      <c r="AW53" s="475">
        <v>43495</v>
      </c>
      <c r="AX53" s="475">
        <v>43496</v>
      </c>
    </row>
    <row r="54" spans="1:57" s="54" customFormat="1" ht="36.75" customHeight="1" thickBot="1">
      <c r="B54" s="486" t="str">
        <f>I27</f>
        <v>GUINNESS</v>
      </c>
      <c r="C54" s="479">
        <v>46086</v>
      </c>
      <c r="D54" s="442">
        <f>[11]March_2026!$H$23</f>
        <v>219.79999999999998</v>
      </c>
      <c r="E54" s="443">
        <f>SUM([12]GUINNESS!$S$6)</f>
        <v>4.5999999999999996</v>
      </c>
      <c r="F54" s="444"/>
      <c r="G54" s="445">
        <f>[11]March_2026!$H$28</f>
        <v>191.10000000000002</v>
      </c>
      <c r="H54" s="458"/>
      <c r="I54" s="458"/>
      <c r="J54" s="448" t="s">
        <v>174</v>
      </c>
      <c r="K54" s="449">
        <f>[13]March_2026!$H$32</f>
        <v>0.13410526315789476</v>
      </c>
      <c r="L54" s="457">
        <f>(((D54+E54)-G54)/(D54+E54))*100</f>
        <v>14.839572192513351</v>
      </c>
      <c r="M54" s="455" t="s">
        <v>173</v>
      </c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[14]January_2019!L5</f>
        <v>0</v>
      </c>
      <c r="AC54" s="57">
        <f>[14]January_2019!M5</f>
        <v>0</v>
      </c>
      <c r="AD54" s="57">
        <f>[14]January_2019!N5</f>
        <v>0</v>
      </c>
      <c r="AE54" s="57">
        <f>[14]January_2019!O5</f>
        <v>0</v>
      </c>
      <c r="AF54" s="57">
        <f>[14]January_2019!P5</f>
        <v>0</v>
      </c>
      <c r="AG54" s="57">
        <f>[14]January_2019!Q5</f>
        <v>0</v>
      </c>
      <c r="AH54" s="57">
        <f>[14]January_2019!R5</f>
        <v>0</v>
      </c>
      <c r="AI54" s="57">
        <f>[14]January_2019!S5</f>
        <v>0</v>
      </c>
      <c r="AJ54" s="57">
        <f>[14]January_2019!T5</f>
        <v>0</v>
      </c>
      <c r="AK54" s="57">
        <f>[14]January_2019!U5</f>
        <v>0</v>
      </c>
      <c r="AL54" s="57">
        <f>[14]January_2019!V5</f>
        <v>0</v>
      </c>
      <c r="AM54" s="57">
        <f>[14]January_2019!W5</f>
        <v>0</v>
      </c>
      <c r="AN54" s="57">
        <f>[14]January_2019!X5</f>
        <v>0</v>
      </c>
      <c r="AO54" s="57">
        <f>[14]January_2019!Y5</f>
        <v>0</v>
      </c>
      <c r="AP54" s="57">
        <f>[14]January_2019!Z5</f>
        <v>0</v>
      </c>
      <c r="AQ54" s="57">
        <f>[14]January_2019!AA5</f>
        <v>0</v>
      </c>
      <c r="AR54" s="57">
        <f>[14]January_2019!AB5</f>
        <v>0</v>
      </c>
      <c r="AS54" s="57">
        <f>[14]January_2019!AC5</f>
        <v>0</v>
      </c>
      <c r="AT54" s="57">
        <f>[14]January_2019!AD5</f>
        <v>0</v>
      </c>
      <c r="AU54" s="57">
        <f>[14]January_2019!AE5</f>
        <v>0</v>
      </c>
      <c r="AV54" s="57">
        <f>[14]January_2019!AF5</f>
        <v>0</v>
      </c>
      <c r="AW54" s="57">
        <f>[14]January_2019!AG5</f>
        <v>0</v>
      </c>
      <c r="AX54" s="277">
        <f>[14]January_2019!AH5</f>
        <v>0</v>
      </c>
      <c r="AY54" s="277"/>
      <c r="AZ54" s="277"/>
      <c r="BA54" s="277"/>
      <c r="BB54" s="277"/>
      <c r="BC54" s="277"/>
      <c r="BD54" s="277"/>
      <c r="BE54" s="277"/>
    </row>
    <row r="55" spans="1:57" s="54" customFormat="1" ht="14.25" customHeight="1" thickBot="1">
      <c r="B55" s="480"/>
      <c r="C55" s="479"/>
      <c r="D55" s="442"/>
      <c r="E55" s="443"/>
      <c r="F55" s="444"/>
      <c r="G55" s="445"/>
      <c r="H55" s="458"/>
      <c r="I55" s="458"/>
      <c r="J55" s="476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[14]January_2019!L6</f>
        <v>0</v>
      </c>
      <c r="AC55" s="57">
        <f>[14]January_2019!M6</f>
        <v>0</v>
      </c>
      <c r="AD55" s="57">
        <f>[14]January_2019!N6</f>
        <v>0</v>
      </c>
      <c r="AE55" s="57">
        <f>[14]January_2019!O6</f>
        <v>0</v>
      </c>
      <c r="AF55" s="57">
        <f>[14]January_2019!P6</f>
        <v>0</v>
      </c>
      <c r="AG55" s="57">
        <f>[14]January_2019!Q6</f>
        <v>0</v>
      </c>
      <c r="AH55" s="57">
        <f>[14]January_2019!R6</f>
        <v>0</v>
      </c>
      <c r="AI55" s="57">
        <f>[14]January_2019!S6</f>
        <v>0</v>
      </c>
      <c r="AJ55" s="57">
        <f>[14]January_2019!T6</f>
        <v>0</v>
      </c>
      <c r="AK55" s="57">
        <f>[14]January_2019!U6</f>
        <v>0</v>
      </c>
      <c r="AL55" s="57">
        <f>[14]January_2019!V6</f>
        <v>0</v>
      </c>
      <c r="AM55" s="57">
        <f>[14]January_2019!W6</f>
        <v>0</v>
      </c>
      <c r="AN55" s="57">
        <f>[14]January_2019!X6</f>
        <v>0</v>
      </c>
      <c r="AO55" s="57">
        <f>[14]January_2019!Y6</f>
        <v>0</v>
      </c>
      <c r="AP55" s="57">
        <f>[14]January_2019!Z6</f>
        <v>0</v>
      </c>
      <c r="AQ55" s="57">
        <f>[14]January_2019!AA6</f>
        <v>0</v>
      </c>
      <c r="AR55" s="57">
        <f>[14]January_2019!AB6</f>
        <v>0</v>
      </c>
      <c r="AS55" s="57">
        <f>[14]January_2019!AC6</f>
        <v>0</v>
      </c>
      <c r="AT55" s="57">
        <f>[14]January_2019!AD6</f>
        <v>0</v>
      </c>
      <c r="AU55" s="57">
        <f>[14]January_2019!AE6</f>
        <v>0</v>
      </c>
      <c r="AV55" s="57">
        <f>[14]January_2019!AF6</f>
        <v>0</v>
      </c>
      <c r="AW55" s="57">
        <f>[14]January_2019!AG6</f>
        <v>0</v>
      </c>
      <c r="AX55" s="277">
        <f>[14]January_2019!AH6</f>
        <v>0</v>
      </c>
      <c r="AY55" s="277"/>
      <c r="AZ55" s="277"/>
      <c r="BA55" s="277"/>
      <c r="BB55" s="277"/>
      <c r="BC55" s="277"/>
      <c r="BD55" s="277"/>
      <c r="BE55" s="277"/>
    </row>
    <row r="56" spans="1:57" s="54" customFormat="1" ht="37.15" hidden="1" customHeight="1" thickBot="1">
      <c r="A56" s="54" t="s">
        <v>168</v>
      </c>
      <c r="B56" s="485"/>
      <c r="C56" s="479"/>
      <c r="D56" s="442"/>
      <c r="E56" s="443"/>
      <c r="F56" s="444"/>
      <c r="G56" s="445"/>
      <c r="H56" s="458"/>
      <c r="I56" s="458"/>
      <c r="J56" s="448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[14]January_2019!L7</f>
        <v>285.8</v>
      </c>
      <c r="AC56" s="57">
        <f>[14]January_2019!M7</f>
        <v>508.1</v>
      </c>
      <c r="AD56" s="57">
        <f>[14]January_2019!N7</f>
        <v>0</v>
      </c>
      <c r="AE56" s="57">
        <f>[14]January_2019!O7</f>
        <v>0</v>
      </c>
      <c r="AF56" s="57">
        <f>[14]January_2019!P7</f>
        <v>109.56666666666666</v>
      </c>
      <c r="AG56" s="57">
        <f>[14]January_2019!Q7</f>
        <v>297.64999999999998</v>
      </c>
      <c r="AH56" s="57">
        <f>[14]January_2019!R7</f>
        <v>122.3</v>
      </c>
      <c r="AI56" s="57">
        <f>[14]January_2019!S7</f>
        <v>0</v>
      </c>
      <c r="AJ56" s="57">
        <f>[14]January_2019!T7</f>
        <v>294.7</v>
      </c>
      <c r="AK56" s="57">
        <f>[14]January_2019!U7</f>
        <v>280.5</v>
      </c>
      <c r="AL56" s="57">
        <f>[14]January_2019!V7</f>
        <v>0</v>
      </c>
      <c r="AM56" s="57">
        <f>[14]January_2019!W7</f>
        <v>0</v>
      </c>
      <c r="AN56" s="57">
        <f>[14]January_2019!X7</f>
        <v>188.25</v>
      </c>
      <c r="AO56" s="57">
        <f>[14]January_2019!Y7</f>
        <v>295.7</v>
      </c>
      <c r="AP56" s="57">
        <f>[14]January_2019!Z7</f>
        <v>257.8</v>
      </c>
      <c r="AQ56" s="57">
        <f>[14]January_2019!AA7</f>
        <v>291.2</v>
      </c>
      <c r="AR56" s="57">
        <f>[14]January_2019!AB7</f>
        <v>187</v>
      </c>
      <c r="AS56" s="57">
        <f>[14]January_2019!AC7</f>
        <v>0</v>
      </c>
      <c r="AT56" s="57">
        <f>[14]January_2019!AD7</f>
        <v>0</v>
      </c>
      <c r="AU56" s="57">
        <f>[14]January_2019!AE7</f>
        <v>485.1</v>
      </c>
      <c r="AV56" s="57">
        <f>[14]January_2019!AF7</f>
        <v>171.55</v>
      </c>
      <c r="AW56" s="57">
        <f>[14]January_2019!AG7</f>
        <v>423.8</v>
      </c>
      <c r="AX56" s="277">
        <f>[14]January_2019!AH7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1:57" s="54" customFormat="1" ht="19.5" hidden="1" customHeight="1" thickBot="1">
      <c r="B57" s="478"/>
      <c r="C57" s="430"/>
      <c r="D57" s="431"/>
      <c r="E57" s="432"/>
      <c r="F57" s="433"/>
      <c r="G57" s="434"/>
      <c r="H57" s="458"/>
      <c r="I57" s="458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1:57" s="54" customFormat="1" ht="38.450000000000003" hidden="1" customHeight="1" thickBot="1">
      <c r="B58" s="480"/>
      <c r="C58" s="479"/>
      <c r="D58" s="442"/>
      <c r="E58" s="443"/>
      <c r="F58" s="444"/>
      <c r="G58" s="445"/>
      <c r="H58" s="458"/>
      <c r="I58" s="458"/>
      <c r="J58" s="448" t="s">
        <v>171</v>
      </c>
      <c r="K58" s="459"/>
      <c r="L58" s="457" t="e">
        <f>(((D58+E58)-G58)/(D58+E58))*100</f>
        <v>#DIV/0!</v>
      </c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1:57" s="54" customFormat="1" ht="15" hidden="1">
      <c r="B59" s="453"/>
      <c r="C59" s="430"/>
      <c r="D59" s="431"/>
      <c r="E59" s="432"/>
      <c r="F59" s="433"/>
      <c r="G59" s="434"/>
      <c r="H59" s="435"/>
      <c r="I59" s="450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37.15" hidden="1" customHeight="1" thickBot="1">
      <c r="B60" s="480"/>
      <c r="C60" s="479"/>
      <c r="D60" s="442"/>
      <c r="E60" s="443"/>
      <c r="F60" s="444"/>
      <c r="G60" s="445"/>
      <c r="H60" s="446"/>
      <c r="I60" s="447"/>
      <c r="J60" s="448"/>
      <c r="K60" s="44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16.5" hidden="1" customHeight="1" thickBot="1">
      <c r="B61" s="437"/>
      <c r="C61" s="423"/>
      <c r="D61" s="424"/>
      <c r="E61" s="425"/>
      <c r="F61" s="426"/>
      <c r="G61" s="427"/>
      <c r="H61" s="428"/>
      <c r="I61" s="438"/>
      <c r="J61" s="439"/>
      <c r="K61" s="429"/>
      <c r="L61" s="440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1:57" s="54" customFormat="1" ht="37.15" hidden="1" customHeight="1" thickBot="1">
      <c r="B62" s="456"/>
      <c r="C62" s="441"/>
      <c r="D62" s="442"/>
      <c r="E62" s="443"/>
      <c r="F62" s="444"/>
      <c r="G62" s="445"/>
      <c r="H62" s="446"/>
      <c r="I62" s="447"/>
      <c r="J62" s="448"/>
      <c r="K62" s="449"/>
      <c r="L62" s="457"/>
      <c r="M62" s="454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s="54" customFormat="1" ht="37.15" customHeight="1">
      <c r="B63" s="466"/>
      <c r="C63" s="430"/>
      <c r="D63" s="460"/>
      <c r="E63" s="461"/>
      <c r="F63" s="462"/>
      <c r="G63" s="460"/>
      <c r="H63" s="463"/>
      <c r="I63" s="463"/>
      <c r="J63" s="463"/>
      <c r="K63" s="464"/>
      <c r="L63" s="465"/>
      <c r="M63" s="50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ht="18" customHeight="1" thickBot="1">
      <c r="B64" s="59"/>
      <c r="C64" s="30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 t="s">
        <v>41</v>
      </c>
      <c r="O64" s="56"/>
      <c r="P64" s="60"/>
    </row>
    <row r="65" spans="2:16" ht="15.75" thickBot="1">
      <c r="B65" s="545" t="s">
        <v>55</v>
      </c>
      <c r="C65" s="546"/>
      <c r="D65" s="546"/>
      <c r="E65" s="546"/>
      <c r="F65" s="547"/>
      <c r="G65" s="545" t="s">
        <v>56</v>
      </c>
      <c r="H65" s="546"/>
      <c r="I65" s="546"/>
      <c r="J65" s="547"/>
      <c r="K65" s="545" t="s">
        <v>51</v>
      </c>
      <c r="L65" s="546"/>
      <c r="M65" s="546"/>
      <c r="N65" s="548"/>
      <c r="O65" s="56"/>
      <c r="P65" s="50"/>
    </row>
    <row r="66" spans="2:16" ht="15">
      <c r="B66" s="61" t="s">
        <v>17</v>
      </c>
      <c r="C66" s="62" t="s">
        <v>36</v>
      </c>
      <c r="D66" s="62" t="s">
        <v>37</v>
      </c>
      <c r="E66" s="62" t="s">
        <v>38</v>
      </c>
      <c r="F66" s="63" t="s">
        <v>39</v>
      </c>
      <c r="G66" s="62" t="s">
        <v>36</v>
      </c>
      <c r="H66" s="62" t="s">
        <v>37</v>
      </c>
      <c r="I66" s="62" t="s">
        <v>38</v>
      </c>
      <c r="J66" s="63" t="s">
        <v>39</v>
      </c>
      <c r="K66" s="62" t="s">
        <v>36</v>
      </c>
      <c r="L66" s="62" t="s">
        <v>37</v>
      </c>
      <c r="M66" s="62" t="s">
        <v>38</v>
      </c>
      <c r="N66" s="63" t="s">
        <v>39</v>
      </c>
      <c r="O66" s="56"/>
      <c r="P66" s="64"/>
    </row>
    <row r="67" spans="2:16" ht="15">
      <c r="B67" s="29" t="s">
        <v>6</v>
      </c>
      <c r="C67" s="282"/>
      <c r="D67" s="76">
        <v>8.7786259541984624</v>
      </c>
      <c r="E67" s="76">
        <v>7.3706095828564644</v>
      </c>
      <c r="F67" s="66">
        <v>4.8</v>
      </c>
      <c r="G67" s="65"/>
      <c r="H67" s="477">
        <v>8.4081085941424085</v>
      </c>
      <c r="I67" s="477">
        <v>7.5088378267587412</v>
      </c>
      <c r="J67" s="66">
        <v>4.8</v>
      </c>
      <c r="K67" s="67"/>
      <c r="L67" s="194">
        <v>0.33543859649122809</v>
      </c>
      <c r="M67" s="194">
        <v>0.3879408195117135</v>
      </c>
      <c r="N67" s="68">
        <v>1</v>
      </c>
      <c r="O67" s="56"/>
      <c r="P67" s="69"/>
    </row>
    <row r="68" spans="2:16" ht="15">
      <c r="B68" s="33" t="s">
        <v>9</v>
      </c>
      <c r="C68" s="65"/>
      <c r="D68" s="76">
        <v>7.025900565644533</v>
      </c>
      <c r="E68" s="76">
        <v>6.4149147319533819</v>
      </c>
      <c r="F68" s="66">
        <v>4.8</v>
      </c>
      <c r="G68" s="65"/>
      <c r="H68" s="76">
        <v>7.2057488520690356</v>
      </c>
      <c r="I68" s="76">
        <v>6.4809053832841554</v>
      </c>
      <c r="J68" s="66">
        <v>4.8</v>
      </c>
      <c r="K68" s="67"/>
      <c r="L68" s="194">
        <v>0.66210526315789475</v>
      </c>
      <c r="M68" s="194">
        <v>0.56980105779238654</v>
      </c>
      <c r="N68" s="68">
        <v>1</v>
      </c>
      <c r="P68" s="69"/>
    </row>
    <row r="69" spans="2:16" ht="15">
      <c r="B69" s="34" t="s">
        <v>40</v>
      </c>
      <c r="C69" s="65">
        <f>L54</f>
        <v>14.839572192513351</v>
      </c>
      <c r="D69" s="76"/>
      <c r="E69" s="76">
        <v>12.433093745220976</v>
      </c>
      <c r="F69" s="66">
        <v>5.5</v>
      </c>
      <c r="G69" s="65">
        <f>[11]March_2026!$H$32</f>
        <v>15.929169418730554</v>
      </c>
      <c r="H69" s="76"/>
      <c r="I69" s="76">
        <v>12.623654161138989</v>
      </c>
      <c r="J69" s="66">
        <v>5.5</v>
      </c>
      <c r="K69" s="67">
        <f>K54</f>
        <v>0.13410526315789476</v>
      </c>
      <c r="L69" s="194"/>
      <c r="M69" s="194">
        <v>0.33891812865497073</v>
      </c>
      <c r="N69" s="68">
        <v>1</v>
      </c>
      <c r="P69" s="69"/>
    </row>
    <row r="70" spans="2:16" ht="15">
      <c r="B70" s="22" t="s">
        <v>33</v>
      </c>
      <c r="C70" s="65"/>
      <c r="D70" s="76">
        <v>4.786281034041461</v>
      </c>
      <c r="E70" s="76">
        <v>4.9619586520196597</v>
      </c>
      <c r="F70" s="66">
        <v>3.3</v>
      </c>
      <c r="G70" s="65"/>
      <c r="H70" s="76">
        <v>5.4251963146907434</v>
      </c>
      <c r="I70" s="76">
        <v>4.9501867212112511</v>
      </c>
      <c r="J70" s="66">
        <v>3.3</v>
      </c>
      <c r="K70" s="67"/>
      <c r="L70" s="194">
        <v>1.3052631578947369</v>
      </c>
      <c r="M70" s="194">
        <v>0.88064327485380123</v>
      </c>
      <c r="N70" s="68">
        <v>1</v>
      </c>
      <c r="P70" s="69"/>
    </row>
    <row r="71" spans="2:16" ht="15">
      <c r="B71" s="35" t="s">
        <v>164</v>
      </c>
      <c r="C71" s="65"/>
      <c r="D71" s="76"/>
      <c r="E71" s="76"/>
      <c r="F71" s="66">
        <v>3.3</v>
      </c>
      <c r="G71" s="282"/>
      <c r="H71" s="76"/>
      <c r="I71" s="76"/>
      <c r="J71" s="66">
        <v>3</v>
      </c>
      <c r="K71" s="67"/>
      <c r="L71" s="194"/>
      <c r="M71" s="194"/>
      <c r="N71" s="68">
        <v>1</v>
      </c>
      <c r="P71" s="69"/>
    </row>
    <row r="72" spans="2:16" ht="15">
      <c r="B72" s="36" t="s">
        <v>15</v>
      </c>
      <c r="C72" s="65"/>
      <c r="D72" s="76"/>
      <c r="E72" s="76">
        <v>5.1105651105651271</v>
      </c>
      <c r="F72" s="70">
        <f>[15]May_2022!$M$43</f>
        <v>3.4878406700073312</v>
      </c>
      <c r="G72" s="282"/>
      <c r="H72" s="76"/>
      <c r="I72" s="76">
        <v>7.9131369535794072</v>
      </c>
      <c r="J72" s="66">
        <v>5.5</v>
      </c>
      <c r="K72" s="67"/>
      <c r="L72" s="194"/>
      <c r="M72" s="194">
        <v>1.3550877192982456</v>
      </c>
      <c r="N72" s="68">
        <v>1</v>
      </c>
      <c r="P72" s="69"/>
    </row>
    <row r="73" spans="2:16" ht="15">
      <c r="B73" s="37" t="s">
        <v>16</v>
      </c>
      <c r="C73" s="65"/>
      <c r="D73" s="76"/>
      <c r="E73" s="76">
        <v>3.9401442566476499</v>
      </c>
      <c r="F73" s="66">
        <v>3.3</v>
      </c>
      <c r="G73" s="282"/>
      <c r="H73" s="76"/>
      <c r="I73" s="76">
        <v>4.7059150132172638</v>
      </c>
      <c r="J73" s="66">
        <v>3.3</v>
      </c>
      <c r="K73" s="67"/>
      <c r="L73" s="194"/>
      <c r="M73" s="194">
        <v>0.82374269005847967</v>
      </c>
      <c r="N73" s="71">
        <v>1</v>
      </c>
      <c r="P73" s="69"/>
    </row>
    <row r="74" spans="2:16" ht="15.75" thickBot="1">
      <c r="B74" s="38" t="s">
        <v>163</v>
      </c>
      <c r="C74" s="65"/>
      <c r="D74" s="76"/>
      <c r="E74" s="76"/>
      <c r="F74" s="66">
        <v>7.5</v>
      </c>
      <c r="G74" s="282"/>
      <c r="H74" s="76"/>
      <c r="I74" s="76"/>
      <c r="J74" s="66">
        <v>7.5</v>
      </c>
      <c r="K74" s="67"/>
      <c r="L74" s="194"/>
      <c r="M74" s="194"/>
      <c r="N74" s="71">
        <v>1</v>
      </c>
      <c r="P74" s="69"/>
    </row>
    <row r="75" spans="2:16" ht="15.75" thickBot="1">
      <c r="B75" s="414" t="s">
        <v>161</v>
      </c>
      <c r="C75" s="65"/>
      <c r="D75" s="76"/>
      <c r="E75" s="76"/>
      <c r="F75" s="66">
        <v>4.8</v>
      </c>
      <c r="G75" s="282"/>
      <c r="H75" s="76"/>
      <c r="I75" s="76"/>
      <c r="J75" s="66">
        <v>4.8</v>
      </c>
      <c r="K75" s="67"/>
      <c r="L75" s="194"/>
      <c r="M75" s="194"/>
      <c r="N75" s="71">
        <v>1</v>
      </c>
      <c r="O75" s="74"/>
      <c r="P75" s="75"/>
    </row>
    <row r="76" spans="2:16" ht="15">
      <c r="D76" s="76">
        <v>6.8367585240541748</v>
      </c>
      <c r="E76" s="76">
        <v>6.8648925558981873</v>
      </c>
      <c r="F76" s="341">
        <v>5.5</v>
      </c>
      <c r="H76" s="76">
        <v>6.871403613643162</v>
      </c>
      <c r="I76" s="76">
        <v>7.0877699144866817</v>
      </c>
      <c r="J76" s="341">
        <v>5.5</v>
      </c>
      <c r="L76" s="194">
        <v>0.72540350877192983</v>
      </c>
      <c r="M76" s="194">
        <v>0.44783344162876332</v>
      </c>
      <c r="N76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B37:B46"/>
    <mergeCell ref="D37:E38"/>
    <mergeCell ref="J37:K37"/>
    <mergeCell ref="L38:N38"/>
    <mergeCell ref="D39:E40"/>
    <mergeCell ref="D41:E42"/>
    <mergeCell ref="D43:E44"/>
    <mergeCell ref="D45:E46"/>
    <mergeCell ref="D47:E47"/>
    <mergeCell ref="B52:B53"/>
    <mergeCell ref="C52:C53"/>
    <mergeCell ref="D52:D53"/>
    <mergeCell ref="E52:E53"/>
    <mergeCell ref="M52:M53"/>
    <mergeCell ref="B65:F65"/>
    <mergeCell ref="G65:J65"/>
    <mergeCell ref="K65:N65"/>
    <mergeCell ref="G52:G53"/>
    <mergeCell ref="H52:H53"/>
    <mergeCell ref="I52:I53"/>
    <mergeCell ref="J52:J53"/>
    <mergeCell ref="K52:K53"/>
    <mergeCell ref="L52:L53"/>
    <mergeCell ref="F52:F53"/>
  </mergeCells>
  <conditionalFormatting sqref="B47:B48">
    <cfRule type="cellIs" dxfId="2738" priority="74" operator="notBetween">
      <formula>#REF!</formula>
      <formula>#REF!</formula>
    </cfRule>
  </conditionalFormatting>
  <conditionalFormatting sqref="C51">
    <cfRule type="cellIs" dxfId="2737" priority="168" stopIfTrue="1" operator="lessThan">
      <formula>96</formula>
    </cfRule>
    <cfRule type="cellIs" dxfId="2736" priority="169" stopIfTrue="1" operator="greaterThan">
      <formula>100</formula>
    </cfRule>
  </conditionalFormatting>
  <conditionalFormatting sqref="C67:C71">
    <cfRule type="cellIs" dxfId="2735" priority="137" stopIfTrue="1" operator="lessThanOrEqual">
      <formula>0</formula>
    </cfRule>
  </conditionalFormatting>
  <conditionalFormatting sqref="C67:C75">
    <cfRule type="cellIs" dxfId="2734" priority="136" stopIfTrue="1" operator="greaterThan">
      <formula>$F67</formula>
    </cfRule>
  </conditionalFormatting>
  <conditionalFormatting sqref="C68">
    <cfRule type="cellIs" dxfId="2733" priority="170" stopIfTrue="1" operator="greaterThan">
      <formula>$F67</formula>
    </cfRule>
  </conditionalFormatting>
  <conditionalFormatting sqref="C72">
    <cfRule type="cellIs" dxfId="2732" priority="98" stopIfTrue="1" operator="lessThanOrEqual">
      <formula>0</formula>
    </cfRule>
    <cfRule type="cellIs" dxfId="2731" priority="99" stopIfTrue="1" operator="greaterThan">
      <formula>$F71</formula>
    </cfRule>
  </conditionalFormatting>
  <conditionalFormatting sqref="C73:C75">
    <cfRule type="cellIs" dxfId="2730" priority="138" stopIfTrue="1" operator="lessThanOrEqual">
      <formula>0</formula>
    </cfRule>
  </conditionalFormatting>
  <conditionalFormatting sqref="C78:C82">
    <cfRule type="cellIs" dxfId="2729" priority="160" stopIfTrue="1" operator="lessThanOrEqual">
      <formula>0</formula>
    </cfRule>
  </conditionalFormatting>
  <conditionalFormatting sqref="C79:C82">
    <cfRule type="cellIs" dxfId="2728" priority="159" stopIfTrue="1" operator="greaterThan">
      <formula>$F$78</formula>
    </cfRule>
  </conditionalFormatting>
  <conditionalFormatting sqref="C84">
    <cfRule type="cellIs" dxfId="2727" priority="161" stopIfTrue="1" operator="greaterThan">
      <formula>$F$78</formula>
    </cfRule>
    <cfRule type="cellIs" dxfId="2726" priority="162" stopIfTrue="1" operator="lessThanOrEqual">
      <formula>0</formula>
    </cfRule>
  </conditionalFormatting>
  <conditionalFormatting sqref="C78:D78 D80:D86">
    <cfRule type="cellIs" dxfId="2725" priority="154" stopIfTrue="1" operator="greaterThan">
      <formula>4.5</formula>
    </cfRule>
  </conditionalFormatting>
  <conditionalFormatting sqref="D47:D48">
    <cfRule type="cellIs" dxfId="2724" priority="75" operator="notBetween">
      <formula>#REF!</formula>
      <formula>#REF!</formula>
    </cfRule>
  </conditionalFormatting>
  <conditionalFormatting sqref="D67:D74">
    <cfRule type="cellIs" dxfId="2723" priority="47" stopIfTrue="1" operator="lessThanOrEqual">
      <formula>0</formula>
    </cfRule>
  </conditionalFormatting>
  <conditionalFormatting sqref="D67:D76">
    <cfRule type="cellIs" dxfId="2722" priority="26" stopIfTrue="1" operator="lessThanOrEqual">
      <formula>0</formula>
    </cfRule>
  </conditionalFormatting>
  <conditionalFormatting sqref="D75">
    <cfRule type="cellIs" dxfId="2721" priority="46" stopIfTrue="1" operator="lessThanOrEqual">
      <formula>0</formula>
    </cfRule>
  </conditionalFormatting>
  <conditionalFormatting sqref="D76">
    <cfRule type="cellIs" dxfId="2720" priority="41" stopIfTrue="1" operator="lessThanOrEqual">
      <formula>0</formula>
    </cfRule>
  </conditionalFormatting>
  <conditionalFormatting sqref="D78 D80:D86">
    <cfRule type="cellIs" dxfId="2719" priority="155" stopIfTrue="1" operator="lessThanOrEqual">
      <formula>0</formula>
    </cfRule>
  </conditionalFormatting>
  <conditionalFormatting sqref="D79">
    <cfRule type="cellIs" dxfId="2718" priority="147" stopIfTrue="1" operator="lessThanOrEqual">
      <formula>0</formula>
    </cfRule>
    <cfRule type="cellIs" dxfId="2717" priority="146" stopIfTrue="1" operator="greaterThan">
      <formula>$F$78</formula>
    </cfRule>
  </conditionalFormatting>
  <conditionalFormatting sqref="D67:E76">
    <cfRule type="cellIs" dxfId="2716" priority="28" stopIfTrue="1" operator="greaterThan">
      <formula>$F67</formula>
    </cfRule>
  </conditionalFormatting>
  <conditionalFormatting sqref="D76:E76">
    <cfRule type="cellIs" dxfId="2715" priority="30" stopIfTrue="1" operator="lessThanOrEqual">
      <formula>0</formula>
    </cfRule>
  </conditionalFormatting>
  <conditionalFormatting sqref="E10:E22">
    <cfRule type="cellIs" dxfId="2714" priority="19" operator="lessThan">
      <formula>48</formula>
    </cfRule>
  </conditionalFormatting>
  <conditionalFormatting sqref="E50 E51:F51">
    <cfRule type="cellIs" dxfId="2713" priority="151" stopIfTrue="1" operator="greaterThan">
      <formula>100</formula>
    </cfRule>
  </conditionalFormatting>
  <conditionalFormatting sqref="E51">
    <cfRule type="cellIs" dxfId="2712" priority="148" stopIfTrue="1" operator="lessThan">
      <formula>96.8</formula>
    </cfRule>
    <cfRule type="cellIs" dxfId="2711" priority="149" stopIfTrue="1" operator="greaterThan">
      <formula>100</formula>
    </cfRule>
  </conditionalFormatting>
  <conditionalFormatting sqref="E67:E75">
    <cfRule type="cellIs" dxfId="2710" priority="27" stopIfTrue="1" operator="lessThanOrEqual">
      <formula>0</formula>
    </cfRule>
  </conditionalFormatting>
  <conditionalFormatting sqref="E67:E76">
    <cfRule type="cellIs" dxfId="2709" priority="29" stopIfTrue="1" operator="lessThanOrEqual">
      <formula>0</formula>
    </cfRule>
  </conditionalFormatting>
  <conditionalFormatting sqref="E78:E86">
    <cfRule type="cellIs" dxfId="2708" priority="140" stopIfTrue="1" operator="greaterThan">
      <formula>4.5</formula>
    </cfRule>
    <cfRule type="cellIs" dxfId="2707" priority="141" stopIfTrue="1" operator="lessThanOrEqual">
      <formula>0</formula>
    </cfRule>
  </conditionalFormatting>
  <conditionalFormatting sqref="E51:F51 E50">
    <cfRule type="cellIs" dxfId="2706" priority="150" stopIfTrue="1" operator="lessThan">
      <formula>96.5</formula>
    </cfRule>
  </conditionalFormatting>
  <conditionalFormatting sqref="F10:F12 F22">
    <cfRule type="cellIs" dxfId="2705" priority="22" operator="greaterThan">
      <formula>60</formula>
    </cfRule>
  </conditionalFormatting>
  <conditionalFormatting sqref="F51">
    <cfRule type="cellIs" dxfId="2704" priority="167" stopIfTrue="1" operator="greaterThan">
      <formula>100</formula>
    </cfRule>
    <cfRule type="cellIs" dxfId="2703" priority="166" stopIfTrue="1" operator="lessThan">
      <formula>96.8</formula>
    </cfRule>
  </conditionalFormatting>
  <conditionalFormatting sqref="F76">
    <cfRule type="cellIs" dxfId="2702" priority="45" stopIfTrue="1" operator="lessThanOrEqual">
      <formula>0</formula>
    </cfRule>
    <cfRule type="cellIs" dxfId="2701" priority="44" stopIfTrue="1" operator="greaterThan">
      <formula>$F76</formula>
    </cfRule>
  </conditionalFormatting>
  <conditionalFormatting sqref="G10:G21">
    <cfRule type="expression" dxfId="2700" priority="14">
      <formula>IF(+(IF(G10&lt;S10,0,IF(G10&gt;T10,0,1)))=0,1)</formula>
    </cfRule>
  </conditionalFormatting>
  <conditionalFormatting sqref="G67:G68">
    <cfRule type="cellIs" dxfId="2699" priority="42" stopIfTrue="1" operator="greaterThan">
      <formula>$F67</formula>
    </cfRule>
    <cfRule type="cellIs" dxfId="2698" priority="43" stopIfTrue="1" operator="lessThanOrEqual">
      <formula>0</formula>
    </cfRule>
    <cfRule type="cellIs" dxfId="2697" priority="48" stopIfTrue="1" operator="greaterThan">
      <formula>$F67</formula>
    </cfRule>
    <cfRule type="cellIs" dxfId="2696" priority="49" stopIfTrue="1" operator="lessThanOrEqual">
      <formula>0</formula>
    </cfRule>
  </conditionalFormatting>
  <conditionalFormatting sqref="G69">
    <cfRule type="cellIs" dxfId="2695" priority="52" stopIfTrue="1" operator="greaterThan">
      <formula>$F68</formula>
    </cfRule>
    <cfRule type="cellIs" dxfId="2694" priority="53" stopIfTrue="1" operator="lessThanOrEqual">
      <formula>0</formula>
    </cfRule>
  </conditionalFormatting>
  <conditionalFormatting sqref="G70">
    <cfRule type="cellIs" dxfId="2693" priority="36" stopIfTrue="1" operator="greaterThan">
      <formula>$F70</formula>
    </cfRule>
    <cfRule type="cellIs" dxfId="2692" priority="37" stopIfTrue="1" operator="lessThanOrEqual">
      <formula>0</formula>
    </cfRule>
    <cfRule type="cellIs" dxfId="2691" priority="35" stopIfTrue="1" operator="lessThanOrEqual">
      <formula>0</formula>
    </cfRule>
    <cfRule type="cellIs" dxfId="2690" priority="34" stopIfTrue="1" operator="greaterThan">
      <formula>$F70</formula>
    </cfRule>
  </conditionalFormatting>
  <conditionalFormatting sqref="G71:G75">
    <cfRule type="cellIs" dxfId="2689" priority="50" stopIfTrue="1" operator="greaterThan">
      <formula>$J71</formula>
    </cfRule>
    <cfRule type="cellIs" dxfId="2688" priority="51" stopIfTrue="1" operator="lessThanOrEqual">
      <formula>0</formula>
    </cfRule>
  </conditionalFormatting>
  <conditionalFormatting sqref="G80:G85 C83 C85">
    <cfRule type="cellIs" dxfId="2687" priority="164" stopIfTrue="1" operator="lessThanOrEqual">
      <formula>0</formula>
    </cfRule>
    <cfRule type="cellIs" dxfId="2686" priority="163" stopIfTrue="1" operator="greaterThan">
      <formula>4.5</formula>
    </cfRule>
  </conditionalFormatting>
  <conditionalFormatting sqref="G79:H79">
    <cfRule type="cellIs" dxfId="2685" priority="145" stopIfTrue="1" operator="lessThanOrEqual">
      <formula>0</formula>
    </cfRule>
    <cfRule type="cellIs" dxfId="2684" priority="144" stopIfTrue="1" operator="greaterThan">
      <formula>$F$78</formula>
    </cfRule>
  </conditionalFormatting>
  <conditionalFormatting sqref="H10:H21 G22:H22">
    <cfRule type="expression" dxfId="2683" priority="71">
      <formula>IF(+(IF(G10&lt;#REF!,0,IF(G10&gt;#REF!,0,1)))=0,1)</formula>
    </cfRule>
  </conditionalFormatting>
  <conditionalFormatting sqref="H36:H50 I38:I49">
    <cfRule type="cellIs" dxfId="2682" priority="142" stopIfTrue="1" operator="greaterThan">
      <formula>0</formula>
    </cfRule>
  </conditionalFormatting>
  <conditionalFormatting sqref="H54:H58">
    <cfRule type="cellIs" dxfId="2681" priority="58" stopIfTrue="1" operator="greaterThan">
      <formula>$F$67</formula>
    </cfRule>
    <cfRule type="cellIs" dxfId="2680" priority="67" stopIfTrue="1" operator="lessThanOrEqual">
      <formula>0</formula>
    </cfRule>
    <cfRule type="cellIs" dxfId="2679" priority="57" stopIfTrue="1" operator="lessThanOrEqual">
      <formula>0</formula>
    </cfRule>
    <cfRule type="cellIs" dxfId="2678" priority="69" stopIfTrue="1" operator="lessThanOrEqual">
      <formula>0</formula>
    </cfRule>
    <cfRule type="cellIs" dxfId="2677" priority="66" stopIfTrue="1" operator="greaterThan">
      <formula>$F$70</formula>
    </cfRule>
    <cfRule type="cellIs" dxfId="2676" priority="68" stopIfTrue="1" operator="greaterThan">
      <formula>$F$68</formula>
    </cfRule>
  </conditionalFormatting>
  <conditionalFormatting sqref="H59:H60">
    <cfRule type="cellIs" dxfId="2675" priority="111" stopIfTrue="1" operator="lessThanOrEqual">
      <formula>0</formula>
    </cfRule>
    <cfRule type="cellIs" dxfId="2674" priority="110" stopIfTrue="1" operator="greaterThan">
      <formula>$F$22</formula>
    </cfRule>
    <cfRule type="cellIs" dxfId="2673" priority="113" stopIfTrue="1" operator="lessThanOrEqual">
      <formula>0</formula>
    </cfRule>
    <cfRule type="cellIs" dxfId="2672" priority="112" stopIfTrue="1" operator="greaterThan">
      <formula>#REF!</formula>
    </cfRule>
    <cfRule type="cellIs" dxfId="2671" priority="101" stopIfTrue="1" operator="lessThanOrEqual">
      <formula>0</formula>
    </cfRule>
    <cfRule type="cellIs" dxfId="2670" priority="102" stopIfTrue="1" operator="greaterThan">
      <formula>#REF!</formula>
    </cfRule>
  </conditionalFormatting>
  <conditionalFormatting sqref="H61">
    <cfRule type="cellIs" dxfId="2669" priority="127" stopIfTrue="1" operator="lessThanOrEqual">
      <formula>0</formula>
    </cfRule>
    <cfRule type="cellIs" dxfId="2668" priority="126" stopIfTrue="1" operator="greaterThan">
      <formula>$F$36</formula>
    </cfRule>
    <cfRule type="cellIs" dxfId="2667" priority="125" stopIfTrue="1" operator="lessThanOrEqual">
      <formula>0</formula>
    </cfRule>
    <cfRule type="cellIs" dxfId="2666" priority="124" stopIfTrue="1" operator="greaterThan">
      <formula>$F$38</formula>
    </cfRule>
    <cfRule type="cellIs" dxfId="2665" priority="115" stopIfTrue="1" operator="lessThanOrEqual">
      <formula>0</formula>
    </cfRule>
    <cfRule type="cellIs" dxfId="2664" priority="116" stopIfTrue="1" operator="greaterThan">
      <formula>$F$35</formula>
    </cfRule>
  </conditionalFormatting>
  <conditionalFormatting sqref="H62:H63">
    <cfRule type="cellIs" dxfId="2663" priority="96" stopIfTrue="1" operator="greaterThan">
      <formula>#REF!</formula>
    </cfRule>
    <cfRule type="cellIs" dxfId="2662" priority="95" stopIfTrue="1" operator="lessThanOrEqual">
      <formula>0</formula>
    </cfRule>
    <cfRule type="cellIs" dxfId="2661" priority="85" stopIfTrue="1" operator="lessThanOrEqual">
      <formula>0</formula>
    </cfRule>
    <cfRule type="cellIs" dxfId="2660" priority="86" stopIfTrue="1" operator="greaterThan">
      <formula>#REF!</formula>
    </cfRule>
    <cfRule type="cellIs" dxfId="2659" priority="94" stopIfTrue="1" operator="greaterThan">
      <formula>$F$22</formula>
    </cfRule>
    <cfRule type="cellIs" dxfId="2658" priority="97" stopIfTrue="1" operator="lessThanOrEqual">
      <formula>0</formula>
    </cfRule>
  </conditionalFormatting>
  <conditionalFormatting sqref="H78 H80:H86">
    <cfRule type="cellIs" dxfId="2657" priority="156" stopIfTrue="1" operator="greaterThan">
      <formula>4.5</formula>
    </cfRule>
    <cfRule type="cellIs" dxfId="2656" priority="157" stopIfTrue="1" operator="lessThanOrEqual">
      <formula>0</formula>
    </cfRule>
  </conditionalFormatting>
  <conditionalFormatting sqref="H54:I58">
    <cfRule type="cellIs" dxfId="2655" priority="59" stopIfTrue="1" operator="lessThanOrEqual">
      <formula>0</formula>
    </cfRule>
    <cfRule type="cellIs" dxfId="2654" priority="56" stopIfTrue="1" operator="greaterThan">
      <formula>$F$69</formula>
    </cfRule>
  </conditionalFormatting>
  <conditionalFormatting sqref="H59:I60">
    <cfRule type="cellIs" dxfId="2653" priority="100" stopIfTrue="1" operator="greaterThan">
      <formula>#REF!</formula>
    </cfRule>
    <cfRule type="cellIs" dxfId="2652" priority="103" stopIfTrue="1" operator="lessThanOrEqual">
      <formula>0</formula>
    </cfRule>
  </conditionalFormatting>
  <conditionalFormatting sqref="H61:I61">
    <cfRule type="cellIs" dxfId="2651" priority="114" stopIfTrue="1" operator="greaterThan">
      <formula>$F$37</formula>
    </cfRule>
    <cfRule type="cellIs" dxfId="2650" priority="117" stopIfTrue="1" operator="lessThanOrEqual">
      <formula>0</formula>
    </cfRule>
  </conditionalFormatting>
  <conditionalFormatting sqref="H62:I63">
    <cfRule type="cellIs" dxfId="2649" priority="84" stopIfTrue="1" operator="greaterThan">
      <formula>#REF!</formula>
    </cfRule>
    <cfRule type="cellIs" dxfId="2648" priority="87" stopIfTrue="1" operator="lessThanOrEqual">
      <formula>0</formula>
    </cfRule>
  </conditionalFormatting>
  <conditionalFormatting sqref="H67:I74">
    <cfRule type="cellIs" dxfId="2647" priority="24" stopIfTrue="1" operator="greaterThan">
      <formula>$J67</formula>
    </cfRule>
    <cfRule type="cellIs" dxfId="2646" priority="25" stopIfTrue="1" operator="lessThanOrEqual">
      <formula>0</formula>
    </cfRule>
  </conditionalFormatting>
  <conditionalFormatting sqref="H75:I75">
    <cfRule type="cellIs" dxfId="2645" priority="33" operator="greaterThan">
      <formula>5.3</formula>
    </cfRule>
  </conditionalFormatting>
  <conditionalFormatting sqref="H76:I76">
    <cfRule type="cellIs" dxfId="2644" priority="32" stopIfTrue="1" operator="lessThanOrEqual">
      <formula>0</formula>
    </cfRule>
    <cfRule type="cellIs" dxfId="2643" priority="31" stopIfTrue="1" operator="greaterThan">
      <formula>$J76</formula>
    </cfRule>
  </conditionalFormatting>
  <conditionalFormatting sqref="I54:I58">
    <cfRule type="cellIs" dxfId="2642" priority="62" stopIfTrue="1" operator="greaterThan">
      <formula>$F$69</formula>
    </cfRule>
    <cfRule type="cellIs" dxfId="2641" priority="64" stopIfTrue="1" operator="greaterThan">
      <formula>$F$67</formula>
    </cfRule>
    <cfRule type="cellIs" dxfId="2640" priority="63" stopIfTrue="1" operator="lessThanOrEqual">
      <formula>0</formula>
    </cfRule>
    <cfRule type="cellIs" dxfId="2639" priority="61" stopIfTrue="1" operator="lessThanOrEqual">
      <formula>0</formula>
    </cfRule>
    <cfRule type="cellIs" dxfId="2638" priority="60" stopIfTrue="1" operator="greaterThan">
      <formula>$F$67</formula>
    </cfRule>
    <cfRule type="cellIs" dxfId="2637" priority="65" stopIfTrue="1" operator="lessThanOrEqual">
      <formula>0</formula>
    </cfRule>
  </conditionalFormatting>
  <conditionalFormatting sqref="I59:I60">
    <cfRule type="cellIs" dxfId="2636" priority="105" stopIfTrue="1" operator="lessThanOrEqual">
      <formula>0</formula>
    </cfRule>
    <cfRule type="cellIs" dxfId="2635" priority="106" stopIfTrue="1" operator="greaterThan">
      <formula>#REF!</formula>
    </cfRule>
    <cfRule type="cellIs" dxfId="2634" priority="104" stopIfTrue="1" operator="greaterThan">
      <formula>#REF!</formula>
    </cfRule>
    <cfRule type="cellIs" dxfId="2633" priority="108" stopIfTrue="1" operator="greaterThan">
      <formula>#REF!</formula>
    </cfRule>
    <cfRule type="cellIs" dxfId="2632" priority="109" stopIfTrue="1" operator="lessThanOrEqual">
      <formula>0</formula>
    </cfRule>
    <cfRule type="cellIs" dxfId="2631" priority="107" stopIfTrue="1" operator="lessThanOrEqual">
      <formula>0</formula>
    </cfRule>
  </conditionalFormatting>
  <conditionalFormatting sqref="I61">
    <cfRule type="cellIs" dxfId="2630" priority="123" stopIfTrue="1" operator="lessThanOrEqual">
      <formula>0</formula>
    </cfRule>
    <cfRule type="cellIs" dxfId="2629" priority="121" stopIfTrue="1" operator="lessThanOrEqual">
      <formula>0</formula>
    </cfRule>
    <cfRule type="cellIs" dxfId="2628" priority="120" stopIfTrue="1" operator="greaterThan">
      <formula>$F$37</formula>
    </cfRule>
    <cfRule type="cellIs" dxfId="2627" priority="119" stopIfTrue="1" operator="lessThanOrEqual">
      <formula>0</formula>
    </cfRule>
    <cfRule type="cellIs" dxfId="2626" priority="122" stopIfTrue="1" operator="greaterThan">
      <formula>$F$35</formula>
    </cfRule>
    <cfRule type="cellIs" dxfId="2625" priority="118" stopIfTrue="1" operator="greaterThan">
      <formula>$F$35</formula>
    </cfRule>
  </conditionalFormatting>
  <conditionalFormatting sqref="I62:I63">
    <cfRule type="cellIs" dxfId="2624" priority="90" stopIfTrue="1" operator="greaterThan">
      <formula>#REF!</formula>
    </cfRule>
    <cfRule type="cellIs" dxfId="2623" priority="91" stopIfTrue="1" operator="lessThanOrEqual">
      <formula>0</formula>
    </cfRule>
    <cfRule type="cellIs" dxfId="2622" priority="92" stopIfTrue="1" operator="greaterThan">
      <formula>#REF!</formula>
    </cfRule>
    <cfRule type="cellIs" dxfId="2621" priority="93" stopIfTrue="1" operator="lessThanOrEqual">
      <formula>0</formula>
    </cfRule>
    <cfRule type="cellIs" dxfId="2620" priority="88" stopIfTrue="1" operator="greaterThan">
      <formula>#REF!</formula>
    </cfRule>
    <cfRule type="cellIs" dxfId="2619" priority="89" stopIfTrue="1" operator="lessThanOrEqual">
      <formula>0</formula>
    </cfRule>
  </conditionalFormatting>
  <conditionalFormatting sqref="I78:I86">
    <cfRule type="cellIs" dxfId="2618" priority="152" stopIfTrue="1" operator="greaterThan">
      <formula>4.5</formula>
    </cfRule>
    <cfRule type="cellIs" dxfId="2617" priority="153" stopIfTrue="1" operator="lessThanOrEqual">
      <formula>0</formula>
    </cfRule>
  </conditionalFormatting>
  <conditionalFormatting sqref="I10:J22">
    <cfRule type="cellIs" dxfId="2616" priority="15" operator="lessThan">
      <formula>97.9</formula>
    </cfRule>
  </conditionalFormatting>
  <conditionalFormatting sqref="J25">
    <cfRule type="cellIs" dxfId="2615" priority="55" operator="lessThan">
      <formula>97.95</formula>
    </cfRule>
  </conditionalFormatting>
  <conditionalFormatting sqref="J27">
    <cfRule type="cellIs" dxfId="2614" priority="130" stopIfTrue="1" operator="greaterThan">
      <formula>100</formula>
    </cfRule>
    <cfRule type="cellIs" dxfId="2613" priority="129" stopIfTrue="1" operator="lessThan">
      <formula>96.8</formula>
    </cfRule>
    <cfRule type="cellIs" dxfId="2612" priority="131" operator="lessThan">
      <formula>98</formula>
    </cfRule>
  </conditionalFormatting>
  <conditionalFormatting sqref="J27:J29">
    <cfRule type="cellIs" dxfId="2611" priority="128" operator="lessThan">
      <formula>97.4</formula>
    </cfRule>
  </conditionalFormatting>
  <conditionalFormatting sqref="J30:J31">
    <cfRule type="cellIs" dxfId="2610" priority="132" operator="lessThan">
      <formula>98</formula>
    </cfRule>
  </conditionalFormatting>
  <conditionalFormatting sqref="J32:J33">
    <cfRule type="cellIs" dxfId="2609" priority="133" stopIfTrue="1" operator="lessThan">
      <formula>96.8</formula>
    </cfRule>
    <cfRule type="cellIs" dxfId="2608" priority="134" stopIfTrue="1" operator="greaterThan">
      <formula>100</formula>
    </cfRule>
  </conditionalFormatting>
  <conditionalFormatting sqref="J32:J34">
    <cfRule type="cellIs" dxfId="2607" priority="135" operator="lessThan">
      <formula>98</formula>
    </cfRule>
  </conditionalFormatting>
  <conditionalFormatting sqref="J63">
    <cfRule type="cellIs" dxfId="2606" priority="83" stopIfTrue="1" operator="lessThanOrEqual">
      <formula>0</formula>
    </cfRule>
    <cfRule type="cellIs" dxfId="2605" priority="82" stopIfTrue="1" operator="greaterThan">
      <formula>#REF!</formula>
    </cfRule>
    <cfRule type="cellIs" dxfId="2604" priority="81" stopIfTrue="1" operator="lessThanOrEqual">
      <formula>0</formula>
    </cfRule>
    <cfRule type="cellIs" dxfId="2603" priority="80" stopIfTrue="1" operator="greaterThan">
      <formula>#REF!</formula>
    </cfRule>
    <cfRule type="cellIs" dxfId="2602" priority="79" stopIfTrue="1" operator="lessThanOrEqual">
      <formula>0</formula>
    </cfRule>
    <cfRule type="cellIs" dxfId="2601" priority="78" stopIfTrue="1" operator="greaterThan">
      <formula>#REF!</formula>
    </cfRule>
    <cfRule type="cellIs" dxfId="2600" priority="77" stopIfTrue="1" operator="lessThanOrEqual">
      <formula>0</formula>
    </cfRule>
    <cfRule type="cellIs" dxfId="2599" priority="76" stopIfTrue="1" operator="greaterThan">
      <formula>#REF!</formula>
    </cfRule>
  </conditionalFormatting>
  <conditionalFormatting sqref="J76">
    <cfRule type="cellIs" dxfId="2598" priority="39" stopIfTrue="1" operator="lessThanOrEqual">
      <formula>0</formula>
    </cfRule>
    <cfRule type="cellIs" dxfId="2597" priority="38" stopIfTrue="1" operator="greaterThan">
      <formula>$F76</formula>
    </cfRule>
  </conditionalFormatting>
  <conditionalFormatting sqref="K10:K22">
    <cfRule type="cellIs" dxfId="2596" priority="16" operator="greaterThan">
      <formula>6</formula>
    </cfRule>
    <cfRule type="cellIs" dxfId="2595" priority="17" operator="lessThan">
      <formula>4</formula>
    </cfRule>
    <cfRule type="cellIs" dxfId="2594" priority="18" operator="greaterThan">
      <formula>6.4</formula>
    </cfRule>
  </conditionalFormatting>
  <conditionalFormatting sqref="K54:K63">
    <cfRule type="cellIs" dxfId="2593" priority="70" stopIfTrue="1" operator="lessThan">
      <formula>100%</formula>
    </cfRule>
  </conditionalFormatting>
  <conditionalFormatting sqref="K78:K83">
    <cfRule type="cellIs" dxfId="2592" priority="158" stopIfTrue="1" operator="lessThan">
      <formula>100%</formula>
    </cfRule>
  </conditionalFormatting>
  <conditionalFormatting sqref="K85:K86">
    <cfRule type="cellIs" dxfId="2591" priority="165" stopIfTrue="1" operator="lessThan">
      <formula>100%</formula>
    </cfRule>
  </conditionalFormatting>
  <conditionalFormatting sqref="K67:M75">
    <cfRule type="cellIs" dxfId="2590" priority="23" stopIfTrue="1" operator="lessThan">
      <formula>100%</formula>
    </cfRule>
  </conditionalFormatting>
  <conditionalFormatting sqref="L10:L22">
    <cfRule type="cellIs" dxfId="2589" priority="21" operator="greaterThan">
      <formula>65</formula>
    </cfRule>
    <cfRule type="cellIs" dxfId="2588" priority="20" operator="between">
      <formula>61</formula>
      <formula>65</formula>
    </cfRule>
  </conditionalFormatting>
  <conditionalFormatting sqref="L25:M36">
    <cfRule type="cellIs" dxfId="2587" priority="72" operator="lessThan">
      <formula>97.95</formula>
    </cfRule>
  </conditionalFormatting>
  <conditionalFormatting sqref="L76:M76">
    <cfRule type="cellIs" dxfId="2586" priority="40" stopIfTrue="1" operator="lessThan">
      <formula>100%</formula>
    </cfRule>
  </conditionalFormatting>
  <conditionalFormatting sqref="L40:N40">
    <cfRule type="cellIs" dxfId="2585" priority="73" operator="notEqual">
      <formula>#REF!</formula>
    </cfRule>
  </conditionalFormatting>
  <conditionalFormatting sqref="L78:N86">
    <cfRule type="cellIs" dxfId="2584" priority="143" stopIfTrue="1" operator="lessThan">
      <formula>100%</formula>
    </cfRule>
  </conditionalFormatting>
  <conditionalFormatting sqref="M10:M21">
    <cfRule type="expression" dxfId="2583" priority="13">
      <formula>IF(+(IF(M10&lt;U10,0,IF(M10&gt;V10,0,1)))=0,1)</formula>
    </cfRule>
  </conditionalFormatting>
  <conditionalFormatting sqref="M22:N22">
    <cfRule type="expression" dxfId="2582" priority="171">
      <formula>IF(+(IF(M22&lt;#REF!,0,IF(M22&gt;#REF!,0,1)))=0,1)</formula>
    </cfRule>
  </conditionalFormatting>
  <conditionalFormatting sqref="N10:N21">
    <cfRule type="expression" dxfId="2581" priority="12">
      <formula>IF(+(IF(N10&lt;W10,0,IF(N10&gt;X10,0,1)))=0,1)</formula>
    </cfRule>
  </conditionalFormatting>
  <conditionalFormatting sqref="N67:N76">
    <cfRule type="cellIs" dxfId="2580" priority="54" stopIfTrue="1" operator="lessThan">
      <formula>100%</formula>
    </cfRule>
  </conditionalFormatting>
  <conditionalFormatting sqref="P6">
    <cfRule type="cellIs" dxfId="2579" priority="139" operator="greaterThanOrEqual">
      <formula>19</formula>
    </cfRule>
  </conditionalFormatting>
  <dataValidations count="1">
    <dataValidation type="list" allowBlank="1" showInputMessage="1" showErrorMessage="1" sqref="R8" xr:uid="{33F853AA-2D65-4C80-A993-68041D17957F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1641A-E857-4026-8597-9CFAD1D02084}">
  <sheetPr>
    <pageSetUpPr fitToPage="1"/>
  </sheetPr>
  <dimension ref="A1:BE80"/>
  <sheetViews>
    <sheetView topLeftCell="A4" zoomScale="85" zoomScaleNormal="85" workbookViewId="0">
      <selection activeCell="H8" sqref="H8:H9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4" t="s">
        <v>0</v>
      </c>
      <c r="T1" s="494"/>
      <c r="U1" s="494" t="s">
        <v>1</v>
      </c>
      <c r="V1" s="494"/>
      <c r="W1" s="494" t="s">
        <v>2</v>
      </c>
      <c r="X1" s="494"/>
      <c r="Y1" s="494" t="s">
        <v>124</v>
      </c>
      <c r="Z1" s="494"/>
    </row>
    <row r="2" spans="2:29" ht="15">
      <c r="B2" s="495" t="s">
        <v>3</v>
      </c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46091</v>
      </c>
      <c r="J4" s="398" t="s">
        <v>167</v>
      </c>
      <c r="K4" s="398"/>
      <c r="L4" s="11"/>
      <c r="M4" s="492" t="s">
        <v>8</v>
      </c>
      <c r="N4" s="493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8"/>
      <c r="D5" s="49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9" t="s">
        <v>17</v>
      </c>
      <c r="C8" s="501" t="s">
        <v>18</v>
      </c>
      <c r="D8" s="501" t="s">
        <v>19</v>
      </c>
      <c r="E8" s="356" t="s">
        <v>20</v>
      </c>
      <c r="F8" s="356" t="s">
        <v>21</v>
      </c>
      <c r="G8" s="501" t="s">
        <v>22</v>
      </c>
      <c r="H8" s="502" t="s">
        <v>144</v>
      </c>
      <c r="I8" s="501" t="s">
        <v>165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169</v>
      </c>
      <c r="O8" s="510" t="s">
        <v>155</v>
      </c>
      <c r="P8" s="496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.6" customHeight="1">
      <c r="B9" s="500"/>
      <c r="C9" s="497"/>
      <c r="D9" s="497"/>
      <c r="E9" s="357" t="s">
        <v>30</v>
      </c>
      <c r="F9" s="357" t="s">
        <v>31</v>
      </c>
      <c r="G9" s="497"/>
      <c r="H9" s="503"/>
      <c r="I9" s="497"/>
      <c r="J9" s="505"/>
      <c r="K9" s="507"/>
      <c r="L9" s="509"/>
      <c r="M9" s="20" t="s">
        <v>32</v>
      </c>
      <c r="N9" s="21" t="s">
        <v>41</v>
      </c>
      <c r="O9" s="511"/>
      <c r="P9" s="497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33" t="s">
        <v>9</v>
      </c>
      <c r="C10" s="366" t="str">
        <f>[3]Brewhouse!$A138</f>
        <v>ST086</v>
      </c>
      <c r="D10" s="279">
        <f>[3]Brewhouse!$AB138</f>
        <v>52</v>
      </c>
      <c r="E10" s="279">
        <f>[3]Brewhouse!$AG138</f>
        <v>47</v>
      </c>
      <c r="F10" s="278">
        <f>[3]Brewhouse!$V138</f>
        <v>52</v>
      </c>
      <c r="G10" s="279">
        <f>[3]Brewhouse!$AE138</f>
        <v>11.9</v>
      </c>
      <c r="H10" s="396">
        <v>12</v>
      </c>
      <c r="I10" s="368">
        <f>[3]Brewhouse!$AS138</f>
        <v>95.389217922687735</v>
      </c>
      <c r="J10" s="368">
        <f>[3]Brewhouse!$AT138</f>
        <v>95.685610002754359</v>
      </c>
      <c r="K10" s="281">
        <f>[3]Brewhouse!$Q138</f>
        <v>14.567307692307685</v>
      </c>
      <c r="L10" s="276">
        <f>[3]Brewhouse!$P138</f>
        <v>62</v>
      </c>
      <c r="M10" s="374">
        <f>[3]Brewhouse!$U138-[3]Brewhouse!$T138</f>
        <v>0.10972222222222222</v>
      </c>
      <c r="N10" s="370">
        <f>[3]Brewhouse!$AW138</f>
        <v>0.26944444444444443</v>
      </c>
      <c r="O10" s="371" t="str">
        <f>[3]Brewhouse!$AV138</f>
        <v>K. Benjamin</v>
      </c>
      <c r="P10" s="418"/>
      <c r="R10" s="277" t="str">
        <f t="shared" ref="R10:R40" si="0">B10</f>
        <v>STAG</v>
      </c>
      <c r="S10" s="472">
        <f t="shared" ref="S10:S40" si="1">VLOOKUP($B10,$R$3:$X$9,2,FALSE)</f>
        <v>11.6</v>
      </c>
      <c r="T10" s="472">
        <f t="shared" ref="T10:T40" si="2">VLOOKUP($B10,$R$3:$X$9,3,FALSE)</f>
        <v>12</v>
      </c>
      <c r="U10" s="297">
        <f t="shared" ref="U10:U40" si="3">VLOOKUP($B10,$R$3:$X$9,4,FALSE)</f>
        <v>0</v>
      </c>
      <c r="V10" s="297">
        <f t="shared" ref="V10:V40" si="4">VLOOKUP($B10,$R$3:$X$9,5,FALSE)</f>
        <v>0.118055555555556</v>
      </c>
      <c r="W10" s="297">
        <f t="shared" ref="W10:W40" si="5">VLOOKUP($B10,$R$3:$X$9,6,FALSE)</f>
        <v>0.22569444444444445</v>
      </c>
      <c r="X10" s="297">
        <f t="shared" ref="X10:X40" si="6">VLOOKUP($B10,$R$3:$X$9,7,FALSE)</f>
        <v>0.2638888888888889</v>
      </c>
      <c r="Y10" s="297">
        <f t="shared" ref="Y10:Y40" si="7">VLOOKUP($B10,$R$3:$Z$9,8,FALSE)</f>
        <v>0</v>
      </c>
      <c r="Z10" s="472">
        <f t="shared" ref="Z10:Z40" si="8">VLOOKUP($B10,$R$3:$Z$9,9,FALSE)</f>
        <v>60</v>
      </c>
    </row>
    <row r="11" spans="2:29" ht="16.5" customHeight="1">
      <c r="B11" s="33" t="s">
        <v>9</v>
      </c>
      <c r="C11" s="366" t="str">
        <f>[3]Brewhouse!$A139</f>
        <v>ST087</v>
      </c>
      <c r="D11" s="279">
        <f>[3]Brewhouse!$AB139</f>
        <v>52.1</v>
      </c>
      <c r="E11" s="279">
        <f>[3]Brewhouse!$AG139</f>
        <v>48.4</v>
      </c>
      <c r="F11" s="278">
        <f>[3]Brewhouse!$V139</f>
        <v>56</v>
      </c>
      <c r="G11" s="279">
        <f>[3]Brewhouse!$AE139</f>
        <v>12</v>
      </c>
      <c r="H11" s="396">
        <v>12</v>
      </c>
      <c r="I11" s="368">
        <f>[3]Brewhouse!$AS139</f>
        <v>99.224351098396042</v>
      </c>
      <c r="J11" s="368">
        <f>[3]Brewhouse!$AT139</f>
        <v>99.532555363575838</v>
      </c>
      <c r="K11" s="281">
        <f>[3]Brewhouse!$Q139</f>
        <v>17.226487523992326</v>
      </c>
      <c r="L11" s="276">
        <f>[3]Brewhouse!$P139</f>
        <v>60</v>
      </c>
      <c r="M11" s="374">
        <f>[3]Brewhouse!$U139-[3]Brewhouse!$T139</f>
        <v>0.11041666666666666</v>
      </c>
      <c r="N11" s="370">
        <f>[3]Brewhouse!$AW139</f>
        <v>0.24652777777777779</v>
      </c>
      <c r="O11" s="371" t="str">
        <f>[3]Brewhouse!$AV139</f>
        <v>R. Regis</v>
      </c>
      <c r="P11" s="418"/>
      <c r="R11" s="277" t="str">
        <f t="shared" ref="R11:R24" si="9">B11</f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6.5" customHeight="1">
      <c r="B12" s="33" t="s">
        <v>9</v>
      </c>
      <c r="C12" s="366" t="str">
        <f>[3]Brewhouse!$A140</f>
        <v>ST088</v>
      </c>
      <c r="D12" s="279">
        <f>[3]Brewhouse!$AB140</f>
        <v>53.1</v>
      </c>
      <c r="E12" s="279">
        <f>[3]Brewhouse!$AG140</f>
        <v>49.5</v>
      </c>
      <c r="F12" s="278">
        <f>[3]Brewhouse!$V140</f>
        <v>60</v>
      </c>
      <c r="G12" s="279">
        <f>[3]Brewhouse!$AE140</f>
        <v>11.8</v>
      </c>
      <c r="H12" s="396">
        <v>11.9</v>
      </c>
      <c r="I12" s="368">
        <f>[3]Brewhouse!$AS140</f>
        <v>99.32353232094539</v>
      </c>
      <c r="J12" s="368">
        <f>[3]Brewhouse!$AT140</f>
        <v>99.632357042908112</v>
      </c>
      <c r="K12" s="281">
        <f>[3]Brewhouse!$Q140</f>
        <v>12.005649717514123</v>
      </c>
      <c r="L12" s="276">
        <f>[3]Brewhouse!$P140</f>
        <v>60</v>
      </c>
      <c r="M12" s="374">
        <f>[3]Brewhouse!$U140-[3]Brewhouse!$T140</f>
        <v>0.11250000000000004</v>
      </c>
      <c r="N12" s="370">
        <f>[3]Brewhouse!$AW140</f>
        <v>0.26736111111111116</v>
      </c>
      <c r="O12" s="371" t="str">
        <f>[3]Brewhouse!$AV140</f>
        <v>R. Regis</v>
      </c>
      <c r="P12" s="418"/>
      <c r="R12" s="277" t="str">
        <f t="shared" si="9"/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6.5" customHeight="1">
      <c r="B13" s="33" t="s">
        <v>9</v>
      </c>
      <c r="C13" s="366" t="str">
        <f>[3]Brewhouse!$A141</f>
        <v>ST089</v>
      </c>
      <c r="D13" s="279">
        <f>[3]Brewhouse!$AB141</f>
        <v>53.1</v>
      </c>
      <c r="E13" s="279">
        <f>[3]Brewhouse!$AG141</f>
        <v>49.4</v>
      </c>
      <c r="F13" s="278">
        <f>[3]Brewhouse!$V141</f>
        <v>61</v>
      </c>
      <c r="G13" s="279">
        <f>[3]Brewhouse!$AE141</f>
        <v>11.8</v>
      </c>
      <c r="H13" s="396">
        <v>12</v>
      </c>
      <c r="I13" s="368">
        <f>[3]Brewhouse!$AS141</f>
        <v>98.997632648360266</v>
      </c>
      <c r="J13" s="368">
        <f>[3]Brewhouse!$AT141</f>
        <v>99.305547319859897</v>
      </c>
      <c r="K13" s="281">
        <f>[3]Brewhouse!$Q141</f>
        <v>14.077212806026369</v>
      </c>
      <c r="L13" s="276">
        <f>[3]Brewhouse!$P141</f>
        <v>60</v>
      </c>
      <c r="M13" s="374">
        <f>[3]Brewhouse!$U141-[3]Brewhouse!$T141</f>
        <v>0.10972222222222228</v>
      </c>
      <c r="N13" s="370">
        <f>[3]Brewhouse!$AW141</f>
        <v>0.24583333333333335</v>
      </c>
      <c r="O13" s="371" t="str">
        <f>[3]Brewhouse!$AV141</f>
        <v>R. Regis</v>
      </c>
      <c r="P13" s="418"/>
      <c r="R13" s="277" t="str">
        <f t="shared" si="9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6.5" customHeight="1">
      <c r="B14" s="33" t="s">
        <v>9</v>
      </c>
      <c r="C14" s="366" t="str">
        <f>[3]Brewhouse!$A142</f>
        <v>ST090</v>
      </c>
      <c r="D14" s="279">
        <f>[3]Brewhouse!$AB142</f>
        <v>53.1</v>
      </c>
      <c r="E14" s="279">
        <f>[3]Brewhouse!$AG142</f>
        <v>48.7</v>
      </c>
      <c r="F14" s="278">
        <f>[3]Brewhouse!$V142</f>
        <v>61</v>
      </c>
      <c r="G14" s="279">
        <f>[3]Brewhouse!$AE142</f>
        <v>11.7</v>
      </c>
      <c r="H14" s="396">
        <v>11.8</v>
      </c>
      <c r="I14" s="368">
        <f>[3]Brewhouse!$AS142</f>
        <v>97.463760265996399</v>
      </c>
      <c r="J14" s="368">
        <f>[3]Brewhouse!$AT142</f>
        <v>97.766290239723318</v>
      </c>
      <c r="K14" s="281">
        <f>[3]Brewhouse!$Q142</f>
        <v>15.772128060263654</v>
      </c>
      <c r="L14" s="276">
        <f>[3]Brewhouse!$P142</f>
        <v>60</v>
      </c>
      <c r="M14" s="374">
        <f>[3]Brewhouse!$U142-[3]Brewhouse!$T142</f>
        <v>0.11111111111111105</v>
      </c>
      <c r="N14" s="370">
        <f>[3]Brewhouse!$AW142</f>
        <v>0.25555555555555554</v>
      </c>
      <c r="O14" s="371" t="str">
        <f>[3]Brewhouse!$AV142</f>
        <v>D. Gomaz</v>
      </c>
      <c r="P14" s="418"/>
      <c r="R14" s="277" t="str">
        <f t="shared" si="9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6.5" customHeight="1">
      <c r="B15" s="33" t="s">
        <v>9</v>
      </c>
      <c r="C15" s="366" t="str">
        <f>[3]Brewhouse!$A143</f>
        <v>ST091</v>
      </c>
      <c r="D15" s="279">
        <f>[3]Brewhouse!$AB143</f>
        <v>53.1</v>
      </c>
      <c r="E15" s="279">
        <f>[3]Brewhouse!$AG143</f>
        <v>49.6</v>
      </c>
      <c r="F15" s="278">
        <f>[3]Brewhouse!$V143</f>
        <v>57</v>
      </c>
      <c r="G15" s="279">
        <f>[3]Brewhouse!$AE143</f>
        <v>11.7</v>
      </c>
      <c r="H15" s="396">
        <v>11.7</v>
      </c>
      <c r="I15" s="368">
        <f>[3]Brewhouse!$AS143</f>
        <v>98.264063319970077</v>
      </c>
      <c r="J15" s="368">
        <f>[3]Brewhouse!$AT143</f>
        <v>98.569900574733254</v>
      </c>
      <c r="K15" s="281">
        <f>[3]Brewhouse!$Q143</f>
        <v>14.453860640301313</v>
      </c>
      <c r="L15" s="276">
        <f>[3]Brewhouse!$P143</f>
        <v>61</v>
      </c>
      <c r="M15" s="374">
        <f>[3]Brewhouse!$U143-[3]Brewhouse!$T143</f>
        <v>0.10902777777777783</v>
      </c>
      <c r="N15" s="370">
        <f>[3]Brewhouse!$AW143</f>
        <v>0.24652777777777779</v>
      </c>
      <c r="O15" s="371" t="str">
        <f>[3]Brewhouse!$AV143</f>
        <v>D. Gomaz</v>
      </c>
      <c r="P15" s="418"/>
      <c r="R15" s="277" t="str">
        <f t="shared" si="9"/>
        <v>STAG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6.5" customHeight="1">
      <c r="B16" s="33" t="s">
        <v>9</v>
      </c>
      <c r="C16" s="366" t="str">
        <f>[3]Brewhouse!$A144</f>
        <v>ST092</v>
      </c>
      <c r="D16" s="279">
        <f>[3]Brewhouse!$AB144</f>
        <v>53.1</v>
      </c>
      <c r="E16" s="279">
        <f>[3]Brewhouse!$AG144</f>
        <v>49.3</v>
      </c>
      <c r="F16" s="278">
        <f>[3]Brewhouse!$V144</f>
        <v>61</v>
      </c>
      <c r="G16" s="279">
        <f>[3]Brewhouse!$AE144</f>
        <v>11.8</v>
      </c>
      <c r="H16" s="488"/>
      <c r="I16" s="368">
        <f>[3]Brewhouse!$AS144</f>
        <v>98.548192719950322</v>
      </c>
      <c r="J16" s="368">
        <f>[3]Brewhouse!$AT144</f>
        <v>98.854914299590291</v>
      </c>
      <c r="K16" s="281">
        <f>[3]Brewhouse!$Q144</f>
        <v>13.700564971751408</v>
      </c>
      <c r="L16" s="276">
        <f>[3]Brewhouse!$P144</f>
        <v>60</v>
      </c>
      <c r="M16" s="374">
        <f>[3]Brewhouse!$U144-[3]Brewhouse!$T144</f>
        <v>0.14861111111111114</v>
      </c>
      <c r="N16" s="370">
        <f>[3]Brewhouse!$AW144</f>
        <v>0.28749999999999998</v>
      </c>
      <c r="O16" s="371" t="str">
        <f>[3]Brewhouse!$AV144</f>
        <v>D. Gomaz</v>
      </c>
      <c r="P16" s="418"/>
      <c r="R16" s="277" t="str">
        <f t="shared" si="9"/>
        <v>STAG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6.5" customHeight="1">
      <c r="B17" s="33" t="s">
        <v>9</v>
      </c>
      <c r="C17" s="366" t="str">
        <f>[3]Brewhouse!$A145</f>
        <v>ST093</v>
      </c>
      <c r="D17" s="279">
        <f>[3]Brewhouse!$AB145</f>
        <v>53.1</v>
      </c>
      <c r="E17" s="279">
        <f>[3]Brewhouse!$AG145</f>
        <v>49.5</v>
      </c>
      <c r="F17" s="278">
        <f>[3]Brewhouse!$V145</f>
        <v>96</v>
      </c>
      <c r="G17" s="279">
        <f>[3]Brewhouse!$AE145</f>
        <v>11.8</v>
      </c>
      <c r="H17" s="487">
        <v>12.1</v>
      </c>
      <c r="I17" s="368">
        <f>[3]Brewhouse!$AS145</f>
        <v>98.823429599635432</v>
      </c>
      <c r="J17" s="368">
        <f>[3]Brewhouse!$AT145</f>
        <v>99.131110131461384</v>
      </c>
      <c r="K17" s="281">
        <f>[3]Brewhouse!$Q145</f>
        <v>13.700564971751408</v>
      </c>
      <c r="L17" s="276">
        <f>[3]Brewhouse!$P145</f>
        <v>60</v>
      </c>
      <c r="M17" s="374">
        <f>[3]Brewhouse!$U145-[3]Brewhouse!$T145</f>
        <v>0.13541666666666674</v>
      </c>
      <c r="N17" s="370">
        <f>[3]Brewhouse!$AW145</f>
        <v>0.30555555555555558</v>
      </c>
      <c r="O17" s="371" t="str">
        <f>[3]Brewhouse!$AV145</f>
        <v>D. Gomaz</v>
      </c>
      <c r="P17" s="418" t="s">
        <v>179</v>
      </c>
      <c r="R17" s="277" t="str">
        <f t="shared" si="9"/>
        <v>STAG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6.5" customHeight="1">
      <c r="B18" s="33"/>
      <c r="C18" s="366"/>
      <c r="D18" s="279"/>
      <c r="E18" s="279"/>
      <c r="F18" s="278"/>
      <c r="G18" s="279"/>
      <c r="H18" s="487"/>
      <c r="I18" s="368"/>
      <c r="J18" s="368"/>
      <c r="K18" s="281"/>
      <c r="L18" s="276"/>
      <c r="M18" s="374"/>
      <c r="N18" s="370"/>
      <c r="O18" s="371"/>
      <c r="P18" s="418"/>
      <c r="R18" s="277"/>
      <c r="S18" s="472"/>
      <c r="T18" s="472"/>
      <c r="U18" s="297"/>
      <c r="V18" s="297"/>
      <c r="W18" s="297"/>
      <c r="X18" s="297"/>
      <c r="Y18" s="297"/>
      <c r="Z18" s="472"/>
    </row>
    <row r="19" spans="1:26" ht="16.5" customHeight="1">
      <c r="B19" s="489">
        <v>46091</v>
      </c>
      <c r="C19" s="366"/>
      <c r="D19" s="279"/>
      <c r="E19" s="279"/>
      <c r="F19" s="278"/>
      <c r="G19" s="279"/>
      <c r="H19" s="487"/>
      <c r="I19" s="368"/>
      <c r="J19" s="368"/>
      <c r="K19" s="281"/>
      <c r="L19" s="276"/>
      <c r="M19" s="374"/>
      <c r="N19" s="370"/>
      <c r="O19" s="371"/>
      <c r="P19" s="418"/>
      <c r="R19" s="277">
        <f t="shared" si="9"/>
        <v>46091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6.5" customHeight="1">
      <c r="B20" s="37" t="s">
        <v>16</v>
      </c>
      <c r="C20" s="366" t="str">
        <f>[8]Brewhouse!$A25</f>
        <v>SM019</v>
      </c>
      <c r="D20" s="279">
        <f>[8]Brewhouse!$AH25</f>
        <v>53</v>
      </c>
      <c r="E20" s="279">
        <f>[8]Brewhouse!$AM25</f>
        <v>51.7</v>
      </c>
      <c r="F20" s="278">
        <f>[8]Brewhouse!$Z25</f>
        <v>64</v>
      </c>
      <c r="G20" s="279">
        <f>[8]Brewhouse!$AK25</f>
        <v>17</v>
      </c>
      <c r="H20" s="396">
        <v>17.100000000000001</v>
      </c>
      <c r="I20" s="368">
        <f>[8]Brewhouse!$AY25</f>
        <v>97.024245488903276</v>
      </c>
      <c r="J20" s="368">
        <f>[8]Brewhouse!$AZ25</f>
        <v>97.200503676891032</v>
      </c>
      <c r="K20" s="281">
        <f>[8]Brewhouse!$U25</f>
        <v>11.849056603773587</v>
      </c>
      <c r="L20" s="276">
        <f>[8]Brewhouse!$T25</f>
        <v>60</v>
      </c>
      <c r="M20" s="374">
        <f>[8]Brewhouse!$Y25-[8]Brewhouse!$X25</f>
        <v>0.12986111111111098</v>
      </c>
      <c r="N20" s="370">
        <f>[8]Brewhouse!$AD25</f>
        <v>0.29930555555555549</v>
      </c>
      <c r="O20" s="371" t="str">
        <f>[8]Brewhouse!$BC25</f>
        <v>K. Benjamin</v>
      </c>
      <c r="P20" s="418"/>
      <c r="R20" s="277" t="str">
        <f t="shared" si="9"/>
        <v>STARMALT</v>
      </c>
      <c r="S20" s="472">
        <f t="shared" si="1"/>
        <v>17</v>
      </c>
      <c r="T20" s="472">
        <f t="shared" si="2"/>
        <v>17.399999999999999</v>
      </c>
      <c r="U20" s="297">
        <f t="shared" si="3"/>
        <v>0</v>
      </c>
      <c r="V20" s="297">
        <f t="shared" si="4"/>
        <v>0.13605324074074074</v>
      </c>
      <c r="W20" s="297">
        <f t="shared" si="5"/>
        <v>0.27430555555555552</v>
      </c>
      <c r="X20" s="297">
        <f t="shared" si="6"/>
        <v>0.30902777777777779</v>
      </c>
      <c r="Y20" s="297">
        <f t="shared" si="7"/>
        <v>0</v>
      </c>
      <c r="Z20" s="472">
        <f t="shared" si="8"/>
        <v>85</v>
      </c>
    </row>
    <row r="21" spans="1:26" ht="16.5" customHeight="1">
      <c r="B21" s="33"/>
      <c r="C21" s="366"/>
      <c r="D21" s="279"/>
      <c r="E21" s="279"/>
      <c r="F21" s="278"/>
      <c r="G21" s="279"/>
      <c r="H21" s="487"/>
      <c r="I21" s="368"/>
      <c r="J21" s="368"/>
      <c r="K21" s="281"/>
      <c r="L21" s="276"/>
      <c r="M21" s="374"/>
      <c r="N21" s="370"/>
      <c r="O21" s="371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6.5" customHeight="1">
      <c r="B22" s="33"/>
      <c r="C22" s="366"/>
      <c r="D22" s="279"/>
      <c r="E22" s="279"/>
      <c r="F22" s="278"/>
      <c r="G22" s="279"/>
      <c r="H22" s="487"/>
      <c r="I22" s="368"/>
      <c r="J22" s="368"/>
      <c r="K22" s="281"/>
      <c r="L22" s="276"/>
      <c r="M22" s="374"/>
      <c r="N22" s="370"/>
      <c r="O22" s="371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6.5" customHeight="1">
      <c r="B23" s="33"/>
      <c r="C23" s="366"/>
      <c r="D23" s="279"/>
      <c r="E23" s="279"/>
      <c r="F23" s="278"/>
      <c r="G23" s="279"/>
      <c r="H23" s="487"/>
      <c r="I23" s="368"/>
      <c r="J23" s="368"/>
      <c r="K23" s="281"/>
      <c r="L23" s="276"/>
      <c r="M23" s="374"/>
      <c r="N23" s="370"/>
      <c r="O23" s="371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6.5" hidden="1" customHeight="1">
      <c r="B24" s="33"/>
      <c r="C24" s="366"/>
      <c r="D24" s="279"/>
      <c r="E24" s="279"/>
      <c r="F24" s="278"/>
      <c r="G24" s="279"/>
      <c r="H24" s="487"/>
      <c r="I24" s="368"/>
      <c r="J24" s="368"/>
      <c r="K24" s="281"/>
      <c r="L24" s="276"/>
      <c r="M24" s="374"/>
      <c r="N24" s="370"/>
      <c r="O24" s="371"/>
      <c r="P24" s="418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8" hidden="1" customHeight="1">
      <c r="B25" s="33"/>
      <c r="C25" s="366"/>
      <c r="D25" s="279"/>
      <c r="E25" s="279"/>
      <c r="F25" s="278"/>
      <c r="G25" s="279"/>
      <c r="H25" s="487"/>
      <c r="I25" s="368"/>
      <c r="J25" s="368"/>
      <c r="K25" s="281"/>
      <c r="L25" s="276"/>
      <c r="M25" s="374"/>
      <c r="N25" s="370"/>
      <c r="O25" s="371"/>
      <c r="P25" s="418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6.5" hidden="1" customHeight="1">
      <c r="B26" s="22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8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5.75" customHeight="1" thickBot="1">
      <c r="B27" s="358"/>
      <c r="C27" s="358"/>
      <c r="D27" s="358"/>
      <c r="E27" s="358"/>
      <c r="F27" s="294"/>
      <c r="G27" s="294"/>
      <c r="H27" s="348"/>
      <c r="I27" s="512"/>
      <c r="J27" s="512"/>
      <c r="K27" s="512"/>
      <c r="L27" s="512"/>
      <c r="M27" s="512"/>
      <c r="N27" s="512"/>
      <c r="O27" s="1"/>
      <c r="P27" s="12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5.75" customHeight="1" thickBot="1">
      <c r="B28" s="388" t="s">
        <v>162</v>
      </c>
      <c r="C28" s="388"/>
      <c r="D28" s="513" t="s">
        <v>35</v>
      </c>
      <c r="E28" s="514"/>
      <c r="F28" s="294"/>
      <c r="G28" s="294"/>
      <c r="H28" s="348"/>
      <c r="I28" s="24" t="s">
        <v>17</v>
      </c>
      <c r="J28" s="25"/>
      <c r="K28" s="26" t="s">
        <v>138</v>
      </c>
      <c r="L28" s="25" t="s">
        <v>37</v>
      </c>
      <c r="M28" s="25" t="s">
        <v>38</v>
      </c>
      <c r="N28" s="27" t="s">
        <v>39</v>
      </c>
      <c r="O28" s="294"/>
      <c r="P28" s="12"/>
      <c r="R28" s="277" t="str">
        <f t="shared" si="0"/>
        <v xml:space="preserve">BRAND 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5" customHeight="1">
      <c r="A29" s="28"/>
      <c r="B29" s="525"/>
      <c r="C29" s="362"/>
      <c r="D29" s="518"/>
      <c r="E29" s="519"/>
      <c r="F29" s="294"/>
      <c r="G29" s="294"/>
      <c r="H29" s="348"/>
      <c r="I29" s="29" t="s">
        <v>6</v>
      </c>
      <c r="J29" s="323"/>
      <c r="K29" s="284">
        <f>COUNTA([4]Brewhouse!$A$198:$A$219)</f>
        <v>22</v>
      </c>
      <c r="L29" s="305">
        <f>AVERAGE([4]Brewhouse!$AU$198:$AU$219)</f>
        <v>98.836272239119268</v>
      </c>
      <c r="M29" s="305">
        <f>AVERAGE([4]Brewhouse!$AU$42:$AU$123,[4]Brewhouse!$AU$125:$AU$188,[4]Brewhouse!$AU$198:$AU$219)</f>
        <v>97.758720160771986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5" customHeight="1">
      <c r="A30" s="28"/>
      <c r="B30" s="526"/>
      <c r="C30" s="362"/>
      <c r="D30" s="520"/>
      <c r="E30" s="521"/>
      <c r="F30" s="294"/>
      <c r="G30" s="294"/>
      <c r="H30" s="348"/>
      <c r="I30" s="33" t="s">
        <v>9</v>
      </c>
      <c r="J30" s="280">
        <f>AVERAGE(I10:I17)</f>
        <v>98.254272486992704</v>
      </c>
      <c r="K30" s="284">
        <f>COUNTA([3]Brewhouse!$A$134:$A$137)</f>
        <v>4</v>
      </c>
      <c r="L30" s="302">
        <f>AVERAGE([3]Brewhouse!$AS$134:$AS$137)</f>
        <v>98.214694875203094</v>
      </c>
      <c r="M30" s="302">
        <f>AVERAGE([3]Brewhouse!$AS$52:$AS$81,[3]Brewhouse!$AS$83:$AS$124,[3]Brewhouse!$AS$134:$AS$137)</f>
        <v>98.311247134819212</v>
      </c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26"/>
      <c r="C31" s="362"/>
      <c r="D31" s="522"/>
      <c r="E31" s="523"/>
      <c r="F31" s="294"/>
      <c r="G31" s="294"/>
      <c r="H31" s="348"/>
      <c r="I31" s="34" t="s">
        <v>12</v>
      </c>
      <c r="J31" s="280"/>
      <c r="K31" s="284">
        <f>COUNTA([5]Brewhouse!$A$34:$A$41)</f>
        <v>8</v>
      </c>
      <c r="L31" s="302">
        <f>AVERAGE([5]Brewhouse!$AU$34:$AU$41)</f>
        <v>94.762610859726223</v>
      </c>
      <c r="M31" s="302">
        <f>AVERAGE([5]Brewhouse!$AU$16:$AU$23,[5]Brewhouse!$AU$25:$AU$32,[5]Brewhouse!$AU$34:$AU$41)</f>
        <v>97.131453825415363</v>
      </c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26"/>
      <c r="C32" s="362"/>
      <c r="D32" s="524"/>
      <c r="E32" s="521"/>
      <c r="F32" s="294"/>
      <c r="G32" s="294"/>
      <c r="H32" s="348"/>
      <c r="I32" s="22" t="s">
        <v>33</v>
      </c>
      <c r="J32" s="280"/>
      <c r="K32" s="284">
        <f>COUNTA([6]Brewhouse!$A$38:$A$44)</f>
        <v>7</v>
      </c>
      <c r="L32" s="302">
        <f>AVERAGE([6]Brewhouse!$AV$38:$AV$44)</f>
        <v>96.929916494140343</v>
      </c>
      <c r="M32" s="302">
        <f>AVERAGE([6]Brewhouse!$AV$23:$AV$34,[6]Brewhouse!$AV$36,[6]Brewhouse!$AV$38:$AV$44)</f>
        <v>97.74055230745536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26"/>
      <c r="C33" s="362"/>
      <c r="D33" s="522"/>
      <c r="E33" s="523"/>
      <c r="F33" s="417"/>
      <c r="G33" s="294"/>
      <c r="H33" s="348"/>
      <c r="I33" s="35" t="s">
        <v>29</v>
      </c>
      <c r="J33" s="280"/>
      <c r="K33" s="284"/>
      <c r="L33" s="302"/>
      <c r="M33" s="302"/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65" customHeight="1">
      <c r="A34" s="28"/>
      <c r="B34" s="526"/>
      <c r="C34" s="362"/>
      <c r="D34" s="524"/>
      <c r="E34" s="521"/>
      <c r="F34" s="417"/>
      <c r="G34" s="294"/>
      <c r="H34" s="348"/>
      <c r="I34" s="36" t="s">
        <v>15</v>
      </c>
      <c r="J34" s="323"/>
      <c r="K34" s="284"/>
      <c r="L34" s="302"/>
      <c r="M34" s="302">
        <f>AVERAGE([7]Brewhouse!$AT$4:$AT$11)</f>
        <v>92.826224508052405</v>
      </c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4.65" customHeight="1">
      <c r="A35" s="28"/>
      <c r="B35" s="526"/>
      <c r="C35" s="362"/>
      <c r="D35" s="522"/>
      <c r="E35" s="523"/>
      <c r="F35" s="417"/>
      <c r="G35" s="294"/>
      <c r="H35" s="348"/>
      <c r="I35" s="37" t="s">
        <v>16</v>
      </c>
      <c r="J35" s="323">
        <f>I20</f>
        <v>97.024245488903276</v>
      </c>
      <c r="K35" s="284">
        <f>COUNTA([8]Brewhouse!$A$25)</f>
        <v>1</v>
      </c>
      <c r="L35" s="302">
        <f>AVERAGE([8]Brewhouse!$AY$25)</f>
        <v>97.024245488903276</v>
      </c>
      <c r="M35" s="302">
        <f>AVERAGE([8]Brewhouse!$AY$5:$AY$14,[8]Brewhouse!$AY$16:$AY$23,[8]Brewhouse!$AY$25)</f>
        <v>97.279437819561451</v>
      </c>
      <c r="N35" s="30">
        <v>98</v>
      </c>
      <c r="O35" s="11"/>
      <c r="P35" s="31" t="s">
        <v>41</v>
      </c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4.65" customHeight="1">
      <c r="A36" s="28"/>
      <c r="B36" s="526"/>
      <c r="C36" s="362"/>
      <c r="D36" s="524"/>
      <c r="E36" s="521"/>
      <c r="F36" s="294"/>
      <c r="G36" s="294"/>
      <c r="H36" s="348"/>
      <c r="I36" s="411" t="s">
        <v>158</v>
      </c>
      <c r="J36" s="326"/>
      <c r="K36" s="284"/>
      <c r="L36" s="305"/>
      <c r="M36" s="305"/>
      <c r="N36" s="3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4.65" customHeight="1">
      <c r="A37" s="28"/>
      <c r="B37" s="526"/>
      <c r="C37" s="349"/>
      <c r="D37" s="522"/>
      <c r="E37" s="523"/>
      <c r="F37" s="294"/>
      <c r="G37" s="294"/>
      <c r="H37" s="348"/>
      <c r="I37" s="410" t="s">
        <v>157</v>
      </c>
      <c r="J37" s="326"/>
      <c r="K37" s="284"/>
      <c r="L37" s="305"/>
      <c r="M37" s="305"/>
      <c r="N37" s="30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" customHeight="1" thickBot="1">
      <c r="A38" s="28"/>
      <c r="B38" s="526"/>
      <c r="C38" s="349"/>
      <c r="D38" s="524"/>
      <c r="E38" s="521"/>
      <c r="F38" s="294"/>
      <c r="G38" s="294"/>
      <c r="H38" s="348"/>
      <c r="I38" s="406" t="s">
        <v>156</v>
      </c>
      <c r="J38" s="327"/>
      <c r="K38" s="407"/>
      <c r="L38" s="408"/>
      <c r="M38" s="408"/>
      <c r="N38" s="409">
        <v>98</v>
      </c>
      <c r="O38" s="11"/>
      <c r="P38" s="31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56" ht="15" customHeight="1" thickBot="1">
      <c r="A39" s="28"/>
      <c r="B39" s="526"/>
      <c r="C39" s="349"/>
      <c r="D39" s="518"/>
      <c r="E39" s="519"/>
      <c r="F39" s="294"/>
      <c r="G39" s="294"/>
      <c r="H39" s="348"/>
      <c r="I39" s="1"/>
      <c r="J39" s="39"/>
      <c r="K39" s="404">
        <f>SUM(K29:K38)</f>
        <v>42</v>
      </c>
      <c r="L39" s="405">
        <f>((L29*K29)+(L30*K30)+(L31*K31)+(L32*K32)+(L33*K33)+(K36*L36)+(L34*K34)+(L35*K35)+(L38*K38))/(K39)</f>
        <v>97.64026944255076</v>
      </c>
      <c r="M39" s="405">
        <f>AVERAGE('[9]Jan30th-31st'!$L$42,L39)</f>
        <v>97.734155589196121</v>
      </c>
      <c r="N39" s="40">
        <v>98</v>
      </c>
      <c r="O39" s="11"/>
      <c r="P39" s="31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  <c r="AA39" s="472"/>
    </row>
    <row r="40" spans="1:56" ht="15.75" thickBot="1">
      <c r="B40" s="583"/>
      <c r="C40" s="350"/>
      <c r="D40" s="520"/>
      <c r="E40" s="521"/>
      <c r="F40" s="294"/>
      <c r="G40" s="42"/>
      <c r="H40" s="41"/>
      <c r="I40" s="42"/>
      <c r="J40" s="42"/>
      <c r="K40" s="351"/>
      <c r="L40" s="348"/>
      <c r="M40" s="348"/>
      <c r="N40" s="11"/>
      <c r="O40" s="294"/>
      <c r="P40" s="12"/>
      <c r="R40" s="277">
        <f t="shared" si="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  <c r="AA40" s="472"/>
    </row>
    <row r="41" spans="1:56" ht="15.75" thickBot="1">
      <c r="B41" s="525"/>
      <c r="C41" s="362"/>
      <c r="D41" s="528"/>
      <c r="E41" s="529"/>
      <c r="F41" s="294"/>
      <c r="G41" s="42"/>
      <c r="H41" s="41"/>
      <c r="I41" s="42"/>
      <c r="J41" s="530" t="s">
        <v>129</v>
      </c>
      <c r="K41" s="530"/>
      <c r="L41" s="294"/>
      <c r="M41" s="294"/>
      <c r="N41" s="294"/>
      <c r="O41" s="294"/>
      <c r="P41" s="12"/>
    </row>
    <row r="42" spans="1:56" ht="15.75" thickBot="1">
      <c r="B42" s="526"/>
      <c r="C42" s="362"/>
      <c r="D42" s="524"/>
      <c r="E42" s="521"/>
      <c r="F42" s="294"/>
      <c r="G42" s="42"/>
      <c r="H42" s="41"/>
      <c r="I42" s="41"/>
      <c r="J42" s="292" t="s">
        <v>17</v>
      </c>
      <c r="K42" s="293" t="s">
        <v>172</v>
      </c>
      <c r="L42" s="531" t="s">
        <v>136</v>
      </c>
      <c r="M42" s="531"/>
      <c r="N42" s="532"/>
      <c r="O42" s="294"/>
      <c r="P42" s="12"/>
    </row>
    <row r="43" spans="1:56" ht="15" customHeight="1" thickBot="1">
      <c r="B43" s="526"/>
      <c r="C43" s="349"/>
      <c r="D43" s="522"/>
      <c r="E43" s="523"/>
      <c r="F43" s="294"/>
      <c r="G43" s="42"/>
      <c r="H43" s="41"/>
      <c r="I43" s="41"/>
      <c r="J43" s="287" t="s">
        <v>6</v>
      </c>
      <c r="K43" s="324"/>
      <c r="L43" s="473" t="s">
        <v>37</v>
      </c>
      <c r="M43" s="474" t="s">
        <v>38</v>
      </c>
      <c r="N43" s="474" t="s">
        <v>84</v>
      </c>
      <c r="O43" s="294"/>
      <c r="P43" s="12"/>
    </row>
    <row r="44" spans="1:56" ht="15.75" customHeight="1" thickBot="1">
      <c r="B44" s="526"/>
      <c r="C44" s="349"/>
      <c r="D44" s="524"/>
      <c r="E44" s="521"/>
      <c r="F44" s="294"/>
      <c r="G44" s="42"/>
      <c r="H44" s="41"/>
      <c r="I44" s="41"/>
      <c r="J44" s="345" t="s">
        <v>9</v>
      </c>
      <c r="K44" s="324">
        <v>8</v>
      </c>
      <c r="L44" s="344">
        <f>AVERAGE(K53,'Mar 2nd'!K49,'Mar 1st'!K55,'Mar 3rd'!K49,'Mar 4th'!K51,'Mar 5th'!K52,'Mar 6th '!K49)</f>
        <v>7</v>
      </c>
      <c r="M44" s="325">
        <f>AVERAGE('[9]Jan30th-31st'!$L$47,L44,'[10]Feb 26th '!$L$39)</f>
        <v>6.3956521739130432</v>
      </c>
      <c r="N44" s="416">
        <v>9.1999999999999993</v>
      </c>
      <c r="O44" s="294"/>
      <c r="P44" s="12"/>
    </row>
    <row r="45" spans="1:56" ht="15" customHeight="1">
      <c r="B45" s="526"/>
      <c r="C45" s="349"/>
      <c r="D45" s="522"/>
      <c r="E45" s="523"/>
      <c r="F45" s="294"/>
      <c r="G45" s="42"/>
      <c r="H45" s="41"/>
      <c r="I45" s="41"/>
      <c r="J45" s="288" t="s">
        <v>40</v>
      </c>
      <c r="K45" s="324"/>
      <c r="L45" s="294"/>
      <c r="M45" s="294"/>
      <c r="N45" s="294"/>
      <c r="O45" s="294"/>
      <c r="P45" s="12"/>
    </row>
    <row r="46" spans="1:56" ht="15" customHeight="1">
      <c r="B46" s="526"/>
      <c r="C46" s="349"/>
      <c r="D46" s="524"/>
      <c r="E46" s="521"/>
      <c r="F46" s="294"/>
      <c r="G46" s="42"/>
      <c r="H46" s="41"/>
      <c r="I46" s="41"/>
      <c r="J46" s="289" t="s">
        <v>33</v>
      </c>
      <c r="K46" s="324"/>
      <c r="L46" s="294"/>
      <c r="M46" s="294"/>
      <c r="N46" s="294"/>
      <c r="O46" s="294"/>
      <c r="P46" s="12"/>
    </row>
    <row r="47" spans="1:56" ht="15">
      <c r="B47" s="526"/>
      <c r="C47" s="349"/>
      <c r="D47" s="522"/>
      <c r="E47" s="523"/>
      <c r="F47" s="294"/>
      <c r="G47" s="42"/>
      <c r="H47" s="41"/>
      <c r="I47" s="41"/>
      <c r="J47" s="290" t="s">
        <v>16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26"/>
      <c r="C48" s="349"/>
      <c r="D48" s="524"/>
      <c r="E48" s="521"/>
      <c r="F48" s="294"/>
      <c r="G48" s="42"/>
      <c r="H48" s="41"/>
      <c r="I48" s="41"/>
      <c r="J48" s="291" t="s">
        <v>15</v>
      </c>
      <c r="K48" s="324"/>
      <c r="L48" s="294"/>
      <c r="M48" s="294"/>
      <c r="N48" s="294"/>
      <c r="O48" s="294"/>
      <c r="P48" s="12"/>
      <c r="BC48" s="44"/>
      <c r="BD48" s="44"/>
    </row>
    <row r="49" spans="1:57" ht="15">
      <c r="B49" s="526"/>
      <c r="C49" s="349"/>
      <c r="D49" s="522"/>
      <c r="E49" s="523"/>
      <c r="F49" s="294"/>
      <c r="G49" s="42"/>
      <c r="H49" s="41"/>
      <c r="I49" s="41"/>
      <c r="J49" s="291" t="s">
        <v>149</v>
      </c>
      <c r="K49" s="324"/>
      <c r="L49" s="294"/>
      <c r="M49" s="294"/>
      <c r="N49" s="294"/>
      <c r="O49" s="294"/>
      <c r="P49" s="12"/>
      <c r="BC49" s="44"/>
      <c r="BD49" s="44"/>
    </row>
    <row r="50" spans="1:57" ht="15.75" thickBot="1">
      <c r="B50" s="527"/>
      <c r="C50" s="350"/>
      <c r="D50" s="533"/>
      <c r="E50" s="534"/>
      <c r="F50" s="294" t="s">
        <v>166</v>
      </c>
      <c r="G50" s="42"/>
      <c r="H50" s="41"/>
      <c r="I50" s="41"/>
      <c r="J50" s="291" t="s">
        <v>148</v>
      </c>
      <c r="K50" s="324"/>
      <c r="L50" s="294"/>
      <c r="M50" s="294"/>
      <c r="N50" s="294" t="s">
        <v>41</v>
      </c>
      <c r="O50" s="294"/>
      <c r="P50" s="12"/>
      <c r="BC50" s="44"/>
      <c r="BD50" s="44"/>
    </row>
    <row r="51" spans="1:57" ht="17.649999999999999" customHeight="1" thickBot="1">
      <c r="B51" s="312" t="s">
        <v>139</v>
      </c>
      <c r="C51" s="313"/>
      <c r="D51" s="535"/>
      <c r="E51" s="536"/>
      <c r="F51" s="294"/>
      <c r="H51" s="41"/>
      <c r="I51" s="41"/>
      <c r="J51" s="295" t="s">
        <v>134</v>
      </c>
      <c r="K51" s="324"/>
      <c r="L51" s="294"/>
      <c r="M51" s="294"/>
      <c r="N51" s="294"/>
      <c r="O51" s="294"/>
      <c r="P51" s="12"/>
      <c r="BC51" s="44"/>
      <c r="BD51" s="44"/>
    </row>
    <row r="52" spans="1:57" ht="17.649999999999999" customHeight="1">
      <c r="B52" s="363"/>
      <c r="C52" s="364"/>
      <c r="D52" s="365"/>
      <c r="E52" s="365"/>
      <c r="F52" s="294"/>
      <c r="G52" s="42"/>
      <c r="H52" s="41"/>
      <c r="I52" s="41"/>
      <c r="J52" s="295" t="s">
        <v>131</v>
      </c>
      <c r="K52" s="324"/>
      <c r="L52" s="294"/>
      <c r="M52" s="294"/>
      <c r="N52" s="294"/>
      <c r="O52" s="294"/>
      <c r="P52" s="12"/>
      <c r="BC52" s="44"/>
      <c r="BD52" s="44"/>
    </row>
    <row r="53" spans="1:57" ht="15.6" customHeight="1">
      <c r="B53" s="45"/>
      <c r="C53" s="11"/>
      <c r="D53" s="11"/>
      <c r="E53" s="46"/>
      <c r="F53" s="294"/>
      <c r="G53" s="42"/>
      <c r="H53" s="41"/>
      <c r="I53" s="41"/>
      <c r="J53" s="346" t="s">
        <v>130</v>
      </c>
      <c r="K53" s="324">
        <f>SUM(K43:K52)</f>
        <v>8</v>
      </c>
      <c r="L53" s="294"/>
      <c r="M53" s="294"/>
      <c r="N53" s="294"/>
      <c r="O53" s="294"/>
      <c r="P53" s="12"/>
    </row>
    <row r="54" spans="1:57" ht="20.25" customHeight="1">
      <c r="B54" s="15" t="s">
        <v>42</v>
      </c>
      <c r="C54" s="1" t="s">
        <v>43</v>
      </c>
      <c r="D54" s="1"/>
      <c r="E54" s="1"/>
      <c r="F54" s="294"/>
      <c r="G54" s="42"/>
      <c r="H54" s="41"/>
      <c r="I54" s="42"/>
      <c r="L54" s="294"/>
      <c r="N54" s="315"/>
      <c r="P54" s="334"/>
    </row>
    <row r="55" spans="1:57" ht="15" customHeight="1" thickBot="1"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1"/>
      <c r="O55" s="48"/>
      <c r="P55" s="49"/>
    </row>
    <row r="56" spans="1:57" ht="15" customHeight="1" thickBot="1">
      <c r="B56" s="537" t="s">
        <v>17</v>
      </c>
      <c r="C56" s="537" t="s">
        <v>44</v>
      </c>
      <c r="D56" s="540" t="s">
        <v>45</v>
      </c>
      <c r="E56" s="501" t="s">
        <v>46</v>
      </c>
      <c r="F56" s="510" t="s">
        <v>47</v>
      </c>
      <c r="G56" s="549" t="s">
        <v>48</v>
      </c>
      <c r="H56" s="537" t="s">
        <v>49</v>
      </c>
      <c r="I56" s="537" t="s">
        <v>50</v>
      </c>
      <c r="J56" s="543" t="s">
        <v>28</v>
      </c>
      <c r="K56" s="499" t="s">
        <v>51</v>
      </c>
      <c r="L56" s="552" t="s">
        <v>52</v>
      </c>
      <c r="M56" s="543" t="s">
        <v>53</v>
      </c>
      <c r="N56" s="13"/>
      <c r="O56" s="13"/>
      <c r="P56" s="50"/>
    </row>
    <row r="57" spans="1:57" ht="28.5" customHeight="1" thickTop="1" thickBot="1">
      <c r="B57" s="538"/>
      <c r="C57" s="539"/>
      <c r="D57" s="541"/>
      <c r="E57" s="542"/>
      <c r="F57" s="554"/>
      <c r="G57" s="550"/>
      <c r="H57" s="538"/>
      <c r="I57" s="538"/>
      <c r="J57" s="544"/>
      <c r="K57" s="551"/>
      <c r="L57" s="553"/>
      <c r="M57" s="544"/>
      <c r="N57" s="13"/>
      <c r="O57" s="13"/>
      <c r="P57" s="50"/>
      <c r="Q57" s="355"/>
      <c r="AB57" s="475">
        <v>43474</v>
      </c>
      <c r="AC57" s="475">
        <v>43475</v>
      </c>
      <c r="AD57" s="475">
        <v>43476</v>
      </c>
      <c r="AE57" s="475">
        <v>43477</v>
      </c>
      <c r="AF57" s="475">
        <v>43478</v>
      </c>
      <c r="AG57" s="475">
        <v>43479</v>
      </c>
      <c r="AH57" s="475">
        <v>43480</v>
      </c>
      <c r="AI57" s="475">
        <v>43481</v>
      </c>
      <c r="AJ57" s="475">
        <v>43482</v>
      </c>
      <c r="AK57" s="475">
        <v>43483</v>
      </c>
      <c r="AL57" s="475">
        <v>43484</v>
      </c>
      <c r="AM57" s="475">
        <v>43485</v>
      </c>
      <c r="AN57" s="475">
        <v>43486</v>
      </c>
      <c r="AO57" s="475">
        <v>43487</v>
      </c>
      <c r="AP57" s="475">
        <v>43488</v>
      </c>
      <c r="AQ57" s="475">
        <v>43489</v>
      </c>
      <c r="AR57" s="475">
        <v>43490</v>
      </c>
      <c r="AS57" s="475">
        <v>43491</v>
      </c>
      <c r="AT57" s="475">
        <v>43492</v>
      </c>
      <c r="AU57" s="475">
        <v>43493</v>
      </c>
      <c r="AV57" s="475">
        <v>43494</v>
      </c>
      <c r="AW57" s="475">
        <v>43495</v>
      </c>
      <c r="AX57" s="475">
        <v>43496</v>
      </c>
    </row>
    <row r="58" spans="1:57" s="54" customFormat="1" ht="36.75" customHeight="1" thickBot="1">
      <c r="B58" s="480" t="str">
        <f>I29</f>
        <v>CARIB</v>
      </c>
      <c r="C58" s="479">
        <v>46089</v>
      </c>
      <c r="D58" s="442">
        <f>[11]March_2026!$K$3</f>
        <v>677</v>
      </c>
      <c r="E58" s="443"/>
      <c r="F58" s="444"/>
      <c r="G58" s="445">
        <f>[11]March_2026!$K$7</f>
        <v>628.29999999999995</v>
      </c>
      <c r="H58" s="458"/>
      <c r="I58" s="458"/>
      <c r="J58" s="448" t="s">
        <v>180</v>
      </c>
      <c r="K58" s="449">
        <f>[13]March_2026!$K$18</f>
        <v>0.31493734335839596</v>
      </c>
      <c r="L58" s="457">
        <f>(((D58+E58)-G58)/(D58+E58))*100</f>
        <v>7.1935007385524443</v>
      </c>
      <c r="M58" s="455" t="s">
        <v>182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[14]January_2019!L5</f>
        <v>0</v>
      </c>
      <c r="AC58" s="57">
        <f>[14]January_2019!M5</f>
        <v>0</v>
      </c>
      <c r="AD58" s="57">
        <f>[14]January_2019!N5</f>
        <v>0</v>
      </c>
      <c r="AE58" s="57">
        <f>[14]January_2019!O5</f>
        <v>0</v>
      </c>
      <c r="AF58" s="57">
        <f>[14]January_2019!P5</f>
        <v>0</v>
      </c>
      <c r="AG58" s="57">
        <f>[14]January_2019!Q5</f>
        <v>0</v>
      </c>
      <c r="AH58" s="57">
        <f>[14]January_2019!R5</f>
        <v>0</v>
      </c>
      <c r="AI58" s="57">
        <f>[14]January_2019!S5</f>
        <v>0</v>
      </c>
      <c r="AJ58" s="57">
        <f>[14]January_2019!T5</f>
        <v>0</v>
      </c>
      <c r="AK58" s="57">
        <f>[14]January_2019!U5</f>
        <v>0</v>
      </c>
      <c r="AL58" s="57">
        <f>[14]January_2019!V5</f>
        <v>0</v>
      </c>
      <c r="AM58" s="57">
        <f>[14]January_2019!W5</f>
        <v>0</v>
      </c>
      <c r="AN58" s="57">
        <f>[14]January_2019!X5</f>
        <v>0</v>
      </c>
      <c r="AO58" s="57">
        <f>[14]January_2019!Y5</f>
        <v>0</v>
      </c>
      <c r="AP58" s="57">
        <f>[14]January_2019!Z5</f>
        <v>0</v>
      </c>
      <c r="AQ58" s="57">
        <f>[14]January_2019!AA5</f>
        <v>0</v>
      </c>
      <c r="AR58" s="57">
        <f>[14]January_2019!AB5</f>
        <v>0</v>
      </c>
      <c r="AS58" s="57">
        <f>[14]January_2019!AC5</f>
        <v>0</v>
      </c>
      <c r="AT58" s="57">
        <f>[14]January_2019!AD5</f>
        <v>0</v>
      </c>
      <c r="AU58" s="57">
        <f>[14]January_2019!AE5</f>
        <v>0</v>
      </c>
      <c r="AV58" s="57">
        <f>[14]January_2019!AF5</f>
        <v>0</v>
      </c>
      <c r="AW58" s="57">
        <f>[14]January_2019!AG5</f>
        <v>0</v>
      </c>
      <c r="AX58" s="277">
        <f>[14]January_2019!AH5</f>
        <v>0</v>
      </c>
      <c r="AY58" s="277"/>
      <c r="AZ58" s="277"/>
      <c r="BA58" s="277"/>
      <c r="BB58" s="277"/>
      <c r="BC58" s="277"/>
      <c r="BD58" s="277"/>
      <c r="BE58" s="277"/>
    </row>
    <row r="59" spans="1:57" s="54" customFormat="1" ht="14.25" customHeight="1" thickBot="1">
      <c r="B59" s="480"/>
      <c r="C59" s="479"/>
      <c r="D59" s="442"/>
      <c r="E59" s="443"/>
      <c r="F59" s="444"/>
      <c r="G59" s="445"/>
      <c r="H59" s="458"/>
      <c r="I59" s="458"/>
      <c r="J59" s="476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>
        <f>[14]January_2019!L6</f>
        <v>0</v>
      </c>
      <c r="AC59" s="57">
        <f>[14]January_2019!M6</f>
        <v>0</v>
      </c>
      <c r="AD59" s="57">
        <f>[14]January_2019!N6</f>
        <v>0</v>
      </c>
      <c r="AE59" s="57">
        <f>[14]January_2019!O6</f>
        <v>0</v>
      </c>
      <c r="AF59" s="57">
        <f>[14]January_2019!P6</f>
        <v>0</v>
      </c>
      <c r="AG59" s="57">
        <f>[14]January_2019!Q6</f>
        <v>0</v>
      </c>
      <c r="AH59" s="57">
        <f>[14]January_2019!R6</f>
        <v>0</v>
      </c>
      <c r="AI59" s="57">
        <f>[14]January_2019!S6</f>
        <v>0</v>
      </c>
      <c r="AJ59" s="57">
        <f>[14]January_2019!T6</f>
        <v>0</v>
      </c>
      <c r="AK59" s="57">
        <f>[14]January_2019!U6</f>
        <v>0</v>
      </c>
      <c r="AL59" s="57">
        <f>[14]January_2019!V6</f>
        <v>0</v>
      </c>
      <c r="AM59" s="57">
        <f>[14]January_2019!W6</f>
        <v>0</v>
      </c>
      <c r="AN59" s="57">
        <f>[14]January_2019!X6</f>
        <v>0</v>
      </c>
      <c r="AO59" s="57">
        <f>[14]January_2019!Y6</f>
        <v>0</v>
      </c>
      <c r="AP59" s="57">
        <f>[14]January_2019!Z6</f>
        <v>0</v>
      </c>
      <c r="AQ59" s="57">
        <f>[14]January_2019!AA6</f>
        <v>0</v>
      </c>
      <c r="AR59" s="57">
        <f>[14]January_2019!AB6</f>
        <v>0</v>
      </c>
      <c r="AS59" s="57">
        <f>[14]January_2019!AC6</f>
        <v>0</v>
      </c>
      <c r="AT59" s="57">
        <f>[14]January_2019!AD6</f>
        <v>0</v>
      </c>
      <c r="AU59" s="57">
        <f>[14]January_2019!AE6</f>
        <v>0</v>
      </c>
      <c r="AV59" s="57">
        <f>[14]January_2019!AF6</f>
        <v>0</v>
      </c>
      <c r="AW59" s="57">
        <f>[14]January_2019!AG6</f>
        <v>0</v>
      </c>
      <c r="AX59" s="277">
        <f>[14]January_2019!AH6</f>
        <v>0</v>
      </c>
      <c r="AY59" s="277"/>
      <c r="AZ59" s="277"/>
      <c r="BA59" s="277"/>
      <c r="BB59" s="277"/>
      <c r="BC59" s="277"/>
      <c r="BD59" s="277"/>
      <c r="BE59" s="277"/>
    </row>
    <row r="60" spans="1:57" s="54" customFormat="1" ht="37.15" customHeight="1" thickBot="1">
      <c r="A60" s="54" t="s">
        <v>168</v>
      </c>
      <c r="B60" s="480" t="str">
        <f>I29</f>
        <v>CARIB</v>
      </c>
      <c r="C60" s="479">
        <v>46090</v>
      </c>
      <c r="D60" s="442">
        <f>[11]March_2026!$L$3</f>
        <v>300.8</v>
      </c>
      <c r="E60" s="443"/>
      <c r="F60" s="444"/>
      <c r="G60" s="445">
        <f>[11]March_2026!$L$7</f>
        <v>278.7</v>
      </c>
      <c r="H60" s="458"/>
      <c r="I60" s="458"/>
      <c r="J60" s="448" t="s">
        <v>176</v>
      </c>
      <c r="K60" s="449">
        <f>[13]March_2026!$L$18</f>
        <v>0.32596491228070174</v>
      </c>
      <c r="L60" s="457">
        <f>(((D60+E60)-G60)/(D60+E60))*100</f>
        <v>7.347074468085113</v>
      </c>
      <c r="M60" s="455" t="s">
        <v>181</v>
      </c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>
        <f>[14]January_2019!L7</f>
        <v>285.8</v>
      </c>
      <c r="AC60" s="57">
        <f>[14]January_2019!M7</f>
        <v>508.1</v>
      </c>
      <c r="AD60" s="57">
        <f>[14]January_2019!N7</f>
        <v>0</v>
      </c>
      <c r="AE60" s="57">
        <f>[14]January_2019!O7</f>
        <v>0</v>
      </c>
      <c r="AF60" s="57">
        <f>[14]January_2019!P7</f>
        <v>109.56666666666666</v>
      </c>
      <c r="AG60" s="57">
        <f>[14]January_2019!Q7</f>
        <v>297.64999999999998</v>
      </c>
      <c r="AH60" s="57">
        <f>[14]January_2019!R7</f>
        <v>122.3</v>
      </c>
      <c r="AI60" s="57">
        <f>[14]January_2019!S7</f>
        <v>0</v>
      </c>
      <c r="AJ60" s="57">
        <f>[14]January_2019!T7</f>
        <v>294.7</v>
      </c>
      <c r="AK60" s="57">
        <f>[14]January_2019!U7</f>
        <v>280.5</v>
      </c>
      <c r="AL60" s="57">
        <f>[14]January_2019!V7</f>
        <v>0</v>
      </c>
      <c r="AM60" s="57">
        <f>[14]January_2019!W7</f>
        <v>0</v>
      </c>
      <c r="AN60" s="57">
        <f>[14]January_2019!X7</f>
        <v>188.25</v>
      </c>
      <c r="AO60" s="57">
        <f>[14]January_2019!Y7</f>
        <v>295.7</v>
      </c>
      <c r="AP60" s="57">
        <f>[14]January_2019!Z7</f>
        <v>257.8</v>
      </c>
      <c r="AQ60" s="57">
        <f>[14]January_2019!AA7</f>
        <v>291.2</v>
      </c>
      <c r="AR60" s="57">
        <f>[14]January_2019!AB7</f>
        <v>187</v>
      </c>
      <c r="AS60" s="57">
        <f>[14]January_2019!AC7</f>
        <v>0</v>
      </c>
      <c r="AT60" s="57">
        <f>[14]January_2019!AD7</f>
        <v>0</v>
      </c>
      <c r="AU60" s="57">
        <f>[14]January_2019!AE7</f>
        <v>485.1</v>
      </c>
      <c r="AV60" s="57">
        <f>[14]January_2019!AF7</f>
        <v>171.55</v>
      </c>
      <c r="AW60" s="57">
        <f>[14]January_2019!AG7</f>
        <v>423.8</v>
      </c>
      <c r="AX60" s="277">
        <f>[14]January_2019!AH7</f>
        <v>0</v>
      </c>
      <c r="AY60" s="277"/>
      <c r="AZ60" s="277"/>
      <c r="BA60" s="277"/>
      <c r="BB60" s="277"/>
      <c r="BC60" s="277"/>
      <c r="BD60" s="277"/>
      <c r="BE60" s="277"/>
    </row>
    <row r="61" spans="1:57" s="54" customFormat="1" ht="19.5" hidden="1" customHeight="1" thickBot="1">
      <c r="B61" s="478"/>
      <c r="C61" s="430"/>
      <c r="D61" s="431"/>
      <c r="E61" s="432"/>
      <c r="F61" s="433"/>
      <c r="G61" s="434"/>
      <c r="H61" s="458"/>
      <c r="I61" s="458"/>
      <c r="J61" s="451"/>
      <c r="K61" s="436"/>
      <c r="L61" s="452"/>
      <c r="M61" s="421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38.450000000000003" hidden="1" customHeight="1" thickBot="1">
      <c r="B62" s="480"/>
      <c r="C62" s="479"/>
      <c r="D62" s="442"/>
      <c r="E62" s="443"/>
      <c r="F62" s="444"/>
      <c r="G62" s="445"/>
      <c r="H62" s="458"/>
      <c r="I62" s="458"/>
      <c r="J62" s="448" t="s">
        <v>171</v>
      </c>
      <c r="K62" s="459"/>
      <c r="L62" s="457" t="e">
        <f>(((D62+E62)-G62)/(D62+E62))*100</f>
        <v>#DIV/0!</v>
      </c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s="54" customFormat="1" ht="15.75" hidden="1" thickBot="1">
      <c r="B63" s="453"/>
      <c r="C63" s="430"/>
      <c r="D63" s="431"/>
      <c r="E63" s="432"/>
      <c r="F63" s="433"/>
      <c r="G63" s="434"/>
      <c r="H63" s="435"/>
      <c r="I63" s="450"/>
      <c r="J63" s="451"/>
      <c r="K63" s="436"/>
      <c r="L63" s="452"/>
      <c r="M63" s="421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s="54" customFormat="1" ht="37.15" hidden="1" customHeight="1" thickBot="1">
      <c r="B64" s="480"/>
      <c r="C64" s="479"/>
      <c r="D64" s="442"/>
      <c r="E64" s="443"/>
      <c r="F64" s="444"/>
      <c r="G64" s="445"/>
      <c r="H64" s="446"/>
      <c r="I64" s="447"/>
      <c r="J64" s="448"/>
      <c r="K64" s="449"/>
      <c r="L64" s="457"/>
      <c r="M64" s="45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16.5" hidden="1" customHeight="1" thickBot="1">
      <c r="B65" s="437"/>
      <c r="C65" s="423"/>
      <c r="D65" s="424"/>
      <c r="E65" s="425"/>
      <c r="F65" s="426"/>
      <c r="G65" s="427"/>
      <c r="H65" s="428"/>
      <c r="I65" s="438"/>
      <c r="J65" s="439"/>
      <c r="K65" s="429"/>
      <c r="L65" s="440"/>
      <c r="M65" s="422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415"/>
      <c r="AC65" s="415"/>
      <c r="AD65" s="415"/>
      <c r="AE65" s="415"/>
      <c r="AF65" s="415"/>
      <c r="AG65" s="415"/>
      <c r="AH65" s="415"/>
      <c r="AI65" s="415"/>
      <c r="AJ65" s="415"/>
      <c r="AK65" s="415"/>
      <c r="AL65" s="415"/>
      <c r="AM65" s="415"/>
      <c r="AN65" s="415"/>
      <c r="AO65" s="415"/>
      <c r="AP65" s="415"/>
      <c r="AQ65" s="415"/>
      <c r="AR65" s="415"/>
      <c r="AS65" s="415"/>
      <c r="AT65" s="415"/>
      <c r="AU65" s="415"/>
      <c r="AV65" s="415"/>
      <c r="AW65" s="415"/>
    </row>
    <row r="66" spans="2:57" s="54" customFormat="1" ht="37.15" hidden="1" customHeight="1" thickBot="1">
      <c r="B66" s="456"/>
      <c r="C66" s="441"/>
      <c r="D66" s="442"/>
      <c r="E66" s="443"/>
      <c r="F66" s="444"/>
      <c r="G66" s="445"/>
      <c r="H66" s="446"/>
      <c r="I66" s="447"/>
      <c r="J66" s="448"/>
      <c r="K66" s="449"/>
      <c r="L66" s="457"/>
      <c r="M66" s="454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37.15" customHeight="1">
      <c r="B67" s="466"/>
      <c r="C67" s="430"/>
      <c r="D67" s="460"/>
      <c r="E67" s="461"/>
      <c r="F67" s="462"/>
      <c r="G67" s="460"/>
      <c r="H67" s="463"/>
      <c r="I67" s="463"/>
      <c r="J67" s="463"/>
      <c r="K67" s="464"/>
      <c r="L67" s="465"/>
      <c r="M67" s="50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ht="18" customHeight="1" thickBot="1">
      <c r="B68" s="59"/>
      <c r="C68" s="30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 t="s">
        <v>41</v>
      </c>
      <c r="O68" s="56"/>
      <c r="P68" s="60"/>
    </row>
    <row r="69" spans="2:57" ht="15.75" thickBot="1">
      <c r="B69" s="545" t="s">
        <v>55</v>
      </c>
      <c r="C69" s="546"/>
      <c r="D69" s="546"/>
      <c r="E69" s="546"/>
      <c r="F69" s="547"/>
      <c r="G69" s="545" t="s">
        <v>56</v>
      </c>
      <c r="H69" s="546"/>
      <c r="I69" s="546"/>
      <c r="J69" s="547"/>
      <c r="K69" s="545" t="s">
        <v>51</v>
      </c>
      <c r="L69" s="546"/>
      <c r="M69" s="546"/>
      <c r="N69" s="548"/>
      <c r="O69" s="56"/>
      <c r="P69" s="50"/>
    </row>
    <row r="70" spans="2:57" ht="15">
      <c r="B70" s="61" t="s">
        <v>17</v>
      </c>
      <c r="C70" s="62" t="s">
        <v>36</v>
      </c>
      <c r="D70" s="62" t="s">
        <v>37</v>
      </c>
      <c r="E70" s="62" t="s">
        <v>38</v>
      </c>
      <c r="F70" s="63" t="s">
        <v>39</v>
      </c>
      <c r="G70" s="62" t="s">
        <v>36</v>
      </c>
      <c r="H70" s="62" t="s">
        <v>37</v>
      </c>
      <c r="I70" s="62" t="s">
        <v>38</v>
      </c>
      <c r="J70" s="63" t="s">
        <v>39</v>
      </c>
      <c r="K70" s="62" t="s">
        <v>36</v>
      </c>
      <c r="L70" s="62" t="s">
        <v>37</v>
      </c>
      <c r="M70" s="62" t="s">
        <v>38</v>
      </c>
      <c r="N70" s="63" t="s">
        <v>39</v>
      </c>
      <c r="O70" s="56"/>
      <c r="P70" s="64"/>
    </row>
    <row r="71" spans="2:57" ht="15">
      <c r="B71" s="29" t="s">
        <v>6</v>
      </c>
      <c r="C71" s="282">
        <f>AVERAGE(L58,L60)</f>
        <v>7.2702876033187787</v>
      </c>
      <c r="D71" s="76">
        <v>7.483481758115472</v>
      </c>
      <c r="E71" s="76">
        <v>7.335066202576412</v>
      </c>
      <c r="F71" s="66">
        <v>4.8</v>
      </c>
      <c r="G71" s="65">
        <f>AVERAGE([11]March_2026!$K$11:$L$11)</f>
        <v>6.4876028177509628</v>
      </c>
      <c r="H71" s="477">
        <v>7.0237807669753574</v>
      </c>
      <c r="I71" s="477">
        <v>7.3894009766315163</v>
      </c>
      <c r="J71" s="66">
        <v>4.8</v>
      </c>
      <c r="K71" s="67">
        <f>AVERAGE(K58,K60)</f>
        <v>0.32045112781954888</v>
      </c>
      <c r="L71" s="194">
        <v>0.27168755221386798</v>
      </c>
      <c r="M71" s="194">
        <v>0.37434465277838141</v>
      </c>
      <c r="N71" s="68">
        <v>1</v>
      </c>
      <c r="O71" s="56"/>
      <c r="P71" s="69"/>
    </row>
    <row r="72" spans="2:57" ht="15">
      <c r="B72" s="33" t="s">
        <v>9</v>
      </c>
      <c r="C72" s="65"/>
      <c r="D72" s="76">
        <v>7.025900565644533</v>
      </c>
      <c r="E72" s="76">
        <v>6.4149147319533819</v>
      </c>
      <c r="F72" s="66">
        <v>4.8</v>
      </c>
      <c r="G72" s="65"/>
      <c r="H72" s="76">
        <v>7.2057488520690356</v>
      </c>
      <c r="I72" s="76">
        <v>6.4809053832841554</v>
      </c>
      <c r="J72" s="66">
        <v>4.8</v>
      </c>
      <c r="K72" s="67"/>
      <c r="L72" s="194">
        <v>0.66210526315789475</v>
      </c>
      <c r="M72" s="194">
        <v>0.56980105779238654</v>
      </c>
      <c r="N72" s="68">
        <v>1</v>
      </c>
      <c r="P72" s="69"/>
    </row>
    <row r="73" spans="2:57" ht="15">
      <c r="B73" s="34" t="s">
        <v>40</v>
      </c>
      <c r="C73" s="65"/>
      <c r="D73" s="76">
        <v>17.736185383244202</v>
      </c>
      <c r="E73" s="76">
        <v>13.787999544574737</v>
      </c>
      <c r="F73" s="66">
        <v>5.5</v>
      </c>
      <c r="G73" s="65"/>
      <c r="H73" s="76">
        <v>18.680986829617162</v>
      </c>
      <c r="I73" s="76">
        <v>14.166613807253221</v>
      </c>
      <c r="J73" s="66">
        <v>5.5</v>
      </c>
      <c r="K73" s="67"/>
      <c r="L73" s="194">
        <v>0.12954385964912282</v>
      </c>
      <c r="M73" s="194">
        <v>0.28657456140350879</v>
      </c>
      <c r="N73" s="68">
        <v>1</v>
      </c>
      <c r="P73" s="69"/>
    </row>
    <row r="74" spans="2:57" ht="15">
      <c r="B74" s="22" t="s">
        <v>33</v>
      </c>
      <c r="C74" s="65"/>
      <c r="D74" s="76">
        <v>4.786281034041461</v>
      </c>
      <c r="E74" s="76">
        <v>4.9619586520196597</v>
      </c>
      <c r="F74" s="66">
        <v>3.3</v>
      </c>
      <c r="G74" s="65"/>
      <c r="H74" s="76">
        <v>5.4251963146907434</v>
      </c>
      <c r="I74" s="76">
        <v>4.9501867212112511</v>
      </c>
      <c r="J74" s="66">
        <v>3.3</v>
      </c>
      <c r="K74" s="67"/>
      <c r="L74" s="194">
        <v>1.3052631578947369</v>
      </c>
      <c r="M74" s="194">
        <v>0.88064327485380123</v>
      </c>
      <c r="N74" s="68">
        <v>1</v>
      </c>
      <c r="P74" s="69"/>
    </row>
    <row r="75" spans="2:57" ht="15">
      <c r="B75" s="35" t="s">
        <v>164</v>
      </c>
      <c r="C75" s="65"/>
      <c r="D75" s="76"/>
      <c r="E75" s="76"/>
      <c r="F75" s="66">
        <v>3.3</v>
      </c>
      <c r="G75" s="282"/>
      <c r="H75" s="76"/>
      <c r="I75" s="76"/>
      <c r="J75" s="66">
        <v>3</v>
      </c>
      <c r="K75" s="67"/>
      <c r="L75" s="194"/>
      <c r="M75" s="194"/>
      <c r="N75" s="68">
        <v>1</v>
      </c>
      <c r="P75" s="69"/>
    </row>
    <row r="76" spans="2:57" ht="15">
      <c r="B76" s="36" t="s">
        <v>15</v>
      </c>
      <c r="C76" s="65"/>
      <c r="D76" s="76"/>
      <c r="E76" s="76">
        <v>5.1105651105651271</v>
      </c>
      <c r="F76" s="70">
        <f>[15]May_2022!$M$43</f>
        <v>3.4878406700073312</v>
      </c>
      <c r="G76" s="282"/>
      <c r="H76" s="76"/>
      <c r="I76" s="76">
        <v>7.9131369535794072</v>
      </c>
      <c r="J76" s="66">
        <v>5.5</v>
      </c>
      <c r="K76" s="67"/>
      <c r="L76" s="194"/>
      <c r="M76" s="194">
        <v>1.3550877192982456</v>
      </c>
      <c r="N76" s="68">
        <v>1</v>
      </c>
      <c r="P76" s="69"/>
    </row>
    <row r="77" spans="2:57" ht="15">
      <c r="B77" s="37" t="s">
        <v>16</v>
      </c>
      <c r="C77" s="65"/>
      <c r="D77" s="76"/>
      <c r="E77" s="76">
        <v>3.9401442566476499</v>
      </c>
      <c r="F77" s="66">
        <v>3.3</v>
      </c>
      <c r="G77" s="282"/>
      <c r="H77" s="76"/>
      <c r="I77" s="76">
        <v>4.7059150132172638</v>
      </c>
      <c r="J77" s="66">
        <v>3.3</v>
      </c>
      <c r="K77" s="67"/>
      <c r="L77" s="194"/>
      <c r="M77" s="194">
        <v>0.82374269005847967</v>
      </c>
      <c r="N77" s="71">
        <v>1</v>
      </c>
      <c r="P77" s="69"/>
    </row>
    <row r="78" spans="2:57" ht="15.75" thickBot="1">
      <c r="B78" s="38" t="s">
        <v>163</v>
      </c>
      <c r="C78" s="65"/>
      <c r="D78" s="76"/>
      <c r="E78" s="76"/>
      <c r="F78" s="66">
        <v>7.5</v>
      </c>
      <c r="G78" s="282"/>
      <c r="H78" s="76"/>
      <c r="I78" s="76"/>
      <c r="J78" s="66">
        <v>7.5</v>
      </c>
      <c r="K78" s="67"/>
      <c r="L78" s="194"/>
      <c r="M78" s="194"/>
      <c r="N78" s="71">
        <v>1</v>
      </c>
      <c r="P78" s="69"/>
    </row>
    <row r="79" spans="2:57" ht="15.75" thickBot="1">
      <c r="B79" s="414" t="s">
        <v>161</v>
      </c>
      <c r="C79" s="65"/>
      <c r="D79" s="76"/>
      <c r="E79" s="76"/>
      <c r="F79" s="66">
        <v>4.8</v>
      </c>
      <c r="G79" s="282"/>
      <c r="H79" s="76"/>
      <c r="I79" s="76"/>
      <c r="J79" s="66">
        <v>4.8</v>
      </c>
      <c r="K79" s="67"/>
      <c r="L79" s="194"/>
      <c r="M79" s="194"/>
      <c r="N79" s="71">
        <v>1</v>
      </c>
      <c r="O79" s="74"/>
      <c r="P79" s="75"/>
    </row>
    <row r="80" spans="2:57" ht="15">
      <c r="D80" s="76">
        <v>7.7440965773414705</v>
      </c>
      <c r="E80" s="76">
        <v>7.0411005048942306</v>
      </c>
      <c r="F80" s="341">
        <v>5.5</v>
      </c>
      <c r="H80" s="76">
        <v>7.9954470299079068</v>
      </c>
      <c r="I80" s="76">
        <v>7.2913464325240529</v>
      </c>
      <c r="J80" s="341">
        <v>5.5</v>
      </c>
      <c r="L80" s="194">
        <v>0.50087477954144621</v>
      </c>
      <c r="M80" s="194">
        <v>0.41846317406419276</v>
      </c>
      <c r="N80" s="386">
        <v>1</v>
      </c>
    </row>
  </sheetData>
  <mergeCells count="51">
    <mergeCell ref="M56:M57"/>
    <mergeCell ref="B69:F69"/>
    <mergeCell ref="G69:J69"/>
    <mergeCell ref="K69:N69"/>
    <mergeCell ref="G56:G57"/>
    <mergeCell ref="H56:H57"/>
    <mergeCell ref="I56:I57"/>
    <mergeCell ref="J56:J57"/>
    <mergeCell ref="K56:K57"/>
    <mergeCell ref="L56:L57"/>
    <mergeCell ref="F56:F57"/>
    <mergeCell ref="D51:E51"/>
    <mergeCell ref="B56:B57"/>
    <mergeCell ref="C56:C57"/>
    <mergeCell ref="D56:D57"/>
    <mergeCell ref="E56:E57"/>
    <mergeCell ref="B41:B50"/>
    <mergeCell ref="D41:E42"/>
    <mergeCell ref="J41:K41"/>
    <mergeCell ref="L42:N42"/>
    <mergeCell ref="D43:E44"/>
    <mergeCell ref="D45:E46"/>
    <mergeCell ref="D47:E48"/>
    <mergeCell ref="D49:E50"/>
    <mergeCell ref="I27:N27"/>
    <mergeCell ref="D28:E28"/>
    <mergeCell ref="B29:B40"/>
    <mergeCell ref="D29:E30"/>
    <mergeCell ref="D31:E32"/>
    <mergeCell ref="D33:E34"/>
    <mergeCell ref="D35:E36"/>
    <mergeCell ref="D37:E38"/>
    <mergeCell ref="D39:E40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1:B52">
    <cfRule type="cellIs" dxfId="2578" priority="74" operator="notBetween">
      <formula>#REF!</formula>
      <formula>#REF!</formula>
    </cfRule>
  </conditionalFormatting>
  <conditionalFormatting sqref="C55">
    <cfRule type="cellIs" dxfId="2577" priority="169" stopIfTrue="1" operator="greaterThan">
      <formula>100</formula>
    </cfRule>
    <cfRule type="cellIs" dxfId="2576" priority="168" stopIfTrue="1" operator="lessThan">
      <formula>96</formula>
    </cfRule>
  </conditionalFormatting>
  <conditionalFormatting sqref="C71:C75">
    <cfRule type="cellIs" dxfId="2575" priority="137" stopIfTrue="1" operator="lessThanOrEqual">
      <formula>0</formula>
    </cfRule>
  </conditionalFormatting>
  <conditionalFormatting sqref="C71:C79">
    <cfRule type="cellIs" dxfId="2574" priority="136" stopIfTrue="1" operator="greaterThan">
      <formula>$F71</formula>
    </cfRule>
  </conditionalFormatting>
  <conditionalFormatting sqref="C72">
    <cfRule type="cellIs" dxfId="2573" priority="170" stopIfTrue="1" operator="greaterThan">
      <formula>$F71</formula>
    </cfRule>
  </conditionalFormatting>
  <conditionalFormatting sqref="C76">
    <cfRule type="cellIs" dxfId="2572" priority="98" stopIfTrue="1" operator="lessThanOrEqual">
      <formula>0</formula>
    </cfRule>
    <cfRule type="cellIs" dxfId="2571" priority="99" stopIfTrue="1" operator="greaterThan">
      <formula>$F75</formula>
    </cfRule>
  </conditionalFormatting>
  <conditionalFormatting sqref="C77:C79">
    <cfRule type="cellIs" dxfId="2570" priority="138" stopIfTrue="1" operator="lessThanOrEqual">
      <formula>0</formula>
    </cfRule>
  </conditionalFormatting>
  <conditionalFormatting sqref="C82:C86">
    <cfRule type="cellIs" dxfId="2569" priority="160" stopIfTrue="1" operator="lessThanOrEqual">
      <formula>0</formula>
    </cfRule>
  </conditionalFormatting>
  <conditionalFormatting sqref="C83:C86">
    <cfRule type="cellIs" dxfId="2568" priority="159" stopIfTrue="1" operator="greaterThan">
      <formula>$F$82</formula>
    </cfRule>
  </conditionalFormatting>
  <conditionalFormatting sqref="C88">
    <cfRule type="cellIs" dxfId="2567" priority="162" stopIfTrue="1" operator="lessThanOrEqual">
      <formula>0</formula>
    </cfRule>
    <cfRule type="cellIs" dxfId="2566" priority="161" stopIfTrue="1" operator="greaterThan">
      <formula>$F$82</formula>
    </cfRule>
  </conditionalFormatting>
  <conditionalFormatting sqref="C82:D82 D84:D90">
    <cfRule type="cellIs" dxfId="2565" priority="154" stopIfTrue="1" operator="greaterThan">
      <formula>4.5</formula>
    </cfRule>
  </conditionalFormatting>
  <conditionalFormatting sqref="D51:D52">
    <cfRule type="cellIs" dxfId="2564" priority="75" operator="notBetween">
      <formula>#REF!</formula>
      <formula>#REF!</formula>
    </cfRule>
  </conditionalFormatting>
  <conditionalFormatting sqref="D71:D78">
    <cfRule type="cellIs" dxfId="2563" priority="47" stopIfTrue="1" operator="lessThanOrEqual">
      <formula>0</formula>
    </cfRule>
  </conditionalFormatting>
  <conditionalFormatting sqref="D71:D80">
    <cfRule type="cellIs" dxfId="2562" priority="26" stopIfTrue="1" operator="lessThanOrEqual">
      <formula>0</formula>
    </cfRule>
  </conditionalFormatting>
  <conditionalFormatting sqref="D79">
    <cfRule type="cellIs" dxfId="2561" priority="46" stopIfTrue="1" operator="lessThanOrEqual">
      <formula>0</formula>
    </cfRule>
  </conditionalFormatting>
  <conditionalFormatting sqref="D80">
    <cfRule type="cellIs" dxfId="2560" priority="41" stopIfTrue="1" operator="lessThanOrEqual">
      <formula>0</formula>
    </cfRule>
  </conditionalFormatting>
  <conditionalFormatting sqref="D82 D84:D90">
    <cfRule type="cellIs" dxfId="2559" priority="155" stopIfTrue="1" operator="lessThanOrEqual">
      <formula>0</formula>
    </cfRule>
  </conditionalFormatting>
  <conditionalFormatting sqref="D83">
    <cfRule type="cellIs" dxfId="2558" priority="147" stopIfTrue="1" operator="lessThanOrEqual">
      <formula>0</formula>
    </cfRule>
    <cfRule type="cellIs" dxfId="2557" priority="146" stopIfTrue="1" operator="greaterThan">
      <formula>$F$82</formula>
    </cfRule>
  </conditionalFormatting>
  <conditionalFormatting sqref="D71:E80">
    <cfRule type="cellIs" dxfId="2556" priority="28" stopIfTrue="1" operator="greaterThan">
      <formula>$F71</formula>
    </cfRule>
  </conditionalFormatting>
  <conditionalFormatting sqref="D80:E80">
    <cfRule type="cellIs" dxfId="2555" priority="30" stopIfTrue="1" operator="lessThanOrEqual">
      <formula>0</formula>
    </cfRule>
  </conditionalFormatting>
  <conditionalFormatting sqref="E10:E26">
    <cfRule type="cellIs" dxfId="2554" priority="6" operator="lessThan">
      <formula>48</formula>
    </cfRule>
  </conditionalFormatting>
  <conditionalFormatting sqref="E54 E55:F55">
    <cfRule type="cellIs" dxfId="2553" priority="151" stopIfTrue="1" operator="greaterThan">
      <formula>100</formula>
    </cfRule>
  </conditionalFormatting>
  <conditionalFormatting sqref="E55">
    <cfRule type="cellIs" dxfId="2552" priority="149" stopIfTrue="1" operator="greaterThan">
      <formula>100</formula>
    </cfRule>
    <cfRule type="cellIs" dxfId="2551" priority="148" stopIfTrue="1" operator="lessThan">
      <formula>96.8</formula>
    </cfRule>
  </conditionalFormatting>
  <conditionalFormatting sqref="E71:E79">
    <cfRule type="cellIs" dxfId="2550" priority="27" stopIfTrue="1" operator="lessThanOrEqual">
      <formula>0</formula>
    </cfRule>
  </conditionalFormatting>
  <conditionalFormatting sqref="E71:E80">
    <cfRule type="cellIs" dxfId="2549" priority="29" stopIfTrue="1" operator="lessThanOrEqual">
      <formula>0</formula>
    </cfRule>
  </conditionalFormatting>
  <conditionalFormatting sqref="E82:E90">
    <cfRule type="cellIs" dxfId="2548" priority="141" stopIfTrue="1" operator="lessThanOrEqual">
      <formula>0</formula>
    </cfRule>
    <cfRule type="cellIs" dxfId="2547" priority="140" stopIfTrue="1" operator="greaterThan">
      <formula>4.5</formula>
    </cfRule>
  </conditionalFormatting>
  <conditionalFormatting sqref="E55:F55 E54">
    <cfRule type="cellIs" dxfId="2546" priority="150" stopIfTrue="1" operator="lessThan">
      <formula>96.5</formula>
    </cfRule>
  </conditionalFormatting>
  <conditionalFormatting sqref="F26">
    <cfRule type="cellIs" dxfId="2545" priority="22" operator="greaterThan">
      <formula>60</formula>
    </cfRule>
  </conditionalFormatting>
  <conditionalFormatting sqref="F55">
    <cfRule type="cellIs" dxfId="2544" priority="166" stopIfTrue="1" operator="lessThan">
      <formula>96.8</formula>
    </cfRule>
    <cfRule type="cellIs" dxfId="2543" priority="167" stopIfTrue="1" operator="greaterThan">
      <formula>100</formula>
    </cfRule>
  </conditionalFormatting>
  <conditionalFormatting sqref="F80">
    <cfRule type="cellIs" dxfId="2542" priority="45" stopIfTrue="1" operator="lessThanOrEqual">
      <formula>0</formula>
    </cfRule>
    <cfRule type="cellIs" dxfId="2541" priority="44" stopIfTrue="1" operator="greaterThan">
      <formula>$F80</formula>
    </cfRule>
  </conditionalFormatting>
  <conditionalFormatting sqref="G10:G25">
    <cfRule type="expression" dxfId="2540" priority="8">
      <formula>IF(+(IF(G10&lt;S10,0,IF(G10&gt;T10,0,1)))=0,1)</formula>
    </cfRule>
  </conditionalFormatting>
  <conditionalFormatting sqref="G71:G72">
    <cfRule type="cellIs" dxfId="2539" priority="49" stopIfTrue="1" operator="lessThanOrEqual">
      <formula>0</formula>
    </cfRule>
    <cfRule type="cellIs" dxfId="2538" priority="48" stopIfTrue="1" operator="greaterThan">
      <formula>$F71</formula>
    </cfRule>
    <cfRule type="cellIs" dxfId="2537" priority="43" stopIfTrue="1" operator="lessThanOrEqual">
      <formula>0</formula>
    </cfRule>
    <cfRule type="cellIs" dxfId="2536" priority="42" stopIfTrue="1" operator="greaterThan">
      <formula>$F71</formula>
    </cfRule>
  </conditionalFormatting>
  <conditionalFormatting sqref="G73">
    <cfRule type="cellIs" dxfId="2535" priority="52" stopIfTrue="1" operator="greaterThan">
      <formula>$F72</formula>
    </cfRule>
    <cfRule type="cellIs" dxfId="2534" priority="53" stopIfTrue="1" operator="lessThanOrEqual">
      <formula>0</formula>
    </cfRule>
  </conditionalFormatting>
  <conditionalFormatting sqref="G74">
    <cfRule type="cellIs" dxfId="2533" priority="37" stopIfTrue="1" operator="lessThanOrEqual">
      <formula>0</formula>
    </cfRule>
    <cfRule type="cellIs" dxfId="2532" priority="36" stopIfTrue="1" operator="greaterThan">
      <formula>$F74</formula>
    </cfRule>
    <cfRule type="cellIs" dxfId="2531" priority="35" stopIfTrue="1" operator="lessThanOrEqual">
      <formula>0</formula>
    </cfRule>
    <cfRule type="cellIs" dxfId="2530" priority="34" stopIfTrue="1" operator="greaterThan">
      <formula>$F74</formula>
    </cfRule>
  </conditionalFormatting>
  <conditionalFormatting sqref="G75:G79">
    <cfRule type="cellIs" dxfId="2529" priority="51" stopIfTrue="1" operator="lessThanOrEqual">
      <formula>0</formula>
    </cfRule>
    <cfRule type="cellIs" dxfId="2528" priority="50" stopIfTrue="1" operator="greaterThan">
      <formula>$J75</formula>
    </cfRule>
  </conditionalFormatting>
  <conditionalFormatting sqref="G84:G89 C87 C89">
    <cfRule type="cellIs" dxfId="2527" priority="164" stopIfTrue="1" operator="lessThanOrEqual">
      <formula>0</formula>
    </cfRule>
    <cfRule type="cellIs" dxfId="2526" priority="163" stopIfTrue="1" operator="greaterThan">
      <formula>4.5</formula>
    </cfRule>
  </conditionalFormatting>
  <conditionalFormatting sqref="G26:H26">
    <cfRule type="expression" dxfId="2525" priority="71">
      <formula>IF(+(IF(G26&lt;#REF!,0,IF(G26&gt;#REF!,0,1)))=0,1)</formula>
    </cfRule>
  </conditionalFormatting>
  <conditionalFormatting sqref="G83:H83">
    <cfRule type="cellIs" dxfId="2524" priority="144" stopIfTrue="1" operator="greaterThan">
      <formula>$F$82</formula>
    </cfRule>
    <cfRule type="cellIs" dxfId="2523" priority="145" stopIfTrue="1" operator="lessThanOrEqual">
      <formula>0</formula>
    </cfRule>
  </conditionalFormatting>
  <conditionalFormatting sqref="H10:H25">
    <cfRule type="expression" dxfId="2522" priority="11">
      <formula>IF(+(IF(H10&lt;#REF!,0,IF(H10&gt;#REF!,0,1)))=0,1)</formula>
    </cfRule>
  </conditionalFormatting>
  <conditionalFormatting sqref="H40:H54 I42:I53">
    <cfRule type="cellIs" dxfId="2521" priority="142" stopIfTrue="1" operator="greaterThan">
      <formula>0</formula>
    </cfRule>
  </conditionalFormatting>
  <conditionalFormatting sqref="H58:H62">
    <cfRule type="cellIs" dxfId="2520" priority="57" stopIfTrue="1" operator="lessThanOrEqual">
      <formula>0</formula>
    </cfRule>
    <cfRule type="cellIs" dxfId="2519" priority="58" stopIfTrue="1" operator="greaterThan">
      <formula>$F$71</formula>
    </cfRule>
    <cfRule type="cellIs" dxfId="2518" priority="66" stopIfTrue="1" operator="greaterThan">
      <formula>$F$74</formula>
    </cfRule>
    <cfRule type="cellIs" dxfId="2517" priority="67" stopIfTrue="1" operator="lessThanOrEqual">
      <formula>0</formula>
    </cfRule>
    <cfRule type="cellIs" dxfId="2516" priority="68" stopIfTrue="1" operator="greaterThan">
      <formula>$F$72</formula>
    </cfRule>
    <cfRule type="cellIs" dxfId="2515" priority="69" stopIfTrue="1" operator="lessThanOrEqual">
      <formula>0</formula>
    </cfRule>
  </conditionalFormatting>
  <conditionalFormatting sqref="H63:H64">
    <cfRule type="cellIs" dxfId="2514" priority="110" stopIfTrue="1" operator="greaterThan">
      <formula>$F$26</formula>
    </cfRule>
    <cfRule type="cellIs" dxfId="2513" priority="102" stopIfTrue="1" operator="greaterThan">
      <formula>#REF!</formula>
    </cfRule>
    <cfRule type="cellIs" dxfId="2512" priority="101" stopIfTrue="1" operator="lessThanOrEqual">
      <formula>0</formula>
    </cfRule>
    <cfRule type="cellIs" dxfId="2511" priority="111" stopIfTrue="1" operator="lessThanOrEqual">
      <formula>0</formula>
    </cfRule>
    <cfRule type="cellIs" dxfId="2510" priority="113" stopIfTrue="1" operator="lessThanOrEqual">
      <formula>0</formula>
    </cfRule>
    <cfRule type="cellIs" dxfId="2509" priority="112" stopIfTrue="1" operator="greaterThan">
      <formula>#REF!</formula>
    </cfRule>
  </conditionalFormatting>
  <conditionalFormatting sqref="H65">
    <cfRule type="cellIs" dxfId="2508" priority="116" stopIfTrue="1" operator="greaterThan">
      <formula>$F$39</formula>
    </cfRule>
    <cfRule type="cellIs" dxfId="2507" priority="115" stopIfTrue="1" operator="lessThanOrEqual">
      <formula>0</formula>
    </cfRule>
    <cfRule type="cellIs" dxfId="2506" priority="126" stopIfTrue="1" operator="greaterThan">
      <formula>$F$40</formula>
    </cfRule>
    <cfRule type="cellIs" dxfId="2505" priority="125" stopIfTrue="1" operator="lessThanOrEqual">
      <formula>0</formula>
    </cfRule>
    <cfRule type="cellIs" dxfId="2504" priority="124" stopIfTrue="1" operator="greaterThan">
      <formula>$F$42</formula>
    </cfRule>
    <cfRule type="cellIs" dxfId="2503" priority="127" stopIfTrue="1" operator="lessThanOrEqual">
      <formula>0</formula>
    </cfRule>
  </conditionalFormatting>
  <conditionalFormatting sqref="H66:H67">
    <cfRule type="cellIs" dxfId="2502" priority="94" stopIfTrue="1" operator="greaterThan">
      <formula>$F$26</formula>
    </cfRule>
    <cfRule type="cellIs" dxfId="2501" priority="85" stopIfTrue="1" operator="lessThanOrEqual">
      <formula>0</formula>
    </cfRule>
    <cfRule type="cellIs" dxfId="2500" priority="86" stopIfTrue="1" operator="greaterThan">
      <formula>#REF!</formula>
    </cfRule>
    <cfRule type="cellIs" dxfId="2499" priority="96" stopIfTrue="1" operator="greaterThan">
      <formula>#REF!</formula>
    </cfRule>
    <cfRule type="cellIs" dxfId="2498" priority="95" stopIfTrue="1" operator="lessThanOrEqual">
      <formula>0</formula>
    </cfRule>
    <cfRule type="cellIs" dxfId="2497" priority="97" stopIfTrue="1" operator="lessThanOrEqual">
      <formula>0</formula>
    </cfRule>
  </conditionalFormatting>
  <conditionalFormatting sqref="H82 H84:H90">
    <cfRule type="cellIs" dxfId="2496" priority="156" stopIfTrue="1" operator="greaterThan">
      <formula>4.5</formula>
    </cfRule>
    <cfRule type="cellIs" dxfId="2495" priority="157" stopIfTrue="1" operator="lessThanOrEqual">
      <formula>0</formula>
    </cfRule>
  </conditionalFormatting>
  <conditionalFormatting sqref="H58:I62">
    <cfRule type="cellIs" dxfId="2494" priority="59" stopIfTrue="1" operator="lessThanOrEqual">
      <formula>0</formula>
    </cfRule>
    <cfRule type="cellIs" dxfId="2493" priority="56" stopIfTrue="1" operator="greaterThan">
      <formula>$F$73</formula>
    </cfRule>
  </conditionalFormatting>
  <conditionalFormatting sqref="H63:I64">
    <cfRule type="cellIs" dxfId="2492" priority="103" stopIfTrue="1" operator="lessThanOrEqual">
      <formula>0</formula>
    </cfRule>
    <cfRule type="cellIs" dxfId="2491" priority="100" stopIfTrue="1" operator="greaterThan">
      <formula>#REF!</formula>
    </cfRule>
  </conditionalFormatting>
  <conditionalFormatting sqref="H65:I65">
    <cfRule type="cellIs" dxfId="2490" priority="117" stopIfTrue="1" operator="lessThanOrEqual">
      <formula>0</formula>
    </cfRule>
    <cfRule type="cellIs" dxfId="2489" priority="114" stopIfTrue="1" operator="greaterThan">
      <formula>$F$41</formula>
    </cfRule>
  </conditionalFormatting>
  <conditionalFormatting sqref="H66:I67">
    <cfRule type="cellIs" dxfId="2488" priority="84" stopIfTrue="1" operator="greaterThan">
      <formula>#REF!</formula>
    </cfRule>
    <cfRule type="cellIs" dxfId="2487" priority="87" stopIfTrue="1" operator="lessThanOrEqual">
      <formula>0</formula>
    </cfRule>
  </conditionalFormatting>
  <conditionalFormatting sqref="H71:I78">
    <cfRule type="cellIs" dxfId="2486" priority="25" stopIfTrue="1" operator="lessThanOrEqual">
      <formula>0</formula>
    </cfRule>
    <cfRule type="cellIs" dxfId="2485" priority="24" stopIfTrue="1" operator="greaterThan">
      <formula>$J71</formula>
    </cfRule>
  </conditionalFormatting>
  <conditionalFormatting sqref="H79:I79">
    <cfRule type="cellIs" dxfId="2484" priority="33" operator="greaterThan">
      <formula>5.3</formula>
    </cfRule>
  </conditionalFormatting>
  <conditionalFormatting sqref="H80:I80">
    <cfRule type="cellIs" dxfId="2483" priority="32" stopIfTrue="1" operator="lessThanOrEqual">
      <formula>0</formula>
    </cfRule>
    <cfRule type="cellIs" dxfId="2482" priority="31" stopIfTrue="1" operator="greaterThan">
      <formula>$J80</formula>
    </cfRule>
  </conditionalFormatting>
  <conditionalFormatting sqref="I58:I62">
    <cfRule type="cellIs" dxfId="2481" priority="64" stopIfTrue="1" operator="greaterThan">
      <formula>$F$71</formula>
    </cfRule>
    <cfRule type="cellIs" dxfId="2480" priority="61" stopIfTrue="1" operator="lessThanOrEqual">
      <formula>0</formula>
    </cfRule>
    <cfRule type="cellIs" dxfId="2479" priority="65" stopIfTrue="1" operator="lessThanOrEqual">
      <formula>0</formula>
    </cfRule>
    <cfRule type="cellIs" dxfId="2478" priority="62" stopIfTrue="1" operator="greaterThan">
      <formula>$F$73</formula>
    </cfRule>
    <cfRule type="cellIs" dxfId="2477" priority="63" stopIfTrue="1" operator="lessThanOrEqual">
      <formula>0</formula>
    </cfRule>
    <cfRule type="cellIs" dxfId="2476" priority="60" stopIfTrue="1" operator="greaterThan">
      <formula>$F$71</formula>
    </cfRule>
  </conditionalFormatting>
  <conditionalFormatting sqref="I63:I64">
    <cfRule type="cellIs" dxfId="2475" priority="109" stopIfTrue="1" operator="lessThanOrEqual">
      <formula>0</formula>
    </cfRule>
    <cfRule type="cellIs" dxfId="2474" priority="108" stopIfTrue="1" operator="greaterThan">
      <formula>#REF!</formula>
    </cfRule>
    <cfRule type="cellIs" dxfId="2473" priority="104" stopIfTrue="1" operator="greaterThan">
      <formula>#REF!</formula>
    </cfRule>
    <cfRule type="cellIs" dxfId="2472" priority="105" stopIfTrue="1" operator="lessThanOrEqual">
      <formula>0</formula>
    </cfRule>
    <cfRule type="cellIs" dxfId="2471" priority="106" stopIfTrue="1" operator="greaterThan">
      <formula>#REF!</formula>
    </cfRule>
    <cfRule type="cellIs" dxfId="2470" priority="107" stopIfTrue="1" operator="lessThanOrEqual">
      <formula>0</formula>
    </cfRule>
  </conditionalFormatting>
  <conditionalFormatting sqref="I65">
    <cfRule type="cellIs" dxfId="2469" priority="118" stopIfTrue="1" operator="greaterThan">
      <formula>$F$39</formula>
    </cfRule>
    <cfRule type="cellIs" dxfId="2468" priority="119" stopIfTrue="1" operator="lessThanOrEqual">
      <formula>0</formula>
    </cfRule>
    <cfRule type="cellIs" dxfId="2467" priority="120" stopIfTrue="1" operator="greaterThan">
      <formula>$F$41</formula>
    </cfRule>
    <cfRule type="cellIs" dxfId="2466" priority="121" stopIfTrue="1" operator="lessThanOrEqual">
      <formula>0</formula>
    </cfRule>
    <cfRule type="cellIs" dxfId="2465" priority="122" stopIfTrue="1" operator="greaterThan">
      <formula>$F$39</formula>
    </cfRule>
    <cfRule type="cellIs" dxfId="2464" priority="123" stopIfTrue="1" operator="lessThanOrEqual">
      <formula>0</formula>
    </cfRule>
  </conditionalFormatting>
  <conditionalFormatting sqref="I66:I67">
    <cfRule type="cellIs" dxfId="2463" priority="91" stopIfTrue="1" operator="lessThanOrEqual">
      <formula>0</formula>
    </cfRule>
    <cfRule type="cellIs" dxfId="2462" priority="89" stopIfTrue="1" operator="lessThanOrEqual">
      <formula>0</formula>
    </cfRule>
    <cfRule type="cellIs" dxfId="2461" priority="90" stopIfTrue="1" operator="greaterThan">
      <formula>#REF!</formula>
    </cfRule>
    <cfRule type="cellIs" dxfId="2460" priority="93" stopIfTrue="1" operator="lessThanOrEqual">
      <formula>0</formula>
    </cfRule>
    <cfRule type="cellIs" dxfId="2459" priority="92" stopIfTrue="1" operator="greaterThan">
      <formula>#REF!</formula>
    </cfRule>
    <cfRule type="cellIs" dxfId="2458" priority="88" stopIfTrue="1" operator="greaterThan">
      <formula>#REF!</formula>
    </cfRule>
  </conditionalFormatting>
  <conditionalFormatting sqref="I82:I90">
    <cfRule type="cellIs" dxfId="2457" priority="153" stopIfTrue="1" operator="lessThanOrEqual">
      <formula>0</formula>
    </cfRule>
    <cfRule type="cellIs" dxfId="2456" priority="152" stopIfTrue="1" operator="greaterThan">
      <formula>4.5</formula>
    </cfRule>
  </conditionalFormatting>
  <conditionalFormatting sqref="I10:J26">
    <cfRule type="cellIs" dxfId="2455" priority="2" operator="lessThan">
      <formula>97.9</formula>
    </cfRule>
  </conditionalFormatting>
  <conditionalFormatting sqref="J29">
    <cfRule type="cellIs" dxfId="2454" priority="55" operator="lessThan">
      <formula>97.95</formula>
    </cfRule>
  </conditionalFormatting>
  <conditionalFormatting sqref="J31">
    <cfRule type="cellIs" dxfId="2453" priority="129" stopIfTrue="1" operator="lessThan">
      <formula>96.8</formula>
    </cfRule>
    <cfRule type="cellIs" dxfId="2452" priority="130" stopIfTrue="1" operator="greaterThan">
      <formula>100</formula>
    </cfRule>
    <cfRule type="cellIs" dxfId="2451" priority="131" operator="lessThan">
      <formula>98</formula>
    </cfRule>
  </conditionalFormatting>
  <conditionalFormatting sqref="J31:J33">
    <cfRule type="cellIs" dxfId="2450" priority="128" operator="lessThan">
      <formula>97.4</formula>
    </cfRule>
  </conditionalFormatting>
  <conditionalFormatting sqref="J34:J35">
    <cfRule type="cellIs" dxfId="2449" priority="132" operator="lessThan">
      <formula>98</formula>
    </cfRule>
  </conditionalFormatting>
  <conditionalFormatting sqref="J36:J37">
    <cfRule type="cellIs" dxfId="2448" priority="133" stopIfTrue="1" operator="lessThan">
      <formula>96.8</formula>
    </cfRule>
    <cfRule type="cellIs" dxfId="2447" priority="134" stopIfTrue="1" operator="greaterThan">
      <formula>100</formula>
    </cfRule>
  </conditionalFormatting>
  <conditionalFormatting sqref="J36:J38">
    <cfRule type="cellIs" dxfId="2446" priority="135" operator="lessThan">
      <formula>98</formula>
    </cfRule>
  </conditionalFormatting>
  <conditionalFormatting sqref="J67">
    <cfRule type="cellIs" dxfId="2445" priority="81" stopIfTrue="1" operator="lessThanOrEqual">
      <formula>0</formula>
    </cfRule>
    <cfRule type="cellIs" dxfId="2444" priority="80" stopIfTrue="1" operator="greaterThan">
      <formula>#REF!</formula>
    </cfRule>
    <cfRule type="cellIs" dxfId="2443" priority="78" stopIfTrue="1" operator="greaterThan">
      <formula>#REF!</formula>
    </cfRule>
    <cfRule type="cellIs" dxfId="2442" priority="77" stopIfTrue="1" operator="lessThanOrEqual">
      <formula>0</formula>
    </cfRule>
    <cfRule type="cellIs" dxfId="2441" priority="79" stopIfTrue="1" operator="lessThanOrEqual">
      <formula>0</formula>
    </cfRule>
    <cfRule type="cellIs" dxfId="2440" priority="76" stopIfTrue="1" operator="greaterThan">
      <formula>#REF!</formula>
    </cfRule>
    <cfRule type="cellIs" dxfId="2439" priority="83" stopIfTrue="1" operator="lessThanOrEqual">
      <formula>0</formula>
    </cfRule>
    <cfRule type="cellIs" dxfId="2438" priority="82" stopIfTrue="1" operator="greaterThan">
      <formula>#REF!</formula>
    </cfRule>
  </conditionalFormatting>
  <conditionalFormatting sqref="J80">
    <cfRule type="cellIs" dxfId="2437" priority="38" stopIfTrue="1" operator="greaterThan">
      <formula>$F80</formula>
    </cfRule>
    <cfRule type="cellIs" dxfId="2436" priority="39" stopIfTrue="1" operator="lessThanOrEqual">
      <formula>0</formula>
    </cfRule>
  </conditionalFormatting>
  <conditionalFormatting sqref="K10:K26">
    <cfRule type="cellIs" dxfId="2435" priority="5" operator="greaterThan">
      <formula>6.4</formula>
    </cfRule>
    <cfRule type="cellIs" dxfId="2434" priority="4" operator="lessThan">
      <formula>4</formula>
    </cfRule>
    <cfRule type="cellIs" dxfId="2433" priority="3" operator="greaterThan">
      <formula>6</formula>
    </cfRule>
  </conditionalFormatting>
  <conditionalFormatting sqref="K58:K67">
    <cfRule type="cellIs" dxfId="2432" priority="70" stopIfTrue="1" operator="lessThan">
      <formula>100%</formula>
    </cfRule>
  </conditionalFormatting>
  <conditionalFormatting sqref="K82:K87">
    <cfRule type="cellIs" dxfId="2431" priority="158" stopIfTrue="1" operator="lessThan">
      <formula>100%</formula>
    </cfRule>
  </conditionalFormatting>
  <conditionalFormatting sqref="K89:K90">
    <cfRule type="cellIs" dxfId="2430" priority="165" stopIfTrue="1" operator="lessThan">
      <formula>100%</formula>
    </cfRule>
  </conditionalFormatting>
  <conditionalFormatting sqref="K71:M79">
    <cfRule type="cellIs" dxfId="2429" priority="23" stopIfTrue="1" operator="lessThan">
      <formula>100%</formula>
    </cfRule>
  </conditionalFormatting>
  <conditionalFormatting sqref="L10:L26">
    <cfRule type="cellIs" dxfId="2428" priority="10" operator="greaterThan">
      <formula>65</formula>
    </cfRule>
    <cfRule type="cellIs" dxfId="2427" priority="9" operator="between">
      <formula>61</formula>
      <formula>65</formula>
    </cfRule>
  </conditionalFormatting>
  <conditionalFormatting sqref="L29:M40">
    <cfRule type="cellIs" dxfId="2426" priority="72" operator="lessThan">
      <formula>97.95</formula>
    </cfRule>
  </conditionalFormatting>
  <conditionalFormatting sqref="L80:M80">
    <cfRule type="cellIs" dxfId="2425" priority="40" stopIfTrue="1" operator="lessThan">
      <formula>100%</formula>
    </cfRule>
  </conditionalFormatting>
  <conditionalFormatting sqref="L44:N44">
    <cfRule type="cellIs" dxfId="2424" priority="73" operator="notEqual">
      <formula>#REF!</formula>
    </cfRule>
  </conditionalFormatting>
  <conditionalFormatting sqref="L82:N90">
    <cfRule type="cellIs" dxfId="2423" priority="143" stopIfTrue="1" operator="lessThan">
      <formula>100%</formula>
    </cfRule>
  </conditionalFormatting>
  <conditionalFormatting sqref="M10:M25">
    <cfRule type="expression" dxfId="2422" priority="7">
      <formula>IF(+(IF(M10&lt;U10,0,IF(M10&gt;V10,0,1)))=0,1)</formula>
    </cfRule>
  </conditionalFormatting>
  <conditionalFormatting sqref="M26:N26">
    <cfRule type="expression" dxfId="2421" priority="171">
      <formula>IF(+(IF(M26&lt;#REF!,0,IF(M26&gt;#REF!,0,1)))=0,1)</formula>
    </cfRule>
  </conditionalFormatting>
  <conditionalFormatting sqref="N10:N25">
    <cfRule type="expression" dxfId="2420" priority="1">
      <formula>IF(+(IF(N10&lt;W10,0,IF(N10&gt;X10,0,1)))=0,1)</formula>
    </cfRule>
  </conditionalFormatting>
  <conditionalFormatting sqref="N71:N80">
    <cfRule type="cellIs" dxfId="2419" priority="54" stopIfTrue="1" operator="lessThan">
      <formula>100%</formula>
    </cfRule>
  </conditionalFormatting>
  <conditionalFormatting sqref="P6">
    <cfRule type="cellIs" dxfId="2418" priority="139" operator="greaterThanOrEqual">
      <formula>19</formula>
    </cfRule>
  </conditionalFormatting>
  <dataValidations count="1">
    <dataValidation type="list" allowBlank="1" showInputMessage="1" showErrorMessage="1" sqref="R8" xr:uid="{00629DED-BF12-4609-8A97-61301879B1B3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4" max="16383" man="1"/>
  </rowBreaks>
  <colBreaks count="1" manualBreakCount="1">
    <brk id="15" max="89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FC277-6835-46B2-B2E8-53AE142DB4AD}">
  <sheetPr>
    <pageSetUpPr fitToPage="1"/>
  </sheetPr>
  <dimension ref="A1:BE74"/>
  <sheetViews>
    <sheetView topLeftCell="A4" zoomScale="85" zoomScaleNormal="85" workbookViewId="0">
      <selection activeCell="B17" sqref="B17:O17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4" t="s">
        <v>0</v>
      </c>
      <c r="T1" s="494"/>
      <c r="U1" s="494" t="s">
        <v>1</v>
      </c>
      <c r="V1" s="494"/>
      <c r="W1" s="494" t="s">
        <v>2</v>
      </c>
      <c r="X1" s="494"/>
      <c r="Y1" s="494" t="s">
        <v>124</v>
      </c>
      <c r="Z1" s="494"/>
    </row>
    <row r="2" spans="2:29" ht="15">
      <c r="B2" s="495" t="s">
        <v>3</v>
      </c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46092</v>
      </c>
      <c r="J4" s="398" t="s">
        <v>167</v>
      </c>
      <c r="K4" s="398"/>
      <c r="L4" s="11"/>
      <c r="M4" s="492" t="s">
        <v>8</v>
      </c>
      <c r="N4" s="493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8"/>
      <c r="D5" s="49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9" t="s">
        <v>17</v>
      </c>
      <c r="C8" s="501" t="s">
        <v>18</v>
      </c>
      <c r="D8" s="501" t="s">
        <v>19</v>
      </c>
      <c r="E8" s="356" t="s">
        <v>20</v>
      </c>
      <c r="F8" s="356" t="s">
        <v>21</v>
      </c>
      <c r="G8" s="501" t="s">
        <v>22</v>
      </c>
      <c r="H8" s="502" t="s">
        <v>144</v>
      </c>
      <c r="I8" s="501" t="s">
        <v>165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169</v>
      </c>
      <c r="O8" s="510" t="s">
        <v>155</v>
      </c>
      <c r="P8" s="496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.6" customHeight="1">
      <c r="B9" s="500"/>
      <c r="C9" s="497"/>
      <c r="D9" s="497"/>
      <c r="E9" s="357" t="s">
        <v>30</v>
      </c>
      <c r="F9" s="357" t="s">
        <v>31</v>
      </c>
      <c r="G9" s="497"/>
      <c r="H9" s="503"/>
      <c r="I9" s="497"/>
      <c r="J9" s="505"/>
      <c r="K9" s="507"/>
      <c r="L9" s="509"/>
      <c r="M9" s="20" t="s">
        <v>32</v>
      </c>
      <c r="N9" s="21" t="s">
        <v>41</v>
      </c>
      <c r="O9" s="511"/>
      <c r="P9" s="497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37" t="s">
        <v>16</v>
      </c>
      <c r="C10" s="366" t="str">
        <f>[8]Brewhouse!$A25</f>
        <v>SM019</v>
      </c>
      <c r="D10" s="279">
        <f>[8]Brewhouse!$AH25</f>
        <v>53</v>
      </c>
      <c r="E10" s="279">
        <f>[8]Brewhouse!$AM25</f>
        <v>51.7</v>
      </c>
      <c r="F10" s="278">
        <f>[8]Brewhouse!$Z25</f>
        <v>64</v>
      </c>
      <c r="G10" s="279">
        <f>[8]Brewhouse!$AK25</f>
        <v>17</v>
      </c>
      <c r="H10" s="396">
        <v>17.100000000000001</v>
      </c>
      <c r="I10" s="368">
        <f>[8]Brewhouse!$AY25</f>
        <v>97.024245488903276</v>
      </c>
      <c r="J10" s="368">
        <f>[8]Brewhouse!$AZ25</f>
        <v>97.200503676891032</v>
      </c>
      <c r="K10" s="281">
        <f>[8]Brewhouse!$U25</f>
        <v>11.849056603773587</v>
      </c>
      <c r="L10" s="276">
        <f>[8]Brewhouse!$T25</f>
        <v>60</v>
      </c>
      <c r="M10" s="374">
        <f>[8]Brewhouse!$Y25-[8]Brewhouse!$X25</f>
        <v>0.12986111111111098</v>
      </c>
      <c r="N10" s="370">
        <f>[8]Brewhouse!$AD25</f>
        <v>0.29930555555555549</v>
      </c>
      <c r="O10" s="371" t="str">
        <f>[8]Brewhouse!$BC25</f>
        <v>K. Benjamin</v>
      </c>
      <c r="P10" s="418"/>
      <c r="R10" s="277" t="str">
        <f t="shared" ref="R10:R34" si="0">B10</f>
        <v>STARMALT</v>
      </c>
      <c r="S10" s="472">
        <f t="shared" ref="S10:S34" si="1">VLOOKUP($B10,$R$3:$X$9,2,FALSE)</f>
        <v>17</v>
      </c>
      <c r="T10" s="472">
        <f t="shared" ref="T10:T34" si="2">VLOOKUP($B10,$R$3:$X$9,3,FALSE)</f>
        <v>17.399999999999999</v>
      </c>
      <c r="U10" s="297">
        <f t="shared" ref="U10:U34" si="3">VLOOKUP($B10,$R$3:$X$9,4,FALSE)</f>
        <v>0</v>
      </c>
      <c r="V10" s="297">
        <f t="shared" ref="V10:V34" si="4">VLOOKUP($B10,$R$3:$X$9,5,FALSE)</f>
        <v>0.13605324074074074</v>
      </c>
      <c r="W10" s="297">
        <f t="shared" ref="W10:W34" si="5">VLOOKUP($B10,$R$3:$X$9,6,FALSE)</f>
        <v>0.27430555555555552</v>
      </c>
      <c r="X10" s="297">
        <f t="shared" ref="X10:X34" si="6">VLOOKUP($B10,$R$3:$X$9,7,FALSE)</f>
        <v>0.30902777777777779</v>
      </c>
      <c r="Y10" s="297">
        <f t="shared" ref="Y10:Y34" si="7">VLOOKUP($B10,$R$3:$Z$9,8,FALSE)</f>
        <v>0</v>
      </c>
      <c r="Z10" s="472">
        <f t="shared" ref="Z10:Z34" si="8">VLOOKUP($B10,$R$3:$Z$9,9,FALSE)</f>
        <v>85</v>
      </c>
    </row>
    <row r="11" spans="2:29" ht="16.5" customHeight="1">
      <c r="B11" s="37" t="s">
        <v>16</v>
      </c>
      <c r="C11" s="366" t="str">
        <f>[8]Brewhouse!$A26</f>
        <v>SM020</v>
      </c>
      <c r="D11" s="279">
        <f>[8]Brewhouse!$AH26</f>
        <v>53</v>
      </c>
      <c r="E11" s="279">
        <f>[8]Brewhouse!$AM26</f>
        <v>51.9</v>
      </c>
      <c r="F11" s="278">
        <f>[8]Brewhouse!$Z26</f>
        <v>65</v>
      </c>
      <c r="G11" s="279">
        <f>[8]Brewhouse!$AK26</f>
        <v>17.399999999999999</v>
      </c>
      <c r="H11" s="396">
        <v>17.399999999999999</v>
      </c>
      <c r="I11" s="368">
        <f>[8]Brewhouse!$AY26</f>
        <v>100.19051944179509</v>
      </c>
      <c r="J11" s="368">
        <f>[8]Brewhouse!$AZ26</f>
        <v>100.37184572320261</v>
      </c>
      <c r="K11" s="281">
        <f>[8]Brewhouse!$U26</f>
        <v>12.415094339622652</v>
      </c>
      <c r="L11" s="276">
        <f>[8]Brewhouse!$T26</f>
        <v>60</v>
      </c>
      <c r="M11" s="374">
        <f>[8]Brewhouse!$Y26-[8]Brewhouse!$X26</f>
        <v>0.12777777777777782</v>
      </c>
      <c r="N11" s="370">
        <f>[8]Brewhouse!$AD26</f>
        <v>0.29583333333333334</v>
      </c>
      <c r="O11" s="371" t="str">
        <f>[8]Brewhouse!$BC26</f>
        <v>K. Benjamin</v>
      </c>
      <c r="P11" s="418"/>
      <c r="R11" s="277" t="str">
        <f t="shared" si="0"/>
        <v>STARMALT</v>
      </c>
      <c r="S11" s="472">
        <f t="shared" si="1"/>
        <v>17</v>
      </c>
      <c r="T11" s="472">
        <f t="shared" si="2"/>
        <v>17.399999999999999</v>
      </c>
      <c r="U11" s="297">
        <f t="shared" si="3"/>
        <v>0</v>
      </c>
      <c r="V11" s="297">
        <f t="shared" si="4"/>
        <v>0.13605324074074074</v>
      </c>
      <c r="W11" s="297">
        <f t="shared" si="5"/>
        <v>0.27430555555555552</v>
      </c>
      <c r="X11" s="297">
        <f t="shared" si="6"/>
        <v>0.30902777777777779</v>
      </c>
      <c r="Y11" s="297">
        <f t="shared" si="7"/>
        <v>0</v>
      </c>
      <c r="Z11" s="472">
        <f t="shared" si="8"/>
        <v>85</v>
      </c>
    </row>
    <row r="12" spans="2:29" ht="16.5" customHeight="1">
      <c r="B12" s="37" t="s">
        <v>16</v>
      </c>
      <c r="C12" s="366" t="str">
        <f>[8]Brewhouse!$A27</f>
        <v>SM021</v>
      </c>
      <c r="D12" s="279">
        <f>[8]Brewhouse!$AH27</f>
        <v>53.1</v>
      </c>
      <c r="E12" s="279">
        <f>[8]Brewhouse!$AM27</f>
        <v>51.3</v>
      </c>
      <c r="F12" s="278">
        <f>[8]Brewhouse!$Z27</f>
        <v>64</v>
      </c>
      <c r="G12" s="279">
        <f>[8]Brewhouse!$AK27</f>
        <v>17.2</v>
      </c>
      <c r="H12" s="396">
        <v>17.399999999999999</v>
      </c>
      <c r="I12" s="368">
        <f>[8]Brewhouse!$AY27</f>
        <v>97.88731685201769</v>
      </c>
      <c r="J12" s="368">
        <f>[8]Brewhouse!$AZ27</f>
        <v>98.064307048381806</v>
      </c>
      <c r="K12" s="281">
        <f>[8]Brewhouse!$U27</f>
        <v>13.898305084745768</v>
      </c>
      <c r="L12" s="276">
        <f>[8]Brewhouse!$T27</f>
        <v>60</v>
      </c>
      <c r="M12" s="374">
        <f>[8]Brewhouse!$Y27-[8]Brewhouse!$X27</f>
        <v>0.12986111111111115</v>
      </c>
      <c r="N12" s="370">
        <f>[8]Brewhouse!$AD27</f>
        <v>0.34097222222222223</v>
      </c>
      <c r="O12" s="371" t="str">
        <f>[8]Brewhouse!$BC27</f>
        <v>R. Regis</v>
      </c>
      <c r="P12" s="418"/>
      <c r="R12" s="277" t="str">
        <f t="shared" ref="R12:R22" si="9">B12</f>
        <v>STARMALT</v>
      </c>
      <c r="S12" s="472">
        <f t="shared" si="1"/>
        <v>17</v>
      </c>
      <c r="T12" s="472">
        <f t="shared" si="2"/>
        <v>17.399999999999999</v>
      </c>
      <c r="U12" s="297">
        <f t="shared" si="3"/>
        <v>0</v>
      </c>
      <c r="V12" s="297">
        <f t="shared" si="4"/>
        <v>0.13605324074074074</v>
      </c>
      <c r="W12" s="297">
        <f t="shared" si="5"/>
        <v>0.27430555555555552</v>
      </c>
      <c r="X12" s="297">
        <f t="shared" si="6"/>
        <v>0.30902777777777779</v>
      </c>
      <c r="Y12" s="297">
        <f t="shared" si="7"/>
        <v>0</v>
      </c>
      <c r="Z12" s="472">
        <f t="shared" si="8"/>
        <v>85</v>
      </c>
    </row>
    <row r="13" spans="2:29" ht="16.5" customHeight="1">
      <c r="B13" s="37" t="s">
        <v>16</v>
      </c>
      <c r="C13" s="366" t="str">
        <f>[8]Brewhouse!$A28</f>
        <v>SM022</v>
      </c>
      <c r="D13" s="279">
        <f>[8]Brewhouse!$AH28</f>
        <v>53.1</v>
      </c>
      <c r="E13" s="279">
        <f>[8]Brewhouse!$AM28</f>
        <v>51.8</v>
      </c>
      <c r="F13" s="278">
        <f>[8]Brewhouse!$Z28</f>
        <v>66</v>
      </c>
      <c r="G13" s="279">
        <f>[8]Brewhouse!$AK28</f>
        <v>17.3</v>
      </c>
      <c r="H13" s="396">
        <v>17.2</v>
      </c>
      <c r="I13" s="368">
        <f>[8]Brewhouse!$AY28</f>
        <v>99.406408990413965</v>
      </c>
      <c r="J13" s="368">
        <f>[8]Brewhouse!$AZ28</f>
        <v>99.586316177149115</v>
      </c>
      <c r="K13" s="281">
        <f>[8]Brewhouse!$U28</f>
        <v>13.898305084745768</v>
      </c>
      <c r="L13" s="276">
        <f>[8]Brewhouse!$T28</f>
        <v>61</v>
      </c>
      <c r="M13" s="374">
        <f>[8]Brewhouse!$Y28-[8]Brewhouse!$X28</f>
        <v>0.13124999999999998</v>
      </c>
      <c r="N13" s="370">
        <f>[8]Brewhouse!$AD28</f>
        <v>0.29722222222222222</v>
      </c>
      <c r="O13" s="371" t="str">
        <f>[8]Brewhouse!$BC28</f>
        <v>R. Regis</v>
      </c>
      <c r="P13" s="418"/>
      <c r="R13" s="277" t="str">
        <f t="shared" si="9"/>
        <v>STARMALT</v>
      </c>
      <c r="S13" s="472">
        <f t="shared" si="1"/>
        <v>17</v>
      </c>
      <c r="T13" s="472">
        <f t="shared" si="2"/>
        <v>17.399999999999999</v>
      </c>
      <c r="U13" s="297">
        <f t="shared" si="3"/>
        <v>0</v>
      </c>
      <c r="V13" s="297">
        <f t="shared" si="4"/>
        <v>0.13605324074074074</v>
      </c>
      <c r="W13" s="297">
        <f t="shared" si="5"/>
        <v>0.27430555555555552</v>
      </c>
      <c r="X13" s="297">
        <f t="shared" si="6"/>
        <v>0.30902777777777779</v>
      </c>
      <c r="Y13" s="297">
        <f t="shared" si="7"/>
        <v>0</v>
      </c>
      <c r="Z13" s="472">
        <f t="shared" si="8"/>
        <v>85</v>
      </c>
    </row>
    <row r="14" spans="2:29" ht="16.5" customHeight="1">
      <c r="B14" s="37" t="s">
        <v>16</v>
      </c>
      <c r="C14" s="366" t="str">
        <f>[8]Brewhouse!$A29</f>
        <v>SM023</v>
      </c>
      <c r="D14" s="279">
        <f>[8]Brewhouse!$AH29</f>
        <v>53.1</v>
      </c>
      <c r="E14" s="279">
        <f>[8]Brewhouse!$AM29</f>
        <v>51.1</v>
      </c>
      <c r="F14" s="278">
        <f>[8]Brewhouse!$Z29</f>
        <v>64</v>
      </c>
      <c r="G14" s="279">
        <f>[8]Brewhouse!$AK29</f>
        <v>17.3</v>
      </c>
      <c r="H14" s="396">
        <v>17.3</v>
      </c>
      <c r="I14" s="368">
        <f>[8]Brewhouse!$AY29</f>
        <v>98.38068626915846</v>
      </c>
      <c r="J14" s="368">
        <f>[8]Brewhouse!$AZ29</f>
        <v>98.558061212234435</v>
      </c>
      <c r="K14" s="281">
        <f>[8]Brewhouse!$U29</f>
        <v>14.086629001883248</v>
      </c>
      <c r="L14" s="276">
        <f>[8]Brewhouse!$T29</f>
        <v>61</v>
      </c>
      <c r="M14" s="374">
        <f>[8]Brewhouse!$Y29-[8]Brewhouse!$X29</f>
        <v>0.12777777777777777</v>
      </c>
      <c r="N14" s="370">
        <f>[8]Brewhouse!$AD29</f>
        <v>0.30416666666666664</v>
      </c>
      <c r="O14" s="371" t="str">
        <f>[8]Brewhouse!$BC29</f>
        <v>R. Regis</v>
      </c>
      <c r="P14" s="418"/>
      <c r="R14" s="277" t="str">
        <f t="shared" si="9"/>
        <v>STARMALT</v>
      </c>
      <c r="S14" s="472">
        <f t="shared" si="1"/>
        <v>17</v>
      </c>
      <c r="T14" s="472">
        <f t="shared" si="2"/>
        <v>17.399999999999999</v>
      </c>
      <c r="U14" s="297">
        <f t="shared" si="3"/>
        <v>0</v>
      </c>
      <c r="V14" s="297">
        <f t="shared" si="4"/>
        <v>0.13605324074074074</v>
      </c>
      <c r="W14" s="297">
        <f t="shared" si="5"/>
        <v>0.27430555555555552</v>
      </c>
      <c r="X14" s="297">
        <f t="shared" si="6"/>
        <v>0.30902777777777779</v>
      </c>
      <c r="Y14" s="297">
        <f t="shared" si="7"/>
        <v>0</v>
      </c>
      <c r="Z14" s="472">
        <f t="shared" si="8"/>
        <v>85</v>
      </c>
    </row>
    <row r="15" spans="2:29" ht="16.5" customHeight="1">
      <c r="B15" s="37" t="s">
        <v>16</v>
      </c>
      <c r="C15" s="366" t="str">
        <f>[8]Brewhouse!$A30</f>
        <v>SM024</v>
      </c>
      <c r="D15" s="279">
        <f>[8]Brewhouse!$AH30</f>
        <v>53.1</v>
      </c>
      <c r="E15" s="279">
        <f>[8]Brewhouse!$AM30</f>
        <v>52.2</v>
      </c>
      <c r="F15" s="278">
        <f>[8]Brewhouse!$Z30</f>
        <v>64</v>
      </c>
      <c r="G15" s="279">
        <f>[8]Brewhouse!$AK30</f>
        <v>17.2</v>
      </c>
      <c r="H15" s="396">
        <v>17.100000000000001</v>
      </c>
      <c r="I15" s="368">
        <f>[8]Brewhouse!$AY30</f>
        <v>99.443988621895258</v>
      </c>
      <c r="J15" s="368">
        <f>[8]Brewhouse!$AZ30</f>
        <v>99.624133928688238</v>
      </c>
      <c r="K15" s="281">
        <f>[8]Brewhouse!$U30</f>
        <v>13.709981167608287</v>
      </c>
      <c r="L15" s="276">
        <f>[8]Brewhouse!$T30</f>
        <v>60</v>
      </c>
      <c r="M15" s="374">
        <f>[8]Brewhouse!$Y30-[8]Brewhouse!$X30</f>
        <v>0.13124999999999998</v>
      </c>
      <c r="N15" s="370">
        <f>[8]Brewhouse!$AD30</f>
        <v>0.29722222222222217</v>
      </c>
      <c r="O15" s="371" t="str">
        <f>[8]Brewhouse!$BC30</f>
        <v>R. Regis</v>
      </c>
      <c r="P15" s="418"/>
      <c r="R15" s="277" t="str">
        <f t="shared" si="9"/>
        <v>STARMALT</v>
      </c>
      <c r="S15" s="472">
        <f t="shared" si="1"/>
        <v>17</v>
      </c>
      <c r="T15" s="472">
        <f t="shared" si="2"/>
        <v>17.399999999999999</v>
      </c>
      <c r="U15" s="297">
        <f t="shared" si="3"/>
        <v>0</v>
      </c>
      <c r="V15" s="297">
        <f t="shared" si="4"/>
        <v>0.13605324074074074</v>
      </c>
      <c r="W15" s="297">
        <f t="shared" si="5"/>
        <v>0.27430555555555552</v>
      </c>
      <c r="X15" s="297">
        <f t="shared" si="6"/>
        <v>0.30902777777777779</v>
      </c>
      <c r="Y15" s="297">
        <f t="shared" si="7"/>
        <v>0</v>
      </c>
      <c r="Z15" s="472">
        <f t="shared" si="8"/>
        <v>85</v>
      </c>
    </row>
    <row r="16" spans="2:29" ht="16.5" customHeight="1">
      <c r="B16" s="37" t="s">
        <v>16</v>
      </c>
      <c r="C16" s="366" t="str">
        <f>[8]Brewhouse!$A31</f>
        <v>SM025</v>
      </c>
      <c r="D16" s="279">
        <f>[8]Brewhouse!$AH31</f>
        <v>53.1</v>
      </c>
      <c r="E16" s="279">
        <f>[8]Brewhouse!$AM31</f>
        <v>51.9</v>
      </c>
      <c r="F16" s="278">
        <f>[8]Brewhouse!$Z31</f>
        <v>64</v>
      </c>
      <c r="G16" s="279">
        <f>[8]Brewhouse!$AK31</f>
        <v>17.2</v>
      </c>
      <c r="H16" s="396">
        <v>17.100000000000001</v>
      </c>
      <c r="I16" s="368">
        <f>[8]Brewhouse!$AY31</f>
        <v>99.192440959554233</v>
      </c>
      <c r="J16" s="368">
        <f>[8]Brewhouse!$AZ31</f>
        <v>99.371450227187538</v>
      </c>
      <c r="K16" s="281">
        <f>[8]Brewhouse!$U31</f>
        <v>13.898305084745768</v>
      </c>
      <c r="L16" s="276">
        <f>[8]Brewhouse!$T31</f>
        <v>61</v>
      </c>
      <c r="M16" s="374">
        <f>[8]Brewhouse!$Y31-[8]Brewhouse!$X31</f>
        <v>0.13333333333333341</v>
      </c>
      <c r="N16" s="370">
        <f>[8]Brewhouse!$AD31</f>
        <v>0.29444444444444451</v>
      </c>
      <c r="O16" s="371" t="str">
        <f>[8]Brewhouse!$BC31</f>
        <v>R. Regis</v>
      </c>
      <c r="P16" s="418"/>
      <c r="R16" s="277" t="str">
        <f t="shared" si="9"/>
        <v>STARMALT</v>
      </c>
      <c r="S16" s="472">
        <f t="shared" si="1"/>
        <v>17</v>
      </c>
      <c r="T16" s="472">
        <f t="shared" si="2"/>
        <v>17.399999999999999</v>
      </c>
      <c r="U16" s="297">
        <f t="shared" si="3"/>
        <v>0</v>
      </c>
      <c r="V16" s="297">
        <f t="shared" si="4"/>
        <v>0.13605324074074074</v>
      </c>
      <c r="W16" s="297">
        <f t="shared" si="5"/>
        <v>0.27430555555555552</v>
      </c>
      <c r="X16" s="297">
        <f t="shared" si="6"/>
        <v>0.30902777777777779</v>
      </c>
      <c r="Y16" s="297">
        <f t="shared" si="7"/>
        <v>0</v>
      </c>
      <c r="Z16" s="472">
        <f t="shared" si="8"/>
        <v>85</v>
      </c>
    </row>
    <row r="17" spans="1:27" ht="16.5" customHeight="1">
      <c r="B17" s="37" t="s">
        <v>16</v>
      </c>
      <c r="C17" s="366" t="str">
        <f>[8]Brewhouse!$A32</f>
        <v>SM026</v>
      </c>
      <c r="D17" s="279">
        <f>[8]Brewhouse!$AH32</f>
        <v>53</v>
      </c>
      <c r="E17" s="279">
        <f>[8]Brewhouse!$AM32</f>
        <v>50.4</v>
      </c>
      <c r="F17" s="278">
        <f>[8]Brewhouse!$Z32</f>
        <v>66</v>
      </c>
      <c r="G17" s="279">
        <f>[8]Brewhouse!$AK32</f>
        <v>17.399999999999999</v>
      </c>
      <c r="H17" s="396">
        <v>17.399999999999999</v>
      </c>
      <c r="I17" s="368">
        <f>[8]Brewhouse!$AY32</f>
        <v>97.452144425843485</v>
      </c>
      <c r="J17" s="368">
        <f>[8]Brewhouse!$AZ32</f>
        <v>97.628180547558159</v>
      </c>
      <c r="K17" s="281">
        <f>[8]Brewhouse!$U32</f>
        <v>13.358490566037744</v>
      </c>
      <c r="L17" s="276">
        <f>[8]Brewhouse!$T32</f>
        <v>60</v>
      </c>
      <c r="M17" s="374">
        <f>[8]Brewhouse!$Y32-[8]Brewhouse!$X32</f>
        <v>0.1333333333333333</v>
      </c>
      <c r="N17" s="370">
        <f>[8]Brewhouse!$AD32</f>
        <v>0.30069444444444438</v>
      </c>
      <c r="O17" s="371" t="str">
        <f>[8]Brewhouse!$BC32</f>
        <v>K. Benjamin</v>
      </c>
      <c r="P17" s="418"/>
      <c r="R17" s="277" t="str">
        <f t="shared" si="9"/>
        <v>STARMALT</v>
      </c>
      <c r="S17" s="472">
        <f t="shared" si="1"/>
        <v>17</v>
      </c>
      <c r="T17" s="472">
        <f t="shared" si="2"/>
        <v>17.399999999999999</v>
      </c>
      <c r="U17" s="297">
        <f t="shared" si="3"/>
        <v>0</v>
      </c>
      <c r="V17" s="297">
        <f t="shared" si="4"/>
        <v>0.13605324074074074</v>
      </c>
      <c r="W17" s="297">
        <f t="shared" si="5"/>
        <v>0.27430555555555552</v>
      </c>
      <c r="X17" s="297">
        <f t="shared" si="6"/>
        <v>0.30902777777777779</v>
      </c>
      <c r="Y17" s="297">
        <f t="shared" si="7"/>
        <v>0</v>
      </c>
      <c r="Z17" s="472">
        <f t="shared" si="8"/>
        <v>85</v>
      </c>
    </row>
    <row r="18" spans="1:27" ht="16.5" customHeight="1">
      <c r="B18" s="37"/>
      <c r="C18" s="366"/>
      <c r="D18" s="279"/>
      <c r="E18" s="279"/>
      <c r="F18" s="278"/>
      <c r="G18" s="279"/>
      <c r="H18" s="487"/>
      <c r="I18" s="368"/>
      <c r="J18" s="368"/>
      <c r="K18" s="281"/>
      <c r="L18" s="276"/>
      <c r="M18" s="374"/>
      <c r="N18" s="370"/>
      <c r="O18" s="371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8" customHeight="1">
      <c r="B19" s="33" t="s">
        <v>9</v>
      </c>
      <c r="C19" s="366" t="str">
        <f>[3]Brewhouse!$A146</f>
        <v>ST094</v>
      </c>
      <c r="D19" s="279">
        <f>[3]Brewhouse!$AB146</f>
        <v>53</v>
      </c>
      <c r="E19" s="279">
        <f>[3]Brewhouse!$AG146</f>
        <v>49</v>
      </c>
      <c r="F19" s="278">
        <f>[3]Brewhouse!$V146</f>
        <v>58</v>
      </c>
      <c r="G19" s="279">
        <f>[3]Brewhouse!$AE146</f>
        <v>12.1</v>
      </c>
      <c r="H19" s="487">
        <v>11.7</v>
      </c>
      <c r="I19" s="368">
        <f>[3]Brewhouse!$AS146</f>
        <v>100.44128447905582</v>
      </c>
      <c r="J19" s="368">
        <f>[3]Brewhouse!$AT146</f>
        <v>100.75400210028187</v>
      </c>
      <c r="K19" s="281">
        <f>[3]Brewhouse!$Q146</f>
        <v>8.8207547169811278</v>
      </c>
      <c r="L19" s="276">
        <f>[3]Brewhouse!$P146</f>
        <v>64</v>
      </c>
      <c r="M19" s="374">
        <f>[3]Brewhouse!$U146-[3]Brewhouse!$T146</f>
        <v>0.125</v>
      </c>
      <c r="N19" s="370">
        <f>[3]Brewhouse!$AW146</f>
        <v>0.26319444444444451</v>
      </c>
      <c r="O19" s="371" t="str">
        <f>[3]Brewhouse!$AV146</f>
        <v>K. Benjamin</v>
      </c>
      <c r="P19" s="418"/>
      <c r="R19" s="277" t="str">
        <f t="shared" si="9"/>
        <v>STAG</v>
      </c>
      <c r="S19" s="472">
        <f t="shared" si="1"/>
        <v>11.6</v>
      </c>
      <c r="T19" s="472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472">
        <f t="shared" si="8"/>
        <v>60</v>
      </c>
    </row>
    <row r="20" spans="1:27" ht="16.5" customHeight="1">
      <c r="B20" s="22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5.75" customHeight="1" thickBot="1">
      <c r="B21" s="358"/>
      <c r="C21" s="358"/>
      <c r="D21" s="358"/>
      <c r="E21" s="358"/>
      <c r="F21" s="294"/>
      <c r="G21" s="294"/>
      <c r="H21" s="348"/>
      <c r="I21" s="512"/>
      <c r="J21" s="512"/>
      <c r="K21" s="512"/>
      <c r="L21" s="512"/>
      <c r="M21" s="512"/>
      <c r="N21" s="512"/>
      <c r="O21" s="1"/>
      <c r="P21" s="12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5.75" customHeight="1" thickBot="1">
      <c r="B22" s="388" t="s">
        <v>162</v>
      </c>
      <c r="C22" s="388"/>
      <c r="D22" s="513" t="s">
        <v>35</v>
      </c>
      <c r="E22" s="514"/>
      <c r="F22" s="294"/>
      <c r="G22" s="294"/>
      <c r="H22" s="348"/>
      <c r="I22" s="24" t="s">
        <v>17</v>
      </c>
      <c r="J22" s="25"/>
      <c r="K22" s="26" t="s">
        <v>138</v>
      </c>
      <c r="L22" s="25" t="s">
        <v>37</v>
      </c>
      <c r="M22" s="25" t="s">
        <v>38</v>
      </c>
      <c r="N22" s="27" t="s">
        <v>39</v>
      </c>
      <c r="O22" s="294"/>
      <c r="P22" s="12"/>
      <c r="R22" s="277" t="str">
        <f t="shared" si="9"/>
        <v xml:space="preserve">BRAND 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5" customHeight="1">
      <c r="A23" s="28"/>
      <c r="B23" s="525"/>
      <c r="C23" s="362"/>
      <c r="D23" s="518"/>
      <c r="E23" s="519"/>
      <c r="F23" s="294"/>
      <c r="G23" s="294"/>
      <c r="H23" s="348"/>
      <c r="I23" s="29" t="s">
        <v>6</v>
      </c>
      <c r="J23" s="323"/>
      <c r="K23" s="284">
        <f>COUNTA([4]Brewhouse!$A$198:$A$219)</f>
        <v>22</v>
      </c>
      <c r="L23" s="305">
        <f>AVERAGE([4]Brewhouse!$AU$198:$AU$219)</f>
        <v>98.836272239119268</v>
      </c>
      <c r="M23" s="305">
        <f>AVERAGE([4]Brewhouse!$AU$42:$AU$123,[4]Brewhouse!$AU$125:$AU$188,[4]Brewhouse!$AU$198:$AU$219)</f>
        <v>97.758720160771986</v>
      </c>
      <c r="N23" s="30">
        <v>98</v>
      </c>
      <c r="O23" s="11"/>
      <c r="P23" s="31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5" customHeight="1">
      <c r="A24" s="28"/>
      <c r="B24" s="526"/>
      <c r="C24" s="362"/>
      <c r="D24" s="520"/>
      <c r="E24" s="521"/>
      <c r="F24" s="294"/>
      <c r="G24" s="294"/>
      <c r="H24" s="348"/>
      <c r="I24" s="33" t="s">
        <v>9</v>
      </c>
      <c r="J24" s="280">
        <f>I19</f>
        <v>100.44128447905582</v>
      </c>
      <c r="K24" s="284">
        <f>COUNTA([3]Brewhouse!$A$134:$A$146)</f>
        <v>13</v>
      </c>
      <c r="L24" s="302">
        <f>AVERAGE([3]Brewhouse!$AS$134:$AS$146)</f>
        <v>98.410326451985384</v>
      </c>
      <c r="M24" s="302">
        <f>AVERAGE([3]Brewhouse!$AS$52:$AS$81,[3]Brewhouse!$AS$83:$AS$124,[3]Brewhouse!$AS$134:$AS$146)</f>
        <v>98.330944077897158</v>
      </c>
      <c r="N24" s="30">
        <v>98</v>
      </c>
      <c r="O24" s="11"/>
      <c r="P24" s="31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65" customHeight="1">
      <c r="A25" s="28"/>
      <c r="B25" s="526"/>
      <c r="C25" s="362"/>
      <c r="D25" s="522"/>
      <c r="E25" s="523"/>
      <c r="F25" s="294"/>
      <c r="G25" s="294"/>
      <c r="H25" s="348"/>
      <c r="I25" s="34" t="s">
        <v>12</v>
      </c>
      <c r="J25" s="280"/>
      <c r="K25" s="284">
        <f>COUNTA([5]Brewhouse!$A$34:$A$41)</f>
        <v>8</v>
      </c>
      <c r="L25" s="302">
        <f>AVERAGE([5]Brewhouse!$AU$34:$AU$41)</f>
        <v>94.762610859726223</v>
      </c>
      <c r="M25" s="302">
        <f>AVERAGE([5]Brewhouse!$AU$16:$AU$23,[5]Brewhouse!$AU$25:$AU$32,[5]Brewhouse!$AU$34:$AU$41)</f>
        <v>97.131453825415363</v>
      </c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26"/>
      <c r="C26" s="362"/>
      <c r="D26" s="524"/>
      <c r="E26" s="521"/>
      <c r="F26" s="294"/>
      <c r="G26" s="294"/>
      <c r="H26" s="348"/>
      <c r="I26" s="22" t="s">
        <v>33</v>
      </c>
      <c r="J26" s="280"/>
      <c r="K26" s="284">
        <f>COUNTA([6]Brewhouse!$A$38:$A$44)</f>
        <v>7</v>
      </c>
      <c r="L26" s="302">
        <f>AVERAGE([6]Brewhouse!$AV$38:$AV$44)</f>
        <v>96.929916494140343</v>
      </c>
      <c r="M26" s="302">
        <f>AVERAGE([6]Brewhouse!$AV$23:$AV$34,[6]Brewhouse!$AV$36,[6]Brewhouse!$AV$38:$AV$44)</f>
        <v>97.74055230745536</v>
      </c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26"/>
      <c r="C27" s="362"/>
      <c r="D27" s="522"/>
      <c r="E27" s="523"/>
      <c r="F27" s="417"/>
      <c r="G27" s="294"/>
      <c r="H27" s="348"/>
      <c r="I27" s="35" t="s">
        <v>29</v>
      </c>
      <c r="J27" s="280"/>
      <c r="K27" s="284"/>
      <c r="L27" s="302"/>
      <c r="M27" s="302"/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26"/>
      <c r="C28" s="362"/>
      <c r="D28" s="524"/>
      <c r="E28" s="521"/>
      <c r="F28" s="417"/>
      <c r="G28" s="294"/>
      <c r="H28" s="348"/>
      <c r="I28" s="36" t="s">
        <v>15</v>
      </c>
      <c r="J28" s="323"/>
      <c r="K28" s="284"/>
      <c r="L28" s="302"/>
      <c r="M28" s="302">
        <f>AVERAGE([7]Brewhouse!$AT$4:$AT$11)</f>
        <v>92.826224508052405</v>
      </c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  <c r="AA28" s="472"/>
    </row>
    <row r="29" spans="1:27" ht="14.65" customHeight="1">
      <c r="A29" s="28"/>
      <c r="B29" s="526"/>
      <c r="C29" s="362"/>
      <c r="D29" s="522"/>
      <c r="E29" s="523"/>
      <c r="F29" s="417"/>
      <c r="G29" s="294"/>
      <c r="H29" s="348"/>
      <c r="I29" s="37" t="s">
        <v>16</v>
      </c>
      <c r="J29" s="323">
        <f>AVERAGE(I10:I17)</f>
        <v>98.622218881197682</v>
      </c>
      <c r="K29" s="284">
        <f>COUNTA([8]Brewhouse!$A$25:$A$32)</f>
        <v>8</v>
      </c>
      <c r="L29" s="302">
        <f>AVERAGE([8]Brewhouse!$AY$32)</f>
        <v>97.452144425843485</v>
      </c>
      <c r="M29" s="302">
        <f>AVERAGE([8]Brewhouse!$AY$5:$AY$14,[8]Brewhouse!$AY$16:$AY$23,[8]Brewhouse!$AY$32)</f>
        <v>97.301958816242518</v>
      </c>
      <c r="N29" s="30">
        <v>98</v>
      </c>
      <c r="O29" s="11"/>
      <c r="P29" s="31" t="s">
        <v>41</v>
      </c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  <c r="AA29" s="472"/>
    </row>
    <row r="30" spans="1:27" ht="14.65" customHeight="1">
      <c r="A30" s="28"/>
      <c r="B30" s="526"/>
      <c r="C30" s="362"/>
      <c r="D30" s="524"/>
      <c r="E30" s="521"/>
      <c r="F30" s="294"/>
      <c r="G30" s="294"/>
      <c r="H30" s="348"/>
      <c r="I30" s="411" t="s">
        <v>158</v>
      </c>
      <c r="J30" s="326"/>
      <c r="K30" s="284"/>
      <c r="L30" s="305"/>
      <c r="M30" s="305"/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4.65" customHeight="1">
      <c r="A31" s="28"/>
      <c r="B31" s="526"/>
      <c r="C31" s="349"/>
      <c r="D31" s="522"/>
      <c r="E31" s="523"/>
      <c r="F31" s="294"/>
      <c r="G31" s="294"/>
      <c r="H31" s="348"/>
      <c r="I31" s="410" t="s">
        <v>157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5" customHeight="1" thickBot="1">
      <c r="A32" s="28"/>
      <c r="B32" s="526"/>
      <c r="C32" s="349"/>
      <c r="D32" s="524"/>
      <c r="E32" s="521"/>
      <c r="F32" s="294"/>
      <c r="G32" s="294"/>
      <c r="H32" s="348"/>
      <c r="I32" s="406" t="s">
        <v>156</v>
      </c>
      <c r="J32" s="327"/>
      <c r="K32" s="407"/>
      <c r="L32" s="408"/>
      <c r="M32" s="408"/>
      <c r="N32" s="409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1:56" ht="15" customHeight="1" thickBot="1">
      <c r="A33" s="28"/>
      <c r="B33" s="526"/>
      <c r="C33" s="349"/>
      <c r="D33" s="518"/>
      <c r="E33" s="519"/>
      <c r="F33" s="294"/>
      <c r="G33" s="294"/>
      <c r="H33" s="348"/>
      <c r="I33" s="1"/>
      <c r="J33" s="39"/>
      <c r="K33" s="404">
        <f>SUM(K23:K32)</f>
        <v>58</v>
      </c>
      <c r="L33" s="405">
        <f>((L23*K23)+(L24*K24)+(L25*K25)+(L26*K26)+(L27*K27)+(K30*L30)+(L28*K28)+(L29*K29)+(L32*K32))/(K33)</f>
        <v>97.757925704827144</v>
      </c>
      <c r="M33" s="405">
        <f>AVERAGE('[9]Jan30th-31st'!$L$42,L33)</f>
        <v>97.792983720334306</v>
      </c>
      <c r="N33" s="4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5.75" thickBot="1">
      <c r="B34" s="583"/>
      <c r="C34" s="350"/>
      <c r="D34" s="520"/>
      <c r="E34" s="521"/>
      <c r="F34" s="294"/>
      <c r="G34" s="42"/>
      <c r="H34" s="41"/>
      <c r="I34" s="42"/>
      <c r="J34" s="42"/>
      <c r="K34" s="351"/>
      <c r="L34" s="348"/>
      <c r="M34" s="348"/>
      <c r="N34" s="11"/>
      <c r="O34" s="294"/>
      <c r="P34" s="12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.75" thickBot="1">
      <c r="B35" s="525"/>
      <c r="C35" s="362"/>
      <c r="D35" s="528"/>
      <c r="E35" s="529"/>
      <c r="F35" s="294"/>
      <c r="G35" s="42"/>
      <c r="H35" s="41"/>
      <c r="I35" s="42"/>
      <c r="J35" s="530" t="s">
        <v>129</v>
      </c>
      <c r="K35" s="530"/>
      <c r="L35" s="294"/>
      <c r="M35" s="294"/>
      <c r="N35" s="294"/>
      <c r="O35" s="294"/>
      <c r="P35" s="12"/>
    </row>
    <row r="36" spans="1:56" ht="15.75" thickBot="1">
      <c r="B36" s="526"/>
      <c r="C36" s="362"/>
      <c r="D36" s="524"/>
      <c r="E36" s="521"/>
      <c r="F36" s="294"/>
      <c r="G36" s="42"/>
      <c r="H36" s="41"/>
      <c r="I36" s="41"/>
      <c r="J36" s="292" t="s">
        <v>17</v>
      </c>
      <c r="K36" s="293" t="s">
        <v>172</v>
      </c>
      <c r="L36" s="531" t="s">
        <v>136</v>
      </c>
      <c r="M36" s="531"/>
      <c r="N36" s="532"/>
      <c r="O36" s="294"/>
      <c r="P36" s="12"/>
    </row>
    <row r="37" spans="1:56" ht="15" customHeight="1" thickBot="1">
      <c r="B37" s="526"/>
      <c r="C37" s="349"/>
      <c r="D37" s="522"/>
      <c r="E37" s="523"/>
      <c r="F37" s="294"/>
      <c r="G37" s="42"/>
      <c r="H37" s="41"/>
      <c r="I37" s="41"/>
      <c r="J37" s="287" t="s">
        <v>6</v>
      </c>
      <c r="K37" s="324"/>
      <c r="L37" s="473" t="s">
        <v>37</v>
      </c>
      <c r="M37" s="474" t="s">
        <v>38</v>
      </c>
      <c r="N37" s="474" t="s">
        <v>84</v>
      </c>
      <c r="O37" s="294"/>
      <c r="P37" s="12"/>
    </row>
    <row r="38" spans="1:56" ht="15.75" customHeight="1" thickBot="1">
      <c r="B38" s="526"/>
      <c r="C38" s="349"/>
      <c r="D38" s="524"/>
      <c r="E38" s="521"/>
      <c r="F38" s="294"/>
      <c r="G38" s="42"/>
      <c r="H38" s="41"/>
      <c r="I38" s="41"/>
      <c r="J38" s="345" t="s">
        <v>9</v>
      </c>
      <c r="K38" s="324">
        <v>1</v>
      </c>
      <c r="L38" s="344">
        <f>AVERAGE(K47,'Mar 2nd'!K49,'Mar 1st'!K55,'Mar 3rd'!K49,'Mar 4th'!K51,'Mar 5th'!K52,'Mar 6th '!K49,'Mar 9th'!K53)</f>
        <v>7.25</v>
      </c>
      <c r="M38" s="325">
        <f>AVERAGE('[9]Jan30th-31st'!$L$47,L38,'[10]Feb 26th '!$L$39)</f>
        <v>6.4789855072463771</v>
      </c>
      <c r="N38" s="416">
        <v>9.1999999999999993</v>
      </c>
      <c r="O38" s="294"/>
      <c r="P38" s="12"/>
    </row>
    <row r="39" spans="1:56" ht="15" customHeight="1">
      <c r="B39" s="526"/>
      <c r="C39" s="349"/>
      <c r="D39" s="522"/>
      <c r="E39" s="523"/>
      <c r="F39" s="294"/>
      <c r="G39" s="42"/>
      <c r="H39" s="41"/>
      <c r="I39" s="41"/>
      <c r="J39" s="288" t="s">
        <v>40</v>
      </c>
      <c r="K39" s="324"/>
      <c r="L39" s="294"/>
      <c r="M39" s="294"/>
      <c r="N39" s="294"/>
      <c r="O39" s="294"/>
      <c r="P39" s="12"/>
    </row>
    <row r="40" spans="1:56" ht="15" customHeight="1">
      <c r="B40" s="526"/>
      <c r="C40" s="349"/>
      <c r="D40" s="524"/>
      <c r="E40" s="521"/>
      <c r="F40" s="294"/>
      <c r="G40" s="42"/>
      <c r="H40" s="41"/>
      <c r="I40" s="41"/>
      <c r="J40" s="289" t="s">
        <v>33</v>
      </c>
      <c r="K40" s="324"/>
      <c r="L40" s="294"/>
      <c r="M40" s="294"/>
      <c r="N40" s="294"/>
      <c r="O40" s="294"/>
      <c r="P40" s="12"/>
    </row>
    <row r="41" spans="1:56" ht="15">
      <c r="B41" s="526"/>
      <c r="C41" s="349"/>
      <c r="D41" s="522"/>
      <c r="E41" s="523"/>
      <c r="F41" s="294"/>
      <c r="G41" s="42"/>
      <c r="H41" s="41"/>
      <c r="I41" s="41"/>
      <c r="J41" s="290" t="s">
        <v>16</v>
      </c>
      <c r="K41" s="324">
        <v>8</v>
      </c>
      <c r="L41" s="294"/>
      <c r="M41" s="294"/>
      <c r="N41" s="294"/>
      <c r="O41" s="294"/>
      <c r="P41" s="12"/>
      <c r="BC41" s="44"/>
      <c r="BD41" s="44"/>
    </row>
    <row r="42" spans="1:56" ht="15">
      <c r="B42" s="526"/>
      <c r="C42" s="349"/>
      <c r="D42" s="524"/>
      <c r="E42" s="521"/>
      <c r="F42" s="294"/>
      <c r="G42" s="42"/>
      <c r="H42" s="41"/>
      <c r="I42" s="41"/>
      <c r="J42" s="291" t="s">
        <v>15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26"/>
      <c r="C43" s="349"/>
      <c r="D43" s="522"/>
      <c r="E43" s="523"/>
      <c r="F43" s="294"/>
      <c r="G43" s="42"/>
      <c r="H43" s="41"/>
      <c r="I43" s="41"/>
      <c r="J43" s="291" t="s">
        <v>149</v>
      </c>
      <c r="K43" s="324"/>
      <c r="L43" s="294"/>
      <c r="M43" s="294"/>
      <c r="N43" s="294"/>
      <c r="O43" s="294"/>
      <c r="P43" s="12"/>
      <c r="BC43" s="44"/>
      <c r="BD43" s="44"/>
    </row>
    <row r="44" spans="1:56" ht="15.75" thickBot="1">
      <c r="B44" s="527"/>
      <c r="C44" s="350"/>
      <c r="D44" s="533"/>
      <c r="E44" s="534"/>
      <c r="F44" s="294" t="s">
        <v>166</v>
      </c>
      <c r="G44" s="42"/>
      <c r="H44" s="41"/>
      <c r="I44" s="41"/>
      <c r="J44" s="291" t="s">
        <v>148</v>
      </c>
      <c r="K44" s="324"/>
      <c r="L44" s="294"/>
      <c r="M44" s="294"/>
      <c r="N44" s="294" t="s">
        <v>41</v>
      </c>
      <c r="O44" s="294"/>
      <c r="P44" s="12"/>
      <c r="BC44" s="44"/>
      <c r="BD44" s="44"/>
    </row>
    <row r="45" spans="1:56" ht="17.649999999999999" customHeight="1" thickBot="1">
      <c r="B45" s="312" t="s">
        <v>139</v>
      </c>
      <c r="C45" s="313"/>
      <c r="D45" s="535"/>
      <c r="E45" s="536"/>
      <c r="F45" s="294"/>
      <c r="H45" s="41"/>
      <c r="I45" s="41"/>
      <c r="J45" s="295" t="s">
        <v>134</v>
      </c>
      <c r="K45" s="324"/>
      <c r="L45" s="294"/>
      <c r="M45" s="294"/>
      <c r="N45" s="294"/>
      <c r="O45" s="294"/>
      <c r="P45" s="12"/>
      <c r="BC45" s="44"/>
      <c r="BD45" s="44"/>
    </row>
    <row r="46" spans="1:56" ht="17.649999999999999" customHeight="1">
      <c r="B46" s="363"/>
      <c r="C46" s="364"/>
      <c r="D46" s="365"/>
      <c r="E46" s="365"/>
      <c r="F46" s="294"/>
      <c r="G46" s="42"/>
      <c r="H46" s="41"/>
      <c r="I46" s="41"/>
      <c r="J46" s="295" t="s">
        <v>131</v>
      </c>
      <c r="K46" s="324"/>
      <c r="L46" s="294"/>
      <c r="M46" s="294"/>
      <c r="N46" s="294"/>
      <c r="O46" s="294"/>
      <c r="P46" s="12"/>
      <c r="BC46" s="44"/>
      <c r="BD46" s="44"/>
    </row>
    <row r="47" spans="1:56" ht="15.6" customHeight="1">
      <c r="B47" s="45"/>
      <c r="C47" s="11"/>
      <c r="D47" s="11"/>
      <c r="E47" s="46"/>
      <c r="F47" s="294"/>
      <c r="G47" s="42"/>
      <c r="H47" s="41"/>
      <c r="I47" s="41"/>
      <c r="J47" s="346" t="s">
        <v>130</v>
      </c>
      <c r="K47" s="324">
        <f>SUM(K37:K46)</f>
        <v>9</v>
      </c>
      <c r="L47" s="294"/>
      <c r="M47" s="294"/>
      <c r="N47" s="294"/>
      <c r="O47" s="294"/>
      <c r="P47" s="12"/>
    </row>
    <row r="48" spans="1:56" ht="20.25" customHeight="1">
      <c r="B48" s="15" t="s">
        <v>42</v>
      </c>
      <c r="C48" s="1" t="s">
        <v>43</v>
      </c>
      <c r="D48" s="1"/>
      <c r="E48" s="1"/>
      <c r="F48" s="294"/>
      <c r="G48" s="42"/>
      <c r="H48" s="41"/>
      <c r="I48" s="42"/>
      <c r="L48" s="294"/>
      <c r="N48" s="315"/>
      <c r="P48" s="334"/>
    </row>
    <row r="49" spans="1:57" ht="15" customHeight="1" thickBot="1"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1"/>
      <c r="O49" s="48"/>
      <c r="P49" s="49"/>
    </row>
    <row r="50" spans="1:57" ht="15" customHeight="1" thickBot="1">
      <c r="B50" s="537" t="s">
        <v>17</v>
      </c>
      <c r="C50" s="537" t="s">
        <v>44</v>
      </c>
      <c r="D50" s="540" t="s">
        <v>45</v>
      </c>
      <c r="E50" s="501" t="s">
        <v>46</v>
      </c>
      <c r="F50" s="510" t="s">
        <v>47</v>
      </c>
      <c r="G50" s="549" t="s">
        <v>48</v>
      </c>
      <c r="H50" s="537" t="s">
        <v>49</v>
      </c>
      <c r="I50" s="537" t="s">
        <v>50</v>
      </c>
      <c r="J50" s="543" t="s">
        <v>28</v>
      </c>
      <c r="K50" s="499" t="s">
        <v>51</v>
      </c>
      <c r="L50" s="552" t="s">
        <v>52</v>
      </c>
      <c r="M50" s="543" t="s">
        <v>53</v>
      </c>
      <c r="N50" s="13"/>
      <c r="O50" s="13"/>
      <c r="P50" s="50"/>
    </row>
    <row r="51" spans="1:57" ht="28.5" customHeight="1" thickTop="1" thickBot="1">
      <c r="B51" s="538"/>
      <c r="C51" s="539"/>
      <c r="D51" s="541"/>
      <c r="E51" s="542"/>
      <c r="F51" s="554"/>
      <c r="G51" s="550"/>
      <c r="H51" s="538"/>
      <c r="I51" s="538"/>
      <c r="J51" s="544"/>
      <c r="K51" s="551"/>
      <c r="L51" s="553"/>
      <c r="M51" s="544"/>
      <c r="N51" s="13"/>
      <c r="O51" s="13"/>
      <c r="P51" s="50"/>
      <c r="Q51" s="355"/>
      <c r="AB51" s="475">
        <v>43474</v>
      </c>
      <c r="AC51" s="475">
        <v>43475</v>
      </c>
      <c r="AD51" s="475">
        <v>43476</v>
      </c>
      <c r="AE51" s="475">
        <v>43477</v>
      </c>
      <c r="AF51" s="475">
        <v>43478</v>
      </c>
      <c r="AG51" s="475">
        <v>43479</v>
      </c>
      <c r="AH51" s="475">
        <v>43480</v>
      </c>
      <c r="AI51" s="475">
        <v>43481</v>
      </c>
      <c r="AJ51" s="475">
        <v>43482</v>
      </c>
      <c r="AK51" s="475">
        <v>43483</v>
      </c>
      <c r="AL51" s="475">
        <v>43484</v>
      </c>
      <c r="AM51" s="475">
        <v>43485</v>
      </c>
      <c r="AN51" s="475">
        <v>43486</v>
      </c>
      <c r="AO51" s="475">
        <v>43487</v>
      </c>
      <c r="AP51" s="475">
        <v>43488</v>
      </c>
      <c r="AQ51" s="475">
        <v>43489</v>
      </c>
      <c r="AR51" s="475">
        <v>43490</v>
      </c>
      <c r="AS51" s="475">
        <v>43491</v>
      </c>
      <c r="AT51" s="475">
        <v>43492</v>
      </c>
      <c r="AU51" s="475">
        <v>43493</v>
      </c>
      <c r="AV51" s="475">
        <v>43494</v>
      </c>
      <c r="AW51" s="475">
        <v>43495</v>
      </c>
      <c r="AX51" s="475">
        <v>43496</v>
      </c>
    </row>
    <row r="52" spans="1:57" s="54" customFormat="1" ht="36.75" customHeight="1" thickBot="1">
      <c r="B52" s="480"/>
      <c r="C52" s="479"/>
      <c r="D52" s="442"/>
      <c r="E52" s="443"/>
      <c r="F52" s="444"/>
      <c r="G52" s="445"/>
      <c r="H52" s="458"/>
      <c r="I52" s="458"/>
      <c r="J52" s="448"/>
      <c r="K52" s="449"/>
      <c r="L52" s="457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[14]January_2019!L5</f>
        <v>0</v>
      </c>
      <c r="AC52" s="57">
        <f>[14]January_2019!M5</f>
        <v>0</v>
      </c>
      <c r="AD52" s="57">
        <f>[14]January_2019!N5</f>
        <v>0</v>
      </c>
      <c r="AE52" s="57">
        <f>[14]January_2019!O5</f>
        <v>0</v>
      </c>
      <c r="AF52" s="57">
        <f>[14]January_2019!P5</f>
        <v>0</v>
      </c>
      <c r="AG52" s="57">
        <f>[14]January_2019!Q5</f>
        <v>0</v>
      </c>
      <c r="AH52" s="57">
        <f>[14]January_2019!R5</f>
        <v>0</v>
      </c>
      <c r="AI52" s="57">
        <f>[14]January_2019!S5</f>
        <v>0</v>
      </c>
      <c r="AJ52" s="57">
        <f>[14]January_2019!T5</f>
        <v>0</v>
      </c>
      <c r="AK52" s="57">
        <f>[14]January_2019!U5</f>
        <v>0</v>
      </c>
      <c r="AL52" s="57">
        <f>[14]January_2019!V5</f>
        <v>0</v>
      </c>
      <c r="AM52" s="57">
        <f>[14]January_2019!W5</f>
        <v>0</v>
      </c>
      <c r="AN52" s="57">
        <f>[14]January_2019!X5</f>
        <v>0</v>
      </c>
      <c r="AO52" s="57">
        <f>[14]January_2019!Y5</f>
        <v>0</v>
      </c>
      <c r="AP52" s="57">
        <f>[14]January_2019!Z5</f>
        <v>0</v>
      </c>
      <c r="AQ52" s="57">
        <f>[14]January_2019!AA5</f>
        <v>0</v>
      </c>
      <c r="AR52" s="57">
        <f>[14]January_2019!AB5</f>
        <v>0</v>
      </c>
      <c r="AS52" s="57">
        <f>[14]January_2019!AC5</f>
        <v>0</v>
      </c>
      <c r="AT52" s="57">
        <f>[14]January_2019!AD5</f>
        <v>0</v>
      </c>
      <c r="AU52" s="57">
        <f>[14]January_2019!AE5</f>
        <v>0</v>
      </c>
      <c r="AV52" s="57">
        <f>[14]January_2019!AF5</f>
        <v>0</v>
      </c>
      <c r="AW52" s="57">
        <f>[14]January_2019!AG5</f>
        <v>0</v>
      </c>
      <c r="AX52" s="277">
        <f>[14]January_2019!AH5</f>
        <v>0</v>
      </c>
      <c r="AY52" s="277"/>
      <c r="AZ52" s="277"/>
      <c r="BA52" s="277"/>
      <c r="BB52" s="277"/>
      <c r="BC52" s="277"/>
      <c r="BD52" s="277"/>
      <c r="BE52" s="277"/>
    </row>
    <row r="53" spans="1:57" s="54" customFormat="1" ht="14.25" customHeight="1" thickBot="1">
      <c r="B53" s="480"/>
      <c r="C53" s="479"/>
      <c r="D53" s="442"/>
      <c r="E53" s="443"/>
      <c r="F53" s="444"/>
      <c r="G53" s="445"/>
      <c r="H53" s="458"/>
      <c r="I53" s="458"/>
      <c r="J53" s="476"/>
      <c r="K53" s="44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[14]January_2019!L6</f>
        <v>0</v>
      </c>
      <c r="AC53" s="57">
        <f>[14]January_2019!M6</f>
        <v>0</v>
      </c>
      <c r="AD53" s="57">
        <f>[14]January_2019!N6</f>
        <v>0</v>
      </c>
      <c r="AE53" s="57">
        <f>[14]January_2019!O6</f>
        <v>0</v>
      </c>
      <c r="AF53" s="57">
        <f>[14]January_2019!P6</f>
        <v>0</v>
      </c>
      <c r="AG53" s="57">
        <f>[14]January_2019!Q6</f>
        <v>0</v>
      </c>
      <c r="AH53" s="57">
        <f>[14]January_2019!R6</f>
        <v>0</v>
      </c>
      <c r="AI53" s="57">
        <f>[14]January_2019!S6</f>
        <v>0</v>
      </c>
      <c r="AJ53" s="57">
        <f>[14]January_2019!T6</f>
        <v>0</v>
      </c>
      <c r="AK53" s="57">
        <f>[14]January_2019!U6</f>
        <v>0</v>
      </c>
      <c r="AL53" s="57">
        <f>[14]January_2019!V6</f>
        <v>0</v>
      </c>
      <c r="AM53" s="57">
        <f>[14]January_2019!W6</f>
        <v>0</v>
      </c>
      <c r="AN53" s="57">
        <f>[14]January_2019!X6</f>
        <v>0</v>
      </c>
      <c r="AO53" s="57">
        <f>[14]January_2019!Y6</f>
        <v>0</v>
      </c>
      <c r="AP53" s="57">
        <f>[14]January_2019!Z6</f>
        <v>0</v>
      </c>
      <c r="AQ53" s="57">
        <f>[14]January_2019!AA6</f>
        <v>0</v>
      </c>
      <c r="AR53" s="57">
        <f>[14]January_2019!AB6</f>
        <v>0</v>
      </c>
      <c r="AS53" s="57">
        <f>[14]January_2019!AC6</f>
        <v>0</v>
      </c>
      <c r="AT53" s="57">
        <f>[14]January_2019!AD6</f>
        <v>0</v>
      </c>
      <c r="AU53" s="57">
        <f>[14]January_2019!AE6</f>
        <v>0</v>
      </c>
      <c r="AV53" s="57">
        <f>[14]January_2019!AF6</f>
        <v>0</v>
      </c>
      <c r="AW53" s="57">
        <f>[14]January_2019!AG6</f>
        <v>0</v>
      </c>
      <c r="AX53" s="277">
        <f>[14]January_2019!AH6</f>
        <v>0</v>
      </c>
      <c r="AY53" s="277"/>
      <c r="AZ53" s="277"/>
      <c r="BA53" s="277"/>
      <c r="BB53" s="277"/>
      <c r="BC53" s="277"/>
      <c r="BD53" s="277"/>
      <c r="BE53" s="277"/>
    </row>
    <row r="54" spans="1:57" s="54" customFormat="1" ht="37.15" customHeight="1" thickBot="1">
      <c r="A54" s="54" t="s">
        <v>168</v>
      </c>
      <c r="B54" s="480"/>
      <c r="C54" s="479"/>
      <c r="D54" s="442"/>
      <c r="E54" s="443"/>
      <c r="F54" s="444"/>
      <c r="G54" s="445"/>
      <c r="H54" s="458"/>
      <c r="I54" s="458"/>
      <c r="J54" s="448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[14]January_2019!L7</f>
        <v>285.8</v>
      </c>
      <c r="AC54" s="57">
        <f>[14]January_2019!M7</f>
        <v>508.1</v>
      </c>
      <c r="AD54" s="57">
        <f>[14]January_2019!N7</f>
        <v>0</v>
      </c>
      <c r="AE54" s="57">
        <f>[14]January_2019!O7</f>
        <v>0</v>
      </c>
      <c r="AF54" s="57">
        <f>[14]January_2019!P7</f>
        <v>109.56666666666666</v>
      </c>
      <c r="AG54" s="57">
        <f>[14]January_2019!Q7</f>
        <v>297.64999999999998</v>
      </c>
      <c r="AH54" s="57">
        <f>[14]January_2019!R7</f>
        <v>122.3</v>
      </c>
      <c r="AI54" s="57">
        <f>[14]January_2019!S7</f>
        <v>0</v>
      </c>
      <c r="AJ54" s="57">
        <f>[14]January_2019!T7</f>
        <v>294.7</v>
      </c>
      <c r="AK54" s="57">
        <f>[14]January_2019!U7</f>
        <v>280.5</v>
      </c>
      <c r="AL54" s="57">
        <f>[14]January_2019!V7</f>
        <v>0</v>
      </c>
      <c r="AM54" s="57">
        <f>[14]January_2019!W7</f>
        <v>0</v>
      </c>
      <c r="AN54" s="57">
        <f>[14]January_2019!X7</f>
        <v>188.25</v>
      </c>
      <c r="AO54" s="57">
        <f>[14]January_2019!Y7</f>
        <v>295.7</v>
      </c>
      <c r="AP54" s="57">
        <f>[14]January_2019!Z7</f>
        <v>257.8</v>
      </c>
      <c r="AQ54" s="57">
        <f>[14]January_2019!AA7</f>
        <v>291.2</v>
      </c>
      <c r="AR54" s="57">
        <f>[14]January_2019!AB7</f>
        <v>187</v>
      </c>
      <c r="AS54" s="57">
        <f>[14]January_2019!AC7</f>
        <v>0</v>
      </c>
      <c r="AT54" s="57">
        <f>[14]January_2019!AD7</f>
        <v>0</v>
      </c>
      <c r="AU54" s="57">
        <f>[14]January_2019!AE7</f>
        <v>485.1</v>
      </c>
      <c r="AV54" s="57">
        <f>[14]January_2019!AF7</f>
        <v>171.55</v>
      </c>
      <c r="AW54" s="57">
        <f>[14]January_2019!AG7</f>
        <v>423.8</v>
      </c>
      <c r="AX54" s="277">
        <f>[14]January_2019!AH7</f>
        <v>0</v>
      </c>
      <c r="AY54" s="277"/>
      <c r="AZ54" s="277"/>
      <c r="BA54" s="277"/>
      <c r="BB54" s="277"/>
      <c r="BC54" s="277"/>
      <c r="BD54" s="277"/>
      <c r="BE54" s="277"/>
    </row>
    <row r="55" spans="1:57" s="54" customFormat="1" ht="19.5" hidden="1" customHeight="1" thickBot="1">
      <c r="B55" s="478"/>
      <c r="C55" s="430"/>
      <c r="D55" s="431"/>
      <c r="E55" s="432"/>
      <c r="F55" s="433"/>
      <c r="G55" s="434"/>
      <c r="H55" s="458"/>
      <c r="I55" s="458"/>
      <c r="J55" s="451"/>
      <c r="K55" s="436"/>
      <c r="L55" s="452"/>
      <c r="M55" s="421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1:57" s="54" customFormat="1" ht="38.450000000000003" hidden="1" customHeight="1" thickBot="1">
      <c r="B56" s="480"/>
      <c r="C56" s="479"/>
      <c r="D56" s="442"/>
      <c r="E56" s="443"/>
      <c r="F56" s="444"/>
      <c r="G56" s="445"/>
      <c r="H56" s="458"/>
      <c r="I56" s="458"/>
      <c r="J56" s="448" t="s">
        <v>171</v>
      </c>
      <c r="K56" s="459"/>
      <c r="L56" s="457" t="e">
        <f>(((D56+E56)-G56)/(D56+E56))*100</f>
        <v>#DIV/0!</v>
      </c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1:57" s="54" customFormat="1" ht="15" hidden="1">
      <c r="B57" s="453"/>
      <c r="C57" s="430"/>
      <c r="D57" s="431"/>
      <c r="E57" s="432"/>
      <c r="F57" s="433"/>
      <c r="G57" s="434"/>
      <c r="H57" s="435"/>
      <c r="I57" s="450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1:57" s="54" customFormat="1" ht="37.15" hidden="1" customHeight="1" thickBot="1">
      <c r="B58" s="480"/>
      <c r="C58" s="479"/>
      <c r="D58" s="442"/>
      <c r="E58" s="443"/>
      <c r="F58" s="444"/>
      <c r="G58" s="445"/>
      <c r="H58" s="446"/>
      <c r="I58" s="447"/>
      <c r="J58" s="448"/>
      <c r="K58" s="44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1:57" s="54" customFormat="1" ht="16.5" hidden="1" customHeight="1" thickBot="1">
      <c r="B59" s="437"/>
      <c r="C59" s="423"/>
      <c r="D59" s="424"/>
      <c r="E59" s="425"/>
      <c r="F59" s="426"/>
      <c r="G59" s="427"/>
      <c r="H59" s="428"/>
      <c r="I59" s="438"/>
      <c r="J59" s="439"/>
      <c r="K59" s="429"/>
      <c r="L59" s="440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5"/>
      <c r="AC59" s="415"/>
      <c r="AD59" s="415"/>
      <c r="AE59" s="415"/>
      <c r="AF59" s="415"/>
      <c r="AG59" s="415"/>
      <c r="AH59" s="415"/>
      <c r="AI59" s="415"/>
      <c r="AJ59" s="415"/>
      <c r="AK59" s="415"/>
      <c r="AL59" s="415"/>
      <c r="AM59" s="415"/>
      <c r="AN59" s="415"/>
      <c r="AO59" s="415"/>
      <c r="AP59" s="415"/>
      <c r="AQ59" s="415"/>
      <c r="AR59" s="415"/>
      <c r="AS59" s="415"/>
      <c r="AT59" s="415"/>
      <c r="AU59" s="415"/>
      <c r="AV59" s="415"/>
      <c r="AW59" s="415"/>
    </row>
    <row r="60" spans="1:57" s="54" customFormat="1" ht="37.15" hidden="1" customHeight="1" thickBot="1">
      <c r="B60" s="456"/>
      <c r="C60" s="441"/>
      <c r="D60" s="442"/>
      <c r="E60" s="443"/>
      <c r="F60" s="444"/>
      <c r="G60" s="445"/>
      <c r="H60" s="446"/>
      <c r="I60" s="447"/>
      <c r="J60" s="448"/>
      <c r="K60" s="449"/>
      <c r="L60" s="457"/>
      <c r="M60" s="454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37.15" customHeight="1">
      <c r="B61" s="466"/>
      <c r="C61" s="430"/>
      <c r="D61" s="460"/>
      <c r="E61" s="461"/>
      <c r="F61" s="462"/>
      <c r="G61" s="460"/>
      <c r="H61" s="463"/>
      <c r="I61" s="463"/>
      <c r="J61" s="463"/>
      <c r="K61" s="464"/>
      <c r="L61" s="465"/>
      <c r="M61" s="50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 t="s">
        <v>41</v>
      </c>
      <c r="O62" s="56"/>
      <c r="P62" s="60"/>
    </row>
    <row r="63" spans="1:57" ht="15.75" thickBot="1">
      <c r="B63" s="545" t="s">
        <v>55</v>
      </c>
      <c r="C63" s="546"/>
      <c r="D63" s="546"/>
      <c r="E63" s="546"/>
      <c r="F63" s="547"/>
      <c r="G63" s="545" t="s">
        <v>56</v>
      </c>
      <c r="H63" s="546"/>
      <c r="I63" s="546"/>
      <c r="J63" s="547"/>
      <c r="K63" s="545" t="s">
        <v>51</v>
      </c>
      <c r="L63" s="546"/>
      <c r="M63" s="546"/>
      <c r="N63" s="548"/>
      <c r="O63" s="56"/>
      <c r="P63" s="50"/>
    </row>
    <row r="64" spans="1:57" ht="15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 t="s">
        <v>36</v>
      </c>
      <c r="L64" s="62" t="s">
        <v>37</v>
      </c>
      <c r="M64" s="62" t="s">
        <v>38</v>
      </c>
      <c r="N64" s="63" t="s">
        <v>39</v>
      </c>
      <c r="O64" s="56"/>
      <c r="P64" s="64"/>
    </row>
    <row r="65" spans="2:16" ht="15">
      <c r="B65" s="29" t="s">
        <v>6</v>
      </c>
      <c r="C65" s="282"/>
      <c r="D65" s="76">
        <v>7.483481758115472</v>
      </c>
      <c r="E65" s="76">
        <v>7.335066202576412</v>
      </c>
      <c r="F65" s="66">
        <v>4.8</v>
      </c>
      <c r="G65" s="65"/>
      <c r="H65" s="477">
        <v>7.0237807669753574</v>
      </c>
      <c r="I65" s="477">
        <v>7.3894009766315163</v>
      </c>
      <c r="J65" s="66">
        <v>4.8</v>
      </c>
      <c r="K65" s="67"/>
      <c r="L65" s="194">
        <v>0.27168755221386798</v>
      </c>
      <c r="M65" s="194">
        <v>0.37434465277838141</v>
      </c>
      <c r="N65" s="68">
        <v>1</v>
      </c>
      <c r="O65" s="56"/>
      <c r="P65" s="69"/>
    </row>
    <row r="66" spans="2:16" ht="15">
      <c r="B66" s="33" t="s">
        <v>9</v>
      </c>
      <c r="C66" s="65"/>
      <c r="D66" s="76">
        <v>7.025900565644533</v>
      </c>
      <c r="E66" s="76">
        <v>6.4149147319533819</v>
      </c>
      <c r="F66" s="66">
        <v>4.8</v>
      </c>
      <c r="G66" s="65"/>
      <c r="H66" s="76">
        <v>7.2057488520690356</v>
      </c>
      <c r="I66" s="76">
        <v>6.4809053832841554</v>
      </c>
      <c r="J66" s="66">
        <v>4.8</v>
      </c>
      <c r="K66" s="67"/>
      <c r="L66" s="194">
        <v>0.66210526315789475</v>
      </c>
      <c r="M66" s="194">
        <v>0.56980105779238654</v>
      </c>
      <c r="N66" s="68">
        <v>1</v>
      </c>
      <c r="P66" s="69"/>
    </row>
    <row r="67" spans="2:16" ht="15">
      <c r="B67" s="34" t="s">
        <v>40</v>
      </c>
      <c r="C67" s="65"/>
      <c r="D67" s="76">
        <v>17.736185383244202</v>
      </c>
      <c r="E67" s="76">
        <v>13.787999544574737</v>
      </c>
      <c r="F67" s="66">
        <v>5.5</v>
      </c>
      <c r="G67" s="65"/>
      <c r="H67" s="76">
        <v>18.680986829617162</v>
      </c>
      <c r="I67" s="76">
        <v>14.166613807253221</v>
      </c>
      <c r="J67" s="66">
        <v>5.5</v>
      </c>
      <c r="K67" s="67"/>
      <c r="L67" s="194">
        <v>0.12954385964912282</v>
      </c>
      <c r="M67" s="194">
        <v>0.28657456140350879</v>
      </c>
      <c r="N67" s="68">
        <v>1</v>
      </c>
      <c r="P67" s="69"/>
    </row>
    <row r="68" spans="2:16" ht="15">
      <c r="B68" s="22" t="s">
        <v>33</v>
      </c>
      <c r="C68" s="65"/>
      <c r="D68" s="76">
        <v>4.786281034041461</v>
      </c>
      <c r="E68" s="76">
        <v>4.9619586520196597</v>
      </c>
      <c r="F68" s="66">
        <v>3.3</v>
      </c>
      <c r="G68" s="65"/>
      <c r="H68" s="76">
        <v>5.4251963146907434</v>
      </c>
      <c r="I68" s="76">
        <v>4.9501867212112511</v>
      </c>
      <c r="J68" s="66">
        <v>3.3</v>
      </c>
      <c r="K68" s="67"/>
      <c r="L68" s="194">
        <v>1.3052631578947369</v>
      </c>
      <c r="M68" s="194">
        <v>0.88064327485380123</v>
      </c>
      <c r="N68" s="68">
        <v>1</v>
      </c>
      <c r="P68" s="69"/>
    </row>
    <row r="69" spans="2:16" ht="15">
      <c r="B69" s="35" t="s">
        <v>164</v>
      </c>
      <c r="C69" s="65"/>
      <c r="D69" s="76"/>
      <c r="E69" s="76"/>
      <c r="F69" s="66">
        <v>3.3</v>
      </c>
      <c r="G69" s="282"/>
      <c r="H69" s="76"/>
      <c r="I69" s="76"/>
      <c r="J69" s="66">
        <v>3</v>
      </c>
      <c r="K69" s="67"/>
      <c r="L69" s="194"/>
      <c r="M69" s="194"/>
      <c r="N69" s="68">
        <v>1</v>
      </c>
      <c r="P69" s="69"/>
    </row>
    <row r="70" spans="2:16" ht="15">
      <c r="B70" s="36" t="s">
        <v>15</v>
      </c>
      <c r="C70" s="65"/>
      <c r="D70" s="76"/>
      <c r="E70" s="76">
        <v>5.1105651105651271</v>
      </c>
      <c r="F70" s="70">
        <f>[15]May_2022!$M$43</f>
        <v>3.4878406700073312</v>
      </c>
      <c r="G70" s="282"/>
      <c r="H70" s="76"/>
      <c r="I70" s="76">
        <v>7.9131369535794072</v>
      </c>
      <c r="J70" s="66">
        <v>5.5</v>
      </c>
      <c r="K70" s="67"/>
      <c r="L70" s="194"/>
      <c r="M70" s="194">
        <v>1.3550877192982456</v>
      </c>
      <c r="N70" s="68">
        <v>1</v>
      </c>
      <c r="P70" s="69"/>
    </row>
    <row r="71" spans="2:16" ht="15">
      <c r="B71" s="37" t="s">
        <v>16</v>
      </c>
      <c r="C71" s="65"/>
      <c r="D71" s="76"/>
      <c r="E71" s="76">
        <v>3.9401442566476499</v>
      </c>
      <c r="F71" s="66">
        <v>3.3</v>
      </c>
      <c r="G71" s="282"/>
      <c r="H71" s="76"/>
      <c r="I71" s="76">
        <v>4.7059150132172638</v>
      </c>
      <c r="J71" s="66">
        <v>3.3</v>
      </c>
      <c r="K71" s="67"/>
      <c r="L71" s="194"/>
      <c r="M71" s="194">
        <v>0.82374269005847967</v>
      </c>
      <c r="N71" s="71">
        <v>1</v>
      </c>
      <c r="P71" s="69"/>
    </row>
    <row r="72" spans="2:16" ht="15.75" thickBot="1">
      <c r="B72" s="38" t="s">
        <v>163</v>
      </c>
      <c r="C72" s="65"/>
      <c r="D72" s="76"/>
      <c r="E72" s="76"/>
      <c r="F72" s="66">
        <v>7.5</v>
      </c>
      <c r="G72" s="282"/>
      <c r="H72" s="76"/>
      <c r="I72" s="76"/>
      <c r="J72" s="66">
        <v>7.5</v>
      </c>
      <c r="K72" s="67"/>
      <c r="L72" s="194"/>
      <c r="M72" s="194"/>
      <c r="N72" s="71">
        <v>1</v>
      </c>
      <c r="P72" s="69"/>
    </row>
    <row r="73" spans="2:16" ht="15.75" thickBot="1">
      <c r="B73" s="414" t="s">
        <v>161</v>
      </c>
      <c r="C73" s="65"/>
      <c r="D73" s="76"/>
      <c r="E73" s="76"/>
      <c r="F73" s="66">
        <v>4.8</v>
      </c>
      <c r="G73" s="282"/>
      <c r="H73" s="76"/>
      <c r="I73" s="76"/>
      <c r="J73" s="66">
        <v>4.8</v>
      </c>
      <c r="K73" s="67"/>
      <c r="L73" s="194"/>
      <c r="M73" s="194"/>
      <c r="N73" s="71">
        <v>1</v>
      </c>
      <c r="O73" s="74"/>
      <c r="P73" s="75"/>
    </row>
    <row r="74" spans="2:16" ht="15">
      <c r="D74" s="76">
        <v>7.7440965773414705</v>
      </c>
      <c r="E74" s="76">
        <v>7.0411005048942306</v>
      </c>
      <c r="F74" s="341">
        <v>5.5</v>
      </c>
      <c r="H74" s="76">
        <v>7.9954470299079068</v>
      </c>
      <c r="I74" s="76">
        <v>7.2913464325240529</v>
      </c>
      <c r="J74" s="341">
        <v>5.5</v>
      </c>
      <c r="L74" s="194">
        <v>0.50087477954144621</v>
      </c>
      <c r="M74" s="194">
        <v>0.41846317406419276</v>
      </c>
      <c r="N74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1:N21"/>
    <mergeCell ref="D22:E22"/>
    <mergeCell ref="B23:B34"/>
    <mergeCell ref="D23:E24"/>
    <mergeCell ref="D25:E26"/>
    <mergeCell ref="D27:E28"/>
    <mergeCell ref="D29:E30"/>
    <mergeCell ref="D31:E32"/>
    <mergeCell ref="D33:E34"/>
    <mergeCell ref="B35:B44"/>
    <mergeCell ref="D35:E36"/>
    <mergeCell ref="J35:K35"/>
    <mergeCell ref="L36:N36"/>
    <mergeCell ref="D37:E38"/>
    <mergeCell ref="D39:E40"/>
    <mergeCell ref="D41:E42"/>
    <mergeCell ref="D43:E44"/>
    <mergeCell ref="D45:E45"/>
    <mergeCell ref="B50:B51"/>
    <mergeCell ref="C50:C51"/>
    <mergeCell ref="D50:D51"/>
    <mergeCell ref="E50:E51"/>
    <mergeCell ref="M50:M51"/>
    <mergeCell ref="B63:F63"/>
    <mergeCell ref="G63:J63"/>
    <mergeCell ref="K63:N63"/>
    <mergeCell ref="G50:G51"/>
    <mergeCell ref="H50:H51"/>
    <mergeCell ref="I50:I51"/>
    <mergeCell ref="J50:J51"/>
    <mergeCell ref="K50:K51"/>
    <mergeCell ref="L50:L51"/>
    <mergeCell ref="F50:F51"/>
  </mergeCells>
  <conditionalFormatting sqref="B45:B46">
    <cfRule type="cellIs" dxfId="2417" priority="64" operator="notBetween">
      <formula>#REF!</formula>
      <formula>#REF!</formula>
    </cfRule>
  </conditionalFormatting>
  <conditionalFormatting sqref="C49">
    <cfRule type="cellIs" dxfId="2416" priority="158" stopIfTrue="1" operator="lessThan">
      <formula>96</formula>
    </cfRule>
    <cfRule type="cellIs" dxfId="2415" priority="159" stopIfTrue="1" operator="greaterThan">
      <formula>100</formula>
    </cfRule>
  </conditionalFormatting>
  <conditionalFormatting sqref="C65:C69">
    <cfRule type="cellIs" dxfId="2414" priority="127" stopIfTrue="1" operator="lessThanOrEqual">
      <formula>0</formula>
    </cfRule>
  </conditionalFormatting>
  <conditionalFormatting sqref="C65:C73">
    <cfRule type="cellIs" dxfId="2413" priority="126" stopIfTrue="1" operator="greaterThan">
      <formula>$F65</formula>
    </cfRule>
  </conditionalFormatting>
  <conditionalFormatting sqref="C66">
    <cfRule type="cellIs" dxfId="2412" priority="160" stopIfTrue="1" operator="greaterThan">
      <formula>$F65</formula>
    </cfRule>
  </conditionalFormatting>
  <conditionalFormatting sqref="C70">
    <cfRule type="cellIs" dxfId="2411" priority="88" stopIfTrue="1" operator="lessThanOrEqual">
      <formula>0</formula>
    </cfRule>
    <cfRule type="cellIs" dxfId="2410" priority="89" stopIfTrue="1" operator="greaterThan">
      <formula>$F69</formula>
    </cfRule>
  </conditionalFormatting>
  <conditionalFormatting sqref="C71:C73">
    <cfRule type="cellIs" dxfId="2409" priority="128" stopIfTrue="1" operator="lessThanOrEqual">
      <formula>0</formula>
    </cfRule>
  </conditionalFormatting>
  <conditionalFormatting sqref="C76:C80">
    <cfRule type="cellIs" dxfId="2408" priority="150" stopIfTrue="1" operator="lessThanOrEqual">
      <formula>0</formula>
    </cfRule>
  </conditionalFormatting>
  <conditionalFormatting sqref="C77:C80">
    <cfRule type="cellIs" dxfId="2407" priority="149" stopIfTrue="1" operator="greaterThan">
      <formula>$F$76</formula>
    </cfRule>
  </conditionalFormatting>
  <conditionalFormatting sqref="C82">
    <cfRule type="cellIs" dxfId="2406" priority="151" stopIfTrue="1" operator="greaterThan">
      <formula>$F$76</formula>
    </cfRule>
    <cfRule type="cellIs" dxfId="2405" priority="152" stopIfTrue="1" operator="lessThanOrEqual">
      <formula>0</formula>
    </cfRule>
  </conditionalFormatting>
  <conditionalFormatting sqref="C76:D76 D78:D84">
    <cfRule type="cellIs" dxfId="2404" priority="144" stopIfTrue="1" operator="greaterThan">
      <formula>4.5</formula>
    </cfRule>
  </conditionalFormatting>
  <conditionalFormatting sqref="D45:D46">
    <cfRule type="cellIs" dxfId="2403" priority="65" operator="notBetween">
      <formula>#REF!</formula>
      <formula>#REF!</formula>
    </cfRule>
  </conditionalFormatting>
  <conditionalFormatting sqref="D65:D72">
    <cfRule type="cellIs" dxfId="2402" priority="37" stopIfTrue="1" operator="lessThanOrEqual">
      <formula>0</formula>
    </cfRule>
  </conditionalFormatting>
  <conditionalFormatting sqref="D65:D74">
    <cfRule type="cellIs" dxfId="2401" priority="16" stopIfTrue="1" operator="lessThanOrEqual">
      <formula>0</formula>
    </cfRule>
  </conditionalFormatting>
  <conditionalFormatting sqref="D73">
    <cfRule type="cellIs" dxfId="2400" priority="36" stopIfTrue="1" operator="lessThanOrEqual">
      <formula>0</formula>
    </cfRule>
  </conditionalFormatting>
  <conditionalFormatting sqref="D74">
    <cfRule type="cellIs" dxfId="2399" priority="31" stopIfTrue="1" operator="lessThanOrEqual">
      <formula>0</formula>
    </cfRule>
  </conditionalFormatting>
  <conditionalFormatting sqref="D76 D78:D84">
    <cfRule type="cellIs" dxfId="2398" priority="145" stopIfTrue="1" operator="lessThanOrEqual">
      <formula>0</formula>
    </cfRule>
  </conditionalFormatting>
  <conditionalFormatting sqref="D77">
    <cfRule type="cellIs" dxfId="2397" priority="137" stopIfTrue="1" operator="lessThanOrEqual">
      <formula>0</formula>
    </cfRule>
    <cfRule type="cellIs" dxfId="2396" priority="136" stopIfTrue="1" operator="greaterThan">
      <formula>$F$76</formula>
    </cfRule>
  </conditionalFormatting>
  <conditionalFormatting sqref="D65:E74">
    <cfRule type="cellIs" dxfId="2395" priority="18" stopIfTrue="1" operator="greaterThan">
      <formula>$F65</formula>
    </cfRule>
  </conditionalFormatting>
  <conditionalFormatting sqref="D74:E74">
    <cfRule type="cellIs" dxfId="2394" priority="20" stopIfTrue="1" operator="lessThanOrEqual">
      <formula>0</formula>
    </cfRule>
  </conditionalFormatting>
  <conditionalFormatting sqref="E10:E20">
    <cfRule type="cellIs" dxfId="2393" priority="6" operator="lessThan">
      <formula>48</formula>
    </cfRule>
  </conditionalFormatting>
  <conditionalFormatting sqref="E48 E49:F49">
    <cfRule type="cellIs" dxfId="2392" priority="141" stopIfTrue="1" operator="greaterThan">
      <formula>100</formula>
    </cfRule>
  </conditionalFormatting>
  <conditionalFormatting sqref="E49">
    <cfRule type="cellIs" dxfId="2391" priority="138" stopIfTrue="1" operator="lessThan">
      <formula>96.8</formula>
    </cfRule>
    <cfRule type="cellIs" dxfId="2390" priority="139" stopIfTrue="1" operator="greaterThan">
      <formula>100</formula>
    </cfRule>
  </conditionalFormatting>
  <conditionalFormatting sqref="E65:E73">
    <cfRule type="cellIs" dxfId="2389" priority="17" stopIfTrue="1" operator="lessThanOrEqual">
      <formula>0</formula>
    </cfRule>
  </conditionalFormatting>
  <conditionalFormatting sqref="E65:E74">
    <cfRule type="cellIs" dxfId="2388" priority="19" stopIfTrue="1" operator="lessThanOrEqual">
      <formula>0</formula>
    </cfRule>
  </conditionalFormatting>
  <conditionalFormatting sqref="E76:E84">
    <cfRule type="cellIs" dxfId="2387" priority="130" stopIfTrue="1" operator="greaterThan">
      <formula>4.5</formula>
    </cfRule>
    <cfRule type="cellIs" dxfId="2386" priority="131" stopIfTrue="1" operator="lessThanOrEqual">
      <formula>0</formula>
    </cfRule>
  </conditionalFormatting>
  <conditionalFormatting sqref="E49:F49 E48">
    <cfRule type="cellIs" dxfId="2385" priority="140" stopIfTrue="1" operator="lessThan">
      <formula>96.5</formula>
    </cfRule>
  </conditionalFormatting>
  <conditionalFormatting sqref="F20">
    <cfRule type="cellIs" dxfId="2384" priority="12" operator="greaterThan">
      <formula>60</formula>
    </cfRule>
  </conditionalFormatting>
  <conditionalFormatting sqref="F49">
    <cfRule type="cellIs" dxfId="2383" priority="156" stopIfTrue="1" operator="lessThan">
      <formula>96.8</formula>
    </cfRule>
    <cfRule type="cellIs" dxfId="2382" priority="157" stopIfTrue="1" operator="greaterThan">
      <formula>100</formula>
    </cfRule>
  </conditionalFormatting>
  <conditionalFormatting sqref="F74">
    <cfRule type="cellIs" dxfId="2381" priority="34" stopIfTrue="1" operator="greaterThan">
      <formula>$F74</formula>
    </cfRule>
    <cfRule type="cellIs" dxfId="2380" priority="35" stopIfTrue="1" operator="lessThanOrEqual">
      <formula>0</formula>
    </cfRule>
  </conditionalFormatting>
  <conditionalFormatting sqref="G10:G18">
    <cfRule type="expression" dxfId="2379" priority="8">
      <formula>IF(+(IF(G10&lt;S10,0,IF(G10&gt;T10,0,1)))=0,1)</formula>
    </cfRule>
  </conditionalFormatting>
  <conditionalFormatting sqref="G19">
    <cfRule type="expression" dxfId="2378" priority="216">
      <formula>IF(+(IF(G19&lt;#REF!,0,IF(G19&gt;#REF!,0,1)))=0,1)</formula>
    </cfRule>
  </conditionalFormatting>
  <conditionalFormatting sqref="G65:G66">
    <cfRule type="cellIs" dxfId="2377" priority="32" stopIfTrue="1" operator="greaterThan">
      <formula>$F65</formula>
    </cfRule>
    <cfRule type="cellIs" dxfId="2376" priority="33" stopIfTrue="1" operator="lessThanOrEqual">
      <formula>0</formula>
    </cfRule>
    <cfRule type="cellIs" dxfId="2375" priority="38" stopIfTrue="1" operator="greaterThan">
      <formula>$F65</formula>
    </cfRule>
    <cfRule type="cellIs" dxfId="2374" priority="39" stopIfTrue="1" operator="lessThanOrEqual">
      <formula>0</formula>
    </cfRule>
  </conditionalFormatting>
  <conditionalFormatting sqref="G67">
    <cfRule type="cellIs" dxfId="2373" priority="43" stopIfTrue="1" operator="lessThanOrEqual">
      <formula>0</formula>
    </cfRule>
    <cfRule type="cellIs" dxfId="2372" priority="42" stopIfTrue="1" operator="greaterThan">
      <formula>$F66</formula>
    </cfRule>
  </conditionalFormatting>
  <conditionalFormatting sqref="G68">
    <cfRule type="cellIs" dxfId="2371" priority="24" stopIfTrue="1" operator="greaterThan">
      <formula>$F68</formula>
    </cfRule>
    <cfRule type="cellIs" dxfId="2370" priority="25" stopIfTrue="1" operator="lessThanOrEqual">
      <formula>0</formula>
    </cfRule>
    <cfRule type="cellIs" dxfId="2369" priority="26" stopIfTrue="1" operator="greaterThan">
      <formula>$F68</formula>
    </cfRule>
    <cfRule type="cellIs" dxfId="2368" priority="27" stopIfTrue="1" operator="lessThanOrEqual">
      <formula>0</formula>
    </cfRule>
  </conditionalFormatting>
  <conditionalFormatting sqref="G69:G73">
    <cfRule type="cellIs" dxfId="2367" priority="40" stopIfTrue="1" operator="greaterThan">
      <formula>$J69</formula>
    </cfRule>
    <cfRule type="cellIs" dxfId="2366" priority="41" stopIfTrue="1" operator="lessThanOrEqual">
      <formula>0</formula>
    </cfRule>
  </conditionalFormatting>
  <conditionalFormatting sqref="G78:G83 C81 C83">
    <cfRule type="cellIs" dxfId="2365" priority="154" stopIfTrue="1" operator="lessThanOrEqual">
      <formula>0</formula>
    </cfRule>
    <cfRule type="cellIs" dxfId="2364" priority="153" stopIfTrue="1" operator="greaterThan">
      <formula>4.5</formula>
    </cfRule>
  </conditionalFormatting>
  <conditionalFormatting sqref="G77:H77">
    <cfRule type="cellIs" dxfId="2363" priority="134" stopIfTrue="1" operator="greaterThan">
      <formula>$F$76</formula>
    </cfRule>
    <cfRule type="cellIs" dxfId="2362" priority="135" stopIfTrue="1" operator="lessThanOrEqual">
      <formula>0</formula>
    </cfRule>
  </conditionalFormatting>
  <conditionalFormatting sqref="H10:H19 G20:H20">
    <cfRule type="expression" dxfId="2361" priority="61">
      <formula>IF(+(IF(G10&lt;#REF!,0,IF(G10&gt;#REF!,0,1)))=0,1)</formula>
    </cfRule>
  </conditionalFormatting>
  <conditionalFormatting sqref="H34:H48 I36:I47">
    <cfRule type="cellIs" dxfId="2360" priority="132" stopIfTrue="1" operator="greaterThan">
      <formula>0</formula>
    </cfRule>
  </conditionalFormatting>
  <conditionalFormatting sqref="H52:H56">
    <cfRule type="cellIs" dxfId="2359" priority="58" stopIfTrue="1" operator="greaterThan">
      <formula>$F$66</formula>
    </cfRule>
    <cfRule type="cellIs" dxfId="2358" priority="59" stopIfTrue="1" operator="lessThanOrEqual">
      <formula>0</formula>
    </cfRule>
    <cfRule type="cellIs" dxfId="2357" priority="56" stopIfTrue="1" operator="greaterThan">
      <formula>$F$68</formula>
    </cfRule>
    <cfRule type="cellIs" dxfId="2356" priority="47" stopIfTrue="1" operator="lessThanOrEqual">
      <formula>0</formula>
    </cfRule>
    <cfRule type="cellIs" dxfId="2355" priority="48" stopIfTrue="1" operator="greaterThan">
      <formula>$F$65</formula>
    </cfRule>
    <cfRule type="cellIs" dxfId="2354" priority="57" stopIfTrue="1" operator="lessThanOrEqual">
      <formula>0</formula>
    </cfRule>
  </conditionalFormatting>
  <conditionalFormatting sqref="H57:H58">
    <cfRule type="cellIs" dxfId="2353" priority="91" stopIfTrue="1" operator="lessThanOrEqual">
      <formula>0</formula>
    </cfRule>
    <cfRule type="cellIs" dxfId="2352" priority="101" stopIfTrue="1" operator="lessThanOrEqual">
      <formula>0</formula>
    </cfRule>
    <cfRule type="cellIs" dxfId="2351" priority="103" stopIfTrue="1" operator="lessThanOrEqual">
      <formula>0</formula>
    </cfRule>
    <cfRule type="cellIs" dxfId="2350" priority="100" stopIfTrue="1" operator="greaterThan">
      <formula>$F$20</formula>
    </cfRule>
    <cfRule type="cellIs" dxfId="2349" priority="102" stopIfTrue="1" operator="greaterThan">
      <formula>#REF!</formula>
    </cfRule>
    <cfRule type="cellIs" dxfId="2348" priority="92" stopIfTrue="1" operator="greaterThan">
      <formula>#REF!</formula>
    </cfRule>
  </conditionalFormatting>
  <conditionalFormatting sqref="H59">
    <cfRule type="cellIs" dxfId="2347" priority="106" stopIfTrue="1" operator="greaterThan">
      <formula>$F$33</formula>
    </cfRule>
    <cfRule type="cellIs" dxfId="2346" priority="117" stopIfTrue="1" operator="lessThanOrEqual">
      <formula>0</formula>
    </cfRule>
    <cfRule type="cellIs" dxfId="2345" priority="115" stopIfTrue="1" operator="lessThanOrEqual">
      <formula>0</formula>
    </cfRule>
    <cfRule type="cellIs" dxfId="2344" priority="114" stopIfTrue="1" operator="greaterThan">
      <formula>$F$36</formula>
    </cfRule>
    <cfRule type="cellIs" dxfId="2343" priority="116" stopIfTrue="1" operator="greaterThan">
      <formula>$F$34</formula>
    </cfRule>
    <cfRule type="cellIs" dxfId="2342" priority="105" stopIfTrue="1" operator="lessThanOrEqual">
      <formula>0</formula>
    </cfRule>
  </conditionalFormatting>
  <conditionalFormatting sqref="H60:H61">
    <cfRule type="cellIs" dxfId="2341" priority="75" stopIfTrue="1" operator="lessThanOrEqual">
      <formula>0</formula>
    </cfRule>
    <cfRule type="cellIs" dxfId="2340" priority="76" stopIfTrue="1" operator="greaterThan">
      <formula>#REF!</formula>
    </cfRule>
    <cfRule type="cellIs" dxfId="2339" priority="85" stopIfTrue="1" operator="lessThanOrEqual">
      <formula>0</formula>
    </cfRule>
    <cfRule type="cellIs" dxfId="2338" priority="86" stopIfTrue="1" operator="greaterThan">
      <formula>#REF!</formula>
    </cfRule>
    <cfRule type="cellIs" dxfId="2337" priority="87" stopIfTrue="1" operator="lessThanOrEqual">
      <formula>0</formula>
    </cfRule>
    <cfRule type="cellIs" dxfId="2336" priority="84" stopIfTrue="1" operator="greaterThan">
      <formula>$F$20</formula>
    </cfRule>
  </conditionalFormatting>
  <conditionalFormatting sqref="H76 H78:H84">
    <cfRule type="cellIs" dxfId="2335" priority="146" stopIfTrue="1" operator="greaterThan">
      <formula>4.5</formula>
    </cfRule>
    <cfRule type="cellIs" dxfId="2334" priority="147" stopIfTrue="1" operator="lessThanOrEqual">
      <formula>0</formula>
    </cfRule>
  </conditionalFormatting>
  <conditionalFormatting sqref="H52:I56">
    <cfRule type="cellIs" dxfId="2333" priority="46" stopIfTrue="1" operator="greaterThan">
      <formula>$F$67</formula>
    </cfRule>
    <cfRule type="cellIs" dxfId="2332" priority="49" stopIfTrue="1" operator="lessThanOrEqual">
      <formula>0</formula>
    </cfRule>
  </conditionalFormatting>
  <conditionalFormatting sqref="H57:I58">
    <cfRule type="cellIs" dxfId="2331" priority="90" stopIfTrue="1" operator="greaterThan">
      <formula>#REF!</formula>
    </cfRule>
    <cfRule type="cellIs" dxfId="2330" priority="93" stopIfTrue="1" operator="lessThanOrEqual">
      <formula>0</formula>
    </cfRule>
  </conditionalFormatting>
  <conditionalFormatting sqref="H59:I59">
    <cfRule type="cellIs" dxfId="2329" priority="107" stopIfTrue="1" operator="lessThanOrEqual">
      <formula>0</formula>
    </cfRule>
    <cfRule type="cellIs" dxfId="2328" priority="104" stopIfTrue="1" operator="greaterThan">
      <formula>$F$35</formula>
    </cfRule>
  </conditionalFormatting>
  <conditionalFormatting sqref="H60:I61">
    <cfRule type="cellIs" dxfId="2327" priority="74" stopIfTrue="1" operator="greaterThan">
      <formula>#REF!</formula>
    </cfRule>
    <cfRule type="cellIs" dxfId="2326" priority="77" stopIfTrue="1" operator="lessThanOrEqual">
      <formula>0</formula>
    </cfRule>
  </conditionalFormatting>
  <conditionalFormatting sqref="H65:I72">
    <cfRule type="cellIs" dxfId="2325" priority="15" stopIfTrue="1" operator="lessThanOrEqual">
      <formula>0</formula>
    </cfRule>
    <cfRule type="cellIs" dxfId="2324" priority="14" stopIfTrue="1" operator="greaterThan">
      <formula>$J65</formula>
    </cfRule>
  </conditionalFormatting>
  <conditionalFormatting sqref="H73:I73">
    <cfRule type="cellIs" dxfId="2323" priority="23" operator="greaterThan">
      <formula>5.3</formula>
    </cfRule>
  </conditionalFormatting>
  <conditionalFormatting sqref="H74:I74">
    <cfRule type="cellIs" dxfId="2322" priority="22" stopIfTrue="1" operator="lessThanOrEqual">
      <formula>0</formula>
    </cfRule>
    <cfRule type="cellIs" dxfId="2321" priority="21" stopIfTrue="1" operator="greaterThan">
      <formula>$J74</formula>
    </cfRule>
  </conditionalFormatting>
  <conditionalFormatting sqref="I52:I56">
    <cfRule type="cellIs" dxfId="2320" priority="55" stopIfTrue="1" operator="lessThanOrEqual">
      <formula>0</formula>
    </cfRule>
    <cfRule type="cellIs" dxfId="2319" priority="51" stopIfTrue="1" operator="lessThanOrEqual">
      <formula>0</formula>
    </cfRule>
    <cfRule type="cellIs" dxfId="2318" priority="54" stopIfTrue="1" operator="greaterThan">
      <formula>$F$65</formula>
    </cfRule>
    <cfRule type="cellIs" dxfId="2317" priority="53" stopIfTrue="1" operator="lessThanOrEqual">
      <formula>0</formula>
    </cfRule>
    <cfRule type="cellIs" dxfId="2316" priority="52" stopIfTrue="1" operator="greaterThan">
      <formula>$F$67</formula>
    </cfRule>
    <cfRule type="cellIs" dxfId="2315" priority="50" stopIfTrue="1" operator="greaterThan">
      <formula>$F$65</formula>
    </cfRule>
  </conditionalFormatting>
  <conditionalFormatting sqref="I57:I58">
    <cfRule type="cellIs" dxfId="2314" priority="97" stopIfTrue="1" operator="lessThanOrEqual">
      <formula>0</formula>
    </cfRule>
    <cfRule type="cellIs" dxfId="2313" priority="95" stopIfTrue="1" operator="lessThanOrEqual">
      <formula>0</formula>
    </cfRule>
    <cfRule type="cellIs" dxfId="2312" priority="99" stopIfTrue="1" operator="lessThanOrEqual">
      <formula>0</formula>
    </cfRule>
    <cfRule type="cellIs" dxfId="2311" priority="94" stopIfTrue="1" operator="greaterThan">
      <formula>#REF!</formula>
    </cfRule>
    <cfRule type="cellIs" dxfId="2310" priority="96" stopIfTrue="1" operator="greaterThan">
      <formula>#REF!</formula>
    </cfRule>
    <cfRule type="cellIs" dxfId="2309" priority="98" stopIfTrue="1" operator="greaterThan">
      <formula>#REF!</formula>
    </cfRule>
  </conditionalFormatting>
  <conditionalFormatting sqref="I59">
    <cfRule type="cellIs" dxfId="2308" priority="113" stopIfTrue="1" operator="lessThanOrEqual">
      <formula>0</formula>
    </cfRule>
    <cfRule type="cellIs" dxfId="2307" priority="109" stopIfTrue="1" operator="lessThanOrEqual">
      <formula>0</formula>
    </cfRule>
    <cfRule type="cellIs" dxfId="2306" priority="108" stopIfTrue="1" operator="greaterThan">
      <formula>$F$33</formula>
    </cfRule>
    <cfRule type="cellIs" dxfId="2305" priority="112" stopIfTrue="1" operator="greaterThan">
      <formula>$F$33</formula>
    </cfRule>
    <cfRule type="cellIs" dxfId="2304" priority="111" stopIfTrue="1" operator="lessThanOrEqual">
      <formula>0</formula>
    </cfRule>
    <cfRule type="cellIs" dxfId="2303" priority="110" stopIfTrue="1" operator="greaterThan">
      <formula>$F$35</formula>
    </cfRule>
  </conditionalFormatting>
  <conditionalFormatting sqref="I60:I61">
    <cfRule type="cellIs" dxfId="2302" priority="81" stopIfTrue="1" operator="lessThanOrEqual">
      <formula>0</formula>
    </cfRule>
    <cfRule type="cellIs" dxfId="2301" priority="82" stopIfTrue="1" operator="greaterThan">
      <formula>#REF!</formula>
    </cfRule>
    <cfRule type="cellIs" dxfId="2300" priority="83" stopIfTrue="1" operator="lessThanOrEqual">
      <formula>0</formula>
    </cfRule>
    <cfRule type="cellIs" dxfId="2299" priority="78" stopIfTrue="1" operator="greaterThan">
      <formula>#REF!</formula>
    </cfRule>
    <cfRule type="cellIs" dxfId="2298" priority="79" stopIfTrue="1" operator="lessThanOrEqual">
      <formula>0</formula>
    </cfRule>
    <cfRule type="cellIs" dxfId="2297" priority="80" stopIfTrue="1" operator="greaterThan">
      <formula>#REF!</formula>
    </cfRule>
  </conditionalFormatting>
  <conditionalFormatting sqref="I76:I84">
    <cfRule type="cellIs" dxfId="2296" priority="143" stopIfTrue="1" operator="lessThanOrEqual">
      <formula>0</formula>
    </cfRule>
    <cfRule type="cellIs" dxfId="2295" priority="142" stopIfTrue="1" operator="greaterThan">
      <formula>4.5</formula>
    </cfRule>
  </conditionalFormatting>
  <conditionalFormatting sqref="I10:J20">
    <cfRule type="cellIs" dxfId="2294" priority="2" operator="lessThan">
      <formula>97.9</formula>
    </cfRule>
  </conditionalFormatting>
  <conditionalFormatting sqref="J23">
    <cfRule type="cellIs" dxfId="2293" priority="45" operator="lessThan">
      <formula>97.95</formula>
    </cfRule>
  </conditionalFormatting>
  <conditionalFormatting sqref="J25">
    <cfRule type="cellIs" dxfId="2292" priority="121" operator="lessThan">
      <formula>98</formula>
    </cfRule>
    <cfRule type="cellIs" dxfId="2291" priority="120" stopIfTrue="1" operator="greaterThan">
      <formula>100</formula>
    </cfRule>
    <cfRule type="cellIs" dxfId="2290" priority="119" stopIfTrue="1" operator="lessThan">
      <formula>96.8</formula>
    </cfRule>
  </conditionalFormatting>
  <conditionalFormatting sqref="J25:J27">
    <cfRule type="cellIs" dxfId="2289" priority="118" operator="lessThan">
      <formula>97.4</formula>
    </cfRule>
  </conditionalFormatting>
  <conditionalFormatting sqref="J28:J29">
    <cfRule type="cellIs" dxfId="2288" priority="122" operator="lessThan">
      <formula>98</formula>
    </cfRule>
  </conditionalFormatting>
  <conditionalFormatting sqref="J30:J31">
    <cfRule type="cellIs" dxfId="2287" priority="124" stopIfTrue="1" operator="greaterThan">
      <formula>100</formula>
    </cfRule>
    <cfRule type="cellIs" dxfId="2286" priority="123" stopIfTrue="1" operator="lessThan">
      <formula>96.8</formula>
    </cfRule>
  </conditionalFormatting>
  <conditionalFormatting sqref="J30:J32">
    <cfRule type="cellIs" dxfId="2285" priority="125" operator="lessThan">
      <formula>98</formula>
    </cfRule>
  </conditionalFormatting>
  <conditionalFormatting sqref="J61">
    <cfRule type="cellIs" dxfId="2284" priority="73" stopIfTrue="1" operator="lessThanOrEqual">
      <formula>0</formula>
    </cfRule>
    <cfRule type="cellIs" dxfId="2283" priority="72" stopIfTrue="1" operator="greaterThan">
      <formula>#REF!</formula>
    </cfRule>
    <cfRule type="cellIs" dxfId="2282" priority="71" stopIfTrue="1" operator="lessThanOrEqual">
      <formula>0</formula>
    </cfRule>
    <cfRule type="cellIs" dxfId="2281" priority="70" stopIfTrue="1" operator="greaterThan">
      <formula>#REF!</formula>
    </cfRule>
    <cfRule type="cellIs" dxfId="2280" priority="69" stopIfTrue="1" operator="lessThanOrEqual">
      <formula>0</formula>
    </cfRule>
    <cfRule type="cellIs" dxfId="2279" priority="68" stopIfTrue="1" operator="greaterThan">
      <formula>#REF!</formula>
    </cfRule>
    <cfRule type="cellIs" dxfId="2278" priority="67" stopIfTrue="1" operator="lessThanOrEqual">
      <formula>0</formula>
    </cfRule>
    <cfRule type="cellIs" dxfId="2277" priority="66" stopIfTrue="1" operator="greaterThan">
      <formula>#REF!</formula>
    </cfRule>
  </conditionalFormatting>
  <conditionalFormatting sqref="J74">
    <cfRule type="cellIs" dxfId="2276" priority="29" stopIfTrue="1" operator="lessThanOrEqual">
      <formula>0</formula>
    </cfRule>
    <cfRule type="cellIs" dxfId="2275" priority="28" stopIfTrue="1" operator="greaterThan">
      <formula>$F74</formula>
    </cfRule>
  </conditionalFormatting>
  <conditionalFormatting sqref="K10:K20">
    <cfRule type="cellIs" dxfId="2274" priority="3" operator="greaterThan">
      <formula>6</formula>
    </cfRule>
    <cfRule type="cellIs" dxfId="2273" priority="4" operator="lessThan">
      <formula>4</formula>
    </cfRule>
    <cfRule type="cellIs" dxfId="2272" priority="5" operator="greaterThan">
      <formula>6.4</formula>
    </cfRule>
  </conditionalFormatting>
  <conditionalFormatting sqref="K52:K61">
    <cfRule type="cellIs" dxfId="2271" priority="60" stopIfTrue="1" operator="lessThan">
      <formula>100%</formula>
    </cfRule>
  </conditionalFormatting>
  <conditionalFormatting sqref="K76:K81">
    <cfRule type="cellIs" dxfId="2270" priority="148" stopIfTrue="1" operator="lessThan">
      <formula>100%</formula>
    </cfRule>
  </conditionalFormatting>
  <conditionalFormatting sqref="K83:K84">
    <cfRule type="cellIs" dxfId="2269" priority="155" stopIfTrue="1" operator="lessThan">
      <formula>100%</formula>
    </cfRule>
  </conditionalFormatting>
  <conditionalFormatting sqref="K65:M73">
    <cfRule type="cellIs" dxfId="2268" priority="13" stopIfTrue="1" operator="lessThan">
      <formula>100%</formula>
    </cfRule>
  </conditionalFormatting>
  <conditionalFormatting sqref="L10:L20">
    <cfRule type="cellIs" dxfId="2267" priority="10" operator="greaterThan">
      <formula>65</formula>
    </cfRule>
    <cfRule type="cellIs" dxfId="2266" priority="9" operator="between">
      <formula>61</formula>
      <formula>65</formula>
    </cfRule>
  </conditionalFormatting>
  <conditionalFormatting sqref="L23:M34">
    <cfRule type="cellIs" dxfId="2265" priority="62" operator="lessThan">
      <formula>97.95</formula>
    </cfRule>
  </conditionalFormatting>
  <conditionalFormatting sqref="L74:M74">
    <cfRule type="cellIs" dxfId="2264" priority="30" stopIfTrue="1" operator="lessThan">
      <formula>100%</formula>
    </cfRule>
  </conditionalFormatting>
  <conditionalFormatting sqref="L38:N38">
    <cfRule type="cellIs" dxfId="2263" priority="63" operator="notEqual">
      <formula>#REF!</formula>
    </cfRule>
  </conditionalFormatting>
  <conditionalFormatting sqref="L76:N84">
    <cfRule type="cellIs" dxfId="2262" priority="133" stopIfTrue="1" operator="lessThan">
      <formula>100%</formula>
    </cfRule>
  </conditionalFormatting>
  <conditionalFormatting sqref="M10:M18">
    <cfRule type="expression" dxfId="2261" priority="7">
      <formula>IF(+(IF(M10&lt;U10,0,IF(M10&gt;V10,0,1)))=0,1)</formula>
    </cfRule>
  </conditionalFormatting>
  <conditionalFormatting sqref="M19:N20">
    <cfRule type="expression" dxfId="2260" priority="161">
      <formula>IF(+(IF(M19&lt;#REF!,0,IF(M19&gt;#REF!,0,1)))=0,1)</formula>
    </cfRule>
  </conditionalFormatting>
  <conditionalFormatting sqref="N10:N18">
    <cfRule type="expression" dxfId="2259" priority="1">
      <formula>IF(+(IF(N10&lt;W10,0,IF(N10&gt;X10,0,1)))=0,1)</formula>
    </cfRule>
  </conditionalFormatting>
  <conditionalFormatting sqref="N65:N74">
    <cfRule type="cellIs" dxfId="2258" priority="44" stopIfTrue="1" operator="lessThan">
      <formula>100%</formula>
    </cfRule>
  </conditionalFormatting>
  <conditionalFormatting sqref="P6">
    <cfRule type="cellIs" dxfId="2257" priority="129" operator="greaterThanOrEqual">
      <formula>19</formula>
    </cfRule>
  </conditionalFormatting>
  <dataValidations count="1">
    <dataValidation type="list" allowBlank="1" showInputMessage="1" showErrorMessage="1" sqref="R8" xr:uid="{01598627-98E6-4807-9433-CBC8BBD54E63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DD29-8D7E-44B6-95BD-91AF79AFE816}">
  <sheetPr>
    <pageSetUpPr fitToPage="1"/>
  </sheetPr>
  <dimension ref="A1:BE77"/>
  <sheetViews>
    <sheetView topLeftCell="A2" zoomScale="80" zoomScaleNormal="80" workbookViewId="0">
      <selection activeCell="B12" sqref="B12:O12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4" t="s">
        <v>0</v>
      </c>
      <c r="T1" s="494"/>
      <c r="U1" s="494" t="s">
        <v>1</v>
      </c>
      <c r="V1" s="494"/>
      <c r="W1" s="494" t="s">
        <v>2</v>
      </c>
      <c r="X1" s="494"/>
      <c r="Y1" s="494" t="s">
        <v>124</v>
      </c>
      <c r="Z1" s="494"/>
    </row>
    <row r="2" spans="2:29" ht="15">
      <c r="B2" s="495" t="s">
        <v>3</v>
      </c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46092</v>
      </c>
      <c r="J4" s="398" t="s">
        <v>167</v>
      </c>
      <c r="K4" s="398"/>
      <c r="L4" s="11"/>
      <c r="M4" s="492" t="s">
        <v>8</v>
      </c>
      <c r="N4" s="493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8"/>
      <c r="D5" s="49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9" t="s">
        <v>17</v>
      </c>
      <c r="C8" s="501" t="s">
        <v>18</v>
      </c>
      <c r="D8" s="501" t="s">
        <v>19</v>
      </c>
      <c r="E8" s="356" t="s">
        <v>20</v>
      </c>
      <c r="F8" s="356" t="s">
        <v>21</v>
      </c>
      <c r="G8" s="501" t="s">
        <v>22</v>
      </c>
      <c r="H8" s="502"/>
      <c r="I8" s="501" t="s">
        <v>165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169</v>
      </c>
      <c r="O8" s="510" t="s">
        <v>155</v>
      </c>
      <c r="P8" s="496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.6" customHeight="1">
      <c r="B9" s="500"/>
      <c r="C9" s="497"/>
      <c r="D9" s="497"/>
      <c r="E9" s="357" t="s">
        <v>30</v>
      </c>
      <c r="F9" s="357" t="s">
        <v>31</v>
      </c>
      <c r="G9" s="497"/>
      <c r="H9" s="503"/>
      <c r="I9" s="497"/>
      <c r="J9" s="505"/>
      <c r="K9" s="507"/>
      <c r="L9" s="509"/>
      <c r="M9" s="20" t="s">
        <v>32</v>
      </c>
      <c r="N9" s="21" t="s">
        <v>41</v>
      </c>
      <c r="O9" s="511"/>
      <c r="P9" s="497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33" t="s">
        <v>9</v>
      </c>
      <c r="C10" s="366" t="str">
        <f>[3]Brewhouse!$A147</f>
        <v>ST095</v>
      </c>
      <c r="D10" s="279">
        <f>[3]Brewhouse!$AB147</f>
        <v>53</v>
      </c>
      <c r="E10" s="279">
        <f>[3]Brewhouse!$AG147</f>
        <v>48.5</v>
      </c>
      <c r="F10" s="278">
        <f>[3]Brewhouse!$V147</f>
        <v>60</v>
      </c>
      <c r="G10" s="279">
        <f>[3]Brewhouse!$AE147</f>
        <v>12.1</v>
      </c>
      <c r="H10" s="396"/>
      <c r="I10" s="368">
        <f>[3]Brewhouse!$AS147</f>
        <v>99.541673683507312</v>
      </c>
      <c r="J10" s="368">
        <f>[3]Brewhouse!$AT147</f>
        <v>99.851487375159422</v>
      </c>
      <c r="K10" s="281">
        <f>[3]Brewhouse!$Q147</f>
        <v>15.613207547169807</v>
      </c>
      <c r="L10" s="276">
        <f>[3]Brewhouse!$P147</f>
        <v>61</v>
      </c>
      <c r="M10" s="374">
        <f>[3]Brewhouse!$U147-[3]Brewhouse!$T147</f>
        <v>0.11458333333333334</v>
      </c>
      <c r="N10" s="370">
        <f>[3]Brewhouse!$AW147</f>
        <v>0.25208333333333333</v>
      </c>
      <c r="O10" s="371" t="str">
        <f>[3]Brewhouse!$AV147</f>
        <v>K. Benjamin</v>
      </c>
      <c r="P10" s="418"/>
      <c r="R10" s="277" t="str">
        <f t="shared" ref="R10:R37" si="0">B10</f>
        <v>STAG</v>
      </c>
      <c r="S10" s="472">
        <f t="shared" ref="S10:S37" si="1">VLOOKUP($B10,$R$3:$X$9,2,FALSE)</f>
        <v>11.6</v>
      </c>
      <c r="T10" s="472">
        <f t="shared" ref="T10:T37" si="2">VLOOKUP($B10,$R$3:$X$9,3,FALSE)</f>
        <v>12</v>
      </c>
      <c r="U10" s="297">
        <f t="shared" ref="U10:U37" si="3">VLOOKUP($B10,$R$3:$X$9,4,FALSE)</f>
        <v>0</v>
      </c>
      <c r="V10" s="297">
        <f t="shared" ref="V10:V37" si="4">VLOOKUP($B10,$R$3:$X$9,5,FALSE)</f>
        <v>0.118055555555556</v>
      </c>
      <c r="W10" s="297">
        <f t="shared" ref="W10:W37" si="5">VLOOKUP($B10,$R$3:$X$9,6,FALSE)</f>
        <v>0.22569444444444445</v>
      </c>
      <c r="X10" s="297">
        <f t="shared" ref="X10:X37" si="6">VLOOKUP($B10,$R$3:$X$9,7,FALSE)</f>
        <v>0.2638888888888889</v>
      </c>
      <c r="Y10" s="297">
        <f t="shared" ref="Y10:Y37" si="7">VLOOKUP($B10,$R$3:$Z$9,8,FALSE)</f>
        <v>0</v>
      </c>
      <c r="Z10" s="472">
        <f t="shared" ref="Z10:Z37" si="8">VLOOKUP($B10,$R$3:$Z$9,9,FALSE)</f>
        <v>60</v>
      </c>
    </row>
    <row r="11" spans="2:29" ht="16.5" customHeight="1">
      <c r="B11" s="33" t="s">
        <v>9</v>
      </c>
      <c r="C11" s="366" t="str">
        <f>[3]Brewhouse!$A148</f>
        <v>ST096</v>
      </c>
      <c r="D11" s="279">
        <f>[3]Brewhouse!$AB148</f>
        <v>53.1</v>
      </c>
      <c r="E11" s="279">
        <f>[3]Brewhouse!$AG148</f>
        <v>49.9</v>
      </c>
      <c r="F11" s="278">
        <f>[3]Brewhouse!$V148</f>
        <v>62</v>
      </c>
      <c r="G11" s="279">
        <f>[3]Brewhouse!$AE148</f>
        <v>11.7</v>
      </c>
      <c r="H11" s="396"/>
      <c r="I11" s="368">
        <f>[3]Brewhouse!$AS148</f>
        <v>98.983156674800313</v>
      </c>
      <c r="J11" s="368">
        <f>[3]Brewhouse!$AT148</f>
        <v>99.291129308897936</v>
      </c>
      <c r="K11" s="281">
        <f>[3]Brewhouse!$Q148</f>
        <v>14.453860640301313</v>
      </c>
      <c r="L11" s="276">
        <f>[3]Brewhouse!$P148</f>
        <v>60</v>
      </c>
      <c r="M11" s="374">
        <f>[3]Brewhouse!$U148-[3]Brewhouse!$T148</f>
        <v>0.11249999999999999</v>
      </c>
      <c r="N11" s="370">
        <f>[3]Brewhouse!$AW148</f>
        <v>0.24583333333333332</v>
      </c>
      <c r="O11" s="371" t="str">
        <f>[3]Brewhouse!$AV148</f>
        <v>D. Gomaz</v>
      </c>
      <c r="P11" s="418"/>
      <c r="R11" s="277" t="str">
        <f t="shared" si="0"/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6.5" customHeight="1">
      <c r="B12" s="33" t="s">
        <v>9</v>
      </c>
      <c r="C12" s="366" t="str">
        <f>[3]Brewhouse!$A149</f>
        <v>ST097</v>
      </c>
      <c r="D12" s="279">
        <f>[3]Brewhouse!$AB149</f>
        <v>53.1</v>
      </c>
      <c r="E12" s="279">
        <f>[3]Brewhouse!$AG149</f>
        <v>49.4</v>
      </c>
      <c r="F12" s="278">
        <f>[3]Brewhouse!$V149</f>
        <v>61</v>
      </c>
      <c r="G12" s="279">
        <f>[3]Brewhouse!$AE149</f>
        <v>11.8</v>
      </c>
      <c r="H12" s="396"/>
      <c r="I12" s="368">
        <f>[3]Brewhouse!$AS149</f>
        <v>98.87270268473425</v>
      </c>
      <c r="J12" s="368">
        <f>[3]Brewhouse!$AT149</f>
        <v>99.180331656259284</v>
      </c>
      <c r="K12" s="281">
        <f>[3]Brewhouse!$Q149</f>
        <v>15.583804143126173</v>
      </c>
      <c r="L12" s="276">
        <f>[3]Brewhouse!$P149</f>
        <v>60</v>
      </c>
      <c r="M12" s="374">
        <f>[3]Brewhouse!$U149-[3]Brewhouse!$T149</f>
        <v>0.1076388888888889</v>
      </c>
      <c r="N12" s="370">
        <f>[3]Brewhouse!$AW149</f>
        <v>0.25277777777777782</v>
      </c>
      <c r="O12" s="371" t="str">
        <f>[3]Brewhouse!$AV149</f>
        <v>D. Gomaz</v>
      </c>
      <c r="P12" s="418"/>
      <c r="R12" s="277" t="str">
        <f t="shared" ref="R12:R28" si="9">B12</f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6.5" customHeight="1">
      <c r="B13" s="33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74"/>
      <c r="N13" s="370"/>
      <c r="O13" s="371"/>
      <c r="P13" s="418"/>
      <c r="R13" s="277">
        <f t="shared" si="9"/>
        <v>0</v>
      </c>
      <c r="S13" s="472" t="e">
        <f t="shared" si="1"/>
        <v>#N/A</v>
      </c>
      <c r="T13" s="472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472" t="e">
        <f t="shared" si="8"/>
        <v>#N/A</v>
      </c>
    </row>
    <row r="14" spans="2:29" ht="16.5" customHeight="1">
      <c r="B14" s="29" t="s">
        <v>6</v>
      </c>
      <c r="C14" s="366" t="str">
        <f>[4]Brewhouse!$A220</f>
        <v>CA177</v>
      </c>
      <c r="D14" s="279">
        <f>[4]Brewhouse!$AF220</f>
        <v>49</v>
      </c>
      <c r="E14" s="279">
        <f>[4]Brewhouse!$AI220</f>
        <v>49.3</v>
      </c>
      <c r="F14" s="278">
        <f>[4]Brewhouse!$V220</f>
        <v>65</v>
      </c>
      <c r="G14" s="279">
        <f>[4]Brewhouse!AG220</f>
        <v>11.9</v>
      </c>
      <c r="H14" s="396"/>
      <c r="I14" s="368">
        <f>[4]Brewhouse!$AU220</f>
        <v>98.182619925802825</v>
      </c>
      <c r="J14" s="368">
        <f>[4]Brewhouse!$AV220</f>
        <v>98.545133868792306</v>
      </c>
      <c r="K14" s="281">
        <f>[4]Brewhouse!$Q220</f>
        <v>14.851851851851844</v>
      </c>
      <c r="L14" s="276">
        <f>[4]Brewhouse!$P220</f>
        <v>61</v>
      </c>
      <c r="M14" s="397">
        <f>[4]Brewhouse!$U220-[4]Brewhouse!$T220</f>
        <v>0.11458333333333337</v>
      </c>
      <c r="N14" s="370">
        <f>[4]Brewhouse!$Z220</f>
        <v>0.24722222222222229</v>
      </c>
      <c r="O14" s="420" t="str">
        <f>[4]Brewhouse!$AX220</f>
        <v>D. Gomaz</v>
      </c>
      <c r="P14" s="418"/>
      <c r="R14" s="277" t="str">
        <f t="shared" si="9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6.5" customHeight="1">
      <c r="B15" s="29" t="s">
        <v>6</v>
      </c>
      <c r="C15" s="366" t="str">
        <f>[4]Brewhouse!$A221</f>
        <v>CA178</v>
      </c>
      <c r="D15" s="279">
        <f>[4]Brewhouse!$AF221</f>
        <v>50.6</v>
      </c>
      <c r="E15" s="279">
        <f>[4]Brewhouse!$AI221</f>
        <v>50.7</v>
      </c>
      <c r="F15" s="278">
        <f>[4]Brewhouse!$V221</f>
        <v>78</v>
      </c>
      <c r="G15" s="279">
        <f>[4]Brewhouse!AG221</f>
        <v>11.8</v>
      </c>
      <c r="H15" s="396"/>
      <c r="I15" s="368">
        <f>[4]Brewhouse!$AU221</f>
        <v>98.728037202201719</v>
      </c>
      <c r="J15" s="368">
        <f>[4]Brewhouse!$AV221</f>
        <v>100.19881851243441</v>
      </c>
      <c r="K15" s="281">
        <f>[4]Brewhouse!$Q221</f>
        <v>12.606284658040664</v>
      </c>
      <c r="L15" s="276">
        <f>[4]Brewhouse!$P221</f>
        <v>60</v>
      </c>
      <c r="M15" s="397">
        <f>[4]Brewhouse!$U221-[4]Brewhouse!$T221</f>
        <v>0.11944444444444446</v>
      </c>
      <c r="N15" s="370">
        <f>[4]Brewhouse!$Z221</f>
        <v>0.25277777777777782</v>
      </c>
      <c r="O15" s="420" t="str">
        <f>[4]Brewhouse!$AX221</f>
        <v>D. Gomaz</v>
      </c>
      <c r="P15" s="418"/>
      <c r="R15" s="277" t="str">
        <f t="shared" si="9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6.5" customHeight="1">
      <c r="B16" s="29" t="s">
        <v>6</v>
      </c>
      <c r="C16" s="366" t="str">
        <f>[4]Brewhouse!$A222</f>
        <v>CA179</v>
      </c>
      <c r="D16" s="279">
        <f>[4]Brewhouse!$AF222</f>
        <v>50.4</v>
      </c>
      <c r="E16" s="279">
        <f>[4]Brewhouse!$AI222</f>
        <v>51</v>
      </c>
      <c r="F16" s="278">
        <f>[4]Brewhouse!$V222</f>
        <v>102</v>
      </c>
      <c r="G16" s="279">
        <f>[4]Brewhouse!AG222</f>
        <v>11.7</v>
      </c>
      <c r="H16" s="396"/>
      <c r="I16" s="368">
        <f>[4]Brewhouse!$AU222</f>
        <v>98.865584270828393</v>
      </c>
      <c r="J16" s="368">
        <f>[4]Brewhouse!$AV222</f>
        <v>100.38084240224801</v>
      </c>
      <c r="K16" s="281">
        <f>[4]Brewhouse!$Q222</f>
        <v>11.866913123844734</v>
      </c>
      <c r="L16" s="276">
        <f>[4]Brewhouse!$P222</f>
        <v>61</v>
      </c>
      <c r="M16" s="397">
        <f>[4]Brewhouse!$U222-[4]Brewhouse!$T222</f>
        <v>0.13888888888888884</v>
      </c>
      <c r="N16" s="370">
        <f>[4]Brewhouse!$Z222</f>
        <v>0.27569444444444446</v>
      </c>
      <c r="O16" s="420" t="str">
        <f>[4]Brewhouse!$AX222</f>
        <v>D. Gomaz</v>
      </c>
      <c r="P16" s="418"/>
      <c r="R16" s="277" t="str">
        <f t="shared" si="9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6.5" customHeight="1">
      <c r="B17" s="29" t="s">
        <v>6</v>
      </c>
      <c r="C17" s="366" t="str">
        <f>[4]Brewhouse!$A223</f>
        <v>CA180</v>
      </c>
      <c r="D17" s="279">
        <f>[4]Brewhouse!$AF223</f>
        <v>50.2</v>
      </c>
      <c r="E17" s="279">
        <f>[4]Brewhouse!$AI223</f>
        <v>48</v>
      </c>
      <c r="F17" s="278">
        <f>[4]Brewhouse!$V223</f>
        <v>62</v>
      </c>
      <c r="G17" s="279">
        <f>[4]Brewhouse!AG223</f>
        <v>11.9</v>
      </c>
      <c r="H17" s="396"/>
      <c r="I17" s="368">
        <f>[4]Brewhouse!$AU223</f>
        <v>94.960805086604111</v>
      </c>
      <c r="J17" s="368">
        <f>[4]Brewhouse!$AV223</f>
        <v>96.416086292164877</v>
      </c>
      <c r="K17" s="281">
        <f>[4]Brewhouse!$Q223</f>
        <v>10.757855822550832</v>
      </c>
      <c r="L17" s="276">
        <f>[4]Brewhouse!$P223</f>
        <v>60</v>
      </c>
      <c r="M17" s="397">
        <f>[4]Brewhouse!$U223-[4]Brewhouse!$T223</f>
        <v>0.11736111111111114</v>
      </c>
      <c r="N17" s="370">
        <f>[4]Brewhouse!$Z223</f>
        <v>0.26041666666666674</v>
      </c>
      <c r="O17" s="420" t="str">
        <f>[4]Brewhouse!$AX223</f>
        <v>D. Gomaz</v>
      </c>
      <c r="P17" s="418"/>
      <c r="R17" s="277" t="str">
        <f t="shared" si="9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7" ht="16.5" customHeight="1">
      <c r="B18" s="29" t="s">
        <v>6</v>
      </c>
      <c r="C18" s="366" t="str">
        <f>[4]Brewhouse!$A224</f>
        <v>CA181</v>
      </c>
      <c r="D18" s="279">
        <f>[4]Brewhouse!$AF224</f>
        <v>48.1</v>
      </c>
      <c r="E18" s="279">
        <f>[4]Brewhouse!$AI224</f>
        <v>47</v>
      </c>
      <c r="F18" s="278">
        <f>[4]Brewhouse!$V224</f>
        <v>54</v>
      </c>
      <c r="G18" s="279">
        <f>[4]Brewhouse!AG224</f>
        <v>12.2</v>
      </c>
      <c r="H18" s="396"/>
      <c r="I18" s="368">
        <f>[4]Brewhouse!$AU224</f>
        <v>94.654963762652073</v>
      </c>
      <c r="J18" s="368">
        <f>[4]Brewhouse!$AV224</f>
        <v>96.081989349996263</v>
      </c>
      <c r="K18" s="281">
        <f>[4]Brewhouse!$Q224</f>
        <v>12.999999999999993</v>
      </c>
      <c r="L18" s="276">
        <f>[4]Brewhouse!$P224</f>
        <v>59</v>
      </c>
      <c r="M18" s="397">
        <f>[4]Brewhouse!$U224-[4]Brewhouse!$T224</f>
        <v>0.10763888888888906</v>
      </c>
      <c r="N18" s="370">
        <f>[4]Brewhouse!$Z224</f>
        <v>0.23958333333333337</v>
      </c>
      <c r="O18" s="420" t="str">
        <f>[4]Brewhouse!$AX224</f>
        <v>K. Benjamin</v>
      </c>
      <c r="P18" s="418"/>
      <c r="R18" s="277" t="str">
        <f t="shared" si="9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1:27" ht="16.5" customHeight="1">
      <c r="B19" s="29" t="s">
        <v>6</v>
      </c>
      <c r="C19" s="366" t="str">
        <f>[4]Brewhouse!$A225</f>
        <v>CA182</v>
      </c>
      <c r="D19" s="279">
        <f>[4]Brewhouse!$AF225</f>
        <v>50</v>
      </c>
      <c r="E19" s="279">
        <f>[4]Brewhouse!$AI225</f>
        <v>50.2</v>
      </c>
      <c r="F19" s="278">
        <f>[4]Brewhouse!$V225</f>
        <v>58</v>
      </c>
      <c r="G19" s="279">
        <f>[4]Brewhouse!AG225</f>
        <v>11.8</v>
      </c>
      <c r="H19" s="396"/>
      <c r="I19" s="368">
        <f>[4]Brewhouse!$AU225</f>
        <v>97.983517470033405</v>
      </c>
      <c r="J19" s="368">
        <f>[4]Brewhouse!$AV225</f>
        <v>99.460431957310419</v>
      </c>
      <c r="K19" s="281">
        <f>[4]Brewhouse!$Q225</f>
        <v>12.444444444444443</v>
      </c>
      <c r="L19" s="276">
        <f>[4]Brewhouse!$P225</f>
        <v>60</v>
      </c>
      <c r="M19" s="397">
        <f>[4]Brewhouse!$U225-[4]Brewhouse!$T225</f>
        <v>0.10902777777777772</v>
      </c>
      <c r="N19" s="370">
        <f>[4]Brewhouse!$Z225</f>
        <v>0.27222222222222225</v>
      </c>
      <c r="O19" s="420" t="str">
        <f>[4]Brewhouse!$AX225</f>
        <v>K. Benjamin</v>
      </c>
      <c r="P19" s="418"/>
      <c r="R19" s="277" t="str">
        <f t="shared" si="9"/>
        <v>CARIB</v>
      </c>
      <c r="S19" s="472">
        <f t="shared" si="1"/>
        <v>11.6</v>
      </c>
      <c r="T19" s="472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472">
        <f t="shared" si="8"/>
        <v>60</v>
      </c>
    </row>
    <row r="20" spans="1:27" ht="16.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5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8" hidden="1" customHeight="1">
      <c r="B22" s="33"/>
      <c r="C22" s="366"/>
      <c r="D22" s="279"/>
      <c r="E22" s="279"/>
      <c r="F22" s="278"/>
      <c r="G22" s="279"/>
      <c r="H22" s="487"/>
      <c r="I22" s="368"/>
      <c r="J22" s="368"/>
      <c r="K22" s="281"/>
      <c r="L22" s="276"/>
      <c r="M22" s="374"/>
      <c r="N22" s="370"/>
      <c r="O22" s="371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6.5" hidden="1" customHeight="1">
      <c r="B23" s="22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5.75" customHeight="1" thickBot="1">
      <c r="B24" s="358"/>
      <c r="C24" s="358"/>
      <c r="D24" s="358"/>
      <c r="E24" s="358"/>
      <c r="F24" s="294"/>
      <c r="G24" s="294"/>
      <c r="H24" s="348"/>
      <c r="I24" s="512"/>
      <c r="J24" s="512"/>
      <c r="K24" s="512"/>
      <c r="L24" s="512"/>
      <c r="M24" s="512"/>
      <c r="N24" s="512"/>
      <c r="O24" s="1"/>
      <c r="P24" s="12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5.75" customHeight="1" thickBot="1">
      <c r="B25" s="388" t="s">
        <v>162</v>
      </c>
      <c r="C25" s="388"/>
      <c r="D25" s="513" t="s">
        <v>35</v>
      </c>
      <c r="E25" s="514"/>
      <c r="F25" s="294"/>
      <c r="G25" s="294"/>
      <c r="H25" s="348"/>
      <c r="I25" s="24" t="s">
        <v>17</v>
      </c>
      <c r="J25" s="25"/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 t="shared" si="9"/>
        <v xml:space="preserve">BRAND 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5" customHeight="1">
      <c r="A26" s="28"/>
      <c r="B26" s="525"/>
      <c r="C26" s="362"/>
      <c r="D26" s="518"/>
      <c r="E26" s="519"/>
      <c r="F26" s="294"/>
      <c r="G26" s="294"/>
      <c r="H26" s="348"/>
      <c r="I26" s="29" t="s">
        <v>6</v>
      </c>
      <c r="J26" s="323">
        <f>AVERAGE(I14:I19)</f>
        <v>97.229254619687097</v>
      </c>
      <c r="K26" s="284">
        <f>COUNTA([4]Brewhouse!$A$198:$A$225)</f>
        <v>28</v>
      </c>
      <c r="L26" s="305">
        <f>AVERAGE([4]Brewhouse!$AU$198:$AU$225)</f>
        <v>98.49191132066953</v>
      </c>
      <c r="M26" s="305">
        <f>AVERAGE([4]Brewhouse!$AU$42:$AU$123,[4]Brewhouse!$AU$125:$AU$188,[4]Brewhouse!$AU$198:$AU$225)</f>
        <v>97.740462728320807</v>
      </c>
      <c r="N26" s="30">
        <v>98</v>
      </c>
      <c r="O26" s="11"/>
      <c r="P26" s="31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5" customHeight="1">
      <c r="A27" s="28"/>
      <c r="B27" s="526"/>
      <c r="C27" s="362"/>
      <c r="D27" s="520"/>
      <c r="E27" s="521"/>
      <c r="F27" s="294"/>
      <c r="G27" s="294"/>
      <c r="H27" s="348"/>
      <c r="I27" s="33" t="s">
        <v>9</v>
      </c>
      <c r="J27" s="280">
        <f>AVERAGE(I10:I12)</f>
        <v>99.132511014347287</v>
      </c>
      <c r="K27" s="284">
        <f>COUNTA([3]Brewhouse!$A$134:$A$149)</f>
        <v>16</v>
      </c>
      <c r="L27" s="302">
        <f>AVERAGE([3]Brewhouse!$AS$134:$AS$149)</f>
        <v>98.545736057428243</v>
      </c>
      <c r="M27" s="302">
        <f>AVERAGE([3]Brewhouse!$AS$52:$AS$81,[3]Brewhouse!$AS$83:$AS$124,[3]Brewhouse!$AS$134:$AS$149)</f>
        <v>98.358270223457936</v>
      </c>
      <c r="N27" s="30">
        <v>98</v>
      </c>
      <c r="O27" s="11"/>
      <c r="P27" s="31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26"/>
      <c r="C28" s="362"/>
      <c r="D28" s="522"/>
      <c r="E28" s="523"/>
      <c r="F28" s="294"/>
      <c r="G28" s="294"/>
      <c r="H28" s="348"/>
      <c r="I28" s="34" t="s">
        <v>12</v>
      </c>
      <c r="J28" s="280"/>
      <c r="K28" s="284">
        <f>COUNTA([5]Brewhouse!$A$34:$A$41)</f>
        <v>8</v>
      </c>
      <c r="L28" s="302">
        <f>AVERAGE([5]Brewhouse!$AU$34:$AU$41)</f>
        <v>94.762610859726223</v>
      </c>
      <c r="M28" s="302">
        <f>AVERAGE([5]Brewhouse!$AU$16:$AU$23,[5]Brewhouse!$AU$25:$AU$32,[5]Brewhouse!$AU$34:$AU$41)</f>
        <v>97.131453825415363</v>
      </c>
      <c r="N28" s="30">
        <v>98</v>
      </c>
      <c r="O28" s="11"/>
      <c r="P28" s="31"/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26"/>
      <c r="C29" s="362"/>
      <c r="D29" s="524"/>
      <c r="E29" s="521"/>
      <c r="F29" s="294"/>
      <c r="G29" s="294"/>
      <c r="H29" s="348"/>
      <c r="I29" s="22" t="s">
        <v>33</v>
      </c>
      <c r="J29" s="280"/>
      <c r="K29" s="284">
        <f>COUNTA([6]Brewhouse!$A$38:$A$44)</f>
        <v>7</v>
      </c>
      <c r="L29" s="302">
        <f>AVERAGE([6]Brewhouse!$AV$38:$AV$44)</f>
        <v>96.929916494140343</v>
      </c>
      <c r="M29" s="302">
        <f>AVERAGE([6]Brewhouse!$AV$23:$AV$34,[6]Brewhouse!$AV$36,[6]Brewhouse!$AV$38:$AV$44)</f>
        <v>97.74055230745536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65" customHeight="1">
      <c r="A30" s="28"/>
      <c r="B30" s="526"/>
      <c r="C30" s="362"/>
      <c r="D30" s="522"/>
      <c r="E30" s="523"/>
      <c r="F30" s="417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7" ht="14.65" customHeight="1">
      <c r="A31" s="28"/>
      <c r="B31" s="526"/>
      <c r="C31" s="362"/>
      <c r="D31" s="524"/>
      <c r="E31" s="521"/>
      <c r="F31" s="417"/>
      <c r="G31" s="294"/>
      <c r="H31" s="348"/>
      <c r="I31" s="36" t="s">
        <v>15</v>
      </c>
      <c r="J31" s="323"/>
      <c r="K31" s="284"/>
      <c r="L31" s="302"/>
      <c r="M31" s="302">
        <f>AVERAGE([7]Brewhouse!$AT$4:$AT$11)</f>
        <v>92.826224508052405</v>
      </c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4.65" customHeight="1">
      <c r="A32" s="28"/>
      <c r="B32" s="526"/>
      <c r="C32" s="362"/>
      <c r="D32" s="522"/>
      <c r="E32" s="523"/>
      <c r="F32" s="417"/>
      <c r="G32" s="294"/>
      <c r="H32" s="348"/>
      <c r="I32" s="37" t="s">
        <v>16</v>
      </c>
      <c r="J32" s="323"/>
      <c r="K32" s="284">
        <f>COUNTA([8]Brewhouse!$A$25:$A$32)</f>
        <v>8</v>
      </c>
      <c r="L32" s="302">
        <f>AVERAGE([8]Brewhouse!$AY$32)</f>
        <v>97.452144425843485</v>
      </c>
      <c r="M32" s="302">
        <f>AVERAGE([8]Brewhouse!$AY$5:$AY$14,[8]Brewhouse!$AY$16:$AY$23,[8]Brewhouse!$AY$32)</f>
        <v>97.301958816242518</v>
      </c>
      <c r="N32" s="30">
        <v>98</v>
      </c>
      <c r="O32" s="11"/>
      <c r="P32" s="31" t="s">
        <v>41</v>
      </c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1:56" ht="14.65" customHeight="1">
      <c r="A33" s="28"/>
      <c r="B33" s="526"/>
      <c r="C33" s="362"/>
      <c r="D33" s="524"/>
      <c r="E33" s="521"/>
      <c r="F33" s="294"/>
      <c r="G33" s="294"/>
      <c r="H33" s="348"/>
      <c r="I33" s="411" t="s">
        <v>158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4.65" customHeight="1">
      <c r="A34" s="28"/>
      <c r="B34" s="526"/>
      <c r="C34" s="349"/>
      <c r="D34" s="522"/>
      <c r="E34" s="523"/>
      <c r="F34" s="294"/>
      <c r="G34" s="294"/>
      <c r="H34" s="348"/>
      <c r="I34" s="410" t="s">
        <v>157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" customHeight="1" thickBot="1">
      <c r="A35" s="28"/>
      <c r="B35" s="526"/>
      <c r="C35" s="349"/>
      <c r="D35" s="524"/>
      <c r="E35" s="521"/>
      <c r="F35" s="294"/>
      <c r="G35" s="294"/>
      <c r="H35" s="348"/>
      <c r="I35" s="406" t="s">
        <v>156</v>
      </c>
      <c r="J35" s="327"/>
      <c r="K35" s="407"/>
      <c r="L35" s="408"/>
      <c r="M35" s="408"/>
      <c r="N35" s="409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" customHeight="1" thickBot="1">
      <c r="A36" s="28"/>
      <c r="B36" s="526"/>
      <c r="C36" s="349"/>
      <c r="D36" s="518"/>
      <c r="E36" s="519"/>
      <c r="F36" s="294"/>
      <c r="G36" s="294"/>
      <c r="H36" s="348"/>
      <c r="I36" s="1"/>
      <c r="J36" s="39"/>
      <c r="K36" s="404">
        <f>SUM(K26:K35)</f>
        <v>67</v>
      </c>
      <c r="L36" s="405">
        <f>((L26*K26)+(L27*K27)+(L28*K28)+(L29*K29)+(L30*K30)+(K33*L33)+(L31*K31)+(L32*K32)+(L35*K35))/(K36)</f>
        <v>97.772130621509532</v>
      </c>
      <c r="M36" s="405">
        <f>AVERAGE('[9]Jan30th-31st'!$L$42,L36)</f>
        <v>97.8000861786755</v>
      </c>
      <c r="N36" s="4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.75" thickBot="1">
      <c r="B37" s="583"/>
      <c r="C37" s="350"/>
      <c r="D37" s="520"/>
      <c r="E37" s="521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.75" thickBot="1">
      <c r="B38" s="525"/>
      <c r="C38" s="362"/>
      <c r="D38" s="528"/>
      <c r="E38" s="529"/>
      <c r="F38" s="294"/>
      <c r="G38" s="42"/>
      <c r="H38" s="41"/>
      <c r="I38" s="42"/>
      <c r="J38" s="530" t="s">
        <v>129</v>
      </c>
      <c r="K38" s="530"/>
      <c r="L38" s="294"/>
      <c r="M38" s="294"/>
      <c r="N38" s="294"/>
      <c r="O38" s="294"/>
      <c r="P38" s="12"/>
    </row>
    <row r="39" spans="1:56" ht="15.75" thickBot="1">
      <c r="B39" s="526"/>
      <c r="C39" s="362"/>
      <c r="D39" s="524"/>
      <c r="E39" s="521"/>
      <c r="F39" s="294"/>
      <c r="G39" s="42"/>
      <c r="H39" s="41"/>
      <c r="I39" s="41"/>
      <c r="J39" s="292" t="s">
        <v>17</v>
      </c>
      <c r="K39" s="293" t="s">
        <v>172</v>
      </c>
      <c r="L39" s="531" t="s">
        <v>136</v>
      </c>
      <c r="M39" s="531"/>
      <c r="N39" s="532"/>
      <c r="O39" s="294"/>
      <c r="P39" s="12"/>
    </row>
    <row r="40" spans="1:56" ht="15" customHeight="1" thickBot="1">
      <c r="B40" s="526"/>
      <c r="C40" s="349"/>
      <c r="D40" s="522"/>
      <c r="E40" s="523"/>
      <c r="F40" s="294"/>
      <c r="G40" s="42"/>
      <c r="H40" s="41"/>
      <c r="I40" s="41"/>
      <c r="J40" s="287" t="s">
        <v>6</v>
      </c>
      <c r="K40" s="324">
        <v>6</v>
      </c>
      <c r="L40" s="473" t="s">
        <v>37</v>
      </c>
      <c r="M40" s="474" t="s">
        <v>38</v>
      </c>
      <c r="N40" s="474" t="s">
        <v>84</v>
      </c>
      <c r="O40" s="294"/>
      <c r="P40" s="12"/>
    </row>
    <row r="41" spans="1:56" ht="15.75" customHeight="1" thickBot="1">
      <c r="B41" s="526"/>
      <c r="C41" s="349"/>
      <c r="D41" s="524"/>
      <c r="E41" s="521"/>
      <c r="F41" s="294"/>
      <c r="G41" s="42"/>
      <c r="H41" s="41"/>
      <c r="I41" s="41"/>
      <c r="J41" s="345" t="s">
        <v>9</v>
      </c>
      <c r="K41" s="324">
        <v>3</v>
      </c>
      <c r="L41" s="344">
        <f>AVERAGE(K50,'Mar 2nd'!K49,'Mar 1st'!K55,'Mar 3rd'!K49,'Mar 4th'!K51,'Mar 5th'!K52,'Mar 6th '!K49,'Mar 9th'!K53,'Mar 10th'!K47)</f>
        <v>7.4444444444444446</v>
      </c>
      <c r="M41" s="325">
        <f>AVERAGE('[9]Jan30th-31st'!$L$47,L41,'[10]Feb 26th '!$L$39)</f>
        <v>6.543800322061192</v>
      </c>
      <c r="N41" s="416">
        <v>9.1999999999999993</v>
      </c>
      <c r="O41" s="294"/>
      <c r="P41" s="12"/>
    </row>
    <row r="42" spans="1:56" ht="15" customHeight="1">
      <c r="B42" s="526"/>
      <c r="C42" s="349"/>
      <c r="D42" s="522"/>
      <c r="E42" s="523"/>
      <c r="F42" s="294"/>
      <c r="G42" s="42"/>
      <c r="H42" s="41"/>
      <c r="I42" s="41"/>
      <c r="J42" s="288" t="s">
        <v>40</v>
      </c>
      <c r="K42" s="324"/>
      <c r="L42" s="294"/>
      <c r="M42" s="294"/>
      <c r="N42" s="294"/>
      <c r="O42" s="294"/>
      <c r="P42" s="12"/>
    </row>
    <row r="43" spans="1:56" ht="15" customHeight="1">
      <c r="B43" s="526"/>
      <c r="C43" s="349"/>
      <c r="D43" s="524"/>
      <c r="E43" s="521"/>
      <c r="F43" s="294"/>
      <c r="G43" s="42"/>
      <c r="H43" s="41"/>
      <c r="I43" s="41"/>
      <c r="J43" s="289" t="s">
        <v>33</v>
      </c>
      <c r="K43" s="324"/>
      <c r="L43" s="294"/>
      <c r="M43" s="294"/>
      <c r="N43" s="294"/>
      <c r="O43" s="294"/>
      <c r="P43" s="12"/>
    </row>
    <row r="44" spans="1:56" ht="15">
      <c r="B44" s="526"/>
      <c r="C44" s="349"/>
      <c r="D44" s="522"/>
      <c r="E44" s="523"/>
      <c r="F44" s="294"/>
      <c r="G44" s="42"/>
      <c r="H44" s="41"/>
      <c r="I44" s="41"/>
      <c r="J44" s="290" t="s">
        <v>16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6"/>
      <c r="C45" s="349"/>
      <c r="D45" s="524"/>
      <c r="E45" s="521"/>
      <c r="F45" s="294"/>
      <c r="G45" s="42"/>
      <c r="H45" s="41"/>
      <c r="I45" s="41"/>
      <c r="J45" s="291" t="s">
        <v>15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6"/>
      <c r="C46" s="349"/>
      <c r="D46" s="522"/>
      <c r="E46" s="523"/>
      <c r="F46" s="294"/>
      <c r="G46" s="42"/>
      <c r="H46" s="41"/>
      <c r="I46" s="41"/>
      <c r="J46" s="291" t="s">
        <v>149</v>
      </c>
      <c r="K46" s="324"/>
      <c r="L46" s="294"/>
      <c r="M46" s="294"/>
      <c r="N46" s="294"/>
      <c r="O46" s="294"/>
      <c r="P46" s="12"/>
      <c r="BC46" s="44"/>
      <c r="BD46" s="44"/>
    </row>
    <row r="47" spans="1:56" ht="15.75" thickBot="1">
      <c r="B47" s="527"/>
      <c r="C47" s="350"/>
      <c r="D47" s="533"/>
      <c r="E47" s="534"/>
      <c r="F47" s="294" t="s">
        <v>166</v>
      </c>
      <c r="G47" s="42"/>
      <c r="H47" s="41"/>
      <c r="I47" s="41"/>
      <c r="J47" s="291" t="s">
        <v>148</v>
      </c>
      <c r="K47" s="324"/>
      <c r="L47" s="294"/>
      <c r="M47" s="294"/>
      <c r="N47" s="294" t="s">
        <v>41</v>
      </c>
      <c r="O47" s="294"/>
      <c r="P47" s="12"/>
      <c r="BC47" s="44"/>
      <c r="BD47" s="44"/>
    </row>
    <row r="48" spans="1:56" ht="17.649999999999999" customHeight="1" thickBot="1">
      <c r="B48" s="312" t="s">
        <v>139</v>
      </c>
      <c r="C48" s="313"/>
      <c r="D48" s="535"/>
      <c r="E48" s="536"/>
      <c r="F48" s="294"/>
      <c r="H48" s="41"/>
      <c r="I48" s="41"/>
      <c r="J48" s="295" t="s">
        <v>134</v>
      </c>
      <c r="K48" s="324"/>
      <c r="L48" s="294"/>
      <c r="M48" s="294"/>
      <c r="N48" s="294"/>
      <c r="O48" s="294"/>
      <c r="P48" s="12"/>
      <c r="BC48" s="44"/>
      <c r="BD48" s="44"/>
    </row>
    <row r="49" spans="1:57" ht="17.649999999999999" customHeight="1">
      <c r="B49" s="363"/>
      <c r="C49" s="364"/>
      <c r="D49" s="365"/>
      <c r="E49" s="365"/>
      <c r="F49" s="294"/>
      <c r="G49" s="42"/>
      <c r="H49" s="41"/>
      <c r="I49" s="41"/>
      <c r="J49" s="295" t="s">
        <v>131</v>
      </c>
      <c r="K49" s="324"/>
      <c r="L49" s="294"/>
      <c r="M49" s="294"/>
      <c r="N49" s="294"/>
      <c r="O49" s="294"/>
      <c r="P49" s="12"/>
      <c r="BC49" s="44"/>
      <c r="BD49" s="44"/>
    </row>
    <row r="50" spans="1:57" ht="15.6" customHeight="1">
      <c r="B50" s="45"/>
      <c r="C50" s="11"/>
      <c r="D50" s="11"/>
      <c r="E50" s="46"/>
      <c r="F50" s="294"/>
      <c r="G50" s="42"/>
      <c r="H50" s="41"/>
      <c r="I50" s="41"/>
      <c r="J50" s="346" t="s">
        <v>130</v>
      </c>
      <c r="K50" s="324">
        <f>SUM(K40:K49)</f>
        <v>9</v>
      </c>
      <c r="L50" s="294"/>
      <c r="M50" s="294"/>
      <c r="N50" s="294"/>
      <c r="O50" s="294"/>
      <c r="P50" s="12"/>
    </row>
    <row r="51" spans="1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I51" s="42"/>
      <c r="L51" s="294"/>
      <c r="N51" s="315"/>
      <c r="P51" s="334"/>
    </row>
    <row r="52" spans="1:57" ht="15" customHeight="1" thickBo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1"/>
      <c r="O52" s="48"/>
      <c r="P52" s="49"/>
    </row>
    <row r="53" spans="1:57" ht="15" customHeight="1" thickBot="1">
      <c r="B53" s="537" t="s">
        <v>17</v>
      </c>
      <c r="C53" s="537" t="s">
        <v>44</v>
      </c>
      <c r="D53" s="540" t="s">
        <v>45</v>
      </c>
      <c r="E53" s="501" t="s">
        <v>46</v>
      </c>
      <c r="F53" s="510" t="s">
        <v>47</v>
      </c>
      <c r="G53" s="549" t="s">
        <v>48</v>
      </c>
      <c r="H53" s="537" t="s">
        <v>49</v>
      </c>
      <c r="I53" s="537" t="s">
        <v>50</v>
      </c>
      <c r="J53" s="543" t="s">
        <v>28</v>
      </c>
      <c r="K53" s="499" t="s">
        <v>51</v>
      </c>
      <c r="L53" s="552" t="s">
        <v>52</v>
      </c>
      <c r="M53" s="543" t="s">
        <v>53</v>
      </c>
      <c r="N53" s="13"/>
      <c r="O53" s="13"/>
      <c r="P53" s="50"/>
    </row>
    <row r="54" spans="1:57" ht="28.5" customHeight="1" thickTop="1" thickBot="1">
      <c r="B54" s="538"/>
      <c r="C54" s="539"/>
      <c r="D54" s="541"/>
      <c r="E54" s="542"/>
      <c r="F54" s="554"/>
      <c r="G54" s="550"/>
      <c r="H54" s="538"/>
      <c r="I54" s="538"/>
      <c r="J54" s="544"/>
      <c r="K54" s="551"/>
      <c r="L54" s="553"/>
      <c r="M54" s="544"/>
      <c r="N54" s="13"/>
      <c r="O54" s="13"/>
      <c r="P54" s="50"/>
      <c r="Q54" s="355"/>
      <c r="AB54" s="475">
        <v>43474</v>
      </c>
      <c r="AC54" s="475">
        <v>43475</v>
      </c>
      <c r="AD54" s="475">
        <v>43476</v>
      </c>
      <c r="AE54" s="475">
        <v>43477</v>
      </c>
      <c r="AF54" s="475">
        <v>43478</v>
      </c>
      <c r="AG54" s="475">
        <v>43479</v>
      </c>
      <c r="AH54" s="475">
        <v>43480</v>
      </c>
      <c r="AI54" s="475">
        <v>43481</v>
      </c>
      <c r="AJ54" s="475">
        <v>43482</v>
      </c>
      <c r="AK54" s="475">
        <v>43483</v>
      </c>
      <c r="AL54" s="475">
        <v>43484</v>
      </c>
      <c r="AM54" s="475">
        <v>43485</v>
      </c>
      <c r="AN54" s="475">
        <v>43486</v>
      </c>
      <c r="AO54" s="475">
        <v>43487</v>
      </c>
      <c r="AP54" s="475">
        <v>43488</v>
      </c>
      <c r="AQ54" s="475">
        <v>43489</v>
      </c>
      <c r="AR54" s="475">
        <v>43490</v>
      </c>
      <c r="AS54" s="475">
        <v>43491</v>
      </c>
      <c r="AT54" s="475">
        <v>43492</v>
      </c>
      <c r="AU54" s="475">
        <v>43493</v>
      </c>
      <c r="AV54" s="475">
        <v>43494</v>
      </c>
      <c r="AW54" s="475">
        <v>43495</v>
      </c>
      <c r="AX54" s="475">
        <v>43496</v>
      </c>
    </row>
    <row r="55" spans="1:57" s="54" customFormat="1" ht="36.75" customHeight="1" thickBot="1">
      <c r="B55" s="484" t="str">
        <f>J41</f>
        <v>STAG</v>
      </c>
      <c r="C55" s="479">
        <v>46092</v>
      </c>
      <c r="D55" s="442">
        <f>[11]March_2026!$N$13</f>
        <v>585.4</v>
      </c>
      <c r="E55" s="443"/>
      <c r="F55" s="444"/>
      <c r="G55" s="445">
        <f>[11]March_2026!$N$17</f>
        <v>557</v>
      </c>
      <c r="H55" s="458"/>
      <c r="I55" s="458"/>
      <c r="J55" s="448" t="s">
        <v>171</v>
      </c>
      <c r="K55" s="449">
        <f>[13]March_2026!$N$25</f>
        <v>0.97719298245614039</v>
      </c>
      <c r="L55" s="457">
        <f>(((D55+E55)-G55)/(D55+E55))*100</f>
        <v>4.8513836692859549</v>
      </c>
      <c r="M55" s="455" t="s">
        <v>183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[14]January_2019!L5</f>
        <v>0</v>
      </c>
      <c r="AC55" s="57">
        <f>[14]January_2019!M5</f>
        <v>0</v>
      </c>
      <c r="AD55" s="57">
        <f>[14]January_2019!N5</f>
        <v>0</v>
      </c>
      <c r="AE55" s="57">
        <f>[14]January_2019!O5</f>
        <v>0</v>
      </c>
      <c r="AF55" s="57">
        <f>[14]January_2019!P5</f>
        <v>0</v>
      </c>
      <c r="AG55" s="57">
        <f>[14]January_2019!Q5</f>
        <v>0</v>
      </c>
      <c r="AH55" s="57">
        <f>[14]January_2019!R5</f>
        <v>0</v>
      </c>
      <c r="AI55" s="57">
        <f>[14]January_2019!S5</f>
        <v>0</v>
      </c>
      <c r="AJ55" s="57">
        <f>[14]January_2019!T5</f>
        <v>0</v>
      </c>
      <c r="AK55" s="57">
        <f>[14]January_2019!U5</f>
        <v>0</v>
      </c>
      <c r="AL55" s="57">
        <f>[14]January_2019!V5</f>
        <v>0</v>
      </c>
      <c r="AM55" s="57">
        <f>[14]January_2019!W5</f>
        <v>0</v>
      </c>
      <c r="AN55" s="57">
        <f>[14]January_2019!X5</f>
        <v>0</v>
      </c>
      <c r="AO55" s="57">
        <f>[14]January_2019!Y5</f>
        <v>0</v>
      </c>
      <c r="AP55" s="57">
        <f>[14]January_2019!Z5</f>
        <v>0</v>
      </c>
      <c r="AQ55" s="57">
        <f>[14]January_2019!AA5</f>
        <v>0</v>
      </c>
      <c r="AR55" s="57">
        <f>[14]January_2019!AB5</f>
        <v>0</v>
      </c>
      <c r="AS55" s="57">
        <f>[14]January_2019!AC5</f>
        <v>0</v>
      </c>
      <c r="AT55" s="57">
        <f>[14]January_2019!AD5</f>
        <v>0</v>
      </c>
      <c r="AU55" s="57">
        <f>[14]January_2019!AE5</f>
        <v>0</v>
      </c>
      <c r="AV55" s="57">
        <f>[14]January_2019!AF5</f>
        <v>0</v>
      </c>
      <c r="AW55" s="57">
        <f>[14]January_2019!AG5</f>
        <v>0</v>
      </c>
      <c r="AX55" s="277">
        <f>[14]January_2019!AH5</f>
        <v>0</v>
      </c>
      <c r="AY55" s="277"/>
      <c r="AZ55" s="277"/>
      <c r="BA55" s="277"/>
      <c r="BB55" s="277"/>
      <c r="BC55" s="277"/>
      <c r="BD55" s="277"/>
      <c r="BE55" s="277"/>
    </row>
    <row r="56" spans="1:57" s="54" customFormat="1" ht="14.25" customHeight="1" thickBot="1">
      <c r="B56" s="480"/>
      <c r="C56" s="479"/>
      <c r="D56" s="442"/>
      <c r="E56" s="443"/>
      <c r="F56" s="444"/>
      <c r="G56" s="445"/>
      <c r="H56" s="458"/>
      <c r="I56" s="458"/>
      <c r="J56" s="476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[14]January_2019!L6</f>
        <v>0</v>
      </c>
      <c r="AC56" s="57">
        <f>[14]January_2019!M6</f>
        <v>0</v>
      </c>
      <c r="AD56" s="57">
        <f>[14]January_2019!N6</f>
        <v>0</v>
      </c>
      <c r="AE56" s="57">
        <f>[14]January_2019!O6</f>
        <v>0</v>
      </c>
      <c r="AF56" s="57">
        <f>[14]January_2019!P6</f>
        <v>0</v>
      </c>
      <c r="AG56" s="57">
        <f>[14]January_2019!Q6</f>
        <v>0</v>
      </c>
      <c r="AH56" s="57">
        <f>[14]January_2019!R6</f>
        <v>0</v>
      </c>
      <c r="AI56" s="57">
        <f>[14]January_2019!S6</f>
        <v>0</v>
      </c>
      <c r="AJ56" s="57">
        <f>[14]January_2019!T6</f>
        <v>0</v>
      </c>
      <c r="AK56" s="57">
        <f>[14]January_2019!U6</f>
        <v>0</v>
      </c>
      <c r="AL56" s="57">
        <f>[14]January_2019!V6</f>
        <v>0</v>
      </c>
      <c r="AM56" s="57">
        <f>[14]January_2019!W6</f>
        <v>0</v>
      </c>
      <c r="AN56" s="57">
        <f>[14]January_2019!X6</f>
        <v>0</v>
      </c>
      <c r="AO56" s="57">
        <f>[14]January_2019!Y6</f>
        <v>0</v>
      </c>
      <c r="AP56" s="57">
        <f>[14]January_2019!Z6</f>
        <v>0</v>
      </c>
      <c r="AQ56" s="57">
        <f>[14]January_2019!AA6</f>
        <v>0</v>
      </c>
      <c r="AR56" s="57">
        <f>[14]January_2019!AB6</f>
        <v>0</v>
      </c>
      <c r="AS56" s="57">
        <f>[14]January_2019!AC6</f>
        <v>0</v>
      </c>
      <c r="AT56" s="57">
        <f>[14]January_2019!AD6</f>
        <v>0</v>
      </c>
      <c r="AU56" s="57">
        <f>[14]January_2019!AE6</f>
        <v>0</v>
      </c>
      <c r="AV56" s="57">
        <f>[14]January_2019!AF6</f>
        <v>0</v>
      </c>
      <c r="AW56" s="57">
        <f>[14]January_2019!AG6</f>
        <v>0</v>
      </c>
      <c r="AX56" s="277">
        <f>[14]January_2019!AH6</f>
        <v>0</v>
      </c>
      <c r="AY56" s="277"/>
      <c r="AZ56" s="277"/>
      <c r="BA56" s="277"/>
      <c r="BB56" s="277"/>
      <c r="BC56" s="277"/>
      <c r="BD56" s="277"/>
      <c r="BE56" s="277"/>
    </row>
    <row r="57" spans="1:57" s="54" customFormat="1" ht="37.15" hidden="1" customHeight="1" thickBot="1">
      <c r="A57" s="54" t="s">
        <v>168</v>
      </c>
      <c r="B57" s="480"/>
      <c r="C57" s="479"/>
      <c r="D57" s="442"/>
      <c r="E57" s="443"/>
      <c r="F57" s="444"/>
      <c r="G57" s="445"/>
      <c r="H57" s="458"/>
      <c r="I57" s="458"/>
      <c r="J57" s="448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[14]January_2019!L7</f>
        <v>285.8</v>
      </c>
      <c r="AC57" s="57">
        <f>[14]January_2019!M7</f>
        <v>508.1</v>
      </c>
      <c r="AD57" s="57">
        <f>[14]January_2019!N7</f>
        <v>0</v>
      </c>
      <c r="AE57" s="57">
        <f>[14]January_2019!O7</f>
        <v>0</v>
      </c>
      <c r="AF57" s="57">
        <f>[14]January_2019!P7</f>
        <v>109.56666666666666</v>
      </c>
      <c r="AG57" s="57">
        <f>[14]January_2019!Q7</f>
        <v>297.64999999999998</v>
      </c>
      <c r="AH57" s="57">
        <f>[14]January_2019!R7</f>
        <v>122.3</v>
      </c>
      <c r="AI57" s="57">
        <f>[14]January_2019!S7</f>
        <v>0</v>
      </c>
      <c r="AJ57" s="57">
        <f>[14]January_2019!T7</f>
        <v>294.7</v>
      </c>
      <c r="AK57" s="57">
        <f>[14]January_2019!U7</f>
        <v>280.5</v>
      </c>
      <c r="AL57" s="57">
        <f>[14]January_2019!V7</f>
        <v>0</v>
      </c>
      <c r="AM57" s="57">
        <f>[14]January_2019!W7</f>
        <v>0</v>
      </c>
      <c r="AN57" s="57">
        <f>[14]January_2019!X7</f>
        <v>188.25</v>
      </c>
      <c r="AO57" s="57">
        <f>[14]January_2019!Y7</f>
        <v>295.7</v>
      </c>
      <c r="AP57" s="57">
        <f>[14]January_2019!Z7</f>
        <v>257.8</v>
      </c>
      <c r="AQ57" s="57">
        <f>[14]January_2019!AA7</f>
        <v>291.2</v>
      </c>
      <c r="AR57" s="57">
        <f>[14]January_2019!AB7</f>
        <v>187</v>
      </c>
      <c r="AS57" s="57">
        <f>[14]January_2019!AC7</f>
        <v>0</v>
      </c>
      <c r="AT57" s="57">
        <f>[14]January_2019!AD7</f>
        <v>0</v>
      </c>
      <c r="AU57" s="57">
        <f>[14]January_2019!AE7</f>
        <v>485.1</v>
      </c>
      <c r="AV57" s="57">
        <f>[14]January_2019!AF7</f>
        <v>171.55</v>
      </c>
      <c r="AW57" s="57">
        <f>[14]January_2019!AG7</f>
        <v>423.8</v>
      </c>
      <c r="AX57" s="277">
        <f>[14]January_2019!AH7</f>
        <v>0</v>
      </c>
      <c r="AY57" s="277"/>
      <c r="AZ57" s="277"/>
      <c r="BA57" s="277"/>
      <c r="BB57" s="277"/>
      <c r="BC57" s="277"/>
      <c r="BD57" s="277"/>
      <c r="BE57" s="277"/>
    </row>
    <row r="58" spans="1:57" s="54" customFormat="1" ht="19.5" hidden="1" customHeight="1" thickBot="1">
      <c r="B58" s="478"/>
      <c r="C58" s="430"/>
      <c r="D58" s="431"/>
      <c r="E58" s="432"/>
      <c r="F58" s="433"/>
      <c r="G58" s="434"/>
      <c r="H58" s="458"/>
      <c r="I58" s="458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1:57" s="54" customFormat="1" ht="38.450000000000003" hidden="1" customHeight="1" thickBot="1">
      <c r="B59" s="480"/>
      <c r="C59" s="479"/>
      <c r="D59" s="442"/>
      <c r="E59" s="443"/>
      <c r="F59" s="444"/>
      <c r="G59" s="445"/>
      <c r="H59" s="458"/>
      <c r="I59" s="458"/>
      <c r="J59" s="448" t="s">
        <v>171</v>
      </c>
      <c r="K59" s="459"/>
      <c r="L59" s="457" t="e">
        <f>(((D59+E59)-G59)/(D59+E59))*100</f>
        <v>#DIV/0!</v>
      </c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15" hidden="1">
      <c r="B60" s="453"/>
      <c r="C60" s="430"/>
      <c r="D60" s="431"/>
      <c r="E60" s="432"/>
      <c r="F60" s="433"/>
      <c r="G60" s="434"/>
      <c r="H60" s="435"/>
      <c r="I60" s="450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37.15" hidden="1" customHeight="1" thickBot="1">
      <c r="B61" s="480"/>
      <c r="C61" s="479"/>
      <c r="D61" s="442"/>
      <c r="E61" s="443"/>
      <c r="F61" s="444"/>
      <c r="G61" s="445"/>
      <c r="H61" s="446"/>
      <c r="I61" s="447"/>
      <c r="J61" s="448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16.5" hidden="1" customHeight="1" thickBot="1">
      <c r="B62" s="437"/>
      <c r="C62" s="423"/>
      <c r="D62" s="424"/>
      <c r="E62" s="425"/>
      <c r="F62" s="426"/>
      <c r="G62" s="427"/>
      <c r="H62" s="428"/>
      <c r="I62" s="438"/>
      <c r="J62" s="439"/>
      <c r="K62" s="429"/>
      <c r="L62" s="440"/>
      <c r="M62" s="422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15"/>
      <c r="AC62" s="415"/>
      <c r="AD62" s="415"/>
      <c r="AE62" s="415"/>
      <c r="AF62" s="415"/>
      <c r="AG62" s="415"/>
      <c r="AH62" s="415"/>
      <c r="AI62" s="415"/>
      <c r="AJ62" s="415"/>
      <c r="AK62" s="415"/>
      <c r="AL62" s="415"/>
      <c r="AM62" s="415"/>
      <c r="AN62" s="415"/>
      <c r="AO62" s="415"/>
      <c r="AP62" s="415"/>
      <c r="AQ62" s="415"/>
      <c r="AR62" s="415"/>
      <c r="AS62" s="415"/>
      <c r="AT62" s="415"/>
      <c r="AU62" s="415"/>
      <c r="AV62" s="415"/>
      <c r="AW62" s="415"/>
    </row>
    <row r="63" spans="1:57" s="54" customFormat="1" ht="37.15" hidden="1" customHeight="1" thickBot="1">
      <c r="B63" s="456"/>
      <c r="C63" s="441"/>
      <c r="D63" s="442"/>
      <c r="E63" s="443"/>
      <c r="F63" s="444"/>
      <c r="G63" s="445"/>
      <c r="H63" s="446"/>
      <c r="I63" s="447"/>
      <c r="J63" s="448"/>
      <c r="K63" s="449"/>
      <c r="L63" s="457"/>
      <c r="M63" s="454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s="54" customFormat="1" ht="37.15" customHeight="1">
      <c r="B64" s="466"/>
      <c r="C64" s="430"/>
      <c r="D64" s="460"/>
      <c r="E64" s="461"/>
      <c r="F64" s="462"/>
      <c r="G64" s="460"/>
      <c r="H64" s="463"/>
      <c r="I64" s="463"/>
      <c r="J64" s="463"/>
      <c r="K64" s="464"/>
      <c r="L64" s="465"/>
      <c r="M64" s="50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 t="s">
        <v>41</v>
      </c>
      <c r="O65" s="56"/>
      <c r="P65" s="60"/>
    </row>
    <row r="66" spans="2:16" ht="15.75" thickBot="1">
      <c r="B66" s="545" t="s">
        <v>55</v>
      </c>
      <c r="C66" s="546"/>
      <c r="D66" s="546"/>
      <c r="E66" s="546"/>
      <c r="F66" s="547"/>
      <c r="G66" s="545" t="s">
        <v>56</v>
      </c>
      <c r="H66" s="546"/>
      <c r="I66" s="546"/>
      <c r="J66" s="547"/>
      <c r="K66" s="545" t="s">
        <v>51</v>
      </c>
      <c r="L66" s="546"/>
      <c r="M66" s="546"/>
      <c r="N66" s="548"/>
      <c r="O66" s="56"/>
      <c r="P66" s="50"/>
    </row>
    <row r="67" spans="2:16" ht="15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 t="s">
        <v>36</v>
      </c>
      <c r="L67" s="62" t="s">
        <v>37</v>
      </c>
      <c r="M67" s="62" t="s">
        <v>38</v>
      </c>
      <c r="N67" s="63" t="s">
        <v>39</v>
      </c>
      <c r="O67" s="56"/>
      <c r="P67" s="64"/>
    </row>
    <row r="68" spans="2:16" ht="15">
      <c r="B68" s="29" t="s">
        <v>6</v>
      </c>
      <c r="C68" s="282"/>
      <c r="D68" s="76">
        <v>7.483481758115472</v>
      </c>
      <c r="E68" s="76">
        <v>7.335066202576412</v>
      </c>
      <c r="F68" s="66">
        <v>4.8</v>
      </c>
      <c r="G68" s="65"/>
      <c r="H68" s="477">
        <v>7.0237807669753574</v>
      </c>
      <c r="I68" s="477">
        <v>7.3894009766315163</v>
      </c>
      <c r="J68" s="66">
        <v>4.8</v>
      </c>
      <c r="K68" s="67"/>
      <c r="L68" s="194">
        <v>0.27168755221386798</v>
      </c>
      <c r="M68" s="194">
        <v>0.37434465277838141</v>
      </c>
      <c r="N68" s="68">
        <v>1</v>
      </c>
      <c r="O68" s="56"/>
      <c r="P68" s="69"/>
    </row>
    <row r="69" spans="2:16" ht="15">
      <c r="B69" s="33" t="s">
        <v>9</v>
      </c>
      <c r="C69" s="65">
        <f>L55</f>
        <v>4.8513836692859549</v>
      </c>
      <c r="D69" s="76">
        <v>6.226853304877273</v>
      </c>
      <c r="E69" s="76">
        <v>6.218558063401959</v>
      </c>
      <c r="F69" s="66">
        <v>4.8</v>
      </c>
      <c r="G69" s="65">
        <f>[11]March_2026!$N$21</f>
        <v>2.851493592811754</v>
      </c>
      <c r="H69" s="76">
        <v>5.6013387717202709</v>
      </c>
      <c r="I69" s="76">
        <v>6.0251504474659541</v>
      </c>
      <c r="J69" s="66">
        <v>4.8</v>
      </c>
      <c r="K69" s="67">
        <f>K55</f>
        <v>0.97719298245614039</v>
      </c>
      <c r="L69" s="194">
        <v>0.74087719298245613</v>
      </c>
      <c r="M69" s="194">
        <v>0.60474102461797952</v>
      </c>
      <c r="N69" s="68">
        <v>1</v>
      </c>
      <c r="P69" s="69"/>
    </row>
    <row r="70" spans="2:16" ht="15">
      <c r="B70" s="34" t="s">
        <v>40</v>
      </c>
      <c r="C70" s="65"/>
      <c r="D70" s="76">
        <v>17.736185383244202</v>
      </c>
      <c r="E70" s="76">
        <v>13.787999544574737</v>
      </c>
      <c r="F70" s="66">
        <v>5.5</v>
      </c>
      <c r="G70" s="65"/>
      <c r="H70" s="76">
        <v>18.680986829617162</v>
      </c>
      <c r="I70" s="76">
        <v>14.166613807253221</v>
      </c>
      <c r="J70" s="66">
        <v>5.5</v>
      </c>
      <c r="K70" s="67"/>
      <c r="L70" s="194">
        <v>0.12954385964912282</v>
      </c>
      <c r="M70" s="194">
        <v>0.28657456140350879</v>
      </c>
      <c r="N70" s="68">
        <v>1</v>
      </c>
      <c r="P70" s="69"/>
    </row>
    <row r="71" spans="2:16" ht="15">
      <c r="B71" s="22" t="s">
        <v>33</v>
      </c>
      <c r="C71" s="65"/>
      <c r="D71" s="76">
        <v>4.786281034041461</v>
      </c>
      <c r="E71" s="76">
        <v>4.9619586520196597</v>
      </c>
      <c r="F71" s="66">
        <v>3.3</v>
      </c>
      <c r="G71" s="65"/>
      <c r="H71" s="76">
        <v>5.4251963146907434</v>
      </c>
      <c r="I71" s="76">
        <v>4.9501867212112511</v>
      </c>
      <c r="J71" s="66">
        <v>3.3</v>
      </c>
      <c r="K71" s="67"/>
      <c r="L71" s="194">
        <v>1.3052631578947369</v>
      </c>
      <c r="M71" s="194">
        <v>0.88064327485380123</v>
      </c>
      <c r="N71" s="68">
        <v>1</v>
      </c>
      <c r="P71" s="69"/>
    </row>
    <row r="72" spans="2:16" ht="15">
      <c r="B72" s="35" t="s">
        <v>164</v>
      </c>
      <c r="C72" s="65"/>
      <c r="D72" s="76"/>
      <c r="E72" s="76"/>
      <c r="F72" s="66">
        <v>3.3</v>
      </c>
      <c r="G72" s="282"/>
      <c r="H72" s="76"/>
      <c r="I72" s="76"/>
      <c r="J72" s="66">
        <v>3</v>
      </c>
      <c r="K72" s="67"/>
      <c r="L72" s="194"/>
      <c r="M72" s="194"/>
      <c r="N72" s="68">
        <v>1</v>
      </c>
      <c r="P72" s="69"/>
    </row>
    <row r="73" spans="2:16" ht="15">
      <c r="B73" s="36" t="s">
        <v>15</v>
      </c>
      <c r="C73" s="65"/>
      <c r="D73" s="76"/>
      <c r="E73" s="76">
        <v>5.1105651105651271</v>
      </c>
      <c r="F73" s="70">
        <f>[15]May_2022!$M$43</f>
        <v>3.4878406700073312</v>
      </c>
      <c r="G73" s="282"/>
      <c r="H73" s="76"/>
      <c r="I73" s="76">
        <v>7.9131369535794072</v>
      </c>
      <c r="J73" s="66">
        <v>5.5</v>
      </c>
      <c r="K73" s="67"/>
      <c r="L73" s="194"/>
      <c r="M73" s="194">
        <v>1.3550877192982456</v>
      </c>
      <c r="N73" s="68">
        <v>1</v>
      </c>
      <c r="P73" s="69"/>
    </row>
    <row r="74" spans="2:16" ht="15">
      <c r="B74" s="37" t="s">
        <v>16</v>
      </c>
      <c r="C74" s="65"/>
      <c r="D74" s="76"/>
      <c r="E74" s="76">
        <v>3.9401442566476499</v>
      </c>
      <c r="F74" s="66">
        <v>3.3</v>
      </c>
      <c r="G74" s="282"/>
      <c r="H74" s="76"/>
      <c r="I74" s="76">
        <v>4.7059150132172638</v>
      </c>
      <c r="J74" s="66">
        <v>3.3</v>
      </c>
      <c r="K74" s="67"/>
      <c r="L74" s="194"/>
      <c r="M74" s="194">
        <v>0.82374269005847967</v>
      </c>
      <c r="N74" s="71">
        <v>1</v>
      </c>
      <c r="P74" s="69"/>
    </row>
    <row r="75" spans="2:16" ht="15.75" thickBot="1">
      <c r="B75" s="38" t="s">
        <v>163</v>
      </c>
      <c r="C75" s="65"/>
      <c r="D75" s="76"/>
      <c r="E75" s="76"/>
      <c r="F75" s="66">
        <v>7.5</v>
      </c>
      <c r="G75" s="282"/>
      <c r="H75" s="76"/>
      <c r="I75" s="76"/>
      <c r="J75" s="66">
        <v>7.5</v>
      </c>
      <c r="K75" s="67"/>
      <c r="L75" s="194"/>
      <c r="M75" s="194"/>
      <c r="N75" s="71">
        <v>1</v>
      </c>
      <c r="P75" s="69"/>
    </row>
    <row r="76" spans="2:16" ht="15.75" thickBot="1">
      <c r="B76" s="414" t="s">
        <v>161</v>
      </c>
      <c r="C76" s="65"/>
      <c r="D76" s="76"/>
      <c r="E76" s="76"/>
      <c r="F76" s="66">
        <v>4.8</v>
      </c>
      <c r="G76" s="282"/>
      <c r="H76" s="76"/>
      <c r="I76" s="76"/>
      <c r="J76" s="66">
        <v>4.8</v>
      </c>
      <c r="K76" s="67"/>
      <c r="L76" s="194"/>
      <c r="M76" s="194"/>
      <c r="N76" s="71">
        <v>1</v>
      </c>
      <c r="O76" s="74"/>
      <c r="P76" s="75"/>
    </row>
    <row r="77" spans="2:16" ht="15">
      <c r="D77" s="76">
        <v>7.27378770204965</v>
      </c>
      <c r="E77" s="76">
        <v>6.9604979042296398</v>
      </c>
      <c r="F77" s="341">
        <v>5.5</v>
      </c>
      <c r="H77" s="76">
        <v>7.2216104604572511</v>
      </c>
      <c r="I77" s="76">
        <v>7.1413204502620715</v>
      </c>
      <c r="J77" s="341">
        <v>5.5</v>
      </c>
      <c r="L77" s="194">
        <v>0.54850659983291572</v>
      </c>
      <c r="M77" s="194">
        <v>0.43592348057644115</v>
      </c>
      <c r="N77" s="386">
        <v>1</v>
      </c>
    </row>
  </sheetData>
  <mergeCells count="51">
    <mergeCell ref="M53:M54"/>
    <mergeCell ref="B66:F66"/>
    <mergeCell ref="G66:J66"/>
    <mergeCell ref="K66:N66"/>
    <mergeCell ref="G53:G54"/>
    <mergeCell ref="H53:H54"/>
    <mergeCell ref="I53:I54"/>
    <mergeCell ref="J53:J54"/>
    <mergeCell ref="K53:K54"/>
    <mergeCell ref="L53:L54"/>
    <mergeCell ref="F53:F54"/>
    <mergeCell ref="D48:E48"/>
    <mergeCell ref="B53:B54"/>
    <mergeCell ref="C53:C54"/>
    <mergeCell ref="D53:D54"/>
    <mergeCell ref="E53:E54"/>
    <mergeCell ref="B38:B47"/>
    <mergeCell ref="D38:E39"/>
    <mergeCell ref="J38:K38"/>
    <mergeCell ref="L39:N39"/>
    <mergeCell ref="D40:E41"/>
    <mergeCell ref="D42:E43"/>
    <mergeCell ref="D44:E45"/>
    <mergeCell ref="D46:E47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8:B49">
    <cfRule type="cellIs" dxfId="2256" priority="76" operator="notBetween">
      <formula>#REF!</formula>
      <formula>#REF!</formula>
    </cfRule>
  </conditionalFormatting>
  <conditionalFormatting sqref="C52">
    <cfRule type="cellIs" dxfId="2255" priority="171" stopIfTrue="1" operator="greaterThan">
      <formula>100</formula>
    </cfRule>
    <cfRule type="cellIs" dxfId="2254" priority="170" stopIfTrue="1" operator="lessThan">
      <formula>96</formula>
    </cfRule>
  </conditionalFormatting>
  <conditionalFormatting sqref="C68:C72">
    <cfRule type="cellIs" dxfId="2253" priority="139" stopIfTrue="1" operator="lessThanOrEqual">
      <formula>0</formula>
    </cfRule>
  </conditionalFormatting>
  <conditionalFormatting sqref="C68:C76">
    <cfRule type="cellIs" dxfId="2252" priority="138" stopIfTrue="1" operator="greaterThan">
      <formula>$F68</formula>
    </cfRule>
  </conditionalFormatting>
  <conditionalFormatting sqref="C69">
    <cfRule type="cellIs" dxfId="2251" priority="172" stopIfTrue="1" operator="greaterThan">
      <formula>$F68</formula>
    </cfRule>
  </conditionalFormatting>
  <conditionalFormatting sqref="C73">
    <cfRule type="cellIs" dxfId="2250" priority="100" stopIfTrue="1" operator="lessThanOrEqual">
      <formula>0</formula>
    </cfRule>
    <cfRule type="cellIs" dxfId="2249" priority="101" stopIfTrue="1" operator="greaterThan">
      <formula>$F72</formula>
    </cfRule>
  </conditionalFormatting>
  <conditionalFormatting sqref="C74:C76">
    <cfRule type="cellIs" dxfId="2248" priority="140" stopIfTrue="1" operator="lessThanOrEqual">
      <formula>0</formula>
    </cfRule>
  </conditionalFormatting>
  <conditionalFormatting sqref="C79:C83">
    <cfRule type="cellIs" dxfId="2247" priority="162" stopIfTrue="1" operator="lessThanOrEqual">
      <formula>0</formula>
    </cfRule>
  </conditionalFormatting>
  <conditionalFormatting sqref="C80:C83">
    <cfRule type="cellIs" dxfId="2246" priority="161" stopIfTrue="1" operator="greaterThan">
      <formula>$F$79</formula>
    </cfRule>
  </conditionalFormatting>
  <conditionalFormatting sqref="C85">
    <cfRule type="cellIs" dxfId="2245" priority="164" stopIfTrue="1" operator="lessThanOrEqual">
      <formula>0</formula>
    </cfRule>
    <cfRule type="cellIs" dxfId="2244" priority="163" stopIfTrue="1" operator="greaterThan">
      <formula>$F$79</formula>
    </cfRule>
  </conditionalFormatting>
  <conditionalFormatting sqref="C79:D79 D81:D87">
    <cfRule type="cellIs" dxfId="2243" priority="156" stopIfTrue="1" operator="greaterThan">
      <formula>4.5</formula>
    </cfRule>
  </conditionalFormatting>
  <conditionalFormatting sqref="D48:D49">
    <cfRule type="cellIs" dxfId="2242" priority="77" operator="notBetween">
      <formula>#REF!</formula>
      <formula>#REF!</formula>
    </cfRule>
  </conditionalFormatting>
  <conditionalFormatting sqref="D68:D75">
    <cfRule type="cellIs" dxfId="2241" priority="49" stopIfTrue="1" operator="lessThanOrEqual">
      <formula>0</formula>
    </cfRule>
  </conditionalFormatting>
  <conditionalFormatting sqref="D68:D77">
    <cfRule type="cellIs" dxfId="2240" priority="28" stopIfTrue="1" operator="lessThanOrEqual">
      <formula>0</formula>
    </cfRule>
  </conditionalFormatting>
  <conditionalFormatting sqref="D76">
    <cfRule type="cellIs" dxfId="2239" priority="48" stopIfTrue="1" operator="lessThanOrEqual">
      <formula>0</formula>
    </cfRule>
  </conditionalFormatting>
  <conditionalFormatting sqref="D77">
    <cfRule type="cellIs" dxfId="2238" priority="43" stopIfTrue="1" operator="lessThanOrEqual">
      <formula>0</formula>
    </cfRule>
  </conditionalFormatting>
  <conditionalFormatting sqref="D79 D81:D87">
    <cfRule type="cellIs" dxfId="2237" priority="157" stopIfTrue="1" operator="lessThanOrEqual">
      <formula>0</formula>
    </cfRule>
  </conditionalFormatting>
  <conditionalFormatting sqref="D80">
    <cfRule type="cellIs" dxfId="2236" priority="148" stopIfTrue="1" operator="greaterThan">
      <formula>$F$79</formula>
    </cfRule>
    <cfRule type="cellIs" dxfId="2235" priority="149" stopIfTrue="1" operator="lessThanOrEqual">
      <formula>0</formula>
    </cfRule>
  </conditionalFormatting>
  <conditionalFormatting sqref="D68:E77">
    <cfRule type="cellIs" dxfId="2234" priority="30" stopIfTrue="1" operator="greaterThan">
      <formula>$F68</formula>
    </cfRule>
  </conditionalFormatting>
  <conditionalFormatting sqref="D77:E77">
    <cfRule type="cellIs" dxfId="2233" priority="32" stopIfTrue="1" operator="lessThanOrEqual">
      <formula>0</formula>
    </cfRule>
  </conditionalFormatting>
  <conditionalFormatting sqref="E10:E23">
    <cfRule type="cellIs" dxfId="2232" priority="19" operator="lessThan">
      <formula>48</formula>
    </cfRule>
  </conditionalFormatting>
  <conditionalFormatting sqref="E51 E52:F52">
    <cfRule type="cellIs" dxfId="2231" priority="153" stopIfTrue="1" operator="greaterThan">
      <formula>100</formula>
    </cfRule>
  </conditionalFormatting>
  <conditionalFormatting sqref="E52">
    <cfRule type="cellIs" dxfId="2230" priority="150" stopIfTrue="1" operator="lessThan">
      <formula>96.8</formula>
    </cfRule>
    <cfRule type="cellIs" dxfId="2229" priority="151" stopIfTrue="1" operator="greaterThan">
      <formula>100</formula>
    </cfRule>
  </conditionalFormatting>
  <conditionalFormatting sqref="E68:E76">
    <cfRule type="cellIs" dxfId="2228" priority="29" stopIfTrue="1" operator="lessThanOrEqual">
      <formula>0</formula>
    </cfRule>
  </conditionalFormatting>
  <conditionalFormatting sqref="E68:E77">
    <cfRule type="cellIs" dxfId="2227" priority="31" stopIfTrue="1" operator="lessThanOrEqual">
      <formula>0</formula>
    </cfRule>
  </conditionalFormatting>
  <conditionalFormatting sqref="E79:E87">
    <cfRule type="cellIs" dxfId="2226" priority="142" stopIfTrue="1" operator="greaterThan">
      <formula>4.5</formula>
    </cfRule>
    <cfRule type="cellIs" dxfId="2225" priority="143" stopIfTrue="1" operator="lessThanOrEqual">
      <formula>0</formula>
    </cfRule>
  </conditionalFormatting>
  <conditionalFormatting sqref="E52:F52 E51">
    <cfRule type="cellIs" dxfId="2224" priority="152" stopIfTrue="1" operator="lessThan">
      <formula>96.5</formula>
    </cfRule>
  </conditionalFormatting>
  <conditionalFormatting sqref="F14:F21 F23">
    <cfRule type="cellIs" dxfId="2223" priority="24" operator="greaterThan">
      <formula>60</formula>
    </cfRule>
  </conditionalFormatting>
  <conditionalFormatting sqref="F52">
    <cfRule type="cellIs" dxfId="2222" priority="169" stopIfTrue="1" operator="greaterThan">
      <formula>100</formula>
    </cfRule>
    <cfRule type="cellIs" dxfId="2221" priority="168" stopIfTrue="1" operator="lessThan">
      <formula>96.8</formula>
    </cfRule>
  </conditionalFormatting>
  <conditionalFormatting sqref="F77">
    <cfRule type="cellIs" dxfId="2220" priority="47" stopIfTrue="1" operator="lessThanOrEqual">
      <formula>0</formula>
    </cfRule>
    <cfRule type="cellIs" dxfId="2219" priority="46" stopIfTrue="1" operator="greaterThan">
      <formula>$F77</formula>
    </cfRule>
  </conditionalFormatting>
  <conditionalFormatting sqref="G10">
    <cfRule type="expression" dxfId="2218" priority="1">
      <formula>IF(+(IF(G10&lt;S10,0,IF(G10&gt;T10,0,1)))=0,1)</formula>
    </cfRule>
  </conditionalFormatting>
  <conditionalFormatting sqref="G14:G21">
    <cfRule type="expression" dxfId="2217" priority="4">
      <formula>IF(+(IF(G14&lt;S14,0,IF(G14&gt;T14,0,1)))=0,1)</formula>
    </cfRule>
  </conditionalFormatting>
  <conditionalFormatting sqref="G68:G69">
    <cfRule type="cellIs" dxfId="2216" priority="50" stopIfTrue="1" operator="greaterThan">
      <formula>$F68</formula>
    </cfRule>
    <cfRule type="cellIs" dxfId="2215" priority="51" stopIfTrue="1" operator="lessThanOrEqual">
      <formula>0</formula>
    </cfRule>
    <cfRule type="cellIs" dxfId="2214" priority="44" stopIfTrue="1" operator="greaterThan">
      <formula>$F68</formula>
    </cfRule>
    <cfRule type="cellIs" dxfId="2213" priority="45" stopIfTrue="1" operator="lessThanOrEqual">
      <formula>0</formula>
    </cfRule>
  </conditionalFormatting>
  <conditionalFormatting sqref="G70">
    <cfRule type="cellIs" dxfId="2212" priority="55" stopIfTrue="1" operator="lessThanOrEqual">
      <formula>0</formula>
    </cfRule>
    <cfRule type="cellIs" dxfId="2211" priority="54" stopIfTrue="1" operator="greaterThan">
      <formula>$F69</formula>
    </cfRule>
  </conditionalFormatting>
  <conditionalFormatting sqref="G71">
    <cfRule type="cellIs" dxfId="2210" priority="38" stopIfTrue="1" operator="greaterThan">
      <formula>$F71</formula>
    </cfRule>
    <cfRule type="cellIs" dxfId="2209" priority="37" stopIfTrue="1" operator="lessThanOrEqual">
      <formula>0</formula>
    </cfRule>
    <cfRule type="cellIs" dxfId="2208" priority="39" stopIfTrue="1" operator="lessThanOrEqual">
      <formula>0</formula>
    </cfRule>
    <cfRule type="cellIs" dxfId="2207" priority="36" stopIfTrue="1" operator="greaterThan">
      <formula>$F71</formula>
    </cfRule>
  </conditionalFormatting>
  <conditionalFormatting sqref="G72:G76">
    <cfRule type="cellIs" dxfId="2206" priority="52" stopIfTrue="1" operator="greaterThan">
      <formula>$J72</formula>
    </cfRule>
    <cfRule type="cellIs" dxfId="2205" priority="53" stopIfTrue="1" operator="lessThanOrEqual">
      <formula>0</formula>
    </cfRule>
  </conditionalFormatting>
  <conditionalFormatting sqref="G81:G86 C84 C86">
    <cfRule type="cellIs" dxfId="2204" priority="166" stopIfTrue="1" operator="lessThanOrEqual">
      <formula>0</formula>
    </cfRule>
    <cfRule type="cellIs" dxfId="2203" priority="165" stopIfTrue="1" operator="greaterThan">
      <formula>4.5</formula>
    </cfRule>
  </conditionalFormatting>
  <conditionalFormatting sqref="G22:H23">
    <cfRule type="expression" dxfId="2202" priority="73">
      <formula>IF(+(IF(G22&lt;#REF!,0,IF(G22&gt;#REF!,0,1)))=0,1)</formula>
    </cfRule>
  </conditionalFormatting>
  <conditionalFormatting sqref="G80:H80">
    <cfRule type="cellIs" dxfId="2201" priority="146" stopIfTrue="1" operator="greaterThan">
      <formula>$F$79</formula>
    </cfRule>
    <cfRule type="cellIs" dxfId="2200" priority="147" stopIfTrue="1" operator="lessThanOrEqual">
      <formula>0</formula>
    </cfRule>
  </conditionalFormatting>
  <conditionalFormatting sqref="H10 M10:N13 G11:H13 M22:N23">
    <cfRule type="expression" dxfId="2199" priority="174">
      <formula>IF(+(IF(G10&lt;#REF!,0,IF(G10&gt;#REF!,0,1)))=0,1)</formula>
    </cfRule>
  </conditionalFormatting>
  <conditionalFormatting sqref="H14:H21">
    <cfRule type="expression" dxfId="2198" priority="13">
      <formula>IF(+(IF(H14&lt;#REF!,0,IF(H14&gt;#REF!,0,1)))=0,1)</formula>
    </cfRule>
  </conditionalFormatting>
  <conditionalFormatting sqref="H37:H51 I39:I50">
    <cfRule type="cellIs" dxfId="2197" priority="144" stopIfTrue="1" operator="greaterThan">
      <formula>0</formula>
    </cfRule>
  </conditionalFormatting>
  <conditionalFormatting sqref="H55:H59">
    <cfRule type="cellIs" dxfId="2196" priority="70" stopIfTrue="1" operator="greaterThan">
      <formula>$F$69</formula>
    </cfRule>
    <cfRule type="cellIs" dxfId="2195" priority="68" stopIfTrue="1" operator="greaterThan">
      <formula>$F$71</formula>
    </cfRule>
    <cfRule type="cellIs" dxfId="2194" priority="69" stopIfTrue="1" operator="lessThanOrEqual">
      <formula>0</formula>
    </cfRule>
    <cfRule type="cellIs" dxfId="2193" priority="71" stopIfTrue="1" operator="lessThanOrEqual">
      <formula>0</formula>
    </cfRule>
    <cfRule type="cellIs" dxfId="2192" priority="59" stopIfTrue="1" operator="lessThanOrEqual">
      <formula>0</formula>
    </cfRule>
    <cfRule type="cellIs" dxfId="2191" priority="60" stopIfTrue="1" operator="greaterThan">
      <formula>$F$68</formula>
    </cfRule>
  </conditionalFormatting>
  <conditionalFormatting sqref="H60:H61">
    <cfRule type="cellIs" dxfId="2190" priority="114" stopIfTrue="1" operator="greaterThan">
      <formula>#REF!</formula>
    </cfRule>
    <cfRule type="cellIs" dxfId="2189" priority="112" stopIfTrue="1" operator="greaterThan">
      <formula>$F$23</formula>
    </cfRule>
    <cfRule type="cellIs" dxfId="2188" priority="104" stopIfTrue="1" operator="greaterThan">
      <formula>#REF!</formula>
    </cfRule>
    <cfRule type="cellIs" dxfId="2187" priority="103" stopIfTrue="1" operator="lessThanOrEqual">
      <formula>0</formula>
    </cfRule>
    <cfRule type="cellIs" dxfId="2186" priority="113" stopIfTrue="1" operator="lessThanOrEqual">
      <formula>0</formula>
    </cfRule>
    <cfRule type="cellIs" dxfId="2185" priority="115" stopIfTrue="1" operator="lessThanOrEqual">
      <formula>0</formula>
    </cfRule>
  </conditionalFormatting>
  <conditionalFormatting sqref="H62">
    <cfRule type="cellIs" dxfId="2184" priority="126" stopIfTrue="1" operator="greaterThan">
      <formula>$F$39</formula>
    </cfRule>
    <cfRule type="cellIs" dxfId="2183" priority="127" stopIfTrue="1" operator="lessThanOrEqual">
      <formula>0</formula>
    </cfRule>
    <cfRule type="cellIs" dxfId="2182" priority="128" stopIfTrue="1" operator="greaterThan">
      <formula>$F$37</formula>
    </cfRule>
    <cfRule type="cellIs" dxfId="2181" priority="129" stopIfTrue="1" operator="lessThanOrEqual">
      <formula>0</formula>
    </cfRule>
    <cfRule type="cellIs" dxfId="2180" priority="117" stopIfTrue="1" operator="lessThanOrEqual">
      <formula>0</formula>
    </cfRule>
    <cfRule type="cellIs" dxfId="2179" priority="118" stopIfTrue="1" operator="greaterThan">
      <formula>$F$36</formula>
    </cfRule>
  </conditionalFormatting>
  <conditionalFormatting sqref="H63:H64">
    <cfRule type="cellIs" dxfId="2178" priority="96" stopIfTrue="1" operator="greaterThan">
      <formula>$F$23</formula>
    </cfRule>
    <cfRule type="cellIs" dxfId="2177" priority="99" stopIfTrue="1" operator="lessThanOrEqual">
      <formula>0</formula>
    </cfRule>
    <cfRule type="cellIs" dxfId="2176" priority="98" stopIfTrue="1" operator="greaterThan">
      <formula>#REF!</formula>
    </cfRule>
    <cfRule type="cellIs" dxfId="2175" priority="87" stopIfTrue="1" operator="lessThanOrEqual">
      <formula>0</formula>
    </cfRule>
    <cfRule type="cellIs" dxfId="2174" priority="97" stopIfTrue="1" operator="lessThanOrEqual">
      <formula>0</formula>
    </cfRule>
    <cfRule type="cellIs" dxfId="2173" priority="88" stopIfTrue="1" operator="greaterThan">
      <formula>#REF!</formula>
    </cfRule>
  </conditionalFormatting>
  <conditionalFormatting sqref="H79 H81:H87">
    <cfRule type="cellIs" dxfId="2172" priority="159" stopIfTrue="1" operator="lessThanOrEqual">
      <formula>0</formula>
    </cfRule>
    <cfRule type="cellIs" dxfId="2171" priority="158" stopIfTrue="1" operator="greaterThan">
      <formula>4.5</formula>
    </cfRule>
  </conditionalFormatting>
  <conditionalFormatting sqref="H55:I59">
    <cfRule type="cellIs" dxfId="2170" priority="58" stopIfTrue="1" operator="greaterThan">
      <formula>$F$70</formula>
    </cfRule>
    <cfRule type="cellIs" dxfId="2169" priority="61" stopIfTrue="1" operator="lessThanOrEqual">
      <formula>0</formula>
    </cfRule>
  </conditionalFormatting>
  <conditionalFormatting sqref="H60:I61">
    <cfRule type="cellIs" dxfId="2168" priority="102" stopIfTrue="1" operator="greaterThan">
      <formula>#REF!</formula>
    </cfRule>
    <cfRule type="cellIs" dxfId="2167" priority="105" stopIfTrue="1" operator="lessThanOrEqual">
      <formula>0</formula>
    </cfRule>
  </conditionalFormatting>
  <conditionalFormatting sqref="H62:I62">
    <cfRule type="cellIs" dxfId="2166" priority="116" stopIfTrue="1" operator="greaterThan">
      <formula>$F$38</formula>
    </cfRule>
    <cfRule type="cellIs" dxfId="2165" priority="119" stopIfTrue="1" operator="lessThanOrEqual">
      <formula>0</formula>
    </cfRule>
  </conditionalFormatting>
  <conditionalFormatting sqref="H63:I64">
    <cfRule type="cellIs" dxfId="2164" priority="89" stopIfTrue="1" operator="lessThanOrEqual">
      <formula>0</formula>
    </cfRule>
    <cfRule type="cellIs" dxfId="2163" priority="86" stopIfTrue="1" operator="greaterThan">
      <formula>#REF!</formula>
    </cfRule>
  </conditionalFormatting>
  <conditionalFormatting sqref="H68:I75">
    <cfRule type="cellIs" dxfId="2162" priority="27" stopIfTrue="1" operator="lessThanOrEqual">
      <formula>0</formula>
    </cfRule>
    <cfRule type="cellIs" dxfId="2161" priority="26" stopIfTrue="1" operator="greaterThan">
      <formula>$J68</formula>
    </cfRule>
  </conditionalFormatting>
  <conditionalFormatting sqref="H76:I76">
    <cfRule type="cellIs" dxfId="2160" priority="35" operator="greaterThan">
      <formula>5.3</formula>
    </cfRule>
  </conditionalFormatting>
  <conditionalFormatting sqref="H77:I77">
    <cfRule type="cellIs" dxfId="2159" priority="34" stopIfTrue="1" operator="lessThanOrEqual">
      <formula>0</formula>
    </cfRule>
    <cfRule type="cellIs" dxfId="2158" priority="33" stopIfTrue="1" operator="greaterThan">
      <formula>$J77</formula>
    </cfRule>
  </conditionalFormatting>
  <conditionalFormatting sqref="I55:I59">
    <cfRule type="cellIs" dxfId="2157" priority="67" stopIfTrue="1" operator="lessThanOrEqual">
      <formula>0</formula>
    </cfRule>
    <cfRule type="cellIs" dxfId="2156" priority="66" stopIfTrue="1" operator="greaterThan">
      <formula>$F$68</formula>
    </cfRule>
    <cfRule type="cellIs" dxfId="2155" priority="65" stopIfTrue="1" operator="lessThanOrEqual">
      <formula>0</formula>
    </cfRule>
    <cfRule type="cellIs" dxfId="2154" priority="62" stopIfTrue="1" operator="greaterThan">
      <formula>$F$68</formula>
    </cfRule>
    <cfRule type="cellIs" dxfId="2153" priority="64" stopIfTrue="1" operator="greaterThan">
      <formula>$F$70</formula>
    </cfRule>
    <cfRule type="cellIs" dxfId="2152" priority="63" stopIfTrue="1" operator="lessThanOrEqual">
      <formula>0</formula>
    </cfRule>
  </conditionalFormatting>
  <conditionalFormatting sqref="I60:I61">
    <cfRule type="cellIs" dxfId="2151" priority="106" stopIfTrue="1" operator="greaterThan">
      <formula>#REF!</formula>
    </cfRule>
    <cfRule type="cellIs" dxfId="2150" priority="107" stopIfTrue="1" operator="lessThanOrEqual">
      <formula>0</formula>
    </cfRule>
    <cfRule type="cellIs" dxfId="2149" priority="108" stopIfTrue="1" operator="greaterThan">
      <formula>#REF!</formula>
    </cfRule>
    <cfRule type="cellIs" dxfId="2148" priority="109" stopIfTrue="1" operator="lessThanOrEqual">
      <formula>0</formula>
    </cfRule>
    <cfRule type="cellIs" dxfId="2147" priority="111" stopIfTrue="1" operator="lessThanOrEqual">
      <formula>0</formula>
    </cfRule>
    <cfRule type="cellIs" dxfId="2146" priority="110" stopIfTrue="1" operator="greaterThan">
      <formula>#REF!</formula>
    </cfRule>
  </conditionalFormatting>
  <conditionalFormatting sqref="I62">
    <cfRule type="cellIs" dxfId="2145" priority="123" stopIfTrue="1" operator="lessThanOrEqual">
      <formula>0</formula>
    </cfRule>
    <cfRule type="cellIs" dxfId="2144" priority="124" stopIfTrue="1" operator="greaterThan">
      <formula>$F$36</formula>
    </cfRule>
    <cfRule type="cellIs" dxfId="2143" priority="125" stopIfTrue="1" operator="lessThanOrEqual">
      <formula>0</formula>
    </cfRule>
    <cfRule type="cellIs" dxfId="2142" priority="120" stopIfTrue="1" operator="greaterThan">
      <formula>$F$36</formula>
    </cfRule>
    <cfRule type="cellIs" dxfId="2141" priority="121" stopIfTrue="1" operator="lessThanOrEqual">
      <formula>0</formula>
    </cfRule>
    <cfRule type="cellIs" dxfId="2140" priority="122" stopIfTrue="1" operator="greaterThan">
      <formula>$F$38</formula>
    </cfRule>
  </conditionalFormatting>
  <conditionalFormatting sqref="I63:I64">
    <cfRule type="cellIs" dxfId="2139" priority="94" stopIfTrue="1" operator="greaterThan">
      <formula>#REF!</formula>
    </cfRule>
    <cfRule type="cellIs" dxfId="2138" priority="90" stopIfTrue="1" operator="greaterThan">
      <formula>#REF!</formula>
    </cfRule>
    <cfRule type="cellIs" dxfId="2137" priority="95" stopIfTrue="1" operator="lessThanOrEqual">
      <formula>0</formula>
    </cfRule>
    <cfRule type="cellIs" dxfId="2136" priority="91" stopIfTrue="1" operator="lessThanOrEqual">
      <formula>0</formula>
    </cfRule>
    <cfRule type="cellIs" dxfId="2135" priority="93" stopIfTrue="1" operator="lessThanOrEqual">
      <formula>0</formula>
    </cfRule>
    <cfRule type="cellIs" dxfId="2134" priority="92" stopIfTrue="1" operator="greaterThan">
      <formula>#REF!</formula>
    </cfRule>
  </conditionalFormatting>
  <conditionalFormatting sqref="I79:I87">
    <cfRule type="cellIs" dxfId="2133" priority="155" stopIfTrue="1" operator="lessThanOrEqual">
      <formula>0</formula>
    </cfRule>
    <cfRule type="cellIs" dxfId="2132" priority="154" stopIfTrue="1" operator="greaterThan">
      <formula>4.5</formula>
    </cfRule>
  </conditionalFormatting>
  <conditionalFormatting sqref="I10:J23">
    <cfRule type="cellIs" dxfId="2131" priority="5" operator="lessThan">
      <formula>97.9</formula>
    </cfRule>
  </conditionalFormatting>
  <conditionalFormatting sqref="J26">
    <cfRule type="cellIs" dxfId="2130" priority="57" operator="lessThan">
      <formula>97.95</formula>
    </cfRule>
  </conditionalFormatting>
  <conditionalFormatting sqref="J28">
    <cfRule type="cellIs" dxfId="2129" priority="131" stopIfTrue="1" operator="lessThan">
      <formula>96.8</formula>
    </cfRule>
    <cfRule type="cellIs" dxfId="2128" priority="132" stopIfTrue="1" operator="greaterThan">
      <formula>100</formula>
    </cfRule>
    <cfRule type="cellIs" dxfId="2127" priority="133" operator="lessThan">
      <formula>98</formula>
    </cfRule>
  </conditionalFormatting>
  <conditionalFormatting sqref="J28:J30">
    <cfRule type="cellIs" dxfId="2126" priority="130" operator="lessThan">
      <formula>97.4</formula>
    </cfRule>
  </conditionalFormatting>
  <conditionalFormatting sqref="J31:J32">
    <cfRule type="cellIs" dxfId="2125" priority="134" operator="lessThan">
      <formula>98</formula>
    </cfRule>
  </conditionalFormatting>
  <conditionalFormatting sqref="J33:J34">
    <cfRule type="cellIs" dxfId="2124" priority="135" stopIfTrue="1" operator="lessThan">
      <formula>96.8</formula>
    </cfRule>
    <cfRule type="cellIs" dxfId="2123" priority="136" stopIfTrue="1" operator="greaterThan">
      <formula>100</formula>
    </cfRule>
  </conditionalFormatting>
  <conditionalFormatting sqref="J33:J35">
    <cfRule type="cellIs" dxfId="2122" priority="137" operator="lessThan">
      <formula>98</formula>
    </cfRule>
  </conditionalFormatting>
  <conditionalFormatting sqref="J64">
    <cfRule type="cellIs" dxfId="2121" priority="84" stopIfTrue="1" operator="greaterThan">
      <formula>#REF!</formula>
    </cfRule>
    <cfRule type="cellIs" dxfId="2120" priority="82" stopIfTrue="1" operator="greaterThan">
      <formula>#REF!</formula>
    </cfRule>
    <cfRule type="cellIs" dxfId="2119" priority="81" stopIfTrue="1" operator="lessThanOrEqual">
      <formula>0</formula>
    </cfRule>
    <cfRule type="cellIs" dxfId="2118" priority="80" stopIfTrue="1" operator="greaterThan">
      <formula>#REF!</formula>
    </cfRule>
    <cfRule type="cellIs" dxfId="2117" priority="79" stopIfTrue="1" operator="lessThanOrEqual">
      <formula>0</formula>
    </cfRule>
    <cfRule type="cellIs" dxfId="2116" priority="78" stopIfTrue="1" operator="greaterThan">
      <formula>#REF!</formula>
    </cfRule>
    <cfRule type="cellIs" dxfId="2115" priority="83" stopIfTrue="1" operator="lessThanOrEqual">
      <formula>0</formula>
    </cfRule>
    <cfRule type="cellIs" dxfId="2114" priority="85" stopIfTrue="1" operator="lessThanOrEqual">
      <formula>0</formula>
    </cfRule>
  </conditionalFormatting>
  <conditionalFormatting sqref="J77">
    <cfRule type="cellIs" dxfId="2113" priority="40" stopIfTrue="1" operator="greaterThan">
      <formula>$F77</formula>
    </cfRule>
    <cfRule type="cellIs" dxfId="2112" priority="41" stopIfTrue="1" operator="lessThanOrEqual">
      <formula>0</formula>
    </cfRule>
  </conditionalFormatting>
  <conditionalFormatting sqref="K10:K23">
    <cfRule type="cellIs" dxfId="2111" priority="8" operator="greaterThan">
      <formula>6.4</formula>
    </cfRule>
    <cfRule type="cellIs" dxfId="2110" priority="7" operator="lessThan">
      <formula>4</formula>
    </cfRule>
    <cfRule type="cellIs" dxfId="2109" priority="6" operator="greaterThan">
      <formula>6</formula>
    </cfRule>
  </conditionalFormatting>
  <conditionalFormatting sqref="K55:K64">
    <cfRule type="cellIs" dxfId="2108" priority="72" stopIfTrue="1" operator="lessThan">
      <formula>100%</formula>
    </cfRule>
  </conditionalFormatting>
  <conditionalFormatting sqref="K79:K84">
    <cfRule type="cellIs" dxfId="2107" priority="160" stopIfTrue="1" operator="lessThan">
      <formula>100%</formula>
    </cfRule>
  </conditionalFormatting>
  <conditionalFormatting sqref="K86:K87">
    <cfRule type="cellIs" dxfId="2106" priority="167" stopIfTrue="1" operator="lessThan">
      <formula>100%</formula>
    </cfRule>
  </conditionalFormatting>
  <conditionalFormatting sqref="K68:M76">
    <cfRule type="cellIs" dxfId="2105" priority="25" stopIfTrue="1" operator="lessThan">
      <formula>100%</formula>
    </cfRule>
  </conditionalFormatting>
  <conditionalFormatting sqref="L10:L23">
    <cfRule type="cellIs" dxfId="2104" priority="11" operator="greaterThan">
      <formula>65</formula>
    </cfRule>
    <cfRule type="cellIs" dxfId="2103" priority="10" operator="between">
      <formula>61</formula>
      <formula>65</formula>
    </cfRule>
  </conditionalFormatting>
  <conditionalFormatting sqref="L26:M37">
    <cfRule type="cellIs" dxfId="2102" priority="74" operator="lessThan">
      <formula>97.95</formula>
    </cfRule>
  </conditionalFormatting>
  <conditionalFormatting sqref="L77:M77">
    <cfRule type="cellIs" dxfId="2101" priority="42" stopIfTrue="1" operator="lessThan">
      <formula>100%</formula>
    </cfRule>
  </conditionalFormatting>
  <conditionalFormatting sqref="L41:N41">
    <cfRule type="cellIs" dxfId="2100" priority="75" operator="notEqual">
      <formula>#REF!</formula>
    </cfRule>
  </conditionalFormatting>
  <conditionalFormatting sqref="L79:N87">
    <cfRule type="cellIs" dxfId="2099" priority="145" stopIfTrue="1" operator="lessThan">
      <formula>100%</formula>
    </cfRule>
  </conditionalFormatting>
  <conditionalFormatting sqref="M14:M21">
    <cfRule type="expression" dxfId="2098" priority="3">
      <formula>IF(+(IF(M14&lt;U14,0,IF(M14&gt;V14,0,1)))=0,1)</formula>
    </cfRule>
  </conditionalFormatting>
  <conditionalFormatting sqref="N14:N21">
    <cfRule type="expression" dxfId="2097" priority="2">
      <formula>IF(+(IF(N14&lt;W14,0,IF(N14&gt;X14,0,1)))=0,1)</formula>
    </cfRule>
  </conditionalFormatting>
  <conditionalFormatting sqref="N68:N77">
    <cfRule type="cellIs" dxfId="2096" priority="56" stopIfTrue="1" operator="lessThan">
      <formula>100%</formula>
    </cfRule>
  </conditionalFormatting>
  <conditionalFormatting sqref="P6">
    <cfRule type="cellIs" dxfId="2095" priority="141" operator="greaterThanOrEqual">
      <formula>19</formula>
    </cfRule>
  </conditionalFormatting>
  <dataValidations count="1">
    <dataValidation type="list" allowBlank="1" showInputMessage="1" showErrorMessage="1" sqref="R8" xr:uid="{4D1B9686-9E7F-4792-B3EF-126EE3FC5BFD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42DFD-1CAF-466C-8185-A9BB79EDD66E}">
  <sheetPr>
    <pageSetUpPr fitToPage="1"/>
  </sheetPr>
  <dimension ref="A1:BE78"/>
  <sheetViews>
    <sheetView topLeftCell="A4" zoomScale="70" zoomScaleNormal="70" workbookViewId="0">
      <selection activeCell="E10" sqref="E10:E18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4" t="s">
        <v>0</v>
      </c>
      <c r="T1" s="494"/>
      <c r="U1" s="494" t="s">
        <v>1</v>
      </c>
      <c r="V1" s="494"/>
      <c r="W1" s="494" t="s">
        <v>2</v>
      </c>
      <c r="X1" s="494"/>
      <c r="Y1" s="494" t="s">
        <v>124</v>
      </c>
      <c r="Z1" s="494"/>
    </row>
    <row r="2" spans="2:29" ht="15">
      <c r="B2" s="495" t="s">
        <v>3</v>
      </c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46094</v>
      </c>
      <c r="J4" s="398" t="s">
        <v>167</v>
      </c>
      <c r="K4" s="398"/>
      <c r="L4" s="11"/>
      <c r="M4" s="492" t="s">
        <v>8</v>
      </c>
      <c r="N4" s="493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8"/>
      <c r="D5" s="49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9" t="s">
        <v>17</v>
      </c>
      <c r="C8" s="501" t="s">
        <v>18</v>
      </c>
      <c r="D8" s="501" t="s">
        <v>19</v>
      </c>
      <c r="E8" s="356" t="s">
        <v>20</v>
      </c>
      <c r="F8" s="356" t="s">
        <v>21</v>
      </c>
      <c r="G8" s="501" t="s">
        <v>22</v>
      </c>
      <c r="H8" s="502"/>
      <c r="I8" s="501" t="s">
        <v>165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169</v>
      </c>
      <c r="O8" s="510" t="s">
        <v>155</v>
      </c>
      <c r="P8" s="496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.6" customHeight="1">
      <c r="B9" s="500"/>
      <c r="C9" s="497"/>
      <c r="D9" s="497"/>
      <c r="E9" s="357" t="s">
        <v>30</v>
      </c>
      <c r="F9" s="357" t="s">
        <v>31</v>
      </c>
      <c r="G9" s="497"/>
      <c r="H9" s="503"/>
      <c r="I9" s="497"/>
      <c r="J9" s="505"/>
      <c r="K9" s="507"/>
      <c r="L9" s="509"/>
      <c r="M9" s="20" t="s">
        <v>32</v>
      </c>
      <c r="N9" s="21" t="s">
        <v>41</v>
      </c>
      <c r="O9" s="511"/>
      <c r="P9" s="497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29" t="s">
        <v>6</v>
      </c>
      <c r="C10" s="366" t="str">
        <f>[4]Brewhouse!$A226</f>
        <v>CA183</v>
      </c>
      <c r="D10" s="279">
        <f>[4]Brewhouse!$AF226</f>
        <v>50.5</v>
      </c>
      <c r="E10" s="279">
        <f>[4]Brewhouse!$AI226</f>
        <v>50.4</v>
      </c>
      <c r="F10" s="278">
        <f>[4]Brewhouse!$V226</f>
        <v>59</v>
      </c>
      <c r="G10" s="279">
        <f>[4]Brewhouse!AG226</f>
        <v>11.7</v>
      </c>
      <c r="H10" s="396"/>
      <c r="I10" s="368">
        <f>[4]Brewhouse!$AU226</f>
        <v>97.134089873786564</v>
      </c>
      <c r="J10" s="368">
        <f>[4]Brewhouse!$AV226</f>
        <v>98.598490958983291</v>
      </c>
      <c r="K10" s="281">
        <f>[4]Brewhouse!$Q226</f>
        <v>10.222222222222214</v>
      </c>
      <c r="L10" s="276">
        <f>[4]Brewhouse!$P226</f>
        <v>60</v>
      </c>
      <c r="M10" s="397">
        <f>[4]Brewhouse!$U226-[4]Brewhouse!$T226</f>
        <v>0.10694444444444445</v>
      </c>
      <c r="N10" s="370">
        <f>[4]Brewhouse!$Z226</f>
        <v>0.25694444444444448</v>
      </c>
      <c r="O10" s="420" t="str">
        <f>[4]Brewhouse!$AX226</f>
        <v>K. Benjamin</v>
      </c>
      <c r="P10" s="418"/>
      <c r="R10" s="277" t="str">
        <f t="shared" ref="R10:R38" si="0">B10</f>
        <v>CARIB</v>
      </c>
      <c r="S10" s="472">
        <f t="shared" ref="S10:S38" si="1">VLOOKUP($B10,$R$3:$X$9,2,FALSE)</f>
        <v>11.6</v>
      </c>
      <c r="T10" s="472">
        <f t="shared" ref="T10:T38" si="2">VLOOKUP($B10,$R$3:$X$9,3,FALSE)</f>
        <v>12</v>
      </c>
      <c r="U10" s="297">
        <f t="shared" ref="U10:U38" si="3">VLOOKUP($B10,$R$3:$X$9,4,FALSE)</f>
        <v>0</v>
      </c>
      <c r="V10" s="297">
        <f t="shared" ref="V10:V38" si="4">VLOOKUP($B10,$R$3:$X$9,5,FALSE)</f>
        <v>0.118055555555556</v>
      </c>
      <c r="W10" s="297">
        <f t="shared" ref="W10:W38" si="5">VLOOKUP($B10,$R$3:$X$9,6,FALSE)</f>
        <v>0.22569444444444445</v>
      </c>
      <c r="X10" s="297">
        <f t="shared" ref="X10:X38" si="6">VLOOKUP($B10,$R$3:$X$9,7,FALSE)</f>
        <v>0.2638888888888889</v>
      </c>
      <c r="Y10" s="297">
        <f t="shared" ref="Y10:Y38" si="7">VLOOKUP($B10,$R$3:$Z$9,8,FALSE)</f>
        <v>0</v>
      </c>
      <c r="Z10" s="472">
        <f t="shared" ref="Z10:Z38" si="8">VLOOKUP($B10,$R$3:$Z$9,9,FALSE)</f>
        <v>60</v>
      </c>
    </row>
    <row r="11" spans="2:29" ht="16.5" customHeight="1">
      <c r="B11" s="29" t="s">
        <v>6</v>
      </c>
      <c r="C11" s="366" t="str">
        <f>[4]Brewhouse!$A227</f>
        <v>CA184</v>
      </c>
      <c r="D11" s="279">
        <f>[4]Brewhouse!$AF227</f>
        <v>50</v>
      </c>
      <c r="E11" s="279">
        <f>[4]Brewhouse!$AI227</f>
        <v>49.8</v>
      </c>
      <c r="F11" s="278">
        <f>[4]Brewhouse!$V227</f>
        <v>61</v>
      </c>
      <c r="G11" s="279">
        <f>[4]Brewhouse!AG227</f>
        <v>11.9</v>
      </c>
      <c r="H11" s="396"/>
      <c r="I11" s="368">
        <f>[4]Brewhouse!$AU227</f>
        <v>97.825601678018998</v>
      </c>
      <c r="J11" s="368">
        <f>[4]Brewhouse!$AV227</f>
        <v>99.300330903085538</v>
      </c>
      <c r="K11" s="281">
        <f>[4]Brewhouse!$Q227</f>
        <v>11.127541589648803</v>
      </c>
      <c r="L11" s="276">
        <f>[4]Brewhouse!$P227</f>
        <v>60</v>
      </c>
      <c r="M11" s="397">
        <f>[4]Brewhouse!$U227-[4]Brewhouse!$T227</f>
        <v>0.11319444444444443</v>
      </c>
      <c r="N11" s="370">
        <f>[4]Brewhouse!$Z227</f>
        <v>0.25</v>
      </c>
      <c r="O11" s="420" t="str">
        <f>[4]Brewhouse!$AX227</f>
        <v>R. Regis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6.5" customHeight="1">
      <c r="B12" s="29" t="s">
        <v>6</v>
      </c>
      <c r="C12" s="366" t="str">
        <f>[4]Brewhouse!$A228</f>
        <v>CA185</v>
      </c>
      <c r="D12" s="279">
        <f>[4]Brewhouse!$AF228</f>
        <v>51.4</v>
      </c>
      <c r="E12" s="279">
        <f>[4]Brewhouse!$AI228</f>
        <v>51.3</v>
      </c>
      <c r="F12" s="278">
        <f>[4]Brewhouse!$V228</f>
        <v>60</v>
      </c>
      <c r="G12" s="279">
        <f>[4]Brewhouse!AG228</f>
        <v>11.7</v>
      </c>
      <c r="H12" s="396"/>
      <c r="I12" s="368">
        <f>[4]Brewhouse!$AU228</f>
        <v>98.868627192961327</v>
      </c>
      <c r="J12" s="368">
        <f>[4]Brewhouse!$AV228</f>
        <v>100.35917829753656</v>
      </c>
      <c r="K12" s="281">
        <f>[4]Brewhouse!$Q228</f>
        <v>10.203327171903888</v>
      </c>
      <c r="L12" s="276">
        <f>[4]Brewhouse!$P228</f>
        <v>60</v>
      </c>
      <c r="M12" s="397">
        <f>[4]Brewhouse!$U228-[4]Brewhouse!$T228</f>
        <v>0.10972222222222222</v>
      </c>
      <c r="N12" s="370">
        <f>[4]Brewhouse!$Z228</f>
        <v>0.29375000000000001</v>
      </c>
      <c r="O12" s="420" t="str">
        <f>[4]Brewhouse!$AX228</f>
        <v>R. Regis</v>
      </c>
      <c r="P12" s="418" t="s">
        <v>185</v>
      </c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6.5" customHeight="1">
      <c r="B13" s="29" t="s">
        <v>6</v>
      </c>
      <c r="C13" s="366" t="str">
        <f>[4]Brewhouse!$A229</f>
        <v>CA186</v>
      </c>
      <c r="D13" s="279">
        <f>[4]Brewhouse!$AF229</f>
        <v>49.6</v>
      </c>
      <c r="E13" s="279">
        <f>[4]Brewhouse!$AI229</f>
        <v>49</v>
      </c>
      <c r="F13" s="278">
        <f>[4]Brewhouse!$V229</f>
        <v>61</v>
      </c>
      <c r="G13" s="279">
        <f>[4]Brewhouse!AG229</f>
        <v>12.1</v>
      </c>
      <c r="H13" s="396"/>
      <c r="I13" s="368">
        <f>[4]Brewhouse!$AU229</f>
        <v>98.076814194365696</v>
      </c>
      <c r="J13" s="368">
        <f>[4]Brewhouse!$AV229</f>
        <v>99.555232832016557</v>
      </c>
      <c r="K13" s="281">
        <f>[4]Brewhouse!$Q229</f>
        <v>10.388170055452859</v>
      </c>
      <c r="L13" s="276">
        <f>[4]Brewhouse!$P229</f>
        <v>60</v>
      </c>
      <c r="M13" s="397">
        <f>[4]Brewhouse!$U229-[4]Brewhouse!$T229</f>
        <v>0.10833333333333328</v>
      </c>
      <c r="N13" s="370">
        <f>[4]Brewhouse!$Z229</f>
        <v>0.25277777777777777</v>
      </c>
      <c r="O13" s="420" t="str">
        <f>[4]Brewhouse!$AX229</f>
        <v>R. Regis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6.5" customHeight="1">
      <c r="B14" s="29" t="s">
        <v>6</v>
      </c>
      <c r="C14" s="366" t="str">
        <f>[4]Brewhouse!$A230</f>
        <v>CA187</v>
      </c>
      <c r="D14" s="279">
        <f>[4]Brewhouse!$AF230</f>
        <v>50.9</v>
      </c>
      <c r="E14" s="279">
        <f>[4]Brewhouse!$AI230</f>
        <v>50.7</v>
      </c>
      <c r="F14" s="278">
        <f>[4]Brewhouse!$V230</f>
        <v>61</v>
      </c>
      <c r="G14" s="279">
        <f>[4]Brewhouse!AG230</f>
        <v>11.9</v>
      </c>
      <c r="H14" s="396"/>
      <c r="I14" s="368">
        <f>[4]Brewhouse!$AU230</f>
        <v>99.593534238465153</v>
      </c>
      <c r="J14" s="368">
        <f>[4]Brewhouse!$AV230</f>
        <v>101.09491519651482</v>
      </c>
      <c r="K14" s="281">
        <f>[4]Brewhouse!$Q230</f>
        <v>9.6487985212569285</v>
      </c>
      <c r="L14" s="276">
        <f>[4]Brewhouse!$P230</f>
        <v>61</v>
      </c>
      <c r="M14" s="397">
        <f>[4]Brewhouse!$U230-[4]Brewhouse!$T230</f>
        <v>0.11180555555555549</v>
      </c>
      <c r="N14" s="370">
        <f>[4]Brewhouse!$Z230</f>
        <v>0.25138888888888888</v>
      </c>
      <c r="O14" s="420" t="str">
        <f>[4]Brewhouse!$AX230</f>
        <v>D. Gomaz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6.5" customHeight="1">
      <c r="B15" s="29" t="s">
        <v>6</v>
      </c>
      <c r="C15" s="366" t="str">
        <f>[4]Brewhouse!$A231</f>
        <v>CA188</v>
      </c>
      <c r="D15" s="279">
        <f>[4]Brewhouse!$AF231</f>
        <v>49.7</v>
      </c>
      <c r="E15" s="279">
        <f>[4]Brewhouse!$AI231</f>
        <v>49.5</v>
      </c>
      <c r="F15" s="278">
        <f>[4]Brewhouse!$V231</f>
        <v>62</v>
      </c>
      <c r="G15" s="279">
        <f>[4]Brewhouse!AG231</f>
        <v>11.9</v>
      </c>
      <c r="H15" s="396"/>
      <c r="I15" s="368">
        <f>[4]Brewhouse!$AU231</f>
        <v>96.043228742840341</v>
      </c>
      <c r="J15" s="368">
        <f>[4]Brewhouse!$AV231</f>
        <v>97.492031779407711</v>
      </c>
      <c r="K15" s="281">
        <f>[4]Brewhouse!$Q231</f>
        <v>10.942698706099819</v>
      </c>
      <c r="L15" s="276">
        <f>[4]Brewhouse!$P231</f>
        <v>60</v>
      </c>
      <c r="M15" s="397">
        <f>[4]Brewhouse!$U231-[4]Brewhouse!$T231</f>
        <v>0.10833333333333339</v>
      </c>
      <c r="N15" s="370">
        <f>[4]Brewhouse!$Z231</f>
        <v>0.25763888888888897</v>
      </c>
      <c r="O15" s="420" t="str">
        <f>[4]Brewhouse!$AX231</f>
        <v>D. Gomaz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6.5" customHeight="1">
      <c r="B16" s="29" t="s">
        <v>6</v>
      </c>
      <c r="C16" s="366" t="str">
        <f>[4]Brewhouse!$A232</f>
        <v>CA189</v>
      </c>
      <c r="D16" s="279">
        <f>[4]Brewhouse!$AF232</f>
        <v>48.6</v>
      </c>
      <c r="E16" s="279">
        <f>[4]Brewhouse!$AI232</f>
        <v>47.3</v>
      </c>
      <c r="F16" s="278">
        <f>[4]Brewhouse!$V232</f>
        <v>54</v>
      </c>
      <c r="G16" s="279">
        <f>[4]Brewhouse!AG232</f>
        <v>12</v>
      </c>
      <c r="H16" s="396"/>
      <c r="I16" s="368">
        <f>[4]Brewhouse!$AU232</f>
        <v>93.852195272622652</v>
      </c>
      <c r="J16" s="368">
        <f>[4]Brewhouse!$AV232</f>
        <v>95.26693162815431</v>
      </c>
      <c r="K16" s="281">
        <f>[4]Brewhouse!$Q232</f>
        <v>11.497227356746762</v>
      </c>
      <c r="L16" s="276">
        <f>[4]Brewhouse!$P232</f>
        <v>60</v>
      </c>
      <c r="M16" s="397">
        <f>[4]Brewhouse!$U232-[4]Brewhouse!$T232</f>
        <v>0.1069444444444444</v>
      </c>
      <c r="N16" s="370">
        <f>[4]Brewhouse!$Z232</f>
        <v>0.23749999999999993</v>
      </c>
      <c r="O16" s="420" t="str">
        <f>[4]Brewhouse!$AX232</f>
        <v>D. Gomaz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6.5" customHeight="1">
      <c r="B17" s="29" t="s">
        <v>6</v>
      </c>
      <c r="C17" s="366" t="str">
        <f>[4]Brewhouse!$A233</f>
        <v>CA190</v>
      </c>
      <c r="D17" s="279">
        <f>[4]Brewhouse!$AF233</f>
        <v>49.8</v>
      </c>
      <c r="E17" s="279">
        <f>[4]Brewhouse!$AI233</f>
        <v>49.5</v>
      </c>
      <c r="F17" s="278">
        <f>[4]Brewhouse!$V233</f>
        <v>52</v>
      </c>
      <c r="G17" s="279">
        <f>[4]Brewhouse!AG233</f>
        <v>12</v>
      </c>
      <c r="H17" s="396"/>
      <c r="I17" s="368">
        <f>[4]Brewhouse!$AU233</f>
        <v>97.973702378244013</v>
      </c>
      <c r="J17" s="368">
        <f>[4]Brewhouse!$AV233</f>
        <v>99.450761526786664</v>
      </c>
      <c r="K17" s="281">
        <f>[4]Brewhouse!$Q233</f>
        <v>11.333333333333329</v>
      </c>
      <c r="L17" s="276">
        <f>[4]Brewhouse!$P233</f>
        <v>55</v>
      </c>
      <c r="M17" s="397">
        <f>[4]Brewhouse!$U233-[4]Brewhouse!$T233</f>
        <v>0.10486111111111107</v>
      </c>
      <c r="N17" s="370">
        <f>[4]Brewhouse!$Z233</f>
        <v>0.23680555555555549</v>
      </c>
      <c r="O17" s="420" t="str">
        <f>[4]Brewhouse!$AX233</f>
        <v>K. Benjamin</v>
      </c>
      <c r="P17" s="418"/>
      <c r="R17" s="277" t="str">
        <f t="shared" ref="R17:R28" si="9">B17</f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7" ht="15">
      <c r="B18" s="29" t="s">
        <v>6</v>
      </c>
      <c r="C18" s="366" t="str">
        <f>[4]Brewhouse!$A234</f>
        <v>CA191</v>
      </c>
      <c r="D18" s="279">
        <f>[4]Brewhouse!$AF234</f>
        <v>49.3</v>
      </c>
      <c r="E18" s="279">
        <f>[4]Brewhouse!$AI234</f>
        <v>48.4</v>
      </c>
      <c r="F18" s="278">
        <f>[4]Brewhouse!$V234</f>
        <v>51</v>
      </c>
      <c r="G18" s="279">
        <f>[4]Brewhouse!AG234</f>
        <v>12.2</v>
      </c>
      <c r="H18" s="396"/>
      <c r="I18" s="368">
        <f>[4]Brewhouse!$AU234</f>
        <v>97.595557441238071</v>
      </c>
      <c r="J18" s="368">
        <f>[4]Brewhouse!$AV234</f>
        <v>99.066818729964609</v>
      </c>
      <c r="K18" s="281">
        <f>[4]Brewhouse!$Q234</f>
        <v>10.777777777777779</v>
      </c>
      <c r="L18" s="276">
        <f>[4]Brewhouse!$P234</f>
        <v>61</v>
      </c>
      <c r="M18" s="397">
        <f>[4]Brewhouse!$U234-[4]Brewhouse!$T234</f>
        <v>0.10138888888888897</v>
      </c>
      <c r="N18" s="370">
        <f>[4]Brewhouse!$Z234</f>
        <v>0.23680555555555571</v>
      </c>
      <c r="O18" s="420" t="str">
        <f>[4]Brewhouse!$AX234</f>
        <v>K. Benjamin</v>
      </c>
      <c r="P18" s="418"/>
      <c r="R18" s="277" t="str">
        <f t="shared" si="9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1:27" ht="15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/>
      <c r="S19" s="472"/>
      <c r="T19" s="472"/>
      <c r="U19" s="297"/>
      <c r="V19" s="297"/>
      <c r="W19" s="297"/>
      <c r="X19" s="297"/>
      <c r="Y19" s="297"/>
      <c r="Z19" s="472"/>
    </row>
    <row r="20" spans="1:27" ht="15">
      <c r="B20" s="489">
        <v>46094</v>
      </c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/>
      <c r="S20" s="472"/>
      <c r="T20" s="472"/>
      <c r="U20" s="297"/>
      <c r="V20" s="297"/>
      <c r="W20" s="297"/>
      <c r="X20" s="297"/>
      <c r="Y20" s="297"/>
      <c r="Z20" s="472"/>
    </row>
    <row r="21" spans="1:27" ht="16.5" customHeight="1">
      <c r="B21" s="29" t="s">
        <v>6</v>
      </c>
      <c r="C21" s="366" t="str">
        <f>[4]Brewhouse!$A235</f>
        <v>CA192</v>
      </c>
      <c r="D21" s="279">
        <f>[4]Brewhouse!$AF235</f>
        <v>50.4</v>
      </c>
      <c r="E21" s="279">
        <f>[4]Brewhouse!$AI235</f>
        <v>49.9</v>
      </c>
      <c r="F21" s="278">
        <f>[4]Brewhouse!$V235</f>
        <v>54</v>
      </c>
      <c r="G21" s="279">
        <f>[4]Brewhouse!AG235</f>
        <v>12</v>
      </c>
      <c r="H21" s="396"/>
      <c r="I21" s="368">
        <f>[4]Brewhouse!$AU235</f>
        <v>99.011089727354573</v>
      </c>
      <c r="J21" s="368">
        <f>[4]Brewhouse!$AV235</f>
        <v>100.5035917176512</v>
      </c>
      <c r="K21" s="281">
        <f>[4]Brewhouse!$Q235</f>
        <v>10.407407407407403</v>
      </c>
      <c r="L21" s="276">
        <f>[4]Brewhouse!$P235</f>
        <v>60</v>
      </c>
      <c r="M21" s="397">
        <f>[4]Brewhouse!$U235-[4]Brewhouse!$T235</f>
        <v>0.10833333333333331</v>
      </c>
      <c r="N21" s="370">
        <f>[4]Brewhouse!$Z235</f>
        <v>0.24236111111111108</v>
      </c>
      <c r="O21" s="420" t="str">
        <f>[4]Brewhouse!$AX235</f>
        <v>K. Benjamin</v>
      </c>
      <c r="P21" s="418"/>
      <c r="R21" s="277" t="str">
        <f t="shared" si="9"/>
        <v>CARIB</v>
      </c>
      <c r="S21" s="472">
        <f t="shared" si="1"/>
        <v>11.6</v>
      </c>
      <c r="T21" s="472">
        <f t="shared" si="2"/>
        <v>12</v>
      </c>
      <c r="U21" s="297">
        <f t="shared" si="3"/>
        <v>0</v>
      </c>
      <c r="V21" s="297">
        <f t="shared" si="4"/>
        <v>0.118055555555556</v>
      </c>
      <c r="W21" s="297">
        <f t="shared" si="5"/>
        <v>0.22569444444444445</v>
      </c>
      <c r="X21" s="297">
        <f t="shared" si="6"/>
        <v>0.2638888888888889</v>
      </c>
      <c r="Y21" s="297">
        <f t="shared" si="7"/>
        <v>0</v>
      </c>
      <c r="Z21" s="472">
        <f t="shared" si="8"/>
        <v>60</v>
      </c>
    </row>
    <row r="22" spans="1:27" ht="15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8" hidden="1" customHeight="1">
      <c r="B23" s="29"/>
      <c r="C23" s="366"/>
      <c r="D23" s="279"/>
      <c r="E23" s="279"/>
      <c r="F23" s="278"/>
      <c r="G23" s="279"/>
      <c r="H23" s="487"/>
      <c r="I23" s="368"/>
      <c r="J23" s="368"/>
      <c r="K23" s="281"/>
      <c r="L23" s="276"/>
      <c r="M23" s="374"/>
      <c r="N23" s="370"/>
      <c r="O23" s="371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6.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8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5.75" customHeight="1" thickBot="1">
      <c r="B25" s="358"/>
      <c r="C25" s="358"/>
      <c r="D25" s="358"/>
      <c r="E25" s="358"/>
      <c r="F25" s="294"/>
      <c r="G25" s="294"/>
      <c r="H25" s="348"/>
      <c r="I25" s="512"/>
      <c r="J25" s="512"/>
      <c r="K25" s="512"/>
      <c r="L25" s="512"/>
      <c r="M25" s="512"/>
      <c r="N25" s="512"/>
      <c r="O25" s="1"/>
      <c r="P25" s="12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5.75" customHeight="1" thickBot="1">
      <c r="B26" s="388" t="s">
        <v>162</v>
      </c>
      <c r="C26" s="388"/>
      <c r="D26" s="513" t="s">
        <v>35</v>
      </c>
      <c r="E26" s="514"/>
      <c r="F26" s="294"/>
      <c r="G26" s="294"/>
      <c r="H26" s="348"/>
      <c r="I26" s="24" t="s">
        <v>17</v>
      </c>
      <c r="J26" s="25"/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9"/>
        <v xml:space="preserve">BRAND 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5" customHeight="1">
      <c r="A27" s="28"/>
      <c r="B27" s="525"/>
      <c r="C27" s="362"/>
      <c r="D27" s="518"/>
      <c r="E27" s="519"/>
      <c r="F27" s="294"/>
      <c r="G27" s="294"/>
      <c r="H27" s="348"/>
      <c r="I27" s="29" t="s">
        <v>6</v>
      </c>
      <c r="J27" s="323">
        <f>AVERAGE(I10:I18)</f>
        <v>97.440372334726973</v>
      </c>
      <c r="K27" s="284">
        <f>COUNTA([4]Brewhouse!$A$198:$A$235)</f>
        <v>38</v>
      </c>
      <c r="L27" s="305">
        <f>AVERAGE([4]Brewhouse!$AU$198:$AU$235)</f>
        <v>98.256525203122237</v>
      </c>
      <c r="M27" s="305">
        <f>AVERAGE([4]Brewhouse!$AU$42:$AU$123,[4]Brewhouse!$AU$125:$AU$188,[4]Brewhouse!$AU$198:$AU$235)</f>
        <v>97.732689975368032</v>
      </c>
      <c r="N27" s="30">
        <v>98</v>
      </c>
      <c r="O27" s="11"/>
      <c r="P27" s="31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5" customHeight="1">
      <c r="A28" s="28"/>
      <c r="B28" s="526"/>
      <c r="C28" s="362"/>
      <c r="D28" s="520"/>
      <c r="E28" s="521"/>
      <c r="F28" s="294"/>
      <c r="G28" s="294"/>
      <c r="H28" s="348"/>
      <c r="I28" s="33" t="s">
        <v>9</v>
      </c>
      <c r="J28" s="280"/>
      <c r="K28" s="284">
        <f>COUNTA([3]Brewhouse!$A$134:$A$149)</f>
        <v>16</v>
      </c>
      <c r="L28" s="302">
        <f>AVERAGE([3]Brewhouse!$AS$134:$AS$149)</f>
        <v>98.545736057428243</v>
      </c>
      <c r="M28" s="302">
        <f>AVERAGE([3]Brewhouse!$AS$52:$AS$81,[3]Brewhouse!$AS$83:$AS$124,[3]Brewhouse!$AS$134:$AS$149)</f>
        <v>98.358270223457936</v>
      </c>
      <c r="N28" s="30">
        <v>98</v>
      </c>
      <c r="O28" s="11"/>
      <c r="P28" s="31"/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26"/>
      <c r="C29" s="362"/>
      <c r="D29" s="522"/>
      <c r="E29" s="523"/>
      <c r="F29" s="294"/>
      <c r="G29" s="294"/>
      <c r="H29" s="348"/>
      <c r="I29" s="34" t="s">
        <v>12</v>
      </c>
      <c r="J29" s="280"/>
      <c r="K29" s="284">
        <f>COUNTA([5]Brewhouse!$A$34:$A$41)</f>
        <v>8</v>
      </c>
      <c r="L29" s="302">
        <f>AVERAGE([5]Brewhouse!$AU$34:$AU$41)</f>
        <v>94.762610859726223</v>
      </c>
      <c r="M29" s="302">
        <f>AVERAGE([5]Brewhouse!$AU$16:$AU$23,[5]Brewhouse!$AU$25:$AU$32,[5]Brewhouse!$AU$34:$AU$41)</f>
        <v>97.131453825415363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65" customHeight="1">
      <c r="A30" s="28"/>
      <c r="B30" s="526"/>
      <c r="C30" s="362"/>
      <c r="D30" s="524"/>
      <c r="E30" s="521"/>
      <c r="F30" s="294"/>
      <c r="G30" s="294"/>
      <c r="H30" s="348"/>
      <c r="I30" s="22" t="s">
        <v>33</v>
      </c>
      <c r="J30" s="280"/>
      <c r="K30" s="284">
        <f>COUNTA([6]Brewhouse!$A$38:$A$44)</f>
        <v>7</v>
      </c>
      <c r="L30" s="302">
        <f>AVERAGE([6]Brewhouse!$AV$38:$AV$44)</f>
        <v>96.929916494140343</v>
      </c>
      <c r="M30" s="302">
        <f>AVERAGE([6]Brewhouse!$AV$23:$AV$34,[6]Brewhouse!$AV$36,[6]Brewhouse!$AV$38:$AV$44)</f>
        <v>97.74055230745536</v>
      </c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7" ht="14.65" customHeight="1">
      <c r="A31" s="28"/>
      <c r="B31" s="526"/>
      <c r="C31" s="362"/>
      <c r="D31" s="522"/>
      <c r="E31" s="523"/>
      <c r="F31" s="417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7" ht="14.65" customHeight="1">
      <c r="A32" s="28"/>
      <c r="B32" s="526"/>
      <c r="C32" s="362"/>
      <c r="D32" s="524"/>
      <c r="E32" s="521"/>
      <c r="F32" s="417"/>
      <c r="G32" s="294"/>
      <c r="H32" s="348"/>
      <c r="I32" s="36" t="s">
        <v>15</v>
      </c>
      <c r="J32" s="323"/>
      <c r="K32" s="284"/>
      <c r="L32" s="302"/>
      <c r="M32" s="302">
        <f>AVERAGE([7]Brewhouse!$AT$4:$AT$11)</f>
        <v>92.826224508052405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1:56" ht="14.65" customHeight="1">
      <c r="A33" s="28"/>
      <c r="B33" s="526"/>
      <c r="C33" s="362"/>
      <c r="D33" s="522"/>
      <c r="E33" s="523"/>
      <c r="F33" s="417"/>
      <c r="G33" s="294"/>
      <c r="H33" s="348"/>
      <c r="I33" s="37" t="s">
        <v>16</v>
      </c>
      <c r="J33" s="323"/>
      <c r="K33" s="284">
        <f>COUNTA([8]Brewhouse!$A$25:$A$32)</f>
        <v>8</v>
      </c>
      <c r="L33" s="302">
        <f>AVERAGE([8]Brewhouse!$AY$32)</f>
        <v>97.452144425843485</v>
      </c>
      <c r="M33" s="302">
        <f>AVERAGE([8]Brewhouse!$AY$5:$AY$14,[8]Brewhouse!$AY$16:$AY$23,[8]Brewhouse!$AY$32)</f>
        <v>97.301958816242518</v>
      </c>
      <c r="N33" s="30">
        <v>98</v>
      </c>
      <c r="O33" s="11"/>
      <c r="P33" s="31" t="s">
        <v>41</v>
      </c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4.65" customHeight="1">
      <c r="A34" s="28"/>
      <c r="B34" s="526"/>
      <c r="C34" s="362"/>
      <c r="D34" s="524"/>
      <c r="E34" s="521"/>
      <c r="F34" s="294"/>
      <c r="G34" s="294"/>
      <c r="H34" s="348"/>
      <c r="I34" s="411" t="s">
        <v>158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4.65" customHeight="1">
      <c r="A35" s="28"/>
      <c r="B35" s="526"/>
      <c r="C35" s="349"/>
      <c r="D35" s="522"/>
      <c r="E35" s="523"/>
      <c r="F35" s="294"/>
      <c r="G35" s="294"/>
      <c r="H35" s="348"/>
      <c r="I35" s="410" t="s">
        <v>157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" customHeight="1" thickBot="1">
      <c r="A36" s="28"/>
      <c r="B36" s="526"/>
      <c r="C36" s="349"/>
      <c r="D36" s="524"/>
      <c r="E36" s="521"/>
      <c r="F36" s="294"/>
      <c r="G36" s="294"/>
      <c r="H36" s="348"/>
      <c r="I36" s="406" t="s">
        <v>156</v>
      </c>
      <c r="J36" s="327"/>
      <c r="K36" s="407"/>
      <c r="L36" s="408"/>
      <c r="M36" s="408"/>
      <c r="N36" s="409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" customHeight="1" thickBot="1">
      <c r="A37" s="28"/>
      <c r="B37" s="526"/>
      <c r="C37" s="349"/>
      <c r="D37" s="518"/>
      <c r="E37" s="519"/>
      <c r="F37" s="294"/>
      <c r="G37" s="294"/>
      <c r="H37" s="348"/>
      <c r="I37" s="1"/>
      <c r="J37" s="39"/>
      <c r="K37" s="404">
        <f>SUM(K27:K36)</f>
        <v>77</v>
      </c>
      <c r="L37" s="405">
        <f>((L27*K27)+(L28*K28)+(L29*K29)+(L30*K30)+(L31*K31)+(K34*L34)+(L32*K32)+(L33*K33)+(L36*K36))/(K37)</f>
        <v>97.749444056896593</v>
      </c>
      <c r="M37" s="405">
        <f>AVERAGE('[9]Jan30th-31st'!$L$42,L37)</f>
        <v>97.78874289636903</v>
      </c>
      <c r="N37" s="40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.75" thickBot="1">
      <c r="B38" s="583"/>
      <c r="C38" s="350"/>
      <c r="D38" s="520"/>
      <c r="E38" s="521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56" ht="15.75" thickBot="1">
      <c r="B39" s="525"/>
      <c r="C39" s="362"/>
      <c r="D39" s="528"/>
      <c r="E39" s="529"/>
      <c r="F39" s="294"/>
      <c r="G39" s="42"/>
      <c r="H39" s="41"/>
      <c r="I39" s="42"/>
      <c r="J39" s="530" t="s">
        <v>129</v>
      </c>
      <c r="K39" s="530"/>
      <c r="L39" s="294"/>
      <c r="M39" s="294"/>
      <c r="N39" s="294"/>
      <c r="O39" s="294"/>
      <c r="P39" s="12"/>
    </row>
    <row r="40" spans="1:56" ht="15.75" thickBot="1">
      <c r="B40" s="526"/>
      <c r="C40" s="362"/>
      <c r="D40" s="524"/>
      <c r="E40" s="521"/>
      <c r="F40" s="294"/>
      <c r="G40" s="42"/>
      <c r="H40" s="41"/>
      <c r="I40" s="41"/>
      <c r="J40" s="292" t="s">
        <v>17</v>
      </c>
      <c r="K40" s="293" t="s">
        <v>172</v>
      </c>
      <c r="L40" s="531" t="s">
        <v>136</v>
      </c>
      <c r="M40" s="531"/>
      <c r="N40" s="532"/>
      <c r="O40" s="294"/>
      <c r="P40" s="12"/>
    </row>
    <row r="41" spans="1:56" ht="15" customHeight="1" thickBot="1">
      <c r="B41" s="526"/>
      <c r="C41" s="349"/>
      <c r="D41" s="522"/>
      <c r="E41" s="523"/>
      <c r="F41" s="294"/>
      <c r="G41" s="42"/>
      <c r="H41" s="41"/>
      <c r="I41" s="41"/>
      <c r="J41" s="287" t="s">
        <v>6</v>
      </c>
      <c r="K41" s="324">
        <v>9</v>
      </c>
      <c r="L41" s="473" t="s">
        <v>37</v>
      </c>
      <c r="M41" s="474" t="s">
        <v>38</v>
      </c>
      <c r="N41" s="474" t="s">
        <v>84</v>
      </c>
      <c r="O41" s="294"/>
      <c r="P41" s="12"/>
    </row>
    <row r="42" spans="1:56" ht="15.75" customHeight="1" thickBot="1">
      <c r="B42" s="526"/>
      <c r="C42" s="349"/>
      <c r="D42" s="524"/>
      <c r="E42" s="521"/>
      <c r="F42" s="294"/>
      <c r="G42" s="42"/>
      <c r="H42" s="41"/>
      <c r="I42" s="41"/>
      <c r="J42" s="345" t="s">
        <v>9</v>
      </c>
      <c r="K42" s="324"/>
      <c r="L42" s="344">
        <f>AVERAGE(K51,'Mar 2nd'!K49,'Mar 1st'!K55,'Mar 3rd'!K49,'Mar 4th'!K51,'Mar 5th'!K52,'Mar 6th '!K49,'Mar 9th'!K53,'Mar 10th'!K47,'Mar 11th'!K50)</f>
        <v>7.6</v>
      </c>
      <c r="M42" s="325">
        <f>AVERAGE('[9]Jan30th-31st'!$L$47,L42,'[10]Feb 26th '!$L$39)</f>
        <v>6.5956521739130425</v>
      </c>
      <c r="N42" s="416">
        <v>9.1999999999999993</v>
      </c>
      <c r="O42" s="294"/>
      <c r="P42" s="12"/>
    </row>
    <row r="43" spans="1:56" ht="15" customHeight="1">
      <c r="B43" s="526"/>
      <c r="C43" s="349"/>
      <c r="D43" s="522"/>
      <c r="E43" s="523"/>
      <c r="F43" s="294"/>
      <c r="G43" s="42"/>
      <c r="H43" s="41"/>
      <c r="I43" s="41"/>
      <c r="J43" s="288" t="s">
        <v>40</v>
      </c>
      <c r="K43" s="324"/>
      <c r="L43" s="294"/>
      <c r="M43" s="294"/>
      <c r="N43" s="294"/>
      <c r="O43" s="294"/>
      <c r="P43" s="12"/>
    </row>
    <row r="44" spans="1:56" ht="15" customHeight="1">
      <c r="B44" s="526"/>
      <c r="C44" s="349"/>
      <c r="D44" s="524"/>
      <c r="E44" s="521"/>
      <c r="F44" s="294"/>
      <c r="G44" s="42"/>
      <c r="H44" s="41"/>
      <c r="I44" s="41"/>
      <c r="J44" s="289" t="s">
        <v>33</v>
      </c>
      <c r="K44" s="324"/>
      <c r="L44" s="294"/>
      <c r="M44" s="294"/>
      <c r="N44" s="294"/>
      <c r="O44" s="294"/>
      <c r="P44" s="12"/>
    </row>
    <row r="45" spans="1:56" ht="15">
      <c r="B45" s="526"/>
      <c r="C45" s="349"/>
      <c r="D45" s="522"/>
      <c r="E45" s="523"/>
      <c r="F45" s="294"/>
      <c r="G45" s="42"/>
      <c r="H45" s="41"/>
      <c r="I45" s="41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6"/>
      <c r="C46" s="349"/>
      <c r="D46" s="524"/>
      <c r="E46" s="521"/>
      <c r="F46" s="294"/>
      <c r="G46" s="42"/>
      <c r="H46" s="41"/>
      <c r="I46" s="41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26"/>
      <c r="C47" s="349"/>
      <c r="D47" s="522"/>
      <c r="E47" s="523"/>
      <c r="F47" s="294"/>
      <c r="G47" s="42"/>
      <c r="H47" s="41"/>
      <c r="I47" s="41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527"/>
      <c r="C48" s="350"/>
      <c r="D48" s="533"/>
      <c r="E48" s="534"/>
      <c r="F48" s="294" t="s">
        <v>166</v>
      </c>
      <c r="G48" s="42"/>
      <c r="H48" s="41"/>
      <c r="I48" s="41"/>
      <c r="J48" s="291" t="s">
        <v>148</v>
      </c>
      <c r="K48" s="324"/>
      <c r="L48" s="294"/>
      <c r="M48" s="294"/>
      <c r="N48" s="294" t="s">
        <v>41</v>
      </c>
      <c r="O48" s="294"/>
      <c r="P48" s="12"/>
      <c r="BC48" s="44"/>
      <c r="BD48" s="44"/>
    </row>
    <row r="49" spans="1:57" ht="17.649999999999999" customHeight="1" thickBot="1">
      <c r="B49" s="312" t="s">
        <v>139</v>
      </c>
      <c r="C49" s="313"/>
      <c r="D49" s="535"/>
      <c r="E49" s="536"/>
      <c r="F49" s="294"/>
      <c r="H49" s="41"/>
      <c r="I49" s="41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1:57" ht="17.649999999999999" customHeight="1">
      <c r="B50" s="363"/>
      <c r="C50" s="364"/>
      <c r="D50" s="365"/>
      <c r="E50" s="365"/>
      <c r="F50" s="294"/>
      <c r="G50" s="42"/>
      <c r="H50" s="41"/>
      <c r="I50" s="41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1:57" ht="15.6" customHeight="1">
      <c r="B51" s="45"/>
      <c r="C51" s="11"/>
      <c r="D51" s="11"/>
      <c r="E51" s="46"/>
      <c r="F51" s="294"/>
      <c r="G51" s="42"/>
      <c r="H51" s="41"/>
      <c r="I51" s="41"/>
      <c r="J51" s="346" t="s">
        <v>130</v>
      </c>
      <c r="K51" s="324">
        <f>SUM(K41:K50)</f>
        <v>9</v>
      </c>
      <c r="L51" s="294"/>
      <c r="M51" s="294"/>
      <c r="N51" s="294"/>
      <c r="O51" s="294"/>
      <c r="P51" s="12"/>
    </row>
    <row r="52" spans="1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L52" s="294"/>
      <c r="N52" s="315"/>
      <c r="P52" s="334"/>
    </row>
    <row r="53" spans="1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1:57" ht="15" customHeight="1" thickBot="1">
      <c r="B54" s="537" t="s">
        <v>17</v>
      </c>
      <c r="C54" s="537" t="s">
        <v>44</v>
      </c>
      <c r="D54" s="540" t="s">
        <v>45</v>
      </c>
      <c r="E54" s="501" t="s">
        <v>46</v>
      </c>
      <c r="F54" s="510" t="s">
        <v>47</v>
      </c>
      <c r="G54" s="549" t="s">
        <v>48</v>
      </c>
      <c r="H54" s="537" t="s">
        <v>49</v>
      </c>
      <c r="I54" s="537" t="s">
        <v>50</v>
      </c>
      <c r="J54" s="543" t="s">
        <v>28</v>
      </c>
      <c r="K54" s="499" t="s">
        <v>51</v>
      </c>
      <c r="L54" s="552" t="s">
        <v>52</v>
      </c>
      <c r="M54" s="543" t="s">
        <v>53</v>
      </c>
      <c r="N54" s="13"/>
      <c r="O54" s="13"/>
      <c r="P54" s="50"/>
    </row>
    <row r="55" spans="1:57" ht="28.5" customHeight="1" thickTop="1" thickBot="1">
      <c r="B55" s="538"/>
      <c r="C55" s="539"/>
      <c r="D55" s="541"/>
      <c r="E55" s="542"/>
      <c r="F55" s="554"/>
      <c r="G55" s="550"/>
      <c r="H55" s="538"/>
      <c r="I55" s="538"/>
      <c r="J55" s="544"/>
      <c r="K55" s="551"/>
      <c r="L55" s="553"/>
      <c r="M55" s="544"/>
      <c r="N55" s="13"/>
      <c r="O55" s="13"/>
      <c r="P55" s="50"/>
      <c r="Q55" s="355"/>
      <c r="AB55" s="475">
        <v>43474</v>
      </c>
      <c r="AC55" s="475">
        <v>43475</v>
      </c>
      <c r="AD55" s="475">
        <v>43476</v>
      </c>
      <c r="AE55" s="475">
        <v>43477</v>
      </c>
      <c r="AF55" s="475">
        <v>43478</v>
      </c>
      <c r="AG55" s="475">
        <v>43479</v>
      </c>
      <c r="AH55" s="475">
        <v>43480</v>
      </c>
      <c r="AI55" s="475">
        <v>43481</v>
      </c>
      <c r="AJ55" s="475">
        <v>43482</v>
      </c>
      <c r="AK55" s="475">
        <v>43483</v>
      </c>
      <c r="AL55" s="475">
        <v>43484</v>
      </c>
      <c r="AM55" s="475">
        <v>43485</v>
      </c>
      <c r="AN55" s="475">
        <v>43486</v>
      </c>
      <c r="AO55" s="475">
        <v>43487</v>
      </c>
      <c r="AP55" s="475">
        <v>43488</v>
      </c>
      <c r="AQ55" s="475">
        <v>43489</v>
      </c>
      <c r="AR55" s="475">
        <v>43490</v>
      </c>
      <c r="AS55" s="475">
        <v>43491</v>
      </c>
      <c r="AT55" s="475">
        <v>43492</v>
      </c>
      <c r="AU55" s="475">
        <v>43493</v>
      </c>
      <c r="AV55" s="475">
        <v>43494</v>
      </c>
      <c r="AW55" s="475">
        <v>43495</v>
      </c>
      <c r="AX55" s="475">
        <v>43496</v>
      </c>
    </row>
    <row r="56" spans="1:57" s="54" customFormat="1" ht="36.75" customHeight="1" thickBot="1">
      <c r="B56" s="481" t="str">
        <f>I33</f>
        <v>STARMALT</v>
      </c>
      <c r="C56" s="479">
        <v>46093</v>
      </c>
      <c r="D56" s="442">
        <f>[11]March_2026!$O$55</f>
        <v>412.29999999999995</v>
      </c>
      <c r="E56" s="443"/>
      <c r="F56" s="444"/>
      <c r="G56" s="445">
        <f>[11]March_2026!$O$59</f>
        <v>390.2</v>
      </c>
      <c r="H56" s="458"/>
      <c r="I56" s="458"/>
      <c r="J56" s="448" t="s">
        <v>176</v>
      </c>
      <c r="K56" s="449">
        <f>[13]March_2026!$P$53</f>
        <v>0.45637426900584793</v>
      </c>
      <c r="L56" s="457">
        <f>(((D56+E56)-G56)/(D56+E56))*100</f>
        <v>5.360174630123689</v>
      </c>
      <c r="M56" s="455" t="s">
        <v>184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[14]January_2019!L5</f>
        <v>0</v>
      </c>
      <c r="AC56" s="57">
        <f>[14]January_2019!M5</f>
        <v>0</v>
      </c>
      <c r="AD56" s="57">
        <f>[14]January_2019!N5</f>
        <v>0</v>
      </c>
      <c r="AE56" s="57">
        <f>[14]January_2019!O5</f>
        <v>0</v>
      </c>
      <c r="AF56" s="57">
        <f>[14]January_2019!P5</f>
        <v>0</v>
      </c>
      <c r="AG56" s="57">
        <f>[14]January_2019!Q5</f>
        <v>0</v>
      </c>
      <c r="AH56" s="57">
        <f>[14]January_2019!R5</f>
        <v>0</v>
      </c>
      <c r="AI56" s="57">
        <f>[14]January_2019!S5</f>
        <v>0</v>
      </c>
      <c r="AJ56" s="57">
        <f>[14]January_2019!T5</f>
        <v>0</v>
      </c>
      <c r="AK56" s="57">
        <f>[14]January_2019!U5</f>
        <v>0</v>
      </c>
      <c r="AL56" s="57">
        <f>[14]January_2019!V5</f>
        <v>0</v>
      </c>
      <c r="AM56" s="57">
        <f>[14]January_2019!W5</f>
        <v>0</v>
      </c>
      <c r="AN56" s="57">
        <f>[14]January_2019!X5</f>
        <v>0</v>
      </c>
      <c r="AO56" s="57">
        <f>[14]January_2019!Y5</f>
        <v>0</v>
      </c>
      <c r="AP56" s="57">
        <f>[14]January_2019!Z5</f>
        <v>0</v>
      </c>
      <c r="AQ56" s="57">
        <f>[14]January_2019!AA5</f>
        <v>0</v>
      </c>
      <c r="AR56" s="57">
        <f>[14]January_2019!AB5</f>
        <v>0</v>
      </c>
      <c r="AS56" s="57">
        <f>[14]January_2019!AC5</f>
        <v>0</v>
      </c>
      <c r="AT56" s="57">
        <f>[14]January_2019!AD5</f>
        <v>0</v>
      </c>
      <c r="AU56" s="57">
        <f>[14]January_2019!AE5</f>
        <v>0</v>
      </c>
      <c r="AV56" s="57">
        <f>[14]January_2019!AF5</f>
        <v>0</v>
      </c>
      <c r="AW56" s="57">
        <f>[14]January_2019!AG5</f>
        <v>0</v>
      </c>
      <c r="AX56" s="277">
        <f>[14]January_2019!AH5</f>
        <v>0</v>
      </c>
      <c r="AY56" s="277"/>
      <c r="AZ56" s="277"/>
      <c r="BA56" s="277"/>
      <c r="BB56" s="277"/>
      <c r="BC56" s="277"/>
      <c r="BD56" s="277"/>
      <c r="BE56" s="277"/>
    </row>
    <row r="57" spans="1:57" s="54" customFormat="1" ht="14.25" customHeight="1" thickBot="1">
      <c r="B57" s="480"/>
      <c r="C57" s="479"/>
      <c r="D57" s="442"/>
      <c r="E57" s="443"/>
      <c r="F57" s="444"/>
      <c r="G57" s="445"/>
      <c r="H57" s="458"/>
      <c r="I57" s="458"/>
      <c r="J57" s="476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[14]January_2019!L6</f>
        <v>0</v>
      </c>
      <c r="AC57" s="57">
        <f>[14]January_2019!M6</f>
        <v>0</v>
      </c>
      <c r="AD57" s="57">
        <f>[14]January_2019!N6</f>
        <v>0</v>
      </c>
      <c r="AE57" s="57">
        <f>[14]January_2019!O6</f>
        <v>0</v>
      </c>
      <c r="AF57" s="57">
        <f>[14]January_2019!P6</f>
        <v>0</v>
      </c>
      <c r="AG57" s="57">
        <f>[14]January_2019!Q6</f>
        <v>0</v>
      </c>
      <c r="AH57" s="57">
        <f>[14]January_2019!R6</f>
        <v>0</v>
      </c>
      <c r="AI57" s="57">
        <f>[14]January_2019!S6</f>
        <v>0</v>
      </c>
      <c r="AJ57" s="57">
        <f>[14]January_2019!T6</f>
        <v>0</v>
      </c>
      <c r="AK57" s="57">
        <f>[14]January_2019!U6</f>
        <v>0</v>
      </c>
      <c r="AL57" s="57">
        <f>[14]January_2019!V6</f>
        <v>0</v>
      </c>
      <c r="AM57" s="57">
        <f>[14]January_2019!W6</f>
        <v>0</v>
      </c>
      <c r="AN57" s="57">
        <f>[14]January_2019!X6</f>
        <v>0</v>
      </c>
      <c r="AO57" s="57">
        <f>[14]January_2019!Y6</f>
        <v>0</v>
      </c>
      <c r="AP57" s="57">
        <f>[14]January_2019!Z6</f>
        <v>0</v>
      </c>
      <c r="AQ57" s="57">
        <f>[14]January_2019!AA6</f>
        <v>0</v>
      </c>
      <c r="AR57" s="57">
        <f>[14]January_2019!AB6</f>
        <v>0</v>
      </c>
      <c r="AS57" s="57">
        <f>[14]January_2019!AC6</f>
        <v>0</v>
      </c>
      <c r="AT57" s="57">
        <f>[14]January_2019!AD6</f>
        <v>0</v>
      </c>
      <c r="AU57" s="57">
        <f>[14]January_2019!AE6</f>
        <v>0</v>
      </c>
      <c r="AV57" s="57">
        <f>[14]January_2019!AF6</f>
        <v>0</v>
      </c>
      <c r="AW57" s="57">
        <f>[14]January_2019!AG6</f>
        <v>0</v>
      </c>
      <c r="AX57" s="277">
        <f>[14]January_2019!AH6</f>
        <v>0</v>
      </c>
      <c r="AY57" s="277"/>
      <c r="AZ57" s="277"/>
      <c r="BA57" s="277"/>
      <c r="BB57" s="277"/>
      <c r="BC57" s="277"/>
      <c r="BD57" s="277"/>
      <c r="BE57" s="277"/>
    </row>
    <row r="58" spans="1:57" s="54" customFormat="1" ht="37.15" hidden="1" customHeight="1" thickBot="1">
      <c r="A58" s="54" t="s">
        <v>168</v>
      </c>
      <c r="B58" s="480"/>
      <c r="C58" s="479"/>
      <c r="D58" s="442"/>
      <c r="E58" s="443"/>
      <c r="F58" s="444"/>
      <c r="G58" s="445"/>
      <c r="H58" s="458"/>
      <c r="I58" s="458"/>
      <c r="J58" s="448"/>
      <c r="K58" s="44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[14]January_2019!L7</f>
        <v>285.8</v>
      </c>
      <c r="AC58" s="57">
        <f>[14]January_2019!M7</f>
        <v>508.1</v>
      </c>
      <c r="AD58" s="57">
        <f>[14]January_2019!N7</f>
        <v>0</v>
      </c>
      <c r="AE58" s="57">
        <f>[14]January_2019!O7</f>
        <v>0</v>
      </c>
      <c r="AF58" s="57">
        <f>[14]January_2019!P7</f>
        <v>109.56666666666666</v>
      </c>
      <c r="AG58" s="57">
        <f>[14]January_2019!Q7</f>
        <v>297.64999999999998</v>
      </c>
      <c r="AH58" s="57">
        <f>[14]January_2019!R7</f>
        <v>122.3</v>
      </c>
      <c r="AI58" s="57">
        <f>[14]January_2019!S7</f>
        <v>0</v>
      </c>
      <c r="AJ58" s="57">
        <f>[14]January_2019!T7</f>
        <v>294.7</v>
      </c>
      <c r="AK58" s="57">
        <f>[14]January_2019!U7</f>
        <v>280.5</v>
      </c>
      <c r="AL58" s="57">
        <f>[14]January_2019!V7</f>
        <v>0</v>
      </c>
      <c r="AM58" s="57">
        <f>[14]January_2019!W7</f>
        <v>0</v>
      </c>
      <c r="AN58" s="57">
        <f>[14]January_2019!X7</f>
        <v>188.25</v>
      </c>
      <c r="AO58" s="57">
        <f>[14]January_2019!Y7</f>
        <v>295.7</v>
      </c>
      <c r="AP58" s="57">
        <f>[14]January_2019!Z7</f>
        <v>257.8</v>
      </c>
      <c r="AQ58" s="57">
        <f>[14]January_2019!AA7</f>
        <v>291.2</v>
      </c>
      <c r="AR58" s="57">
        <f>[14]January_2019!AB7</f>
        <v>187</v>
      </c>
      <c r="AS58" s="57">
        <f>[14]January_2019!AC7</f>
        <v>0</v>
      </c>
      <c r="AT58" s="57">
        <f>[14]January_2019!AD7</f>
        <v>0</v>
      </c>
      <c r="AU58" s="57">
        <f>[14]January_2019!AE7</f>
        <v>485.1</v>
      </c>
      <c r="AV58" s="57">
        <f>[14]January_2019!AF7</f>
        <v>171.55</v>
      </c>
      <c r="AW58" s="57">
        <f>[14]January_2019!AG7</f>
        <v>423.8</v>
      </c>
      <c r="AX58" s="277">
        <f>[14]January_2019!AH7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1:57" s="54" customFormat="1" ht="19.5" hidden="1" customHeight="1" thickBot="1">
      <c r="B59" s="478"/>
      <c r="C59" s="430"/>
      <c r="D59" s="431"/>
      <c r="E59" s="432"/>
      <c r="F59" s="433"/>
      <c r="G59" s="434"/>
      <c r="H59" s="458"/>
      <c r="I59" s="458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38.450000000000003" hidden="1" customHeight="1" thickBot="1">
      <c r="B60" s="480"/>
      <c r="C60" s="479"/>
      <c r="D60" s="442"/>
      <c r="E60" s="443"/>
      <c r="F60" s="444"/>
      <c r="G60" s="445"/>
      <c r="H60" s="458"/>
      <c r="I60" s="458"/>
      <c r="J60" s="448" t="s">
        <v>171</v>
      </c>
      <c r="K60" s="459"/>
      <c r="L60" s="457" t="e">
        <f>(((D60+E60)-G60)/(D60+E60))*100</f>
        <v>#DIV/0!</v>
      </c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15" hidden="1">
      <c r="B61" s="453"/>
      <c r="C61" s="430"/>
      <c r="D61" s="431"/>
      <c r="E61" s="432"/>
      <c r="F61" s="433"/>
      <c r="G61" s="434"/>
      <c r="H61" s="435"/>
      <c r="I61" s="450"/>
      <c r="J61" s="451"/>
      <c r="K61" s="436"/>
      <c r="L61" s="452"/>
      <c r="M61" s="421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37.15" hidden="1" customHeight="1" thickBot="1">
      <c r="B62" s="480"/>
      <c r="C62" s="479"/>
      <c r="D62" s="442"/>
      <c r="E62" s="443"/>
      <c r="F62" s="444"/>
      <c r="G62" s="445"/>
      <c r="H62" s="446"/>
      <c r="I62" s="447"/>
      <c r="J62" s="448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s="54" customFormat="1" ht="16.5" hidden="1" customHeight="1" thickBot="1">
      <c r="B63" s="437"/>
      <c r="C63" s="423"/>
      <c r="D63" s="424"/>
      <c r="E63" s="425"/>
      <c r="F63" s="426"/>
      <c r="G63" s="427"/>
      <c r="H63" s="428"/>
      <c r="I63" s="438"/>
      <c r="J63" s="439"/>
      <c r="K63" s="429"/>
      <c r="L63" s="440"/>
      <c r="M63" s="422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1:57" s="54" customFormat="1" ht="37.15" hidden="1" customHeight="1" thickBot="1">
      <c r="B64" s="456"/>
      <c r="C64" s="441"/>
      <c r="D64" s="442"/>
      <c r="E64" s="443"/>
      <c r="F64" s="444"/>
      <c r="G64" s="445"/>
      <c r="H64" s="446"/>
      <c r="I64" s="447"/>
      <c r="J64" s="448"/>
      <c r="K64" s="449"/>
      <c r="L64" s="457"/>
      <c r="M64" s="454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customHeight="1">
      <c r="B65" s="466"/>
      <c r="C65" s="430"/>
      <c r="D65" s="460"/>
      <c r="E65" s="461"/>
      <c r="F65" s="462"/>
      <c r="G65" s="460"/>
      <c r="H65" s="463"/>
      <c r="I65" s="463"/>
      <c r="J65" s="463"/>
      <c r="K65" s="464"/>
      <c r="L65" s="465"/>
      <c r="M65" s="5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 t="s">
        <v>41</v>
      </c>
      <c r="O66" s="56"/>
      <c r="P66" s="60"/>
    </row>
    <row r="67" spans="2:57" ht="15.75" thickBot="1">
      <c r="B67" s="545" t="s">
        <v>55</v>
      </c>
      <c r="C67" s="546"/>
      <c r="D67" s="546"/>
      <c r="E67" s="546"/>
      <c r="F67" s="547"/>
      <c r="G67" s="545" t="s">
        <v>56</v>
      </c>
      <c r="H67" s="546"/>
      <c r="I67" s="546"/>
      <c r="J67" s="547"/>
      <c r="K67" s="545" t="s">
        <v>51</v>
      </c>
      <c r="L67" s="546"/>
      <c r="M67" s="546"/>
      <c r="N67" s="548"/>
      <c r="O67" s="56"/>
      <c r="P67" s="50"/>
    </row>
    <row r="68" spans="2:57" ht="15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 t="s">
        <v>36</v>
      </c>
      <c r="L68" s="62" t="s">
        <v>37</v>
      </c>
      <c r="M68" s="62" t="s">
        <v>38</v>
      </c>
      <c r="N68" s="63" t="s">
        <v>39</v>
      </c>
      <c r="O68" s="56"/>
      <c r="P68" s="64"/>
    </row>
    <row r="69" spans="2:57" ht="15">
      <c r="B69" s="29" t="s">
        <v>6</v>
      </c>
      <c r="C69" s="282"/>
      <c r="D69" s="76">
        <v>7.483481758115472</v>
      </c>
      <c r="E69" s="76">
        <v>7.335066202576412</v>
      </c>
      <c r="F69" s="66">
        <v>4.8</v>
      </c>
      <c r="G69" s="65"/>
      <c r="H69" s="477">
        <v>7.0237807669753574</v>
      </c>
      <c r="I69" s="477">
        <v>7.3894009766315163</v>
      </c>
      <c r="J69" s="66">
        <v>4.8</v>
      </c>
      <c r="K69" s="67"/>
      <c r="L69" s="194">
        <v>0.27168755221386798</v>
      </c>
      <c r="M69" s="194">
        <v>0.37434465277838141</v>
      </c>
      <c r="N69" s="68">
        <v>1</v>
      </c>
      <c r="O69" s="56"/>
      <c r="P69" s="69"/>
    </row>
    <row r="70" spans="2:57" ht="15">
      <c r="B70" s="33" t="s">
        <v>9</v>
      </c>
      <c r="C70" s="65"/>
      <c r="D70" s="76">
        <v>6.226853304877273</v>
      </c>
      <c r="E70" s="76">
        <v>6.218558063401959</v>
      </c>
      <c r="F70" s="66">
        <v>4.8</v>
      </c>
      <c r="G70" s="65"/>
      <c r="H70" s="76">
        <v>5.6013387717202709</v>
      </c>
      <c r="I70" s="76">
        <v>6.0251504474659541</v>
      </c>
      <c r="J70" s="66">
        <v>4.8</v>
      </c>
      <c r="K70" s="67"/>
      <c r="L70" s="194">
        <v>0.74087719298245613</v>
      </c>
      <c r="M70" s="194">
        <v>0.60474102461797952</v>
      </c>
      <c r="N70" s="68">
        <v>1</v>
      </c>
      <c r="P70" s="69"/>
    </row>
    <row r="71" spans="2:57" ht="15">
      <c r="B71" s="34" t="s">
        <v>40</v>
      </c>
      <c r="C71" s="65"/>
      <c r="D71" s="76">
        <v>17.736185383244202</v>
      </c>
      <c r="E71" s="76">
        <v>13.787999544574737</v>
      </c>
      <c r="F71" s="66">
        <v>5.5</v>
      </c>
      <c r="G71" s="65"/>
      <c r="H71" s="76">
        <v>18.680986829617162</v>
      </c>
      <c r="I71" s="76">
        <v>14.166613807253221</v>
      </c>
      <c r="J71" s="66">
        <v>5.5</v>
      </c>
      <c r="K71" s="67"/>
      <c r="L71" s="194">
        <v>0.12954385964912282</v>
      </c>
      <c r="M71" s="194">
        <v>0.28657456140350879</v>
      </c>
      <c r="N71" s="68">
        <v>1</v>
      </c>
      <c r="P71" s="69"/>
    </row>
    <row r="72" spans="2:57" ht="15">
      <c r="B72" s="22" t="s">
        <v>33</v>
      </c>
      <c r="C72" s="65"/>
      <c r="D72" s="76">
        <v>4.786281034041461</v>
      </c>
      <c r="E72" s="76">
        <v>4.9619586520196597</v>
      </c>
      <c r="F72" s="66">
        <v>3.3</v>
      </c>
      <c r="G72" s="65"/>
      <c r="H72" s="76">
        <v>5.4251963146907434</v>
      </c>
      <c r="I72" s="76">
        <v>4.9501867212112511</v>
      </c>
      <c r="J72" s="66">
        <v>3.3</v>
      </c>
      <c r="K72" s="67"/>
      <c r="L72" s="194">
        <v>1.3052631578947369</v>
      </c>
      <c r="M72" s="194">
        <v>0.88064327485380123</v>
      </c>
      <c r="N72" s="68">
        <v>1</v>
      </c>
      <c r="P72" s="69"/>
    </row>
    <row r="73" spans="2:57" ht="15">
      <c r="B73" s="35" t="s">
        <v>164</v>
      </c>
      <c r="C73" s="65"/>
      <c r="D73" s="76"/>
      <c r="E73" s="76"/>
      <c r="F73" s="66">
        <v>3.3</v>
      </c>
      <c r="G73" s="282"/>
      <c r="H73" s="76"/>
      <c r="I73" s="76"/>
      <c r="J73" s="66">
        <v>3</v>
      </c>
      <c r="K73" s="67"/>
      <c r="L73" s="194"/>
      <c r="M73" s="194"/>
      <c r="N73" s="68">
        <v>1</v>
      </c>
      <c r="P73" s="69"/>
    </row>
    <row r="74" spans="2:57" ht="15">
      <c r="B74" s="36" t="s">
        <v>15</v>
      </c>
      <c r="C74" s="65"/>
      <c r="D74" s="76"/>
      <c r="E74" s="76">
        <v>5.1105651105651271</v>
      </c>
      <c r="F74" s="70">
        <f>[15]May_2022!$M$43</f>
        <v>3.4878406700073312</v>
      </c>
      <c r="G74" s="282"/>
      <c r="H74" s="76"/>
      <c r="I74" s="76">
        <v>7.9131369535794072</v>
      </c>
      <c r="J74" s="66">
        <v>5.5</v>
      </c>
      <c r="K74" s="67"/>
      <c r="L74" s="194"/>
      <c r="M74" s="194">
        <v>1.3550877192982456</v>
      </c>
      <c r="N74" s="68">
        <v>1</v>
      </c>
      <c r="P74" s="69"/>
    </row>
    <row r="75" spans="2:57" ht="15">
      <c r="B75" s="37" t="s">
        <v>16</v>
      </c>
      <c r="C75" s="65">
        <f>L56</f>
        <v>5.360174630123689</v>
      </c>
      <c r="D75" s="76">
        <v>5.360174630123689</v>
      </c>
      <c r="E75" s="76">
        <v>4.3766776021473337</v>
      </c>
      <c r="F75" s="66">
        <v>3.3</v>
      </c>
      <c r="G75" s="282"/>
      <c r="H75" s="76">
        <v>11.106164027580478</v>
      </c>
      <c r="I75" s="76">
        <v>6.7590439068772588</v>
      </c>
      <c r="J75" s="66">
        <v>3.3</v>
      </c>
      <c r="K75" s="67"/>
      <c r="L75" s="194">
        <v>0.45637426900584793</v>
      </c>
      <c r="M75" s="194">
        <v>0.73190058479532172</v>
      </c>
      <c r="N75" s="71">
        <v>1</v>
      </c>
      <c r="P75" s="69"/>
    </row>
    <row r="76" spans="2:57" ht="15.75" thickBot="1">
      <c r="B76" s="38" t="s">
        <v>163</v>
      </c>
      <c r="C76" s="65"/>
      <c r="D76" s="76"/>
      <c r="E76" s="76"/>
      <c r="F76" s="66">
        <v>7.5</v>
      </c>
      <c r="G76" s="282"/>
      <c r="H76" s="76"/>
      <c r="I76" s="76"/>
      <c r="J76" s="66">
        <v>7.5</v>
      </c>
      <c r="K76" s="67"/>
      <c r="L76" s="194"/>
      <c r="M76" s="194"/>
      <c r="N76" s="71">
        <v>1</v>
      </c>
      <c r="P76" s="69"/>
    </row>
    <row r="77" spans="2:57" ht="15.75" thickBot="1">
      <c r="B77" s="414" t="s">
        <v>161</v>
      </c>
      <c r="C77" s="65"/>
      <c r="D77" s="76"/>
      <c r="E77" s="76"/>
      <c r="F77" s="66">
        <v>4.8</v>
      </c>
      <c r="G77" s="282"/>
      <c r="H77" s="76"/>
      <c r="I77" s="76"/>
      <c r="J77" s="66">
        <v>4.8</v>
      </c>
      <c r="K77" s="67"/>
      <c r="L77" s="194"/>
      <c r="M77" s="194"/>
      <c r="N77" s="71">
        <v>1</v>
      </c>
      <c r="O77" s="74"/>
      <c r="P77" s="75"/>
    </row>
    <row r="78" spans="2:57" ht="15">
      <c r="D78" s="76">
        <v>7.0771761070547488</v>
      </c>
      <c r="E78" s="76">
        <v>6.9200576620396346</v>
      </c>
      <c r="F78" s="341">
        <v>5.5</v>
      </c>
      <c r="H78" s="76">
        <v>7.7800061625375196</v>
      </c>
      <c r="I78" s="76">
        <v>7.2853976871353101</v>
      </c>
      <c r="J78" s="341">
        <v>5.5</v>
      </c>
      <c r="L78" s="194">
        <v>0.54013093339409135</v>
      </c>
      <c r="M78" s="194">
        <v>0.43654320143793834</v>
      </c>
      <c r="N78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B39:B48"/>
    <mergeCell ref="D39:E40"/>
    <mergeCell ref="J39:K39"/>
    <mergeCell ref="L40:N40"/>
    <mergeCell ref="D41:E42"/>
    <mergeCell ref="D43:E44"/>
    <mergeCell ref="D45:E46"/>
    <mergeCell ref="D47:E48"/>
    <mergeCell ref="D49:E49"/>
    <mergeCell ref="B54:B55"/>
    <mergeCell ref="C54:C55"/>
    <mergeCell ref="D54:D55"/>
    <mergeCell ref="E54:E55"/>
    <mergeCell ref="M54:M55"/>
    <mergeCell ref="B67:F67"/>
    <mergeCell ref="G67:J67"/>
    <mergeCell ref="K67:N67"/>
    <mergeCell ref="G54:G55"/>
    <mergeCell ref="H54:H55"/>
    <mergeCell ref="I54:I55"/>
    <mergeCell ref="J54:J55"/>
    <mergeCell ref="K54:K55"/>
    <mergeCell ref="L54:L55"/>
    <mergeCell ref="F54:F55"/>
  </mergeCells>
  <conditionalFormatting sqref="B49:B50">
    <cfRule type="cellIs" dxfId="2094" priority="65" operator="notBetween">
      <formula>#REF!</formula>
      <formula>#REF!</formula>
    </cfRule>
  </conditionalFormatting>
  <conditionalFormatting sqref="C53">
    <cfRule type="cellIs" dxfId="2093" priority="160" stopIfTrue="1" operator="greaterThan">
      <formula>100</formula>
    </cfRule>
    <cfRule type="cellIs" dxfId="2092" priority="159" stopIfTrue="1" operator="lessThan">
      <formula>96</formula>
    </cfRule>
  </conditionalFormatting>
  <conditionalFormatting sqref="C69:C73">
    <cfRule type="cellIs" dxfId="2091" priority="128" stopIfTrue="1" operator="lessThanOrEqual">
      <formula>0</formula>
    </cfRule>
  </conditionalFormatting>
  <conditionalFormatting sqref="C69:C77">
    <cfRule type="cellIs" dxfId="2090" priority="127" stopIfTrue="1" operator="greaterThan">
      <formula>$F69</formula>
    </cfRule>
  </conditionalFormatting>
  <conditionalFormatting sqref="C70">
    <cfRule type="cellIs" dxfId="2089" priority="161" stopIfTrue="1" operator="greaterThan">
      <formula>$F69</formula>
    </cfRule>
  </conditionalFormatting>
  <conditionalFormatting sqref="C74">
    <cfRule type="cellIs" dxfId="2088" priority="90" stopIfTrue="1" operator="greaterThan">
      <formula>$F73</formula>
    </cfRule>
    <cfRule type="cellIs" dxfId="2087" priority="89" stopIfTrue="1" operator="lessThanOrEqual">
      <formula>0</formula>
    </cfRule>
  </conditionalFormatting>
  <conditionalFormatting sqref="C75:C77">
    <cfRule type="cellIs" dxfId="2086" priority="129" stopIfTrue="1" operator="lessThanOrEqual">
      <formula>0</formula>
    </cfRule>
  </conditionalFormatting>
  <conditionalFormatting sqref="C80:C84">
    <cfRule type="cellIs" dxfId="2085" priority="151" stopIfTrue="1" operator="lessThanOrEqual">
      <formula>0</formula>
    </cfRule>
  </conditionalFormatting>
  <conditionalFormatting sqref="C81:C84">
    <cfRule type="cellIs" dxfId="2084" priority="150" stopIfTrue="1" operator="greaterThan">
      <formula>$F$80</formula>
    </cfRule>
  </conditionalFormatting>
  <conditionalFormatting sqref="C86">
    <cfRule type="cellIs" dxfId="2083" priority="153" stopIfTrue="1" operator="lessThanOrEqual">
      <formula>0</formula>
    </cfRule>
    <cfRule type="cellIs" dxfId="2082" priority="152" stopIfTrue="1" operator="greaterThan">
      <formula>$F$80</formula>
    </cfRule>
  </conditionalFormatting>
  <conditionalFormatting sqref="C80:D80 D82:D88">
    <cfRule type="cellIs" dxfId="2081" priority="145" stopIfTrue="1" operator="greaterThan">
      <formula>4.5</formula>
    </cfRule>
  </conditionalFormatting>
  <conditionalFormatting sqref="D49:D50">
    <cfRule type="cellIs" dxfId="2080" priority="66" operator="notBetween">
      <formula>#REF!</formula>
      <formula>#REF!</formula>
    </cfRule>
  </conditionalFormatting>
  <conditionalFormatting sqref="D69:D76">
    <cfRule type="cellIs" dxfId="2079" priority="38" stopIfTrue="1" operator="lessThanOrEqual">
      <formula>0</formula>
    </cfRule>
  </conditionalFormatting>
  <conditionalFormatting sqref="D69:D78">
    <cfRule type="cellIs" dxfId="2078" priority="17" stopIfTrue="1" operator="lessThanOrEqual">
      <formula>0</formula>
    </cfRule>
  </conditionalFormatting>
  <conditionalFormatting sqref="D77">
    <cfRule type="cellIs" dxfId="2077" priority="37" stopIfTrue="1" operator="lessThanOrEqual">
      <formula>0</formula>
    </cfRule>
  </conditionalFormatting>
  <conditionalFormatting sqref="D78">
    <cfRule type="cellIs" dxfId="2076" priority="32" stopIfTrue="1" operator="lessThanOrEqual">
      <formula>0</formula>
    </cfRule>
  </conditionalFormatting>
  <conditionalFormatting sqref="D80 D82:D88">
    <cfRule type="cellIs" dxfId="2075" priority="146" stopIfTrue="1" operator="lessThanOrEqual">
      <formula>0</formula>
    </cfRule>
  </conditionalFormatting>
  <conditionalFormatting sqref="D81">
    <cfRule type="cellIs" dxfId="2074" priority="138" stopIfTrue="1" operator="lessThanOrEqual">
      <formula>0</formula>
    </cfRule>
    <cfRule type="cellIs" dxfId="2073" priority="137" stopIfTrue="1" operator="greaterThan">
      <formula>$F$80</formula>
    </cfRule>
  </conditionalFormatting>
  <conditionalFormatting sqref="D69:E78">
    <cfRule type="cellIs" dxfId="2072" priority="19" stopIfTrue="1" operator="greaterThan">
      <formula>$F69</formula>
    </cfRule>
  </conditionalFormatting>
  <conditionalFormatting sqref="D78:E78">
    <cfRule type="cellIs" dxfId="2071" priority="21" stopIfTrue="1" operator="lessThanOrEqual">
      <formula>0</formula>
    </cfRule>
  </conditionalFormatting>
  <conditionalFormatting sqref="E10:E24">
    <cfRule type="cellIs" dxfId="2070" priority="12" operator="lessThan">
      <formula>48</formula>
    </cfRule>
  </conditionalFormatting>
  <conditionalFormatting sqref="E52 E53:F53">
    <cfRule type="cellIs" dxfId="2069" priority="142" stopIfTrue="1" operator="greaterThan">
      <formula>100</formula>
    </cfRule>
  </conditionalFormatting>
  <conditionalFormatting sqref="E53">
    <cfRule type="cellIs" dxfId="2068" priority="140" stopIfTrue="1" operator="greaterThan">
      <formula>100</formula>
    </cfRule>
    <cfRule type="cellIs" dxfId="2067" priority="139" stopIfTrue="1" operator="lessThan">
      <formula>96.8</formula>
    </cfRule>
  </conditionalFormatting>
  <conditionalFormatting sqref="E69:E77">
    <cfRule type="cellIs" dxfId="2066" priority="18" stopIfTrue="1" operator="lessThanOrEqual">
      <formula>0</formula>
    </cfRule>
  </conditionalFormatting>
  <conditionalFormatting sqref="E69:E78">
    <cfRule type="cellIs" dxfId="2065" priority="20" stopIfTrue="1" operator="lessThanOrEqual">
      <formula>0</formula>
    </cfRule>
  </conditionalFormatting>
  <conditionalFormatting sqref="E80:E88">
    <cfRule type="cellIs" dxfId="2064" priority="132" stopIfTrue="1" operator="lessThanOrEqual">
      <formula>0</formula>
    </cfRule>
    <cfRule type="cellIs" dxfId="2063" priority="131" stopIfTrue="1" operator="greaterThan">
      <formula>4.5</formula>
    </cfRule>
  </conditionalFormatting>
  <conditionalFormatting sqref="E53:F53 E52">
    <cfRule type="cellIs" dxfId="2062" priority="141" stopIfTrue="1" operator="lessThan">
      <formula>96.5</formula>
    </cfRule>
  </conditionalFormatting>
  <conditionalFormatting sqref="F10:F24">
    <cfRule type="cellIs" dxfId="2061" priority="13" operator="greaterThan">
      <formula>60</formula>
    </cfRule>
  </conditionalFormatting>
  <conditionalFormatting sqref="F53">
    <cfRule type="cellIs" dxfId="2060" priority="157" stopIfTrue="1" operator="lessThan">
      <formula>96.8</formula>
    </cfRule>
    <cfRule type="cellIs" dxfId="2059" priority="158" stopIfTrue="1" operator="greaterThan">
      <formula>100</formula>
    </cfRule>
  </conditionalFormatting>
  <conditionalFormatting sqref="F78">
    <cfRule type="cellIs" dxfId="2058" priority="35" stopIfTrue="1" operator="greaterThan">
      <formula>$F78</formula>
    </cfRule>
    <cfRule type="cellIs" dxfId="2057" priority="36" stopIfTrue="1" operator="lessThanOrEqual">
      <formula>0</formula>
    </cfRule>
  </conditionalFormatting>
  <conditionalFormatting sqref="G10:G24">
    <cfRule type="expression" dxfId="2056" priority="1">
      <formula>IF(+(IF(G10&lt;S10,0,IF(G10&gt;T10,0,1)))=0,1)</formula>
    </cfRule>
  </conditionalFormatting>
  <conditionalFormatting sqref="G69:G70">
    <cfRule type="cellIs" dxfId="2055" priority="34" stopIfTrue="1" operator="lessThanOrEqual">
      <formula>0</formula>
    </cfRule>
    <cfRule type="cellIs" dxfId="2054" priority="40" stopIfTrue="1" operator="lessThanOrEqual">
      <formula>0</formula>
    </cfRule>
    <cfRule type="cellIs" dxfId="2053" priority="33" stopIfTrue="1" operator="greaterThan">
      <formula>$F69</formula>
    </cfRule>
    <cfRule type="cellIs" dxfId="2052" priority="39" stopIfTrue="1" operator="greaterThan">
      <formula>$F69</formula>
    </cfRule>
  </conditionalFormatting>
  <conditionalFormatting sqref="G71">
    <cfRule type="cellIs" dxfId="2051" priority="43" stopIfTrue="1" operator="greaterThan">
      <formula>$F70</formula>
    </cfRule>
    <cfRule type="cellIs" dxfId="2050" priority="44" stopIfTrue="1" operator="lessThanOrEqual">
      <formula>0</formula>
    </cfRule>
  </conditionalFormatting>
  <conditionalFormatting sqref="G72">
    <cfRule type="cellIs" dxfId="2049" priority="27" stopIfTrue="1" operator="greaterThan">
      <formula>$F72</formula>
    </cfRule>
    <cfRule type="cellIs" dxfId="2048" priority="28" stopIfTrue="1" operator="lessThanOrEqual">
      <formula>0</formula>
    </cfRule>
    <cfRule type="cellIs" dxfId="2047" priority="26" stopIfTrue="1" operator="lessThanOrEqual">
      <formula>0</formula>
    </cfRule>
    <cfRule type="cellIs" dxfId="2046" priority="25" stopIfTrue="1" operator="greaterThan">
      <formula>$F72</formula>
    </cfRule>
  </conditionalFormatting>
  <conditionalFormatting sqref="G73:G77">
    <cfRule type="cellIs" dxfId="2045" priority="41" stopIfTrue="1" operator="greaterThan">
      <formula>$J73</formula>
    </cfRule>
    <cfRule type="cellIs" dxfId="2044" priority="42" stopIfTrue="1" operator="lessThanOrEqual">
      <formula>0</formula>
    </cfRule>
  </conditionalFormatting>
  <conditionalFormatting sqref="G82:G87 C85 C87">
    <cfRule type="cellIs" dxfId="2043" priority="155" stopIfTrue="1" operator="lessThanOrEqual">
      <formula>0</formula>
    </cfRule>
    <cfRule type="cellIs" dxfId="2042" priority="154" stopIfTrue="1" operator="greaterThan">
      <formula>4.5</formula>
    </cfRule>
  </conditionalFormatting>
  <conditionalFormatting sqref="G81:H81">
    <cfRule type="cellIs" dxfId="2041" priority="136" stopIfTrue="1" operator="lessThanOrEqual">
      <formula>0</formula>
    </cfRule>
    <cfRule type="cellIs" dxfId="2040" priority="135" stopIfTrue="1" operator="greaterThan">
      <formula>$F$80</formula>
    </cfRule>
  </conditionalFormatting>
  <conditionalFormatting sqref="H10:H24 M10:N24">
    <cfRule type="expression" dxfId="2039" priority="62">
      <formula>IF(+(IF(H10&lt;#REF!,0,IF(H10&gt;#REF!,0,1)))=0,1)</formula>
    </cfRule>
  </conditionalFormatting>
  <conditionalFormatting sqref="H38:H52 I40:I51">
    <cfRule type="cellIs" dxfId="2038" priority="133" stopIfTrue="1" operator="greaterThan">
      <formula>0</formula>
    </cfRule>
  </conditionalFormatting>
  <conditionalFormatting sqref="H56:H60">
    <cfRule type="cellIs" dxfId="2037" priority="59" stopIfTrue="1" operator="greaterThan">
      <formula>$F$70</formula>
    </cfRule>
    <cfRule type="cellIs" dxfId="2036" priority="60" stopIfTrue="1" operator="lessThanOrEqual">
      <formula>0</formula>
    </cfRule>
    <cfRule type="cellIs" dxfId="2035" priority="57" stopIfTrue="1" operator="greaterThan">
      <formula>$F$72</formula>
    </cfRule>
    <cfRule type="cellIs" dxfId="2034" priority="48" stopIfTrue="1" operator="lessThanOrEqual">
      <formula>0</formula>
    </cfRule>
    <cfRule type="cellIs" dxfId="2033" priority="49" stopIfTrue="1" operator="greaterThan">
      <formula>$F$69</formula>
    </cfRule>
    <cfRule type="cellIs" dxfId="2032" priority="58" stopIfTrue="1" operator="lessThanOrEqual">
      <formula>0</formula>
    </cfRule>
  </conditionalFormatting>
  <conditionalFormatting sqref="H61:H62">
    <cfRule type="cellIs" dxfId="2031" priority="101" stopIfTrue="1" operator="greaterThan">
      <formula>$F$24</formula>
    </cfRule>
    <cfRule type="cellIs" dxfId="2030" priority="92" stopIfTrue="1" operator="lessThanOrEqual">
      <formula>0</formula>
    </cfRule>
    <cfRule type="cellIs" dxfId="2029" priority="93" stopIfTrue="1" operator="greaterThan">
      <formula>#REF!</formula>
    </cfRule>
    <cfRule type="cellIs" dxfId="2028" priority="103" stopIfTrue="1" operator="greaterThan">
      <formula>#REF!</formula>
    </cfRule>
    <cfRule type="cellIs" dxfId="2027" priority="104" stopIfTrue="1" operator="lessThanOrEqual">
      <formula>0</formula>
    </cfRule>
    <cfRule type="cellIs" dxfId="2026" priority="102" stopIfTrue="1" operator="lessThanOrEqual">
      <formula>0</formula>
    </cfRule>
  </conditionalFormatting>
  <conditionalFormatting sqref="H63">
    <cfRule type="cellIs" dxfId="2025" priority="116" stopIfTrue="1" operator="lessThanOrEqual">
      <formula>0</formula>
    </cfRule>
    <cfRule type="cellIs" dxfId="2024" priority="117" stopIfTrue="1" operator="greaterThan">
      <formula>$F$38</formula>
    </cfRule>
    <cfRule type="cellIs" dxfId="2023" priority="118" stopIfTrue="1" operator="lessThanOrEqual">
      <formula>0</formula>
    </cfRule>
    <cfRule type="cellIs" dxfId="2022" priority="106" stopIfTrue="1" operator="lessThanOrEqual">
      <formula>0</formula>
    </cfRule>
    <cfRule type="cellIs" dxfId="2021" priority="107" stopIfTrue="1" operator="greaterThan">
      <formula>$F$37</formula>
    </cfRule>
    <cfRule type="cellIs" dxfId="2020" priority="115" stopIfTrue="1" operator="greaterThan">
      <formula>$F$40</formula>
    </cfRule>
  </conditionalFormatting>
  <conditionalFormatting sqref="H64:H65">
    <cfRule type="cellIs" dxfId="2019" priority="88" stopIfTrue="1" operator="lessThanOrEqual">
      <formula>0</formula>
    </cfRule>
    <cfRule type="cellIs" dxfId="2018" priority="87" stopIfTrue="1" operator="greaterThan">
      <formula>#REF!</formula>
    </cfRule>
    <cfRule type="cellIs" dxfId="2017" priority="86" stopIfTrue="1" operator="lessThanOrEqual">
      <formula>0</formula>
    </cfRule>
    <cfRule type="cellIs" dxfId="2016" priority="76" stopIfTrue="1" operator="lessThanOrEqual">
      <formula>0</formula>
    </cfRule>
    <cfRule type="cellIs" dxfId="2015" priority="85" stopIfTrue="1" operator="greaterThan">
      <formula>$F$24</formula>
    </cfRule>
    <cfRule type="cellIs" dxfId="2014" priority="77" stopIfTrue="1" operator="greaterThan">
      <formula>#REF!</formula>
    </cfRule>
  </conditionalFormatting>
  <conditionalFormatting sqref="H80 H82:H88">
    <cfRule type="cellIs" dxfId="2013" priority="147" stopIfTrue="1" operator="greaterThan">
      <formula>4.5</formula>
    </cfRule>
    <cfRule type="cellIs" dxfId="2012" priority="148" stopIfTrue="1" operator="lessThanOrEqual">
      <formula>0</formula>
    </cfRule>
  </conditionalFormatting>
  <conditionalFormatting sqref="H56:I60">
    <cfRule type="cellIs" dxfId="2011" priority="50" stopIfTrue="1" operator="lessThanOrEqual">
      <formula>0</formula>
    </cfRule>
    <cfRule type="cellIs" dxfId="2010" priority="47" stopIfTrue="1" operator="greaterThan">
      <formula>$F$71</formula>
    </cfRule>
  </conditionalFormatting>
  <conditionalFormatting sqref="H61:I62">
    <cfRule type="cellIs" dxfId="2009" priority="91" stopIfTrue="1" operator="greaterThan">
      <formula>#REF!</formula>
    </cfRule>
    <cfRule type="cellIs" dxfId="2008" priority="94" stopIfTrue="1" operator="lessThanOrEqual">
      <formula>0</formula>
    </cfRule>
  </conditionalFormatting>
  <conditionalFormatting sqref="H63:I63">
    <cfRule type="cellIs" dxfId="2007" priority="108" stopIfTrue="1" operator="lessThanOrEqual">
      <formula>0</formula>
    </cfRule>
    <cfRule type="cellIs" dxfId="2006" priority="105" stopIfTrue="1" operator="greaterThan">
      <formula>$F$39</formula>
    </cfRule>
  </conditionalFormatting>
  <conditionalFormatting sqref="H64:I65">
    <cfRule type="cellIs" dxfId="2005" priority="78" stopIfTrue="1" operator="lessThanOrEqual">
      <formula>0</formula>
    </cfRule>
    <cfRule type="cellIs" dxfId="2004" priority="75" stopIfTrue="1" operator="greaterThan">
      <formula>#REF!</formula>
    </cfRule>
  </conditionalFormatting>
  <conditionalFormatting sqref="H69:I76">
    <cfRule type="cellIs" dxfId="2003" priority="16" stopIfTrue="1" operator="lessThanOrEqual">
      <formula>0</formula>
    </cfRule>
    <cfRule type="cellIs" dxfId="2002" priority="15" stopIfTrue="1" operator="greaterThan">
      <formula>$J69</formula>
    </cfRule>
  </conditionalFormatting>
  <conditionalFormatting sqref="H77:I77">
    <cfRule type="cellIs" dxfId="2001" priority="24" operator="greaterThan">
      <formula>5.3</formula>
    </cfRule>
  </conditionalFormatting>
  <conditionalFormatting sqref="H78:I78">
    <cfRule type="cellIs" dxfId="2000" priority="23" stopIfTrue="1" operator="lessThanOrEqual">
      <formula>0</formula>
    </cfRule>
    <cfRule type="cellIs" dxfId="1999" priority="22" stopIfTrue="1" operator="greaterThan">
      <formula>$J78</formula>
    </cfRule>
  </conditionalFormatting>
  <conditionalFormatting sqref="I56:I60">
    <cfRule type="cellIs" dxfId="1998" priority="54" stopIfTrue="1" operator="lessThanOrEqual">
      <formula>0</formula>
    </cfRule>
    <cfRule type="cellIs" dxfId="1997" priority="52" stopIfTrue="1" operator="lessThanOrEqual">
      <formula>0</formula>
    </cfRule>
    <cfRule type="cellIs" dxfId="1996" priority="55" stopIfTrue="1" operator="greaterThan">
      <formula>$F$69</formula>
    </cfRule>
    <cfRule type="cellIs" dxfId="1995" priority="56" stopIfTrue="1" operator="lessThanOrEqual">
      <formula>0</formula>
    </cfRule>
    <cfRule type="cellIs" dxfId="1994" priority="51" stopIfTrue="1" operator="greaterThan">
      <formula>$F$69</formula>
    </cfRule>
    <cfRule type="cellIs" dxfId="1993" priority="53" stopIfTrue="1" operator="greaterThan">
      <formula>$F$71</formula>
    </cfRule>
  </conditionalFormatting>
  <conditionalFormatting sqref="I61:I62">
    <cfRule type="cellIs" dxfId="1992" priority="98" stopIfTrue="1" operator="lessThanOrEqual">
      <formula>0</formula>
    </cfRule>
    <cfRule type="cellIs" dxfId="1991" priority="99" stopIfTrue="1" operator="greaterThan">
      <formula>#REF!</formula>
    </cfRule>
    <cfRule type="cellIs" dxfId="1990" priority="100" stopIfTrue="1" operator="lessThanOrEqual">
      <formula>0</formula>
    </cfRule>
    <cfRule type="cellIs" dxfId="1989" priority="95" stopIfTrue="1" operator="greaterThan">
      <formula>#REF!</formula>
    </cfRule>
    <cfRule type="cellIs" dxfId="1988" priority="96" stopIfTrue="1" operator="lessThanOrEqual">
      <formula>0</formula>
    </cfRule>
    <cfRule type="cellIs" dxfId="1987" priority="97" stopIfTrue="1" operator="greaterThan">
      <formula>#REF!</formula>
    </cfRule>
  </conditionalFormatting>
  <conditionalFormatting sqref="I63">
    <cfRule type="cellIs" dxfId="1986" priority="111" stopIfTrue="1" operator="greaterThan">
      <formula>$F$39</formula>
    </cfRule>
    <cfRule type="cellIs" dxfId="1985" priority="112" stopIfTrue="1" operator="lessThanOrEqual">
      <formula>0</formula>
    </cfRule>
    <cfRule type="cellIs" dxfId="1984" priority="113" stopIfTrue="1" operator="greaterThan">
      <formula>$F$37</formula>
    </cfRule>
    <cfRule type="cellIs" dxfId="1983" priority="114" stopIfTrue="1" operator="lessThanOrEqual">
      <formula>0</formula>
    </cfRule>
    <cfRule type="cellIs" dxfId="1982" priority="109" stopIfTrue="1" operator="greaterThan">
      <formula>$F$37</formula>
    </cfRule>
    <cfRule type="cellIs" dxfId="1981" priority="110" stopIfTrue="1" operator="lessThanOrEqual">
      <formula>0</formula>
    </cfRule>
  </conditionalFormatting>
  <conditionalFormatting sqref="I64:I65">
    <cfRule type="cellIs" dxfId="1980" priority="80" stopIfTrue="1" operator="lessThanOrEqual">
      <formula>0</formula>
    </cfRule>
    <cfRule type="cellIs" dxfId="1979" priority="81" stopIfTrue="1" operator="greaterThan">
      <formula>#REF!</formula>
    </cfRule>
    <cfRule type="cellIs" dxfId="1978" priority="84" stopIfTrue="1" operator="lessThanOrEqual">
      <formula>0</formula>
    </cfRule>
    <cfRule type="cellIs" dxfId="1977" priority="79" stopIfTrue="1" operator="greaterThan">
      <formula>#REF!</formula>
    </cfRule>
    <cfRule type="cellIs" dxfId="1976" priority="83" stopIfTrue="1" operator="greaterThan">
      <formula>#REF!</formula>
    </cfRule>
    <cfRule type="cellIs" dxfId="1975" priority="82" stopIfTrue="1" operator="lessThanOrEqual">
      <formula>0</formula>
    </cfRule>
  </conditionalFormatting>
  <conditionalFormatting sqref="I80:I88">
    <cfRule type="cellIs" dxfId="1974" priority="143" stopIfTrue="1" operator="greaterThan">
      <formula>4.5</formula>
    </cfRule>
    <cfRule type="cellIs" dxfId="1973" priority="144" stopIfTrue="1" operator="lessThanOrEqual">
      <formula>0</formula>
    </cfRule>
  </conditionalFormatting>
  <conditionalFormatting sqref="I10:J24">
    <cfRule type="cellIs" dxfId="1972" priority="5" operator="lessThan">
      <formula>97.9</formula>
    </cfRule>
  </conditionalFormatting>
  <conditionalFormatting sqref="J27">
    <cfRule type="cellIs" dxfId="1971" priority="46" operator="lessThan">
      <formula>97.95</formula>
    </cfRule>
  </conditionalFormatting>
  <conditionalFormatting sqref="J29">
    <cfRule type="cellIs" dxfId="1970" priority="120" stopIfTrue="1" operator="lessThan">
      <formula>96.8</formula>
    </cfRule>
    <cfRule type="cellIs" dxfId="1969" priority="121" stopIfTrue="1" operator="greaterThan">
      <formula>100</formula>
    </cfRule>
    <cfRule type="cellIs" dxfId="1968" priority="122" operator="lessThan">
      <formula>98</formula>
    </cfRule>
  </conditionalFormatting>
  <conditionalFormatting sqref="J29:J31">
    <cfRule type="cellIs" dxfId="1967" priority="119" operator="lessThan">
      <formula>97.4</formula>
    </cfRule>
  </conditionalFormatting>
  <conditionalFormatting sqref="J32:J33">
    <cfRule type="cellIs" dxfId="1966" priority="123" operator="lessThan">
      <formula>98</formula>
    </cfRule>
  </conditionalFormatting>
  <conditionalFormatting sqref="J34:J35">
    <cfRule type="cellIs" dxfId="1965" priority="124" stopIfTrue="1" operator="lessThan">
      <formula>96.8</formula>
    </cfRule>
    <cfRule type="cellIs" dxfId="1964" priority="125" stopIfTrue="1" operator="greaterThan">
      <formula>100</formula>
    </cfRule>
  </conditionalFormatting>
  <conditionalFormatting sqref="J34:J36">
    <cfRule type="cellIs" dxfId="1963" priority="126" operator="lessThan">
      <formula>98</formula>
    </cfRule>
  </conditionalFormatting>
  <conditionalFormatting sqref="J65">
    <cfRule type="cellIs" dxfId="1962" priority="69" stopIfTrue="1" operator="greaterThan">
      <formula>#REF!</formula>
    </cfRule>
    <cfRule type="cellIs" dxfId="1961" priority="71" stopIfTrue="1" operator="greaterThan">
      <formula>#REF!</formula>
    </cfRule>
    <cfRule type="cellIs" dxfId="1960" priority="74" stopIfTrue="1" operator="lessThanOrEqual">
      <formula>0</formula>
    </cfRule>
    <cfRule type="cellIs" dxfId="1959" priority="72" stopIfTrue="1" operator="lessThanOrEqual">
      <formula>0</formula>
    </cfRule>
    <cfRule type="cellIs" dxfId="1958" priority="73" stopIfTrue="1" operator="greaterThan">
      <formula>#REF!</formula>
    </cfRule>
    <cfRule type="cellIs" dxfId="1957" priority="68" stopIfTrue="1" operator="lessThanOrEqual">
      <formula>0</formula>
    </cfRule>
    <cfRule type="cellIs" dxfId="1956" priority="67" stopIfTrue="1" operator="greaterThan">
      <formula>#REF!</formula>
    </cfRule>
    <cfRule type="cellIs" dxfId="1955" priority="70" stopIfTrue="1" operator="lessThanOrEqual">
      <formula>0</formula>
    </cfRule>
  </conditionalFormatting>
  <conditionalFormatting sqref="J78">
    <cfRule type="cellIs" dxfId="1954" priority="30" stopIfTrue="1" operator="lessThanOrEqual">
      <formula>0</formula>
    </cfRule>
    <cfRule type="cellIs" dxfId="1953" priority="29" stopIfTrue="1" operator="greaterThan">
      <formula>$F78</formula>
    </cfRule>
  </conditionalFormatting>
  <conditionalFormatting sqref="K10:K24">
    <cfRule type="cellIs" dxfId="1952" priority="6" operator="greaterThan">
      <formula>6</formula>
    </cfRule>
    <cfRule type="cellIs" dxfId="1951" priority="8" operator="greaterThan">
      <formula>6.4</formula>
    </cfRule>
    <cfRule type="cellIs" dxfId="1950" priority="7" operator="lessThan">
      <formula>4</formula>
    </cfRule>
  </conditionalFormatting>
  <conditionalFormatting sqref="K56:K65">
    <cfRule type="cellIs" dxfId="1949" priority="61" stopIfTrue="1" operator="lessThan">
      <formula>100%</formula>
    </cfRule>
  </conditionalFormatting>
  <conditionalFormatting sqref="K80:K85">
    <cfRule type="cellIs" dxfId="1948" priority="149" stopIfTrue="1" operator="lessThan">
      <formula>100%</formula>
    </cfRule>
  </conditionalFormatting>
  <conditionalFormatting sqref="K87:K88">
    <cfRule type="cellIs" dxfId="1947" priority="156" stopIfTrue="1" operator="lessThan">
      <formula>100%</formula>
    </cfRule>
  </conditionalFormatting>
  <conditionalFormatting sqref="K69:M77">
    <cfRule type="cellIs" dxfId="1946" priority="14" stopIfTrue="1" operator="lessThan">
      <formula>100%</formula>
    </cfRule>
  </conditionalFormatting>
  <conditionalFormatting sqref="L10:L24">
    <cfRule type="cellIs" dxfId="1945" priority="9" operator="between">
      <formula>61</formula>
      <formula>65</formula>
    </cfRule>
    <cfRule type="cellIs" dxfId="1944" priority="10" operator="greaterThan">
      <formula>65</formula>
    </cfRule>
  </conditionalFormatting>
  <conditionalFormatting sqref="L27:M38">
    <cfRule type="cellIs" dxfId="1943" priority="63" operator="lessThan">
      <formula>97.95</formula>
    </cfRule>
  </conditionalFormatting>
  <conditionalFormatting sqref="L78:M78">
    <cfRule type="cellIs" dxfId="1942" priority="31" stopIfTrue="1" operator="lessThan">
      <formula>100%</formula>
    </cfRule>
  </conditionalFormatting>
  <conditionalFormatting sqref="L42:N42">
    <cfRule type="cellIs" dxfId="1941" priority="64" operator="notEqual">
      <formula>#REF!</formula>
    </cfRule>
  </conditionalFormatting>
  <conditionalFormatting sqref="L80:N88">
    <cfRule type="cellIs" dxfId="1940" priority="134" stopIfTrue="1" operator="lessThan">
      <formula>100%</formula>
    </cfRule>
  </conditionalFormatting>
  <conditionalFormatting sqref="M10:M22">
    <cfRule type="expression" dxfId="1939" priority="3">
      <formula>IF(+(IF(M10&lt;U10,0,IF(M10&gt;V10,0,1)))=0,1)</formula>
    </cfRule>
  </conditionalFormatting>
  <conditionalFormatting sqref="N10:N22">
    <cfRule type="expression" dxfId="1938" priority="2">
      <formula>IF(+(IF(N10&lt;W10,0,IF(N10&gt;X10,0,1)))=0,1)</formula>
    </cfRule>
  </conditionalFormatting>
  <conditionalFormatting sqref="N69:N78">
    <cfRule type="cellIs" dxfId="1937" priority="45" stopIfTrue="1" operator="lessThan">
      <formula>100%</formula>
    </cfRule>
  </conditionalFormatting>
  <conditionalFormatting sqref="P6">
    <cfRule type="cellIs" dxfId="1936" priority="130" operator="greaterThanOrEqual">
      <formula>19</formula>
    </cfRule>
  </conditionalFormatting>
  <dataValidations count="1">
    <dataValidation type="list" allowBlank="1" showInputMessage="1" showErrorMessage="1" sqref="R8" xr:uid="{8972C3BF-1768-4FFA-B657-202F21B974C2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BC447-D76F-4D5E-8BD2-035A1E7E5B84}">
  <sheetPr>
    <pageSetUpPr fitToPage="1"/>
  </sheetPr>
  <dimension ref="A1:BE100"/>
  <sheetViews>
    <sheetView topLeftCell="A25" zoomScale="70" zoomScaleNormal="70" workbookViewId="0">
      <selection activeCell="E34" sqref="E34:E35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9.42578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4" t="s">
        <v>0</v>
      </c>
      <c r="T1" s="494"/>
      <c r="U1" s="494" t="s">
        <v>1</v>
      </c>
      <c r="V1" s="494"/>
      <c r="W1" s="494" t="s">
        <v>2</v>
      </c>
      <c r="X1" s="494"/>
      <c r="Y1" s="494" t="s">
        <v>124</v>
      </c>
      <c r="Z1" s="494"/>
    </row>
    <row r="2" spans="2:29" ht="15">
      <c r="B2" s="495" t="s">
        <v>3</v>
      </c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46097</v>
      </c>
      <c r="J4" s="398" t="s">
        <v>167</v>
      </c>
      <c r="K4" s="398"/>
      <c r="L4" s="11"/>
      <c r="M4" s="492" t="s">
        <v>8</v>
      </c>
      <c r="N4" s="493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8"/>
      <c r="D5" s="49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9" t="s">
        <v>17</v>
      </c>
      <c r="C8" s="501" t="s">
        <v>18</v>
      </c>
      <c r="D8" s="501" t="s">
        <v>19</v>
      </c>
      <c r="E8" s="356" t="s">
        <v>20</v>
      </c>
      <c r="F8" s="356" t="s">
        <v>21</v>
      </c>
      <c r="G8" s="501" t="s">
        <v>22</v>
      </c>
      <c r="H8" s="502" t="s">
        <v>144</v>
      </c>
      <c r="I8" s="501" t="s">
        <v>165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169</v>
      </c>
      <c r="O8" s="510" t="s">
        <v>155</v>
      </c>
      <c r="P8" s="496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0"/>
      <c r="C9" s="497"/>
      <c r="D9" s="497"/>
      <c r="E9" s="357" t="s">
        <v>30</v>
      </c>
      <c r="F9" s="357" t="s">
        <v>31</v>
      </c>
      <c r="G9" s="497"/>
      <c r="H9" s="503"/>
      <c r="I9" s="497"/>
      <c r="J9" s="505"/>
      <c r="K9" s="507"/>
      <c r="L9" s="509"/>
      <c r="M9" s="20" t="s">
        <v>32</v>
      </c>
      <c r="N9" s="21" t="s">
        <v>41</v>
      </c>
      <c r="O9" s="511"/>
      <c r="P9" s="497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29" t="s">
        <v>6</v>
      </c>
      <c r="C10" s="366" t="str">
        <f>[4]Brewhouse!$A235</f>
        <v>CA192</v>
      </c>
      <c r="D10" s="279">
        <f>[4]Brewhouse!$AF235</f>
        <v>50.4</v>
      </c>
      <c r="E10" s="279">
        <f>[4]Brewhouse!$AI235</f>
        <v>49.9</v>
      </c>
      <c r="F10" s="278">
        <f>[4]Brewhouse!$V235</f>
        <v>54</v>
      </c>
      <c r="G10" s="279">
        <f>[4]Brewhouse!AG235</f>
        <v>12</v>
      </c>
      <c r="H10" s="396">
        <v>12</v>
      </c>
      <c r="I10" s="368">
        <f>[4]Brewhouse!$AU235</f>
        <v>99.011089727354573</v>
      </c>
      <c r="J10" s="368">
        <f>[4]Brewhouse!$AV235</f>
        <v>100.5035917176512</v>
      </c>
      <c r="K10" s="281">
        <f>[4]Brewhouse!$Q235</f>
        <v>10.407407407407403</v>
      </c>
      <c r="L10" s="276">
        <f>[4]Brewhouse!$P235</f>
        <v>60</v>
      </c>
      <c r="M10" s="397">
        <f>[4]Brewhouse!$U235-[4]Brewhouse!$T235</f>
        <v>0.10833333333333331</v>
      </c>
      <c r="N10" s="370">
        <f>[4]Brewhouse!$Z235</f>
        <v>0.24236111111111108</v>
      </c>
      <c r="O10" s="420" t="str">
        <f>[4]Brewhouse!$AX235</f>
        <v>K. Benjamin</v>
      </c>
      <c r="P10" s="418"/>
      <c r="R10" s="277" t="str">
        <f>B10</f>
        <v>CARIB</v>
      </c>
      <c r="S10" s="472">
        <f>VLOOKUP($B10,$R$3:$X$9,2,FALSE)</f>
        <v>11.6</v>
      </c>
      <c r="T10" s="472">
        <f>VLOOKUP($B10,$R$3:$X$9,3,FALSE)</f>
        <v>12</v>
      </c>
      <c r="U10" s="297">
        <f>VLOOKUP($B10,$R$3:$X$9,4,FALSE)</f>
        <v>0</v>
      </c>
      <c r="V10" s="297">
        <f>VLOOKUP($B10,$R$3:$X$9,5,FALSE)</f>
        <v>0.118055555555556</v>
      </c>
      <c r="W10" s="297">
        <f>VLOOKUP($B10,$R$3:$X$9,6,FALSE)</f>
        <v>0.22569444444444445</v>
      </c>
      <c r="X10" s="297">
        <f>VLOOKUP($B10,$R$3:$X$9,7,FALSE)</f>
        <v>0.2638888888888889</v>
      </c>
      <c r="Y10" s="297">
        <f>VLOOKUP($B10,$R$3:$Z$9,8,FALSE)</f>
        <v>0</v>
      </c>
      <c r="Z10" s="472">
        <f>VLOOKUP($B10,$R$3:$Z$9,9,FALSE)</f>
        <v>60</v>
      </c>
    </row>
    <row r="11" spans="2:29" ht="16.5" customHeight="1">
      <c r="B11" s="29" t="s">
        <v>6</v>
      </c>
      <c r="C11" s="366" t="str">
        <f>[4]Brewhouse!$A236</f>
        <v>CA193</v>
      </c>
      <c r="D11" s="279">
        <f>[4]Brewhouse!$AF236</f>
        <v>50</v>
      </c>
      <c r="E11" s="279">
        <f>[4]Brewhouse!$AI236</f>
        <v>49.2</v>
      </c>
      <c r="F11" s="278">
        <f>[4]Brewhouse!$V236</f>
        <v>58</v>
      </c>
      <c r="G11" s="279">
        <f>[4]Brewhouse!AG236</f>
        <v>12</v>
      </c>
      <c r="H11" s="396">
        <v>12</v>
      </c>
      <c r="I11" s="368">
        <f>[4]Brewhouse!$AU236</f>
        <v>97.622156604926758</v>
      </c>
      <c r="J11" s="368">
        <f>[4]Brewhouse!$AV236</f>
        <v>99.093721693555892</v>
      </c>
      <c r="K11" s="281">
        <f>[4]Brewhouse!$Q236</f>
        <v>10.222222222222214</v>
      </c>
      <c r="L11" s="276">
        <f>[4]Brewhouse!$P236</f>
        <v>59</v>
      </c>
      <c r="M11" s="397">
        <f>[4]Brewhouse!$U236-[4]Brewhouse!$T236</f>
        <v>0.1076388888888889</v>
      </c>
      <c r="N11" s="370">
        <f>[4]Brewhouse!$Z236</f>
        <v>0.24166666666666667</v>
      </c>
      <c r="O11" s="420" t="str">
        <f>[4]Brewhouse!$AX236</f>
        <v>K. Benjamin</v>
      </c>
      <c r="P11" s="418"/>
      <c r="R11" s="277" t="str">
        <f t="shared" ref="R11:R60" si="0">B11</f>
        <v>CARIB</v>
      </c>
      <c r="S11" s="472">
        <f t="shared" ref="S11:S60" si="1">VLOOKUP($B11,$R$3:$X$9,2,FALSE)</f>
        <v>11.6</v>
      </c>
      <c r="T11" s="472">
        <f t="shared" ref="T11:T60" si="2">VLOOKUP($B11,$R$3:$X$9,3,FALSE)</f>
        <v>12</v>
      </c>
      <c r="U11" s="297">
        <f t="shared" ref="U11:U60" si="3">VLOOKUP($B11,$R$3:$X$9,4,FALSE)</f>
        <v>0</v>
      </c>
      <c r="V11" s="297">
        <f t="shared" ref="V11:V60" si="4">VLOOKUP($B11,$R$3:$X$9,5,FALSE)</f>
        <v>0.118055555555556</v>
      </c>
      <c r="W11" s="297">
        <f t="shared" ref="W11:W60" si="5">VLOOKUP($B11,$R$3:$X$9,6,FALSE)</f>
        <v>0.22569444444444445</v>
      </c>
      <c r="X11" s="297">
        <f t="shared" ref="X11:X60" si="6">VLOOKUP($B11,$R$3:$X$9,7,FALSE)</f>
        <v>0.2638888888888889</v>
      </c>
      <c r="Y11" s="297">
        <f t="shared" ref="Y11:Y60" si="7">VLOOKUP($B11,$R$3:$Z$9,8,FALSE)</f>
        <v>0</v>
      </c>
      <c r="Z11" s="472">
        <f t="shared" ref="Z11:Z60" si="8">VLOOKUP($B11,$R$3:$Z$9,9,FALSE)</f>
        <v>60</v>
      </c>
    </row>
    <row r="12" spans="2:29" ht="16.5" customHeight="1">
      <c r="B12" s="29" t="s">
        <v>6</v>
      </c>
      <c r="C12" s="366" t="str">
        <f>[4]Brewhouse!$A237</f>
        <v>CA194</v>
      </c>
      <c r="D12" s="279">
        <f>[4]Brewhouse!$AF237</f>
        <v>50.6</v>
      </c>
      <c r="E12" s="279">
        <f>[4]Brewhouse!$AI237</f>
        <v>50.7</v>
      </c>
      <c r="F12" s="278">
        <f>[4]Brewhouse!$V237</f>
        <v>60</v>
      </c>
      <c r="G12" s="279">
        <f>[4]Brewhouse!AG237</f>
        <v>11.8</v>
      </c>
      <c r="H12" s="396">
        <v>11.7</v>
      </c>
      <c r="I12" s="368">
        <f>[4]Brewhouse!$AU237</f>
        <v>98.713591365675498</v>
      </c>
      <c r="J12" s="368">
        <f>[4]Brewhouse!$AV237</f>
        <v>100.20170711044119</v>
      </c>
      <c r="K12" s="281">
        <f>[4]Brewhouse!$Q237</f>
        <v>9.6487985212569285</v>
      </c>
      <c r="L12" s="276">
        <f>[4]Brewhouse!$P237</f>
        <v>60</v>
      </c>
      <c r="M12" s="397">
        <f>[4]Brewhouse!$U237-[4]Brewhouse!$T237</f>
        <v>0.11388888888888893</v>
      </c>
      <c r="N12" s="370">
        <f>[4]Brewhouse!$Z237</f>
        <v>0.24861111111111114</v>
      </c>
      <c r="O12" s="420" t="str">
        <f>[4]Brewhouse!$AX237</f>
        <v>R. Regis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6.5" customHeight="1">
      <c r="B13" s="29" t="s">
        <v>6</v>
      </c>
      <c r="C13" s="366" t="str">
        <f>[4]Brewhouse!$A238</f>
        <v>CA195</v>
      </c>
      <c r="D13" s="279">
        <f>[4]Brewhouse!$AF238</f>
        <v>51.1</v>
      </c>
      <c r="E13" s="279">
        <f>[4]Brewhouse!$AI238</f>
        <v>50.5</v>
      </c>
      <c r="F13" s="278">
        <f>[4]Brewhouse!$V238</f>
        <v>62</v>
      </c>
      <c r="G13" s="279">
        <f>[4]Brewhouse!AG238</f>
        <v>11.6</v>
      </c>
      <c r="H13" s="396">
        <v>11.9</v>
      </c>
      <c r="I13" s="368">
        <f>[4]Brewhouse!$AU238</f>
        <v>96.451431959126339</v>
      </c>
      <c r="J13" s="368">
        <f>[4]Brewhouse!$AV238</f>
        <v>97.905541240566563</v>
      </c>
      <c r="K13" s="281">
        <f>[4]Brewhouse!$Q238</f>
        <v>9.2791127541589713</v>
      </c>
      <c r="L13" s="276">
        <f>[4]Brewhouse!$P238</f>
        <v>61</v>
      </c>
      <c r="M13" s="397">
        <f>[4]Brewhouse!$U238-[4]Brewhouse!$T238</f>
        <v>0.10833333333333334</v>
      </c>
      <c r="N13" s="370">
        <f>[4]Brewhouse!$Z238</f>
        <v>0.24652777777777779</v>
      </c>
      <c r="O13" s="420" t="str">
        <f>[4]Brewhouse!$AX238</f>
        <v>R. Regis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6.5" customHeight="1">
      <c r="B14" s="29" t="s">
        <v>6</v>
      </c>
      <c r="C14" s="366" t="str">
        <f>[4]Brewhouse!$A239</f>
        <v>CA196</v>
      </c>
      <c r="D14" s="279">
        <f>[4]Brewhouse!$AF239</f>
        <v>49.4</v>
      </c>
      <c r="E14" s="279">
        <f>[4]Brewhouse!$AI239</f>
        <v>49</v>
      </c>
      <c r="F14" s="278">
        <f>[4]Brewhouse!$V239</f>
        <v>61</v>
      </c>
      <c r="G14" s="279">
        <f>[4]Brewhouse!AG239</f>
        <v>12</v>
      </c>
      <c r="H14" s="396">
        <v>11.8</v>
      </c>
      <c r="I14" s="368">
        <f>[4]Brewhouse!$AU239</f>
        <v>97.225318569947376</v>
      </c>
      <c r="J14" s="368">
        <f>[4]Brewhouse!$AV239</f>
        <v>98.690901686671509</v>
      </c>
      <c r="K14" s="281">
        <f>[4]Brewhouse!$Q239</f>
        <v>10.018484288354902</v>
      </c>
      <c r="L14" s="276">
        <f>[4]Brewhouse!$P239</f>
        <v>60</v>
      </c>
      <c r="M14" s="397">
        <f>[4]Brewhouse!$U239-[4]Brewhouse!$T239</f>
        <v>0.10763888888888895</v>
      </c>
      <c r="N14" s="370">
        <f>[4]Brewhouse!$Z239</f>
        <v>0.24513888888888891</v>
      </c>
      <c r="O14" s="420" t="str">
        <f>[4]Brewhouse!$AX239</f>
        <v>R. Regis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6.5" customHeight="1">
      <c r="B15" s="29" t="s">
        <v>6</v>
      </c>
      <c r="C15" s="366" t="str">
        <f>[4]Brewhouse!$A240</f>
        <v>CA197</v>
      </c>
      <c r="D15" s="279">
        <f>[4]Brewhouse!$AF240</f>
        <v>50.5</v>
      </c>
      <c r="E15" s="279">
        <f>[4]Brewhouse!$AI240</f>
        <v>49.1</v>
      </c>
      <c r="F15" s="278">
        <f>[4]Brewhouse!$V240</f>
        <v>61</v>
      </c>
      <c r="G15" s="279">
        <f>[4]Brewhouse!AG240</f>
        <v>12</v>
      </c>
      <c r="H15" s="367"/>
      <c r="I15" s="368">
        <f>[4]Brewhouse!$AU240</f>
        <v>97.302716492359181</v>
      </c>
      <c r="J15" s="368">
        <f>[4]Brewhouse!$AV240</f>
        <v>98.769563178995895</v>
      </c>
      <c r="K15" s="281">
        <f>[4]Brewhouse!$Q240</f>
        <v>9.4639556377079437</v>
      </c>
      <c r="L15" s="276">
        <f>[4]Brewhouse!$P240</f>
        <v>61</v>
      </c>
      <c r="M15" s="397">
        <f>[4]Brewhouse!$U240-[4]Brewhouse!$T240</f>
        <v>0.11527777777777781</v>
      </c>
      <c r="N15" s="370">
        <f>[4]Brewhouse!$Z240</f>
        <v>0.25277777777777777</v>
      </c>
      <c r="O15" s="420" t="str">
        <f>[4]Brewhouse!$AX240</f>
        <v>D. Gomaz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6.5" customHeight="1">
      <c r="B16" s="29" t="s">
        <v>6</v>
      </c>
      <c r="C16" s="366" t="str">
        <f>[4]Brewhouse!$A241</f>
        <v>CA198</v>
      </c>
      <c r="D16" s="279">
        <f>[4]Brewhouse!$AF241</f>
        <v>50.5</v>
      </c>
      <c r="E16" s="279">
        <f>[4]Brewhouse!$AI241</f>
        <v>49.5</v>
      </c>
      <c r="F16" s="278">
        <f>[4]Brewhouse!$V241</f>
        <v>52</v>
      </c>
      <c r="G16" s="279">
        <f>[4]Brewhouse!AG241</f>
        <v>11.8</v>
      </c>
      <c r="H16" s="396">
        <v>11.8</v>
      </c>
      <c r="I16" s="368">
        <f>[4]Brewhouse!$AU241</f>
        <v>96.377175001990878</v>
      </c>
      <c r="J16" s="368">
        <f>[4]Brewhouse!$AV241</f>
        <v>97.830069072324235</v>
      </c>
      <c r="K16" s="281">
        <f>[4]Brewhouse!$Q241</f>
        <v>8.5555555555555518</v>
      </c>
      <c r="L16" s="276">
        <f>[4]Brewhouse!$P241</f>
        <v>60</v>
      </c>
      <c r="M16" s="397">
        <f>[4]Brewhouse!$U241-[4]Brewhouse!$T241</f>
        <v>0.1020833333333333</v>
      </c>
      <c r="N16" s="370">
        <f>[4]Brewhouse!$Z241</f>
        <v>0.24097222222222214</v>
      </c>
      <c r="O16" s="420" t="str">
        <f>[4]Brewhouse!$AX241</f>
        <v>D. Gomaz</v>
      </c>
      <c r="P16" s="418"/>
      <c r="R16" s="277" t="str">
        <f t="shared" ref="R16:R37" si="9">B16</f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2:26" ht="16.5" customHeight="1">
      <c r="B17" s="29" t="s">
        <v>6</v>
      </c>
      <c r="C17" s="366" t="str">
        <f>[4]Brewhouse!$A242</f>
        <v>CA199</v>
      </c>
      <c r="D17" s="279">
        <f>[4]Brewhouse!$AF242</f>
        <v>51.2</v>
      </c>
      <c r="E17" s="279">
        <f>[4]Brewhouse!$AI242</f>
        <v>50.3</v>
      </c>
      <c r="F17" s="278">
        <f>[4]Brewhouse!$V242</f>
        <v>53</v>
      </c>
      <c r="G17" s="279">
        <f>[4]Brewhouse!AG242</f>
        <v>11.9</v>
      </c>
      <c r="H17" s="396">
        <v>12</v>
      </c>
      <c r="I17" s="368">
        <f>[4]Brewhouse!$AU242</f>
        <v>98.562914042619013</v>
      </c>
      <c r="J17" s="368">
        <f>[4]Brewhouse!$AV242</f>
        <v>100.04895382761427</v>
      </c>
      <c r="K17" s="281">
        <f>[4]Brewhouse!$Q242</f>
        <v>7.2592592592592622</v>
      </c>
      <c r="L17" s="276">
        <f>[4]Brewhouse!$P242</f>
        <v>59</v>
      </c>
      <c r="M17" s="397">
        <f>[4]Brewhouse!$U242-[4]Brewhouse!$T242</f>
        <v>0.10277777777777786</v>
      </c>
      <c r="N17" s="370">
        <f>[4]Brewhouse!$Z242</f>
        <v>0.25208333333333344</v>
      </c>
      <c r="O17" s="420" t="str">
        <f>[4]Brewhouse!$AX242</f>
        <v>K. Benjamin</v>
      </c>
      <c r="P17" s="418"/>
      <c r="R17" s="277" t="str">
        <f t="shared" si="9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2:26" ht="15">
      <c r="B18" s="29" t="s">
        <v>6</v>
      </c>
      <c r="C18" s="366" t="str">
        <f>[4]Brewhouse!$A243</f>
        <v>CA200</v>
      </c>
      <c r="D18" s="279">
        <f>[4]Brewhouse!$AF243</f>
        <v>51.4</v>
      </c>
      <c r="E18" s="279">
        <f>[4]Brewhouse!$AI243</f>
        <v>50.3</v>
      </c>
      <c r="F18" s="278">
        <f>[4]Brewhouse!$V243</f>
        <v>55</v>
      </c>
      <c r="G18" s="279">
        <f>[4]Brewhouse!AG243</f>
        <v>11.9</v>
      </c>
      <c r="H18" s="396">
        <v>11.9</v>
      </c>
      <c r="I18" s="368">
        <f>[4]Brewhouse!$AU243</f>
        <v>97.595442540704411</v>
      </c>
      <c r="J18" s="368">
        <f>[4]Brewhouse!$AV243</f>
        <v>99.067660575842567</v>
      </c>
      <c r="K18" s="281">
        <f>[4]Brewhouse!$Q243</f>
        <v>8.3703703703703631</v>
      </c>
      <c r="L18" s="276">
        <f>[4]Brewhouse!$P243</f>
        <v>60</v>
      </c>
      <c r="M18" s="397">
        <f>[4]Brewhouse!$U243-[4]Brewhouse!$T243</f>
        <v>0.11874999999999991</v>
      </c>
      <c r="N18" s="370">
        <f>[4]Brewhouse!$Z243</f>
        <v>0.2631944444444444</v>
      </c>
      <c r="O18" s="420" t="str">
        <f>[4]Brewhouse!$AX243</f>
        <v>K. Benjamin</v>
      </c>
      <c r="P18" s="418"/>
      <c r="R18" s="277" t="str">
        <f t="shared" si="9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2:26" ht="15">
      <c r="B19" s="29" t="s">
        <v>6</v>
      </c>
      <c r="C19" s="366" t="str">
        <f>[4]Brewhouse!$A244</f>
        <v>CA201</v>
      </c>
      <c r="D19" s="279">
        <f>[4]Brewhouse!$AF244</f>
        <v>52</v>
      </c>
      <c r="E19" s="279">
        <f>[4]Brewhouse!$AI244</f>
        <v>51</v>
      </c>
      <c r="F19" s="278">
        <f>[4]Brewhouse!$V244</f>
        <v>53</v>
      </c>
      <c r="G19" s="279">
        <f>[4]Brewhouse!AG244</f>
        <v>11.9</v>
      </c>
      <c r="H19" s="396">
        <v>11.9</v>
      </c>
      <c r="I19" s="368">
        <f>[4]Brewhouse!$AU244</f>
        <v>100.18284509194719</v>
      </c>
      <c r="J19" s="368">
        <f>[4]Brewhouse!$AV244</f>
        <v>101.69310996099121</v>
      </c>
      <c r="K19" s="281">
        <f>[4]Brewhouse!$Q244</f>
        <v>6.7037037037036988</v>
      </c>
      <c r="L19" s="276">
        <f>[4]Brewhouse!$P244</f>
        <v>62</v>
      </c>
      <c r="M19" s="397">
        <f>[4]Brewhouse!$U244-[4]Brewhouse!$T244</f>
        <v>0.12083333333333335</v>
      </c>
      <c r="N19" s="370">
        <f>[4]Brewhouse!$Z244</f>
        <v>0.27708333333333335</v>
      </c>
      <c r="O19" s="420" t="str">
        <f>[4]Brewhouse!$AX244</f>
        <v>K. Benjamin</v>
      </c>
      <c r="P19" s="418"/>
      <c r="R19" s="277" t="str">
        <f t="shared" si="9"/>
        <v>CARIB</v>
      </c>
      <c r="S19" s="472">
        <f t="shared" si="1"/>
        <v>11.6</v>
      </c>
      <c r="T19" s="472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472">
        <f t="shared" si="8"/>
        <v>60</v>
      </c>
    </row>
    <row r="20" spans="2:26" ht="15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2:26" ht="15">
      <c r="B21" s="489">
        <v>46095</v>
      </c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9"/>
        <v>46095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2:26" ht="15">
      <c r="B22" s="29" t="s">
        <v>6</v>
      </c>
      <c r="C22" s="366" t="str">
        <f>[4]Brewhouse!$A245</f>
        <v>CA202</v>
      </c>
      <c r="D22" s="279">
        <f>[4]Brewhouse!$AF245</f>
        <v>49.6</v>
      </c>
      <c r="E22" s="279">
        <f>[4]Brewhouse!$AI245</f>
        <v>48.6</v>
      </c>
      <c r="F22" s="278">
        <f>[4]Brewhouse!$V245</f>
        <v>60</v>
      </c>
      <c r="G22" s="279">
        <f>[4]Brewhouse!AG245</f>
        <v>12</v>
      </c>
      <c r="H22" s="396">
        <v>12</v>
      </c>
      <c r="I22" s="368">
        <f>[4]Brewhouse!$AU245</f>
        <v>96.311853798954317</v>
      </c>
      <c r="J22" s="368">
        <f>[4]Brewhouse!$AV245</f>
        <v>97.763763146623234</v>
      </c>
      <c r="K22" s="281">
        <f>[4]Brewhouse!$Q245</f>
        <v>9.4814814814814774</v>
      </c>
      <c r="L22" s="276">
        <f>[4]Brewhouse!$P245</f>
        <v>60</v>
      </c>
      <c r="M22" s="397">
        <f>[4]Brewhouse!$U245-[4]Brewhouse!$T245</f>
        <v>0.12430555555555556</v>
      </c>
      <c r="N22" s="370">
        <f>[4]Brewhouse!$Z245</f>
        <v>0.33958333333333329</v>
      </c>
      <c r="O22" s="420" t="str">
        <f>[4]Brewhouse!$AX245</f>
        <v>K. Benjamin</v>
      </c>
      <c r="P22" s="418" t="s">
        <v>190</v>
      </c>
      <c r="R22" s="277" t="str">
        <f t="shared" si="9"/>
        <v>CARIB</v>
      </c>
      <c r="S22" s="472">
        <f t="shared" si="1"/>
        <v>11.6</v>
      </c>
      <c r="T22" s="472">
        <f t="shared" si="2"/>
        <v>12</v>
      </c>
      <c r="U22" s="297">
        <f t="shared" si="3"/>
        <v>0</v>
      </c>
      <c r="V22" s="297">
        <f t="shared" si="4"/>
        <v>0.118055555555556</v>
      </c>
      <c r="W22" s="297">
        <f t="shared" si="5"/>
        <v>0.22569444444444445</v>
      </c>
      <c r="X22" s="297">
        <f t="shared" si="6"/>
        <v>0.2638888888888889</v>
      </c>
      <c r="Y22" s="297">
        <f t="shared" si="7"/>
        <v>0</v>
      </c>
      <c r="Z22" s="472">
        <f t="shared" si="8"/>
        <v>60</v>
      </c>
    </row>
    <row r="23" spans="2:26" ht="16.5" customHeight="1">
      <c r="B23" s="29" t="s">
        <v>6</v>
      </c>
      <c r="C23" s="366" t="str">
        <f>[4]Brewhouse!$A246</f>
        <v>CA203</v>
      </c>
      <c r="D23" s="279">
        <f>[4]Brewhouse!$AF246</f>
        <v>51.1</v>
      </c>
      <c r="E23" s="279">
        <f>[4]Brewhouse!$AI246</f>
        <v>49.8</v>
      </c>
      <c r="F23" s="278">
        <f>[4]Brewhouse!$V246</f>
        <v>60</v>
      </c>
      <c r="G23" s="279">
        <f>[4]Brewhouse!AG246</f>
        <v>11.7</v>
      </c>
      <c r="H23" s="396">
        <v>11.7</v>
      </c>
      <c r="I23" s="368">
        <f>[4]Brewhouse!$AU246</f>
        <v>96.096956507805032</v>
      </c>
      <c r="J23" s="368">
        <f>[4]Brewhouse!$AV246</f>
        <v>97.545626260621376</v>
      </c>
      <c r="K23" s="281">
        <f>[4]Brewhouse!$Q246</f>
        <v>6.8761552680221785</v>
      </c>
      <c r="L23" s="276">
        <f>[4]Brewhouse!$P246</f>
        <v>61</v>
      </c>
      <c r="M23" s="397">
        <f>[4]Brewhouse!$U246-[4]Brewhouse!$T246</f>
        <v>0.10833333333333334</v>
      </c>
      <c r="N23" s="370">
        <f>[4]Brewhouse!$Z246</f>
        <v>0.25972222222222219</v>
      </c>
      <c r="O23" s="420" t="str">
        <f>[4]Brewhouse!$AX246</f>
        <v>D. Gomaz</v>
      </c>
      <c r="P23" s="418"/>
      <c r="R23" s="277" t="str">
        <f t="shared" si="9"/>
        <v>CARIB</v>
      </c>
      <c r="S23" s="472">
        <f t="shared" si="1"/>
        <v>11.6</v>
      </c>
      <c r="T23" s="472">
        <f t="shared" si="2"/>
        <v>12</v>
      </c>
      <c r="U23" s="297">
        <f t="shared" si="3"/>
        <v>0</v>
      </c>
      <c r="V23" s="297">
        <f t="shared" si="4"/>
        <v>0.118055555555556</v>
      </c>
      <c r="W23" s="297">
        <f t="shared" si="5"/>
        <v>0.22569444444444445</v>
      </c>
      <c r="X23" s="297">
        <f t="shared" si="6"/>
        <v>0.2638888888888889</v>
      </c>
      <c r="Y23" s="297">
        <f t="shared" si="7"/>
        <v>0</v>
      </c>
      <c r="Z23" s="472">
        <f t="shared" si="8"/>
        <v>60</v>
      </c>
    </row>
    <row r="24" spans="2:26" ht="16.5" customHeight="1">
      <c r="B24" s="29" t="s">
        <v>6</v>
      </c>
      <c r="C24" s="366" t="str">
        <f>[4]Brewhouse!$A247</f>
        <v>CA204</v>
      </c>
      <c r="D24" s="279">
        <f>[4]Brewhouse!$AF247</f>
        <v>50.9</v>
      </c>
      <c r="E24" s="279">
        <f>[4]Brewhouse!$AI247</f>
        <v>50.4</v>
      </c>
      <c r="F24" s="278">
        <f>[4]Brewhouse!$V247</f>
        <v>63</v>
      </c>
      <c r="G24" s="279">
        <f>[4]Brewhouse!AG247</f>
        <v>12</v>
      </c>
      <c r="H24" s="396">
        <v>11.9</v>
      </c>
      <c r="I24" s="368">
        <f>[4]Brewhouse!$AU247</f>
        <v>99.508128433796273</v>
      </c>
      <c r="J24" s="368">
        <f>[4]Brewhouse!$AV247</f>
        <v>101.00851760886052</v>
      </c>
      <c r="K24" s="281">
        <f>[4]Brewhouse!$Q247</f>
        <v>7.2458410351201517</v>
      </c>
      <c r="L24" s="276">
        <f>[4]Brewhouse!$P247</f>
        <v>60</v>
      </c>
      <c r="M24" s="397">
        <f>[4]Brewhouse!$U247-[4]Brewhouse!$T247</f>
        <v>0.1069444444444444</v>
      </c>
      <c r="N24" s="370">
        <f>[4]Brewhouse!$Z247</f>
        <v>0.26944444444444443</v>
      </c>
      <c r="O24" s="420" t="str">
        <f>[4]Brewhouse!$AX247</f>
        <v>D. Gomaz</v>
      </c>
      <c r="P24" s="418"/>
      <c r="R24" s="277" t="str">
        <f t="shared" si="9"/>
        <v>CARIB</v>
      </c>
      <c r="S24" s="472">
        <f t="shared" si="1"/>
        <v>11.6</v>
      </c>
      <c r="T24" s="472">
        <f t="shared" si="2"/>
        <v>12</v>
      </c>
      <c r="U24" s="297">
        <f t="shared" si="3"/>
        <v>0</v>
      </c>
      <c r="V24" s="297">
        <f t="shared" si="4"/>
        <v>0.118055555555556</v>
      </c>
      <c r="W24" s="297">
        <f t="shared" si="5"/>
        <v>0.22569444444444445</v>
      </c>
      <c r="X24" s="297">
        <f t="shared" si="6"/>
        <v>0.2638888888888889</v>
      </c>
      <c r="Y24" s="297">
        <f t="shared" si="7"/>
        <v>0</v>
      </c>
      <c r="Z24" s="472">
        <f t="shared" si="8"/>
        <v>60</v>
      </c>
    </row>
    <row r="25" spans="2:26" ht="16.5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420"/>
      <c r="P25" s="418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2:26" ht="16.5" customHeight="1">
      <c r="B26" s="33" t="s">
        <v>9</v>
      </c>
      <c r="C26" s="366" t="str">
        <f>[3]Brewhouse!$A150</f>
        <v>ST098</v>
      </c>
      <c r="D26" s="279">
        <f>[3]Brewhouse!$AB150</f>
        <v>53.1</v>
      </c>
      <c r="E26" s="279">
        <f>[3]Brewhouse!$AG150</f>
        <v>46.3</v>
      </c>
      <c r="F26" s="278">
        <f>[3]Brewhouse!$V150</f>
        <v>58</v>
      </c>
      <c r="G26" s="279">
        <f>[3]Brewhouse!$AE150</f>
        <v>12</v>
      </c>
      <c r="H26" s="396">
        <v>12</v>
      </c>
      <c r="I26" s="368">
        <f>[3]Brewhouse!$AS150</f>
        <v>93.677898473705298</v>
      </c>
      <c r="J26" s="368">
        <f>[3]Brewhouse!$AT150</f>
        <v>94.852913783619456</v>
      </c>
      <c r="K26" s="281">
        <f>[3]Brewhouse!$Q150</f>
        <v>15.583804143126173</v>
      </c>
      <c r="L26" s="276">
        <f>[3]Brewhouse!$P150</f>
        <v>60</v>
      </c>
      <c r="M26" s="374">
        <f>[3]Brewhouse!$U150-[3]Brewhouse!$T150</f>
        <v>0.11041666666666672</v>
      </c>
      <c r="N26" s="370">
        <f>[3]Brewhouse!$AW150</f>
        <v>0.24722222222222223</v>
      </c>
      <c r="O26" s="371" t="str">
        <f>[3]Brewhouse!$AV150</f>
        <v>D. Gomaz</v>
      </c>
      <c r="P26" s="418"/>
      <c r="R26" s="277" t="str">
        <f t="shared" si="9"/>
        <v>STAG</v>
      </c>
      <c r="S26" s="472">
        <f t="shared" si="1"/>
        <v>11.6</v>
      </c>
      <c r="T26" s="472">
        <f t="shared" si="2"/>
        <v>12</v>
      </c>
      <c r="U26" s="297">
        <f t="shared" si="3"/>
        <v>0</v>
      </c>
      <c r="V26" s="297">
        <f t="shared" si="4"/>
        <v>0.118055555555556</v>
      </c>
      <c r="W26" s="297">
        <f t="shared" si="5"/>
        <v>0.22569444444444445</v>
      </c>
      <c r="X26" s="297">
        <f t="shared" si="6"/>
        <v>0.2638888888888889</v>
      </c>
      <c r="Y26" s="297">
        <f t="shared" si="7"/>
        <v>0</v>
      </c>
      <c r="Z26" s="472">
        <f t="shared" si="8"/>
        <v>60</v>
      </c>
    </row>
    <row r="27" spans="2:26" ht="16.5" customHeight="1">
      <c r="B27" s="33" t="s">
        <v>9</v>
      </c>
      <c r="C27" s="366" t="str">
        <f>[3]Brewhouse!$A151</f>
        <v>ST099</v>
      </c>
      <c r="D27" s="279">
        <f>[3]Brewhouse!$AB151</f>
        <v>53.1</v>
      </c>
      <c r="E27" s="279">
        <f>[3]Brewhouse!$AG151</f>
        <v>48.7</v>
      </c>
      <c r="F27" s="278">
        <f>[3]Brewhouse!$V151</f>
        <v>53</v>
      </c>
      <c r="G27" s="279">
        <f>[3]Brewhouse!$AE151</f>
        <v>12</v>
      </c>
      <c r="H27" s="367"/>
      <c r="I27" s="368">
        <f>[3]Brewhouse!$AS151</f>
        <v>96.09626744823305</v>
      </c>
      <c r="J27" s="368">
        <f>[3]Brewhouse!$AT151</f>
        <v>97.309514547587241</v>
      </c>
      <c r="K27" s="281">
        <f>[3]Brewhouse!$Q151</f>
        <v>15.018832391713749</v>
      </c>
      <c r="L27" s="276">
        <f>[3]Brewhouse!$P151</f>
        <v>64</v>
      </c>
      <c r="M27" s="374">
        <f>[3]Brewhouse!$U151-[3]Brewhouse!$T151</f>
        <v>0.10902777777777783</v>
      </c>
      <c r="N27" s="370">
        <f>[3]Brewhouse!$AW151</f>
        <v>0.25</v>
      </c>
      <c r="O27" s="371" t="str">
        <f>[3]Brewhouse!$AV151</f>
        <v>D. Gomaz</v>
      </c>
      <c r="P27" s="418"/>
      <c r="R27" s="277" t="str">
        <f t="shared" si="9"/>
        <v>STAG</v>
      </c>
      <c r="S27" s="472">
        <f t="shared" si="1"/>
        <v>11.6</v>
      </c>
      <c r="T27" s="472">
        <f t="shared" si="2"/>
        <v>12</v>
      </c>
      <c r="U27" s="297">
        <f t="shared" si="3"/>
        <v>0</v>
      </c>
      <c r="V27" s="297">
        <f t="shared" si="4"/>
        <v>0.118055555555556</v>
      </c>
      <c r="W27" s="297">
        <f t="shared" si="5"/>
        <v>0.22569444444444445</v>
      </c>
      <c r="X27" s="297">
        <f t="shared" si="6"/>
        <v>0.2638888888888889</v>
      </c>
      <c r="Y27" s="297">
        <f t="shared" si="7"/>
        <v>0</v>
      </c>
      <c r="Z27" s="472">
        <f t="shared" si="8"/>
        <v>60</v>
      </c>
    </row>
    <row r="28" spans="2:26" ht="16.5" customHeight="1">
      <c r="B28" s="33" t="s">
        <v>9</v>
      </c>
      <c r="C28" s="366" t="str">
        <f>[3]Brewhouse!$A152</f>
        <v>ST100</v>
      </c>
      <c r="D28" s="279">
        <f>[3]Brewhouse!$AB152</f>
        <v>53.1</v>
      </c>
      <c r="E28" s="279">
        <f>[3]Brewhouse!$AG152</f>
        <v>48.5</v>
      </c>
      <c r="F28" s="278">
        <f>[3]Brewhouse!$V152</f>
        <v>55</v>
      </c>
      <c r="G28" s="279">
        <f>[3]Brewhouse!$AE152</f>
        <v>11.9</v>
      </c>
      <c r="H28" s="396">
        <v>11.9</v>
      </c>
      <c r="I28" s="368">
        <f>[3]Brewhouse!$AS152</f>
        <v>97.393225185801398</v>
      </c>
      <c r="J28" s="368">
        <f>[3]Brewhouse!$AT152</f>
        <v>98.614431511830219</v>
      </c>
      <c r="K28" s="281">
        <f>[3]Brewhouse!$Q152</f>
        <v>16.148775894538613</v>
      </c>
      <c r="L28" s="276">
        <f>[3]Brewhouse!$P152</f>
        <v>60</v>
      </c>
      <c r="M28" s="374">
        <f>[3]Brewhouse!$U152-[3]Brewhouse!$T152</f>
        <v>0.10972222222222228</v>
      </c>
      <c r="N28" s="370">
        <f>[3]Brewhouse!$AW152</f>
        <v>0.25069444444444444</v>
      </c>
      <c r="O28" s="371" t="str">
        <f>[3]Brewhouse!$AV152</f>
        <v>R. Regis</v>
      </c>
      <c r="P28" s="418"/>
      <c r="R28" s="277" t="str">
        <f t="shared" si="9"/>
        <v>STAG</v>
      </c>
      <c r="S28" s="472">
        <f t="shared" si="1"/>
        <v>11.6</v>
      </c>
      <c r="T28" s="472">
        <f t="shared" si="2"/>
        <v>12</v>
      </c>
      <c r="U28" s="297">
        <f t="shared" si="3"/>
        <v>0</v>
      </c>
      <c r="V28" s="297">
        <f t="shared" si="4"/>
        <v>0.118055555555556</v>
      </c>
      <c r="W28" s="297">
        <f t="shared" si="5"/>
        <v>0.22569444444444445</v>
      </c>
      <c r="X28" s="297">
        <f t="shared" si="6"/>
        <v>0.2638888888888889</v>
      </c>
      <c r="Y28" s="297">
        <f t="shared" si="7"/>
        <v>0</v>
      </c>
      <c r="Z28" s="472">
        <f t="shared" si="8"/>
        <v>60</v>
      </c>
    </row>
    <row r="29" spans="2:26" ht="16.5" customHeight="1">
      <c r="B29" s="33" t="s">
        <v>9</v>
      </c>
      <c r="C29" s="366" t="str">
        <f>[3]Brewhouse!$A153</f>
        <v>ST101</v>
      </c>
      <c r="D29" s="279">
        <f>[3]Brewhouse!$AB153</f>
        <v>53.1</v>
      </c>
      <c r="E29" s="279">
        <f>[3]Brewhouse!$AG153</f>
        <v>50</v>
      </c>
      <c r="F29" s="278">
        <f>[3]Brewhouse!$V153</f>
        <v>60</v>
      </c>
      <c r="G29" s="279">
        <f>[3]Brewhouse!$AE153</f>
        <v>11.8</v>
      </c>
      <c r="H29" s="396">
        <v>11.7</v>
      </c>
      <c r="I29" s="368">
        <f>[3]Brewhouse!$AS153</f>
        <v>99.51827092226965</v>
      </c>
      <c r="J29" s="368">
        <f>[3]Brewhouse!$AT153</f>
        <v>100.76612303697139</v>
      </c>
      <c r="K29" s="281">
        <f>[3]Brewhouse!$Q153</f>
        <v>15.960451977401133</v>
      </c>
      <c r="L29" s="276">
        <f>[3]Brewhouse!$P153</f>
        <v>60</v>
      </c>
      <c r="M29" s="374">
        <f>[3]Brewhouse!$U153-[3]Brewhouse!$T153</f>
        <v>0.11111111111111105</v>
      </c>
      <c r="N29" s="370">
        <f>[3]Brewhouse!$AW153</f>
        <v>0.25416666666666654</v>
      </c>
      <c r="O29" s="371" t="str">
        <f>[3]Brewhouse!$AV153</f>
        <v>R. Regis</v>
      </c>
      <c r="P29" s="418"/>
      <c r="R29" s="277" t="str">
        <f t="shared" si="9"/>
        <v>STAG</v>
      </c>
      <c r="S29" s="472">
        <f t="shared" si="1"/>
        <v>11.6</v>
      </c>
      <c r="T29" s="472">
        <f t="shared" si="2"/>
        <v>12</v>
      </c>
      <c r="U29" s="297">
        <f t="shared" si="3"/>
        <v>0</v>
      </c>
      <c r="V29" s="297">
        <f t="shared" si="4"/>
        <v>0.118055555555556</v>
      </c>
      <c r="W29" s="297">
        <f t="shared" si="5"/>
        <v>0.22569444444444445</v>
      </c>
      <c r="X29" s="297">
        <f t="shared" si="6"/>
        <v>0.2638888888888889</v>
      </c>
      <c r="Y29" s="297">
        <f t="shared" si="7"/>
        <v>0</v>
      </c>
      <c r="Z29" s="472">
        <f t="shared" si="8"/>
        <v>60</v>
      </c>
    </row>
    <row r="30" spans="2:26" ht="16.5" customHeight="1">
      <c r="B30" s="33" t="s">
        <v>9</v>
      </c>
      <c r="C30" s="366" t="str">
        <f>[3]Brewhouse!$A154</f>
        <v>ST102</v>
      </c>
      <c r="D30" s="279">
        <f>[3]Brewhouse!$AB154</f>
        <v>53.1</v>
      </c>
      <c r="E30" s="279">
        <f>[3]Brewhouse!$AG154</f>
        <v>49.7</v>
      </c>
      <c r="F30" s="278">
        <f>[3]Brewhouse!$V154</f>
        <v>60</v>
      </c>
      <c r="G30" s="279">
        <f>[3]Brewhouse!$AE154</f>
        <v>11.8</v>
      </c>
      <c r="H30" s="396">
        <v>11.8</v>
      </c>
      <c r="I30" s="368">
        <f>[3]Brewhouse!$AS154</f>
        <v>98.297037775048096</v>
      </c>
      <c r="J30" s="368">
        <f>[3]Brewhouse!$AT154</f>
        <v>99.531639869366273</v>
      </c>
      <c r="K30" s="281">
        <f>[3]Brewhouse!$Q154</f>
        <v>16.902071563088512</v>
      </c>
      <c r="L30" s="276">
        <f>[3]Brewhouse!$P154</f>
        <v>60</v>
      </c>
      <c r="M30" s="374">
        <f>[3]Brewhouse!$U154-[3]Brewhouse!$T154</f>
        <v>0.1166666666666667</v>
      </c>
      <c r="N30" s="370">
        <f>[3]Brewhouse!$AW154</f>
        <v>0.25555555555555554</v>
      </c>
      <c r="O30" s="371" t="str">
        <f>[3]Brewhouse!$AV154</f>
        <v>R. Regis</v>
      </c>
      <c r="P30" s="418"/>
      <c r="R30" s="277" t="str">
        <f t="shared" si="9"/>
        <v>STAG</v>
      </c>
      <c r="S30" s="472">
        <f t="shared" si="1"/>
        <v>11.6</v>
      </c>
      <c r="T30" s="472">
        <f t="shared" si="2"/>
        <v>12</v>
      </c>
      <c r="U30" s="297">
        <f t="shared" si="3"/>
        <v>0</v>
      </c>
      <c r="V30" s="297">
        <f t="shared" si="4"/>
        <v>0.118055555555556</v>
      </c>
      <c r="W30" s="297">
        <f t="shared" si="5"/>
        <v>0.22569444444444445</v>
      </c>
      <c r="X30" s="297">
        <f t="shared" si="6"/>
        <v>0.2638888888888889</v>
      </c>
      <c r="Y30" s="297">
        <f t="shared" si="7"/>
        <v>0</v>
      </c>
      <c r="Z30" s="472">
        <f t="shared" si="8"/>
        <v>60</v>
      </c>
    </row>
    <row r="31" spans="2:26" ht="16.5" customHeight="1">
      <c r="B31" s="33" t="s">
        <v>9</v>
      </c>
      <c r="C31" s="366" t="str">
        <f>[3]Brewhouse!$A155</f>
        <v>ST103</v>
      </c>
      <c r="D31" s="279">
        <f>[3]Brewhouse!$AB155</f>
        <v>53.1</v>
      </c>
      <c r="E31" s="279">
        <f>[3]Brewhouse!$AG155</f>
        <v>49.4</v>
      </c>
      <c r="F31" s="278">
        <f>[3]Brewhouse!$V155</f>
        <v>61</v>
      </c>
      <c r="G31" s="279">
        <f>[3]Brewhouse!$AE155</f>
        <v>11.9</v>
      </c>
      <c r="H31" s="396">
        <v>11.9</v>
      </c>
      <c r="I31" s="368">
        <f>[3]Brewhouse!$AS155</f>
        <v>98.699180649962642</v>
      </c>
      <c r="J31" s="368">
        <f>[3]Brewhouse!$AT155</f>
        <v>99.938421436047975</v>
      </c>
      <c r="K31" s="281">
        <f>[3]Brewhouse!$Q155</f>
        <v>17.843691148775896</v>
      </c>
      <c r="L31" s="276">
        <f>[3]Brewhouse!$P155</f>
        <v>60</v>
      </c>
      <c r="M31" s="374">
        <f>[3]Brewhouse!$U155-[3]Brewhouse!$T155</f>
        <v>0.12222222222222223</v>
      </c>
      <c r="N31" s="370">
        <f>[3]Brewhouse!$AW155</f>
        <v>0.25833333333333341</v>
      </c>
      <c r="O31" s="371" t="str">
        <f>[3]Brewhouse!$AV155</f>
        <v>R. Regis</v>
      </c>
      <c r="P31" s="418"/>
      <c r="R31" s="277" t="str">
        <f t="shared" si="9"/>
        <v>STAG</v>
      </c>
      <c r="S31" s="472">
        <f t="shared" si="1"/>
        <v>11.6</v>
      </c>
      <c r="T31" s="472">
        <f t="shared" si="2"/>
        <v>12</v>
      </c>
      <c r="U31" s="297">
        <f t="shared" si="3"/>
        <v>0</v>
      </c>
      <c r="V31" s="297">
        <f t="shared" si="4"/>
        <v>0.118055555555556</v>
      </c>
      <c r="W31" s="297">
        <f t="shared" si="5"/>
        <v>0.22569444444444445</v>
      </c>
      <c r="X31" s="297">
        <f t="shared" si="6"/>
        <v>0.2638888888888889</v>
      </c>
      <c r="Y31" s="297">
        <f t="shared" si="7"/>
        <v>0</v>
      </c>
      <c r="Z31" s="472">
        <f t="shared" si="8"/>
        <v>60</v>
      </c>
    </row>
    <row r="32" spans="2:26" ht="16.5" customHeight="1">
      <c r="B32" s="33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74"/>
      <c r="N32" s="370"/>
      <c r="O32" s="371"/>
      <c r="P32" s="418"/>
      <c r="R32" s="277">
        <f t="shared" si="9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2:26" ht="16.5" customHeight="1">
      <c r="B33" s="489">
        <v>46096</v>
      </c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74"/>
      <c r="N33" s="370"/>
      <c r="O33" s="371"/>
      <c r="P33" s="418"/>
      <c r="R33" s="277">
        <f t="shared" si="9"/>
        <v>46096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2:26" ht="16.5" customHeight="1">
      <c r="B34" s="33" t="s">
        <v>9</v>
      </c>
      <c r="C34" s="366" t="str">
        <f>[3]Brewhouse!$A156</f>
        <v>ST104</v>
      </c>
      <c r="D34" s="279">
        <f>[3]Brewhouse!$AB156</f>
        <v>53.1</v>
      </c>
      <c r="E34" s="279">
        <f>[3]Brewhouse!$AG156</f>
        <v>49.3</v>
      </c>
      <c r="F34" s="278">
        <f>[3]Brewhouse!$V156</f>
        <v>59</v>
      </c>
      <c r="G34" s="279">
        <f>[3]Brewhouse!$AE156</f>
        <v>12</v>
      </c>
      <c r="H34" s="396">
        <v>12</v>
      </c>
      <c r="I34" s="368">
        <f>[3]Brewhouse!$AS156</f>
        <v>99.709379094868325</v>
      </c>
      <c r="J34" s="368">
        <f>[3]Brewhouse!$AT156</f>
        <v>100.49076902293916</v>
      </c>
      <c r="K34" s="281">
        <f>[3]Brewhouse!$Q156</f>
        <v>16.337099811676076</v>
      </c>
      <c r="L34" s="276">
        <f>[3]Brewhouse!$P156</f>
        <v>60</v>
      </c>
      <c r="M34" s="374">
        <f>[3]Brewhouse!$U156-[3]Brewhouse!$T156</f>
        <v>0.12222222222222226</v>
      </c>
      <c r="N34" s="370">
        <f>[3]Brewhouse!$AW156</f>
        <v>0.25972222222222224</v>
      </c>
      <c r="O34" s="371" t="str">
        <f>[3]Brewhouse!$AV156</f>
        <v>R. Regis</v>
      </c>
      <c r="P34" s="418"/>
      <c r="R34" s="277" t="str">
        <f t="shared" si="9"/>
        <v>STAG</v>
      </c>
      <c r="S34" s="472">
        <f t="shared" si="1"/>
        <v>11.6</v>
      </c>
      <c r="T34" s="472">
        <f t="shared" si="2"/>
        <v>12</v>
      </c>
      <c r="U34" s="297">
        <f t="shared" si="3"/>
        <v>0</v>
      </c>
      <c r="V34" s="297">
        <f t="shared" si="4"/>
        <v>0.118055555555556</v>
      </c>
      <c r="W34" s="297">
        <f t="shared" si="5"/>
        <v>0.22569444444444445</v>
      </c>
      <c r="X34" s="297">
        <f t="shared" si="6"/>
        <v>0.2638888888888889</v>
      </c>
      <c r="Y34" s="297">
        <f t="shared" si="7"/>
        <v>0</v>
      </c>
      <c r="Z34" s="472">
        <f t="shared" si="8"/>
        <v>60</v>
      </c>
    </row>
    <row r="35" spans="2:26" ht="16.5" customHeight="1">
      <c r="B35" s="33" t="s">
        <v>9</v>
      </c>
      <c r="C35" s="366" t="str">
        <f>[3]Brewhouse!$A157</f>
        <v>ST105</v>
      </c>
      <c r="D35" s="279">
        <f>[3]Brewhouse!$AB157</f>
        <v>53.1</v>
      </c>
      <c r="E35" s="279">
        <f>[3]Brewhouse!$AG157</f>
        <v>49.6</v>
      </c>
      <c r="F35" s="278">
        <f>[3]Brewhouse!$V157</f>
        <v>61</v>
      </c>
      <c r="G35" s="279">
        <f>[3]Brewhouse!$AE157</f>
        <v>11.9</v>
      </c>
      <c r="H35" s="396">
        <v>12</v>
      </c>
      <c r="I35" s="368">
        <f>[3]Brewhouse!$AS157</f>
        <v>99.20510217019843</v>
      </c>
      <c r="J35" s="368">
        <f>[3]Brewhouse!$AT157</f>
        <v>100.21682485860228</v>
      </c>
      <c r="K35" s="281">
        <f>[3]Brewhouse!$Q157</f>
        <v>15.772128060263654</v>
      </c>
      <c r="L35" s="276">
        <f>[3]Brewhouse!$P157</f>
        <v>60</v>
      </c>
      <c r="M35" s="374">
        <f>[3]Brewhouse!$U157-[3]Brewhouse!$T157</f>
        <v>0.11875000000000002</v>
      </c>
      <c r="N35" s="370">
        <f>[3]Brewhouse!$AW157</f>
        <v>0.25694444444444442</v>
      </c>
      <c r="O35" s="371" t="str">
        <f>[3]Brewhouse!$AV157</f>
        <v>R. Regis</v>
      </c>
      <c r="P35" s="418"/>
      <c r="R35" s="277" t="str">
        <f t="shared" si="9"/>
        <v>STAG</v>
      </c>
      <c r="S35" s="472">
        <f t="shared" si="1"/>
        <v>11.6</v>
      </c>
      <c r="T35" s="472">
        <f t="shared" si="2"/>
        <v>12</v>
      </c>
      <c r="U35" s="297">
        <f t="shared" si="3"/>
        <v>0</v>
      </c>
      <c r="V35" s="297">
        <f t="shared" si="4"/>
        <v>0.118055555555556</v>
      </c>
      <c r="W35" s="297">
        <f t="shared" si="5"/>
        <v>0.22569444444444445</v>
      </c>
      <c r="X35" s="297">
        <f t="shared" si="6"/>
        <v>0.2638888888888889</v>
      </c>
      <c r="Y35" s="297">
        <f t="shared" si="7"/>
        <v>0</v>
      </c>
      <c r="Z35" s="472">
        <f t="shared" si="8"/>
        <v>60</v>
      </c>
    </row>
    <row r="36" spans="2:26" ht="15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97"/>
      <c r="N36" s="370"/>
      <c r="O36" s="420"/>
      <c r="P36" s="418"/>
      <c r="R36" s="277">
        <f t="shared" si="9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2:26" ht="15">
      <c r="B37" s="29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97"/>
      <c r="N37" s="370"/>
      <c r="O37" s="420"/>
      <c r="P37" s="418"/>
      <c r="R37" s="277">
        <f t="shared" si="9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</row>
    <row r="38" spans="2:26" ht="15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420"/>
      <c r="P38" s="418"/>
      <c r="R38" s="277">
        <f t="shared" ref="R38:R52" si="10">B38</f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</row>
    <row r="39" spans="2:26" ht="15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97"/>
      <c r="N39" s="370"/>
      <c r="O39" s="420"/>
      <c r="P39" s="418"/>
      <c r="R39" s="277">
        <f t="shared" si="1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</row>
    <row r="40" spans="2:26" ht="16.5" hidden="1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420"/>
      <c r="P40" s="418"/>
      <c r="R40" s="277">
        <f t="shared" si="1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</row>
    <row r="41" spans="2:26" ht="16.5" hidden="1" customHeight="1">
      <c r="B41" s="29"/>
      <c r="C41" s="366"/>
      <c r="D41" s="279"/>
      <c r="E41" s="279"/>
      <c r="F41" s="278"/>
      <c r="G41" s="279"/>
      <c r="H41" s="396"/>
      <c r="I41" s="368"/>
      <c r="J41" s="368"/>
      <c r="K41" s="281"/>
      <c r="L41" s="276"/>
      <c r="M41" s="397"/>
      <c r="N41" s="370"/>
      <c r="O41" s="420"/>
      <c r="P41" s="418"/>
      <c r="R41" s="277">
        <f t="shared" si="10"/>
        <v>0</v>
      </c>
      <c r="S41" s="472" t="e">
        <f t="shared" si="1"/>
        <v>#N/A</v>
      </c>
      <c r="T41" s="472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2" t="e">
        <f t="shared" si="8"/>
        <v>#N/A</v>
      </c>
    </row>
    <row r="42" spans="2:26" ht="16.5" hidden="1" customHeight="1">
      <c r="B42" s="29"/>
      <c r="C42" s="366"/>
      <c r="D42" s="279"/>
      <c r="E42" s="279"/>
      <c r="F42" s="278"/>
      <c r="G42" s="279"/>
      <c r="H42" s="396"/>
      <c r="I42" s="368"/>
      <c r="J42" s="368"/>
      <c r="K42" s="281"/>
      <c r="L42" s="276"/>
      <c r="M42" s="397"/>
      <c r="N42" s="370"/>
      <c r="O42" s="420"/>
      <c r="P42" s="418"/>
      <c r="R42" s="277">
        <f t="shared" si="10"/>
        <v>0</v>
      </c>
      <c r="S42" s="472" t="e">
        <f t="shared" si="1"/>
        <v>#N/A</v>
      </c>
      <c r="T42" s="472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472" t="e">
        <f t="shared" si="8"/>
        <v>#N/A</v>
      </c>
    </row>
    <row r="43" spans="2:26" ht="15" hidden="1">
      <c r="B43" s="29"/>
      <c r="C43" s="366"/>
      <c r="D43" s="279"/>
      <c r="E43" s="279"/>
      <c r="F43" s="278"/>
      <c r="G43" s="279"/>
      <c r="H43" s="396"/>
      <c r="I43" s="368"/>
      <c r="J43" s="368"/>
      <c r="K43" s="281"/>
      <c r="L43" s="276"/>
      <c r="M43" s="397"/>
      <c r="N43" s="370"/>
      <c r="O43" s="420"/>
      <c r="P43" s="418"/>
      <c r="R43" s="277">
        <f t="shared" si="10"/>
        <v>0</v>
      </c>
      <c r="S43" s="472" t="e">
        <f t="shared" si="1"/>
        <v>#N/A</v>
      </c>
      <c r="T43" s="472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472" t="e">
        <f t="shared" si="8"/>
        <v>#N/A</v>
      </c>
    </row>
    <row r="44" spans="2:26" ht="15" hidden="1">
      <c r="B44" s="29"/>
      <c r="C44" s="366"/>
      <c r="D44" s="279"/>
      <c r="E44" s="279"/>
      <c r="F44" s="278"/>
      <c r="G44" s="279"/>
      <c r="H44" s="396"/>
      <c r="I44" s="368"/>
      <c r="J44" s="368"/>
      <c r="K44" s="281"/>
      <c r="L44" s="276"/>
      <c r="M44" s="397"/>
      <c r="N44" s="370"/>
      <c r="O44" s="420"/>
      <c r="P44" s="418"/>
      <c r="R44" s="277">
        <f t="shared" si="10"/>
        <v>0</v>
      </c>
      <c r="S44" s="472" t="e">
        <f t="shared" si="1"/>
        <v>#N/A</v>
      </c>
      <c r="T44" s="472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472" t="e">
        <f t="shared" si="8"/>
        <v>#N/A</v>
      </c>
    </row>
    <row r="45" spans="2:26" ht="18" hidden="1" customHeight="1">
      <c r="B45" s="29"/>
      <c r="C45" s="366"/>
      <c r="D45" s="279"/>
      <c r="E45" s="279"/>
      <c r="F45" s="278"/>
      <c r="G45" s="279"/>
      <c r="H45" s="487"/>
      <c r="I45" s="368"/>
      <c r="J45" s="368"/>
      <c r="K45" s="281"/>
      <c r="L45" s="276"/>
      <c r="M45" s="374"/>
      <c r="N45" s="370"/>
      <c r="O45" s="371"/>
      <c r="P45" s="418"/>
      <c r="R45" s="277">
        <f t="shared" si="10"/>
        <v>0</v>
      </c>
      <c r="S45" s="472" t="e">
        <f t="shared" si="1"/>
        <v>#N/A</v>
      </c>
      <c r="T45" s="472" t="e">
        <f t="shared" si="2"/>
        <v>#N/A</v>
      </c>
      <c r="U45" s="297" t="e">
        <f t="shared" si="3"/>
        <v>#N/A</v>
      </c>
      <c r="V45" s="297" t="e">
        <f t="shared" si="4"/>
        <v>#N/A</v>
      </c>
      <c r="W45" s="297" t="e">
        <f t="shared" si="5"/>
        <v>#N/A</v>
      </c>
      <c r="X45" s="297" t="e">
        <f t="shared" si="6"/>
        <v>#N/A</v>
      </c>
      <c r="Y45" s="297" t="e">
        <f t="shared" si="7"/>
        <v>#N/A</v>
      </c>
      <c r="Z45" s="472" t="e">
        <f t="shared" si="8"/>
        <v>#N/A</v>
      </c>
    </row>
    <row r="46" spans="2:26" ht="16.5" hidden="1" customHeight="1">
      <c r="B46" s="29"/>
      <c r="C46" s="366"/>
      <c r="D46" s="279"/>
      <c r="E46" s="279"/>
      <c r="F46" s="278"/>
      <c r="G46" s="279"/>
      <c r="H46" s="396"/>
      <c r="I46" s="368"/>
      <c r="J46" s="368"/>
      <c r="K46" s="281"/>
      <c r="L46" s="276"/>
      <c r="M46" s="397"/>
      <c r="N46" s="370"/>
      <c r="O46" s="371"/>
      <c r="P46" s="418"/>
      <c r="R46" s="277">
        <f t="shared" si="10"/>
        <v>0</v>
      </c>
      <c r="S46" s="472" t="e">
        <f t="shared" si="1"/>
        <v>#N/A</v>
      </c>
      <c r="T46" s="472" t="e">
        <f t="shared" si="2"/>
        <v>#N/A</v>
      </c>
      <c r="U46" s="297" t="e">
        <f t="shared" si="3"/>
        <v>#N/A</v>
      </c>
      <c r="V46" s="297" t="e">
        <f t="shared" si="4"/>
        <v>#N/A</v>
      </c>
      <c r="W46" s="297" t="e">
        <f t="shared" si="5"/>
        <v>#N/A</v>
      </c>
      <c r="X46" s="297" t="e">
        <f t="shared" si="6"/>
        <v>#N/A</v>
      </c>
      <c r="Y46" s="297" t="e">
        <f t="shared" si="7"/>
        <v>#N/A</v>
      </c>
      <c r="Z46" s="472" t="e">
        <f t="shared" si="8"/>
        <v>#N/A</v>
      </c>
    </row>
    <row r="47" spans="2:26" ht="15.75" customHeight="1" thickBot="1">
      <c r="B47" s="358"/>
      <c r="C47" s="358"/>
      <c r="D47" s="358"/>
      <c r="E47" s="358"/>
      <c r="F47" s="294"/>
      <c r="G47" s="294"/>
      <c r="H47" s="348"/>
      <c r="I47" s="512"/>
      <c r="J47" s="512"/>
      <c r="K47" s="512"/>
      <c r="L47" s="512"/>
      <c r="M47" s="512"/>
      <c r="N47" s="512"/>
      <c r="O47" s="1"/>
      <c r="P47" s="12"/>
      <c r="R47" s="277">
        <f t="shared" si="10"/>
        <v>0</v>
      </c>
      <c r="S47" s="472" t="e">
        <f t="shared" si="1"/>
        <v>#N/A</v>
      </c>
      <c r="T47" s="472" t="e">
        <f t="shared" si="2"/>
        <v>#N/A</v>
      </c>
      <c r="U47" s="297" t="e">
        <f t="shared" si="3"/>
        <v>#N/A</v>
      </c>
      <c r="V47" s="297" t="e">
        <f t="shared" si="4"/>
        <v>#N/A</v>
      </c>
      <c r="W47" s="297" t="e">
        <f t="shared" si="5"/>
        <v>#N/A</v>
      </c>
      <c r="X47" s="297" t="e">
        <f t="shared" si="6"/>
        <v>#N/A</v>
      </c>
      <c r="Y47" s="297" t="e">
        <f t="shared" si="7"/>
        <v>#N/A</v>
      </c>
      <c r="Z47" s="472" t="e">
        <f t="shared" si="8"/>
        <v>#N/A</v>
      </c>
    </row>
    <row r="48" spans="2:26" ht="15.75" customHeight="1" thickBot="1">
      <c r="B48" s="388" t="s">
        <v>162</v>
      </c>
      <c r="C48" s="388"/>
      <c r="D48" s="513" t="s">
        <v>35</v>
      </c>
      <c r="E48" s="514"/>
      <c r="F48" s="294"/>
      <c r="G48" s="294"/>
      <c r="H48" s="348"/>
      <c r="I48" s="24" t="s">
        <v>17</v>
      </c>
      <c r="J48" s="25"/>
      <c r="K48" s="26" t="s">
        <v>138</v>
      </c>
      <c r="L48" s="25" t="s">
        <v>37</v>
      </c>
      <c r="M48" s="25" t="s">
        <v>38</v>
      </c>
      <c r="N48" s="27" t="s">
        <v>39</v>
      </c>
      <c r="O48" s="294"/>
      <c r="P48" s="12"/>
      <c r="R48" s="277" t="str">
        <f t="shared" si="10"/>
        <v xml:space="preserve">BRAND </v>
      </c>
      <c r="S48" s="472" t="e">
        <f t="shared" si="1"/>
        <v>#N/A</v>
      </c>
      <c r="T48" s="472" t="e">
        <f t="shared" si="2"/>
        <v>#N/A</v>
      </c>
      <c r="U48" s="297" t="e">
        <f t="shared" si="3"/>
        <v>#N/A</v>
      </c>
      <c r="V48" s="297" t="e">
        <f t="shared" si="4"/>
        <v>#N/A</v>
      </c>
      <c r="W48" s="297" t="e">
        <f t="shared" si="5"/>
        <v>#N/A</v>
      </c>
      <c r="X48" s="297" t="e">
        <f t="shared" si="6"/>
        <v>#N/A</v>
      </c>
      <c r="Y48" s="297" t="e">
        <f t="shared" si="7"/>
        <v>#N/A</v>
      </c>
      <c r="Z48" s="472" t="e">
        <f t="shared" si="8"/>
        <v>#N/A</v>
      </c>
    </row>
    <row r="49" spans="1:27" ht="15" customHeight="1">
      <c r="A49" s="28"/>
      <c r="B49" s="584" t="str">
        <f>I51</f>
        <v>GUINNESS</v>
      </c>
      <c r="C49" s="362" cm="1">
        <f t="array" ref="C49:C56">[5]Process!$D$35:$D$42</f>
        <v>17.3</v>
      </c>
      <c r="D49" s="518">
        <v>17.38</v>
      </c>
      <c r="E49" s="519"/>
      <c r="F49" s="294"/>
      <c r="G49" s="294"/>
      <c r="H49" s="348"/>
      <c r="I49" s="29" t="s">
        <v>6</v>
      </c>
      <c r="J49" s="323">
        <f>AVERAGE(I10:I19,I22:I24)</f>
        <v>97.766278472092836</v>
      </c>
      <c r="K49" s="284">
        <f>COUNTA([4]Brewhouse!$A$198:$A$247)</f>
        <v>50</v>
      </c>
      <c r="L49" s="305">
        <f>AVERAGE([4]Brewhouse!$AU$198:$AU$247)</f>
        <v>98.113969762569923</v>
      </c>
      <c r="M49" s="305">
        <f>AVERAGE([4]Brewhouse!$AU$42:$AU$123,[4]Brewhouse!$AU$125:$AU$188,[4]Brewhouse!$AU$198:$AU$247)</f>
        <v>97.72839533611004</v>
      </c>
      <c r="N49" s="30">
        <v>98</v>
      </c>
      <c r="O49" s="11"/>
      <c r="P49" s="31"/>
      <c r="R49" s="277" t="str">
        <f t="shared" si="10"/>
        <v>GUINNESS</v>
      </c>
      <c r="S49" s="472">
        <f t="shared" si="1"/>
        <v>17</v>
      </c>
      <c r="T49" s="472">
        <f t="shared" si="2"/>
        <v>17.5</v>
      </c>
      <c r="U49" s="297">
        <f t="shared" si="3"/>
        <v>0</v>
      </c>
      <c r="V49" s="297">
        <f t="shared" si="4"/>
        <v>0.1076388888888889</v>
      </c>
      <c r="W49" s="297">
        <f t="shared" si="5"/>
        <v>0.24652777777777779</v>
      </c>
      <c r="X49" s="297">
        <f t="shared" si="6"/>
        <v>0.28472222222222221</v>
      </c>
      <c r="Y49" s="297">
        <f t="shared" si="7"/>
        <v>0</v>
      </c>
      <c r="Z49" s="472">
        <f t="shared" si="8"/>
        <v>60</v>
      </c>
    </row>
    <row r="50" spans="1:27" ht="15" customHeight="1">
      <c r="A50" s="28"/>
      <c r="B50" s="585"/>
      <c r="C50" s="362">
        <v>17.100000000000001</v>
      </c>
      <c r="D50" s="520"/>
      <c r="E50" s="521"/>
      <c r="F50" s="294"/>
      <c r="G50" s="294"/>
      <c r="H50" s="348"/>
      <c r="I50" s="33" t="s">
        <v>9</v>
      </c>
      <c r="J50" s="280">
        <f>AVERAGE(I26:I31,I34:I35)</f>
        <v>97.824545215010858</v>
      </c>
      <c r="K50" s="284">
        <f>COUNTA([3]Brewhouse!$A$134:$A$157)</f>
        <v>24</v>
      </c>
      <c r="L50" s="302">
        <f>AVERAGE([3]Brewhouse!$AS$134:$AS$157)</f>
        <v>98.305339109955796</v>
      </c>
      <c r="M50" s="302">
        <f>AVERAGE([3]Brewhouse!$AS$52:$AS$81,[3]Brewhouse!$AS$83:$AS$124,[3]Brewhouse!$AS$134:$AS$157)</f>
        <v>98.313793139420682</v>
      </c>
      <c r="N50" s="30">
        <v>98</v>
      </c>
      <c r="O50" s="11"/>
      <c r="P50" s="31"/>
      <c r="R50" s="277">
        <f t="shared" si="10"/>
        <v>0</v>
      </c>
      <c r="S50" s="472" t="e">
        <f t="shared" si="1"/>
        <v>#N/A</v>
      </c>
      <c r="T50" s="472" t="e">
        <f t="shared" si="2"/>
        <v>#N/A</v>
      </c>
      <c r="U50" s="297" t="e">
        <f t="shared" si="3"/>
        <v>#N/A</v>
      </c>
      <c r="V50" s="297" t="e">
        <f t="shared" si="4"/>
        <v>#N/A</v>
      </c>
      <c r="W50" s="297" t="e">
        <f t="shared" si="5"/>
        <v>#N/A</v>
      </c>
      <c r="X50" s="297" t="e">
        <f t="shared" si="6"/>
        <v>#N/A</v>
      </c>
      <c r="Y50" s="297" t="e">
        <f t="shared" si="7"/>
        <v>#N/A</v>
      </c>
      <c r="Z50" s="472" t="e">
        <f t="shared" si="8"/>
        <v>#N/A</v>
      </c>
    </row>
    <row r="51" spans="1:27" ht="14.65" customHeight="1">
      <c r="A51" s="28"/>
      <c r="B51" s="585"/>
      <c r="C51" s="362">
        <v>17.5</v>
      </c>
      <c r="D51" s="522">
        <v>17.27</v>
      </c>
      <c r="E51" s="523"/>
      <c r="F51" s="294"/>
      <c r="G51" s="294"/>
      <c r="H51" s="348"/>
      <c r="I51" s="34" t="s">
        <v>12</v>
      </c>
      <c r="J51" s="280"/>
      <c r="K51" s="284">
        <f>COUNTA([5]Brewhouse!$A$34:$A$41)</f>
        <v>8</v>
      </c>
      <c r="L51" s="302">
        <f>AVERAGE([5]Brewhouse!$AU$34:$AU$41)</f>
        <v>94.762610859726223</v>
      </c>
      <c r="M51" s="302">
        <f>AVERAGE([5]Brewhouse!$AU$16:$AU$23,[5]Brewhouse!$AU$25:$AU$32,[5]Brewhouse!$AU$34:$AU$41)</f>
        <v>97.131453825415363</v>
      </c>
      <c r="N51" s="30">
        <v>98</v>
      </c>
      <c r="O51" s="11"/>
      <c r="P51" s="31"/>
      <c r="R51" s="277">
        <f t="shared" si="10"/>
        <v>0</v>
      </c>
      <c r="S51" s="472" t="e">
        <f t="shared" si="1"/>
        <v>#N/A</v>
      </c>
      <c r="T51" s="472" t="e">
        <f t="shared" si="2"/>
        <v>#N/A</v>
      </c>
      <c r="U51" s="297" t="e">
        <f t="shared" si="3"/>
        <v>#N/A</v>
      </c>
      <c r="V51" s="297" t="e">
        <f t="shared" si="4"/>
        <v>#N/A</v>
      </c>
      <c r="W51" s="297" t="e">
        <f t="shared" si="5"/>
        <v>#N/A</v>
      </c>
      <c r="X51" s="297" t="e">
        <f t="shared" si="6"/>
        <v>#N/A</v>
      </c>
      <c r="Y51" s="297" t="e">
        <f t="shared" si="7"/>
        <v>#N/A</v>
      </c>
      <c r="Z51" s="472" t="e">
        <f t="shared" si="8"/>
        <v>#N/A</v>
      </c>
    </row>
    <row r="52" spans="1:27" ht="14.65" customHeight="1">
      <c r="A52" s="28"/>
      <c r="B52" s="585"/>
      <c r="C52" s="362">
        <v>17.5</v>
      </c>
      <c r="D52" s="524"/>
      <c r="E52" s="521"/>
      <c r="F52" s="294"/>
      <c r="G52" s="294"/>
      <c r="H52" s="348"/>
      <c r="I52" s="22" t="s">
        <v>33</v>
      </c>
      <c r="J52" s="280"/>
      <c r="K52" s="284">
        <f>COUNTA([6]Brewhouse!$A$38:$A$44)</f>
        <v>7</v>
      </c>
      <c r="L52" s="302">
        <f>AVERAGE([6]Brewhouse!$AV$38:$AV$44)</f>
        <v>96.929916494140343</v>
      </c>
      <c r="M52" s="302">
        <f>AVERAGE([6]Brewhouse!$AV$23:$AV$34,[6]Brewhouse!$AV$36,[6]Brewhouse!$AV$38:$AV$44)</f>
        <v>97.74055230745536</v>
      </c>
      <c r="N52" s="30">
        <v>98</v>
      </c>
      <c r="O52" s="11"/>
      <c r="P52" s="31"/>
      <c r="R52" s="277">
        <f t="shared" si="10"/>
        <v>0</v>
      </c>
      <c r="S52" s="472" t="e">
        <f t="shared" si="1"/>
        <v>#N/A</v>
      </c>
      <c r="T52" s="472" t="e">
        <f t="shared" si="2"/>
        <v>#N/A</v>
      </c>
      <c r="U52" s="297" t="e">
        <f t="shared" si="3"/>
        <v>#N/A</v>
      </c>
      <c r="V52" s="297" t="e">
        <f t="shared" si="4"/>
        <v>#N/A</v>
      </c>
      <c r="W52" s="297" t="e">
        <f t="shared" si="5"/>
        <v>#N/A</v>
      </c>
      <c r="X52" s="297" t="e">
        <f t="shared" si="6"/>
        <v>#N/A</v>
      </c>
      <c r="Y52" s="297" t="e">
        <f t="shared" si="7"/>
        <v>#N/A</v>
      </c>
      <c r="Z52" s="472" t="e">
        <f t="shared" si="8"/>
        <v>#N/A</v>
      </c>
    </row>
    <row r="53" spans="1:27" ht="14.65" customHeight="1">
      <c r="A53" s="28"/>
      <c r="B53" s="585"/>
      <c r="C53" s="362">
        <v>17.399999999999999</v>
      </c>
      <c r="D53" s="522">
        <v>17.75</v>
      </c>
      <c r="E53" s="523"/>
      <c r="F53" s="417"/>
      <c r="G53" s="294"/>
      <c r="H53" s="348"/>
      <c r="I53" s="35" t="s">
        <v>29</v>
      </c>
      <c r="J53" s="280"/>
      <c r="K53" s="284"/>
      <c r="L53" s="302"/>
      <c r="M53" s="302"/>
      <c r="N53" s="30">
        <v>98</v>
      </c>
      <c r="O53" s="11"/>
      <c r="P53" s="31"/>
      <c r="R53" s="277">
        <f t="shared" si="0"/>
        <v>0</v>
      </c>
      <c r="S53" s="472" t="e">
        <f t="shared" si="1"/>
        <v>#N/A</v>
      </c>
      <c r="T53" s="472" t="e">
        <f t="shared" si="2"/>
        <v>#N/A</v>
      </c>
      <c r="U53" s="297" t="e">
        <f t="shared" si="3"/>
        <v>#N/A</v>
      </c>
      <c r="V53" s="297" t="e">
        <f t="shared" si="4"/>
        <v>#N/A</v>
      </c>
      <c r="W53" s="297" t="e">
        <f t="shared" si="5"/>
        <v>#N/A</v>
      </c>
      <c r="X53" s="297" t="e">
        <f t="shared" si="6"/>
        <v>#N/A</v>
      </c>
      <c r="Y53" s="297" t="e">
        <f t="shared" si="7"/>
        <v>#N/A</v>
      </c>
      <c r="Z53" s="472" t="e">
        <f t="shared" si="8"/>
        <v>#N/A</v>
      </c>
    </row>
    <row r="54" spans="1:27" ht="14.65" customHeight="1">
      <c r="A54" s="28"/>
      <c r="B54" s="585"/>
      <c r="C54" s="362">
        <v>17.2</v>
      </c>
      <c r="D54" s="524"/>
      <c r="E54" s="521"/>
      <c r="F54" s="417"/>
      <c r="G54" s="294"/>
      <c r="H54" s="348"/>
      <c r="I54" s="36" t="s">
        <v>15</v>
      </c>
      <c r="J54" s="323"/>
      <c r="K54" s="284"/>
      <c r="L54" s="302"/>
      <c r="M54" s="302">
        <f>AVERAGE([7]Brewhouse!$AT$4:$AT$11)</f>
        <v>92.826224508052405</v>
      </c>
      <c r="N54" s="30">
        <v>98</v>
      </c>
      <c r="O54" s="11"/>
      <c r="P54" s="31"/>
      <c r="R54" s="277">
        <f t="shared" si="0"/>
        <v>0</v>
      </c>
      <c r="S54" s="472" t="e">
        <f t="shared" si="1"/>
        <v>#N/A</v>
      </c>
      <c r="T54" s="472" t="e">
        <f t="shared" si="2"/>
        <v>#N/A</v>
      </c>
      <c r="U54" s="297" t="e">
        <f t="shared" si="3"/>
        <v>#N/A</v>
      </c>
      <c r="V54" s="297" t="e">
        <f t="shared" si="4"/>
        <v>#N/A</v>
      </c>
      <c r="W54" s="297" t="e">
        <f t="shared" si="5"/>
        <v>#N/A</v>
      </c>
      <c r="X54" s="297" t="e">
        <f t="shared" si="6"/>
        <v>#N/A</v>
      </c>
      <c r="Y54" s="297" t="e">
        <f t="shared" si="7"/>
        <v>#N/A</v>
      </c>
      <c r="Z54" s="472" t="e">
        <f t="shared" si="8"/>
        <v>#N/A</v>
      </c>
      <c r="AA54" s="472"/>
    </row>
    <row r="55" spans="1:27" ht="14.65" customHeight="1">
      <c r="A55" s="28"/>
      <c r="B55" s="585"/>
      <c r="C55" s="362">
        <v>17.5</v>
      </c>
      <c r="D55" s="522">
        <v>17.61</v>
      </c>
      <c r="E55" s="523"/>
      <c r="F55" s="417"/>
      <c r="G55" s="294"/>
      <c r="H55" s="348"/>
      <c r="I55" s="37" t="s">
        <v>16</v>
      </c>
      <c r="J55" s="323"/>
      <c r="K55" s="284">
        <f>COUNTA([8]Brewhouse!$A$25:$A$32)</f>
        <v>8</v>
      </c>
      <c r="L55" s="302">
        <f>AVERAGE([8]Brewhouse!$AY$32)</f>
        <v>97.452144425843485</v>
      </c>
      <c r="M55" s="302">
        <f>AVERAGE([8]Brewhouse!$AY$5:$AY$14,[8]Brewhouse!$AY$16:$AY$23,[8]Brewhouse!$AY$32)</f>
        <v>97.301958816242518</v>
      </c>
      <c r="N55" s="30">
        <v>98</v>
      </c>
      <c r="O55" s="11"/>
      <c r="P55" s="31" t="s">
        <v>41</v>
      </c>
      <c r="R55" s="277">
        <f t="shared" si="0"/>
        <v>0</v>
      </c>
      <c r="S55" s="472" t="e">
        <f t="shared" si="1"/>
        <v>#N/A</v>
      </c>
      <c r="T55" s="472" t="e">
        <f t="shared" si="2"/>
        <v>#N/A</v>
      </c>
      <c r="U55" s="297" t="e">
        <f t="shared" si="3"/>
        <v>#N/A</v>
      </c>
      <c r="V55" s="297" t="e">
        <f t="shared" si="4"/>
        <v>#N/A</v>
      </c>
      <c r="W55" s="297" t="e">
        <f t="shared" si="5"/>
        <v>#N/A</v>
      </c>
      <c r="X55" s="297" t="e">
        <f t="shared" si="6"/>
        <v>#N/A</v>
      </c>
      <c r="Y55" s="297" t="e">
        <f t="shared" si="7"/>
        <v>#N/A</v>
      </c>
      <c r="Z55" s="472" t="e">
        <f t="shared" si="8"/>
        <v>#N/A</v>
      </c>
      <c r="AA55" s="472"/>
    </row>
    <row r="56" spans="1:27" ht="14.65" customHeight="1">
      <c r="A56" s="28"/>
      <c r="B56" s="585"/>
      <c r="C56" s="362">
        <v>17.600000000000001</v>
      </c>
      <c r="D56" s="524"/>
      <c r="E56" s="521"/>
      <c r="F56" s="294"/>
      <c r="G56" s="294"/>
      <c r="H56" s="348"/>
      <c r="I56" s="411" t="s">
        <v>158</v>
      </c>
      <c r="J56" s="326"/>
      <c r="K56" s="284"/>
      <c r="L56" s="305"/>
      <c r="M56" s="305"/>
      <c r="N56" s="30">
        <v>98</v>
      </c>
      <c r="O56" s="11"/>
      <c r="P56" s="31"/>
      <c r="R56" s="277">
        <f t="shared" si="0"/>
        <v>0</v>
      </c>
      <c r="S56" s="472" t="e">
        <f t="shared" si="1"/>
        <v>#N/A</v>
      </c>
      <c r="T56" s="472" t="e">
        <f t="shared" si="2"/>
        <v>#N/A</v>
      </c>
      <c r="U56" s="297" t="e">
        <f t="shared" si="3"/>
        <v>#N/A</v>
      </c>
      <c r="V56" s="297" t="e">
        <f t="shared" si="4"/>
        <v>#N/A</v>
      </c>
      <c r="W56" s="297" t="e">
        <f t="shared" si="5"/>
        <v>#N/A</v>
      </c>
      <c r="X56" s="297" t="e">
        <f t="shared" si="6"/>
        <v>#N/A</v>
      </c>
      <c r="Y56" s="297" t="e">
        <f t="shared" si="7"/>
        <v>#N/A</v>
      </c>
      <c r="Z56" s="472" t="e">
        <f t="shared" si="8"/>
        <v>#N/A</v>
      </c>
      <c r="AA56" s="472"/>
    </row>
    <row r="57" spans="1:27" ht="14.65" customHeight="1">
      <c r="A57" s="28"/>
      <c r="B57" s="585"/>
      <c r="C57" s="349"/>
      <c r="D57" s="522"/>
      <c r="E57" s="523"/>
      <c r="F57" s="294"/>
      <c r="G57" s="294"/>
      <c r="H57" s="348"/>
      <c r="I57" s="410" t="s">
        <v>157</v>
      </c>
      <c r="J57" s="326"/>
      <c r="K57" s="284"/>
      <c r="L57" s="305"/>
      <c r="M57" s="305"/>
      <c r="N57" s="30">
        <v>98</v>
      </c>
      <c r="O57" s="11"/>
      <c r="P57" s="31"/>
      <c r="R57" s="277">
        <f t="shared" si="0"/>
        <v>0</v>
      </c>
      <c r="S57" s="472" t="e">
        <f t="shared" si="1"/>
        <v>#N/A</v>
      </c>
      <c r="T57" s="472" t="e">
        <f t="shared" si="2"/>
        <v>#N/A</v>
      </c>
      <c r="U57" s="297" t="e">
        <f t="shared" si="3"/>
        <v>#N/A</v>
      </c>
      <c r="V57" s="297" t="e">
        <f t="shared" si="4"/>
        <v>#N/A</v>
      </c>
      <c r="W57" s="297" t="e">
        <f t="shared" si="5"/>
        <v>#N/A</v>
      </c>
      <c r="X57" s="297" t="e">
        <f t="shared" si="6"/>
        <v>#N/A</v>
      </c>
      <c r="Y57" s="297" t="e">
        <f t="shared" si="7"/>
        <v>#N/A</v>
      </c>
      <c r="Z57" s="472" t="e">
        <f t="shared" si="8"/>
        <v>#N/A</v>
      </c>
      <c r="AA57" s="472"/>
    </row>
    <row r="58" spans="1:27" ht="15" customHeight="1" thickBot="1">
      <c r="A58" s="28"/>
      <c r="B58" s="585"/>
      <c r="C58" s="349"/>
      <c r="D58" s="524"/>
      <c r="E58" s="521"/>
      <c r="F58" s="294"/>
      <c r="G58" s="294"/>
      <c r="H58" s="348"/>
      <c r="I58" s="406" t="s">
        <v>156</v>
      </c>
      <c r="J58" s="327"/>
      <c r="K58" s="407"/>
      <c r="L58" s="408"/>
      <c r="M58" s="408"/>
      <c r="N58" s="409">
        <v>98</v>
      </c>
      <c r="O58" s="11"/>
      <c r="P58" s="31"/>
      <c r="R58" s="277">
        <f t="shared" si="0"/>
        <v>0</v>
      </c>
      <c r="S58" s="472" t="e">
        <f t="shared" si="1"/>
        <v>#N/A</v>
      </c>
      <c r="T58" s="472" t="e">
        <f t="shared" si="2"/>
        <v>#N/A</v>
      </c>
      <c r="U58" s="297" t="e">
        <f t="shared" si="3"/>
        <v>#N/A</v>
      </c>
      <c r="V58" s="297" t="e">
        <f t="shared" si="4"/>
        <v>#N/A</v>
      </c>
      <c r="W58" s="297" t="e">
        <f t="shared" si="5"/>
        <v>#N/A</v>
      </c>
      <c r="X58" s="297" t="e">
        <f t="shared" si="6"/>
        <v>#N/A</v>
      </c>
      <c r="Y58" s="297" t="e">
        <f t="shared" si="7"/>
        <v>#N/A</v>
      </c>
      <c r="Z58" s="472" t="e">
        <f t="shared" si="8"/>
        <v>#N/A</v>
      </c>
      <c r="AA58" s="472"/>
    </row>
    <row r="59" spans="1:27" ht="15" customHeight="1" thickBot="1">
      <c r="A59" s="28"/>
      <c r="B59" s="585"/>
      <c r="C59" s="349"/>
      <c r="D59" s="518"/>
      <c r="E59" s="519"/>
      <c r="F59" s="294"/>
      <c r="G59" s="294"/>
      <c r="H59" s="348"/>
      <c r="I59" s="1"/>
      <c r="J59" s="39"/>
      <c r="K59" s="404">
        <f>SUM(K49:K58)</f>
        <v>97</v>
      </c>
      <c r="L59" s="405">
        <f>((L49*K49)+(L50*K50)+(L51*K51)+(L52*K52)+(L53*K53)+(K56*L56)+(L54*K54)+(L55*K55)+(L58*K58))/(K59)</f>
        <v>97.744887469185315</v>
      </c>
      <c r="M59" s="405">
        <f>AVERAGE('[9]Jan30th-31st'!$L$42,L59)</f>
        <v>97.786464602513391</v>
      </c>
      <c r="N59" s="40">
        <v>98</v>
      </c>
      <c r="O59" s="11"/>
      <c r="P59" s="31"/>
      <c r="R59" s="277">
        <f t="shared" si="0"/>
        <v>0</v>
      </c>
      <c r="S59" s="472" t="e">
        <f t="shared" si="1"/>
        <v>#N/A</v>
      </c>
      <c r="T59" s="472" t="e">
        <f t="shared" si="2"/>
        <v>#N/A</v>
      </c>
      <c r="U59" s="297" t="e">
        <f t="shared" si="3"/>
        <v>#N/A</v>
      </c>
      <c r="V59" s="297" t="e">
        <f t="shared" si="4"/>
        <v>#N/A</v>
      </c>
      <c r="W59" s="297" t="e">
        <f t="shared" si="5"/>
        <v>#N/A</v>
      </c>
      <c r="X59" s="297" t="e">
        <f t="shared" si="6"/>
        <v>#N/A</v>
      </c>
      <c r="Y59" s="297" t="e">
        <f t="shared" si="7"/>
        <v>#N/A</v>
      </c>
      <c r="Z59" s="472" t="e">
        <f t="shared" si="8"/>
        <v>#N/A</v>
      </c>
      <c r="AA59" s="472"/>
    </row>
    <row r="60" spans="1:27" ht="15.75" thickBot="1">
      <c r="B60" s="586"/>
      <c r="C60" s="350"/>
      <c r="D60" s="520"/>
      <c r="E60" s="521"/>
      <c r="F60" s="294"/>
      <c r="G60" s="42"/>
      <c r="H60" s="41"/>
      <c r="I60" s="42"/>
      <c r="J60" s="42"/>
      <c r="K60" s="351"/>
      <c r="L60" s="348"/>
      <c r="M60" s="348"/>
      <c r="N60" s="11"/>
      <c r="O60" s="294"/>
      <c r="P60" s="12"/>
      <c r="R60" s="277">
        <f t="shared" si="0"/>
        <v>0</v>
      </c>
      <c r="S60" s="472" t="e">
        <f t="shared" si="1"/>
        <v>#N/A</v>
      </c>
      <c r="T60" s="472" t="e">
        <f t="shared" si="2"/>
        <v>#N/A</v>
      </c>
      <c r="U60" s="297" t="e">
        <f t="shared" si="3"/>
        <v>#N/A</v>
      </c>
      <c r="V60" s="297" t="e">
        <f t="shared" si="4"/>
        <v>#N/A</v>
      </c>
      <c r="W60" s="297" t="e">
        <f t="shared" si="5"/>
        <v>#N/A</v>
      </c>
      <c r="X60" s="297" t="e">
        <f t="shared" si="6"/>
        <v>#N/A</v>
      </c>
      <c r="Y60" s="297" t="e">
        <f t="shared" si="7"/>
        <v>#N/A</v>
      </c>
      <c r="Z60" s="472" t="e">
        <f t="shared" si="8"/>
        <v>#N/A</v>
      </c>
      <c r="AA60" s="472"/>
    </row>
    <row r="61" spans="1:27" ht="15.75" thickBot="1">
      <c r="B61" s="525"/>
      <c r="C61" s="362"/>
      <c r="D61" s="528"/>
      <c r="E61" s="529"/>
      <c r="F61" s="294"/>
      <c r="G61" s="42"/>
      <c r="H61" s="41"/>
      <c r="I61" s="42"/>
      <c r="J61" s="530" t="s">
        <v>129</v>
      </c>
      <c r="K61" s="530"/>
      <c r="L61" s="294"/>
      <c r="M61" s="294"/>
      <c r="N61" s="294"/>
      <c r="O61" s="294"/>
      <c r="P61" s="12"/>
    </row>
    <row r="62" spans="1:27" ht="15.75" thickBot="1">
      <c r="B62" s="526"/>
      <c r="C62" s="362"/>
      <c r="D62" s="524"/>
      <c r="E62" s="521"/>
      <c r="F62" s="294"/>
      <c r="G62" s="42"/>
      <c r="H62" s="41"/>
      <c r="I62" s="293" t="s">
        <v>187</v>
      </c>
      <c r="J62" s="293" t="s">
        <v>188</v>
      </c>
      <c r="K62" s="293" t="s">
        <v>189</v>
      </c>
      <c r="L62" s="531" t="s">
        <v>136</v>
      </c>
      <c r="M62" s="531"/>
      <c r="N62" s="532"/>
      <c r="O62" s="294"/>
      <c r="P62" s="12"/>
    </row>
    <row r="63" spans="1:27" ht="15" customHeight="1" thickBot="1">
      <c r="B63" s="526"/>
      <c r="C63" s="349"/>
      <c r="D63" s="522"/>
      <c r="E63" s="523"/>
      <c r="F63" s="294"/>
      <c r="G63" s="42"/>
      <c r="H63" s="287" t="s">
        <v>6</v>
      </c>
      <c r="I63" s="324">
        <v>10</v>
      </c>
      <c r="J63" s="324">
        <v>3</v>
      </c>
      <c r="K63" s="324">
        <v>2</v>
      </c>
      <c r="L63" s="473" t="s">
        <v>37</v>
      </c>
      <c r="M63" s="474" t="s">
        <v>38</v>
      </c>
      <c r="N63" s="474" t="s">
        <v>84</v>
      </c>
      <c r="O63" s="294"/>
      <c r="P63" s="12"/>
    </row>
    <row r="64" spans="1:27" ht="15.75" customHeight="1" thickBot="1">
      <c r="B64" s="526"/>
      <c r="C64" s="349"/>
      <c r="D64" s="524"/>
      <c r="E64" s="521"/>
      <c r="F64" s="294"/>
      <c r="G64" s="42"/>
      <c r="H64" s="345" t="s">
        <v>9</v>
      </c>
      <c r="I64" s="324"/>
      <c r="J64" s="324">
        <v>6</v>
      </c>
      <c r="K64" s="324"/>
      <c r="L64" s="344">
        <f>AVERAGE(K73,'Mar 2nd'!K49,'Mar 1st'!K55,'Mar 3rd'!K49,'Mar 4th'!K51,'Mar 5th'!K52,'Mar 6th '!K49,'Mar 9th'!K53,'Mar 10th'!K47,'Mar 11th'!K50,'Mar 12th'!K51,J73,I73)</f>
        <v>7.4615384615384617</v>
      </c>
      <c r="M64" s="325">
        <f>AVERAGE('[9]Jan30th-31st'!$L$47,L64,'[10]Feb 26th '!$L$39)</f>
        <v>6.5494983277591983</v>
      </c>
      <c r="N64" s="416">
        <v>9.1999999999999993</v>
      </c>
      <c r="O64" s="294"/>
      <c r="P64" s="12"/>
    </row>
    <row r="65" spans="1:57" ht="15" customHeight="1">
      <c r="B65" s="526"/>
      <c r="C65" s="349"/>
      <c r="D65" s="522"/>
      <c r="E65" s="523"/>
      <c r="F65" s="294"/>
      <c r="G65" s="42"/>
      <c r="H65" s="288" t="s">
        <v>40</v>
      </c>
      <c r="I65" s="324"/>
      <c r="J65" s="324"/>
      <c r="K65" s="324"/>
      <c r="L65" s="294"/>
      <c r="M65" s="294"/>
      <c r="N65" s="294"/>
      <c r="O65" s="294"/>
      <c r="P65" s="12"/>
    </row>
    <row r="66" spans="1:57" ht="15" customHeight="1">
      <c r="B66" s="526"/>
      <c r="C66" s="349"/>
      <c r="D66" s="524"/>
      <c r="E66" s="521"/>
      <c r="F66" s="294"/>
      <c r="G66" s="42"/>
      <c r="H66" s="289" t="s">
        <v>33</v>
      </c>
      <c r="I66" s="324"/>
      <c r="J66" s="324"/>
      <c r="K66" s="324"/>
      <c r="L66" s="294"/>
      <c r="M66" s="294"/>
      <c r="N66" s="294"/>
      <c r="O66" s="294"/>
      <c r="P66" s="12"/>
    </row>
    <row r="67" spans="1:57" ht="15">
      <c r="B67" s="526"/>
      <c r="C67" s="349"/>
      <c r="D67" s="522"/>
      <c r="E67" s="523"/>
      <c r="F67" s="294"/>
      <c r="G67" s="42"/>
      <c r="H67" s="290" t="s">
        <v>16</v>
      </c>
      <c r="I67" s="324"/>
      <c r="J67" s="324"/>
      <c r="K67" s="324"/>
      <c r="L67" s="294"/>
      <c r="M67" s="294"/>
      <c r="N67" s="294"/>
      <c r="O67" s="294"/>
      <c r="P67" s="12"/>
      <c r="BC67" s="44"/>
      <c r="BD67" s="44"/>
    </row>
    <row r="68" spans="1:57" ht="15">
      <c r="B68" s="526"/>
      <c r="C68" s="349"/>
      <c r="D68" s="524"/>
      <c r="E68" s="521"/>
      <c r="F68" s="294"/>
      <c r="G68" s="42"/>
      <c r="H68" s="291" t="s">
        <v>15</v>
      </c>
      <c r="I68" s="324"/>
      <c r="J68" s="324"/>
      <c r="K68" s="324"/>
      <c r="L68" s="294"/>
      <c r="M68" s="294"/>
      <c r="N68" s="294"/>
      <c r="O68" s="294"/>
      <c r="P68" s="12"/>
      <c r="BC68" s="44"/>
      <c r="BD68" s="44"/>
    </row>
    <row r="69" spans="1:57" ht="15">
      <c r="B69" s="526"/>
      <c r="C69" s="349"/>
      <c r="D69" s="522"/>
      <c r="E69" s="523"/>
      <c r="F69" s="294"/>
      <c r="G69" s="42"/>
      <c r="H69" s="291" t="s">
        <v>149</v>
      </c>
      <c r="I69" s="324"/>
      <c r="J69" s="324"/>
      <c r="K69" s="324"/>
      <c r="L69" s="294"/>
      <c r="M69" s="294"/>
      <c r="N69" s="294"/>
      <c r="O69" s="294"/>
      <c r="P69" s="12"/>
      <c r="BC69" s="44"/>
      <c r="BD69" s="44"/>
    </row>
    <row r="70" spans="1:57" ht="15.75" thickBot="1">
      <c r="B70" s="527"/>
      <c r="C70" s="350"/>
      <c r="D70" s="533"/>
      <c r="E70" s="534"/>
      <c r="F70" s="294" t="s">
        <v>166</v>
      </c>
      <c r="G70" s="42"/>
      <c r="H70" s="291" t="s">
        <v>148</v>
      </c>
      <c r="I70" s="324"/>
      <c r="J70" s="324"/>
      <c r="K70" s="324"/>
      <c r="L70" s="294"/>
      <c r="M70" s="294"/>
      <c r="N70" s="294" t="s">
        <v>41</v>
      </c>
      <c r="O70" s="294"/>
      <c r="P70" s="12"/>
      <c r="BC70" s="44"/>
      <c r="BD70" s="44"/>
    </row>
    <row r="71" spans="1:57" ht="17.649999999999999" customHeight="1" thickBot="1">
      <c r="B71" s="312" t="s">
        <v>139</v>
      </c>
      <c r="C71" s="313"/>
      <c r="D71" s="535"/>
      <c r="E71" s="536"/>
      <c r="F71" s="294"/>
      <c r="H71" s="295" t="s">
        <v>134</v>
      </c>
      <c r="I71" s="324"/>
      <c r="J71" s="324"/>
      <c r="K71" s="324"/>
      <c r="L71" s="294"/>
      <c r="M71" s="294"/>
      <c r="N71" s="294"/>
      <c r="O71" s="294"/>
      <c r="P71" s="12"/>
      <c r="BC71" s="44"/>
      <c r="BD71" s="44"/>
    </row>
    <row r="72" spans="1:57" ht="17.649999999999999" customHeight="1">
      <c r="B72" s="363"/>
      <c r="C72" s="364"/>
      <c r="D72" s="365"/>
      <c r="E72" s="365"/>
      <c r="F72" s="294"/>
      <c r="G72" s="42"/>
      <c r="H72" s="295" t="s">
        <v>131</v>
      </c>
      <c r="I72" s="324"/>
      <c r="J72" s="324"/>
      <c r="K72" s="324"/>
      <c r="L72" s="294"/>
      <c r="M72" s="294"/>
      <c r="N72" s="294"/>
      <c r="O72" s="294"/>
      <c r="P72" s="12"/>
      <c r="BC72" s="44"/>
      <c r="BD72" s="44"/>
    </row>
    <row r="73" spans="1:57" ht="15.6" customHeight="1">
      <c r="B73" s="45"/>
      <c r="C73" s="11"/>
      <c r="D73" s="11"/>
      <c r="E73" s="46"/>
      <c r="F73" s="294"/>
      <c r="G73" s="42"/>
      <c r="H73" s="346" t="s">
        <v>130</v>
      </c>
      <c r="I73" s="324">
        <f t="shared" ref="I73:J73" si="11">SUM(I63:I72)</f>
        <v>10</v>
      </c>
      <c r="J73" s="324">
        <f t="shared" si="11"/>
        <v>9</v>
      </c>
      <c r="K73" s="324">
        <f>SUM(K63:K72)</f>
        <v>2</v>
      </c>
      <c r="L73" s="294"/>
      <c r="M73" s="294"/>
      <c r="N73" s="294"/>
      <c r="O73" s="294"/>
      <c r="P73" s="12"/>
    </row>
    <row r="74" spans="1:57" ht="20.25" customHeight="1">
      <c r="B74" s="15" t="s">
        <v>42</v>
      </c>
      <c r="C74" s="1" t="s">
        <v>43</v>
      </c>
      <c r="D74" s="1"/>
      <c r="E74" s="1"/>
      <c r="F74" s="294"/>
      <c r="G74" s="42"/>
      <c r="H74" s="41"/>
      <c r="I74" s="42"/>
      <c r="L74" s="294"/>
      <c r="N74" s="315"/>
      <c r="P74" s="334"/>
    </row>
    <row r="75" spans="1:57" ht="15" customHeight="1" thickBot="1"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1"/>
      <c r="O75" s="48"/>
      <c r="P75" s="49"/>
    </row>
    <row r="76" spans="1:57" ht="15" customHeight="1" thickBot="1">
      <c r="B76" s="537" t="s">
        <v>17</v>
      </c>
      <c r="C76" s="537" t="s">
        <v>44</v>
      </c>
      <c r="D76" s="540" t="s">
        <v>45</v>
      </c>
      <c r="E76" s="501" t="s">
        <v>46</v>
      </c>
      <c r="F76" s="510" t="s">
        <v>47</v>
      </c>
      <c r="G76" s="549" t="s">
        <v>48</v>
      </c>
      <c r="H76" s="537" t="s">
        <v>49</v>
      </c>
      <c r="I76" s="537" t="s">
        <v>50</v>
      </c>
      <c r="J76" s="543" t="s">
        <v>28</v>
      </c>
      <c r="K76" s="499" t="s">
        <v>51</v>
      </c>
      <c r="L76" s="552" t="s">
        <v>52</v>
      </c>
      <c r="M76" s="543" t="s">
        <v>53</v>
      </c>
      <c r="N76" s="13"/>
      <c r="O76" s="13"/>
      <c r="P76" s="50"/>
    </row>
    <row r="77" spans="1:57" ht="28.5" customHeight="1" thickTop="1" thickBot="1">
      <c r="B77" s="538"/>
      <c r="C77" s="539"/>
      <c r="D77" s="541"/>
      <c r="E77" s="542"/>
      <c r="F77" s="554"/>
      <c r="G77" s="550"/>
      <c r="H77" s="538"/>
      <c r="I77" s="538"/>
      <c r="J77" s="544"/>
      <c r="K77" s="551"/>
      <c r="L77" s="553"/>
      <c r="M77" s="544"/>
      <c r="N77" s="13"/>
      <c r="O77" s="13"/>
      <c r="P77" s="50"/>
      <c r="Q77" s="355"/>
      <c r="AB77" s="475">
        <v>43474</v>
      </c>
      <c r="AC77" s="475">
        <v>43475</v>
      </c>
      <c r="AD77" s="475">
        <v>43476</v>
      </c>
      <c r="AE77" s="475">
        <v>43477</v>
      </c>
      <c r="AF77" s="475">
        <v>43478</v>
      </c>
      <c r="AG77" s="475">
        <v>43479</v>
      </c>
      <c r="AH77" s="475">
        <v>43480</v>
      </c>
      <c r="AI77" s="475">
        <v>43481</v>
      </c>
      <c r="AJ77" s="475">
        <v>43482</v>
      </c>
      <c r="AK77" s="475">
        <v>43483</v>
      </c>
      <c r="AL77" s="475">
        <v>43484</v>
      </c>
      <c r="AM77" s="475">
        <v>43485</v>
      </c>
      <c r="AN77" s="475">
        <v>43486</v>
      </c>
      <c r="AO77" s="475">
        <v>43487</v>
      </c>
      <c r="AP77" s="475">
        <v>43488</v>
      </c>
      <c r="AQ77" s="475">
        <v>43489</v>
      </c>
      <c r="AR77" s="475">
        <v>43490</v>
      </c>
      <c r="AS77" s="475">
        <v>43491</v>
      </c>
      <c r="AT77" s="475">
        <v>43492</v>
      </c>
      <c r="AU77" s="475">
        <v>43493</v>
      </c>
      <c r="AV77" s="475">
        <v>43494</v>
      </c>
      <c r="AW77" s="475">
        <v>43495</v>
      </c>
      <c r="AX77" s="475">
        <v>43496</v>
      </c>
    </row>
    <row r="78" spans="1:57" s="54" customFormat="1" ht="36.75" customHeight="1" thickBot="1">
      <c r="B78" s="486" t="str">
        <f>I51</f>
        <v>GUINNESS</v>
      </c>
      <c r="C78" s="479">
        <v>46094</v>
      </c>
      <c r="D78" s="442">
        <f>[11]March_2026!$P$23</f>
        <v>398.8</v>
      </c>
      <c r="E78" s="443"/>
      <c r="F78" s="444"/>
      <c r="G78" s="445">
        <f>[11]March_2026!$P$28</f>
        <v>366.7</v>
      </c>
      <c r="H78" s="458"/>
      <c r="I78" s="458"/>
      <c r="J78" s="448" t="s">
        <v>186</v>
      </c>
      <c r="K78" s="449">
        <f>[13]March_2026!$P$32</f>
        <v>0.32166666666666666</v>
      </c>
      <c r="L78" s="457">
        <f>(((D78+E78)-G78)/(D78+E78))*100</f>
        <v>8.0491474423269871</v>
      </c>
      <c r="M78" s="490"/>
      <c r="N78" s="13"/>
      <c r="O78" s="13"/>
      <c r="P78" s="50"/>
      <c r="R78" s="275"/>
      <c r="S78" s="275"/>
      <c r="T78" s="275"/>
      <c r="U78" s="275"/>
      <c r="V78" s="275"/>
      <c r="W78" s="275"/>
      <c r="X78" s="275"/>
      <c r="Y78" s="275"/>
      <c r="Z78" s="275"/>
      <c r="AA78" s="275"/>
      <c r="AB78" s="57">
        <f>[14]January_2019!L5</f>
        <v>0</v>
      </c>
      <c r="AC78" s="57">
        <f>[14]January_2019!M5</f>
        <v>0</v>
      </c>
      <c r="AD78" s="57">
        <f>[14]January_2019!N5</f>
        <v>0</v>
      </c>
      <c r="AE78" s="57">
        <f>[14]January_2019!O5</f>
        <v>0</v>
      </c>
      <c r="AF78" s="57">
        <f>[14]January_2019!P5</f>
        <v>0</v>
      </c>
      <c r="AG78" s="57">
        <f>[14]January_2019!Q5</f>
        <v>0</v>
      </c>
      <c r="AH78" s="57">
        <f>[14]January_2019!R5</f>
        <v>0</v>
      </c>
      <c r="AI78" s="57">
        <f>[14]January_2019!S5</f>
        <v>0</v>
      </c>
      <c r="AJ78" s="57">
        <f>[14]January_2019!T5</f>
        <v>0</v>
      </c>
      <c r="AK78" s="57">
        <f>[14]January_2019!U5</f>
        <v>0</v>
      </c>
      <c r="AL78" s="57">
        <f>[14]January_2019!V5</f>
        <v>0</v>
      </c>
      <c r="AM78" s="57">
        <f>[14]January_2019!W5</f>
        <v>0</v>
      </c>
      <c r="AN78" s="57">
        <f>[14]January_2019!X5</f>
        <v>0</v>
      </c>
      <c r="AO78" s="57">
        <f>[14]January_2019!Y5</f>
        <v>0</v>
      </c>
      <c r="AP78" s="57">
        <f>[14]January_2019!Z5</f>
        <v>0</v>
      </c>
      <c r="AQ78" s="57">
        <f>[14]January_2019!AA5</f>
        <v>0</v>
      </c>
      <c r="AR78" s="57">
        <f>[14]January_2019!AB5</f>
        <v>0</v>
      </c>
      <c r="AS78" s="57">
        <f>[14]January_2019!AC5</f>
        <v>0</v>
      </c>
      <c r="AT78" s="57">
        <f>[14]January_2019!AD5</f>
        <v>0</v>
      </c>
      <c r="AU78" s="57">
        <f>[14]January_2019!AE5</f>
        <v>0</v>
      </c>
      <c r="AV78" s="57">
        <f>[14]January_2019!AF5</f>
        <v>0</v>
      </c>
      <c r="AW78" s="57">
        <f>[14]January_2019!AG5</f>
        <v>0</v>
      </c>
      <c r="AX78" s="277">
        <f>[14]January_2019!AH5</f>
        <v>0</v>
      </c>
      <c r="AY78" s="277"/>
      <c r="AZ78" s="277"/>
      <c r="BA78" s="277"/>
      <c r="BB78" s="277"/>
      <c r="BC78" s="277"/>
      <c r="BD78" s="277"/>
      <c r="BE78" s="277"/>
    </row>
    <row r="79" spans="1:57" s="54" customFormat="1" ht="14.25" customHeight="1" thickBot="1">
      <c r="B79" s="480"/>
      <c r="C79" s="479"/>
      <c r="D79" s="442"/>
      <c r="E79" s="443"/>
      <c r="F79" s="444"/>
      <c r="G79" s="445"/>
      <c r="H79" s="458"/>
      <c r="I79" s="458"/>
      <c r="J79" s="476"/>
      <c r="K79" s="449"/>
      <c r="L79" s="457"/>
      <c r="M79" s="455"/>
      <c r="N79" s="13"/>
      <c r="O79" s="13"/>
      <c r="P79" s="50"/>
      <c r="R79" s="275"/>
      <c r="S79" s="275"/>
      <c r="T79" s="275"/>
      <c r="U79" s="275"/>
      <c r="V79" s="275"/>
      <c r="W79" s="275"/>
      <c r="X79" s="275"/>
      <c r="Y79" s="275"/>
      <c r="Z79" s="275"/>
      <c r="AA79" s="275"/>
      <c r="AB79" s="57">
        <f>[14]January_2019!L6</f>
        <v>0</v>
      </c>
      <c r="AC79" s="57">
        <f>[14]January_2019!M6</f>
        <v>0</v>
      </c>
      <c r="AD79" s="57">
        <f>[14]January_2019!N6</f>
        <v>0</v>
      </c>
      <c r="AE79" s="57">
        <f>[14]January_2019!O6</f>
        <v>0</v>
      </c>
      <c r="AF79" s="57">
        <f>[14]January_2019!P6</f>
        <v>0</v>
      </c>
      <c r="AG79" s="57">
        <f>[14]January_2019!Q6</f>
        <v>0</v>
      </c>
      <c r="AH79" s="57">
        <f>[14]January_2019!R6</f>
        <v>0</v>
      </c>
      <c r="AI79" s="57">
        <f>[14]January_2019!S6</f>
        <v>0</v>
      </c>
      <c r="AJ79" s="57">
        <f>[14]January_2019!T6</f>
        <v>0</v>
      </c>
      <c r="AK79" s="57">
        <f>[14]January_2019!U6</f>
        <v>0</v>
      </c>
      <c r="AL79" s="57">
        <f>[14]January_2019!V6</f>
        <v>0</v>
      </c>
      <c r="AM79" s="57">
        <f>[14]January_2019!W6</f>
        <v>0</v>
      </c>
      <c r="AN79" s="57">
        <f>[14]January_2019!X6</f>
        <v>0</v>
      </c>
      <c r="AO79" s="57">
        <f>[14]January_2019!Y6</f>
        <v>0</v>
      </c>
      <c r="AP79" s="57">
        <f>[14]January_2019!Z6</f>
        <v>0</v>
      </c>
      <c r="AQ79" s="57">
        <f>[14]January_2019!AA6</f>
        <v>0</v>
      </c>
      <c r="AR79" s="57">
        <f>[14]January_2019!AB6</f>
        <v>0</v>
      </c>
      <c r="AS79" s="57">
        <f>[14]January_2019!AC6</f>
        <v>0</v>
      </c>
      <c r="AT79" s="57">
        <f>[14]January_2019!AD6</f>
        <v>0</v>
      </c>
      <c r="AU79" s="57">
        <f>[14]January_2019!AE6</f>
        <v>0</v>
      </c>
      <c r="AV79" s="57">
        <f>[14]January_2019!AF6</f>
        <v>0</v>
      </c>
      <c r="AW79" s="57">
        <f>[14]January_2019!AG6</f>
        <v>0</v>
      </c>
      <c r="AX79" s="277">
        <f>[14]January_2019!AH6</f>
        <v>0</v>
      </c>
      <c r="AY79" s="277"/>
      <c r="AZ79" s="277"/>
      <c r="BA79" s="277"/>
      <c r="BB79" s="277"/>
      <c r="BC79" s="277"/>
      <c r="BD79" s="277"/>
      <c r="BE79" s="277"/>
    </row>
    <row r="80" spans="1:57" s="54" customFormat="1" ht="37.15" hidden="1" customHeight="1" thickBot="1">
      <c r="A80" s="54" t="s">
        <v>168</v>
      </c>
      <c r="B80" s="480"/>
      <c r="C80" s="479"/>
      <c r="D80" s="442"/>
      <c r="E80" s="443"/>
      <c r="F80" s="444"/>
      <c r="G80" s="445"/>
      <c r="H80" s="458"/>
      <c r="I80" s="458"/>
      <c r="J80" s="448"/>
      <c r="K80" s="449"/>
      <c r="L80" s="457"/>
      <c r="M80" s="455"/>
      <c r="N80" s="13"/>
      <c r="O80" s="13"/>
      <c r="P80" s="50"/>
      <c r="R80" s="275"/>
      <c r="S80" s="275"/>
      <c r="T80" s="275"/>
      <c r="U80" s="275"/>
      <c r="V80" s="275"/>
      <c r="W80" s="275"/>
      <c r="X80" s="275"/>
      <c r="Y80" s="275"/>
      <c r="Z80" s="275"/>
      <c r="AA80" s="275"/>
      <c r="AB80" s="57">
        <f>[14]January_2019!L7</f>
        <v>285.8</v>
      </c>
      <c r="AC80" s="57">
        <f>[14]January_2019!M7</f>
        <v>508.1</v>
      </c>
      <c r="AD80" s="57">
        <f>[14]January_2019!N7</f>
        <v>0</v>
      </c>
      <c r="AE80" s="57">
        <f>[14]January_2019!O7</f>
        <v>0</v>
      </c>
      <c r="AF80" s="57">
        <f>[14]January_2019!P7</f>
        <v>109.56666666666666</v>
      </c>
      <c r="AG80" s="57">
        <f>[14]January_2019!Q7</f>
        <v>297.64999999999998</v>
      </c>
      <c r="AH80" s="57">
        <f>[14]January_2019!R7</f>
        <v>122.3</v>
      </c>
      <c r="AI80" s="57">
        <f>[14]January_2019!S7</f>
        <v>0</v>
      </c>
      <c r="AJ80" s="57">
        <f>[14]January_2019!T7</f>
        <v>294.7</v>
      </c>
      <c r="AK80" s="57">
        <f>[14]January_2019!U7</f>
        <v>280.5</v>
      </c>
      <c r="AL80" s="57">
        <f>[14]January_2019!V7</f>
        <v>0</v>
      </c>
      <c r="AM80" s="57">
        <f>[14]January_2019!W7</f>
        <v>0</v>
      </c>
      <c r="AN80" s="57">
        <f>[14]January_2019!X7</f>
        <v>188.25</v>
      </c>
      <c r="AO80" s="57">
        <f>[14]January_2019!Y7</f>
        <v>295.7</v>
      </c>
      <c r="AP80" s="57">
        <f>[14]January_2019!Z7</f>
        <v>257.8</v>
      </c>
      <c r="AQ80" s="57">
        <f>[14]January_2019!AA7</f>
        <v>291.2</v>
      </c>
      <c r="AR80" s="57">
        <f>[14]January_2019!AB7</f>
        <v>187</v>
      </c>
      <c r="AS80" s="57">
        <f>[14]January_2019!AC7</f>
        <v>0</v>
      </c>
      <c r="AT80" s="57">
        <f>[14]January_2019!AD7</f>
        <v>0</v>
      </c>
      <c r="AU80" s="57">
        <f>[14]January_2019!AE7</f>
        <v>485.1</v>
      </c>
      <c r="AV80" s="57">
        <f>[14]January_2019!AF7</f>
        <v>171.55</v>
      </c>
      <c r="AW80" s="57">
        <f>[14]January_2019!AG7</f>
        <v>423.8</v>
      </c>
      <c r="AX80" s="277">
        <f>[14]January_2019!AH7</f>
        <v>0</v>
      </c>
      <c r="AY80" s="277"/>
      <c r="AZ80" s="277"/>
      <c r="BA80" s="277"/>
      <c r="BB80" s="277"/>
      <c r="BC80" s="277"/>
      <c r="BD80" s="277"/>
      <c r="BE80" s="277"/>
    </row>
    <row r="81" spans="2:57" s="54" customFormat="1" ht="19.5" hidden="1" customHeight="1" thickBot="1">
      <c r="B81" s="478"/>
      <c r="C81" s="430"/>
      <c r="D81" s="431"/>
      <c r="E81" s="432"/>
      <c r="F81" s="433"/>
      <c r="G81" s="434"/>
      <c r="H81" s="458"/>
      <c r="I81" s="458"/>
      <c r="J81" s="451"/>
      <c r="K81" s="436"/>
      <c r="L81" s="452"/>
      <c r="M81" s="421"/>
      <c r="N81" s="13"/>
      <c r="O81" s="13"/>
      <c r="P81" s="50"/>
      <c r="R81" s="275"/>
      <c r="S81" s="275"/>
      <c r="T81" s="275"/>
      <c r="U81" s="275"/>
      <c r="V81" s="275"/>
      <c r="W81" s="275"/>
      <c r="X81" s="275"/>
      <c r="Y81" s="275"/>
      <c r="Z81" s="275"/>
      <c r="AA81" s="275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277"/>
      <c r="AY81" s="277"/>
      <c r="AZ81" s="277"/>
      <c r="BA81" s="277"/>
      <c r="BB81" s="277"/>
      <c r="BC81" s="277"/>
      <c r="BD81" s="277"/>
      <c r="BE81" s="277"/>
    </row>
    <row r="82" spans="2:57" s="54" customFormat="1" ht="38.450000000000003" hidden="1" customHeight="1" thickBot="1">
      <c r="B82" s="480"/>
      <c r="C82" s="479"/>
      <c r="D82" s="442"/>
      <c r="E82" s="443"/>
      <c r="F82" s="444"/>
      <c r="G82" s="445"/>
      <c r="H82" s="458"/>
      <c r="I82" s="458"/>
      <c r="J82" s="448" t="s">
        <v>171</v>
      </c>
      <c r="K82" s="459"/>
      <c r="L82" s="457" t="e">
        <f>(((D82+E82)-G82)/(D82+E82))*100</f>
        <v>#DIV/0!</v>
      </c>
      <c r="M82" s="455"/>
      <c r="N82" s="13"/>
      <c r="O82" s="13"/>
      <c r="P82" s="50"/>
      <c r="R82" s="275"/>
      <c r="S82" s="275"/>
      <c r="T82" s="275"/>
      <c r="U82" s="275"/>
      <c r="V82" s="275"/>
      <c r="W82" s="275"/>
      <c r="X82" s="275"/>
      <c r="Y82" s="275"/>
      <c r="Z82" s="275"/>
      <c r="AA82" s="275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277"/>
      <c r="AY82" s="277"/>
      <c r="AZ82" s="277"/>
      <c r="BA82" s="277"/>
      <c r="BB82" s="277"/>
      <c r="BC82" s="277"/>
      <c r="BD82" s="277"/>
      <c r="BE82" s="277"/>
    </row>
    <row r="83" spans="2:57" s="54" customFormat="1" ht="15" hidden="1">
      <c r="B83" s="453"/>
      <c r="C83" s="430"/>
      <c r="D83" s="431"/>
      <c r="E83" s="432"/>
      <c r="F83" s="433"/>
      <c r="G83" s="434"/>
      <c r="H83" s="435"/>
      <c r="I83" s="450"/>
      <c r="J83" s="451"/>
      <c r="K83" s="436"/>
      <c r="L83" s="452"/>
      <c r="M83" s="421"/>
      <c r="N83" s="13"/>
      <c r="O83" s="13"/>
      <c r="P83" s="50"/>
      <c r="R83" s="275"/>
      <c r="S83" s="275"/>
      <c r="T83" s="275"/>
      <c r="U83" s="275"/>
      <c r="V83" s="275"/>
      <c r="W83" s="275"/>
      <c r="X83" s="275"/>
      <c r="Y83" s="275"/>
      <c r="Z83" s="275"/>
      <c r="AA83" s="275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277"/>
      <c r="AY83" s="277"/>
      <c r="AZ83" s="277"/>
      <c r="BA83" s="277"/>
      <c r="BB83" s="277"/>
      <c r="BC83" s="277"/>
      <c r="BD83" s="277"/>
      <c r="BE83" s="277"/>
    </row>
    <row r="84" spans="2:57" s="54" customFormat="1" ht="37.15" hidden="1" customHeight="1" thickBot="1">
      <c r="B84" s="480"/>
      <c r="C84" s="479"/>
      <c r="D84" s="442"/>
      <c r="E84" s="443"/>
      <c r="F84" s="444"/>
      <c r="G84" s="445"/>
      <c r="H84" s="446"/>
      <c r="I84" s="447"/>
      <c r="J84" s="448"/>
      <c r="K84" s="449"/>
      <c r="L84" s="457"/>
      <c r="M84" s="455"/>
      <c r="N84" s="13"/>
      <c r="O84" s="13"/>
      <c r="P84" s="50"/>
      <c r="R84" s="275"/>
      <c r="S84" s="275"/>
      <c r="T84" s="275"/>
      <c r="U84" s="275"/>
      <c r="V84" s="275"/>
      <c r="W84" s="275"/>
      <c r="X84" s="275"/>
      <c r="Y84" s="275"/>
      <c r="Z84" s="275"/>
      <c r="AA84" s="275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277"/>
      <c r="AY84" s="277"/>
      <c r="AZ84" s="277"/>
      <c r="BA84" s="277"/>
      <c r="BB84" s="277"/>
      <c r="BC84" s="277"/>
      <c r="BD84" s="277"/>
      <c r="BE84" s="277"/>
    </row>
    <row r="85" spans="2:57" s="54" customFormat="1" ht="16.5" hidden="1" customHeight="1" thickBot="1">
      <c r="B85" s="437"/>
      <c r="C85" s="423"/>
      <c r="D85" s="424"/>
      <c r="E85" s="425"/>
      <c r="F85" s="426"/>
      <c r="G85" s="427"/>
      <c r="H85" s="428"/>
      <c r="I85" s="438"/>
      <c r="J85" s="439"/>
      <c r="K85" s="429"/>
      <c r="L85" s="440"/>
      <c r="M85" s="422"/>
      <c r="N85" s="13"/>
      <c r="O85" s="13"/>
      <c r="P85" s="50"/>
      <c r="R85" s="275"/>
      <c r="S85" s="275"/>
      <c r="T85" s="275"/>
      <c r="U85" s="275"/>
      <c r="V85" s="275"/>
      <c r="W85" s="275"/>
      <c r="X85" s="275"/>
      <c r="Y85" s="275"/>
      <c r="Z85" s="275"/>
      <c r="AA85" s="275"/>
      <c r="AB85" s="415"/>
      <c r="AC85" s="415"/>
      <c r="AD85" s="415"/>
      <c r="AE85" s="415"/>
      <c r="AF85" s="415"/>
      <c r="AG85" s="415"/>
      <c r="AH85" s="415"/>
      <c r="AI85" s="415"/>
      <c r="AJ85" s="415"/>
      <c r="AK85" s="415"/>
      <c r="AL85" s="415"/>
      <c r="AM85" s="415"/>
      <c r="AN85" s="415"/>
      <c r="AO85" s="415"/>
      <c r="AP85" s="415"/>
      <c r="AQ85" s="415"/>
      <c r="AR85" s="415"/>
      <c r="AS85" s="415"/>
      <c r="AT85" s="415"/>
      <c r="AU85" s="415"/>
      <c r="AV85" s="415"/>
      <c r="AW85" s="415"/>
    </row>
    <row r="86" spans="2:57" s="54" customFormat="1" ht="37.15" hidden="1" customHeight="1" thickBot="1">
      <c r="B86" s="456"/>
      <c r="C86" s="441"/>
      <c r="D86" s="442"/>
      <c r="E86" s="443"/>
      <c r="F86" s="444"/>
      <c r="G86" s="445"/>
      <c r="H86" s="446"/>
      <c r="I86" s="447"/>
      <c r="J86" s="448"/>
      <c r="K86" s="449"/>
      <c r="L86" s="457"/>
      <c r="M86" s="454"/>
      <c r="N86" s="13"/>
      <c r="O86" s="13"/>
      <c r="P86" s="50"/>
      <c r="R86" s="275"/>
      <c r="S86" s="275"/>
      <c r="T86" s="275"/>
      <c r="U86" s="275"/>
      <c r="V86" s="275"/>
      <c r="W86" s="275"/>
      <c r="X86" s="275"/>
      <c r="Y86" s="275"/>
      <c r="Z86" s="275"/>
      <c r="AA86" s="275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277"/>
      <c r="AY86" s="277"/>
      <c r="AZ86" s="277"/>
      <c r="BA86" s="277"/>
      <c r="BB86" s="277"/>
      <c r="BC86" s="277"/>
      <c r="BD86" s="277"/>
      <c r="BE86" s="277"/>
    </row>
    <row r="87" spans="2:57" s="54" customFormat="1" ht="37.15" customHeight="1">
      <c r="B87" s="466"/>
      <c r="C87" s="430"/>
      <c r="D87" s="460"/>
      <c r="E87" s="461"/>
      <c r="F87" s="462"/>
      <c r="G87" s="460"/>
      <c r="H87" s="463"/>
      <c r="I87" s="463"/>
      <c r="J87" s="463"/>
      <c r="K87" s="464"/>
      <c r="L87" s="465"/>
      <c r="M87" s="50"/>
      <c r="N87" s="13"/>
      <c r="O87" s="13"/>
      <c r="P87" s="50"/>
      <c r="R87" s="275"/>
      <c r="S87" s="275"/>
      <c r="T87" s="275"/>
      <c r="U87" s="275"/>
      <c r="V87" s="275"/>
      <c r="W87" s="275"/>
      <c r="X87" s="275"/>
      <c r="Y87" s="275"/>
      <c r="Z87" s="275"/>
      <c r="AA87" s="275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277"/>
      <c r="AY87" s="277"/>
      <c r="AZ87" s="277"/>
      <c r="BA87" s="277"/>
      <c r="BB87" s="277"/>
      <c r="BC87" s="277"/>
      <c r="BD87" s="277"/>
      <c r="BE87" s="277"/>
    </row>
    <row r="88" spans="2:57" ht="18" customHeight="1" thickBot="1">
      <c r="B88" s="59"/>
      <c r="C88" s="30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 t="s">
        <v>41</v>
      </c>
      <c r="O88" s="56"/>
      <c r="P88" s="60"/>
    </row>
    <row r="89" spans="2:57" ht="15.75" thickBot="1">
      <c r="B89" s="545" t="s">
        <v>55</v>
      </c>
      <c r="C89" s="546"/>
      <c r="D89" s="546"/>
      <c r="E89" s="546"/>
      <c r="F89" s="547"/>
      <c r="G89" s="545" t="s">
        <v>56</v>
      </c>
      <c r="H89" s="546"/>
      <c r="I89" s="546"/>
      <c r="J89" s="547"/>
      <c r="K89" s="545" t="s">
        <v>51</v>
      </c>
      <c r="L89" s="546"/>
      <c r="M89" s="546"/>
      <c r="N89" s="548"/>
      <c r="O89" s="56"/>
      <c r="P89" s="50"/>
    </row>
    <row r="90" spans="2:57" ht="15">
      <c r="B90" s="61" t="s">
        <v>17</v>
      </c>
      <c r="C90" s="62" t="s">
        <v>36</v>
      </c>
      <c r="D90" s="62" t="s">
        <v>37</v>
      </c>
      <c r="E90" s="62" t="s">
        <v>38</v>
      </c>
      <c r="F90" s="63" t="s">
        <v>39</v>
      </c>
      <c r="G90" s="62" t="s">
        <v>36</v>
      </c>
      <c r="H90" s="62" t="s">
        <v>37</v>
      </c>
      <c r="I90" s="62" t="s">
        <v>38</v>
      </c>
      <c r="J90" s="63" t="s">
        <v>39</v>
      </c>
      <c r="K90" s="62" t="s">
        <v>36</v>
      </c>
      <c r="L90" s="62" t="s">
        <v>37</v>
      </c>
      <c r="M90" s="62" t="s">
        <v>38</v>
      </c>
      <c r="N90" s="63" t="s">
        <v>39</v>
      </c>
      <c r="O90" s="56"/>
      <c r="P90" s="64"/>
    </row>
    <row r="91" spans="2:57" ht="15">
      <c r="B91" s="29" t="s">
        <v>6</v>
      </c>
      <c r="C91" s="282"/>
      <c r="D91" s="76">
        <v>7.483481758115472</v>
      </c>
      <c r="E91" s="76">
        <v>7.335066202576412</v>
      </c>
      <c r="F91" s="66">
        <v>4.8</v>
      </c>
      <c r="G91" s="65"/>
      <c r="H91" s="477">
        <v>7.0237807669753574</v>
      </c>
      <c r="I91" s="477">
        <v>7.3894009766315163</v>
      </c>
      <c r="J91" s="66">
        <v>4.8</v>
      </c>
      <c r="K91" s="67"/>
      <c r="L91" s="194">
        <v>0.27168755221386798</v>
      </c>
      <c r="M91" s="194">
        <v>0.37434465277838141</v>
      </c>
      <c r="N91" s="68">
        <v>1</v>
      </c>
      <c r="O91" s="56"/>
      <c r="P91" s="69"/>
    </row>
    <row r="92" spans="2:57" ht="15">
      <c r="B92" s="33" t="s">
        <v>9</v>
      </c>
      <c r="C92" s="65"/>
      <c r="D92" s="76">
        <v>6.226853304877273</v>
      </c>
      <c r="E92" s="76">
        <v>6.218558063401959</v>
      </c>
      <c r="F92" s="66">
        <v>4.8</v>
      </c>
      <c r="G92" s="65"/>
      <c r="H92" s="76">
        <v>5.6013387717202709</v>
      </c>
      <c r="I92" s="76">
        <v>6.0251504474659541</v>
      </c>
      <c r="J92" s="66">
        <v>4.8</v>
      </c>
      <c r="K92" s="67"/>
      <c r="L92" s="194">
        <v>0.74087719298245613</v>
      </c>
      <c r="M92" s="194">
        <v>0.60474102461797952</v>
      </c>
      <c r="N92" s="68">
        <v>1</v>
      </c>
      <c r="P92" s="69"/>
    </row>
    <row r="93" spans="2:57" ht="15">
      <c r="B93" s="34" t="s">
        <v>40</v>
      </c>
      <c r="C93" s="65">
        <f>L78</f>
        <v>8.0491474423269871</v>
      </c>
      <c r="D93" s="76">
        <v>13.161229014887537</v>
      </c>
      <c r="E93" s="76">
        <v>12.790788142846019</v>
      </c>
      <c r="F93" s="66">
        <v>5.5</v>
      </c>
      <c r="G93" s="65">
        <f>[11]March_2026!$P$32</f>
        <v>14.947357509261556</v>
      </c>
      <c r="H93" s="76">
        <v>16.647656122260145</v>
      </c>
      <c r="I93" s="76">
        <v>14.639670361513629</v>
      </c>
      <c r="J93" s="66">
        <v>5.5</v>
      </c>
      <c r="K93" s="67">
        <f>K78</f>
        <v>0.32166666666666666</v>
      </c>
      <c r="L93" s="194">
        <v>0.22428947368421051</v>
      </c>
      <c r="M93" s="194">
        <v>0.2930666666666667</v>
      </c>
      <c r="N93" s="68">
        <v>1</v>
      </c>
      <c r="P93" s="69"/>
    </row>
    <row r="94" spans="2:57" ht="15">
      <c r="B94" s="22" t="s">
        <v>33</v>
      </c>
      <c r="C94" s="65"/>
      <c r="D94" s="76">
        <v>4.786281034041461</v>
      </c>
      <c r="E94" s="76">
        <v>4.9619586520196597</v>
      </c>
      <c r="F94" s="66">
        <v>3.3</v>
      </c>
      <c r="G94" s="65"/>
      <c r="H94" s="76">
        <v>5.4251963146907434</v>
      </c>
      <c r="I94" s="76">
        <v>4.9501867212112511</v>
      </c>
      <c r="J94" s="66">
        <v>3.3</v>
      </c>
      <c r="K94" s="67"/>
      <c r="L94" s="194">
        <v>1.3052631578947369</v>
      </c>
      <c r="M94" s="194">
        <v>0.88064327485380123</v>
      </c>
      <c r="N94" s="68">
        <v>1</v>
      </c>
      <c r="P94" s="69"/>
    </row>
    <row r="95" spans="2:57" ht="15">
      <c r="B95" s="35" t="s">
        <v>164</v>
      </c>
      <c r="C95" s="65"/>
      <c r="D95" s="76"/>
      <c r="E95" s="76"/>
      <c r="F95" s="66">
        <v>3.3</v>
      </c>
      <c r="G95" s="282"/>
      <c r="H95" s="76"/>
      <c r="I95" s="76"/>
      <c r="J95" s="66">
        <v>3</v>
      </c>
      <c r="K95" s="67"/>
      <c r="L95" s="194"/>
      <c r="M95" s="194"/>
      <c r="N95" s="68">
        <v>1</v>
      </c>
      <c r="P95" s="69"/>
    </row>
    <row r="96" spans="2:57" ht="15">
      <c r="B96" s="36" t="s">
        <v>15</v>
      </c>
      <c r="C96" s="65"/>
      <c r="D96" s="76"/>
      <c r="E96" s="76">
        <v>5.1105651105651271</v>
      </c>
      <c r="F96" s="70">
        <f>[15]May_2022!$M$43</f>
        <v>3.4878406700073312</v>
      </c>
      <c r="G96" s="282"/>
      <c r="H96" s="76"/>
      <c r="I96" s="76">
        <v>7.9131369535794072</v>
      </c>
      <c r="J96" s="66">
        <v>5.5</v>
      </c>
      <c r="K96" s="67"/>
      <c r="L96" s="194"/>
      <c r="M96" s="194">
        <v>1.3550877192982456</v>
      </c>
      <c r="N96" s="68">
        <v>1</v>
      </c>
      <c r="P96" s="69"/>
    </row>
    <row r="97" spans="2:16" ht="15">
      <c r="B97" s="37" t="s">
        <v>16</v>
      </c>
      <c r="C97" s="65"/>
      <c r="D97" s="76">
        <v>5.360174630123689</v>
      </c>
      <c r="E97" s="76">
        <v>4.3766776021473337</v>
      </c>
      <c r="F97" s="66">
        <v>3.3</v>
      </c>
      <c r="G97" s="282"/>
      <c r="H97" s="76">
        <v>11.106164027580478</v>
      </c>
      <c r="I97" s="76">
        <v>6.7590439068772588</v>
      </c>
      <c r="J97" s="66">
        <v>3.3</v>
      </c>
      <c r="K97" s="67"/>
      <c r="L97" s="194">
        <v>0.45637426900584793</v>
      </c>
      <c r="M97" s="194">
        <v>0.73190058479532172</v>
      </c>
      <c r="N97" s="71">
        <v>1</v>
      </c>
      <c r="P97" s="69"/>
    </row>
    <row r="98" spans="2:16" ht="15.75" thickBot="1">
      <c r="B98" s="38" t="s">
        <v>163</v>
      </c>
      <c r="C98" s="65"/>
      <c r="D98" s="76"/>
      <c r="E98" s="76"/>
      <c r="F98" s="66">
        <v>7.5</v>
      </c>
      <c r="G98" s="282"/>
      <c r="H98" s="76"/>
      <c r="I98" s="76"/>
      <c r="J98" s="66">
        <v>7.5</v>
      </c>
      <c r="K98" s="67"/>
      <c r="L98" s="194"/>
      <c r="M98" s="194"/>
      <c r="N98" s="71">
        <v>1</v>
      </c>
      <c r="P98" s="69"/>
    </row>
    <row r="99" spans="2:16" ht="15.75" thickBot="1">
      <c r="B99" s="414" t="s">
        <v>161</v>
      </c>
      <c r="C99" s="65"/>
      <c r="D99" s="76"/>
      <c r="E99" s="76"/>
      <c r="F99" s="66">
        <v>4.8</v>
      </c>
      <c r="G99" s="282"/>
      <c r="H99" s="76"/>
      <c r="I99" s="76"/>
      <c r="J99" s="66">
        <v>4.8</v>
      </c>
      <c r="K99" s="67"/>
      <c r="L99" s="194"/>
      <c r="M99" s="194"/>
      <c r="N99" s="71">
        <v>1</v>
      </c>
      <c r="O99" s="74"/>
      <c r="P99" s="75"/>
    </row>
    <row r="100" spans="2:16" ht="15">
      <c r="D100" s="76">
        <v>7.4051449127808269</v>
      </c>
      <c r="E100" s="76">
        <v>7.0105652416227766</v>
      </c>
      <c r="F100" s="341">
        <v>5.5</v>
      </c>
      <c r="H100" s="76">
        <v>8.762912266493375</v>
      </c>
      <c r="I100" s="76">
        <v>7.5769819076589213</v>
      </c>
      <c r="J100" s="341">
        <v>5.5</v>
      </c>
      <c r="L100" s="194">
        <v>0.52170627958785853</v>
      </c>
      <c r="M100" s="194">
        <v>0.43308708044621358</v>
      </c>
      <c r="N100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47:N47"/>
    <mergeCell ref="D48:E48"/>
    <mergeCell ref="B49:B60"/>
    <mergeCell ref="D49:E50"/>
    <mergeCell ref="D51:E52"/>
    <mergeCell ref="D53:E54"/>
    <mergeCell ref="D55:E56"/>
    <mergeCell ref="D57:E58"/>
    <mergeCell ref="D59:E60"/>
    <mergeCell ref="B61:B70"/>
    <mergeCell ref="D61:E62"/>
    <mergeCell ref="J61:K61"/>
    <mergeCell ref="L62:N62"/>
    <mergeCell ref="D63:E64"/>
    <mergeCell ref="D65:E66"/>
    <mergeCell ref="D67:E68"/>
    <mergeCell ref="D69:E70"/>
    <mergeCell ref="D71:E71"/>
    <mergeCell ref="B76:B77"/>
    <mergeCell ref="C76:C77"/>
    <mergeCell ref="D76:D77"/>
    <mergeCell ref="E76:E77"/>
    <mergeCell ref="M76:M77"/>
    <mergeCell ref="B89:F89"/>
    <mergeCell ref="G89:J89"/>
    <mergeCell ref="K89:N89"/>
    <mergeCell ref="G76:G77"/>
    <mergeCell ref="H76:H77"/>
    <mergeCell ref="I76:I77"/>
    <mergeCell ref="J76:J77"/>
    <mergeCell ref="K76:K77"/>
    <mergeCell ref="L76:L77"/>
    <mergeCell ref="F76:F77"/>
  </mergeCells>
  <conditionalFormatting sqref="B71:B72">
    <cfRule type="cellIs" dxfId="1935" priority="71" operator="notBetween">
      <formula>#REF!</formula>
      <formula>#REF!</formula>
    </cfRule>
  </conditionalFormatting>
  <conditionalFormatting sqref="C75">
    <cfRule type="cellIs" dxfId="1934" priority="166" stopIfTrue="1" operator="greaterThan">
      <formula>100</formula>
    </cfRule>
    <cfRule type="cellIs" dxfId="1933" priority="165" stopIfTrue="1" operator="lessThan">
      <formula>96</formula>
    </cfRule>
  </conditionalFormatting>
  <conditionalFormatting sqref="C91:C95">
    <cfRule type="cellIs" dxfId="1932" priority="134" stopIfTrue="1" operator="lessThanOrEqual">
      <formula>0</formula>
    </cfRule>
  </conditionalFormatting>
  <conditionalFormatting sqref="C91:C99">
    <cfRule type="cellIs" dxfId="1931" priority="133" stopIfTrue="1" operator="greaterThan">
      <formula>$F91</formula>
    </cfRule>
  </conditionalFormatting>
  <conditionalFormatting sqref="C92">
    <cfRule type="cellIs" dxfId="1930" priority="167" stopIfTrue="1" operator="greaterThan">
      <formula>$F91</formula>
    </cfRule>
  </conditionalFormatting>
  <conditionalFormatting sqref="C96">
    <cfRule type="cellIs" dxfId="1929" priority="96" stopIfTrue="1" operator="greaterThan">
      <formula>$F95</formula>
    </cfRule>
    <cfRule type="cellIs" dxfId="1928" priority="95" stopIfTrue="1" operator="lessThanOrEqual">
      <formula>0</formula>
    </cfRule>
  </conditionalFormatting>
  <conditionalFormatting sqref="C97:C99">
    <cfRule type="cellIs" dxfId="1927" priority="135" stopIfTrue="1" operator="lessThanOrEqual">
      <formula>0</formula>
    </cfRule>
  </conditionalFormatting>
  <conditionalFormatting sqref="C102:C106">
    <cfRule type="cellIs" dxfId="1926" priority="157" stopIfTrue="1" operator="lessThanOrEqual">
      <formula>0</formula>
    </cfRule>
  </conditionalFormatting>
  <conditionalFormatting sqref="C103:C106">
    <cfRule type="cellIs" dxfId="1925" priority="156" stopIfTrue="1" operator="greaterThan">
      <formula>$F$102</formula>
    </cfRule>
  </conditionalFormatting>
  <conditionalFormatting sqref="C108">
    <cfRule type="cellIs" dxfId="1924" priority="159" stopIfTrue="1" operator="lessThanOrEqual">
      <formula>0</formula>
    </cfRule>
    <cfRule type="cellIs" dxfId="1923" priority="158" stopIfTrue="1" operator="greaterThan">
      <formula>$F$102</formula>
    </cfRule>
  </conditionalFormatting>
  <conditionalFormatting sqref="C102:D102 D104:D110">
    <cfRule type="cellIs" dxfId="1922" priority="151" stopIfTrue="1" operator="greaterThan">
      <formula>4.5</formula>
    </cfRule>
  </conditionalFormatting>
  <conditionalFormatting sqref="D71:D72">
    <cfRule type="cellIs" dxfId="1921" priority="72" operator="notBetween">
      <formula>#REF!</formula>
      <formula>#REF!</formula>
    </cfRule>
  </conditionalFormatting>
  <conditionalFormatting sqref="D91:D98">
    <cfRule type="cellIs" dxfId="1920" priority="44" stopIfTrue="1" operator="lessThanOrEqual">
      <formula>0</formula>
    </cfRule>
  </conditionalFormatting>
  <conditionalFormatting sqref="D91:D100">
    <cfRule type="cellIs" dxfId="1919" priority="23" stopIfTrue="1" operator="lessThanOrEqual">
      <formula>0</formula>
    </cfRule>
  </conditionalFormatting>
  <conditionalFormatting sqref="D99">
    <cfRule type="cellIs" dxfId="1918" priority="43" stopIfTrue="1" operator="lessThanOrEqual">
      <formula>0</formula>
    </cfRule>
  </conditionalFormatting>
  <conditionalFormatting sqref="D100">
    <cfRule type="cellIs" dxfId="1917" priority="38" stopIfTrue="1" operator="lessThanOrEqual">
      <formula>0</formula>
    </cfRule>
  </conditionalFormatting>
  <conditionalFormatting sqref="D102 D104:D110">
    <cfRule type="cellIs" dxfId="1916" priority="152" stopIfTrue="1" operator="lessThanOrEqual">
      <formula>0</formula>
    </cfRule>
  </conditionalFormatting>
  <conditionalFormatting sqref="D103">
    <cfRule type="cellIs" dxfId="1915" priority="144" stopIfTrue="1" operator="lessThanOrEqual">
      <formula>0</formula>
    </cfRule>
    <cfRule type="cellIs" dxfId="1914" priority="143" stopIfTrue="1" operator="greaterThan">
      <formula>$F$102</formula>
    </cfRule>
  </conditionalFormatting>
  <conditionalFormatting sqref="D91:E100">
    <cfRule type="cellIs" dxfId="1913" priority="25" stopIfTrue="1" operator="greaterThan">
      <formula>$F91</formula>
    </cfRule>
  </conditionalFormatting>
  <conditionalFormatting sqref="D100:E100">
    <cfRule type="cellIs" dxfId="1912" priority="27" stopIfTrue="1" operator="lessThanOrEqual">
      <formula>0</formula>
    </cfRule>
  </conditionalFormatting>
  <conditionalFormatting sqref="E10:E46">
    <cfRule type="cellIs" dxfId="1911" priority="18" operator="lessThan">
      <formula>48</formula>
    </cfRule>
  </conditionalFormatting>
  <conditionalFormatting sqref="E74 E75:F75">
    <cfRule type="cellIs" dxfId="1910" priority="148" stopIfTrue="1" operator="greaterThan">
      <formula>100</formula>
    </cfRule>
  </conditionalFormatting>
  <conditionalFormatting sqref="E75">
    <cfRule type="cellIs" dxfId="1909" priority="146" stopIfTrue="1" operator="greaterThan">
      <formula>100</formula>
    </cfRule>
    <cfRule type="cellIs" dxfId="1908" priority="145" stopIfTrue="1" operator="lessThan">
      <formula>96.8</formula>
    </cfRule>
  </conditionalFormatting>
  <conditionalFormatting sqref="E91:E99">
    <cfRule type="cellIs" dxfId="1907" priority="24" stopIfTrue="1" operator="lessThanOrEqual">
      <formula>0</formula>
    </cfRule>
  </conditionalFormatting>
  <conditionalFormatting sqref="E91:E100">
    <cfRule type="cellIs" dxfId="1906" priority="26" stopIfTrue="1" operator="lessThanOrEqual">
      <formula>0</formula>
    </cfRule>
  </conditionalFormatting>
  <conditionalFormatting sqref="E102:E110">
    <cfRule type="cellIs" dxfId="1905" priority="138" stopIfTrue="1" operator="lessThanOrEqual">
      <formula>0</formula>
    </cfRule>
    <cfRule type="cellIs" dxfId="1904" priority="137" stopIfTrue="1" operator="greaterThan">
      <formula>4.5</formula>
    </cfRule>
  </conditionalFormatting>
  <conditionalFormatting sqref="E75:F75 E74">
    <cfRule type="cellIs" dxfId="1903" priority="147" stopIfTrue="1" operator="lessThan">
      <formula>96.5</formula>
    </cfRule>
  </conditionalFormatting>
  <conditionalFormatting sqref="F10:F25 F36:F46">
    <cfRule type="cellIs" dxfId="1902" priority="19" operator="greaterThan">
      <formula>60</formula>
    </cfRule>
  </conditionalFormatting>
  <conditionalFormatting sqref="F75">
    <cfRule type="cellIs" dxfId="1901" priority="163" stopIfTrue="1" operator="lessThan">
      <formula>96.8</formula>
    </cfRule>
    <cfRule type="cellIs" dxfId="1900" priority="164" stopIfTrue="1" operator="greaterThan">
      <formula>100</formula>
    </cfRule>
  </conditionalFormatting>
  <conditionalFormatting sqref="F100">
    <cfRule type="cellIs" dxfId="1899" priority="41" stopIfTrue="1" operator="greaterThan">
      <formula>$F100</formula>
    </cfRule>
    <cfRule type="cellIs" dxfId="1898" priority="42" stopIfTrue="1" operator="lessThanOrEqual">
      <formula>0</formula>
    </cfRule>
  </conditionalFormatting>
  <conditionalFormatting sqref="G10:G25 G36:G46">
    <cfRule type="expression" dxfId="1897" priority="9">
      <formula>IF(+(IF(G10&lt;S10,0,IF(G10&gt;T10,0,1)))=0,1)</formula>
    </cfRule>
  </conditionalFormatting>
  <conditionalFormatting sqref="G91:G92">
    <cfRule type="cellIs" dxfId="1896" priority="40" stopIfTrue="1" operator="lessThanOrEqual">
      <formula>0</formula>
    </cfRule>
    <cfRule type="cellIs" dxfId="1895" priority="46" stopIfTrue="1" operator="lessThanOrEqual">
      <formula>0</formula>
    </cfRule>
    <cfRule type="cellIs" dxfId="1894" priority="39" stopIfTrue="1" operator="greaterThan">
      <formula>$F91</formula>
    </cfRule>
    <cfRule type="cellIs" dxfId="1893" priority="45" stopIfTrue="1" operator="greaterThan">
      <formula>$F91</formula>
    </cfRule>
  </conditionalFormatting>
  <conditionalFormatting sqref="G93">
    <cfRule type="cellIs" dxfId="1892" priority="49" stopIfTrue="1" operator="greaterThan">
      <formula>$F92</formula>
    </cfRule>
    <cfRule type="cellIs" dxfId="1891" priority="50" stopIfTrue="1" operator="lessThanOrEqual">
      <formula>0</formula>
    </cfRule>
  </conditionalFormatting>
  <conditionalFormatting sqref="G94">
    <cfRule type="cellIs" dxfId="1890" priority="33" stopIfTrue="1" operator="greaterThan">
      <formula>$F94</formula>
    </cfRule>
    <cfRule type="cellIs" dxfId="1889" priority="34" stopIfTrue="1" operator="lessThanOrEqual">
      <formula>0</formula>
    </cfRule>
    <cfRule type="cellIs" dxfId="1888" priority="32" stopIfTrue="1" operator="lessThanOrEqual">
      <formula>0</formula>
    </cfRule>
    <cfRule type="cellIs" dxfId="1887" priority="31" stopIfTrue="1" operator="greaterThan">
      <formula>$F94</formula>
    </cfRule>
  </conditionalFormatting>
  <conditionalFormatting sqref="G95:G99">
    <cfRule type="cellIs" dxfId="1886" priority="47" stopIfTrue="1" operator="greaterThan">
      <formula>$J95</formula>
    </cfRule>
    <cfRule type="cellIs" dxfId="1885" priority="48" stopIfTrue="1" operator="lessThanOrEqual">
      <formula>0</formula>
    </cfRule>
  </conditionalFormatting>
  <conditionalFormatting sqref="G104:G109 C107 C109">
    <cfRule type="cellIs" dxfId="1884" priority="161" stopIfTrue="1" operator="lessThanOrEqual">
      <formula>0</formula>
    </cfRule>
    <cfRule type="cellIs" dxfId="1883" priority="160" stopIfTrue="1" operator="greaterThan">
      <formula>4.5</formula>
    </cfRule>
  </conditionalFormatting>
  <conditionalFormatting sqref="G103:H103">
    <cfRule type="cellIs" dxfId="1882" priority="142" stopIfTrue="1" operator="lessThanOrEqual">
      <formula>0</formula>
    </cfRule>
    <cfRule type="cellIs" dxfId="1881" priority="141" stopIfTrue="1" operator="greaterThan">
      <formula>$F$102</formula>
    </cfRule>
  </conditionalFormatting>
  <conditionalFormatting sqref="H10:H25 M10:N46 G26:H35 H36:H46">
    <cfRule type="expression" dxfId="1880" priority="68">
      <formula>IF(+(IF(G10&lt;#REF!,0,IF(G10&gt;#REF!,0,1)))=0,1)</formula>
    </cfRule>
  </conditionalFormatting>
  <conditionalFormatting sqref="H60:H62 H74">
    <cfRule type="cellIs" dxfId="1879" priority="139" stopIfTrue="1" operator="greaterThan">
      <formula>0</formula>
    </cfRule>
  </conditionalFormatting>
  <conditionalFormatting sqref="H78:H82">
    <cfRule type="cellIs" dxfId="1878" priority="65" stopIfTrue="1" operator="greaterThan">
      <formula>$F$92</formula>
    </cfRule>
    <cfRule type="cellIs" dxfId="1877" priority="66" stopIfTrue="1" operator="lessThanOrEqual">
      <formula>0</formula>
    </cfRule>
    <cfRule type="cellIs" dxfId="1876" priority="63" stopIfTrue="1" operator="greaterThan">
      <formula>$F$94</formula>
    </cfRule>
    <cfRule type="cellIs" dxfId="1875" priority="54" stopIfTrue="1" operator="lessThanOrEqual">
      <formula>0</formula>
    </cfRule>
    <cfRule type="cellIs" dxfId="1874" priority="55" stopIfTrue="1" operator="greaterThan">
      <formula>$F$91</formula>
    </cfRule>
    <cfRule type="cellIs" dxfId="1873" priority="64" stopIfTrue="1" operator="lessThanOrEqual">
      <formula>0</formula>
    </cfRule>
  </conditionalFormatting>
  <conditionalFormatting sqref="H83:H84">
    <cfRule type="cellIs" dxfId="1872" priority="107" stopIfTrue="1" operator="greaterThan">
      <formula>$F$46</formula>
    </cfRule>
    <cfRule type="cellIs" dxfId="1871" priority="98" stopIfTrue="1" operator="lessThanOrEqual">
      <formula>0</formula>
    </cfRule>
    <cfRule type="cellIs" dxfId="1870" priority="99" stopIfTrue="1" operator="greaterThan">
      <formula>#REF!</formula>
    </cfRule>
    <cfRule type="cellIs" dxfId="1869" priority="109" stopIfTrue="1" operator="greaterThan">
      <formula>#REF!</formula>
    </cfRule>
    <cfRule type="cellIs" dxfId="1868" priority="110" stopIfTrue="1" operator="lessThanOrEqual">
      <formula>0</formula>
    </cfRule>
    <cfRule type="cellIs" dxfId="1867" priority="108" stopIfTrue="1" operator="lessThanOrEqual">
      <formula>0</formula>
    </cfRule>
  </conditionalFormatting>
  <conditionalFormatting sqref="H85">
    <cfRule type="cellIs" dxfId="1866" priority="122" stopIfTrue="1" operator="lessThanOrEqual">
      <formula>0</formula>
    </cfRule>
    <cfRule type="cellIs" dxfId="1865" priority="123" stopIfTrue="1" operator="greaterThan">
      <formula>$F$60</formula>
    </cfRule>
    <cfRule type="cellIs" dxfId="1864" priority="124" stopIfTrue="1" operator="lessThanOrEqual">
      <formula>0</formula>
    </cfRule>
    <cfRule type="cellIs" dxfId="1863" priority="112" stopIfTrue="1" operator="lessThanOrEqual">
      <formula>0</formula>
    </cfRule>
    <cfRule type="cellIs" dxfId="1862" priority="113" stopIfTrue="1" operator="greaterThan">
      <formula>$F$59</formula>
    </cfRule>
    <cfRule type="cellIs" dxfId="1861" priority="121" stopIfTrue="1" operator="greaterThan">
      <formula>$F$62</formula>
    </cfRule>
  </conditionalFormatting>
  <conditionalFormatting sqref="H86:H87">
    <cfRule type="cellIs" dxfId="1860" priority="94" stopIfTrue="1" operator="lessThanOrEqual">
      <formula>0</formula>
    </cfRule>
    <cfRule type="cellIs" dxfId="1859" priority="93" stopIfTrue="1" operator="greaterThan">
      <formula>#REF!</formula>
    </cfRule>
    <cfRule type="cellIs" dxfId="1858" priority="92" stopIfTrue="1" operator="lessThanOrEqual">
      <formula>0</formula>
    </cfRule>
    <cfRule type="cellIs" dxfId="1857" priority="82" stopIfTrue="1" operator="lessThanOrEqual">
      <formula>0</formula>
    </cfRule>
    <cfRule type="cellIs" dxfId="1856" priority="91" stopIfTrue="1" operator="greaterThan">
      <formula>$F$46</formula>
    </cfRule>
    <cfRule type="cellIs" dxfId="1855" priority="83" stopIfTrue="1" operator="greaterThan">
      <formula>#REF!</formula>
    </cfRule>
  </conditionalFormatting>
  <conditionalFormatting sqref="H102 H104:H110">
    <cfRule type="cellIs" dxfId="1854" priority="153" stopIfTrue="1" operator="greaterThan">
      <formula>4.5</formula>
    </cfRule>
    <cfRule type="cellIs" dxfId="1853" priority="154" stopIfTrue="1" operator="lessThanOrEqual">
      <formula>0</formula>
    </cfRule>
  </conditionalFormatting>
  <conditionalFormatting sqref="H78:I82">
    <cfRule type="cellIs" dxfId="1852" priority="56" stopIfTrue="1" operator="lessThanOrEqual">
      <formula>0</formula>
    </cfRule>
    <cfRule type="cellIs" dxfId="1851" priority="53" stopIfTrue="1" operator="greaterThan">
      <formula>$F$93</formula>
    </cfRule>
  </conditionalFormatting>
  <conditionalFormatting sqref="H83:I84">
    <cfRule type="cellIs" dxfId="1850" priority="97" stopIfTrue="1" operator="greaterThan">
      <formula>#REF!</formula>
    </cfRule>
    <cfRule type="cellIs" dxfId="1849" priority="100" stopIfTrue="1" operator="lessThanOrEqual">
      <formula>0</formula>
    </cfRule>
  </conditionalFormatting>
  <conditionalFormatting sqref="H85:I85">
    <cfRule type="cellIs" dxfId="1848" priority="114" stopIfTrue="1" operator="lessThanOrEqual">
      <formula>0</formula>
    </cfRule>
    <cfRule type="cellIs" dxfId="1847" priority="111" stopIfTrue="1" operator="greaterThan">
      <formula>$F$61</formula>
    </cfRule>
  </conditionalFormatting>
  <conditionalFormatting sqref="H86:I87">
    <cfRule type="cellIs" dxfId="1846" priority="84" stopIfTrue="1" operator="lessThanOrEqual">
      <formula>0</formula>
    </cfRule>
    <cfRule type="cellIs" dxfId="1845" priority="81" stopIfTrue="1" operator="greaterThan">
      <formula>#REF!</formula>
    </cfRule>
  </conditionalFormatting>
  <conditionalFormatting sqref="H91:I98">
    <cfRule type="cellIs" dxfId="1844" priority="22" stopIfTrue="1" operator="lessThanOrEqual">
      <formula>0</formula>
    </cfRule>
    <cfRule type="cellIs" dxfId="1843" priority="21" stopIfTrue="1" operator="greaterThan">
      <formula>$J91</formula>
    </cfRule>
  </conditionalFormatting>
  <conditionalFormatting sqref="H99:I99">
    <cfRule type="cellIs" dxfId="1842" priority="30" operator="greaterThan">
      <formula>5.3</formula>
    </cfRule>
  </conditionalFormatting>
  <conditionalFormatting sqref="H100:I100">
    <cfRule type="cellIs" dxfId="1841" priority="29" stopIfTrue="1" operator="lessThanOrEqual">
      <formula>0</formula>
    </cfRule>
    <cfRule type="cellIs" dxfId="1840" priority="28" stopIfTrue="1" operator="greaterThan">
      <formula>$J100</formula>
    </cfRule>
  </conditionalFormatting>
  <conditionalFormatting sqref="I78:I82">
    <cfRule type="cellIs" dxfId="1839" priority="60" stopIfTrue="1" operator="lessThanOrEqual">
      <formula>0</formula>
    </cfRule>
    <cfRule type="cellIs" dxfId="1838" priority="58" stopIfTrue="1" operator="lessThanOrEqual">
      <formula>0</formula>
    </cfRule>
    <cfRule type="cellIs" dxfId="1837" priority="61" stopIfTrue="1" operator="greaterThan">
      <formula>$F$91</formula>
    </cfRule>
    <cfRule type="cellIs" dxfId="1836" priority="62" stopIfTrue="1" operator="lessThanOrEqual">
      <formula>0</formula>
    </cfRule>
    <cfRule type="cellIs" dxfId="1835" priority="57" stopIfTrue="1" operator="greaterThan">
      <formula>$F$91</formula>
    </cfRule>
    <cfRule type="cellIs" dxfId="1834" priority="59" stopIfTrue="1" operator="greaterThan">
      <formula>$F$93</formula>
    </cfRule>
  </conditionalFormatting>
  <conditionalFormatting sqref="I83:I84">
    <cfRule type="cellIs" dxfId="1833" priority="104" stopIfTrue="1" operator="lessThanOrEqual">
      <formula>0</formula>
    </cfRule>
    <cfRule type="cellIs" dxfId="1832" priority="105" stopIfTrue="1" operator="greaterThan">
      <formula>#REF!</formula>
    </cfRule>
    <cfRule type="cellIs" dxfId="1831" priority="106" stopIfTrue="1" operator="lessThanOrEqual">
      <formula>0</formula>
    </cfRule>
    <cfRule type="cellIs" dxfId="1830" priority="101" stopIfTrue="1" operator="greaterThan">
      <formula>#REF!</formula>
    </cfRule>
    <cfRule type="cellIs" dxfId="1829" priority="102" stopIfTrue="1" operator="lessThanOrEqual">
      <formula>0</formula>
    </cfRule>
    <cfRule type="cellIs" dxfId="1828" priority="103" stopIfTrue="1" operator="greaterThan">
      <formula>#REF!</formula>
    </cfRule>
  </conditionalFormatting>
  <conditionalFormatting sqref="I85">
    <cfRule type="cellIs" dxfId="1827" priority="117" stopIfTrue="1" operator="greaterThan">
      <formula>$F$61</formula>
    </cfRule>
    <cfRule type="cellIs" dxfId="1826" priority="118" stopIfTrue="1" operator="lessThanOrEqual">
      <formula>0</formula>
    </cfRule>
    <cfRule type="cellIs" dxfId="1825" priority="119" stopIfTrue="1" operator="greaterThan">
      <formula>$F$59</formula>
    </cfRule>
    <cfRule type="cellIs" dxfId="1824" priority="120" stopIfTrue="1" operator="lessThanOrEqual">
      <formula>0</formula>
    </cfRule>
    <cfRule type="cellIs" dxfId="1823" priority="115" stopIfTrue="1" operator="greaterThan">
      <formula>$F$59</formula>
    </cfRule>
    <cfRule type="cellIs" dxfId="1822" priority="116" stopIfTrue="1" operator="lessThanOrEqual">
      <formula>0</formula>
    </cfRule>
  </conditionalFormatting>
  <conditionalFormatting sqref="I86:I87">
    <cfRule type="cellIs" dxfId="1821" priority="86" stopIfTrue="1" operator="lessThanOrEqual">
      <formula>0</formula>
    </cfRule>
    <cfRule type="cellIs" dxfId="1820" priority="87" stopIfTrue="1" operator="greaterThan">
      <formula>#REF!</formula>
    </cfRule>
    <cfRule type="cellIs" dxfId="1819" priority="90" stopIfTrue="1" operator="lessThanOrEqual">
      <formula>0</formula>
    </cfRule>
    <cfRule type="cellIs" dxfId="1818" priority="85" stopIfTrue="1" operator="greaterThan">
      <formula>#REF!</formula>
    </cfRule>
    <cfRule type="cellIs" dxfId="1817" priority="89" stopIfTrue="1" operator="greaterThan">
      <formula>#REF!</formula>
    </cfRule>
    <cfRule type="cellIs" dxfId="1816" priority="88" stopIfTrue="1" operator="lessThanOrEqual">
      <formula>0</formula>
    </cfRule>
  </conditionalFormatting>
  <conditionalFormatting sqref="I102:I110">
    <cfRule type="cellIs" dxfId="1815" priority="149" stopIfTrue="1" operator="greaterThan">
      <formula>4.5</formula>
    </cfRule>
    <cfRule type="cellIs" dxfId="1814" priority="150" stopIfTrue="1" operator="lessThanOrEqual">
      <formula>0</formula>
    </cfRule>
  </conditionalFormatting>
  <conditionalFormatting sqref="I10:J46">
    <cfRule type="cellIs" dxfId="1813" priority="12" operator="lessThan">
      <formula>97.9</formula>
    </cfRule>
  </conditionalFormatting>
  <conditionalFormatting sqref="J49">
    <cfRule type="cellIs" dxfId="1812" priority="52" operator="lessThan">
      <formula>97.95</formula>
    </cfRule>
  </conditionalFormatting>
  <conditionalFormatting sqref="J51">
    <cfRule type="cellIs" dxfId="1811" priority="126" stopIfTrue="1" operator="lessThan">
      <formula>96.8</formula>
    </cfRule>
    <cfRule type="cellIs" dxfId="1810" priority="127" stopIfTrue="1" operator="greaterThan">
      <formula>100</formula>
    </cfRule>
    <cfRule type="cellIs" dxfId="1809" priority="128" operator="lessThan">
      <formula>98</formula>
    </cfRule>
  </conditionalFormatting>
  <conditionalFormatting sqref="J51:J53">
    <cfRule type="cellIs" dxfId="1808" priority="125" operator="lessThan">
      <formula>97.4</formula>
    </cfRule>
  </conditionalFormatting>
  <conditionalFormatting sqref="J54:J55">
    <cfRule type="cellIs" dxfId="1807" priority="129" operator="lessThan">
      <formula>98</formula>
    </cfRule>
  </conditionalFormatting>
  <conditionalFormatting sqref="J56:J57">
    <cfRule type="cellIs" dxfId="1806" priority="130" stopIfTrue="1" operator="lessThan">
      <formula>96.8</formula>
    </cfRule>
    <cfRule type="cellIs" dxfId="1805" priority="131" stopIfTrue="1" operator="greaterThan">
      <formula>100</formula>
    </cfRule>
  </conditionalFormatting>
  <conditionalFormatting sqref="J56:J58">
    <cfRule type="cellIs" dxfId="1804" priority="132" operator="lessThan">
      <formula>98</formula>
    </cfRule>
  </conditionalFormatting>
  <conditionalFormatting sqref="J87">
    <cfRule type="cellIs" dxfId="1803" priority="75" stopIfTrue="1" operator="greaterThan">
      <formula>#REF!</formula>
    </cfRule>
    <cfRule type="cellIs" dxfId="1802" priority="77" stopIfTrue="1" operator="greaterThan">
      <formula>#REF!</formula>
    </cfRule>
    <cfRule type="cellIs" dxfId="1801" priority="80" stopIfTrue="1" operator="lessThanOrEqual">
      <formula>0</formula>
    </cfRule>
    <cfRule type="cellIs" dxfId="1800" priority="78" stopIfTrue="1" operator="lessThanOrEqual">
      <formula>0</formula>
    </cfRule>
    <cfRule type="cellIs" dxfId="1799" priority="79" stopIfTrue="1" operator="greaterThan">
      <formula>#REF!</formula>
    </cfRule>
    <cfRule type="cellIs" dxfId="1798" priority="74" stopIfTrue="1" operator="lessThanOrEqual">
      <formula>0</formula>
    </cfRule>
    <cfRule type="cellIs" dxfId="1797" priority="73" stopIfTrue="1" operator="greaterThan">
      <formula>#REF!</formula>
    </cfRule>
    <cfRule type="cellIs" dxfId="1796" priority="76" stopIfTrue="1" operator="lessThanOrEqual">
      <formula>0</formula>
    </cfRule>
  </conditionalFormatting>
  <conditionalFormatting sqref="J100">
    <cfRule type="cellIs" dxfId="1795" priority="36" stopIfTrue="1" operator="lessThanOrEqual">
      <formula>0</formula>
    </cfRule>
    <cfRule type="cellIs" dxfId="1794" priority="35" stopIfTrue="1" operator="greaterThan">
      <formula>$F100</formula>
    </cfRule>
  </conditionalFormatting>
  <conditionalFormatting sqref="K10:K46">
    <cfRule type="cellIs" dxfId="1793" priority="13" operator="greaterThan">
      <formula>6</formula>
    </cfRule>
    <cfRule type="cellIs" dxfId="1792" priority="15" operator="greaterThan">
      <formula>6.4</formula>
    </cfRule>
    <cfRule type="cellIs" dxfId="1791" priority="14" operator="lessThan">
      <formula>4</formula>
    </cfRule>
  </conditionalFormatting>
  <conditionalFormatting sqref="K78:K87">
    <cfRule type="cellIs" dxfId="1790" priority="67" stopIfTrue="1" operator="lessThan">
      <formula>100%</formula>
    </cfRule>
  </conditionalFormatting>
  <conditionalFormatting sqref="K102:K107">
    <cfRule type="cellIs" dxfId="1789" priority="155" stopIfTrue="1" operator="lessThan">
      <formula>100%</formula>
    </cfRule>
  </conditionalFormatting>
  <conditionalFormatting sqref="K109:K110">
    <cfRule type="cellIs" dxfId="1788" priority="162" stopIfTrue="1" operator="lessThan">
      <formula>100%</formula>
    </cfRule>
  </conditionalFormatting>
  <conditionalFormatting sqref="K91:M99">
    <cfRule type="cellIs" dxfId="1787" priority="20" stopIfTrue="1" operator="lessThan">
      <formula>100%</formula>
    </cfRule>
  </conditionalFormatting>
  <conditionalFormatting sqref="L10:L46">
    <cfRule type="cellIs" dxfId="1786" priority="16" operator="between">
      <formula>61</formula>
      <formula>65</formula>
    </cfRule>
    <cfRule type="cellIs" dxfId="1785" priority="17" operator="greaterThan">
      <formula>65</formula>
    </cfRule>
  </conditionalFormatting>
  <conditionalFormatting sqref="L49:M60">
    <cfRule type="cellIs" dxfId="1784" priority="69" operator="lessThan">
      <formula>97.95</formula>
    </cfRule>
  </conditionalFormatting>
  <conditionalFormatting sqref="L100:M100">
    <cfRule type="cellIs" dxfId="1783" priority="37" stopIfTrue="1" operator="lessThan">
      <formula>100%</formula>
    </cfRule>
  </conditionalFormatting>
  <conditionalFormatting sqref="L64:N64">
    <cfRule type="cellIs" dxfId="1782" priority="70" operator="notEqual">
      <formula>#REF!</formula>
    </cfRule>
  </conditionalFormatting>
  <conditionalFormatting sqref="L102:N110">
    <cfRule type="cellIs" dxfId="1781" priority="140" stopIfTrue="1" operator="lessThan">
      <formula>100%</formula>
    </cfRule>
  </conditionalFormatting>
  <conditionalFormatting sqref="M10:M25 M36:M44">
    <cfRule type="expression" dxfId="1780" priority="11">
      <formula>IF(+(IF(M10&lt;U10,0,IF(M10&gt;V10,0,1)))=0,1)</formula>
    </cfRule>
  </conditionalFormatting>
  <conditionalFormatting sqref="N10:N25 N36:N44">
    <cfRule type="expression" dxfId="1779" priority="10">
      <formula>IF(+(IF(N10&lt;W10,0,IF(N10&gt;X10,0,1)))=0,1)</formula>
    </cfRule>
  </conditionalFormatting>
  <conditionalFormatting sqref="N91:N100">
    <cfRule type="cellIs" dxfId="1778" priority="51" stopIfTrue="1" operator="lessThan">
      <formula>100%</formula>
    </cfRule>
  </conditionalFormatting>
  <conditionalFormatting sqref="P6">
    <cfRule type="cellIs" dxfId="1777" priority="136" operator="greaterThanOrEqual">
      <formula>19</formula>
    </cfRule>
  </conditionalFormatting>
  <dataValidations disablePrompts="1" count="1">
    <dataValidation type="list" allowBlank="1" showInputMessage="1" showErrorMessage="1" sqref="R8" xr:uid="{A09134D7-9592-4E87-987D-2099244A2B21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104" max="16383" man="1"/>
  </rowBreaks>
  <colBreaks count="1" manualBreakCount="1">
    <brk id="15" max="89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9826E-F385-4E73-B91B-8C672CF1FC94}">
  <sheetPr>
    <pageSetUpPr fitToPage="1"/>
  </sheetPr>
  <dimension ref="A1:BE85"/>
  <sheetViews>
    <sheetView topLeftCell="A6" zoomScale="70" zoomScaleNormal="70" workbookViewId="0">
      <selection activeCell="E10" sqref="E10:E13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9.42578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4" t="s">
        <v>0</v>
      </c>
      <c r="T1" s="494"/>
      <c r="U1" s="494" t="s">
        <v>1</v>
      </c>
      <c r="V1" s="494"/>
      <c r="W1" s="494" t="s">
        <v>2</v>
      </c>
      <c r="X1" s="494"/>
      <c r="Y1" s="494" t="s">
        <v>124</v>
      </c>
      <c r="Z1" s="494"/>
    </row>
    <row r="2" spans="2:29" ht="15">
      <c r="B2" s="495" t="s">
        <v>3</v>
      </c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46098</v>
      </c>
      <c r="J4" s="398" t="s">
        <v>167</v>
      </c>
      <c r="K4" s="398"/>
      <c r="L4" s="11"/>
      <c r="M4" s="492" t="s">
        <v>8</v>
      </c>
      <c r="N4" s="493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8"/>
      <c r="D5" s="49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9" t="s">
        <v>17</v>
      </c>
      <c r="C8" s="501" t="s">
        <v>18</v>
      </c>
      <c r="D8" s="501" t="s">
        <v>19</v>
      </c>
      <c r="E8" s="356" t="s">
        <v>20</v>
      </c>
      <c r="F8" s="356" t="s">
        <v>21</v>
      </c>
      <c r="G8" s="501" t="s">
        <v>22</v>
      </c>
      <c r="H8" s="502" t="s">
        <v>144</v>
      </c>
      <c r="I8" s="501" t="s">
        <v>165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169</v>
      </c>
      <c r="O8" s="510" t="s">
        <v>155</v>
      </c>
      <c r="P8" s="496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0"/>
      <c r="C9" s="497"/>
      <c r="D9" s="497"/>
      <c r="E9" s="357" t="s">
        <v>30</v>
      </c>
      <c r="F9" s="357" t="s">
        <v>31</v>
      </c>
      <c r="G9" s="497"/>
      <c r="H9" s="503"/>
      <c r="I9" s="497"/>
      <c r="J9" s="505"/>
      <c r="K9" s="507"/>
      <c r="L9" s="509"/>
      <c r="M9" s="20" t="s">
        <v>32</v>
      </c>
      <c r="N9" s="21" t="s">
        <v>41</v>
      </c>
      <c r="O9" s="511"/>
      <c r="P9" s="497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29" t="s">
        <v>6</v>
      </c>
      <c r="C10" s="366" t="str">
        <f>[4]Brewhouse!$A248</f>
        <v>CA205</v>
      </c>
      <c r="D10" s="279">
        <f>[4]Brewhouse!$AF248</f>
        <v>49.2</v>
      </c>
      <c r="E10" s="279">
        <f>[4]Brewhouse!$AI248</f>
        <v>49.3</v>
      </c>
      <c r="F10" s="278">
        <f>[4]Brewhouse!$V248</f>
        <v>57</v>
      </c>
      <c r="G10" s="279">
        <f>[4]Brewhouse!AG248</f>
        <v>11.6</v>
      </c>
      <c r="H10" s="396">
        <v>11.8</v>
      </c>
      <c r="I10" s="368">
        <f>[4]Brewhouse!$AU248</f>
        <v>94.924305937938897</v>
      </c>
      <c r="J10" s="368">
        <f>[4]Brewhouse!$AV248</f>
        <v>95.816639822262445</v>
      </c>
      <c r="K10" s="281">
        <f>[4]Brewhouse!$Q248</f>
        <v>13.92592592592592</v>
      </c>
      <c r="L10" s="276">
        <f>[4]Brewhouse!$P248</f>
        <v>60</v>
      </c>
      <c r="M10" s="397">
        <f>[4]Brewhouse!$U248-[4]Brewhouse!$T248</f>
        <v>0.1111111111111111</v>
      </c>
      <c r="N10" s="370">
        <f>[4]Brewhouse!$Z248</f>
        <v>0.40625</v>
      </c>
      <c r="O10" s="420" t="str">
        <f>[4]Brewhouse!$AX248</f>
        <v>K. Benjamin</v>
      </c>
      <c r="P10" s="418"/>
      <c r="R10" s="277" t="str">
        <f t="shared" ref="R10:R45" si="0">B10</f>
        <v>CARIB</v>
      </c>
      <c r="S10" s="472">
        <f t="shared" ref="S10:S45" si="1">VLOOKUP($B10,$R$3:$X$9,2,FALSE)</f>
        <v>11.6</v>
      </c>
      <c r="T10" s="472">
        <f t="shared" ref="T10:T45" si="2">VLOOKUP($B10,$R$3:$X$9,3,FALSE)</f>
        <v>12</v>
      </c>
      <c r="U10" s="297">
        <f t="shared" ref="U10:U45" si="3">VLOOKUP($B10,$R$3:$X$9,4,FALSE)</f>
        <v>0</v>
      </c>
      <c r="V10" s="297">
        <f t="shared" ref="V10:V45" si="4">VLOOKUP($B10,$R$3:$X$9,5,FALSE)</f>
        <v>0.118055555555556</v>
      </c>
      <c r="W10" s="297">
        <f t="shared" ref="W10:W45" si="5">VLOOKUP($B10,$R$3:$X$9,6,FALSE)</f>
        <v>0.22569444444444445</v>
      </c>
      <c r="X10" s="297">
        <f t="shared" ref="X10:X45" si="6">VLOOKUP($B10,$R$3:$X$9,7,FALSE)</f>
        <v>0.2638888888888889</v>
      </c>
      <c r="Y10" s="297">
        <f t="shared" ref="Y10:Y45" si="7">VLOOKUP($B10,$R$3:$Z$9,8,FALSE)</f>
        <v>0</v>
      </c>
      <c r="Z10" s="472">
        <f t="shared" ref="Z10:Z45" si="8">VLOOKUP($B10,$R$3:$Z$9,9,FALSE)</f>
        <v>60</v>
      </c>
    </row>
    <row r="11" spans="2:29" ht="16.5" customHeight="1">
      <c r="B11" s="29" t="s">
        <v>6</v>
      </c>
      <c r="C11" s="366" t="str">
        <f>[4]Brewhouse!$A249</f>
        <v>CA206</v>
      </c>
      <c r="D11" s="279">
        <f>[4]Brewhouse!$AF249</f>
        <v>49.2</v>
      </c>
      <c r="E11" s="279">
        <f>[4]Brewhouse!$AI249</f>
        <v>49.3</v>
      </c>
      <c r="F11" s="278">
        <f>[4]Brewhouse!$V249</f>
        <v>60</v>
      </c>
      <c r="G11" s="279">
        <f>[4]Brewhouse!AG249</f>
        <v>11.9</v>
      </c>
      <c r="H11" s="487">
        <v>12.1</v>
      </c>
      <c r="I11" s="368">
        <f>[4]Brewhouse!$AU249</f>
        <v>97.266996516441111</v>
      </c>
      <c r="J11" s="368">
        <f>[4]Brewhouse!$AV249</f>
        <v>98.181473434534439</v>
      </c>
      <c r="K11" s="281">
        <f>[4]Brewhouse!$Q249</f>
        <v>13.370370370370368</v>
      </c>
      <c r="L11" s="276">
        <f>[4]Brewhouse!$P249</f>
        <v>61</v>
      </c>
      <c r="M11" s="397">
        <f>[4]Brewhouse!$U249-[4]Brewhouse!$T249</f>
        <v>0.12083333333333329</v>
      </c>
      <c r="N11" s="370">
        <f>[4]Brewhouse!$Z249</f>
        <v>0.43333333333333329</v>
      </c>
      <c r="O11" s="420" t="str">
        <f>[4]Brewhouse!$AX249</f>
        <v>K. Benjamin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6.5" customHeight="1">
      <c r="B12" s="29" t="s">
        <v>6</v>
      </c>
      <c r="C12" s="366" t="str">
        <f>[4]Brewhouse!$A250</f>
        <v>CA207</v>
      </c>
      <c r="D12" s="279">
        <f>[4]Brewhouse!$AF250</f>
        <v>50.2</v>
      </c>
      <c r="E12" s="279">
        <f>[4]Brewhouse!$AI250</f>
        <v>50.6</v>
      </c>
      <c r="F12" s="278">
        <f>[4]Brewhouse!$V250</f>
        <v>59</v>
      </c>
      <c r="G12" s="279">
        <f>[4]Brewhouse!AG250</f>
        <v>12.1</v>
      </c>
      <c r="H12" s="396">
        <v>12</v>
      </c>
      <c r="I12" s="368">
        <f>[4]Brewhouse!$AU250</f>
        <v>101.97538590361592</v>
      </c>
      <c r="J12" s="368">
        <f>[4]Brewhouse!$AV250</f>
        <v>102.93393984628038</v>
      </c>
      <c r="K12" s="281">
        <f>[4]Brewhouse!$Q250</f>
        <v>11.703703703703704</v>
      </c>
      <c r="L12" s="276">
        <f>[4]Brewhouse!$P250</f>
        <v>59</v>
      </c>
      <c r="M12" s="397">
        <f>[4]Brewhouse!$U250-[4]Brewhouse!$T250</f>
        <v>0.11180555555555549</v>
      </c>
      <c r="N12" s="370">
        <f>[4]Brewhouse!$Z250</f>
        <v>0.26527777777777772</v>
      </c>
      <c r="O12" s="420" t="str">
        <f>[4]Brewhouse!$AX250</f>
        <v>K. Benjamin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6.5" customHeight="1">
      <c r="B13" s="29" t="s">
        <v>6</v>
      </c>
      <c r="C13" s="366" t="str">
        <f>[4]Brewhouse!$A251</f>
        <v>CA208</v>
      </c>
      <c r="D13" s="279">
        <f>[4]Brewhouse!$AF251</f>
        <v>48.8</v>
      </c>
      <c r="E13" s="279">
        <f>[4]Brewhouse!$AI251</f>
        <v>48</v>
      </c>
      <c r="F13" s="278">
        <f>[4]Brewhouse!$V251</f>
        <v>57</v>
      </c>
      <c r="G13" s="279">
        <f>[4]Brewhouse!AG251</f>
        <v>11.7</v>
      </c>
      <c r="H13" s="396">
        <v>11.7</v>
      </c>
      <c r="I13" s="368">
        <f>[4]Brewhouse!$AU251</f>
        <v>93.260037484866757</v>
      </c>
      <c r="J13" s="368">
        <f>[4]Brewhouse!$AV251</f>
        <v>94.136726449602932</v>
      </c>
      <c r="K13" s="281">
        <f>[4]Brewhouse!$Q251</f>
        <v>10.203327171903888</v>
      </c>
      <c r="L13" s="276">
        <f>[4]Brewhouse!$P251</f>
        <v>60</v>
      </c>
      <c r="M13" s="397">
        <f>[4]Brewhouse!$U251-[4]Brewhouse!$T251</f>
        <v>0.10416666666666663</v>
      </c>
      <c r="N13" s="370">
        <f>[4]Brewhouse!$Z251</f>
        <v>0.24444444444444446</v>
      </c>
      <c r="O13" s="420" t="str">
        <f>[4]Brewhouse!$AX251</f>
        <v>R. Regis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6.5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420"/>
      <c r="P14" s="418"/>
      <c r="R14" s="277">
        <f t="shared" si="0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6.5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420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6.5" customHeight="1">
      <c r="B16" s="33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371"/>
      <c r="P16" s="418"/>
      <c r="R16" s="277">
        <f t="shared" si="0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2:26" ht="16.5" hidden="1" customHeight="1">
      <c r="B17" s="33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8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2:26" ht="16.5" hidden="1" customHeight="1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2:26" ht="16.5" hidden="1" customHeight="1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2:26" ht="16.5" hidden="1" customHeight="1">
      <c r="B20" s="33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2:26" ht="15" hidden="1">
      <c r="B21" s="33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2:26" ht="15" hidden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2:26" ht="15" hidden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0"/>
      <c r="P23" s="418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2:26" ht="15" hidden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420"/>
      <c r="P24" s="418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2:26" ht="16.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420"/>
      <c r="P25" s="418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2:26" ht="16.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420"/>
      <c r="P26" s="418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2:26" ht="16.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420"/>
      <c r="P27" s="418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2:26" ht="15" hidden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420"/>
      <c r="P28" s="418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2:26" ht="15" hidden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420"/>
      <c r="P29" s="418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2:26" ht="18" hidden="1" customHeight="1">
      <c r="B30" s="29"/>
      <c r="C30" s="366"/>
      <c r="D30" s="279"/>
      <c r="E30" s="279"/>
      <c r="F30" s="278"/>
      <c r="G30" s="279"/>
      <c r="H30" s="487"/>
      <c r="I30" s="368"/>
      <c r="J30" s="368"/>
      <c r="K30" s="281"/>
      <c r="L30" s="276"/>
      <c r="M30" s="374"/>
      <c r="N30" s="370"/>
      <c r="O30" s="371"/>
      <c r="P30" s="418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2:26" ht="16.5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18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2:26" ht="15.75" customHeight="1" thickBot="1">
      <c r="B32" s="358"/>
      <c r="C32" s="358"/>
      <c r="D32" s="358"/>
      <c r="E32" s="358"/>
      <c r="F32" s="294"/>
      <c r="G32" s="294"/>
      <c r="H32" s="348"/>
      <c r="I32" s="512"/>
      <c r="J32" s="512"/>
      <c r="K32" s="512"/>
      <c r="L32" s="512"/>
      <c r="M32" s="512"/>
      <c r="N32" s="512"/>
      <c r="O32" s="1"/>
      <c r="P32" s="12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27" ht="15.75" customHeight="1" thickBot="1">
      <c r="B33" s="388" t="s">
        <v>162</v>
      </c>
      <c r="C33" s="388"/>
      <c r="D33" s="513" t="s">
        <v>35</v>
      </c>
      <c r="E33" s="514"/>
      <c r="F33" s="294"/>
      <c r="G33" s="294"/>
      <c r="H33" s="348"/>
      <c r="I33" s="24" t="s">
        <v>17</v>
      </c>
      <c r="J33" s="25"/>
      <c r="K33" s="26" t="s">
        <v>138</v>
      </c>
      <c r="L33" s="25" t="s">
        <v>37</v>
      </c>
      <c r="M33" s="25" t="s">
        <v>38</v>
      </c>
      <c r="N33" s="27" t="s">
        <v>39</v>
      </c>
      <c r="O33" s="294"/>
      <c r="P33" s="12"/>
      <c r="R33" s="277" t="str">
        <f t="shared" si="0"/>
        <v xml:space="preserve">BRAND 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27" ht="15" customHeight="1">
      <c r="A34" s="28"/>
      <c r="B34" s="515" t="str">
        <f>I34</f>
        <v>CARIB</v>
      </c>
      <c r="C34" s="362" cm="1">
        <f t="array" ref="C34:C37">[4]Process!$D$176:$D$179</f>
        <v>11.8</v>
      </c>
      <c r="D34" s="518">
        <v>11.91</v>
      </c>
      <c r="E34" s="519"/>
      <c r="F34" s="294"/>
      <c r="G34" s="294"/>
      <c r="H34" s="348"/>
      <c r="I34" s="29" t="s">
        <v>6</v>
      </c>
      <c r="J34" s="323">
        <f>AVERAGE(I10:I13)</f>
        <v>96.856681460715663</v>
      </c>
      <c r="K34" s="284">
        <f>COUNTA([4]Brewhouse!$A$198:$A$251)</f>
        <v>54</v>
      </c>
      <c r="L34" s="305">
        <f>AVERAGE([4]Brewhouse!$AU$198:$AU$251)</f>
        <v>98.020837295765901</v>
      </c>
      <c r="M34" s="305">
        <f>AVERAGE([4]Brewhouse!$AU$42:$AU$123,[4]Brewhouse!$AU$125:$AU$188,[4]Brewhouse!$AU$198:$AU$251)</f>
        <v>97.710961058602166</v>
      </c>
      <c r="N34" s="30">
        <v>98</v>
      </c>
      <c r="O34" s="11"/>
      <c r="P34" s="31"/>
      <c r="R34" s="277" t="str">
        <f t="shared" si="0"/>
        <v>CARIB</v>
      </c>
      <c r="S34" s="472">
        <f t="shared" si="1"/>
        <v>11.6</v>
      </c>
      <c r="T34" s="472">
        <f t="shared" si="2"/>
        <v>12</v>
      </c>
      <c r="U34" s="297">
        <f t="shared" si="3"/>
        <v>0</v>
      </c>
      <c r="V34" s="297">
        <f t="shared" si="4"/>
        <v>0.118055555555556</v>
      </c>
      <c r="W34" s="297">
        <f t="shared" si="5"/>
        <v>0.22569444444444445</v>
      </c>
      <c r="X34" s="297">
        <f t="shared" si="6"/>
        <v>0.2638888888888889</v>
      </c>
      <c r="Y34" s="297">
        <f t="shared" si="7"/>
        <v>0</v>
      </c>
      <c r="Z34" s="472">
        <f t="shared" si="8"/>
        <v>60</v>
      </c>
    </row>
    <row r="35" spans="1:27" ht="15" customHeight="1">
      <c r="A35" s="28"/>
      <c r="B35" s="516"/>
      <c r="C35" s="362">
        <v>11.6</v>
      </c>
      <c r="D35" s="520"/>
      <c r="E35" s="521"/>
      <c r="F35" s="294"/>
      <c r="G35" s="294"/>
      <c r="H35" s="348"/>
      <c r="I35" s="33" t="s">
        <v>9</v>
      </c>
      <c r="J35" s="280"/>
      <c r="K35" s="284">
        <f>COUNTA([3]Brewhouse!$A$134:$A$157)</f>
        <v>24</v>
      </c>
      <c r="L35" s="302">
        <f>AVERAGE([3]Brewhouse!$AS$134:$AS$157)</f>
        <v>98.305339109955796</v>
      </c>
      <c r="M35" s="302">
        <f>AVERAGE([3]Brewhouse!$AS$52:$AS$81,[3]Brewhouse!$AS$83:$AS$124,[3]Brewhouse!$AS$134:$AS$157)</f>
        <v>98.313793139420682</v>
      </c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27" ht="14.65" customHeight="1">
      <c r="A36" s="28"/>
      <c r="B36" s="516"/>
      <c r="C36" s="362">
        <v>11.8</v>
      </c>
      <c r="D36" s="522">
        <v>11.61</v>
      </c>
      <c r="E36" s="523"/>
      <c r="F36" s="294"/>
      <c r="G36" s="294"/>
      <c r="H36" s="348"/>
      <c r="I36" s="34" t="s">
        <v>12</v>
      </c>
      <c r="J36" s="280"/>
      <c r="K36" s="284">
        <f>COUNTA([5]Brewhouse!$A$34:$A$41)</f>
        <v>8</v>
      </c>
      <c r="L36" s="302">
        <f>AVERAGE([5]Brewhouse!$AU$34:$AU$41)</f>
        <v>94.762610859726223</v>
      </c>
      <c r="M36" s="302">
        <f>AVERAGE([5]Brewhouse!$AU$16:$AU$23,[5]Brewhouse!$AU$25:$AU$32,[5]Brewhouse!$AU$34:$AU$41)</f>
        <v>97.131453825415363</v>
      </c>
      <c r="N36" s="3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1:27" ht="14.65" customHeight="1">
      <c r="A37" s="28"/>
      <c r="B37" s="516"/>
      <c r="C37" s="362">
        <v>11.7</v>
      </c>
      <c r="D37" s="524"/>
      <c r="E37" s="521"/>
      <c r="F37" s="294"/>
      <c r="G37" s="294"/>
      <c r="H37" s="348"/>
      <c r="I37" s="22" t="s">
        <v>33</v>
      </c>
      <c r="J37" s="280"/>
      <c r="K37" s="284">
        <f>COUNTA([6]Brewhouse!$A$38:$A$44)</f>
        <v>7</v>
      </c>
      <c r="L37" s="302">
        <f>AVERAGE([6]Brewhouse!$AV$38:$AV$44)</f>
        <v>96.929916494140343</v>
      </c>
      <c r="M37" s="302">
        <f>AVERAGE([6]Brewhouse!$AV$23:$AV$34,[6]Brewhouse!$AV$36,[6]Brewhouse!$AV$38:$AV$44)</f>
        <v>97.74055230745536</v>
      </c>
      <c r="N37" s="30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</row>
    <row r="38" spans="1:27" ht="14.65" customHeight="1">
      <c r="A38" s="28"/>
      <c r="B38" s="516"/>
      <c r="C38" s="362"/>
      <c r="D38" s="522"/>
      <c r="E38" s="523"/>
      <c r="F38" s="417"/>
      <c r="G38" s="294"/>
      <c r="H38" s="348"/>
      <c r="I38" s="35" t="s">
        <v>29</v>
      </c>
      <c r="J38" s="280"/>
      <c r="K38" s="284"/>
      <c r="L38" s="302"/>
      <c r="M38" s="302"/>
      <c r="N38" s="30">
        <v>98</v>
      </c>
      <c r="O38" s="11"/>
      <c r="P38" s="31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</row>
    <row r="39" spans="1:27" ht="14.65" customHeight="1">
      <c r="A39" s="28"/>
      <c r="B39" s="516"/>
      <c r="C39" s="362"/>
      <c r="D39" s="524"/>
      <c r="E39" s="521"/>
      <c r="F39" s="417"/>
      <c r="G39" s="294"/>
      <c r="H39" s="348"/>
      <c r="I39" s="36" t="s">
        <v>15</v>
      </c>
      <c r="J39" s="323"/>
      <c r="K39" s="284"/>
      <c r="L39" s="302"/>
      <c r="M39" s="302">
        <f>AVERAGE([7]Brewhouse!$AT$4:$AT$11)</f>
        <v>92.826224508052405</v>
      </c>
      <c r="N39" s="30">
        <v>98</v>
      </c>
      <c r="O39" s="11"/>
      <c r="P39" s="31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  <c r="AA39" s="472"/>
    </row>
    <row r="40" spans="1:27" ht="14.65" customHeight="1">
      <c r="A40" s="28"/>
      <c r="B40" s="516"/>
      <c r="C40" s="362"/>
      <c r="D40" s="522"/>
      <c r="E40" s="523"/>
      <c r="F40" s="417"/>
      <c r="G40" s="294"/>
      <c r="H40" s="348"/>
      <c r="I40" s="37" t="s">
        <v>16</v>
      </c>
      <c r="J40" s="323"/>
      <c r="K40" s="284">
        <f>COUNTA([8]Brewhouse!$A$25:$A$32)</f>
        <v>8</v>
      </c>
      <c r="L40" s="302">
        <f>AVERAGE([8]Brewhouse!$AY$32)</f>
        <v>97.452144425843485</v>
      </c>
      <c r="M40" s="302">
        <f>AVERAGE([8]Brewhouse!$AY$5:$AY$14,[8]Brewhouse!$AY$16:$AY$23,[8]Brewhouse!$AY$32)</f>
        <v>97.301958816242518</v>
      </c>
      <c r="N40" s="30">
        <v>98</v>
      </c>
      <c r="O40" s="11"/>
      <c r="P40" s="31" t="s">
        <v>41</v>
      </c>
      <c r="R40" s="277">
        <f t="shared" si="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  <c r="AA40" s="472"/>
    </row>
    <row r="41" spans="1:27" ht="14.65" customHeight="1">
      <c r="A41" s="28"/>
      <c r="B41" s="516"/>
      <c r="C41" s="362"/>
      <c r="D41" s="524"/>
      <c r="E41" s="521"/>
      <c r="F41" s="294"/>
      <c r="G41" s="294"/>
      <c r="H41" s="348"/>
      <c r="I41" s="411" t="s">
        <v>158</v>
      </c>
      <c r="J41" s="326"/>
      <c r="K41" s="284"/>
      <c r="L41" s="305"/>
      <c r="M41" s="305"/>
      <c r="N41" s="30">
        <v>98</v>
      </c>
      <c r="O41" s="11"/>
      <c r="P41" s="31"/>
      <c r="R41" s="277">
        <f t="shared" si="0"/>
        <v>0</v>
      </c>
      <c r="S41" s="472" t="e">
        <f t="shared" si="1"/>
        <v>#N/A</v>
      </c>
      <c r="T41" s="472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2" t="e">
        <f t="shared" si="8"/>
        <v>#N/A</v>
      </c>
      <c r="AA41" s="472"/>
    </row>
    <row r="42" spans="1:27" ht="14.65" customHeight="1">
      <c r="A42" s="28"/>
      <c r="B42" s="516"/>
      <c r="C42" s="349"/>
      <c r="D42" s="522"/>
      <c r="E42" s="523"/>
      <c r="F42" s="294"/>
      <c r="G42" s="294"/>
      <c r="H42" s="348"/>
      <c r="I42" s="410" t="s">
        <v>157</v>
      </c>
      <c r="J42" s="326"/>
      <c r="K42" s="284"/>
      <c r="L42" s="305"/>
      <c r="M42" s="305"/>
      <c r="N42" s="30">
        <v>98</v>
      </c>
      <c r="O42" s="11"/>
      <c r="P42" s="31"/>
      <c r="R42" s="277">
        <f t="shared" si="0"/>
        <v>0</v>
      </c>
      <c r="S42" s="472" t="e">
        <f t="shared" si="1"/>
        <v>#N/A</v>
      </c>
      <c r="T42" s="472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472" t="e">
        <f t="shared" si="8"/>
        <v>#N/A</v>
      </c>
      <c r="AA42" s="472"/>
    </row>
    <row r="43" spans="1:27" ht="15" customHeight="1" thickBot="1">
      <c r="A43" s="28"/>
      <c r="B43" s="516"/>
      <c r="C43" s="349"/>
      <c r="D43" s="524"/>
      <c r="E43" s="521"/>
      <c r="F43" s="294"/>
      <c r="G43" s="294"/>
      <c r="H43" s="348"/>
      <c r="I43" s="406" t="s">
        <v>156</v>
      </c>
      <c r="J43" s="327"/>
      <c r="K43" s="407"/>
      <c r="L43" s="408"/>
      <c r="M43" s="408"/>
      <c r="N43" s="409">
        <v>98</v>
      </c>
      <c r="O43" s="11"/>
      <c r="P43" s="31"/>
      <c r="R43" s="277">
        <f t="shared" si="0"/>
        <v>0</v>
      </c>
      <c r="S43" s="472" t="e">
        <f t="shared" si="1"/>
        <v>#N/A</v>
      </c>
      <c r="T43" s="472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472" t="e">
        <f t="shared" si="8"/>
        <v>#N/A</v>
      </c>
      <c r="AA43" s="472"/>
    </row>
    <row r="44" spans="1:27" ht="15" customHeight="1" thickBot="1">
      <c r="A44" s="28"/>
      <c r="B44" s="516"/>
      <c r="C44" s="349"/>
      <c r="D44" s="518"/>
      <c r="E44" s="519"/>
      <c r="F44" s="294"/>
      <c r="G44" s="294"/>
      <c r="H44" s="348"/>
      <c r="I44" s="1"/>
      <c r="J44" s="39"/>
      <c r="K44" s="404">
        <f>SUM(K34:K43)</f>
        <v>101</v>
      </c>
      <c r="L44" s="405">
        <f>((L34*K34)+(L35*K35)+(L36*K36)+(L37*K37)+(L38*K38)+(K41*L41)+(L39*K39)+(L40*K40)+(L43*K43))/(K44)</f>
        <v>97.709710993602343</v>
      </c>
      <c r="M44" s="405">
        <f>AVERAGE('[9]Jan30th-31st'!$L$42,L44)</f>
        <v>97.768876364721905</v>
      </c>
      <c r="N44" s="40">
        <v>98</v>
      </c>
      <c r="O44" s="11"/>
      <c r="P44" s="31"/>
      <c r="R44" s="277">
        <f t="shared" si="0"/>
        <v>0</v>
      </c>
      <c r="S44" s="472" t="e">
        <f t="shared" si="1"/>
        <v>#N/A</v>
      </c>
      <c r="T44" s="472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472" t="e">
        <f t="shared" si="8"/>
        <v>#N/A</v>
      </c>
      <c r="AA44" s="472"/>
    </row>
    <row r="45" spans="1:27" ht="15.75" thickBot="1">
      <c r="B45" s="517"/>
      <c r="C45" s="350"/>
      <c r="D45" s="520"/>
      <c r="E45" s="521"/>
      <c r="F45" s="294"/>
      <c r="G45" s="42"/>
      <c r="H45" s="41"/>
      <c r="I45" s="42"/>
      <c r="J45" s="42"/>
      <c r="K45" s="351"/>
      <c r="L45" s="348"/>
      <c r="M45" s="348"/>
      <c r="N45" s="11"/>
      <c r="O45" s="294"/>
      <c r="P45" s="12"/>
      <c r="R45" s="277">
        <f t="shared" si="0"/>
        <v>0</v>
      </c>
      <c r="S45" s="472" t="e">
        <f t="shared" si="1"/>
        <v>#N/A</v>
      </c>
      <c r="T45" s="472" t="e">
        <f t="shared" si="2"/>
        <v>#N/A</v>
      </c>
      <c r="U45" s="297" t="e">
        <f t="shared" si="3"/>
        <v>#N/A</v>
      </c>
      <c r="V45" s="297" t="e">
        <f t="shared" si="4"/>
        <v>#N/A</v>
      </c>
      <c r="W45" s="297" t="e">
        <f t="shared" si="5"/>
        <v>#N/A</v>
      </c>
      <c r="X45" s="297" t="e">
        <f t="shared" si="6"/>
        <v>#N/A</v>
      </c>
      <c r="Y45" s="297" t="e">
        <f t="shared" si="7"/>
        <v>#N/A</v>
      </c>
      <c r="Z45" s="472" t="e">
        <f t="shared" si="8"/>
        <v>#N/A</v>
      </c>
      <c r="AA45" s="472"/>
    </row>
    <row r="46" spans="1:27" ht="15.75" thickBot="1">
      <c r="B46" s="525"/>
      <c r="C46" s="362"/>
      <c r="D46" s="528"/>
      <c r="E46" s="529"/>
      <c r="F46" s="294"/>
      <c r="G46" s="42"/>
      <c r="H46" s="41"/>
      <c r="I46" s="42"/>
      <c r="J46" s="530" t="s">
        <v>129</v>
      </c>
      <c r="K46" s="530"/>
      <c r="L46" s="294"/>
      <c r="M46" s="294"/>
      <c r="N46" s="294"/>
      <c r="O46" s="294"/>
      <c r="P46" s="12"/>
    </row>
    <row r="47" spans="1:27" ht="15.75" thickBot="1">
      <c r="B47" s="526"/>
      <c r="C47" s="362"/>
      <c r="D47" s="524"/>
      <c r="E47" s="521"/>
      <c r="F47" s="294"/>
      <c r="G47" s="42"/>
      <c r="H47" s="42"/>
      <c r="I47" s="42"/>
      <c r="J47" s="292" t="s">
        <v>17</v>
      </c>
      <c r="K47" s="293" t="s">
        <v>172</v>
      </c>
      <c r="L47" s="531" t="s">
        <v>136</v>
      </c>
      <c r="M47" s="531"/>
      <c r="N47" s="532"/>
      <c r="O47" s="294"/>
      <c r="P47" s="12"/>
    </row>
    <row r="48" spans="1:27" ht="15" customHeight="1" thickBot="1">
      <c r="B48" s="526"/>
      <c r="C48" s="349"/>
      <c r="D48" s="522"/>
      <c r="E48" s="523"/>
      <c r="F48" s="294"/>
      <c r="G48" s="42"/>
      <c r="H48" s="42"/>
      <c r="I48" s="42"/>
      <c r="J48" s="287" t="s">
        <v>6</v>
      </c>
      <c r="K48" s="324">
        <v>4</v>
      </c>
      <c r="L48" s="473" t="s">
        <v>37</v>
      </c>
      <c r="M48" s="474" t="s">
        <v>38</v>
      </c>
      <c r="N48" s="474" t="s">
        <v>84</v>
      </c>
      <c r="O48" s="294"/>
      <c r="P48" s="12"/>
    </row>
    <row r="49" spans="2:57" ht="15.75" customHeight="1" thickBot="1">
      <c r="B49" s="526"/>
      <c r="C49" s="349"/>
      <c r="D49" s="524"/>
      <c r="E49" s="521"/>
      <c r="F49" s="294"/>
      <c r="G49" s="42"/>
      <c r="H49" s="42"/>
      <c r="I49" s="42"/>
      <c r="J49" s="345" t="s">
        <v>9</v>
      </c>
      <c r="K49" s="324"/>
      <c r="L49" s="344">
        <f>AVERAGE(K58,'Mar 2nd'!K49,'Mar 1st'!K55,'Mar 3rd'!K49,'Mar 4th'!K51,'Mar 5th'!K52,'Mar 6th '!K49,'Mar 9th'!K53,'Mar 10th'!K47,'Mar 11th'!K50,'Mar 12th'!K51,'Mar 13th-15th'!J73,'Mar 13th-15th'!I73)</f>
        <v>7.615384615384615</v>
      </c>
      <c r="M49" s="325">
        <f>AVERAGE('[9]Jan30th-31st'!$L$47,L49,'[10]Feb 26th '!$L$39)</f>
        <v>6.6007803790412494</v>
      </c>
      <c r="N49" s="416">
        <v>9.1999999999999993</v>
      </c>
      <c r="O49" s="294"/>
      <c r="P49" s="12"/>
    </row>
    <row r="50" spans="2:57" ht="15" customHeight="1">
      <c r="B50" s="526"/>
      <c r="C50" s="349"/>
      <c r="D50" s="522"/>
      <c r="E50" s="523"/>
      <c r="F50" s="294"/>
      <c r="G50" s="42"/>
      <c r="H50" s="42"/>
      <c r="I50" s="42"/>
      <c r="J50" s="288" t="s">
        <v>40</v>
      </c>
      <c r="K50" s="324"/>
      <c r="L50" s="294"/>
      <c r="M50" s="294"/>
      <c r="N50" s="294"/>
      <c r="O50" s="294"/>
      <c r="P50" s="12"/>
    </row>
    <row r="51" spans="2:57" ht="15" customHeight="1">
      <c r="B51" s="526"/>
      <c r="C51" s="349"/>
      <c r="D51" s="524"/>
      <c r="E51" s="521"/>
      <c r="F51" s="294"/>
      <c r="G51" s="42"/>
      <c r="H51" s="42"/>
      <c r="I51" s="42"/>
      <c r="J51" s="289" t="s">
        <v>33</v>
      </c>
      <c r="K51" s="324"/>
      <c r="L51" s="294"/>
      <c r="M51" s="294"/>
      <c r="N51" s="294"/>
      <c r="O51" s="294"/>
      <c r="P51" s="12"/>
    </row>
    <row r="52" spans="2:57" ht="15">
      <c r="B52" s="526"/>
      <c r="C52" s="349"/>
      <c r="D52" s="522"/>
      <c r="E52" s="523"/>
      <c r="F52" s="294"/>
      <c r="G52" s="42"/>
      <c r="H52" s="42"/>
      <c r="I52" s="42"/>
      <c r="J52" s="290" t="s">
        <v>16</v>
      </c>
      <c r="K52" s="324"/>
      <c r="L52" s="294"/>
      <c r="M52" s="294"/>
      <c r="N52" s="294"/>
      <c r="O52" s="294"/>
      <c r="P52" s="12"/>
      <c r="BC52" s="44"/>
      <c r="BD52" s="44"/>
    </row>
    <row r="53" spans="2:57" ht="15">
      <c r="B53" s="526"/>
      <c r="C53" s="349"/>
      <c r="D53" s="524"/>
      <c r="E53" s="521"/>
      <c r="F53" s="294"/>
      <c r="G53" s="42"/>
      <c r="H53" s="42"/>
      <c r="I53" s="42"/>
      <c r="J53" s="291" t="s">
        <v>15</v>
      </c>
      <c r="K53" s="324"/>
      <c r="L53" s="294"/>
      <c r="M53" s="294"/>
      <c r="N53" s="294"/>
      <c r="O53" s="294"/>
      <c r="P53" s="12"/>
      <c r="BC53" s="44"/>
      <c r="BD53" s="44"/>
    </row>
    <row r="54" spans="2:57" ht="15">
      <c r="B54" s="526"/>
      <c r="C54" s="349"/>
      <c r="D54" s="522"/>
      <c r="E54" s="523"/>
      <c r="F54" s="294"/>
      <c r="G54" s="42"/>
      <c r="H54" s="42"/>
      <c r="I54" s="42"/>
      <c r="J54" s="291" t="s">
        <v>149</v>
      </c>
      <c r="K54" s="324"/>
      <c r="L54" s="294"/>
      <c r="M54" s="294"/>
      <c r="N54" s="294"/>
      <c r="O54" s="294"/>
      <c r="P54" s="12"/>
      <c r="BC54" s="44"/>
      <c r="BD54" s="44"/>
    </row>
    <row r="55" spans="2:57" ht="15.75" thickBot="1">
      <c r="B55" s="527"/>
      <c r="C55" s="350"/>
      <c r="D55" s="533"/>
      <c r="E55" s="534"/>
      <c r="F55" s="294" t="s">
        <v>166</v>
      </c>
      <c r="G55" s="42"/>
      <c r="H55" s="42"/>
      <c r="I55" s="42"/>
      <c r="J55" s="291" t="s">
        <v>148</v>
      </c>
      <c r="K55" s="324"/>
      <c r="L55" s="294"/>
      <c r="M55" s="294"/>
      <c r="N55" s="294" t="s">
        <v>41</v>
      </c>
      <c r="O55" s="294"/>
      <c r="P55" s="12"/>
      <c r="BC55" s="44"/>
      <c r="BD55" s="44"/>
    </row>
    <row r="56" spans="2:57" ht="17.649999999999999" customHeight="1" thickBot="1">
      <c r="B56" s="312" t="s">
        <v>139</v>
      </c>
      <c r="C56" s="313"/>
      <c r="D56" s="535"/>
      <c r="E56" s="536"/>
      <c r="F56" s="294"/>
      <c r="J56" s="295" t="s">
        <v>134</v>
      </c>
      <c r="K56" s="324"/>
      <c r="L56" s="294"/>
      <c r="M56" s="294"/>
      <c r="N56" s="294"/>
      <c r="O56" s="294"/>
      <c r="P56" s="12"/>
      <c r="BC56" s="44"/>
      <c r="BD56" s="44"/>
    </row>
    <row r="57" spans="2:57" ht="17.649999999999999" customHeight="1">
      <c r="B57" s="363"/>
      <c r="C57" s="364"/>
      <c r="D57" s="365"/>
      <c r="E57" s="365"/>
      <c r="F57" s="294"/>
      <c r="G57" s="42"/>
      <c r="H57" s="42"/>
      <c r="I57" s="42"/>
      <c r="J57" s="295" t="s">
        <v>131</v>
      </c>
      <c r="K57" s="324"/>
      <c r="L57" s="294"/>
      <c r="M57" s="294"/>
      <c r="N57" s="294"/>
      <c r="O57" s="294"/>
      <c r="P57" s="12"/>
      <c r="BC57" s="44"/>
      <c r="BD57" s="44"/>
    </row>
    <row r="58" spans="2:57" ht="15.6" customHeight="1">
      <c r="B58" s="45"/>
      <c r="C58" s="11"/>
      <c r="D58" s="11"/>
      <c r="E58" s="46"/>
      <c r="F58" s="294"/>
      <c r="G58" s="42"/>
      <c r="H58" s="42"/>
      <c r="I58" s="42"/>
      <c r="J58" s="346" t="s">
        <v>130</v>
      </c>
      <c r="K58" s="324">
        <f>SUM(K48:K57)</f>
        <v>4</v>
      </c>
      <c r="L58" s="294"/>
      <c r="M58" s="294"/>
      <c r="N58" s="294"/>
      <c r="O58" s="294"/>
      <c r="P58" s="12"/>
    </row>
    <row r="59" spans="2:57" ht="20.25" customHeight="1">
      <c r="B59" s="15" t="s">
        <v>42</v>
      </c>
      <c r="C59" s="1" t="s">
        <v>43</v>
      </c>
      <c r="D59" s="1"/>
      <c r="E59" s="1"/>
      <c r="F59" s="294"/>
      <c r="G59" s="42"/>
      <c r="H59" s="41"/>
      <c r="I59" s="42"/>
      <c r="L59" s="294"/>
      <c r="N59" s="315"/>
      <c r="P59" s="334"/>
    </row>
    <row r="60" spans="2:57" ht="15" customHeight="1" thickBot="1"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1"/>
      <c r="O60" s="48"/>
      <c r="P60" s="49"/>
    </row>
    <row r="61" spans="2:57" ht="15" customHeight="1" thickBot="1">
      <c r="B61" s="537" t="s">
        <v>17</v>
      </c>
      <c r="C61" s="537" t="s">
        <v>44</v>
      </c>
      <c r="D61" s="540" t="s">
        <v>45</v>
      </c>
      <c r="E61" s="501" t="s">
        <v>46</v>
      </c>
      <c r="F61" s="510" t="s">
        <v>47</v>
      </c>
      <c r="G61" s="549" t="s">
        <v>48</v>
      </c>
      <c r="H61" s="537" t="s">
        <v>49</v>
      </c>
      <c r="I61" s="537" t="s">
        <v>50</v>
      </c>
      <c r="J61" s="543" t="s">
        <v>28</v>
      </c>
      <c r="K61" s="499" t="s">
        <v>51</v>
      </c>
      <c r="L61" s="552" t="s">
        <v>52</v>
      </c>
      <c r="M61" s="543" t="s">
        <v>53</v>
      </c>
      <c r="N61" s="13"/>
      <c r="O61" s="13"/>
      <c r="P61" s="50"/>
    </row>
    <row r="62" spans="2:57" ht="28.5" customHeight="1" thickTop="1" thickBot="1">
      <c r="B62" s="538"/>
      <c r="C62" s="539"/>
      <c r="D62" s="541"/>
      <c r="E62" s="542"/>
      <c r="F62" s="554"/>
      <c r="G62" s="550"/>
      <c r="H62" s="538"/>
      <c r="I62" s="538"/>
      <c r="J62" s="544"/>
      <c r="K62" s="551"/>
      <c r="L62" s="553"/>
      <c r="M62" s="544"/>
      <c r="N62" s="13"/>
      <c r="O62" s="13"/>
      <c r="P62" s="50"/>
      <c r="Q62" s="355"/>
      <c r="AB62" s="475">
        <v>43474</v>
      </c>
      <c r="AC62" s="475">
        <v>43475</v>
      </c>
      <c r="AD62" s="475">
        <v>43476</v>
      </c>
      <c r="AE62" s="475">
        <v>43477</v>
      </c>
      <c r="AF62" s="475">
        <v>43478</v>
      </c>
      <c r="AG62" s="475">
        <v>43479</v>
      </c>
      <c r="AH62" s="475">
        <v>43480</v>
      </c>
      <c r="AI62" s="475">
        <v>43481</v>
      </c>
      <c r="AJ62" s="475">
        <v>43482</v>
      </c>
      <c r="AK62" s="475">
        <v>43483</v>
      </c>
      <c r="AL62" s="475">
        <v>43484</v>
      </c>
      <c r="AM62" s="475">
        <v>43485</v>
      </c>
      <c r="AN62" s="475">
        <v>43486</v>
      </c>
      <c r="AO62" s="475">
        <v>43487</v>
      </c>
      <c r="AP62" s="475">
        <v>43488</v>
      </c>
      <c r="AQ62" s="475">
        <v>43489</v>
      </c>
      <c r="AR62" s="475">
        <v>43490</v>
      </c>
      <c r="AS62" s="475">
        <v>43491</v>
      </c>
      <c r="AT62" s="475">
        <v>43492</v>
      </c>
      <c r="AU62" s="475">
        <v>43493</v>
      </c>
      <c r="AV62" s="475">
        <v>43494</v>
      </c>
      <c r="AW62" s="475">
        <v>43495</v>
      </c>
      <c r="AX62" s="475">
        <v>43496</v>
      </c>
    </row>
    <row r="63" spans="2:57" s="54" customFormat="1" ht="36.75" customHeight="1" thickBot="1">
      <c r="B63" s="480" t="str">
        <f>I34</f>
        <v>CARIB</v>
      </c>
      <c r="C63" s="479">
        <v>46097</v>
      </c>
      <c r="D63" s="442">
        <f>[11]March_2026!$S$3</f>
        <v>197.5</v>
      </c>
      <c r="E63" s="443"/>
      <c r="F63" s="444"/>
      <c r="G63" s="445">
        <f>[11]March_2026!$S$7</f>
        <v>195.1</v>
      </c>
      <c r="H63" s="458"/>
      <c r="I63" s="458"/>
      <c r="J63" s="448" t="s">
        <v>191</v>
      </c>
      <c r="K63" s="449">
        <f>[13]March_2026!$S$18</f>
        <v>0.68456140350877193</v>
      </c>
      <c r="L63" s="476">
        <f>(((D63+E63)-G63)/(D63+E63))*100</f>
        <v>1.2151898734177244</v>
      </c>
      <c r="M63" s="455" t="s">
        <v>192</v>
      </c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>
        <f>[14]January_2019!L5</f>
        <v>0</v>
      </c>
      <c r="AC63" s="57">
        <f>[14]January_2019!M5</f>
        <v>0</v>
      </c>
      <c r="AD63" s="57">
        <f>[14]January_2019!N5</f>
        <v>0</v>
      </c>
      <c r="AE63" s="57">
        <f>[14]January_2019!O5</f>
        <v>0</v>
      </c>
      <c r="AF63" s="57">
        <f>[14]January_2019!P5</f>
        <v>0</v>
      </c>
      <c r="AG63" s="57">
        <f>[14]January_2019!Q5</f>
        <v>0</v>
      </c>
      <c r="AH63" s="57">
        <f>[14]January_2019!R5</f>
        <v>0</v>
      </c>
      <c r="AI63" s="57">
        <f>[14]January_2019!S5</f>
        <v>0</v>
      </c>
      <c r="AJ63" s="57">
        <f>[14]January_2019!T5</f>
        <v>0</v>
      </c>
      <c r="AK63" s="57">
        <f>[14]January_2019!U5</f>
        <v>0</v>
      </c>
      <c r="AL63" s="57">
        <f>[14]January_2019!V5</f>
        <v>0</v>
      </c>
      <c r="AM63" s="57">
        <f>[14]January_2019!W5</f>
        <v>0</v>
      </c>
      <c r="AN63" s="57">
        <f>[14]January_2019!X5</f>
        <v>0</v>
      </c>
      <c r="AO63" s="57">
        <f>[14]January_2019!Y5</f>
        <v>0</v>
      </c>
      <c r="AP63" s="57">
        <f>[14]January_2019!Z5</f>
        <v>0</v>
      </c>
      <c r="AQ63" s="57">
        <f>[14]January_2019!AA5</f>
        <v>0</v>
      </c>
      <c r="AR63" s="57">
        <f>[14]January_2019!AB5</f>
        <v>0</v>
      </c>
      <c r="AS63" s="57">
        <f>[14]January_2019!AC5</f>
        <v>0</v>
      </c>
      <c r="AT63" s="57">
        <f>[14]January_2019!AD5</f>
        <v>0</v>
      </c>
      <c r="AU63" s="57">
        <f>[14]January_2019!AE5</f>
        <v>0</v>
      </c>
      <c r="AV63" s="57">
        <f>[14]January_2019!AF5</f>
        <v>0</v>
      </c>
      <c r="AW63" s="57">
        <f>[14]January_2019!AG5</f>
        <v>0</v>
      </c>
      <c r="AX63" s="277">
        <f>[14]January_2019!AH5</f>
        <v>0</v>
      </c>
      <c r="AY63" s="277"/>
      <c r="AZ63" s="277"/>
      <c r="BA63" s="277"/>
      <c r="BB63" s="277"/>
      <c r="BC63" s="277"/>
      <c r="BD63" s="277"/>
      <c r="BE63" s="277"/>
    </row>
    <row r="64" spans="2:57" s="54" customFormat="1" ht="14.25" customHeight="1" thickBot="1">
      <c r="B64" s="480"/>
      <c r="C64" s="479"/>
      <c r="D64" s="442"/>
      <c r="E64" s="443"/>
      <c r="F64" s="444"/>
      <c r="G64" s="445"/>
      <c r="H64" s="458"/>
      <c r="I64" s="458"/>
      <c r="J64" s="476"/>
      <c r="K64" s="449"/>
      <c r="L64" s="457"/>
      <c r="M64" s="45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>
        <f>[14]January_2019!L6</f>
        <v>0</v>
      </c>
      <c r="AC64" s="57">
        <f>[14]January_2019!M6</f>
        <v>0</v>
      </c>
      <c r="AD64" s="57">
        <f>[14]January_2019!N6</f>
        <v>0</v>
      </c>
      <c r="AE64" s="57">
        <f>[14]January_2019!O6</f>
        <v>0</v>
      </c>
      <c r="AF64" s="57">
        <f>[14]January_2019!P6</f>
        <v>0</v>
      </c>
      <c r="AG64" s="57">
        <f>[14]January_2019!Q6</f>
        <v>0</v>
      </c>
      <c r="AH64" s="57">
        <f>[14]January_2019!R6</f>
        <v>0</v>
      </c>
      <c r="AI64" s="57">
        <f>[14]January_2019!S6</f>
        <v>0</v>
      </c>
      <c r="AJ64" s="57">
        <f>[14]January_2019!T6</f>
        <v>0</v>
      </c>
      <c r="AK64" s="57">
        <f>[14]January_2019!U6</f>
        <v>0</v>
      </c>
      <c r="AL64" s="57">
        <f>[14]January_2019!V6</f>
        <v>0</v>
      </c>
      <c r="AM64" s="57">
        <f>[14]January_2019!W6</f>
        <v>0</v>
      </c>
      <c r="AN64" s="57">
        <f>[14]January_2019!X6</f>
        <v>0</v>
      </c>
      <c r="AO64" s="57">
        <f>[14]January_2019!Y6</f>
        <v>0</v>
      </c>
      <c r="AP64" s="57">
        <f>[14]January_2019!Z6</f>
        <v>0</v>
      </c>
      <c r="AQ64" s="57">
        <f>[14]January_2019!AA6</f>
        <v>0</v>
      </c>
      <c r="AR64" s="57">
        <f>[14]January_2019!AB6</f>
        <v>0</v>
      </c>
      <c r="AS64" s="57">
        <f>[14]January_2019!AC6</f>
        <v>0</v>
      </c>
      <c r="AT64" s="57">
        <f>[14]January_2019!AD6</f>
        <v>0</v>
      </c>
      <c r="AU64" s="57">
        <f>[14]January_2019!AE6</f>
        <v>0</v>
      </c>
      <c r="AV64" s="57">
        <f>[14]January_2019!AF6</f>
        <v>0</v>
      </c>
      <c r="AW64" s="57">
        <f>[14]January_2019!AG6</f>
        <v>0</v>
      </c>
      <c r="AX64" s="277">
        <f>[14]January_2019!AH6</f>
        <v>0</v>
      </c>
      <c r="AY64" s="277"/>
      <c r="AZ64" s="277"/>
      <c r="BA64" s="277"/>
      <c r="BB64" s="277"/>
      <c r="BC64" s="277"/>
      <c r="BD64" s="277"/>
      <c r="BE64" s="277"/>
    </row>
    <row r="65" spans="1:57" s="54" customFormat="1" ht="37.15" hidden="1" customHeight="1" thickBot="1">
      <c r="A65" s="54" t="s">
        <v>168</v>
      </c>
      <c r="B65" s="480"/>
      <c r="C65" s="479"/>
      <c r="D65" s="442"/>
      <c r="E65" s="443"/>
      <c r="F65" s="444"/>
      <c r="G65" s="445"/>
      <c r="H65" s="458"/>
      <c r="I65" s="458"/>
      <c r="J65" s="448"/>
      <c r="K65" s="449"/>
      <c r="L65" s="457"/>
      <c r="M65" s="455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>
        <f>[14]January_2019!L7</f>
        <v>285.8</v>
      </c>
      <c r="AC65" s="57">
        <f>[14]January_2019!M7</f>
        <v>508.1</v>
      </c>
      <c r="AD65" s="57">
        <f>[14]January_2019!N7</f>
        <v>0</v>
      </c>
      <c r="AE65" s="57">
        <f>[14]January_2019!O7</f>
        <v>0</v>
      </c>
      <c r="AF65" s="57">
        <f>[14]January_2019!P7</f>
        <v>109.56666666666666</v>
      </c>
      <c r="AG65" s="57">
        <f>[14]January_2019!Q7</f>
        <v>297.64999999999998</v>
      </c>
      <c r="AH65" s="57">
        <f>[14]January_2019!R7</f>
        <v>122.3</v>
      </c>
      <c r="AI65" s="57">
        <f>[14]January_2019!S7</f>
        <v>0</v>
      </c>
      <c r="AJ65" s="57">
        <f>[14]January_2019!T7</f>
        <v>294.7</v>
      </c>
      <c r="AK65" s="57">
        <f>[14]January_2019!U7</f>
        <v>280.5</v>
      </c>
      <c r="AL65" s="57">
        <f>[14]January_2019!V7</f>
        <v>0</v>
      </c>
      <c r="AM65" s="57">
        <f>[14]January_2019!W7</f>
        <v>0</v>
      </c>
      <c r="AN65" s="57">
        <f>[14]January_2019!X7</f>
        <v>188.25</v>
      </c>
      <c r="AO65" s="57">
        <f>[14]January_2019!Y7</f>
        <v>295.7</v>
      </c>
      <c r="AP65" s="57">
        <f>[14]January_2019!Z7</f>
        <v>257.8</v>
      </c>
      <c r="AQ65" s="57">
        <f>[14]January_2019!AA7</f>
        <v>291.2</v>
      </c>
      <c r="AR65" s="57">
        <f>[14]January_2019!AB7</f>
        <v>187</v>
      </c>
      <c r="AS65" s="57">
        <f>[14]January_2019!AC7</f>
        <v>0</v>
      </c>
      <c r="AT65" s="57">
        <f>[14]January_2019!AD7</f>
        <v>0</v>
      </c>
      <c r="AU65" s="57">
        <f>[14]January_2019!AE7</f>
        <v>485.1</v>
      </c>
      <c r="AV65" s="57">
        <f>[14]January_2019!AF7</f>
        <v>171.55</v>
      </c>
      <c r="AW65" s="57">
        <f>[14]January_2019!AG7</f>
        <v>423.8</v>
      </c>
      <c r="AX65" s="277">
        <f>[14]January_2019!AH7</f>
        <v>0</v>
      </c>
      <c r="AY65" s="277"/>
      <c r="AZ65" s="277"/>
      <c r="BA65" s="277"/>
      <c r="BB65" s="277"/>
      <c r="BC65" s="277"/>
      <c r="BD65" s="277"/>
      <c r="BE65" s="277"/>
    </row>
    <row r="66" spans="1:57" s="54" customFormat="1" ht="19.5" hidden="1" customHeight="1" thickBot="1">
      <c r="B66" s="478"/>
      <c r="C66" s="430"/>
      <c r="D66" s="431"/>
      <c r="E66" s="432"/>
      <c r="F66" s="433"/>
      <c r="G66" s="434"/>
      <c r="H66" s="458"/>
      <c r="I66" s="458"/>
      <c r="J66" s="451"/>
      <c r="K66" s="436"/>
      <c r="L66" s="452"/>
      <c r="M66" s="421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1:57" s="54" customFormat="1" ht="38.450000000000003" hidden="1" customHeight="1" thickBot="1">
      <c r="B67" s="480"/>
      <c r="C67" s="479"/>
      <c r="D67" s="442"/>
      <c r="E67" s="443"/>
      <c r="F67" s="444"/>
      <c r="G67" s="445"/>
      <c r="H67" s="458"/>
      <c r="I67" s="458"/>
      <c r="J67" s="448" t="s">
        <v>171</v>
      </c>
      <c r="K67" s="459"/>
      <c r="L67" s="457" t="e">
        <f>(((D67+E67)-G67)/(D67+E67))*100</f>
        <v>#DIV/0!</v>
      </c>
      <c r="M67" s="455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1:57" s="54" customFormat="1" ht="15" hidden="1">
      <c r="B68" s="453"/>
      <c r="C68" s="430"/>
      <c r="D68" s="431"/>
      <c r="E68" s="432"/>
      <c r="F68" s="433"/>
      <c r="G68" s="434"/>
      <c r="H68" s="435"/>
      <c r="I68" s="450"/>
      <c r="J68" s="451"/>
      <c r="K68" s="436"/>
      <c r="L68" s="452"/>
      <c r="M68" s="421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1:57" s="54" customFormat="1" ht="37.15" hidden="1" customHeight="1" thickBot="1">
      <c r="B69" s="480"/>
      <c r="C69" s="479"/>
      <c r="D69" s="442"/>
      <c r="E69" s="443"/>
      <c r="F69" s="444"/>
      <c r="G69" s="445"/>
      <c r="H69" s="446"/>
      <c r="I69" s="447"/>
      <c r="J69" s="448"/>
      <c r="K69" s="449"/>
      <c r="L69" s="457"/>
      <c r="M69" s="455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1:57" s="54" customFormat="1" ht="16.5" hidden="1" customHeight="1" thickBot="1">
      <c r="B70" s="437"/>
      <c r="C70" s="423"/>
      <c r="D70" s="424"/>
      <c r="E70" s="425"/>
      <c r="F70" s="426"/>
      <c r="G70" s="427"/>
      <c r="H70" s="428"/>
      <c r="I70" s="438"/>
      <c r="J70" s="439"/>
      <c r="K70" s="429"/>
      <c r="L70" s="440"/>
      <c r="M70" s="422"/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415"/>
      <c r="AC70" s="415"/>
      <c r="AD70" s="415"/>
      <c r="AE70" s="415"/>
      <c r="AF70" s="415"/>
      <c r="AG70" s="415"/>
      <c r="AH70" s="415"/>
      <c r="AI70" s="415"/>
      <c r="AJ70" s="415"/>
      <c r="AK70" s="415"/>
      <c r="AL70" s="415"/>
      <c r="AM70" s="415"/>
      <c r="AN70" s="415"/>
      <c r="AO70" s="415"/>
      <c r="AP70" s="415"/>
      <c r="AQ70" s="415"/>
      <c r="AR70" s="415"/>
      <c r="AS70" s="415"/>
      <c r="AT70" s="415"/>
      <c r="AU70" s="415"/>
      <c r="AV70" s="415"/>
      <c r="AW70" s="415"/>
    </row>
    <row r="71" spans="1:57" s="54" customFormat="1" ht="37.15" hidden="1" customHeight="1" thickBot="1">
      <c r="B71" s="456"/>
      <c r="C71" s="441"/>
      <c r="D71" s="442"/>
      <c r="E71" s="443"/>
      <c r="F71" s="444"/>
      <c r="G71" s="445"/>
      <c r="H71" s="446"/>
      <c r="I71" s="447"/>
      <c r="J71" s="448"/>
      <c r="K71" s="449"/>
      <c r="L71" s="457"/>
      <c r="M71" s="454"/>
      <c r="N71" s="13"/>
      <c r="O71" s="13"/>
      <c r="P71" s="50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277"/>
      <c r="AY71" s="277"/>
      <c r="AZ71" s="277"/>
      <c r="BA71" s="277"/>
      <c r="BB71" s="277"/>
      <c r="BC71" s="277"/>
      <c r="BD71" s="277"/>
      <c r="BE71" s="277"/>
    </row>
    <row r="72" spans="1:57" s="54" customFormat="1" ht="37.15" customHeight="1">
      <c r="B72" s="466"/>
      <c r="C72" s="430"/>
      <c r="D72" s="460"/>
      <c r="E72" s="461"/>
      <c r="F72" s="462"/>
      <c r="G72" s="460"/>
      <c r="H72" s="463"/>
      <c r="I72" s="463"/>
      <c r="J72" s="463"/>
      <c r="K72" s="464"/>
      <c r="L72" s="465"/>
      <c r="M72" s="50"/>
      <c r="N72" s="13"/>
      <c r="O72" s="13"/>
      <c r="P72" s="50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277"/>
      <c r="AY72" s="277"/>
      <c r="AZ72" s="277"/>
      <c r="BA72" s="277"/>
      <c r="BB72" s="277"/>
      <c r="BC72" s="277"/>
      <c r="BD72" s="277"/>
      <c r="BE72" s="277"/>
    </row>
    <row r="73" spans="1:57" ht="18" customHeight="1" thickBot="1">
      <c r="B73" s="59"/>
      <c r="C73" s="30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 t="s">
        <v>41</v>
      </c>
      <c r="O73" s="56"/>
      <c r="P73" s="60"/>
    </row>
    <row r="74" spans="1:57" ht="15.75" thickBot="1">
      <c r="B74" s="545" t="s">
        <v>55</v>
      </c>
      <c r="C74" s="546"/>
      <c r="D74" s="546"/>
      <c r="E74" s="546"/>
      <c r="F74" s="547"/>
      <c r="G74" s="545" t="s">
        <v>56</v>
      </c>
      <c r="H74" s="546"/>
      <c r="I74" s="546"/>
      <c r="J74" s="547"/>
      <c r="K74" s="545" t="s">
        <v>51</v>
      </c>
      <c r="L74" s="546"/>
      <c r="M74" s="546"/>
      <c r="N74" s="548"/>
      <c r="O74" s="56"/>
      <c r="P74" s="50"/>
    </row>
    <row r="75" spans="1:57" ht="15">
      <c r="B75" s="61" t="s">
        <v>17</v>
      </c>
      <c r="C75" s="62" t="s">
        <v>36</v>
      </c>
      <c r="D75" s="62" t="s">
        <v>37</v>
      </c>
      <c r="E75" s="62" t="s">
        <v>38</v>
      </c>
      <c r="F75" s="63" t="s">
        <v>39</v>
      </c>
      <c r="G75" s="62" t="s">
        <v>36</v>
      </c>
      <c r="H75" s="62" t="s">
        <v>37</v>
      </c>
      <c r="I75" s="62" t="s">
        <v>38</v>
      </c>
      <c r="J75" s="63" t="s">
        <v>39</v>
      </c>
      <c r="K75" s="62" t="s">
        <v>36</v>
      </c>
      <c r="L75" s="62" t="s">
        <v>37</v>
      </c>
      <c r="M75" s="62" t="s">
        <v>38</v>
      </c>
      <c r="N75" s="63" t="s">
        <v>39</v>
      </c>
      <c r="O75" s="56"/>
      <c r="P75" s="64"/>
    </row>
    <row r="76" spans="1:57" ht="15">
      <c r="B76" s="29" t="s">
        <v>6</v>
      </c>
      <c r="C76" s="282">
        <f>L63</f>
        <v>1.2151898734177244</v>
      </c>
      <c r="D76" s="76">
        <v>7.2299706047907888</v>
      </c>
      <c r="E76" s="76">
        <v>7.2895907721660116</v>
      </c>
      <c r="F76" s="66">
        <v>4.8</v>
      </c>
      <c r="G76" s="65">
        <f>[11]March_2026!$S$11</f>
        <v>1.0540401015962142</v>
      </c>
      <c r="H76" s="477">
        <v>6.8125197120936622</v>
      </c>
      <c r="I76" s="477">
        <v>7.3392147303872601</v>
      </c>
      <c r="J76" s="66">
        <v>4.8</v>
      </c>
      <c r="K76" s="67">
        <f>K63</f>
        <v>0.68456140350877193</v>
      </c>
      <c r="L76" s="194">
        <v>0.35426232247284878</v>
      </c>
      <c r="M76" s="194">
        <v>0.38424300821181073</v>
      </c>
      <c r="N76" s="68">
        <v>1</v>
      </c>
      <c r="O76" s="56"/>
      <c r="P76" s="69"/>
    </row>
    <row r="77" spans="1:57" ht="15">
      <c r="B77" s="33" t="s">
        <v>9</v>
      </c>
      <c r="C77" s="65"/>
      <c r="D77" s="76">
        <v>6.226853304877273</v>
      </c>
      <c r="E77" s="76">
        <v>6.218558063401959</v>
      </c>
      <c r="F77" s="66">
        <v>4.8</v>
      </c>
      <c r="G77" s="65"/>
      <c r="H77" s="76">
        <v>5.6013387717202709</v>
      </c>
      <c r="I77" s="76">
        <v>6.0251504474659541</v>
      </c>
      <c r="J77" s="66">
        <v>4.8</v>
      </c>
      <c r="K77" s="67"/>
      <c r="L77" s="194">
        <v>0.74087719298245613</v>
      </c>
      <c r="M77" s="194">
        <v>0.60474102461797952</v>
      </c>
      <c r="N77" s="68">
        <v>1</v>
      </c>
      <c r="P77" s="69"/>
    </row>
    <row r="78" spans="1:57" ht="15">
      <c r="B78" s="34" t="s">
        <v>40</v>
      </c>
      <c r="C78" s="65"/>
      <c r="D78" s="76">
        <v>13.161229014887537</v>
      </c>
      <c r="E78" s="76">
        <v>12.790788142846019</v>
      </c>
      <c r="F78" s="66">
        <v>5.5</v>
      </c>
      <c r="G78" s="65"/>
      <c r="H78" s="76">
        <v>16.647656122260145</v>
      </c>
      <c r="I78" s="76">
        <v>14.639670361513629</v>
      </c>
      <c r="J78" s="66">
        <v>5.5</v>
      </c>
      <c r="K78" s="67"/>
      <c r="L78" s="194">
        <v>0.22428947368421051</v>
      </c>
      <c r="M78" s="194">
        <v>0.2930666666666667</v>
      </c>
      <c r="N78" s="68">
        <v>1</v>
      </c>
      <c r="P78" s="69"/>
    </row>
    <row r="79" spans="1:57" ht="15">
      <c r="B79" s="22" t="s">
        <v>33</v>
      </c>
      <c r="C79" s="65"/>
      <c r="D79" s="76">
        <v>4.786281034041461</v>
      </c>
      <c r="E79" s="76">
        <v>4.9619586520196597</v>
      </c>
      <c r="F79" s="66">
        <v>3.3</v>
      </c>
      <c r="G79" s="65"/>
      <c r="H79" s="76">
        <v>5.4251963146907434</v>
      </c>
      <c r="I79" s="76">
        <v>4.9501867212112511</v>
      </c>
      <c r="J79" s="66">
        <v>3.3</v>
      </c>
      <c r="K79" s="67"/>
      <c r="L79" s="194">
        <v>1.3052631578947369</v>
      </c>
      <c r="M79" s="194">
        <v>0.88064327485380123</v>
      </c>
      <c r="N79" s="68">
        <v>1</v>
      </c>
      <c r="P79" s="69"/>
    </row>
    <row r="80" spans="1:57" ht="15">
      <c r="B80" s="35" t="s">
        <v>164</v>
      </c>
      <c r="C80" s="65"/>
      <c r="D80" s="76"/>
      <c r="E80" s="76"/>
      <c r="F80" s="66">
        <v>3.3</v>
      </c>
      <c r="G80" s="282"/>
      <c r="H80" s="76"/>
      <c r="I80" s="76"/>
      <c r="J80" s="66">
        <v>3</v>
      </c>
      <c r="K80" s="67"/>
      <c r="L80" s="194"/>
      <c r="M80" s="194"/>
      <c r="N80" s="68">
        <v>1</v>
      </c>
      <c r="P80" s="69"/>
    </row>
    <row r="81" spans="2:16" ht="15">
      <c r="B81" s="36" t="s">
        <v>15</v>
      </c>
      <c r="C81" s="65"/>
      <c r="D81" s="76"/>
      <c r="E81" s="76">
        <v>5.1105651105651271</v>
      </c>
      <c r="F81" s="70">
        <f>[15]May_2022!$M$43</f>
        <v>3.4878406700073312</v>
      </c>
      <c r="G81" s="282"/>
      <c r="H81" s="76"/>
      <c r="I81" s="76">
        <v>7.9131369535794072</v>
      </c>
      <c r="J81" s="66">
        <v>5.5</v>
      </c>
      <c r="K81" s="67"/>
      <c r="L81" s="194"/>
      <c r="M81" s="194">
        <v>1.3550877192982456</v>
      </c>
      <c r="N81" s="68">
        <v>1</v>
      </c>
      <c r="P81" s="69"/>
    </row>
    <row r="82" spans="2:16" ht="15">
      <c r="B82" s="37" t="s">
        <v>16</v>
      </c>
      <c r="C82" s="65"/>
      <c r="D82" s="76">
        <v>5.360174630123689</v>
      </c>
      <c r="E82" s="76">
        <v>4.3766776021473337</v>
      </c>
      <c r="F82" s="66">
        <v>3.3</v>
      </c>
      <c r="G82" s="282"/>
      <c r="H82" s="76">
        <v>11.106164027580478</v>
      </c>
      <c r="I82" s="76">
        <v>6.7590439068772588</v>
      </c>
      <c r="J82" s="66">
        <v>3.3</v>
      </c>
      <c r="K82" s="67"/>
      <c r="L82" s="194">
        <v>0.45637426900584793</v>
      </c>
      <c r="M82" s="194">
        <v>0.73190058479532172</v>
      </c>
      <c r="N82" s="71">
        <v>1</v>
      </c>
      <c r="P82" s="69"/>
    </row>
    <row r="83" spans="2:16" ht="15.75" thickBot="1">
      <c r="B83" s="38" t="s">
        <v>163</v>
      </c>
      <c r="C83" s="65"/>
      <c r="D83" s="76"/>
      <c r="E83" s="76"/>
      <c r="F83" s="66">
        <v>7.5</v>
      </c>
      <c r="G83" s="282"/>
      <c r="H83" s="76"/>
      <c r="I83" s="76"/>
      <c r="J83" s="66">
        <v>7.5</v>
      </c>
      <c r="K83" s="67"/>
      <c r="L83" s="194"/>
      <c r="M83" s="194"/>
      <c r="N83" s="71">
        <v>1</v>
      </c>
      <c r="P83" s="69"/>
    </row>
    <row r="84" spans="2:16" ht="15.75" thickBot="1">
      <c r="B84" s="414" t="s">
        <v>161</v>
      </c>
      <c r="C84" s="65"/>
      <c r="D84" s="76"/>
      <c r="E84" s="76"/>
      <c r="F84" s="66">
        <v>4.8</v>
      </c>
      <c r="G84" s="282"/>
      <c r="H84" s="76"/>
      <c r="I84" s="76"/>
      <c r="J84" s="66">
        <v>4.8</v>
      </c>
      <c r="K84" s="67"/>
      <c r="L84" s="194"/>
      <c r="M84" s="194"/>
      <c r="N84" s="71">
        <v>1</v>
      </c>
      <c r="O84" s="74"/>
      <c r="P84" s="75"/>
    </row>
    <row r="85" spans="2:16" ht="15">
      <c r="D85" s="76">
        <v>7.3210271485388168</v>
      </c>
      <c r="E85" s="76">
        <v>6.992390689256343</v>
      </c>
      <c r="F85" s="341">
        <v>5.5</v>
      </c>
      <c r="H85" s="76">
        <v>8.6342511447530121</v>
      </c>
      <c r="I85" s="76">
        <v>7.5529629377077505</v>
      </c>
      <c r="J85" s="341">
        <v>5.5</v>
      </c>
      <c r="L85" s="194">
        <v>0.53423359681254412</v>
      </c>
      <c r="M85" s="194">
        <v>0.44027206110514383</v>
      </c>
      <c r="N85" s="386">
        <v>1</v>
      </c>
    </row>
  </sheetData>
  <mergeCells count="51">
    <mergeCell ref="M61:M62"/>
    <mergeCell ref="B74:F74"/>
    <mergeCell ref="G74:J74"/>
    <mergeCell ref="K74:N74"/>
    <mergeCell ref="G61:G62"/>
    <mergeCell ref="H61:H62"/>
    <mergeCell ref="I61:I62"/>
    <mergeCell ref="J61:J62"/>
    <mergeCell ref="K61:K62"/>
    <mergeCell ref="L61:L62"/>
    <mergeCell ref="F61:F62"/>
    <mergeCell ref="D56:E56"/>
    <mergeCell ref="B61:B62"/>
    <mergeCell ref="C61:C62"/>
    <mergeCell ref="D61:D62"/>
    <mergeCell ref="E61:E62"/>
    <mergeCell ref="B46:B55"/>
    <mergeCell ref="D46:E47"/>
    <mergeCell ref="J46:K46"/>
    <mergeCell ref="L47:N47"/>
    <mergeCell ref="D48:E49"/>
    <mergeCell ref="D50:E51"/>
    <mergeCell ref="D52:E53"/>
    <mergeCell ref="D54:E55"/>
    <mergeCell ref="I32:N32"/>
    <mergeCell ref="D33:E33"/>
    <mergeCell ref="B34:B45"/>
    <mergeCell ref="D34:E35"/>
    <mergeCell ref="D36:E37"/>
    <mergeCell ref="D38:E39"/>
    <mergeCell ref="D40:E41"/>
    <mergeCell ref="D42:E43"/>
    <mergeCell ref="D44:E45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6:B57">
    <cfRule type="cellIs" dxfId="1776" priority="63" operator="notBetween">
      <formula>#REF!</formula>
      <formula>#REF!</formula>
    </cfRule>
  </conditionalFormatting>
  <conditionalFormatting sqref="C60">
    <cfRule type="cellIs" dxfId="1775" priority="158" stopIfTrue="1" operator="greaterThan">
      <formula>100</formula>
    </cfRule>
    <cfRule type="cellIs" dxfId="1774" priority="157" stopIfTrue="1" operator="lessThan">
      <formula>96</formula>
    </cfRule>
  </conditionalFormatting>
  <conditionalFormatting sqref="C76:C80">
    <cfRule type="cellIs" dxfId="1773" priority="126" stopIfTrue="1" operator="lessThanOrEqual">
      <formula>0</formula>
    </cfRule>
  </conditionalFormatting>
  <conditionalFormatting sqref="C76:C84">
    <cfRule type="cellIs" dxfId="1772" priority="125" stopIfTrue="1" operator="greaterThan">
      <formula>$F76</formula>
    </cfRule>
  </conditionalFormatting>
  <conditionalFormatting sqref="C77">
    <cfRule type="cellIs" dxfId="1771" priority="159" stopIfTrue="1" operator="greaterThan">
      <formula>$F76</formula>
    </cfRule>
  </conditionalFormatting>
  <conditionalFormatting sqref="C81">
    <cfRule type="cellIs" dxfId="1770" priority="88" stopIfTrue="1" operator="greaterThan">
      <formula>$F80</formula>
    </cfRule>
    <cfRule type="cellIs" dxfId="1769" priority="87" stopIfTrue="1" operator="lessThanOrEqual">
      <formula>0</formula>
    </cfRule>
  </conditionalFormatting>
  <conditionalFormatting sqref="C82:C84">
    <cfRule type="cellIs" dxfId="1768" priority="127" stopIfTrue="1" operator="lessThanOrEqual">
      <formula>0</formula>
    </cfRule>
  </conditionalFormatting>
  <conditionalFormatting sqref="C87:C91">
    <cfRule type="cellIs" dxfId="1767" priority="149" stopIfTrue="1" operator="lessThanOrEqual">
      <formula>0</formula>
    </cfRule>
  </conditionalFormatting>
  <conditionalFormatting sqref="C88:C91">
    <cfRule type="cellIs" dxfId="1766" priority="148" stopIfTrue="1" operator="greaterThan">
      <formula>$F$87</formula>
    </cfRule>
  </conditionalFormatting>
  <conditionalFormatting sqref="C93">
    <cfRule type="cellIs" dxfId="1765" priority="151" stopIfTrue="1" operator="lessThanOrEqual">
      <formula>0</formula>
    </cfRule>
    <cfRule type="cellIs" dxfId="1764" priority="150" stopIfTrue="1" operator="greaterThan">
      <formula>$F$87</formula>
    </cfRule>
  </conditionalFormatting>
  <conditionalFormatting sqref="C87:D87 D89:D95">
    <cfRule type="cellIs" dxfId="1763" priority="143" stopIfTrue="1" operator="greaterThan">
      <formula>4.5</formula>
    </cfRule>
  </conditionalFormatting>
  <conditionalFormatting sqref="D56:D57">
    <cfRule type="cellIs" dxfId="1762" priority="64" operator="notBetween">
      <formula>#REF!</formula>
      <formula>#REF!</formula>
    </cfRule>
  </conditionalFormatting>
  <conditionalFormatting sqref="D76:D83">
    <cfRule type="cellIs" dxfId="1761" priority="36" stopIfTrue="1" operator="lessThanOrEqual">
      <formula>0</formula>
    </cfRule>
  </conditionalFormatting>
  <conditionalFormatting sqref="D76:D85">
    <cfRule type="cellIs" dxfId="1760" priority="15" stopIfTrue="1" operator="lessThanOrEqual">
      <formula>0</formula>
    </cfRule>
  </conditionalFormatting>
  <conditionalFormatting sqref="D84">
    <cfRule type="cellIs" dxfId="1759" priority="35" stopIfTrue="1" operator="lessThanOrEqual">
      <formula>0</formula>
    </cfRule>
  </conditionalFormatting>
  <conditionalFormatting sqref="D85">
    <cfRule type="cellIs" dxfId="1758" priority="30" stopIfTrue="1" operator="lessThanOrEqual">
      <formula>0</formula>
    </cfRule>
  </conditionalFormatting>
  <conditionalFormatting sqref="D87 D89:D95">
    <cfRule type="cellIs" dxfId="1757" priority="144" stopIfTrue="1" operator="lessThanOrEqual">
      <formula>0</formula>
    </cfRule>
  </conditionalFormatting>
  <conditionalFormatting sqref="D88">
    <cfRule type="cellIs" dxfId="1756" priority="136" stopIfTrue="1" operator="lessThanOrEqual">
      <formula>0</formula>
    </cfRule>
    <cfRule type="cellIs" dxfId="1755" priority="135" stopIfTrue="1" operator="greaterThan">
      <formula>$F$87</formula>
    </cfRule>
  </conditionalFormatting>
  <conditionalFormatting sqref="D76:E85">
    <cfRule type="cellIs" dxfId="1754" priority="17" stopIfTrue="1" operator="greaterThan">
      <formula>$F76</formula>
    </cfRule>
  </conditionalFormatting>
  <conditionalFormatting sqref="D85:E85">
    <cfRule type="cellIs" dxfId="1753" priority="19" stopIfTrue="1" operator="lessThanOrEqual">
      <formula>0</formula>
    </cfRule>
  </conditionalFormatting>
  <conditionalFormatting sqref="E10:E31">
    <cfRule type="cellIs" dxfId="1752" priority="10" operator="lessThan">
      <formula>48</formula>
    </cfRule>
  </conditionalFormatting>
  <conditionalFormatting sqref="E59 E60:F60">
    <cfRule type="cellIs" dxfId="1751" priority="140" stopIfTrue="1" operator="greaterThan">
      <formula>100</formula>
    </cfRule>
  </conditionalFormatting>
  <conditionalFormatting sqref="E60">
    <cfRule type="cellIs" dxfId="1750" priority="138" stopIfTrue="1" operator="greaterThan">
      <formula>100</formula>
    </cfRule>
    <cfRule type="cellIs" dxfId="1749" priority="137" stopIfTrue="1" operator="lessThan">
      <formula>96.8</formula>
    </cfRule>
  </conditionalFormatting>
  <conditionalFormatting sqref="E76:E84">
    <cfRule type="cellIs" dxfId="1748" priority="16" stopIfTrue="1" operator="lessThanOrEqual">
      <formula>0</formula>
    </cfRule>
  </conditionalFormatting>
  <conditionalFormatting sqref="E76:E85">
    <cfRule type="cellIs" dxfId="1747" priority="18" stopIfTrue="1" operator="lessThanOrEqual">
      <formula>0</formula>
    </cfRule>
  </conditionalFormatting>
  <conditionalFormatting sqref="E87:E95">
    <cfRule type="cellIs" dxfId="1746" priority="130" stopIfTrue="1" operator="lessThanOrEqual">
      <formula>0</formula>
    </cfRule>
    <cfRule type="cellIs" dxfId="1745" priority="129" stopIfTrue="1" operator="greaterThan">
      <formula>4.5</formula>
    </cfRule>
  </conditionalFormatting>
  <conditionalFormatting sqref="E60:F60 E59">
    <cfRule type="cellIs" dxfId="1744" priority="139" stopIfTrue="1" operator="lessThan">
      <formula>96.5</formula>
    </cfRule>
  </conditionalFormatting>
  <conditionalFormatting sqref="F10:F15 F22:F31">
    <cfRule type="cellIs" dxfId="1743" priority="11" operator="greaterThan">
      <formula>60</formula>
    </cfRule>
  </conditionalFormatting>
  <conditionalFormatting sqref="F60">
    <cfRule type="cellIs" dxfId="1742" priority="155" stopIfTrue="1" operator="lessThan">
      <formula>96.8</formula>
    </cfRule>
    <cfRule type="cellIs" dxfId="1741" priority="156" stopIfTrue="1" operator="greaterThan">
      <formula>100</formula>
    </cfRule>
  </conditionalFormatting>
  <conditionalFormatting sqref="F85">
    <cfRule type="cellIs" dxfId="1740" priority="33" stopIfTrue="1" operator="greaterThan">
      <formula>$F85</formula>
    </cfRule>
    <cfRule type="cellIs" dxfId="1739" priority="34" stopIfTrue="1" operator="lessThanOrEqual">
      <formula>0</formula>
    </cfRule>
  </conditionalFormatting>
  <conditionalFormatting sqref="G10:G15 G22:G31">
    <cfRule type="expression" dxfId="1738" priority="1">
      <formula>IF(+(IF(G10&lt;S10,0,IF(G10&gt;T10,0,1)))=0,1)</formula>
    </cfRule>
  </conditionalFormatting>
  <conditionalFormatting sqref="G76:G77">
    <cfRule type="cellIs" dxfId="1737" priority="32" stopIfTrue="1" operator="lessThanOrEqual">
      <formula>0</formula>
    </cfRule>
    <cfRule type="cellIs" dxfId="1736" priority="38" stopIfTrue="1" operator="lessThanOrEqual">
      <formula>0</formula>
    </cfRule>
    <cfRule type="cellIs" dxfId="1735" priority="31" stopIfTrue="1" operator="greaterThan">
      <formula>$F76</formula>
    </cfRule>
    <cfRule type="cellIs" dxfId="1734" priority="37" stopIfTrue="1" operator="greaterThan">
      <formula>$F76</formula>
    </cfRule>
  </conditionalFormatting>
  <conditionalFormatting sqref="G78">
    <cfRule type="cellIs" dxfId="1733" priority="41" stopIfTrue="1" operator="greaterThan">
      <formula>$F77</formula>
    </cfRule>
    <cfRule type="cellIs" dxfId="1732" priority="42" stopIfTrue="1" operator="lessThanOrEqual">
      <formula>0</formula>
    </cfRule>
  </conditionalFormatting>
  <conditionalFormatting sqref="G79">
    <cfRule type="cellIs" dxfId="1731" priority="25" stopIfTrue="1" operator="greaterThan">
      <formula>$F79</formula>
    </cfRule>
    <cfRule type="cellIs" dxfId="1730" priority="26" stopIfTrue="1" operator="lessThanOrEqual">
      <formula>0</formula>
    </cfRule>
    <cfRule type="cellIs" dxfId="1729" priority="24" stopIfTrue="1" operator="lessThanOrEqual">
      <formula>0</formula>
    </cfRule>
    <cfRule type="cellIs" dxfId="1728" priority="23" stopIfTrue="1" operator="greaterThan">
      <formula>$F79</formula>
    </cfRule>
  </conditionalFormatting>
  <conditionalFormatting sqref="G80:G84">
    <cfRule type="cellIs" dxfId="1727" priority="39" stopIfTrue="1" operator="greaterThan">
      <formula>$J80</formula>
    </cfRule>
    <cfRule type="cellIs" dxfId="1726" priority="40" stopIfTrue="1" operator="lessThanOrEqual">
      <formula>0</formula>
    </cfRule>
  </conditionalFormatting>
  <conditionalFormatting sqref="G89:G94 C92 C94">
    <cfRule type="cellIs" dxfId="1725" priority="153" stopIfTrue="1" operator="lessThanOrEqual">
      <formula>0</formula>
    </cfRule>
    <cfRule type="cellIs" dxfId="1724" priority="152" stopIfTrue="1" operator="greaterThan">
      <formula>4.5</formula>
    </cfRule>
  </conditionalFormatting>
  <conditionalFormatting sqref="G88:H88">
    <cfRule type="cellIs" dxfId="1723" priority="134" stopIfTrue="1" operator="lessThanOrEqual">
      <formula>0</formula>
    </cfRule>
    <cfRule type="cellIs" dxfId="1722" priority="133" stopIfTrue="1" operator="greaterThan">
      <formula>$F$87</formula>
    </cfRule>
  </conditionalFormatting>
  <conditionalFormatting sqref="H10:H15 M10:N31 G16:H21 H22:H31">
    <cfRule type="expression" dxfId="1721" priority="60">
      <formula>IF(+(IF(G10&lt;#REF!,0,IF(G10&gt;#REF!,0,1)))=0,1)</formula>
    </cfRule>
  </conditionalFormatting>
  <conditionalFormatting sqref="H45:H46 H59">
    <cfRule type="cellIs" dxfId="1720" priority="131" stopIfTrue="1" operator="greaterThan">
      <formula>0</formula>
    </cfRule>
  </conditionalFormatting>
  <conditionalFormatting sqref="H63:H67">
    <cfRule type="cellIs" dxfId="1719" priority="57" stopIfTrue="1" operator="greaterThan">
      <formula>$F$77</formula>
    </cfRule>
    <cfRule type="cellIs" dxfId="1718" priority="58" stopIfTrue="1" operator="lessThanOrEqual">
      <formula>0</formula>
    </cfRule>
    <cfRule type="cellIs" dxfId="1717" priority="55" stopIfTrue="1" operator="greaterThan">
      <formula>$F$79</formula>
    </cfRule>
    <cfRule type="cellIs" dxfId="1716" priority="46" stopIfTrue="1" operator="lessThanOrEqual">
      <formula>0</formula>
    </cfRule>
    <cfRule type="cellIs" dxfId="1715" priority="47" stopIfTrue="1" operator="greaterThan">
      <formula>$F$76</formula>
    </cfRule>
    <cfRule type="cellIs" dxfId="1714" priority="56" stopIfTrue="1" operator="lessThanOrEqual">
      <formula>0</formula>
    </cfRule>
  </conditionalFormatting>
  <conditionalFormatting sqref="H68:H69">
    <cfRule type="cellIs" dxfId="1713" priority="99" stopIfTrue="1" operator="greaterThan">
      <formula>$F$31</formula>
    </cfRule>
    <cfRule type="cellIs" dxfId="1712" priority="90" stopIfTrue="1" operator="lessThanOrEqual">
      <formula>0</formula>
    </cfRule>
    <cfRule type="cellIs" dxfId="1711" priority="91" stopIfTrue="1" operator="greaterThan">
      <formula>#REF!</formula>
    </cfRule>
    <cfRule type="cellIs" dxfId="1710" priority="101" stopIfTrue="1" operator="greaterThan">
      <formula>#REF!</formula>
    </cfRule>
    <cfRule type="cellIs" dxfId="1709" priority="102" stopIfTrue="1" operator="lessThanOrEqual">
      <formula>0</formula>
    </cfRule>
    <cfRule type="cellIs" dxfId="1708" priority="100" stopIfTrue="1" operator="lessThanOrEqual">
      <formula>0</formula>
    </cfRule>
  </conditionalFormatting>
  <conditionalFormatting sqref="H70">
    <cfRule type="cellIs" dxfId="1707" priority="114" stopIfTrue="1" operator="lessThanOrEqual">
      <formula>0</formula>
    </cfRule>
    <cfRule type="cellIs" dxfId="1706" priority="115" stopIfTrue="1" operator="greaterThan">
      <formula>$F$45</formula>
    </cfRule>
    <cfRule type="cellIs" dxfId="1705" priority="116" stopIfTrue="1" operator="lessThanOrEqual">
      <formula>0</formula>
    </cfRule>
    <cfRule type="cellIs" dxfId="1704" priority="104" stopIfTrue="1" operator="lessThanOrEqual">
      <formula>0</formula>
    </cfRule>
    <cfRule type="cellIs" dxfId="1703" priority="105" stopIfTrue="1" operator="greaterThan">
      <formula>$F$44</formula>
    </cfRule>
    <cfRule type="cellIs" dxfId="1702" priority="113" stopIfTrue="1" operator="greaterThan">
      <formula>$F$47</formula>
    </cfRule>
  </conditionalFormatting>
  <conditionalFormatting sqref="H71:H72">
    <cfRule type="cellIs" dxfId="1701" priority="86" stopIfTrue="1" operator="lessThanOrEqual">
      <formula>0</formula>
    </cfRule>
    <cfRule type="cellIs" dxfId="1700" priority="85" stopIfTrue="1" operator="greaterThan">
      <formula>#REF!</formula>
    </cfRule>
    <cfRule type="cellIs" dxfId="1699" priority="84" stopIfTrue="1" operator="lessThanOrEqual">
      <formula>0</formula>
    </cfRule>
    <cfRule type="cellIs" dxfId="1698" priority="74" stopIfTrue="1" operator="lessThanOrEqual">
      <formula>0</formula>
    </cfRule>
    <cfRule type="cellIs" dxfId="1697" priority="83" stopIfTrue="1" operator="greaterThan">
      <formula>$F$31</formula>
    </cfRule>
    <cfRule type="cellIs" dxfId="1696" priority="75" stopIfTrue="1" operator="greaterThan">
      <formula>#REF!</formula>
    </cfRule>
  </conditionalFormatting>
  <conditionalFormatting sqref="H87 H89:H95">
    <cfRule type="cellIs" dxfId="1695" priority="145" stopIfTrue="1" operator="greaterThan">
      <formula>4.5</formula>
    </cfRule>
    <cfRule type="cellIs" dxfId="1694" priority="146" stopIfTrue="1" operator="lessThanOrEqual">
      <formula>0</formula>
    </cfRule>
  </conditionalFormatting>
  <conditionalFormatting sqref="H63:I67">
    <cfRule type="cellIs" dxfId="1693" priority="48" stopIfTrue="1" operator="lessThanOrEqual">
      <formula>0</formula>
    </cfRule>
    <cfRule type="cellIs" dxfId="1692" priority="45" stopIfTrue="1" operator="greaterThan">
      <formula>$F$78</formula>
    </cfRule>
  </conditionalFormatting>
  <conditionalFormatting sqref="H68:I69">
    <cfRule type="cellIs" dxfId="1691" priority="89" stopIfTrue="1" operator="greaterThan">
      <formula>#REF!</formula>
    </cfRule>
    <cfRule type="cellIs" dxfId="1690" priority="92" stopIfTrue="1" operator="lessThanOrEqual">
      <formula>0</formula>
    </cfRule>
  </conditionalFormatting>
  <conditionalFormatting sqref="H70:I70">
    <cfRule type="cellIs" dxfId="1689" priority="106" stopIfTrue="1" operator="lessThanOrEqual">
      <formula>0</formula>
    </cfRule>
    <cfRule type="cellIs" dxfId="1688" priority="103" stopIfTrue="1" operator="greaterThan">
      <formula>$F$46</formula>
    </cfRule>
  </conditionalFormatting>
  <conditionalFormatting sqref="H71:I72">
    <cfRule type="cellIs" dxfId="1687" priority="76" stopIfTrue="1" operator="lessThanOrEqual">
      <formula>0</formula>
    </cfRule>
    <cfRule type="cellIs" dxfId="1686" priority="73" stopIfTrue="1" operator="greaterThan">
      <formula>#REF!</formula>
    </cfRule>
  </conditionalFormatting>
  <conditionalFormatting sqref="H76:I83">
    <cfRule type="cellIs" dxfId="1685" priority="14" stopIfTrue="1" operator="lessThanOrEqual">
      <formula>0</formula>
    </cfRule>
    <cfRule type="cellIs" dxfId="1684" priority="13" stopIfTrue="1" operator="greaterThan">
      <formula>$J76</formula>
    </cfRule>
  </conditionalFormatting>
  <conditionalFormatting sqref="H84:I84">
    <cfRule type="cellIs" dxfId="1683" priority="22" operator="greaterThan">
      <formula>5.3</formula>
    </cfRule>
  </conditionalFormatting>
  <conditionalFormatting sqref="H85:I85">
    <cfRule type="cellIs" dxfId="1682" priority="21" stopIfTrue="1" operator="lessThanOrEqual">
      <formula>0</formula>
    </cfRule>
    <cfRule type="cellIs" dxfId="1681" priority="20" stopIfTrue="1" operator="greaterThan">
      <formula>$J85</formula>
    </cfRule>
  </conditionalFormatting>
  <conditionalFormatting sqref="I63:I67">
    <cfRule type="cellIs" dxfId="1680" priority="52" stopIfTrue="1" operator="lessThanOrEqual">
      <formula>0</formula>
    </cfRule>
    <cfRule type="cellIs" dxfId="1679" priority="50" stopIfTrue="1" operator="lessThanOrEqual">
      <formula>0</formula>
    </cfRule>
    <cfRule type="cellIs" dxfId="1678" priority="53" stopIfTrue="1" operator="greaterThan">
      <formula>$F$76</formula>
    </cfRule>
    <cfRule type="cellIs" dxfId="1677" priority="54" stopIfTrue="1" operator="lessThanOrEqual">
      <formula>0</formula>
    </cfRule>
    <cfRule type="cellIs" dxfId="1676" priority="49" stopIfTrue="1" operator="greaterThan">
      <formula>$F$76</formula>
    </cfRule>
    <cfRule type="cellIs" dxfId="1675" priority="51" stopIfTrue="1" operator="greaterThan">
      <formula>$F$78</formula>
    </cfRule>
  </conditionalFormatting>
  <conditionalFormatting sqref="I68:I69">
    <cfRule type="cellIs" dxfId="1674" priority="96" stopIfTrue="1" operator="lessThanOrEqual">
      <formula>0</formula>
    </cfRule>
    <cfRule type="cellIs" dxfId="1673" priority="97" stopIfTrue="1" operator="greaterThan">
      <formula>#REF!</formula>
    </cfRule>
    <cfRule type="cellIs" dxfId="1672" priority="98" stopIfTrue="1" operator="lessThanOrEqual">
      <formula>0</formula>
    </cfRule>
    <cfRule type="cellIs" dxfId="1671" priority="93" stopIfTrue="1" operator="greaterThan">
      <formula>#REF!</formula>
    </cfRule>
    <cfRule type="cellIs" dxfId="1670" priority="94" stopIfTrue="1" operator="lessThanOrEqual">
      <formula>0</formula>
    </cfRule>
    <cfRule type="cellIs" dxfId="1669" priority="95" stopIfTrue="1" operator="greaterThan">
      <formula>#REF!</formula>
    </cfRule>
  </conditionalFormatting>
  <conditionalFormatting sqref="I70">
    <cfRule type="cellIs" dxfId="1668" priority="109" stopIfTrue="1" operator="greaterThan">
      <formula>$F$46</formula>
    </cfRule>
    <cfRule type="cellIs" dxfId="1667" priority="110" stopIfTrue="1" operator="lessThanOrEqual">
      <formula>0</formula>
    </cfRule>
    <cfRule type="cellIs" dxfId="1666" priority="111" stopIfTrue="1" operator="greaterThan">
      <formula>$F$44</formula>
    </cfRule>
    <cfRule type="cellIs" dxfId="1665" priority="112" stopIfTrue="1" operator="lessThanOrEqual">
      <formula>0</formula>
    </cfRule>
    <cfRule type="cellIs" dxfId="1664" priority="107" stopIfTrue="1" operator="greaterThan">
      <formula>$F$44</formula>
    </cfRule>
    <cfRule type="cellIs" dxfId="1663" priority="108" stopIfTrue="1" operator="lessThanOrEqual">
      <formula>0</formula>
    </cfRule>
  </conditionalFormatting>
  <conditionalFormatting sqref="I71:I72">
    <cfRule type="cellIs" dxfId="1662" priority="78" stopIfTrue="1" operator="lessThanOrEqual">
      <formula>0</formula>
    </cfRule>
    <cfRule type="cellIs" dxfId="1661" priority="79" stopIfTrue="1" operator="greaterThan">
      <formula>#REF!</formula>
    </cfRule>
    <cfRule type="cellIs" dxfId="1660" priority="82" stopIfTrue="1" operator="lessThanOrEqual">
      <formula>0</formula>
    </cfRule>
    <cfRule type="cellIs" dxfId="1659" priority="77" stopIfTrue="1" operator="greaterThan">
      <formula>#REF!</formula>
    </cfRule>
    <cfRule type="cellIs" dxfId="1658" priority="81" stopIfTrue="1" operator="greaterThan">
      <formula>#REF!</formula>
    </cfRule>
    <cfRule type="cellIs" dxfId="1657" priority="80" stopIfTrue="1" operator="lessThanOrEqual">
      <formula>0</formula>
    </cfRule>
  </conditionalFormatting>
  <conditionalFormatting sqref="I87:I95">
    <cfRule type="cellIs" dxfId="1656" priority="141" stopIfTrue="1" operator="greaterThan">
      <formula>4.5</formula>
    </cfRule>
    <cfRule type="cellIs" dxfId="1655" priority="142" stopIfTrue="1" operator="lessThanOrEqual">
      <formula>0</formula>
    </cfRule>
  </conditionalFormatting>
  <conditionalFormatting sqref="I10:J31">
    <cfRule type="cellIs" dxfId="1654" priority="4" operator="lessThan">
      <formula>97.9</formula>
    </cfRule>
  </conditionalFormatting>
  <conditionalFormatting sqref="J34">
    <cfRule type="cellIs" dxfId="1653" priority="44" operator="lessThan">
      <formula>97.95</formula>
    </cfRule>
  </conditionalFormatting>
  <conditionalFormatting sqref="J36">
    <cfRule type="cellIs" dxfId="1652" priority="118" stopIfTrue="1" operator="lessThan">
      <formula>96.8</formula>
    </cfRule>
    <cfRule type="cellIs" dxfId="1651" priority="119" stopIfTrue="1" operator="greaterThan">
      <formula>100</formula>
    </cfRule>
    <cfRule type="cellIs" dxfId="1650" priority="120" operator="lessThan">
      <formula>98</formula>
    </cfRule>
  </conditionalFormatting>
  <conditionalFormatting sqref="J36:J38">
    <cfRule type="cellIs" dxfId="1649" priority="117" operator="lessThan">
      <formula>97.4</formula>
    </cfRule>
  </conditionalFormatting>
  <conditionalFormatting sqref="J39:J40">
    <cfRule type="cellIs" dxfId="1648" priority="121" operator="lessThan">
      <formula>98</formula>
    </cfRule>
  </conditionalFormatting>
  <conditionalFormatting sqref="J41:J42">
    <cfRule type="cellIs" dxfId="1647" priority="122" stopIfTrue="1" operator="lessThan">
      <formula>96.8</formula>
    </cfRule>
    <cfRule type="cellIs" dxfId="1646" priority="123" stopIfTrue="1" operator="greaterThan">
      <formula>100</formula>
    </cfRule>
  </conditionalFormatting>
  <conditionalFormatting sqref="J41:J43">
    <cfRule type="cellIs" dxfId="1645" priority="124" operator="lessThan">
      <formula>98</formula>
    </cfRule>
  </conditionalFormatting>
  <conditionalFormatting sqref="J72">
    <cfRule type="cellIs" dxfId="1644" priority="67" stopIfTrue="1" operator="greaterThan">
      <formula>#REF!</formula>
    </cfRule>
    <cfRule type="cellIs" dxfId="1643" priority="69" stopIfTrue="1" operator="greaterThan">
      <formula>#REF!</formula>
    </cfRule>
    <cfRule type="cellIs" dxfId="1642" priority="72" stopIfTrue="1" operator="lessThanOrEqual">
      <formula>0</formula>
    </cfRule>
    <cfRule type="cellIs" dxfId="1641" priority="70" stopIfTrue="1" operator="lessThanOrEqual">
      <formula>0</formula>
    </cfRule>
    <cfRule type="cellIs" dxfId="1640" priority="71" stopIfTrue="1" operator="greaterThan">
      <formula>#REF!</formula>
    </cfRule>
    <cfRule type="cellIs" dxfId="1639" priority="66" stopIfTrue="1" operator="lessThanOrEqual">
      <formula>0</formula>
    </cfRule>
    <cfRule type="cellIs" dxfId="1638" priority="65" stopIfTrue="1" operator="greaterThan">
      <formula>#REF!</formula>
    </cfRule>
    <cfRule type="cellIs" dxfId="1637" priority="68" stopIfTrue="1" operator="lessThanOrEqual">
      <formula>0</formula>
    </cfRule>
  </conditionalFormatting>
  <conditionalFormatting sqref="J85">
    <cfRule type="cellIs" dxfId="1636" priority="28" stopIfTrue="1" operator="lessThanOrEqual">
      <formula>0</formula>
    </cfRule>
    <cfRule type="cellIs" dxfId="1635" priority="27" stopIfTrue="1" operator="greaterThan">
      <formula>$F85</formula>
    </cfRule>
  </conditionalFormatting>
  <conditionalFormatting sqref="K10:K31">
    <cfRule type="cellIs" dxfId="1634" priority="5" operator="greaterThan">
      <formula>6</formula>
    </cfRule>
    <cfRule type="cellIs" dxfId="1633" priority="7" operator="greaterThan">
      <formula>6.4</formula>
    </cfRule>
    <cfRule type="cellIs" dxfId="1632" priority="6" operator="lessThan">
      <formula>4</formula>
    </cfRule>
  </conditionalFormatting>
  <conditionalFormatting sqref="K63:K72">
    <cfRule type="cellIs" dxfId="1631" priority="59" stopIfTrue="1" operator="lessThan">
      <formula>100%</formula>
    </cfRule>
  </conditionalFormatting>
  <conditionalFormatting sqref="K87:K92">
    <cfRule type="cellIs" dxfId="1630" priority="147" stopIfTrue="1" operator="lessThan">
      <formula>100%</formula>
    </cfRule>
  </conditionalFormatting>
  <conditionalFormatting sqref="K94:K95">
    <cfRule type="cellIs" dxfId="1629" priority="154" stopIfTrue="1" operator="lessThan">
      <formula>100%</formula>
    </cfRule>
  </conditionalFormatting>
  <conditionalFormatting sqref="K76:M84">
    <cfRule type="cellIs" dxfId="1628" priority="12" stopIfTrue="1" operator="lessThan">
      <formula>100%</formula>
    </cfRule>
  </conditionalFormatting>
  <conditionalFormatting sqref="L10:L31">
    <cfRule type="cellIs" dxfId="1627" priority="8" operator="between">
      <formula>61</formula>
      <formula>65</formula>
    </cfRule>
    <cfRule type="cellIs" dxfId="1626" priority="9" operator="greaterThan">
      <formula>65</formula>
    </cfRule>
  </conditionalFormatting>
  <conditionalFormatting sqref="L34:M45">
    <cfRule type="cellIs" dxfId="1625" priority="61" operator="lessThan">
      <formula>97.95</formula>
    </cfRule>
  </conditionalFormatting>
  <conditionalFormatting sqref="L85:M85">
    <cfRule type="cellIs" dxfId="1624" priority="29" stopIfTrue="1" operator="lessThan">
      <formula>100%</formula>
    </cfRule>
  </conditionalFormatting>
  <conditionalFormatting sqref="L49:N49">
    <cfRule type="cellIs" dxfId="1623" priority="62" operator="notEqual">
      <formula>#REF!</formula>
    </cfRule>
  </conditionalFormatting>
  <conditionalFormatting sqref="L87:N95">
    <cfRule type="cellIs" dxfId="1622" priority="132" stopIfTrue="1" operator="lessThan">
      <formula>100%</formula>
    </cfRule>
  </conditionalFormatting>
  <conditionalFormatting sqref="M10:M15 M22:M29">
    <cfRule type="expression" dxfId="1621" priority="3">
      <formula>IF(+(IF(M10&lt;U10,0,IF(M10&gt;V10,0,1)))=0,1)</formula>
    </cfRule>
  </conditionalFormatting>
  <conditionalFormatting sqref="N10:N15 N22:N29">
    <cfRule type="expression" dxfId="1620" priority="2">
      <formula>IF(+(IF(N10&lt;W10,0,IF(N10&gt;X10,0,1)))=0,1)</formula>
    </cfRule>
  </conditionalFormatting>
  <conditionalFormatting sqref="N76:N85">
    <cfRule type="cellIs" dxfId="1619" priority="43" stopIfTrue="1" operator="lessThan">
      <formula>100%</formula>
    </cfRule>
  </conditionalFormatting>
  <conditionalFormatting sqref="P6">
    <cfRule type="cellIs" dxfId="1618" priority="128" operator="greaterThanOrEqual">
      <formula>19</formula>
    </cfRule>
  </conditionalFormatting>
  <dataValidations count="1">
    <dataValidation type="list" allowBlank="1" showInputMessage="1" showErrorMessage="1" sqref="R8" xr:uid="{2E98B9EF-E9AB-4574-8520-51623781A391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9" max="16383" man="1"/>
  </rowBreaks>
  <colBreaks count="1" manualBreakCount="1">
    <brk id="15" max="89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AC98E-2485-4583-BC08-2262EBF14B76}">
  <sheetPr>
    <pageSetUpPr fitToPage="1"/>
  </sheetPr>
  <dimension ref="A1:BE82"/>
  <sheetViews>
    <sheetView topLeftCell="A8" zoomScale="70" zoomScaleNormal="70" workbookViewId="0">
      <selection activeCell="E10" sqref="E10:E11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9.42578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4" t="s">
        <v>0</v>
      </c>
      <c r="T1" s="494"/>
      <c r="U1" s="494" t="s">
        <v>1</v>
      </c>
      <c r="V1" s="494"/>
      <c r="W1" s="494" t="s">
        <v>2</v>
      </c>
      <c r="X1" s="494"/>
      <c r="Y1" s="494" t="s">
        <v>124</v>
      </c>
      <c r="Z1" s="494"/>
    </row>
    <row r="2" spans="2:29" ht="15">
      <c r="B2" s="495" t="s">
        <v>3</v>
      </c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46100</v>
      </c>
      <c r="J4" s="398" t="s">
        <v>167</v>
      </c>
      <c r="K4" s="398"/>
      <c r="L4" s="11"/>
      <c r="M4" s="492" t="s">
        <v>8</v>
      </c>
      <c r="N4" s="493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8"/>
      <c r="D5" s="49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9" t="s">
        <v>17</v>
      </c>
      <c r="C8" s="501" t="s">
        <v>18</v>
      </c>
      <c r="D8" s="501" t="s">
        <v>19</v>
      </c>
      <c r="E8" s="356" t="s">
        <v>20</v>
      </c>
      <c r="F8" s="356" t="s">
        <v>21</v>
      </c>
      <c r="G8" s="501" t="s">
        <v>22</v>
      </c>
      <c r="H8" s="502" t="s">
        <v>144</v>
      </c>
      <c r="I8" s="501" t="s">
        <v>165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169</v>
      </c>
      <c r="O8" s="510" t="s">
        <v>155</v>
      </c>
      <c r="P8" s="496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0"/>
      <c r="C9" s="497"/>
      <c r="D9" s="497"/>
      <c r="E9" s="357" t="s">
        <v>30</v>
      </c>
      <c r="F9" s="357" t="s">
        <v>31</v>
      </c>
      <c r="G9" s="497"/>
      <c r="H9" s="503"/>
      <c r="I9" s="497"/>
      <c r="J9" s="505"/>
      <c r="K9" s="507"/>
      <c r="L9" s="509"/>
      <c r="M9" s="20" t="s">
        <v>32</v>
      </c>
      <c r="N9" s="21" t="s">
        <v>41</v>
      </c>
      <c r="O9" s="511"/>
      <c r="P9" s="497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29" t="s">
        <v>6</v>
      </c>
      <c r="C10" s="366" t="str">
        <f>[4]Brewhouse!$A252</f>
        <v>CA209</v>
      </c>
      <c r="D10" s="279">
        <f>[4]Brewhouse!$AF252</f>
        <v>49.5</v>
      </c>
      <c r="E10" s="279">
        <f>[4]Brewhouse!$AI252</f>
        <v>49.8</v>
      </c>
      <c r="F10" s="278">
        <f>[4]Brewhouse!$V252</f>
        <v>64</v>
      </c>
      <c r="G10" s="279">
        <f>[4]Brewhouse!AG252</f>
        <v>11.8</v>
      </c>
      <c r="H10" s="396">
        <v>11.8</v>
      </c>
      <c r="I10" s="368">
        <f>[4]Brewhouse!$AU252</f>
        <v>97.506312070474038</v>
      </c>
      <c r="J10" s="368">
        <f>[4]Brewhouse!$AV252</f>
        <v>98.422978581853457</v>
      </c>
      <c r="K10" s="281">
        <f>[4]Brewhouse!$Q252</f>
        <v>12.606284658040664</v>
      </c>
      <c r="L10" s="276">
        <f>[4]Brewhouse!$P252</f>
        <v>58</v>
      </c>
      <c r="M10" s="397">
        <f>[4]Brewhouse!$U252-[4]Brewhouse!$T252</f>
        <v>0.10902777777777772</v>
      </c>
      <c r="N10" s="370">
        <f>[4]Brewhouse!$Z252</f>
        <v>0.25763888888888886</v>
      </c>
      <c r="O10" s="420" t="str">
        <f>[4]Brewhouse!$AX252</f>
        <v>R.Sookram</v>
      </c>
      <c r="P10" s="418"/>
      <c r="R10" s="277" t="str">
        <f t="shared" ref="R10:R42" si="0">B10</f>
        <v>CARIB</v>
      </c>
      <c r="S10" s="472">
        <f t="shared" ref="S10:S42" si="1">VLOOKUP($B10,$R$3:$X$9,2,FALSE)</f>
        <v>11.6</v>
      </c>
      <c r="T10" s="472">
        <f t="shared" ref="T10:T42" si="2">VLOOKUP($B10,$R$3:$X$9,3,FALSE)</f>
        <v>12</v>
      </c>
      <c r="U10" s="297">
        <f t="shared" ref="U10:U42" si="3">VLOOKUP($B10,$R$3:$X$9,4,FALSE)</f>
        <v>0</v>
      </c>
      <c r="V10" s="297">
        <f t="shared" ref="V10:V42" si="4">VLOOKUP($B10,$R$3:$X$9,5,FALSE)</f>
        <v>0.118055555555556</v>
      </c>
      <c r="W10" s="297">
        <f t="shared" ref="W10:W42" si="5">VLOOKUP($B10,$R$3:$X$9,6,FALSE)</f>
        <v>0.22569444444444445</v>
      </c>
      <c r="X10" s="297">
        <f t="shared" ref="X10:X42" si="6">VLOOKUP($B10,$R$3:$X$9,7,FALSE)</f>
        <v>0.2638888888888889</v>
      </c>
      <c r="Y10" s="297">
        <f t="shared" ref="Y10:Y42" si="7">VLOOKUP($B10,$R$3:$Z$9,8,FALSE)</f>
        <v>0</v>
      </c>
      <c r="Z10" s="472">
        <f t="shared" ref="Z10:Z42" si="8">VLOOKUP($B10,$R$3:$Z$9,9,FALSE)</f>
        <v>60</v>
      </c>
    </row>
    <row r="11" spans="2:29" ht="16.5" customHeight="1">
      <c r="B11" s="29" t="s">
        <v>6</v>
      </c>
      <c r="C11" s="366" t="str">
        <f>[4]Brewhouse!$A253</f>
        <v>CA210</v>
      </c>
      <c r="D11" s="279">
        <f>[4]Brewhouse!$AF253</f>
        <v>49</v>
      </c>
      <c r="E11" s="279">
        <f>[4]Brewhouse!$AI253</f>
        <v>49.3</v>
      </c>
      <c r="F11" s="278">
        <f>[4]Brewhouse!$V253</f>
        <v>60</v>
      </c>
      <c r="G11" s="279">
        <f>[4]Brewhouse!AG253</f>
        <v>12</v>
      </c>
      <c r="H11" s="396">
        <v>12</v>
      </c>
      <c r="I11" s="368">
        <f>[4]Brewhouse!$AU253</f>
        <v>97.162294174609158</v>
      </c>
      <c r="J11" s="368">
        <f>[4]Brewhouse!$AV253</f>
        <v>98.076262761818725</v>
      </c>
      <c r="K11" s="281">
        <f>[4]Brewhouse!$Q253</f>
        <v>13.530499075785581</v>
      </c>
      <c r="L11" s="276">
        <f>[4]Brewhouse!$P253</f>
        <v>57</v>
      </c>
      <c r="M11" s="397">
        <f>[4]Brewhouse!$U253-[4]Brewhouse!$T253</f>
        <v>0.10347222222222219</v>
      </c>
      <c r="N11" s="370">
        <f>[4]Brewhouse!$Z253</f>
        <v>0.26041666666666674</v>
      </c>
      <c r="O11" s="420" t="str">
        <f>[4]Brewhouse!$AX253</f>
        <v>R.Sookram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6.5" customHeight="1">
      <c r="B12" s="489">
        <v>46100</v>
      </c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97"/>
      <c r="N12" s="370"/>
      <c r="O12" s="420"/>
      <c r="P12" s="418"/>
      <c r="R12" s="277"/>
      <c r="S12" s="472"/>
      <c r="T12" s="472"/>
      <c r="U12" s="297"/>
      <c r="V12" s="297"/>
      <c r="W12" s="297"/>
      <c r="X12" s="297"/>
      <c r="Y12" s="297"/>
      <c r="Z12" s="472"/>
    </row>
    <row r="13" spans="2:29" ht="16.5" customHeight="1">
      <c r="B13" s="29" t="s">
        <v>6</v>
      </c>
      <c r="C13" s="366" t="str">
        <f>[4]Brewhouse!$A254</f>
        <v>CA211</v>
      </c>
      <c r="D13" s="279">
        <f>[4]Brewhouse!$AF254</f>
        <v>50.6</v>
      </c>
      <c r="E13" s="279">
        <f>[4]Brewhouse!$AI254</f>
        <v>51.1</v>
      </c>
      <c r="F13" s="278">
        <f>[4]Brewhouse!$V254</f>
        <v>62</v>
      </c>
      <c r="G13" s="279">
        <f>[4]Brewhouse!AG254</f>
        <v>11.8</v>
      </c>
      <c r="H13" s="396">
        <v>11.8</v>
      </c>
      <c r="I13" s="368">
        <f>[4]Brewhouse!$AU254</f>
        <v>99.189410098175131</v>
      </c>
      <c r="J13" s="368">
        <f>[4]Brewhouse!$AV254</f>
        <v>100.12232639184218</v>
      </c>
      <c r="K13" s="281">
        <f>[4]Brewhouse!$Q254</f>
        <v>12.975970425138639</v>
      </c>
      <c r="L13" s="276">
        <f>[4]Brewhouse!$P254</f>
        <v>57</v>
      </c>
      <c r="M13" s="397">
        <f>[4]Brewhouse!$U254-[4]Brewhouse!$T254</f>
        <v>0.10902777777777795</v>
      </c>
      <c r="N13" s="370">
        <f>[4]Brewhouse!$Z254</f>
        <v>0.27013888888888893</v>
      </c>
      <c r="O13" s="420" t="str">
        <f>[4]Brewhouse!$AX254</f>
        <v>R.Sookram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6.5" customHeight="1">
      <c r="B14" s="33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74"/>
      <c r="N14" s="370"/>
      <c r="O14" s="371"/>
      <c r="P14" s="418"/>
      <c r="R14" s="277">
        <f t="shared" si="0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6.5" customHeight="1">
      <c r="B15" s="33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371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6.5" customHeight="1">
      <c r="B16" s="33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371"/>
      <c r="P16" s="418"/>
      <c r="R16" s="277">
        <f t="shared" si="0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6" ht="16.5" hidden="1" customHeight="1">
      <c r="B17" s="33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8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6" ht="15" hidden="1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5" hidden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hidden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 hidden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6.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6.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0"/>
      <c r="P23" s="418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6.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420"/>
      <c r="P24" s="418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5" hidden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420"/>
      <c r="P25" s="418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5" hidden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420"/>
      <c r="P26" s="418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8" hidden="1" customHeight="1">
      <c r="B27" s="29"/>
      <c r="C27" s="366"/>
      <c r="D27" s="279"/>
      <c r="E27" s="279"/>
      <c r="F27" s="278"/>
      <c r="G27" s="279"/>
      <c r="H27" s="487"/>
      <c r="I27" s="368"/>
      <c r="J27" s="368"/>
      <c r="K27" s="281"/>
      <c r="L27" s="276"/>
      <c r="M27" s="374"/>
      <c r="N27" s="370"/>
      <c r="O27" s="371"/>
      <c r="P27" s="418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6.5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18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5.75" customHeight="1" thickBot="1">
      <c r="B29" s="358"/>
      <c r="C29" s="358"/>
      <c r="D29" s="358"/>
      <c r="E29" s="358"/>
      <c r="F29" s="294"/>
      <c r="G29" s="294"/>
      <c r="H29" s="348"/>
      <c r="I29" s="512"/>
      <c r="J29" s="512"/>
      <c r="K29" s="512"/>
      <c r="L29" s="512"/>
      <c r="M29" s="512"/>
      <c r="N29" s="512"/>
      <c r="O29" s="1"/>
      <c r="P29" s="12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5.75" customHeight="1" thickBot="1">
      <c r="B30" s="388" t="s">
        <v>162</v>
      </c>
      <c r="C30" s="388"/>
      <c r="D30" s="513" t="s">
        <v>35</v>
      </c>
      <c r="E30" s="514"/>
      <c r="F30" s="294"/>
      <c r="G30" s="294"/>
      <c r="H30" s="348"/>
      <c r="I30" s="24" t="s">
        <v>17</v>
      </c>
      <c r="J30" s="25"/>
      <c r="K30" s="26" t="s">
        <v>138</v>
      </c>
      <c r="L30" s="25" t="s">
        <v>37</v>
      </c>
      <c r="M30" s="25" t="s">
        <v>38</v>
      </c>
      <c r="N30" s="27" t="s">
        <v>39</v>
      </c>
      <c r="O30" s="294"/>
      <c r="P30" s="12"/>
      <c r="R30" s="277" t="str">
        <f t="shared" si="0"/>
        <v xml:space="preserve">BRAND 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5" customHeight="1">
      <c r="A31" s="28"/>
      <c r="B31" s="515" t="str">
        <f>I31</f>
        <v>CARIB</v>
      </c>
      <c r="C31" s="362" cm="1">
        <f t="array" ref="C31:C34">[4]Process!$D$180:$D$183</f>
        <v>11.9</v>
      </c>
      <c r="D31" s="518">
        <v>11.65</v>
      </c>
      <c r="E31" s="519"/>
      <c r="F31" s="294"/>
      <c r="G31" s="294"/>
      <c r="H31" s="348"/>
      <c r="I31" s="29" t="s">
        <v>6</v>
      </c>
      <c r="J31" s="323">
        <f>AVERAGE(I10:I13)</f>
        <v>97.952672114419443</v>
      </c>
      <c r="K31" s="284">
        <f>COUNTA([4]Brewhouse!$A$198:$A$254)</f>
        <v>57</v>
      </c>
      <c r="L31" s="305">
        <f>AVERAGE([4]Brewhouse!$AU$198:$AU$254)</f>
        <v>98.017249654642413</v>
      </c>
      <c r="M31" s="305">
        <f>AVERAGE([4]Brewhouse!$AU$42:$AU$123,[4]Brewhouse!$AU$125:$AU$188,[4]Brewhouse!$AU$198:$AU$254)</f>
        <v>97.714533143170883</v>
      </c>
      <c r="N31" s="30">
        <v>98</v>
      </c>
      <c r="O31" s="11"/>
      <c r="P31" s="31"/>
      <c r="R31" s="277" t="str">
        <f t="shared" si="0"/>
        <v>CARIB</v>
      </c>
      <c r="S31" s="472">
        <f t="shared" si="1"/>
        <v>11.6</v>
      </c>
      <c r="T31" s="472">
        <f t="shared" si="2"/>
        <v>12</v>
      </c>
      <c r="U31" s="297">
        <f t="shared" si="3"/>
        <v>0</v>
      </c>
      <c r="V31" s="297">
        <f t="shared" si="4"/>
        <v>0.118055555555556</v>
      </c>
      <c r="W31" s="297">
        <f t="shared" si="5"/>
        <v>0.22569444444444445</v>
      </c>
      <c r="X31" s="297">
        <f t="shared" si="6"/>
        <v>0.2638888888888889</v>
      </c>
      <c r="Y31" s="297">
        <f t="shared" si="7"/>
        <v>0</v>
      </c>
      <c r="Z31" s="472">
        <f t="shared" si="8"/>
        <v>60</v>
      </c>
    </row>
    <row r="32" spans="1:26" ht="15" customHeight="1">
      <c r="A32" s="28"/>
      <c r="B32" s="516"/>
      <c r="C32" s="362">
        <v>11.8</v>
      </c>
      <c r="D32" s="520"/>
      <c r="E32" s="521"/>
      <c r="F32" s="294"/>
      <c r="G32" s="294"/>
      <c r="H32" s="348"/>
      <c r="I32" s="33" t="s">
        <v>9</v>
      </c>
      <c r="J32" s="280"/>
      <c r="K32" s="284">
        <f>COUNTA([3]Brewhouse!$A$134:$A$157)</f>
        <v>24</v>
      </c>
      <c r="L32" s="302">
        <f>AVERAGE([3]Brewhouse!$AS$134:$AS$157)</f>
        <v>98.305339109955796</v>
      </c>
      <c r="M32" s="302">
        <f>AVERAGE([3]Brewhouse!$AS$52:$AS$81,[3]Brewhouse!$AS$83:$AS$124,[3]Brewhouse!$AS$134:$AS$157)</f>
        <v>98.313793139420682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27" ht="14.65" customHeight="1">
      <c r="A33" s="28"/>
      <c r="B33" s="516"/>
      <c r="C33" s="362">
        <v>12</v>
      </c>
      <c r="D33" s="522">
        <v>11.97</v>
      </c>
      <c r="E33" s="523"/>
      <c r="F33" s="294"/>
      <c r="G33" s="294"/>
      <c r="H33" s="348"/>
      <c r="I33" s="34" t="s">
        <v>12</v>
      </c>
      <c r="J33" s="280"/>
      <c r="K33" s="284">
        <f>COUNTA([5]Brewhouse!$A$34:$A$41)</f>
        <v>8</v>
      </c>
      <c r="L33" s="302">
        <f>AVERAGE([5]Brewhouse!$AU$34:$AU$41)</f>
        <v>94.762610859726223</v>
      </c>
      <c r="M33" s="302">
        <f>AVERAGE([5]Brewhouse!$AU$16:$AU$23,[5]Brewhouse!$AU$25:$AU$32,[5]Brewhouse!$AU$34:$AU$41)</f>
        <v>97.131453825415363</v>
      </c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27" ht="14.65" customHeight="1">
      <c r="A34" s="28"/>
      <c r="B34" s="516"/>
      <c r="C34" s="362">
        <v>11.9</v>
      </c>
      <c r="D34" s="524"/>
      <c r="E34" s="521"/>
      <c r="F34" s="294"/>
      <c r="G34" s="294"/>
      <c r="H34" s="348"/>
      <c r="I34" s="22" t="s">
        <v>33</v>
      </c>
      <c r="J34" s="280"/>
      <c r="K34" s="284">
        <f>COUNTA([6]Brewhouse!$A$38:$A$44)</f>
        <v>7</v>
      </c>
      <c r="L34" s="302">
        <f>AVERAGE([6]Brewhouse!$AV$38:$AV$44)</f>
        <v>96.929916494140343</v>
      </c>
      <c r="M34" s="302">
        <f>AVERAGE([6]Brewhouse!$AV$23:$AV$34,[6]Brewhouse!$AV$36,[6]Brewhouse!$AV$38:$AV$44)</f>
        <v>97.74055230745536</v>
      </c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27" ht="14.65" customHeight="1">
      <c r="A35" s="28"/>
      <c r="B35" s="516"/>
      <c r="C35" s="362"/>
      <c r="D35" s="522"/>
      <c r="E35" s="523"/>
      <c r="F35" s="417"/>
      <c r="G35" s="294"/>
      <c r="H35" s="348"/>
      <c r="I35" s="35" t="s">
        <v>29</v>
      </c>
      <c r="J35" s="280"/>
      <c r="K35" s="284"/>
      <c r="L35" s="302"/>
      <c r="M35" s="302"/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27" ht="14.65" customHeight="1">
      <c r="A36" s="28"/>
      <c r="B36" s="516"/>
      <c r="C36" s="362"/>
      <c r="D36" s="524"/>
      <c r="E36" s="521"/>
      <c r="F36" s="417"/>
      <c r="G36" s="294"/>
      <c r="H36" s="348"/>
      <c r="I36" s="36" t="s">
        <v>15</v>
      </c>
      <c r="J36" s="323"/>
      <c r="K36" s="284"/>
      <c r="L36" s="302"/>
      <c r="M36" s="302">
        <f>AVERAGE([7]Brewhouse!$AT$4:$AT$11)</f>
        <v>92.826224508052405</v>
      </c>
      <c r="N36" s="3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27" ht="14.65" customHeight="1">
      <c r="A37" s="28"/>
      <c r="B37" s="516"/>
      <c r="C37" s="362"/>
      <c r="D37" s="522"/>
      <c r="E37" s="523"/>
      <c r="F37" s="417"/>
      <c r="G37" s="294"/>
      <c r="H37" s="348"/>
      <c r="I37" s="37" t="s">
        <v>16</v>
      </c>
      <c r="J37" s="323"/>
      <c r="K37" s="284">
        <f>COUNTA([8]Brewhouse!$A$25:$A$32)</f>
        <v>8</v>
      </c>
      <c r="L37" s="302">
        <f>AVERAGE([8]Brewhouse!$AY$32)</f>
        <v>97.452144425843485</v>
      </c>
      <c r="M37" s="302">
        <f>AVERAGE([8]Brewhouse!$AY$5:$AY$14,[8]Brewhouse!$AY$16:$AY$23,[8]Brewhouse!$AY$32)</f>
        <v>97.301958816242518</v>
      </c>
      <c r="N37" s="30">
        <v>98</v>
      </c>
      <c r="O37" s="11"/>
      <c r="P37" s="31" t="s">
        <v>41</v>
      </c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27" ht="14.65" customHeight="1">
      <c r="A38" s="28"/>
      <c r="B38" s="516"/>
      <c r="C38" s="362"/>
      <c r="D38" s="524"/>
      <c r="E38" s="521"/>
      <c r="F38" s="294"/>
      <c r="G38" s="294"/>
      <c r="H38" s="348"/>
      <c r="I38" s="411" t="s">
        <v>158</v>
      </c>
      <c r="J38" s="326"/>
      <c r="K38" s="284"/>
      <c r="L38" s="305"/>
      <c r="M38" s="305"/>
      <c r="N38" s="30">
        <v>98</v>
      </c>
      <c r="O38" s="11"/>
      <c r="P38" s="31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27" ht="14.65" customHeight="1">
      <c r="A39" s="28"/>
      <c r="B39" s="516"/>
      <c r="C39" s="349"/>
      <c r="D39" s="522"/>
      <c r="E39" s="523"/>
      <c r="F39" s="294"/>
      <c r="G39" s="294"/>
      <c r="H39" s="348"/>
      <c r="I39" s="410" t="s">
        <v>157</v>
      </c>
      <c r="J39" s="326"/>
      <c r="K39" s="284"/>
      <c r="L39" s="305"/>
      <c r="M39" s="305"/>
      <c r="N39" s="30">
        <v>98</v>
      </c>
      <c r="O39" s="11"/>
      <c r="P39" s="31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  <c r="AA39" s="472"/>
    </row>
    <row r="40" spans="1:27" ht="15" customHeight="1" thickBot="1">
      <c r="A40" s="28"/>
      <c r="B40" s="516"/>
      <c r="C40" s="349"/>
      <c r="D40" s="524"/>
      <c r="E40" s="521"/>
      <c r="F40" s="294"/>
      <c r="G40" s="294"/>
      <c r="H40" s="348"/>
      <c r="I40" s="406" t="s">
        <v>156</v>
      </c>
      <c r="J40" s="327"/>
      <c r="K40" s="407"/>
      <c r="L40" s="408"/>
      <c r="M40" s="408"/>
      <c r="N40" s="409">
        <v>98</v>
      </c>
      <c r="O40" s="11"/>
      <c r="P40" s="31"/>
      <c r="R40" s="277">
        <f t="shared" si="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  <c r="AA40" s="472"/>
    </row>
    <row r="41" spans="1:27" ht="15" customHeight="1" thickBot="1">
      <c r="A41" s="28"/>
      <c r="B41" s="516"/>
      <c r="C41" s="349"/>
      <c r="D41" s="518"/>
      <c r="E41" s="519"/>
      <c r="F41" s="294"/>
      <c r="G41" s="294"/>
      <c r="H41" s="348"/>
      <c r="I41" s="1"/>
      <c r="J41" s="39"/>
      <c r="K41" s="404">
        <f>SUM(K31:K40)</f>
        <v>104</v>
      </c>
      <c r="L41" s="405">
        <f>((L31*K31)+(L32*K32)+(L33*K33)+(L34*K34)+(L35*K35)+(K38*L38)+(L36*K36)+(L37*K37)+(L40*K40))/(K41)</f>
        <v>97.716719487472091</v>
      </c>
      <c r="M41" s="405">
        <f>AVERAGE('[9]Jan30th-31st'!$L$42,L41)</f>
        <v>97.772380611656786</v>
      </c>
      <c r="N41" s="40">
        <v>98</v>
      </c>
      <c r="O41" s="11"/>
      <c r="P41" s="31"/>
      <c r="R41" s="277">
        <f t="shared" si="0"/>
        <v>0</v>
      </c>
      <c r="S41" s="472" t="e">
        <f t="shared" si="1"/>
        <v>#N/A</v>
      </c>
      <c r="T41" s="472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2" t="e">
        <f t="shared" si="8"/>
        <v>#N/A</v>
      </c>
      <c r="AA41" s="472"/>
    </row>
    <row r="42" spans="1:27" ht="15.75" thickBot="1">
      <c r="B42" s="517"/>
      <c r="C42" s="350"/>
      <c r="D42" s="520"/>
      <c r="E42" s="521"/>
      <c r="F42" s="294"/>
      <c r="G42" s="42"/>
      <c r="H42" s="41"/>
      <c r="I42" s="42"/>
      <c r="J42" s="42"/>
      <c r="K42" s="351"/>
      <c r="L42" s="348"/>
      <c r="M42" s="348"/>
      <c r="N42" s="11"/>
      <c r="O42" s="294"/>
      <c r="P42" s="12"/>
      <c r="R42" s="277">
        <f t="shared" si="0"/>
        <v>0</v>
      </c>
      <c r="S42" s="472" t="e">
        <f t="shared" si="1"/>
        <v>#N/A</v>
      </c>
      <c r="T42" s="472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472" t="e">
        <f t="shared" si="8"/>
        <v>#N/A</v>
      </c>
      <c r="AA42" s="472"/>
    </row>
    <row r="43" spans="1:27" ht="15.75" thickBot="1">
      <c r="B43" s="525"/>
      <c r="C43" s="362"/>
      <c r="D43" s="528"/>
      <c r="E43" s="529"/>
      <c r="F43" s="294"/>
      <c r="G43" s="42"/>
      <c r="H43" s="41"/>
      <c r="I43" s="42"/>
      <c r="J43" s="530" t="s">
        <v>129</v>
      </c>
      <c r="K43" s="530"/>
      <c r="L43" s="294"/>
      <c r="M43" s="294"/>
      <c r="N43" s="294"/>
      <c r="O43" s="294"/>
      <c r="P43" s="12"/>
    </row>
    <row r="44" spans="1:27" ht="15.75" thickBot="1">
      <c r="B44" s="526"/>
      <c r="C44" s="362"/>
      <c r="D44" s="524"/>
      <c r="E44" s="521"/>
      <c r="F44" s="294"/>
      <c r="G44" s="42"/>
      <c r="H44" s="42"/>
      <c r="I44" s="42"/>
      <c r="J44" s="292" t="s">
        <v>17</v>
      </c>
      <c r="K44" s="293" t="s">
        <v>172</v>
      </c>
      <c r="L44" s="531" t="s">
        <v>136</v>
      </c>
      <c r="M44" s="531"/>
      <c r="N44" s="532"/>
      <c r="O44" s="294"/>
      <c r="P44" s="12"/>
    </row>
    <row r="45" spans="1:27" ht="15" customHeight="1" thickBot="1">
      <c r="B45" s="526"/>
      <c r="C45" s="349"/>
      <c r="D45" s="522"/>
      <c r="E45" s="523"/>
      <c r="F45" s="294"/>
      <c r="G45" s="42"/>
      <c r="H45" s="42"/>
      <c r="I45" s="42"/>
      <c r="J45" s="287" t="s">
        <v>6</v>
      </c>
      <c r="K45" s="324">
        <v>2</v>
      </c>
      <c r="L45" s="473" t="s">
        <v>37</v>
      </c>
      <c r="M45" s="474" t="s">
        <v>38</v>
      </c>
      <c r="N45" s="474" t="s">
        <v>84</v>
      </c>
      <c r="O45" s="294"/>
      <c r="P45" s="12"/>
    </row>
    <row r="46" spans="1:27" ht="15.75" customHeight="1" thickBot="1">
      <c r="B46" s="526"/>
      <c r="C46" s="349"/>
      <c r="D46" s="524"/>
      <c r="E46" s="521"/>
      <c r="F46" s="294"/>
      <c r="G46" s="42"/>
      <c r="H46" s="42"/>
      <c r="I46" s="42"/>
      <c r="J46" s="345" t="s">
        <v>9</v>
      </c>
      <c r="K46" s="324"/>
      <c r="L46" s="344">
        <f>AVERAGE(K55,'Mar 2nd'!K49,'Mar 1st'!K55,'Mar 3rd'!K49,'Mar 4th'!K51,'Mar 5th'!K52,'Mar 6th '!K49,'Mar 9th'!K53,'Mar 10th'!K47,'Mar 11th'!K50,'Mar 12th'!K51,'Mar 13th-15th'!J73,'Mar 13th-15th'!I73,'Mar 16th'!K58)</f>
        <v>7.2142857142857144</v>
      </c>
      <c r="M46" s="325">
        <f>AVERAGE('[9]Jan30th-31st'!$L$47,L46,'[10]Feb 26th '!$L$39)</f>
        <v>6.4670807453416144</v>
      </c>
      <c r="N46" s="416">
        <v>9.1999999999999993</v>
      </c>
      <c r="O46" s="294"/>
      <c r="P46" s="12"/>
    </row>
    <row r="47" spans="1:27" ht="15" customHeight="1">
      <c r="B47" s="526"/>
      <c r="C47" s="349"/>
      <c r="D47" s="522"/>
      <c r="E47" s="523"/>
      <c r="F47" s="294"/>
      <c r="G47" s="42"/>
      <c r="H47" s="42"/>
      <c r="I47" s="42"/>
      <c r="J47" s="288" t="s">
        <v>40</v>
      </c>
      <c r="K47" s="324"/>
      <c r="L47" s="294"/>
      <c r="M47" s="294"/>
      <c r="N47" s="294"/>
      <c r="O47" s="294"/>
      <c r="P47" s="12"/>
    </row>
    <row r="48" spans="1:27" ht="15" customHeight="1">
      <c r="B48" s="526"/>
      <c r="C48" s="349"/>
      <c r="D48" s="524"/>
      <c r="E48" s="521"/>
      <c r="F48" s="294"/>
      <c r="G48" s="42"/>
      <c r="H48" s="42"/>
      <c r="I48" s="42"/>
      <c r="J48" s="289" t="s">
        <v>33</v>
      </c>
      <c r="K48" s="324"/>
      <c r="L48" s="294"/>
      <c r="M48" s="294"/>
      <c r="N48" s="294"/>
      <c r="O48" s="294"/>
      <c r="P48" s="12"/>
    </row>
    <row r="49" spans="1:57" ht="15">
      <c r="B49" s="526"/>
      <c r="C49" s="349"/>
      <c r="D49" s="522"/>
      <c r="E49" s="523"/>
      <c r="F49" s="294"/>
      <c r="G49" s="42"/>
      <c r="H49" s="42"/>
      <c r="I49" s="42"/>
      <c r="J49" s="290" t="s">
        <v>16</v>
      </c>
      <c r="K49" s="324"/>
      <c r="L49" s="294"/>
      <c r="M49" s="294"/>
      <c r="N49" s="294"/>
      <c r="O49" s="294"/>
      <c r="P49" s="12"/>
      <c r="BC49" s="44"/>
      <c r="BD49" s="44"/>
    </row>
    <row r="50" spans="1:57" ht="15">
      <c r="B50" s="526"/>
      <c r="C50" s="349"/>
      <c r="D50" s="524"/>
      <c r="E50" s="521"/>
      <c r="F50" s="294"/>
      <c r="G50" s="42"/>
      <c r="H50" s="42"/>
      <c r="I50" s="42"/>
      <c r="J50" s="291" t="s">
        <v>15</v>
      </c>
      <c r="K50" s="324"/>
      <c r="L50" s="294"/>
      <c r="M50" s="294"/>
      <c r="N50" s="294"/>
      <c r="O50" s="294"/>
      <c r="P50" s="12"/>
      <c r="BC50" s="44"/>
      <c r="BD50" s="44"/>
    </row>
    <row r="51" spans="1:57" ht="15">
      <c r="B51" s="526"/>
      <c r="C51" s="349"/>
      <c r="D51" s="522"/>
      <c r="E51" s="523"/>
      <c r="F51" s="294"/>
      <c r="G51" s="42"/>
      <c r="H51" s="42"/>
      <c r="I51" s="42"/>
      <c r="J51" s="291" t="s">
        <v>149</v>
      </c>
      <c r="K51" s="324"/>
      <c r="L51" s="294"/>
      <c r="M51" s="294"/>
      <c r="N51" s="294"/>
      <c r="O51" s="294"/>
      <c r="P51" s="12"/>
      <c r="BC51" s="44"/>
      <c r="BD51" s="44"/>
    </row>
    <row r="52" spans="1:57" ht="15.75" thickBot="1">
      <c r="B52" s="527"/>
      <c r="C52" s="350"/>
      <c r="D52" s="533"/>
      <c r="E52" s="534"/>
      <c r="F52" s="294" t="s">
        <v>166</v>
      </c>
      <c r="G52" s="42"/>
      <c r="H52" s="42"/>
      <c r="I52" s="42"/>
      <c r="J52" s="291" t="s">
        <v>148</v>
      </c>
      <c r="K52" s="324"/>
      <c r="L52" s="294"/>
      <c r="M52" s="294"/>
      <c r="N52" s="294" t="s">
        <v>41</v>
      </c>
      <c r="O52" s="294"/>
      <c r="P52" s="12"/>
      <c r="BC52" s="44"/>
      <c r="BD52" s="44"/>
    </row>
    <row r="53" spans="1:57" ht="17.649999999999999" customHeight="1" thickBot="1">
      <c r="B53" s="312" t="s">
        <v>139</v>
      </c>
      <c r="C53" s="313"/>
      <c r="D53" s="535"/>
      <c r="E53" s="536"/>
      <c r="F53" s="294"/>
      <c r="J53" s="295" t="s">
        <v>134</v>
      </c>
      <c r="K53" s="324"/>
      <c r="L53" s="294"/>
      <c r="M53" s="294"/>
      <c r="N53" s="294"/>
      <c r="O53" s="294"/>
      <c r="P53" s="12"/>
      <c r="BC53" s="44"/>
      <c r="BD53" s="44"/>
    </row>
    <row r="54" spans="1:57" ht="17.649999999999999" customHeight="1">
      <c r="B54" s="363"/>
      <c r="C54" s="364"/>
      <c r="D54" s="365"/>
      <c r="E54" s="365"/>
      <c r="F54" s="294"/>
      <c r="G54" s="42"/>
      <c r="H54" s="42"/>
      <c r="I54" s="42"/>
      <c r="J54" s="295" t="s">
        <v>131</v>
      </c>
      <c r="K54" s="324"/>
      <c r="L54" s="294"/>
      <c r="M54" s="294"/>
      <c r="N54" s="294"/>
      <c r="O54" s="294"/>
      <c r="P54" s="12"/>
      <c r="BC54" s="44"/>
      <c r="BD54" s="44"/>
    </row>
    <row r="55" spans="1:57" ht="15.6" customHeight="1">
      <c r="B55" s="45"/>
      <c r="C55" s="11"/>
      <c r="D55" s="11"/>
      <c r="E55" s="46"/>
      <c r="F55" s="294"/>
      <c r="G55" s="42"/>
      <c r="H55" s="42"/>
      <c r="I55" s="42"/>
      <c r="J55" s="346" t="s">
        <v>130</v>
      </c>
      <c r="K55" s="324">
        <f>SUM(K45:K54)</f>
        <v>2</v>
      </c>
      <c r="L55" s="294"/>
      <c r="M55" s="294"/>
      <c r="N55" s="294"/>
      <c r="O55" s="294"/>
      <c r="P55" s="12"/>
    </row>
    <row r="56" spans="1:57" ht="20.25" customHeight="1">
      <c r="B56" s="15" t="s">
        <v>42</v>
      </c>
      <c r="C56" s="1" t="s">
        <v>43</v>
      </c>
      <c r="D56" s="1"/>
      <c r="E56" s="1"/>
      <c r="F56" s="294"/>
      <c r="G56" s="42"/>
      <c r="H56" s="41"/>
      <c r="I56" s="42"/>
      <c r="L56" s="294"/>
      <c r="N56" s="315"/>
      <c r="P56" s="334"/>
    </row>
    <row r="57" spans="1:57" ht="15" customHeight="1" thickBot="1"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1"/>
      <c r="O57" s="48"/>
      <c r="P57" s="49"/>
    </row>
    <row r="58" spans="1:57" ht="15" customHeight="1" thickBot="1">
      <c r="B58" s="537" t="s">
        <v>17</v>
      </c>
      <c r="C58" s="537" t="s">
        <v>44</v>
      </c>
      <c r="D58" s="540" t="s">
        <v>45</v>
      </c>
      <c r="E58" s="501" t="s">
        <v>46</v>
      </c>
      <c r="F58" s="510" t="s">
        <v>47</v>
      </c>
      <c r="G58" s="549" t="s">
        <v>48</v>
      </c>
      <c r="H58" s="537" t="s">
        <v>49</v>
      </c>
      <c r="I58" s="537" t="s">
        <v>50</v>
      </c>
      <c r="J58" s="543" t="s">
        <v>28</v>
      </c>
      <c r="K58" s="499" t="s">
        <v>51</v>
      </c>
      <c r="L58" s="552" t="s">
        <v>52</v>
      </c>
      <c r="M58" s="543" t="s">
        <v>53</v>
      </c>
      <c r="N58" s="13"/>
      <c r="O58" s="13"/>
      <c r="P58" s="50"/>
    </row>
    <row r="59" spans="1:57" ht="28.5" customHeight="1" thickTop="1" thickBot="1">
      <c r="B59" s="538"/>
      <c r="C59" s="539"/>
      <c r="D59" s="541"/>
      <c r="E59" s="542"/>
      <c r="F59" s="554"/>
      <c r="G59" s="550"/>
      <c r="H59" s="538"/>
      <c r="I59" s="538"/>
      <c r="J59" s="544"/>
      <c r="K59" s="551"/>
      <c r="L59" s="553"/>
      <c r="M59" s="544"/>
      <c r="N59" s="13"/>
      <c r="O59" s="13"/>
      <c r="P59" s="50"/>
      <c r="Q59" s="355"/>
      <c r="AB59" s="475">
        <v>43474</v>
      </c>
      <c r="AC59" s="475">
        <v>43475</v>
      </c>
      <c r="AD59" s="475">
        <v>43476</v>
      </c>
      <c r="AE59" s="475">
        <v>43477</v>
      </c>
      <c r="AF59" s="475">
        <v>43478</v>
      </c>
      <c r="AG59" s="475">
        <v>43479</v>
      </c>
      <c r="AH59" s="475">
        <v>43480</v>
      </c>
      <c r="AI59" s="475">
        <v>43481</v>
      </c>
      <c r="AJ59" s="475">
        <v>43482</v>
      </c>
      <c r="AK59" s="475">
        <v>43483</v>
      </c>
      <c r="AL59" s="475">
        <v>43484</v>
      </c>
      <c r="AM59" s="475">
        <v>43485</v>
      </c>
      <c r="AN59" s="475">
        <v>43486</v>
      </c>
      <c r="AO59" s="475">
        <v>43487</v>
      </c>
      <c r="AP59" s="475">
        <v>43488</v>
      </c>
      <c r="AQ59" s="475">
        <v>43489</v>
      </c>
      <c r="AR59" s="475">
        <v>43490</v>
      </c>
      <c r="AS59" s="475">
        <v>43491</v>
      </c>
      <c r="AT59" s="475">
        <v>43492</v>
      </c>
      <c r="AU59" s="475">
        <v>43493</v>
      </c>
      <c r="AV59" s="475">
        <v>43494</v>
      </c>
      <c r="AW59" s="475">
        <v>43495</v>
      </c>
      <c r="AX59" s="475">
        <v>43496</v>
      </c>
    </row>
    <row r="60" spans="1:57" s="54" customFormat="1" ht="36.75" customHeight="1" thickBot="1">
      <c r="B60" s="480" t="str">
        <f>I31</f>
        <v>CARIB</v>
      </c>
      <c r="C60" s="479">
        <v>46099</v>
      </c>
      <c r="D60" s="442">
        <f>[11]March_2026!$U$3</f>
        <v>201.20000000000002</v>
      </c>
      <c r="E60" s="443"/>
      <c r="F60" s="444"/>
      <c r="G60" s="445">
        <f>[11]March_2026!$U$7</f>
        <v>187.5</v>
      </c>
      <c r="H60" s="458"/>
      <c r="I60" s="458"/>
      <c r="J60" s="448" t="s">
        <v>193</v>
      </c>
      <c r="K60" s="449">
        <f>[13]March_2026!$U$18</f>
        <v>0.65789473684210531</v>
      </c>
      <c r="L60" s="476">
        <f>(((D60+E60)-G60)/(D60+E60))*100</f>
        <v>6.8091451292246603</v>
      </c>
      <c r="M60" s="455" t="s">
        <v>182</v>
      </c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>
        <f>[14]January_2019!L5</f>
        <v>0</v>
      </c>
      <c r="AC60" s="57">
        <f>[14]January_2019!M5</f>
        <v>0</v>
      </c>
      <c r="AD60" s="57">
        <f>[14]January_2019!N5</f>
        <v>0</v>
      </c>
      <c r="AE60" s="57">
        <f>[14]January_2019!O5</f>
        <v>0</v>
      </c>
      <c r="AF60" s="57">
        <f>[14]January_2019!P5</f>
        <v>0</v>
      </c>
      <c r="AG60" s="57">
        <f>[14]January_2019!Q5</f>
        <v>0</v>
      </c>
      <c r="AH60" s="57">
        <f>[14]January_2019!R5</f>
        <v>0</v>
      </c>
      <c r="AI60" s="57">
        <f>[14]January_2019!S5</f>
        <v>0</v>
      </c>
      <c r="AJ60" s="57">
        <f>[14]January_2019!T5</f>
        <v>0</v>
      </c>
      <c r="AK60" s="57">
        <f>[14]January_2019!U5</f>
        <v>0</v>
      </c>
      <c r="AL60" s="57">
        <f>[14]January_2019!V5</f>
        <v>0</v>
      </c>
      <c r="AM60" s="57">
        <f>[14]January_2019!W5</f>
        <v>0</v>
      </c>
      <c r="AN60" s="57">
        <f>[14]January_2019!X5</f>
        <v>0</v>
      </c>
      <c r="AO60" s="57">
        <f>[14]January_2019!Y5</f>
        <v>0</v>
      </c>
      <c r="AP60" s="57">
        <f>[14]January_2019!Z5</f>
        <v>0</v>
      </c>
      <c r="AQ60" s="57">
        <f>[14]January_2019!AA5</f>
        <v>0</v>
      </c>
      <c r="AR60" s="57">
        <f>[14]January_2019!AB5</f>
        <v>0</v>
      </c>
      <c r="AS60" s="57">
        <f>[14]January_2019!AC5</f>
        <v>0</v>
      </c>
      <c r="AT60" s="57">
        <f>[14]January_2019!AD5</f>
        <v>0</v>
      </c>
      <c r="AU60" s="57">
        <f>[14]January_2019!AE5</f>
        <v>0</v>
      </c>
      <c r="AV60" s="57">
        <f>[14]January_2019!AF5</f>
        <v>0</v>
      </c>
      <c r="AW60" s="57">
        <f>[14]January_2019!AG5</f>
        <v>0</v>
      </c>
      <c r="AX60" s="277">
        <f>[14]January_2019!AH5</f>
        <v>0</v>
      </c>
      <c r="AY60" s="277"/>
      <c r="AZ60" s="277"/>
      <c r="BA60" s="277"/>
      <c r="BB60" s="277"/>
      <c r="BC60" s="277"/>
      <c r="BD60" s="277"/>
      <c r="BE60" s="277"/>
    </row>
    <row r="61" spans="1:57" s="54" customFormat="1" ht="14.25" customHeight="1" thickBot="1">
      <c r="B61" s="480"/>
      <c r="C61" s="479"/>
      <c r="D61" s="442"/>
      <c r="E61" s="443"/>
      <c r="F61" s="444"/>
      <c r="G61" s="445"/>
      <c r="H61" s="458"/>
      <c r="I61" s="458"/>
      <c r="J61" s="476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>
        <f>[14]January_2019!L6</f>
        <v>0</v>
      </c>
      <c r="AC61" s="57">
        <f>[14]January_2019!M6</f>
        <v>0</v>
      </c>
      <c r="AD61" s="57">
        <f>[14]January_2019!N6</f>
        <v>0</v>
      </c>
      <c r="AE61" s="57">
        <f>[14]January_2019!O6</f>
        <v>0</v>
      </c>
      <c r="AF61" s="57">
        <f>[14]January_2019!P6</f>
        <v>0</v>
      </c>
      <c r="AG61" s="57">
        <f>[14]January_2019!Q6</f>
        <v>0</v>
      </c>
      <c r="AH61" s="57">
        <f>[14]January_2019!R6</f>
        <v>0</v>
      </c>
      <c r="AI61" s="57">
        <f>[14]January_2019!S6</f>
        <v>0</v>
      </c>
      <c r="AJ61" s="57">
        <f>[14]January_2019!T6</f>
        <v>0</v>
      </c>
      <c r="AK61" s="57">
        <f>[14]January_2019!U6</f>
        <v>0</v>
      </c>
      <c r="AL61" s="57">
        <f>[14]January_2019!V6</f>
        <v>0</v>
      </c>
      <c r="AM61" s="57">
        <f>[14]January_2019!W6</f>
        <v>0</v>
      </c>
      <c r="AN61" s="57">
        <f>[14]January_2019!X6</f>
        <v>0</v>
      </c>
      <c r="AO61" s="57">
        <f>[14]January_2019!Y6</f>
        <v>0</v>
      </c>
      <c r="AP61" s="57">
        <f>[14]January_2019!Z6</f>
        <v>0</v>
      </c>
      <c r="AQ61" s="57">
        <f>[14]January_2019!AA6</f>
        <v>0</v>
      </c>
      <c r="AR61" s="57">
        <f>[14]January_2019!AB6</f>
        <v>0</v>
      </c>
      <c r="AS61" s="57">
        <f>[14]January_2019!AC6</f>
        <v>0</v>
      </c>
      <c r="AT61" s="57">
        <f>[14]January_2019!AD6</f>
        <v>0</v>
      </c>
      <c r="AU61" s="57">
        <f>[14]January_2019!AE6</f>
        <v>0</v>
      </c>
      <c r="AV61" s="57">
        <f>[14]January_2019!AF6</f>
        <v>0</v>
      </c>
      <c r="AW61" s="57">
        <f>[14]January_2019!AG6</f>
        <v>0</v>
      </c>
      <c r="AX61" s="277">
        <f>[14]January_2019!AH6</f>
        <v>0</v>
      </c>
      <c r="AY61" s="277"/>
      <c r="AZ61" s="277"/>
      <c r="BA61" s="277"/>
      <c r="BB61" s="277"/>
      <c r="BC61" s="277"/>
      <c r="BD61" s="277"/>
      <c r="BE61" s="277"/>
    </row>
    <row r="62" spans="1:57" s="54" customFormat="1" ht="37.15" hidden="1" customHeight="1" thickBot="1">
      <c r="A62" s="54" t="s">
        <v>168</v>
      </c>
      <c r="B62" s="480"/>
      <c r="C62" s="479"/>
      <c r="D62" s="442"/>
      <c r="E62" s="443"/>
      <c r="F62" s="444"/>
      <c r="G62" s="445"/>
      <c r="H62" s="458"/>
      <c r="I62" s="458"/>
      <c r="J62" s="448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>
        <f>[14]January_2019!L7</f>
        <v>285.8</v>
      </c>
      <c r="AC62" s="57">
        <f>[14]January_2019!M7</f>
        <v>508.1</v>
      </c>
      <c r="AD62" s="57">
        <f>[14]January_2019!N7</f>
        <v>0</v>
      </c>
      <c r="AE62" s="57">
        <f>[14]January_2019!O7</f>
        <v>0</v>
      </c>
      <c r="AF62" s="57">
        <f>[14]January_2019!P7</f>
        <v>109.56666666666666</v>
      </c>
      <c r="AG62" s="57">
        <f>[14]January_2019!Q7</f>
        <v>297.64999999999998</v>
      </c>
      <c r="AH62" s="57">
        <f>[14]January_2019!R7</f>
        <v>122.3</v>
      </c>
      <c r="AI62" s="57">
        <f>[14]January_2019!S7</f>
        <v>0</v>
      </c>
      <c r="AJ62" s="57">
        <f>[14]January_2019!T7</f>
        <v>294.7</v>
      </c>
      <c r="AK62" s="57">
        <f>[14]January_2019!U7</f>
        <v>280.5</v>
      </c>
      <c r="AL62" s="57">
        <f>[14]January_2019!V7</f>
        <v>0</v>
      </c>
      <c r="AM62" s="57">
        <f>[14]January_2019!W7</f>
        <v>0</v>
      </c>
      <c r="AN62" s="57">
        <f>[14]January_2019!X7</f>
        <v>188.25</v>
      </c>
      <c r="AO62" s="57">
        <f>[14]January_2019!Y7</f>
        <v>295.7</v>
      </c>
      <c r="AP62" s="57">
        <f>[14]January_2019!Z7</f>
        <v>257.8</v>
      </c>
      <c r="AQ62" s="57">
        <f>[14]January_2019!AA7</f>
        <v>291.2</v>
      </c>
      <c r="AR62" s="57">
        <f>[14]January_2019!AB7</f>
        <v>187</v>
      </c>
      <c r="AS62" s="57">
        <f>[14]January_2019!AC7</f>
        <v>0</v>
      </c>
      <c r="AT62" s="57">
        <f>[14]January_2019!AD7</f>
        <v>0</v>
      </c>
      <c r="AU62" s="57">
        <f>[14]January_2019!AE7</f>
        <v>485.1</v>
      </c>
      <c r="AV62" s="57">
        <f>[14]January_2019!AF7</f>
        <v>171.55</v>
      </c>
      <c r="AW62" s="57">
        <f>[14]January_2019!AG7</f>
        <v>423.8</v>
      </c>
      <c r="AX62" s="277">
        <f>[14]January_2019!AH7</f>
        <v>0</v>
      </c>
      <c r="AY62" s="277"/>
      <c r="AZ62" s="277"/>
      <c r="BA62" s="277"/>
      <c r="BB62" s="277"/>
      <c r="BC62" s="277"/>
      <c r="BD62" s="277"/>
      <c r="BE62" s="277"/>
    </row>
    <row r="63" spans="1:57" s="54" customFormat="1" ht="19.5" hidden="1" customHeight="1" thickBot="1">
      <c r="B63" s="478"/>
      <c r="C63" s="430"/>
      <c r="D63" s="431"/>
      <c r="E63" s="432"/>
      <c r="F63" s="433"/>
      <c r="G63" s="434"/>
      <c r="H63" s="458"/>
      <c r="I63" s="458"/>
      <c r="J63" s="451"/>
      <c r="K63" s="436"/>
      <c r="L63" s="452"/>
      <c r="M63" s="421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s="54" customFormat="1" ht="38.450000000000003" hidden="1" customHeight="1" thickBot="1">
      <c r="B64" s="480"/>
      <c r="C64" s="479"/>
      <c r="D64" s="442"/>
      <c r="E64" s="443"/>
      <c r="F64" s="444"/>
      <c r="G64" s="445"/>
      <c r="H64" s="458"/>
      <c r="I64" s="458"/>
      <c r="J64" s="448" t="s">
        <v>171</v>
      </c>
      <c r="K64" s="459"/>
      <c r="L64" s="457" t="e">
        <f>(((D64+E64)-G64)/(D64+E64))*100</f>
        <v>#DIV/0!</v>
      </c>
      <c r="M64" s="45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15" hidden="1">
      <c r="B65" s="453"/>
      <c r="C65" s="430"/>
      <c r="D65" s="431"/>
      <c r="E65" s="432"/>
      <c r="F65" s="433"/>
      <c r="G65" s="434"/>
      <c r="H65" s="435"/>
      <c r="I65" s="450"/>
      <c r="J65" s="451"/>
      <c r="K65" s="436"/>
      <c r="L65" s="452"/>
      <c r="M65" s="421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7.15" hidden="1" customHeight="1" thickBot="1">
      <c r="B66" s="480"/>
      <c r="C66" s="479"/>
      <c r="D66" s="442"/>
      <c r="E66" s="443"/>
      <c r="F66" s="444"/>
      <c r="G66" s="445"/>
      <c r="H66" s="446"/>
      <c r="I66" s="447"/>
      <c r="J66" s="448"/>
      <c r="K66" s="449"/>
      <c r="L66" s="457"/>
      <c r="M66" s="455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16.5" hidden="1" customHeight="1" thickBot="1">
      <c r="B67" s="437"/>
      <c r="C67" s="423"/>
      <c r="D67" s="424"/>
      <c r="E67" s="425"/>
      <c r="F67" s="426"/>
      <c r="G67" s="427"/>
      <c r="H67" s="428"/>
      <c r="I67" s="438"/>
      <c r="J67" s="439"/>
      <c r="K67" s="429"/>
      <c r="L67" s="440"/>
      <c r="M67" s="422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415"/>
      <c r="AC67" s="415"/>
      <c r="AD67" s="415"/>
      <c r="AE67" s="415"/>
      <c r="AF67" s="415"/>
      <c r="AG67" s="415"/>
      <c r="AH67" s="415"/>
      <c r="AI67" s="415"/>
      <c r="AJ67" s="415"/>
      <c r="AK67" s="415"/>
      <c r="AL67" s="415"/>
      <c r="AM67" s="415"/>
      <c r="AN67" s="415"/>
      <c r="AO67" s="415"/>
      <c r="AP67" s="415"/>
      <c r="AQ67" s="415"/>
      <c r="AR67" s="415"/>
      <c r="AS67" s="415"/>
      <c r="AT67" s="415"/>
      <c r="AU67" s="415"/>
      <c r="AV67" s="415"/>
      <c r="AW67" s="415"/>
    </row>
    <row r="68" spans="2:57" s="54" customFormat="1" ht="37.15" hidden="1" customHeight="1" thickBot="1">
      <c r="B68" s="456"/>
      <c r="C68" s="441"/>
      <c r="D68" s="442"/>
      <c r="E68" s="443"/>
      <c r="F68" s="444"/>
      <c r="G68" s="445"/>
      <c r="H68" s="446"/>
      <c r="I68" s="447"/>
      <c r="J68" s="448"/>
      <c r="K68" s="449"/>
      <c r="L68" s="457"/>
      <c r="M68" s="454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s="54" customFormat="1" ht="37.15" customHeight="1">
      <c r="B69" s="466"/>
      <c r="C69" s="430"/>
      <c r="D69" s="460"/>
      <c r="E69" s="461"/>
      <c r="F69" s="462"/>
      <c r="G69" s="460"/>
      <c r="H69" s="463"/>
      <c r="I69" s="463"/>
      <c r="J69" s="463"/>
      <c r="K69" s="464"/>
      <c r="L69" s="465"/>
      <c r="M69" s="50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2:57" ht="18" customHeight="1" thickBot="1">
      <c r="B70" s="59"/>
      <c r="C70" s="30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 t="s">
        <v>41</v>
      </c>
      <c r="O70" s="56"/>
      <c r="P70" s="60"/>
    </row>
    <row r="71" spans="2:57" ht="15.75" thickBot="1">
      <c r="B71" s="545" t="s">
        <v>55</v>
      </c>
      <c r="C71" s="546"/>
      <c r="D71" s="546"/>
      <c r="E71" s="546"/>
      <c r="F71" s="547"/>
      <c r="G71" s="545" t="s">
        <v>56</v>
      </c>
      <c r="H71" s="546"/>
      <c r="I71" s="546"/>
      <c r="J71" s="547"/>
      <c r="K71" s="545" t="s">
        <v>51</v>
      </c>
      <c r="L71" s="546"/>
      <c r="M71" s="546"/>
      <c r="N71" s="548"/>
      <c r="O71" s="56"/>
      <c r="P71" s="50"/>
    </row>
    <row r="72" spans="2:57" ht="15">
      <c r="B72" s="61" t="s">
        <v>17</v>
      </c>
      <c r="C72" s="62" t="s">
        <v>36</v>
      </c>
      <c r="D72" s="62" t="s">
        <v>37</v>
      </c>
      <c r="E72" s="62" t="s">
        <v>38</v>
      </c>
      <c r="F72" s="63" t="s">
        <v>39</v>
      </c>
      <c r="G72" s="62" t="s">
        <v>36</v>
      </c>
      <c r="H72" s="62" t="s">
        <v>37</v>
      </c>
      <c r="I72" s="62" t="s">
        <v>38</v>
      </c>
      <c r="J72" s="63" t="s">
        <v>39</v>
      </c>
      <c r="K72" s="62" t="s">
        <v>36</v>
      </c>
      <c r="L72" s="62" t="s">
        <v>37</v>
      </c>
      <c r="M72" s="62" t="s">
        <v>38</v>
      </c>
      <c r="N72" s="63" t="s">
        <v>39</v>
      </c>
      <c r="O72" s="56"/>
      <c r="P72" s="64"/>
    </row>
    <row r="73" spans="2:57" ht="15">
      <c r="B73" s="29" t="s">
        <v>6</v>
      </c>
      <c r="C73" s="282">
        <f>L60</f>
        <v>6.8091451292246603</v>
      </c>
      <c r="D73" s="76">
        <v>6.102395176148721</v>
      </c>
      <c r="E73" s="76">
        <v>7.0487047566185357</v>
      </c>
      <c r="F73" s="66">
        <v>4.8</v>
      </c>
      <c r="G73" s="65">
        <f>[11]March_2026!$U$11</f>
        <v>7.3331097750844361</v>
      </c>
      <c r="H73" s="477">
        <v>5.7972086365691693</v>
      </c>
      <c r="I73" s="477">
        <v>7.1107908793060046</v>
      </c>
      <c r="J73" s="66">
        <v>4.8</v>
      </c>
      <c r="K73" s="67">
        <f>K60</f>
        <v>0.65789473684210531</v>
      </c>
      <c r="L73" s="194">
        <v>0.41130047340573656</v>
      </c>
      <c r="M73" s="194">
        <v>0.39389810978028211</v>
      </c>
      <c r="N73" s="68">
        <v>1</v>
      </c>
      <c r="O73" s="56"/>
      <c r="P73" s="69"/>
    </row>
    <row r="74" spans="2:57" ht="15">
      <c r="B74" s="33" t="s">
        <v>9</v>
      </c>
      <c r="C74" s="65"/>
      <c r="D74" s="76">
        <v>6.226853304877273</v>
      </c>
      <c r="E74" s="76">
        <v>6.218558063401959</v>
      </c>
      <c r="F74" s="66">
        <v>4.8</v>
      </c>
      <c r="G74" s="65"/>
      <c r="H74" s="76">
        <v>5.6013387717202709</v>
      </c>
      <c r="I74" s="76">
        <v>6.0251504474659541</v>
      </c>
      <c r="J74" s="66">
        <v>4.8</v>
      </c>
      <c r="K74" s="67"/>
      <c r="L74" s="194">
        <v>0.74087719298245613</v>
      </c>
      <c r="M74" s="194">
        <v>0.60474102461797952</v>
      </c>
      <c r="N74" s="68">
        <v>1</v>
      </c>
      <c r="P74" s="69"/>
    </row>
    <row r="75" spans="2:57" ht="15">
      <c r="B75" s="34" t="s">
        <v>40</v>
      </c>
      <c r="C75" s="65"/>
      <c r="D75" s="76">
        <v>12.686094393411453</v>
      </c>
      <c r="E75" s="76">
        <v>12.557379600093356</v>
      </c>
      <c r="F75" s="66">
        <v>5.5</v>
      </c>
      <c r="G75" s="65"/>
      <c r="H75" s="76">
        <v>16.188465805007624</v>
      </c>
      <c r="I75" s="76">
        <v>14.409617014725914</v>
      </c>
      <c r="J75" s="66">
        <v>5.5</v>
      </c>
      <c r="K75" s="67"/>
      <c r="L75" s="194">
        <v>0.22560526315789473</v>
      </c>
      <c r="M75" s="194">
        <v>0.29359298245614035</v>
      </c>
      <c r="N75" s="68">
        <v>1</v>
      </c>
      <c r="P75" s="69"/>
    </row>
    <row r="76" spans="2:57" ht="15">
      <c r="B76" s="22" t="s">
        <v>33</v>
      </c>
      <c r="C76" s="65"/>
      <c r="D76" s="76">
        <v>4.786281034041461</v>
      </c>
      <c r="E76" s="76">
        <v>4.9619586520196597</v>
      </c>
      <c r="F76" s="66">
        <v>3.3</v>
      </c>
      <c r="G76" s="65"/>
      <c r="H76" s="76">
        <v>5.4251963146907434</v>
      </c>
      <c r="I76" s="76">
        <v>4.9501867212112511</v>
      </c>
      <c r="J76" s="66">
        <v>3.3</v>
      </c>
      <c r="K76" s="67"/>
      <c r="L76" s="194">
        <v>1.3052631578947369</v>
      </c>
      <c r="M76" s="194">
        <v>0.88064327485380123</v>
      </c>
      <c r="N76" s="68">
        <v>1</v>
      </c>
      <c r="P76" s="69"/>
    </row>
    <row r="77" spans="2:57" ht="15">
      <c r="B77" s="35" t="s">
        <v>164</v>
      </c>
      <c r="C77" s="65"/>
      <c r="D77" s="76"/>
      <c r="E77" s="76"/>
      <c r="F77" s="66">
        <v>3.3</v>
      </c>
      <c r="G77" s="282"/>
      <c r="H77" s="76"/>
      <c r="I77" s="76"/>
      <c r="J77" s="66">
        <v>3</v>
      </c>
      <c r="K77" s="67"/>
      <c r="L77" s="194"/>
      <c r="M77" s="194"/>
      <c r="N77" s="68">
        <v>1</v>
      </c>
      <c r="P77" s="69"/>
    </row>
    <row r="78" spans="2:57" ht="15">
      <c r="B78" s="36" t="s">
        <v>15</v>
      </c>
      <c r="C78" s="65"/>
      <c r="D78" s="76"/>
      <c r="E78" s="76">
        <v>5.1105651105651271</v>
      </c>
      <c r="F78" s="70">
        <f>[15]May_2022!$M$43</f>
        <v>3.4878406700073312</v>
      </c>
      <c r="G78" s="282"/>
      <c r="H78" s="76"/>
      <c r="I78" s="76">
        <v>7.9131369535794072</v>
      </c>
      <c r="J78" s="66">
        <v>5.5</v>
      </c>
      <c r="K78" s="67"/>
      <c r="L78" s="194"/>
      <c r="M78" s="194">
        <v>1.3550877192982456</v>
      </c>
      <c r="N78" s="68">
        <v>1</v>
      </c>
      <c r="P78" s="69"/>
    </row>
    <row r="79" spans="2:57" ht="15">
      <c r="B79" s="37" t="s">
        <v>16</v>
      </c>
      <c r="C79" s="65"/>
      <c r="D79" s="76">
        <v>5.360174630123689</v>
      </c>
      <c r="E79" s="76">
        <v>4.3766776021473337</v>
      </c>
      <c r="F79" s="66">
        <v>3.3</v>
      </c>
      <c r="G79" s="282"/>
      <c r="H79" s="76">
        <v>11.106164027580478</v>
      </c>
      <c r="I79" s="76">
        <v>6.7590439068772588</v>
      </c>
      <c r="J79" s="66">
        <v>3.3</v>
      </c>
      <c r="K79" s="67"/>
      <c r="L79" s="194">
        <v>0.45637426900584793</v>
      </c>
      <c r="M79" s="194">
        <v>0.73190058479532172</v>
      </c>
      <c r="N79" s="71">
        <v>1</v>
      </c>
      <c r="P79" s="69"/>
    </row>
    <row r="80" spans="2:57" ht="15.75" thickBot="1">
      <c r="B80" s="38" t="s">
        <v>163</v>
      </c>
      <c r="C80" s="65"/>
      <c r="D80" s="76"/>
      <c r="E80" s="76"/>
      <c r="F80" s="66">
        <v>7.5</v>
      </c>
      <c r="G80" s="282"/>
      <c r="H80" s="76"/>
      <c r="I80" s="76"/>
      <c r="J80" s="66">
        <v>7.5</v>
      </c>
      <c r="K80" s="67"/>
      <c r="L80" s="194"/>
      <c r="M80" s="194"/>
      <c r="N80" s="71">
        <v>1</v>
      </c>
      <c r="P80" s="69"/>
    </row>
    <row r="81" spans="2:16" ht="15.75" thickBot="1">
      <c r="B81" s="414" t="s">
        <v>161</v>
      </c>
      <c r="C81" s="65"/>
      <c r="D81" s="76"/>
      <c r="E81" s="76"/>
      <c r="F81" s="66">
        <v>4.8</v>
      </c>
      <c r="G81" s="282"/>
      <c r="H81" s="76"/>
      <c r="I81" s="76"/>
      <c r="J81" s="66">
        <v>4.8</v>
      </c>
      <c r="K81" s="67"/>
      <c r="L81" s="194"/>
      <c r="M81" s="194"/>
      <c r="N81" s="71">
        <v>1</v>
      </c>
      <c r="O81" s="74"/>
      <c r="P81" s="75"/>
    </row>
    <row r="82" spans="2:16" ht="15">
      <c r="D82" s="76">
        <v>6.8360104594695494</v>
      </c>
      <c r="E82" s="76">
        <v>6.8595785639776006</v>
      </c>
      <c r="F82" s="341">
        <v>5.5</v>
      </c>
      <c r="H82" s="76">
        <v>8.1635329247588011</v>
      </c>
      <c r="I82" s="76">
        <v>7.4255275848959172</v>
      </c>
      <c r="J82" s="341">
        <v>5.5</v>
      </c>
      <c r="L82" s="194">
        <v>0.54601139754147276</v>
      </c>
      <c r="M82" s="194">
        <v>0.44746235960271047</v>
      </c>
      <c r="N82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9:N29"/>
    <mergeCell ref="D30:E30"/>
    <mergeCell ref="B31:B42"/>
    <mergeCell ref="D31:E32"/>
    <mergeCell ref="D33:E34"/>
    <mergeCell ref="D35:E36"/>
    <mergeCell ref="D37:E38"/>
    <mergeCell ref="D39:E40"/>
    <mergeCell ref="D41:E42"/>
    <mergeCell ref="B43:B52"/>
    <mergeCell ref="D43:E44"/>
    <mergeCell ref="J43:K43"/>
    <mergeCell ref="L44:N44"/>
    <mergeCell ref="D45:E46"/>
    <mergeCell ref="D47:E48"/>
    <mergeCell ref="D49:E50"/>
    <mergeCell ref="D51:E52"/>
    <mergeCell ref="D53:E53"/>
    <mergeCell ref="B58:B59"/>
    <mergeCell ref="C58:C59"/>
    <mergeCell ref="D58:D59"/>
    <mergeCell ref="E58:E59"/>
    <mergeCell ref="M58:M59"/>
    <mergeCell ref="B71:F71"/>
    <mergeCell ref="G71:J71"/>
    <mergeCell ref="K71:N71"/>
    <mergeCell ref="G58:G59"/>
    <mergeCell ref="H58:H59"/>
    <mergeCell ref="I58:I59"/>
    <mergeCell ref="J58:J59"/>
    <mergeCell ref="K58:K59"/>
    <mergeCell ref="L58:L59"/>
    <mergeCell ref="F58:F59"/>
  </mergeCells>
  <conditionalFormatting sqref="B53:B54">
    <cfRule type="cellIs" dxfId="1617" priority="63" operator="notBetween">
      <formula>#REF!</formula>
      <formula>#REF!</formula>
    </cfRule>
  </conditionalFormatting>
  <conditionalFormatting sqref="C57">
    <cfRule type="cellIs" dxfId="1616" priority="158" stopIfTrue="1" operator="greaterThan">
      <formula>100</formula>
    </cfRule>
    <cfRule type="cellIs" dxfId="1615" priority="157" stopIfTrue="1" operator="lessThan">
      <formula>96</formula>
    </cfRule>
  </conditionalFormatting>
  <conditionalFormatting sqref="C73:C77">
    <cfRule type="cellIs" dxfId="1614" priority="126" stopIfTrue="1" operator="lessThanOrEqual">
      <formula>0</formula>
    </cfRule>
  </conditionalFormatting>
  <conditionalFormatting sqref="C73:C81">
    <cfRule type="cellIs" dxfId="1613" priority="125" stopIfTrue="1" operator="greaterThan">
      <formula>$F73</formula>
    </cfRule>
  </conditionalFormatting>
  <conditionalFormatting sqref="C74">
    <cfRule type="cellIs" dxfId="1612" priority="159" stopIfTrue="1" operator="greaterThan">
      <formula>$F73</formula>
    </cfRule>
  </conditionalFormatting>
  <conditionalFormatting sqref="C78">
    <cfRule type="cellIs" dxfId="1611" priority="88" stopIfTrue="1" operator="greaterThan">
      <formula>$F77</formula>
    </cfRule>
    <cfRule type="cellIs" dxfId="1610" priority="87" stopIfTrue="1" operator="lessThanOrEqual">
      <formula>0</formula>
    </cfRule>
  </conditionalFormatting>
  <conditionalFormatting sqref="C79:C81">
    <cfRule type="cellIs" dxfId="1609" priority="127" stopIfTrue="1" operator="lessThanOrEqual">
      <formula>0</formula>
    </cfRule>
  </conditionalFormatting>
  <conditionalFormatting sqref="C84:C88">
    <cfRule type="cellIs" dxfId="1608" priority="149" stopIfTrue="1" operator="lessThanOrEqual">
      <formula>0</formula>
    </cfRule>
  </conditionalFormatting>
  <conditionalFormatting sqref="C85:C88">
    <cfRule type="cellIs" dxfId="1607" priority="148" stopIfTrue="1" operator="greaterThan">
      <formula>$F$84</formula>
    </cfRule>
  </conditionalFormatting>
  <conditionalFormatting sqref="C90">
    <cfRule type="cellIs" dxfId="1606" priority="151" stopIfTrue="1" operator="lessThanOrEqual">
      <formula>0</formula>
    </cfRule>
    <cfRule type="cellIs" dxfId="1605" priority="150" stopIfTrue="1" operator="greaterThan">
      <formula>$F$84</formula>
    </cfRule>
  </conditionalFormatting>
  <conditionalFormatting sqref="C84:D84 D86:D92">
    <cfRule type="cellIs" dxfId="1604" priority="143" stopIfTrue="1" operator="greaterThan">
      <formula>4.5</formula>
    </cfRule>
  </conditionalFormatting>
  <conditionalFormatting sqref="D53:D54">
    <cfRule type="cellIs" dxfId="1603" priority="64" operator="notBetween">
      <formula>#REF!</formula>
      <formula>#REF!</formula>
    </cfRule>
  </conditionalFormatting>
  <conditionalFormatting sqref="D73:D80">
    <cfRule type="cellIs" dxfId="1602" priority="36" stopIfTrue="1" operator="lessThanOrEqual">
      <formula>0</formula>
    </cfRule>
  </conditionalFormatting>
  <conditionalFormatting sqref="D73:D82">
    <cfRule type="cellIs" dxfId="1601" priority="15" stopIfTrue="1" operator="lessThanOrEqual">
      <formula>0</formula>
    </cfRule>
  </conditionalFormatting>
  <conditionalFormatting sqref="D81">
    <cfRule type="cellIs" dxfId="1600" priority="35" stopIfTrue="1" operator="lessThanOrEqual">
      <formula>0</formula>
    </cfRule>
  </conditionalFormatting>
  <conditionalFormatting sqref="D82">
    <cfRule type="cellIs" dxfId="1599" priority="30" stopIfTrue="1" operator="lessThanOrEqual">
      <formula>0</formula>
    </cfRule>
  </conditionalFormatting>
  <conditionalFormatting sqref="D84 D86:D92">
    <cfRule type="cellIs" dxfId="1598" priority="144" stopIfTrue="1" operator="lessThanOrEqual">
      <formula>0</formula>
    </cfRule>
  </conditionalFormatting>
  <conditionalFormatting sqref="D85">
    <cfRule type="cellIs" dxfId="1597" priority="136" stopIfTrue="1" operator="lessThanOrEqual">
      <formula>0</formula>
    </cfRule>
    <cfRule type="cellIs" dxfId="1596" priority="135" stopIfTrue="1" operator="greaterThan">
      <formula>$F$84</formula>
    </cfRule>
  </conditionalFormatting>
  <conditionalFormatting sqref="D73:E82">
    <cfRule type="cellIs" dxfId="1595" priority="17" stopIfTrue="1" operator="greaterThan">
      <formula>$F73</formula>
    </cfRule>
  </conditionalFormatting>
  <conditionalFormatting sqref="D82:E82">
    <cfRule type="cellIs" dxfId="1594" priority="19" stopIfTrue="1" operator="lessThanOrEqual">
      <formula>0</formula>
    </cfRule>
  </conditionalFormatting>
  <conditionalFormatting sqref="E10:E28">
    <cfRule type="cellIs" dxfId="1593" priority="10" operator="lessThan">
      <formula>48</formula>
    </cfRule>
  </conditionalFormatting>
  <conditionalFormatting sqref="E56 E57:F57">
    <cfRule type="cellIs" dxfId="1592" priority="140" stopIfTrue="1" operator="greaterThan">
      <formula>100</formula>
    </cfRule>
  </conditionalFormatting>
  <conditionalFormatting sqref="E57">
    <cfRule type="cellIs" dxfId="1591" priority="138" stopIfTrue="1" operator="greaterThan">
      <formula>100</formula>
    </cfRule>
    <cfRule type="cellIs" dxfId="1590" priority="137" stopIfTrue="1" operator="lessThan">
      <formula>96.8</formula>
    </cfRule>
  </conditionalFormatting>
  <conditionalFormatting sqref="E73:E81">
    <cfRule type="cellIs" dxfId="1589" priority="16" stopIfTrue="1" operator="lessThanOrEqual">
      <formula>0</formula>
    </cfRule>
  </conditionalFormatting>
  <conditionalFormatting sqref="E73:E82">
    <cfRule type="cellIs" dxfId="1588" priority="18" stopIfTrue="1" operator="lessThanOrEqual">
      <formula>0</formula>
    </cfRule>
  </conditionalFormatting>
  <conditionalFormatting sqref="E84:E92">
    <cfRule type="cellIs" dxfId="1587" priority="130" stopIfTrue="1" operator="lessThanOrEqual">
      <formula>0</formula>
    </cfRule>
    <cfRule type="cellIs" dxfId="1586" priority="129" stopIfTrue="1" operator="greaterThan">
      <formula>4.5</formula>
    </cfRule>
  </conditionalFormatting>
  <conditionalFormatting sqref="E57:F57 E56">
    <cfRule type="cellIs" dxfId="1585" priority="139" stopIfTrue="1" operator="lessThan">
      <formula>96.5</formula>
    </cfRule>
  </conditionalFormatting>
  <conditionalFormatting sqref="F10:F13 F19:F28">
    <cfRule type="cellIs" dxfId="1584" priority="11" operator="greaterThan">
      <formula>60</formula>
    </cfRule>
  </conditionalFormatting>
  <conditionalFormatting sqref="F57">
    <cfRule type="cellIs" dxfId="1583" priority="155" stopIfTrue="1" operator="lessThan">
      <formula>96.8</formula>
    </cfRule>
    <cfRule type="cellIs" dxfId="1582" priority="156" stopIfTrue="1" operator="greaterThan">
      <formula>100</formula>
    </cfRule>
  </conditionalFormatting>
  <conditionalFormatting sqref="F82">
    <cfRule type="cellIs" dxfId="1581" priority="33" stopIfTrue="1" operator="greaterThan">
      <formula>$F82</formula>
    </cfRule>
    <cfRule type="cellIs" dxfId="1580" priority="34" stopIfTrue="1" operator="lessThanOrEqual">
      <formula>0</formula>
    </cfRule>
  </conditionalFormatting>
  <conditionalFormatting sqref="G10:G13 G19:G28">
    <cfRule type="expression" dxfId="1579" priority="1">
      <formula>IF(+(IF(G10&lt;S10,0,IF(G10&gt;T10,0,1)))=0,1)</formula>
    </cfRule>
  </conditionalFormatting>
  <conditionalFormatting sqref="G73:G74">
    <cfRule type="cellIs" dxfId="1578" priority="32" stopIfTrue="1" operator="lessThanOrEqual">
      <formula>0</formula>
    </cfRule>
    <cfRule type="cellIs" dxfId="1577" priority="38" stopIfTrue="1" operator="lessThanOrEqual">
      <formula>0</formula>
    </cfRule>
    <cfRule type="cellIs" dxfId="1576" priority="31" stopIfTrue="1" operator="greaterThan">
      <formula>$F73</formula>
    </cfRule>
    <cfRule type="cellIs" dxfId="1575" priority="37" stopIfTrue="1" operator="greaterThan">
      <formula>$F73</formula>
    </cfRule>
  </conditionalFormatting>
  <conditionalFormatting sqref="G75">
    <cfRule type="cellIs" dxfId="1574" priority="41" stopIfTrue="1" operator="greaterThan">
      <formula>$F74</formula>
    </cfRule>
    <cfRule type="cellIs" dxfId="1573" priority="42" stopIfTrue="1" operator="lessThanOrEqual">
      <formula>0</formula>
    </cfRule>
  </conditionalFormatting>
  <conditionalFormatting sqref="G76">
    <cfRule type="cellIs" dxfId="1572" priority="25" stopIfTrue="1" operator="greaterThan">
      <formula>$F76</formula>
    </cfRule>
    <cfRule type="cellIs" dxfId="1571" priority="26" stopIfTrue="1" operator="lessThanOrEqual">
      <formula>0</formula>
    </cfRule>
    <cfRule type="cellIs" dxfId="1570" priority="24" stopIfTrue="1" operator="lessThanOrEqual">
      <formula>0</formula>
    </cfRule>
    <cfRule type="cellIs" dxfId="1569" priority="23" stopIfTrue="1" operator="greaterThan">
      <formula>$F76</formula>
    </cfRule>
  </conditionalFormatting>
  <conditionalFormatting sqref="G77:G81">
    <cfRule type="cellIs" dxfId="1568" priority="39" stopIfTrue="1" operator="greaterThan">
      <formula>$J77</formula>
    </cfRule>
    <cfRule type="cellIs" dxfId="1567" priority="40" stopIfTrue="1" operator="lessThanOrEqual">
      <formula>0</formula>
    </cfRule>
  </conditionalFormatting>
  <conditionalFormatting sqref="G86:G91 C89 C91">
    <cfRule type="cellIs" dxfId="1566" priority="153" stopIfTrue="1" operator="lessThanOrEqual">
      <formula>0</formula>
    </cfRule>
    <cfRule type="cellIs" dxfId="1565" priority="152" stopIfTrue="1" operator="greaterThan">
      <formula>4.5</formula>
    </cfRule>
  </conditionalFormatting>
  <conditionalFormatting sqref="G85:H85">
    <cfRule type="cellIs" dxfId="1564" priority="134" stopIfTrue="1" operator="lessThanOrEqual">
      <formula>0</formula>
    </cfRule>
    <cfRule type="cellIs" dxfId="1563" priority="133" stopIfTrue="1" operator="greaterThan">
      <formula>$F$84</formula>
    </cfRule>
  </conditionalFormatting>
  <conditionalFormatting sqref="H10:H13 M10:N28 G14:H18 H19:H28">
    <cfRule type="expression" dxfId="1562" priority="60">
      <formula>IF(+(IF(G10&lt;#REF!,0,IF(G10&gt;#REF!,0,1)))=0,1)</formula>
    </cfRule>
  </conditionalFormatting>
  <conditionalFormatting sqref="H42:H43 H56">
    <cfRule type="cellIs" dxfId="1561" priority="131" stopIfTrue="1" operator="greaterThan">
      <formula>0</formula>
    </cfRule>
  </conditionalFormatting>
  <conditionalFormatting sqref="H60:H64">
    <cfRule type="cellIs" dxfId="1560" priority="57" stopIfTrue="1" operator="greaterThan">
      <formula>$F$74</formula>
    </cfRule>
    <cfRule type="cellIs" dxfId="1559" priority="58" stopIfTrue="1" operator="lessThanOrEqual">
      <formula>0</formula>
    </cfRule>
    <cfRule type="cellIs" dxfId="1558" priority="55" stopIfTrue="1" operator="greaterThan">
      <formula>$F$76</formula>
    </cfRule>
    <cfRule type="cellIs" dxfId="1557" priority="46" stopIfTrue="1" operator="lessThanOrEqual">
      <formula>0</formula>
    </cfRule>
    <cfRule type="cellIs" dxfId="1556" priority="47" stopIfTrue="1" operator="greaterThan">
      <formula>$F$73</formula>
    </cfRule>
    <cfRule type="cellIs" dxfId="1555" priority="56" stopIfTrue="1" operator="lessThanOrEqual">
      <formula>0</formula>
    </cfRule>
  </conditionalFormatting>
  <conditionalFormatting sqref="H65:H66">
    <cfRule type="cellIs" dxfId="1554" priority="99" stopIfTrue="1" operator="greaterThan">
      <formula>$F$28</formula>
    </cfRule>
    <cfRule type="cellIs" dxfId="1553" priority="90" stopIfTrue="1" operator="lessThanOrEqual">
      <formula>0</formula>
    </cfRule>
    <cfRule type="cellIs" dxfId="1552" priority="91" stopIfTrue="1" operator="greaterThan">
      <formula>#REF!</formula>
    </cfRule>
    <cfRule type="cellIs" dxfId="1551" priority="101" stopIfTrue="1" operator="greaterThan">
      <formula>#REF!</formula>
    </cfRule>
    <cfRule type="cellIs" dxfId="1550" priority="102" stopIfTrue="1" operator="lessThanOrEqual">
      <formula>0</formula>
    </cfRule>
    <cfRule type="cellIs" dxfId="1549" priority="100" stopIfTrue="1" operator="lessThanOrEqual">
      <formula>0</formula>
    </cfRule>
  </conditionalFormatting>
  <conditionalFormatting sqref="H67">
    <cfRule type="cellIs" dxfId="1548" priority="114" stopIfTrue="1" operator="lessThanOrEqual">
      <formula>0</formula>
    </cfRule>
    <cfRule type="cellIs" dxfId="1547" priority="115" stopIfTrue="1" operator="greaterThan">
      <formula>$F$42</formula>
    </cfRule>
    <cfRule type="cellIs" dxfId="1546" priority="116" stopIfTrue="1" operator="lessThanOrEqual">
      <formula>0</formula>
    </cfRule>
    <cfRule type="cellIs" dxfId="1545" priority="104" stopIfTrue="1" operator="lessThanOrEqual">
      <formula>0</formula>
    </cfRule>
    <cfRule type="cellIs" dxfId="1544" priority="105" stopIfTrue="1" operator="greaterThan">
      <formula>$F$41</formula>
    </cfRule>
    <cfRule type="cellIs" dxfId="1543" priority="113" stopIfTrue="1" operator="greaterThan">
      <formula>$F$44</formula>
    </cfRule>
  </conditionalFormatting>
  <conditionalFormatting sqref="H68:H69">
    <cfRule type="cellIs" dxfId="1542" priority="86" stopIfTrue="1" operator="lessThanOrEqual">
      <formula>0</formula>
    </cfRule>
    <cfRule type="cellIs" dxfId="1541" priority="85" stopIfTrue="1" operator="greaterThan">
      <formula>#REF!</formula>
    </cfRule>
    <cfRule type="cellIs" dxfId="1540" priority="84" stopIfTrue="1" operator="lessThanOrEqual">
      <formula>0</formula>
    </cfRule>
    <cfRule type="cellIs" dxfId="1539" priority="74" stopIfTrue="1" operator="lessThanOrEqual">
      <formula>0</formula>
    </cfRule>
    <cfRule type="cellIs" dxfId="1538" priority="83" stopIfTrue="1" operator="greaterThan">
      <formula>$F$28</formula>
    </cfRule>
    <cfRule type="cellIs" dxfId="1537" priority="75" stopIfTrue="1" operator="greaterThan">
      <formula>#REF!</formula>
    </cfRule>
  </conditionalFormatting>
  <conditionalFormatting sqref="H84 H86:H92">
    <cfRule type="cellIs" dxfId="1536" priority="145" stopIfTrue="1" operator="greaterThan">
      <formula>4.5</formula>
    </cfRule>
    <cfRule type="cellIs" dxfId="1535" priority="146" stopIfTrue="1" operator="lessThanOrEqual">
      <formula>0</formula>
    </cfRule>
  </conditionalFormatting>
  <conditionalFormatting sqref="H60:I64">
    <cfRule type="cellIs" dxfId="1534" priority="48" stopIfTrue="1" operator="lessThanOrEqual">
      <formula>0</formula>
    </cfRule>
    <cfRule type="cellIs" dxfId="1533" priority="45" stopIfTrue="1" operator="greaterThan">
      <formula>$F$75</formula>
    </cfRule>
  </conditionalFormatting>
  <conditionalFormatting sqref="H65:I66">
    <cfRule type="cellIs" dxfId="1532" priority="89" stopIfTrue="1" operator="greaterThan">
      <formula>#REF!</formula>
    </cfRule>
    <cfRule type="cellIs" dxfId="1531" priority="92" stopIfTrue="1" operator="lessThanOrEqual">
      <formula>0</formula>
    </cfRule>
  </conditionalFormatting>
  <conditionalFormatting sqref="H67:I67">
    <cfRule type="cellIs" dxfId="1530" priority="106" stopIfTrue="1" operator="lessThanOrEqual">
      <formula>0</formula>
    </cfRule>
    <cfRule type="cellIs" dxfId="1529" priority="103" stopIfTrue="1" operator="greaterThan">
      <formula>$F$43</formula>
    </cfRule>
  </conditionalFormatting>
  <conditionalFormatting sqref="H68:I69">
    <cfRule type="cellIs" dxfId="1528" priority="76" stopIfTrue="1" operator="lessThanOrEqual">
      <formula>0</formula>
    </cfRule>
    <cfRule type="cellIs" dxfId="1527" priority="73" stopIfTrue="1" operator="greaterThan">
      <formula>#REF!</formula>
    </cfRule>
  </conditionalFormatting>
  <conditionalFormatting sqref="H73:I80">
    <cfRule type="cellIs" dxfId="1526" priority="14" stopIfTrue="1" operator="lessThanOrEqual">
      <formula>0</formula>
    </cfRule>
    <cfRule type="cellIs" dxfId="1525" priority="13" stopIfTrue="1" operator="greaterThan">
      <formula>$J73</formula>
    </cfRule>
  </conditionalFormatting>
  <conditionalFormatting sqref="H81:I81">
    <cfRule type="cellIs" dxfId="1524" priority="22" operator="greaterThan">
      <formula>5.3</formula>
    </cfRule>
  </conditionalFormatting>
  <conditionalFormatting sqref="H82:I82">
    <cfRule type="cellIs" dxfId="1523" priority="21" stopIfTrue="1" operator="lessThanOrEqual">
      <formula>0</formula>
    </cfRule>
    <cfRule type="cellIs" dxfId="1522" priority="20" stopIfTrue="1" operator="greaterThan">
      <formula>$J82</formula>
    </cfRule>
  </conditionalFormatting>
  <conditionalFormatting sqref="I60:I64">
    <cfRule type="cellIs" dxfId="1521" priority="52" stopIfTrue="1" operator="lessThanOrEqual">
      <formula>0</formula>
    </cfRule>
    <cfRule type="cellIs" dxfId="1520" priority="50" stopIfTrue="1" operator="lessThanOrEqual">
      <formula>0</formula>
    </cfRule>
    <cfRule type="cellIs" dxfId="1519" priority="53" stopIfTrue="1" operator="greaterThan">
      <formula>$F$73</formula>
    </cfRule>
    <cfRule type="cellIs" dxfId="1518" priority="54" stopIfTrue="1" operator="lessThanOrEqual">
      <formula>0</formula>
    </cfRule>
    <cfRule type="cellIs" dxfId="1517" priority="49" stopIfTrue="1" operator="greaterThan">
      <formula>$F$73</formula>
    </cfRule>
    <cfRule type="cellIs" dxfId="1516" priority="51" stopIfTrue="1" operator="greaterThan">
      <formula>$F$75</formula>
    </cfRule>
  </conditionalFormatting>
  <conditionalFormatting sqref="I65:I66">
    <cfRule type="cellIs" dxfId="1515" priority="96" stopIfTrue="1" operator="lessThanOrEqual">
      <formula>0</formula>
    </cfRule>
    <cfRule type="cellIs" dxfId="1514" priority="97" stopIfTrue="1" operator="greaterThan">
      <formula>#REF!</formula>
    </cfRule>
    <cfRule type="cellIs" dxfId="1513" priority="98" stopIfTrue="1" operator="lessThanOrEqual">
      <formula>0</formula>
    </cfRule>
    <cfRule type="cellIs" dxfId="1512" priority="93" stopIfTrue="1" operator="greaterThan">
      <formula>#REF!</formula>
    </cfRule>
    <cfRule type="cellIs" dxfId="1511" priority="94" stopIfTrue="1" operator="lessThanOrEqual">
      <formula>0</formula>
    </cfRule>
    <cfRule type="cellIs" dxfId="1510" priority="95" stopIfTrue="1" operator="greaterThan">
      <formula>#REF!</formula>
    </cfRule>
  </conditionalFormatting>
  <conditionalFormatting sqref="I67">
    <cfRule type="cellIs" dxfId="1509" priority="109" stopIfTrue="1" operator="greaterThan">
      <formula>$F$43</formula>
    </cfRule>
    <cfRule type="cellIs" dxfId="1508" priority="110" stopIfTrue="1" operator="lessThanOrEqual">
      <formula>0</formula>
    </cfRule>
    <cfRule type="cellIs" dxfId="1507" priority="111" stopIfTrue="1" operator="greaterThan">
      <formula>$F$41</formula>
    </cfRule>
    <cfRule type="cellIs" dxfId="1506" priority="112" stopIfTrue="1" operator="lessThanOrEqual">
      <formula>0</formula>
    </cfRule>
    <cfRule type="cellIs" dxfId="1505" priority="107" stopIfTrue="1" operator="greaterThan">
      <formula>$F$41</formula>
    </cfRule>
    <cfRule type="cellIs" dxfId="1504" priority="108" stopIfTrue="1" operator="lessThanOrEqual">
      <formula>0</formula>
    </cfRule>
  </conditionalFormatting>
  <conditionalFormatting sqref="I68:I69">
    <cfRule type="cellIs" dxfId="1503" priority="78" stopIfTrue="1" operator="lessThanOrEqual">
      <formula>0</formula>
    </cfRule>
    <cfRule type="cellIs" dxfId="1502" priority="79" stopIfTrue="1" operator="greaterThan">
      <formula>#REF!</formula>
    </cfRule>
    <cfRule type="cellIs" dxfId="1501" priority="82" stopIfTrue="1" operator="lessThanOrEqual">
      <formula>0</formula>
    </cfRule>
    <cfRule type="cellIs" dxfId="1500" priority="77" stopIfTrue="1" operator="greaterThan">
      <formula>#REF!</formula>
    </cfRule>
    <cfRule type="cellIs" dxfId="1499" priority="81" stopIfTrue="1" operator="greaterThan">
      <formula>#REF!</formula>
    </cfRule>
    <cfRule type="cellIs" dxfId="1498" priority="80" stopIfTrue="1" operator="lessThanOrEqual">
      <formula>0</formula>
    </cfRule>
  </conditionalFormatting>
  <conditionalFormatting sqref="I84:I92">
    <cfRule type="cellIs" dxfId="1497" priority="141" stopIfTrue="1" operator="greaterThan">
      <formula>4.5</formula>
    </cfRule>
    <cfRule type="cellIs" dxfId="1496" priority="142" stopIfTrue="1" operator="lessThanOrEqual">
      <formula>0</formula>
    </cfRule>
  </conditionalFormatting>
  <conditionalFormatting sqref="I10:J28">
    <cfRule type="cellIs" dxfId="1495" priority="4" operator="lessThan">
      <formula>97.9</formula>
    </cfRule>
  </conditionalFormatting>
  <conditionalFormatting sqref="J31">
    <cfRule type="cellIs" dxfId="1494" priority="44" operator="lessThan">
      <formula>97.95</formula>
    </cfRule>
  </conditionalFormatting>
  <conditionalFormatting sqref="J33">
    <cfRule type="cellIs" dxfId="1493" priority="118" stopIfTrue="1" operator="lessThan">
      <formula>96.8</formula>
    </cfRule>
    <cfRule type="cellIs" dxfId="1492" priority="119" stopIfTrue="1" operator="greaterThan">
      <formula>100</formula>
    </cfRule>
    <cfRule type="cellIs" dxfId="1491" priority="120" operator="lessThan">
      <formula>98</formula>
    </cfRule>
  </conditionalFormatting>
  <conditionalFormatting sqref="J33:J35">
    <cfRule type="cellIs" dxfId="1490" priority="117" operator="lessThan">
      <formula>97.4</formula>
    </cfRule>
  </conditionalFormatting>
  <conditionalFormatting sqref="J36:J37">
    <cfRule type="cellIs" dxfId="1489" priority="121" operator="lessThan">
      <formula>98</formula>
    </cfRule>
  </conditionalFormatting>
  <conditionalFormatting sqref="J38:J39">
    <cfRule type="cellIs" dxfId="1488" priority="122" stopIfTrue="1" operator="lessThan">
      <formula>96.8</formula>
    </cfRule>
    <cfRule type="cellIs" dxfId="1487" priority="123" stopIfTrue="1" operator="greaterThan">
      <formula>100</formula>
    </cfRule>
  </conditionalFormatting>
  <conditionalFormatting sqref="J38:J40">
    <cfRule type="cellIs" dxfId="1486" priority="124" operator="lessThan">
      <formula>98</formula>
    </cfRule>
  </conditionalFormatting>
  <conditionalFormatting sqref="J69">
    <cfRule type="cellIs" dxfId="1485" priority="67" stopIfTrue="1" operator="greaterThan">
      <formula>#REF!</formula>
    </cfRule>
    <cfRule type="cellIs" dxfId="1484" priority="69" stopIfTrue="1" operator="greaterThan">
      <formula>#REF!</formula>
    </cfRule>
    <cfRule type="cellIs" dxfId="1483" priority="72" stopIfTrue="1" operator="lessThanOrEqual">
      <formula>0</formula>
    </cfRule>
    <cfRule type="cellIs" dxfId="1482" priority="70" stopIfTrue="1" operator="lessThanOrEqual">
      <formula>0</formula>
    </cfRule>
    <cfRule type="cellIs" dxfId="1481" priority="71" stopIfTrue="1" operator="greaterThan">
      <formula>#REF!</formula>
    </cfRule>
    <cfRule type="cellIs" dxfId="1480" priority="66" stopIfTrue="1" operator="lessThanOrEqual">
      <formula>0</formula>
    </cfRule>
    <cfRule type="cellIs" dxfId="1479" priority="65" stopIfTrue="1" operator="greaterThan">
      <formula>#REF!</formula>
    </cfRule>
    <cfRule type="cellIs" dxfId="1478" priority="68" stopIfTrue="1" operator="lessThanOrEqual">
      <formula>0</formula>
    </cfRule>
  </conditionalFormatting>
  <conditionalFormatting sqref="J82">
    <cfRule type="cellIs" dxfId="1477" priority="28" stopIfTrue="1" operator="lessThanOrEqual">
      <formula>0</formula>
    </cfRule>
    <cfRule type="cellIs" dxfId="1476" priority="27" stopIfTrue="1" operator="greaterThan">
      <formula>$F82</formula>
    </cfRule>
  </conditionalFormatting>
  <conditionalFormatting sqref="K10:K28">
    <cfRule type="cellIs" dxfId="1475" priority="5" operator="greaterThan">
      <formula>6</formula>
    </cfRule>
    <cfRule type="cellIs" dxfId="1474" priority="7" operator="greaterThan">
      <formula>6.4</formula>
    </cfRule>
    <cfRule type="cellIs" dxfId="1473" priority="6" operator="lessThan">
      <formula>4</formula>
    </cfRule>
  </conditionalFormatting>
  <conditionalFormatting sqref="K60:K69">
    <cfRule type="cellIs" dxfId="1472" priority="59" stopIfTrue="1" operator="lessThan">
      <formula>100%</formula>
    </cfRule>
  </conditionalFormatting>
  <conditionalFormatting sqref="K84:K89">
    <cfRule type="cellIs" dxfId="1471" priority="147" stopIfTrue="1" operator="lessThan">
      <formula>100%</formula>
    </cfRule>
  </conditionalFormatting>
  <conditionalFormatting sqref="K91:K92">
    <cfRule type="cellIs" dxfId="1470" priority="154" stopIfTrue="1" operator="lessThan">
      <formula>100%</formula>
    </cfRule>
  </conditionalFormatting>
  <conditionalFormatting sqref="K73:M81">
    <cfRule type="cellIs" dxfId="1469" priority="12" stopIfTrue="1" operator="lessThan">
      <formula>100%</formula>
    </cfRule>
  </conditionalFormatting>
  <conditionalFormatting sqref="L10:L28">
    <cfRule type="cellIs" dxfId="1468" priority="8" operator="between">
      <formula>61</formula>
      <formula>65</formula>
    </cfRule>
    <cfRule type="cellIs" dxfId="1467" priority="9" operator="greaterThan">
      <formula>65</formula>
    </cfRule>
  </conditionalFormatting>
  <conditionalFormatting sqref="L31:M42">
    <cfRule type="cellIs" dxfId="1466" priority="61" operator="lessThan">
      <formula>97.95</formula>
    </cfRule>
  </conditionalFormatting>
  <conditionalFormatting sqref="L82:M82">
    <cfRule type="cellIs" dxfId="1465" priority="29" stopIfTrue="1" operator="lessThan">
      <formula>100%</formula>
    </cfRule>
  </conditionalFormatting>
  <conditionalFormatting sqref="L46:N46">
    <cfRule type="cellIs" dxfId="1464" priority="62" operator="notEqual">
      <formula>#REF!</formula>
    </cfRule>
  </conditionalFormatting>
  <conditionalFormatting sqref="L84:N92">
    <cfRule type="cellIs" dxfId="1463" priority="132" stopIfTrue="1" operator="lessThan">
      <formula>100%</formula>
    </cfRule>
  </conditionalFormatting>
  <conditionalFormatting sqref="M10:M13 M19:M26">
    <cfRule type="expression" dxfId="1462" priority="3">
      <formula>IF(+(IF(M10&lt;U10,0,IF(M10&gt;V10,0,1)))=0,1)</formula>
    </cfRule>
  </conditionalFormatting>
  <conditionalFormatting sqref="N10:N13 N19:N26">
    <cfRule type="expression" dxfId="1461" priority="2">
      <formula>IF(+(IF(N10&lt;W10,0,IF(N10&gt;X10,0,1)))=0,1)</formula>
    </cfRule>
  </conditionalFormatting>
  <conditionalFormatting sqref="N73:N82">
    <cfRule type="cellIs" dxfId="1460" priority="43" stopIfTrue="1" operator="lessThan">
      <formula>100%</formula>
    </cfRule>
  </conditionalFormatting>
  <conditionalFormatting sqref="P6">
    <cfRule type="cellIs" dxfId="1459" priority="128" operator="greaterThanOrEqual">
      <formula>19</formula>
    </cfRule>
  </conditionalFormatting>
  <dataValidations count="1">
    <dataValidation type="list" allowBlank="1" showInputMessage="1" showErrorMessage="1" sqref="R8" xr:uid="{D3C63DF3-12C3-4597-8022-C40541705787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6" max="16383" man="1"/>
  </rowBreaks>
  <colBreaks count="1" manualBreakCount="1">
    <brk id="15" max="89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50AF4-3113-4F81-8AED-614B1B8C52AE}">
  <sheetPr>
    <pageSetUpPr fitToPage="1"/>
  </sheetPr>
  <dimension ref="A1:BE79"/>
  <sheetViews>
    <sheetView topLeftCell="A4" zoomScale="70" zoomScaleNormal="70" workbookViewId="0">
      <selection activeCell="G48" sqref="G48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9.42578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4" t="s">
        <v>0</v>
      </c>
      <c r="T1" s="494"/>
      <c r="U1" s="494" t="s">
        <v>1</v>
      </c>
      <c r="V1" s="494"/>
      <c r="W1" s="494" t="s">
        <v>2</v>
      </c>
      <c r="X1" s="494"/>
      <c r="Y1" s="494" t="s">
        <v>124</v>
      </c>
      <c r="Z1" s="494"/>
    </row>
    <row r="2" spans="2:29" ht="15">
      <c r="B2" s="495" t="s">
        <v>3</v>
      </c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46101</v>
      </c>
      <c r="J4" s="398" t="s">
        <v>167</v>
      </c>
      <c r="K4" s="398"/>
      <c r="L4" s="11"/>
      <c r="M4" s="492" t="s">
        <v>8</v>
      </c>
      <c r="N4" s="493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8"/>
      <c r="D5" s="49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9" t="s">
        <v>17</v>
      </c>
      <c r="C8" s="501" t="s">
        <v>18</v>
      </c>
      <c r="D8" s="501" t="s">
        <v>19</v>
      </c>
      <c r="E8" s="356" t="s">
        <v>20</v>
      </c>
      <c r="F8" s="356" t="s">
        <v>21</v>
      </c>
      <c r="G8" s="501" t="s">
        <v>22</v>
      </c>
      <c r="H8" s="502" t="s">
        <v>144</v>
      </c>
      <c r="I8" s="501" t="s">
        <v>165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169</v>
      </c>
      <c r="O8" s="510" t="s">
        <v>155</v>
      </c>
      <c r="P8" s="496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0"/>
      <c r="C9" s="497"/>
      <c r="D9" s="497"/>
      <c r="E9" s="357" t="s">
        <v>30</v>
      </c>
      <c r="F9" s="357" t="s">
        <v>31</v>
      </c>
      <c r="G9" s="497"/>
      <c r="H9" s="503"/>
      <c r="I9" s="497"/>
      <c r="J9" s="505"/>
      <c r="K9" s="507"/>
      <c r="L9" s="509"/>
      <c r="M9" s="20" t="s">
        <v>32</v>
      </c>
      <c r="N9" s="21" t="s">
        <v>41</v>
      </c>
      <c r="O9" s="511"/>
      <c r="P9" s="497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29" t="s">
        <v>6</v>
      </c>
      <c r="C10" s="366" t="str">
        <f>[4]Brewhouse!$A254</f>
        <v>CA211</v>
      </c>
      <c r="D10" s="279">
        <f>[4]Brewhouse!$AF254</f>
        <v>50.6</v>
      </c>
      <c r="E10" s="279">
        <f>[4]Brewhouse!$AI254</f>
        <v>51.1</v>
      </c>
      <c r="F10" s="278">
        <f>[4]Brewhouse!$V254</f>
        <v>62</v>
      </c>
      <c r="G10" s="279">
        <f>[4]Brewhouse!AG254</f>
        <v>11.8</v>
      </c>
      <c r="H10" s="396">
        <v>11.8</v>
      </c>
      <c r="I10" s="368">
        <f>[4]Brewhouse!$AU254</f>
        <v>99.189410098175131</v>
      </c>
      <c r="J10" s="368">
        <f>[4]Brewhouse!$AV254</f>
        <v>100.12232639184218</v>
      </c>
      <c r="K10" s="281">
        <f>[4]Brewhouse!$Q254</f>
        <v>12.975970425138639</v>
      </c>
      <c r="L10" s="276">
        <f>[4]Brewhouse!$P254</f>
        <v>57</v>
      </c>
      <c r="M10" s="397">
        <f>[4]Brewhouse!$U254-[4]Brewhouse!$T254</f>
        <v>0.10902777777777795</v>
      </c>
      <c r="N10" s="370">
        <f>[4]Brewhouse!$Z254</f>
        <v>0.27013888888888893</v>
      </c>
      <c r="O10" s="420" t="str">
        <f>[4]Brewhouse!$AX254</f>
        <v>R.Sookram</v>
      </c>
      <c r="P10" s="418"/>
      <c r="R10" s="277" t="str">
        <f t="shared" ref="R10:R39" si="0">B10</f>
        <v>CARIB</v>
      </c>
      <c r="S10" s="472">
        <f t="shared" ref="S10:S39" si="1">VLOOKUP($B10,$R$3:$X$9,2,FALSE)</f>
        <v>11.6</v>
      </c>
      <c r="T10" s="472">
        <f t="shared" ref="T10:T39" si="2">VLOOKUP($B10,$R$3:$X$9,3,FALSE)</f>
        <v>12</v>
      </c>
      <c r="U10" s="297">
        <f t="shared" ref="U10:U39" si="3">VLOOKUP($B10,$R$3:$X$9,4,FALSE)</f>
        <v>0</v>
      </c>
      <c r="V10" s="297">
        <f t="shared" ref="V10:V39" si="4">VLOOKUP($B10,$R$3:$X$9,5,FALSE)</f>
        <v>0.118055555555556</v>
      </c>
      <c r="W10" s="297">
        <f t="shared" ref="W10:W39" si="5">VLOOKUP($B10,$R$3:$X$9,6,FALSE)</f>
        <v>0.22569444444444445</v>
      </c>
      <c r="X10" s="297">
        <f t="shared" ref="X10:X39" si="6">VLOOKUP($B10,$R$3:$X$9,7,FALSE)</f>
        <v>0.2638888888888889</v>
      </c>
      <c r="Y10" s="297">
        <f t="shared" ref="Y10:Y39" si="7">VLOOKUP($B10,$R$3:$Z$9,8,FALSE)</f>
        <v>0</v>
      </c>
      <c r="Z10" s="472">
        <f t="shared" ref="Z10:Z39" si="8">VLOOKUP($B10,$R$3:$Z$9,9,FALSE)</f>
        <v>60</v>
      </c>
    </row>
    <row r="11" spans="2:29" ht="16.5" customHeight="1">
      <c r="B11" s="29" t="s">
        <v>6</v>
      </c>
      <c r="C11" s="366" t="str">
        <f>[4]Brewhouse!$A255</f>
        <v>CA212</v>
      </c>
      <c r="D11" s="279">
        <f>[4]Brewhouse!$AF255</f>
        <v>49.5</v>
      </c>
      <c r="E11" s="279">
        <f>[4]Brewhouse!$AI255</f>
        <v>49.7</v>
      </c>
      <c r="F11" s="278">
        <f>[4]Brewhouse!$V255</f>
        <v>52</v>
      </c>
      <c r="G11" s="279">
        <f>[4]Brewhouse!AG255</f>
        <v>11.8</v>
      </c>
      <c r="H11" s="396">
        <v>11.9</v>
      </c>
      <c r="I11" s="368">
        <f>[4]Brewhouse!$AU255</f>
        <v>96.590809413258498</v>
      </c>
      <c r="J11" s="368">
        <f>[4]Brewhouse!$AV255</f>
        <v>97.499225885734944</v>
      </c>
      <c r="K11" s="281">
        <f>[4]Brewhouse!$Q255</f>
        <v>12.791127541589651</v>
      </c>
      <c r="L11" s="276">
        <f>[4]Brewhouse!$P255</f>
        <v>59</v>
      </c>
      <c r="M11" s="397">
        <f>[4]Brewhouse!$U255-[4]Brewhouse!$T255</f>
        <v>0.1020833333333333</v>
      </c>
      <c r="N11" s="370">
        <f>[4]Brewhouse!$Z255</f>
        <v>0.25624999999999998</v>
      </c>
      <c r="O11" s="420" t="str">
        <f>[4]Brewhouse!$AX255</f>
        <v>R.Sookram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6.5" customHeight="1">
      <c r="B12" s="29" t="s">
        <v>6</v>
      </c>
      <c r="C12" s="366" t="str">
        <f>[4]Brewhouse!$A256</f>
        <v>CA213</v>
      </c>
      <c r="D12" s="279">
        <f>[4]Brewhouse!$AF256</f>
        <v>51</v>
      </c>
      <c r="E12" s="279">
        <f>[4]Brewhouse!$AI256</f>
        <v>51.5</v>
      </c>
      <c r="F12" s="278">
        <f>[4]Brewhouse!$V256</f>
        <v>57</v>
      </c>
      <c r="G12" s="279">
        <f>[4]Brewhouse!AG256</f>
        <v>11.9</v>
      </c>
      <c r="H12" s="396">
        <v>12</v>
      </c>
      <c r="I12" s="368">
        <f>[4]Brewhouse!$AU256</f>
        <v>104.8589466494704</v>
      </c>
      <c r="J12" s="368">
        <f>[4]Brewhouse!$AV256</f>
        <v>105.84312765999002</v>
      </c>
      <c r="K12" s="281">
        <f>[4]Brewhouse!$Q256</f>
        <v>12.814814814814818</v>
      </c>
      <c r="L12" s="276">
        <f>[4]Brewhouse!$P256</f>
        <v>61</v>
      </c>
      <c r="M12" s="397">
        <f>[4]Brewhouse!$U256-[4]Brewhouse!$T256</f>
        <v>0.10972222222222222</v>
      </c>
      <c r="N12" s="370">
        <f>[4]Brewhouse!$Z256</f>
        <v>0.27152777777777781</v>
      </c>
      <c r="O12" s="420" t="str">
        <f>[4]Brewhouse!$AX256</f>
        <v>K. Benjamin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6.5" customHeight="1">
      <c r="B13" s="29" t="s">
        <v>6</v>
      </c>
      <c r="C13" s="366" t="str">
        <f>[4]Brewhouse!$A257</f>
        <v>CA214</v>
      </c>
      <c r="D13" s="279">
        <f>[4]Brewhouse!$AF257</f>
        <v>50</v>
      </c>
      <c r="E13" s="279">
        <f>[4]Brewhouse!$AI257</f>
        <v>49.9</v>
      </c>
      <c r="F13" s="278">
        <f>[4]Brewhouse!$V257</f>
        <v>53</v>
      </c>
      <c r="G13" s="279">
        <f>[4]Brewhouse!AG257</f>
        <v>12</v>
      </c>
      <c r="H13" s="396">
        <v>12.1</v>
      </c>
      <c r="I13" s="368">
        <f>[4]Brewhouse!$AU257</f>
        <v>98.830299448787045</v>
      </c>
      <c r="J13" s="368">
        <f>[4]Brewhouse!$AV257</f>
        <v>99.759717407358224</v>
      </c>
      <c r="K13" s="281">
        <f>[4]Brewhouse!$Q257</f>
        <v>10.962962962962965</v>
      </c>
      <c r="L13" s="276">
        <f>[4]Brewhouse!$P257</f>
        <v>60</v>
      </c>
      <c r="M13" s="397">
        <f>[4]Brewhouse!$U257-[4]Brewhouse!$T257</f>
        <v>0.11111111111111116</v>
      </c>
      <c r="N13" s="370">
        <f>[4]Brewhouse!$Z257</f>
        <v>0.25416666666666671</v>
      </c>
      <c r="O13" s="420" t="str">
        <f>[4]Brewhouse!$AX257</f>
        <v>K. Benjamin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6.5" customHeight="1">
      <c r="B14" s="29" t="s">
        <v>6</v>
      </c>
      <c r="C14" s="366" t="str">
        <f>[4]Brewhouse!$A258</f>
        <v>CA215</v>
      </c>
      <c r="D14" s="279">
        <f>[4]Brewhouse!$AF258</f>
        <v>50.2</v>
      </c>
      <c r="E14" s="279">
        <f>[4]Brewhouse!$AI258</f>
        <v>50</v>
      </c>
      <c r="F14" s="278">
        <f>[4]Brewhouse!$V258</f>
        <v>56</v>
      </c>
      <c r="G14" s="279">
        <f>[4]Brewhouse!AG258</f>
        <v>11.9</v>
      </c>
      <c r="H14" s="396">
        <v>11.9</v>
      </c>
      <c r="I14" s="368">
        <f>[4]Brewhouse!$AU258</f>
        <v>98.040070014500969</v>
      </c>
      <c r="J14" s="368">
        <f>[4]Brewhouse!$AV258</f>
        <v>98.962116481498398</v>
      </c>
      <c r="K14" s="281">
        <f>[4]Brewhouse!$Q258</f>
        <v>10.592592592592592</v>
      </c>
      <c r="L14" s="276">
        <f>[4]Brewhouse!$P258</f>
        <v>62</v>
      </c>
      <c r="M14" s="397">
        <f>[4]Brewhouse!$U258-[4]Brewhouse!$T258</f>
        <v>0.10694444444444451</v>
      </c>
      <c r="N14" s="370">
        <f>[4]Brewhouse!$Z258</f>
        <v>0.25277777777777782</v>
      </c>
      <c r="O14" s="420" t="str">
        <f>[4]Brewhouse!$AX258</f>
        <v>K. Benjamin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>
      <c r="B15" s="29" t="s">
        <v>6</v>
      </c>
      <c r="C15" s="366" t="str">
        <f>[4]Brewhouse!$A259</f>
        <v>CA216</v>
      </c>
      <c r="D15" s="279">
        <f>[4]Brewhouse!$AF259</f>
        <v>52</v>
      </c>
      <c r="E15" s="279">
        <f>[4]Brewhouse!$AI259</f>
        <v>52.3</v>
      </c>
      <c r="F15" s="278">
        <f>[4]Brewhouse!$V259</f>
        <v>63</v>
      </c>
      <c r="G15" s="279">
        <f>[4]Brewhouse!AG259</f>
        <v>11.6</v>
      </c>
      <c r="H15" s="396">
        <v>11.6</v>
      </c>
      <c r="I15" s="368">
        <f>[4]Brewhouse!$AU259</f>
        <v>99.708815326021792</v>
      </c>
      <c r="J15" s="368">
        <f>[4]Brewhouse!$AV259</f>
        <v>100.64661683474951</v>
      </c>
      <c r="K15" s="281">
        <f>[4]Brewhouse!$Q259</f>
        <v>10.573012939001845</v>
      </c>
      <c r="L15" s="276">
        <f>[4]Brewhouse!$P259</f>
        <v>60</v>
      </c>
      <c r="M15" s="397">
        <f>[4]Brewhouse!$U259-[4]Brewhouse!$T259</f>
        <v>0.11041666666666661</v>
      </c>
      <c r="N15" s="370">
        <f>[4]Brewhouse!$Z259</f>
        <v>0.24444444444444435</v>
      </c>
      <c r="O15" s="420" t="str">
        <f>[4]Brewhouse!$AX259</f>
        <v>R. Regis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>
      <c r="B16" s="29" t="s">
        <v>6</v>
      </c>
      <c r="C16" s="366" t="str">
        <f>[4]Brewhouse!$A260</f>
        <v>CA217</v>
      </c>
      <c r="D16" s="279">
        <f>[4]Brewhouse!$AF260</f>
        <v>51.5</v>
      </c>
      <c r="E16" s="279">
        <f>[4]Brewhouse!$AI260</f>
        <v>52</v>
      </c>
      <c r="F16" s="278">
        <f>[4]Brewhouse!$V260</f>
        <v>57</v>
      </c>
      <c r="G16" s="279">
        <f>[4]Brewhouse!AG260</f>
        <v>11.5</v>
      </c>
      <c r="H16" s="487">
        <v>11.4</v>
      </c>
      <c r="I16" s="368">
        <f>[4]Brewhouse!$AU260</f>
        <v>97.755708503233933</v>
      </c>
      <c r="J16" s="368">
        <f>[4]Brewhouse!$AV260</f>
        <v>98.675377385759916</v>
      </c>
      <c r="K16" s="281">
        <f>[4]Brewhouse!$Q260</f>
        <v>12.05175600739372</v>
      </c>
      <c r="L16" s="276">
        <f>[4]Brewhouse!$P260</f>
        <v>60</v>
      </c>
      <c r="M16" s="397">
        <f>[4]Brewhouse!$U260-[4]Brewhouse!$T260</f>
        <v>0.10972222222222228</v>
      </c>
      <c r="N16" s="370">
        <f>[4]Brewhouse!$Z260</f>
        <v>0.24236111111111114</v>
      </c>
      <c r="O16" s="420" t="str">
        <f>[4]Brewhouse!$AX260</f>
        <v>R. Regis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5">
      <c r="B17" s="29" t="s">
        <v>6</v>
      </c>
      <c r="C17" s="366" t="str">
        <f>[4]Brewhouse!$A261</f>
        <v>CA218</v>
      </c>
      <c r="D17" s="279">
        <f>[4]Brewhouse!$AF261</f>
        <v>49.8</v>
      </c>
      <c r="E17" s="279">
        <f>[4]Brewhouse!$AI261</f>
        <v>49.8</v>
      </c>
      <c r="F17" s="278">
        <f>[4]Brewhouse!$V261</f>
        <v>63</v>
      </c>
      <c r="G17" s="279">
        <f>[4]Brewhouse!AG261</f>
        <v>11.9</v>
      </c>
      <c r="H17" s="396">
        <v>11.9</v>
      </c>
      <c r="I17" s="368">
        <f>[4]Brewhouse!$AU261</f>
        <v>97.407767694541405</v>
      </c>
      <c r="J17" s="368">
        <f>[4]Brewhouse!$AV261</f>
        <v>98.323986213905386</v>
      </c>
      <c r="K17" s="281">
        <f>[4]Brewhouse!$Q261</f>
        <v>12.236598890942693</v>
      </c>
      <c r="L17" s="276">
        <f>[4]Brewhouse!$P261</f>
        <v>58</v>
      </c>
      <c r="M17" s="397">
        <f>[4]Brewhouse!$U261-[4]Brewhouse!$T261</f>
        <v>0.1069444444444444</v>
      </c>
      <c r="N17" s="370">
        <f>[4]Brewhouse!$Z261</f>
        <v>0.24374999999999991</v>
      </c>
      <c r="O17" s="420" t="str">
        <f>[4]Brewhouse!$AX261</f>
        <v>R.Sookram</v>
      </c>
      <c r="P17" s="418"/>
      <c r="R17" s="277" t="str">
        <f t="shared" si="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5">
      <c r="B18" s="29" t="s">
        <v>6</v>
      </c>
      <c r="C18" s="366" t="str">
        <f>[4]Brewhouse!$A262</f>
        <v>CA219</v>
      </c>
      <c r="D18" s="279">
        <f>[4]Brewhouse!$AF262</f>
        <v>50.2</v>
      </c>
      <c r="E18" s="279">
        <f>[4]Brewhouse!$AI262</f>
        <v>50.5</v>
      </c>
      <c r="F18" s="278">
        <f>[4]Brewhouse!$V262</f>
        <v>60</v>
      </c>
      <c r="G18" s="279">
        <f>[4]Brewhouse!AG262</f>
        <v>11.9</v>
      </c>
      <c r="H18" s="396">
        <v>11.8</v>
      </c>
      <c r="I18" s="368">
        <f>[4]Brewhouse!$AU262</f>
        <v>98.655643022911761</v>
      </c>
      <c r="J18" s="368">
        <f>[4]Brewhouse!$AV262</f>
        <v>99.583658972307319</v>
      </c>
      <c r="K18" s="281">
        <f>[4]Brewhouse!$Q262</f>
        <v>13.530499075785581</v>
      </c>
      <c r="L18" s="276">
        <f>[4]Brewhouse!$P262</f>
        <v>59</v>
      </c>
      <c r="M18" s="397">
        <f>[4]Brewhouse!$U262-[4]Brewhouse!$T262</f>
        <v>0.1215277777777779</v>
      </c>
      <c r="N18" s="370">
        <f>[4]Brewhouse!$Z262</f>
        <v>0.25972222222222219</v>
      </c>
      <c r="O18" s="420" t="str">
        <f>[4]Brewhouse!$AX262</f>
        <v>R.Sookram</v>
      </c>
      <c r="P18" s="418"/>
      <c r="R18" s="277" t="str">
        <f t="shared" si="0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1:26" ht="16.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6.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6.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5" hidden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5" hidden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0"/>
      <c r="P23" s="418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8" hidden="1" customHeight="1">
      <c r="B24" s="29"/>
      <c r="C24" s="366"/>
      <c r="D24" s="279"/>
      <c r="E24" s="279"/>
      <c r="F24" s="278"/>
      <c r="G24" s="279"/>
      <c r="H24" s="487"/>
      <c r="I24" s="368"/>
      <c r="J24" s="368"/>
      <c r="K24" s="281"/>
      <c r="L24" s="276"/>
      <c r="M24" s="374"/>
      <c r="N24" s="370"/>
      <c r="O24" s="371"/>
      <c r="P24" s="418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6.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18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5.75" customHeight="1" thickBot="1">
      <c r="B26" s="358"/>
      <c r="C26" s="358"/>
      <c r="D26" s="358"/>
      <c r="E26" s="358"/>
      <c r="F26" s="294"/>
      <c r="G26" s="294"/>
      <c r="H26" s="348"/>
      <c r="I26" s="512"/>
      <c r="J26" s="512"/>
      <c r="K26" s="512"/>
      <c r="L26" s="512"/>
      <c r="M26" s="512"/>
      <c r="N26" s="512"/>
      <c r="O26" s="1"/>
      <c r="P26" s="12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5.75" customHeight="1" thickBot="1">
      <c r="B27" s="388" t="s">
        <v>162</v>
      </c>
      <c r="C27" s="388"/>
      <c r="D27" s="513" t="s">
        <v>35</v>
      </c>
      <c r="E27" s="514"/>
      <c r="F27" s="294"/>
      <c r="G27" s="294"/>
      <c r="H27" s="348"/>
      <c r="I27" s="24" t="s">
        <v>17</v>
      </c>
      <c r="J27" s="25"/>
      <c r="K27" s="26" t="s">
        <v>138</v>
      </c>
      <c r="L27" s="25" t="s">
        <v>37</v>
      </c>
      <c r="M27" s="25" t="s">
        <v>38</v>
      </c>
      <c r="N27" s="27" t="s">
        <v>39</v>
      </c>
      <c r="O27" s="294"/>
      <c r="P27" s="12"/>
      <c r="R27" s="277" t="str">
        <f t="shared" si="0"/>
        <v xml:space="preserve">BRAND 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5" customHeight="1">
      <c r="A28" s="28"/>
      <c r="B28" s="515"/>
      <c r="C28" s="362"/>
      <c r="D28" s="518"/>
      <c r="E28" s="519"/>
      <c r="F28" s="294"/>
      <c r="G28" s="294"/>
      <c r="H28" s="348"/>
      <c r="I28" s="29" t="s">
        <v>6</v>
      </c>
      <c r="J28" s="323">
        <f>AVERAGE(I10:I18)</f>
        <v>99.004163352322323</v>
      </c>
      <c r="K28" s="284">
        <f>COUNTA([4]Brewhouse!$A$198:$A$262)</f>
        <v>65</v>
      </c>
      <c r="L28" s="305">
        <f>AVERAGE([4]Brewhouse!$AU$198:$AU$262)</f>
        <v>98.13586600595913</v>
      </c>
      <c r="M28" s="305">
        <f>AVERAGE([4]Brewhouse!$AU$42:$AU$123,[4]Brewhouse!$AU$125:$AU$188,[4]Brewhouse!$AU$198:$AU$262)</f>
        <v>97.762551128608592</v>
      </c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5" customHeight="1">
      <c r="A29" s="28"/>
      <c r="B29" s="516"/>
      <c r="C29" s="362"/>
      <c r="D29" s="520"/>
      <c r="E29" s="521"/>
      <c r="F29" s="294"/>
      <c r="G29" s="294"/>
      <c r="H29" s="348"/>
      <c r="I29" s="33" t="s">
        <v>9</v>
      </c>
      <c r="J29" s="280"/>
      <c r="K29" s="284">
        <f>COUNTA([3]Brewhouse!$A$134:$A$157)</f>
        <v>24</v>
      </c>
      <c r="L29" s="302">
        <f>AVERAGE([3]Brewhouse!$AS$134:$AS$157)</f>
        <v>98.305339109955796</v>
      </c>
      <c r="M29" s="302">
        <f>AVERAGE([3]Brewhouse!$AS$52:$AS$81,[3]Brewhouse!$AS$83:$AS$124,[3]Brewhouse!$AS$134:$AS$157)</f>
        <v>98.313793139420682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65" customHeight="1">
      <c r="A30" s="28"/>
      <c r="B30" s="516"/>
      <c r="C30" s="362"/>
      <c r="D30" s="522"/>
      <c r="E30" s="523"/>
      <c r="F30" s="294"/>
      <c r="G30" s="294"/>
      <c r="H30" s="348"/>
      <c r="I30" s="34" t="s">
        <v>12</v>
      </c>
      <c r="J30" s="280"/>
      <c r="K30" s="284">
        <f>COUNTA([5]Brewhouse!$A$34:$A$41)</f>
        <v>8</v>
      </c>
      <c r="L30" s="302">
        <f>AVERAGE([5]Brewhouse!$AU$34:$AU$41)</f>
        <v>94.762610859726223</v>
      </c>
      <c r="M30" s="302">
        <f>AVERAGE([5]Brewhouse!$AU$16:$AU$23,[5]Brewhouse!$AU$25:$AU$32,[5]Brewhouse!$AU$34:$AU$41)</f>
        <v>97.131453825415363</v>
      </c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16"/>
      <c r="C31" s="362"/>
      <c r="D31" s="524"/>
      <c r="E31" s="521"/>
      <c r="F31" s="294"/>
      <c r="G31" s="294"/>
      <c r="H31" s="348"/>
      <c r="I31" s="22" t="s">
        <v>33</v>
      </c>
      <c r="J31" s="280"/>
      <c r="K31" s="284">
        <f>COUNTA([6]Brewhouse!$A$38:$A$44)</f>
        <v>7</v>
      </c>
      <c r="L31" s="302">
        <f>AVERAGE([6]Brewhouse!$AV$38:$AV$44)</f>
        <v>96.929916494140343</v>
      </c>
      <c r="M31" s="302">
        <f>AVERAGE([6]Brewhouse!$AV$23:$AV$34,[6]Brewhouse!$AV$36,[6]Brewhouse!$AV$38:$AV$44)</f>
        <v>97.74055230745536</v>
      </c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16"/>
      <c r="C32" s="362"/>
      <c r="D32" s="522"/>
      <c r="E32" s="523"/>
      <c r="F32" s="417"/>
      <c r="G32" s="294"/>
      <c r="H32" s="348"/>
      <c r="I32" s="35" t="s">
        <v>29</v>
      </c>
      <c r="J32" s="280"/>
      <c r="K32" s="284"/>
      <c r="L32" s="302"/>
      <c r="M32" s="302"/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16"/>
      <c r="C33" s="362"/>
      <c r="D33" s="524"/>
      <c r="E33" s="521"/>
      <c r="F33" s="417"/>
      <c r="G33" s="294"/>
      <c r="H33" s="348"/>
      <c r="I33" s="36" t="s">
        <v>15</v>
      </c>
      <c r="J33" s="323"/>
      <c r="K33" s="284"/>
      <c r="L33" s="302"/>
      <c r="M33" s="302">
        <f>AVERAGE([7]Brewhouse!$AT$4:$AT$11)</f>
        <v>92.826224508052405</v>
      </c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4.65" customHeight="1">
      <c r="A34" s="28"/>
      <c r="B34" s="516"/>
      <c r="C34" s="362"/>
      <c r="D34" s="522"/>
      <c r="E34" s="523"/>
      <c r="F34" s="417"/>
      <c r="G34" s="294"/>
      <c r="H34" s="348"/>
      <c r="I34" s="37" t="s">
        <v>16</v>
      </c>
      <c r="J34" s="323"/>
      <c r="K34" s="284">
        <f>COUNTA([8]Brewhouse!$A$25:$A$32)</f>
        <v>8</v>
      </c>
      <c r="L34" s="302">
        <f>AVERAGE([8]Brewhouse!$AY$32)</f>
        <v>97.452144425843485</v>
      </c>
      <c r="M34" s="302">
        <f>AVERAGE([8]Brewhouse!$AY$5:$AY$14,[8]Brewhouse!$AY$16:$AY$23,[8]Brewhouse!$AY$32)</f>
        <v>97.301958816242518</v>
      </c>
      <c r="N34" s="30">
        <v>98</v>
      </c>
      <c r="O34" s="11"/>
      <c r="P34" s="31" t="s">
        <v>41</v>
      </c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4.65" customHeight="1">
      <c r="A35" s="28"/>
      <c r="B35" s="516"/>
      <c r="C35" s="362"/>
      <c r="D35" s="524"/>
      <c r="E35" s="521"/>
      <c r="F35" s="294"/>
      <c r="G35" s="294"/>
      <c r="H35" s="348"/>
      <c r="I35" s="411" t="s">
        <v>158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4.65" customHeight="1">
      <c r="A36" s="28"/>
      <c r="B36" s="516"/>
      <c r="C36" s="349"/>
      <c r="D36" s="522"/>
      <c r="E36" s="523"/>
      <c r="F36" s="294"/>
      <c r="G36" s="294"/>
      <c r="H36" s="348"/>
      <c r="I36" s="410" t="s">
        <v>157</v>
      </c>
      <c r="J36" s="326"/>
      <c r="K36" s="284"/>
      <c r="L36" s="305"/>
      <c r="M36" s="305"/>
      <c r="N36" s="3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" customHeight="1" thickBot="1">
      <c r="A37" s="28"/>
      <c r="B37" s="516"/>
      <c r="C37" s="349"/>
      <c r="D37" s="524"/>
      <c r="E37" s="521"/>
      <c r="F37" s="294"/>
      <c r="G37" s="294"/>
      <c r="H37" s="348"/>
      <c r="I37" s="406" t="s">
        <v>156</v>
      </c>
      <c r="J37" s="327"/>
      <c r="K37" s="407"/>
      <c r="L37" s="408"/>
      <c r="M37" s="408"/>
      <c r="N37" s="409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" customHeight="1" thickBot="1">
      <c r="A38" s="28"/>
      <c r="B38" s="516"/>
      <c r="C38" s="349"/>
      <c r="D38" s="518"/>
      <c r="E38" s="519"/>
      <c r="F38" s="294"/>
      <c r="G38" s="294"/>
      <c r="H38" s="348"/>
      <c r="I38" s="1"/>
      <c r="J38" s="39"/>
      <c r="K38" s="404">
        <f>SUM(K28:K37)</f>
        <v>112</v>
      </c>
      <c r="L38" s="405">
        <f>((L28*K28)+(L29*K29)+(L30*K30)+(L31*K31)+(L32*K32)+(K35*L35)+(L33*K33)+(L34*K34)+(L37*K37))/(K38)</f>
        <v>97.807025774730576</v>
      </c>
      <c r="M38" s="405">
        <f>AVERAGE('[9]Jan30th-31st'!$L$42,L38)</f>
        <v>97.817533755286021</v>
      </c>
      <c r="N38" s="40">
        <v>98</v>
      </c>
      <c r="O38" s="11"/>
      <c r="P38" s="31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56" ht="15.75" thickBot="1">
      <c r="B39" s="517"/>
      <c r="C39" s="350"/>
      <c r="D39" s="520"/>
      <c r="E39" s="521"/>
      <c r="F39" s="294"/>
      <c r="G39" s="42"/>
      <c r="H39" s="41"/>
      <c r="I39" s="42"/>
      <c r="J39" s="42"/>
      <c r="K39" s="351"/>
      <c r="L39" s="348"/>
      <c r="M39" s="348"/>
      <c r="N39" s="11"/>
      <c r="O39" s="294"/>
      <c r="P39" s="12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  <c r="AA39" s="472"/>
    </row>
    <row r="40" spans="1:56" ht="15.75" thickBot="1">
      <c r="B40" s="525"/>
      <c r="C40" s="362"/>
      <c r="D40" s="528"/>
      <c r="E40" s="529"/>
      <c r="F40" s="294"/>
      <c r="G40" s="42"/>
      <c r="H40" s="41"/>
      <c r="I40" s="42"/>
      <c r="J40" s="530" t="s">
        <v>129</v>
      </c>
      <c r="K40" s="530"/>
      <c r="L40" s="294"/>
      <c r="M40" s="294"/>
      <c r="N40" s="294"/>
      <c r="O40" s="294"/>
      <c r="P40" s="12"/>
    </row>
    <row r="41" spans="1:56" ht="15.75" thickBot="1">
      <c r="B41" s="526"/>
      <c r="C41" s="362"/>
      <c r="D41" s="524"/>
      <c r="E41" s="521"/>
      <c r="F41" s="294"/>
      <c r="G41" s="42"/>
      <c r="H41" s="42"/>
      <c r="I41" s="42"/>
      <c r="J41" s="292" t="s">
        <v>17</v>
      </c>
      <c r="K41" s="293" t="s">
        <v>172</v>
      </c>
      <c r="L41" s="531" t="s">
        <v>136</v>
      </c>
      <c r="M41" s="531"/>
      <c r="N41" s="532"/>
      <c r="O41" s="294"/>
      <c r="P41" s="12"/>
    </row>
    <row r="42" spans="1:56" ht="15" customHeight="1" thickBot="1">
      <c r="B42" s="526"/>
      <c r="C42" s="349"/>
      <c r="D42" s="522"/>
      <c r="E42" s="523"/>
      <c r="F42" s="294"/>
      <c r="G42" s="42"/>
      <c r="H42" s="42"/>
      <c r="I42" s="42"/>
      <c r="J42" s="287" t="s">
        <v>6</v>
      </c>
      <c r="K42" s="324">
        <v>9</v>
      </c>
      <c r="L42" s="473" t="s">
        <v>37</v>
      </c>
      <c r="M42" s="474" t="s">
        <v>38</v>
      </c>
      <c r="N42" s="474" t="s">
        <v>84</v>
      </c>
      <c r="O42" s="294"/>
      <c r="P42" s="12"/>
    </row>
    <row r="43" spans="1:56" ht="15.75" customHeight="1" thickBot="1">
      <c r="B43" s="526"/>
      <c r="C43" s="349"/>
      <c r="D43" s="524"/>
      <c r="E43" s="521"/>
      <c r="F43" s="294"/>
      <c r="G43" s="42"/>
      <c r="H43" s="42"/>
      <c r="I43" s="42"/>
      <c r="J43" s="345" t="s">
        <v>9</v>
      </c>
      <c r="K43" s="324"/>
      <c r="L43" s="344">
        <f>AVERAGE(K52,'Mar 2nd'!K49,'Mar 1st'!K55,'Mar 3rd'!K49,'Mar 4th'!K51,'Mar 5th'!K52,'Mar 6th '!K49,'Mar 9th'!K53,'Mar 10th'!K47,'Mar 11th'!K50,'Mar 12th'!K51,'Mar 13th-15th'!J73,'Mar 13th-15th'!I73,'Mar 16th'!K58,'Mar 18th'!K55)</f>
        <v>7.333333333333333</v>
      </c>
      <c r="M43" s="325">
        <f>AVERAGE('[9]Jan30th-31st'!$L$47,L43,'[10]Feb 26th '!$L$39)</f>
        <v>6.5067632850241539</v>
      </c>
      <c r="N43" s="416">
        <v>9.1999999999999993</v>
      </c>
      <c r="O43" s="294"/>
      <c r="P43" s="12"/>
    </row>
    <row r="44" spans="1:56" ht="15" customHeight="1">
      <c r="B44" s="526"/>
      <c r="C44" s="349"/>
      <c r="D44" s="522"/>
      <c r="E44" s="523"/>
      <c r="F44" s="294"/>
      <c r="G44" s="42"/>
      <c r="H44" s="42"/>
      <c r="I44" s="42"/>
      <c r="J44" s="288" t="s">
        <v>40</v>
      </c>
      <c r="K44" s="324"/>
      <c r="L44" s="294"/>
      <c r="M44" s="294"/>
      <c r="N44" s="294"/>
      <c r="O44" s="294"/>
      <c r="P44" s="12"/>
    </row>
    <row r="45" spans="1:56" ht="15" customHeight="1">
      <c r="B45" s="526"/>
      <c r="C45" s="349"/>
      <c r="D45" s="524"/>
      <c r="E45" s="521"/>
      <c r="F45" s="294"/>
      <c r="G45" s="42"/>
      <c r="H45" s="42"/>
      <c r="I45" s="42"/>
      <c r="J45" s="289" t="s">
        <v>33</v>
      </c>
      <c r="K45" s="324"/>
      <c r="L45" s="294"/>
      <c r="M45" s="294"/>
      <c r="N45" s="294"/>
      <c r="O45" s="294"/>
      <c r="P45" s="12"/>
    </row>
    <row r="46" spans="1:56" ht="15">
      <c r="B46" s="526"/>
      <c r="C46" s="349"/>
      <c r="D46" s="522"/>
      <c r="E46" s="523"/>
      <c r="F46" s="294"/>
      <c r="G46" s="42"/>
      <c r="H46" s="42"/>
      <c r="I46" s="42"/>
      <c r="J46" s="290" t="s">
        <v>16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26"/>
      <c r="C47" s="349"/>
      <c r="D47" s="524"/>
      <c r="E47" s="521"/>
      <c r="F47" s="294"/>
      <c r="G47" s="42"/>
      <c r="H47" s="42"/>
      <c r="I47" s="42"/>
      <c r="J47" s="291" t="s">
        <v>15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26"/>
      <c r="C48" s="349"/>
      <c r="D48" s="522"/>
      <c r="E48" s="523"/>
      <c r="F48" s="294"/>
      <c r="G48" s="42"/>
      <c r="H48" s="42"/>
      <c r="I48" s="42"/>
      <c r="J48" s="291" t="s">
        <v>149</v>
      </c>
      <c r="K48" s="324"/>
      <c r="L48" s="294"/>
      <c r="M48" s="294"/>
      <c r="N48" s="294"/>
      <c r="O48" s="294"/>
      <c r="P48" s="12"/>
      <c r="BC48" s="44"/>
      <c r="BD48" s="44"/>
    </row>
    <row r="49" spans="1:57" ht="15.75" thickBot="1">
      <c r="B49" s="527"/>
      <c r="C49" s="350"/>
      <c r="D49" s="533"/>
      <c r="E49" s="534"/>
      <c r="F49" s="294" t="s">
        <v>166</v>
      </c>
      <c r="G49" s="42"/>
      <c r="H49" s="42"/>
      <c r="I49" s="42"/>
      <c r="J49" s="291" t="s">
        <v>148</v>
      </c>
      <c r="K49" s="324"/>
      <c r="L49" s="294"/>
      <c r="M49" s="294"/>
      <c r="N49" s="294" t="s">
        <v>41</v>
      </c>
      <c r="O49" s="294"/>
      <c r="P49" s="12"/>
      <c r="BC49" s="44"/>
      <c r="BD49" s="44"/>
    </row>
    <row r="50" spans="1:57" ht="17.649999999999999" customHeight="1" thickBot="1">
      <c r="B50" s="312" t="s">
        <v>139</v>
      </c>
      <c r="C50" s="313"/>
      <c r="D50" s="535"/>
      <c r="E50" s="536"/>
      <c r="F50" s="294"/>
      <c r="J50" s="295" t="s">
        <v>134</v>
      </c>
      <c r="K50" s="324"/>
      <c r="L50" s="294"/>
      <c r="M50" s="294"/>
      <c r="N50" s="294"/>
      <c r="O50" s="294"/>
      <c r="P50" s="12"/>
      <c r="BC50" s="44"/>
      <c r="BD50" s="44"/>
    </row>
    <row r="51" spans="1:57" ht="17.649999999999999" customHeight="1">
      <c r="B51" s="363"/>
      <c r="C51" s="364"/>
      <c r="D51" s="365"/>
      <c r="E51" s="365"/>
      <c r="F51" s="294"/>
      <c r="G51" s="42"/>
      <c r="H51" s="42"/>
      <c r="I51" s="42"/>
      <c r="J51" s="295" t="s">
        <v>131</v>
      </c>
      <c r="K51" s="324"/>
      <c r="L51" s="294"/>
      <c r="M51" s="294"/>
      <c r="N51" s="294"/>
      <c r="O51" s="294"/>
      <c r="P51" s="12"/>
      <c r="BC51" s="44"/>
      <c r="BD51" s="44"/>
    </row>
    <row r="52" spans="1:57" ht="15.6" customHeight="1">
      <c r="B52" s="45"/>
      <c r="C52" s="11"/>
      <c r="D52" s="11"/>
      <c r="E52" s="46"/>
      <c r="F52" s="294"/>
      <c r="G52" s="42"/>
      <c r="H52" s="42"/>
      <c r="I52" s="42"/>
      <c r="J52" s="346" t="s">
        <v>130</v>
      </c>
      <c r="K52" s="324">
        <f>SUM(K42:K51)</f>
        <v>9</v>
      </c>
      <c r="L52" s="294"/>
      <c r="M52" s="294"/>
      <c r="N52" s="294"/>
      <c r="O52" s="294"/>
      <c r="P52" s="12"/>
    </row>
    <row r="53" spans="1:57" ht="20.25" customHeight="1">
      <c r="B53" s="15" t="s">
        <v>42</v>
      </c>
      <c r="C53" s="1" t="s">
        <v>43</v>
      </c>
      <c r="D53" s="1"/>
      <c r="E53" s="1"/>
      <c r="F53" s="294"/>
      <c r="G53" s="42"/>
      <c r="H53" s="41"/>
      <c r="I53" s="42"/>
      <c r="L53" s="294"/>
      <c r="N53" s="315"/>
      <c r="P53" s="334"/>
    </row>
    <row r="54" spans="1:57" ht="15" customHeight="1" thickBot="1"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1"/>
      <c r="O54" s="48"/>
      <c r="P54" s="49"/>
    </row>
    <row r="55" spans="1:57" ht="15" customHeight="1" thickBot="1">
      <c r="B55" s="537" t="s">
        <v>17</v>
      </c>
      <c r="C55" s="537" t="s">
        <v>44</v>
      </c>
      <c r="D55" s="540" t="s">
        <v>45</v>
      </c>
      <c r="E55" s="501" t="s">
        <v>46</v>
      </c>
      <c r="F55" s="510" t="s">
        <v>47</v>
      </c>
      <c r="G55" s="549" t="s">
        <v>48</v>
      </c>
      <c r="H55" s="537" t="s">
        <v>49</v>
      </c>
      <c r="I55" s="537" t="s">
        <v>50</v>
      </c>
      <c r="J55" s="543" t="s">
        <v>28</v>
      </c>
      <c r="K55" s="499" t="s">
        <v>51</v>
      </c>
      <c r="L55" s="552" t="s">
        <v>52</v>
      </c>
      <c r="M55" s="543" t="s">
        <v>53</v>
      </c>
      <c r="N55" s="13"/>
      <c r="O55" s="13"/>
      <c r="P55" s="50"/>
    </row>
    <row r="56" spans="1:57" ht="28.5" customHeight="1" thickTop="1" thickBot="1">
      <c r="B56" s="538"/>
      <c r="C56" s="539"/>
      <c r="D56" s="541"/>
      <c r="E56" s="542"/>
      <c r="F56" s="554"/>
      <c r="G56" s="550"/>
      <c r="H56" s="538"/>
      <c r="I56" s="538"/>
      <c r="J56" s="544"/>
      <c r="K56" s="551"/>
      <c r="L56" s="553"/>
      <c r="M56" s="544"/>
      <c r="N56" s="13"/>
      <c r="O56" s="13"/>
      <c r="P56" s="50"/>
      <c r="Q56" s="355"/>
      <c r="AB56" s="475">
        <v>43474</v>
      </c>
      <c r="AC56" s="475">
        <v>43475</v>
      </c>
      <c r="AD56" s="475">
        <v>43476</v>
      </c>
      <c r="AE56" s="475">
        <v>43477</v>
      </c>
      <c r="AF56" s="475">
        <v>43478</v>
      </c>
      <c r="AG56" s="475">
        <v>43479</v>
      </c>
      <c r="AH56" s="475">
        <v>43480</v>
      </c>
      <c r="AI56" s="475">
        <v>43481</v>
      </c>
      <c r="AJ56" s="475">
        <v>43482</v>
      </c>
      <c r="AK56" s="475">
        <v>43483</v>
      </c>
      <c r="AL56" s="475">
        <v>43484</v>
      </c>
      <c r="AM56" s="475">
        <v>43485</v>
      </c>
      <c r="AN56" s="475">
        <v>43486</v>
      </c>
      <c r="AO56" s="475">
        <v>43487</v>
      </c>
      <c r="AP56" s="475">
        <v>43488</v>
      </c>
      <c r="AQ56" s="475">
        <v>43489</v>
      </c>
      <c r="AR56" s="475">
        <v>43490</v>
      </c>
      <c r="AS56" s="475">
        <v>43491</v>
      </c>
      <c r="AT56" s="475">
        <v>43492</v>
      </c>
      <c r="AU56" s="475">
        <v>43493</v>
      </c>
      <c r="AV56" s="475">
        <v>43494</v>
      </c>
      <c r="AW56" s="475">
        <v>43495</v>
      </c>
      <c r="AX56" s="475">
        <v>43496</v>
      </c>
    </row>
    <row r="57" spans="1:57" s="54" customFormat="1" ht="36.75" customHeight="1" thickBot="1">
      <c r="B57" s="480" t="str">
        <f>I28</f>
        <v>CARIB</v>
      </c>
      <c r="C57" s="479">
        <v>46100</v>
      </c>
      <c r="D57" s="442">
        <f>[11]March_2026!$V$3</f>
        <v>989.39999999999975</v>
      </c>
      <c r="E57" s="443"/>
      <c r="F57" s="444"/>
      <c r="G57" s="445">
        <f>[11]March_2026!$V$7</f>
        <v>926.2</v>
      </c>
      <c r="H57" s="458"/>
      <c r="I57" s="458"/>
      <c r="J57" s="448" t="s">
        <v>180</v>
      </c>
      <c r="K57" s="449">
        <f>[13]March_2026!$V$18</f>
        <v>0.4062280701754386</v>
      </c>
      <c r="L57" s="457">
        <f>(((D57+E57)-G57)/(D57+E57))*100</f>
        <v>6.3877097230644555</v>
      </c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[14]January_2019!L5</f>
        <v>0</v>
      </c>
      <c r="AC57" s="57">
        <f>[14]January_2019!M5</f>
        <v>0</v>
      </c>
      <c r="AD57" s="57">
        <f>[14]January_2019!N5</f>
        <v>0</v>
      </c>
      <c r="AE57" s="57">
        <f>[14]January_2019!O5</f>
        <v>0</v>
      </c>
      <c r="AF57" s="57">
        <f>[14]January_2019!P5</f>
        <v>0</v>
      </c>
      <c r="AG57" s="57">
        <f>[14]January_2019!Q5</f>
        <v>0</v>
      </c>
      <c r="AH57" s="57">
        <f>[14]January_2019!R5</f>
        <v>0</v>
      </c>
      <c r="AI57" s="57">
        <f>[14]January_2019!S5</f>
        <v>0</v>
      </c>
      <c r="AJ57" s="57">
        <f>[14]January_2019!T5</f>
        <v>0</v>
      </c>
      <c r="AK57" s="57">
        <f>[14]January_2019!U5</f>
        <v>0</v>
      </c>
      <c r="AL57" s="57">
        <f>[14]January_2019!V5</f>
        <v>0</v>
      </c>
      <c r="AM57" s="57">
        <f>[14]January_2019!W5</f>
        <v>0</v>
      </c>
      <c r="AN57" s="57">
        <f>[14]January_2019!X5</f>
        <v>0</v>
      </c>
      <c r="AO57" s="57">
        <f>[14]January_2019!Y5</f>
        <v>0</v>
      </c>
      <c r="AP57" s="57">
        <f>[14]January_2019!Z5</f>
        <v>0</v>
      </c>
      <c r="AQ57" s="57">
        <f>[14]January_2019!AA5</f>
        <v>0</v>
      </c>
      <c r="AR57" s="57">
        <f>[14]January_2019!AB5</f>
        <v>0</v>
      </c>
      <c r="AS57" s="57">
        <f>[14]January_2019!AC5</f>
        <v>0</v>
      </c>
      <c r="AT57" s="57">
        <f>[14]January_2019!AD5</f>
        <v>0</v>
      </c>
      <c r="AU57" s="57">
        <f>[14]January_2019!AE5</f>
        <v>0</v>
      </c>
      <c r="AV57" s="57">
        <f>[14]January_2019!AF5</f>
        <v>0</v>
      </c>
      <c r="AW57" s="57">
        <f>[14]January_2019!AG5</f>
        <v>0</v>
      </c>
      <c r="AX57" s="277">
        <f>[14]January_2019!AH5</f>
        <v>0</v>
      </c>
      <c r="AY57" s="277"/>
      <c r="AZ57" s="277"/>
      <c r="BA57" s="277"/>
      <c r="BB57" s="277"/>
      <c r="BC57" s="277"/>
      <c r="BD57" s="277"/>
      <c r="BE57" s="277"/>
    </row>
    <row r="58" spans="1:57" s="54" customFormat="1" ht="14.25" customHeight="1" thickBot="1">
      <c r="B58" s="480"/>
      <c r="C58" s="479"/>
      <c r="D58" s="442"/>
      <c r="E58" s="443"/>
      <c r="F58" s="444"/>
      <c r="G58" s="445"/>
      <c r="H58" s="458"/>
      <c r="I58" s="458"/>
      <c r="J58" s="476"/>
      <c r="K58" s="44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[14]January_2019!L6</f>
        <v>0</v>
      </c>
      <c r="AC58" s="57">
        <f>[14]January_2019!M6</f>
        <v>0</v>
      </c>
      <c r="AD58" s="57">
        <f>[14]January_2019!N6</f>
        <v>0</v>
      </c>
      <c r="AE58" s="57">
        <f>[14]January_2019!O6</f>
        <v>0</v>
      </c>
      <c r="AF58" s="57">
        <f>[14]January_2019!P6</f>
        <v>0</v>
      </c>
      <c r="AG58" s="57">
        <f>[14]January_2019!Q6</f>
        <v>0</v>
      </c>
      <c r="AH58" s="57">
        <f>[14]January_2019!R6</f>
        <v>0</v>
      </c>
      <c r="AI58" s="57">
        <f>[14]January_2019!S6</f>
        <v>0</v>
      </c>
      <c r="AJ58" s="57">
        <f>[14]January_2019!T6</f>
        <v>0</v>
      </c>
      <c r="AK58" s="57">
        <f>[14]January_2019!U6</f>
        <v>0</v>
      </c>
      <c r="AL58" s="57">
        <f>[14]January_2019!V6</f>
        <v>0</v>
      </c>
      <c r="AM58" s="57">
        <f>[14]January_2019!W6</f>
        <v>0</v>
      </c>
      <c r="AN58" s="57">
        <f>[14]January_2019!X6</f>
        <v>0</v>
      </c>
      <c r="AO58" s="57">
        <f>[14]January_2019!Y6</f>
        <v>0</v>
      </c>
      <c r="AP58" s="57">
        <f>[14]January_2019!Z6</f>
        <v>0</v>
      </c>
      <c r="AQ58" s="57">
        <f>[14]January_2019!AA6</f>
        <v>0</v>
      </c>
      <c r="AR58" s="57">
        <f>[14]January_2019!AB6</f>
        <v>0</v>
      </c>
      <c r="AS58" s="57">
        <f>[14]January_2019!AC6</f>
        <v>0</v>
      </c>
      <c r="AT58" s="57">
        <f>[14]January_2019!AD6</f>
        <v>0</v>
      </c>
      <c r="AU58" s="57">
        <f>[14]January_2019!AE6</f>
        <v>0</v>
      </c>
      <c r="AV58" s="57">
        <f>[14]January_2019!AF6</f>
        <v>0</v>
      </c>
      <c r="AW58" s="57">
        <f>[14]January_2019!AG6</f>
        <v>0</v>
      </c>
      <c r="AX58" s="277">
        <f>[14]January_2019!AH6</f>
        <v>0</v>
      </c>
      <c r="AY58" s="277"/>
      <c r="AZ58" s="277"/>
      <c r="BA58" s="277"/>
      <c r="BB58" s="277"/>
      <c r="BC58" s="277"/>
      <c r="BD58" s="277"/>
      <c r="BE58" s="277"/>
    </row>
    <row r="59" spans="1:57" s="54" customFormat="1" ht="37.15" hidden="1" customHeight="1" thickBot="1">
      <c r="A59" s="54" t="s">
        <v>168</v>
      </c>
      <c r="B59" s="480"/>
      <c r="C59" s="479"/>
      <c r="D59" s="442"/>
      <c r="E59" s="443"/>
      <c r="F59" s="444"/>
      <c r="G59" s="445"/>
      <c r="H59" s="458"/>
      <c r="I59" s="458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>
        <f>[14]January_2019!L7</f>
        <v>285.8</v>
      </c>
      <c r="AC59" s="57">
        <f>[14]January_2019!M7</f>
        <v>508.1</v>
      </c>
      <c r="AD59" s="57">
        <f>[14]January_2019!N7</f>
        <v>0</v>
      </c>
      <c r="AE59" s="57">
        <f>[14]January_2019!O7</f>
        <v>0</v>
      </c>
      <c r="AF59" s="57">
        <f>[14]January_2019!P7</f>
        <v>109.56666666666666</v>
      </c>
      <c r="AG59" s="57">
        <f>[14]January_2019!Q7</f>
        <v>297.64999999999998</v>
      </c>
      <c r="AH59" s="57">
        <f>[14]January_2019!R7</f>
        <v>122.3</v>
      </c>
      <c r="AI59" s="57">
        <f>[14]January_2019!S7</f>
        <v>0</v>
      </c>
      <c r="AJ59" s="57">
        <f>[14]January_2019!T7</f>
        <v>294.7</v>
      </c>
      <c r="AK59" s="57">
        <f>[14]January_2019!U7</f>
        <v>280.5</v>
      </c>
      <c r="AL59" s="57">
        <f>[14]January_2019!V7</f>
        <v>0</v>
      </c>
      <c r="AM59" s="57">
        <f>[14]January_2019!W7</f>
        <v>0</v>
      </c>
      <c r="AN59" s="57">
        <f>[14]January_2019!X7</f>
        <v>188.25</v>
      </c>
      <c r="AO59" s="57">
        <f>[14]January_2019!Y7</f>
        <v>295.7</v>
      </c>
      <c r="AP59" s="57">
        <f>[14]January_2019!Z7</f>
        <v>257.8</v>
      </c>
      <c r="AQ59" s="57">
        <f>[14]January_2019!AA7</f>
        <v>291.2</v>
      </c>
      <c r="AR59" s="57">
        <f>[14]January_2019!AB7</f>
        <v>187</v>
      </c>
      <c r="AS59" s="57">
        <f>[14]January_2019!AC7</f>
        <v>0</v>
      </c>
      <c r="AT59" s="57">
        <f>[14]January_2019!AD7</f>
        <v>0</v>
      </c>
      <c r="AU59" s="57">
        <f>[14]January_2019!AE7</f>
        <v>485.1</v>
      </c>
      <c r="AV59" s="57">
        <f>[14]January_2019!AF7</f>
        <v>171.55</v>
      </c>
      <c r="AW59" s="57">
        <f>[14]January_2019!AG7</f>
        <v>423.8</v>
      </c>
      <c r="AX59" s="277">
        <f>[14]January_2019!AH7</f>
        <v>0</v>
      </c>
      <c r="AY59" s="277"/>
      <c r="AZ59" s="277"/>
      <c r="BA59" s="277"/>
      <c r="BB59" s="277"/>
      <c r="BC59" s="277"/>
      <c r="BD59" s="277"/>
      <c r="BE59" s="277"/>
    </row>
    <row r="60" spans="1:57" s="54" customFormat="1" ht="19.5" hidden="1" customHeight="1" thickBot="1">
      <c r="B60" s="478"/>
      <c r="C60" s="430"/>
      <c r="D60" s="431"/>
      <c r="E60" s="432"/>
      <c r="F60" s="433"/>
      <c r="G60" s="434"/>
      <c r="H60" s="458"/>
      <c r="I60" s="458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38.450000000000003" hidden="1" customHeight="1" thickBot="1">
      <c r="B61" s="480"/>
      <c r="C61" s="479"/>
      <c r="D61" s="442"/>
      <c r="E61" s="443"/>
      <c r="F61" s="444"/>
      <c r="G61" s="445"/>
      <c r="H61" s="458"/>
      <c r="I61" s="458"/>
      <c r="J61" s="448" t="s">
        <v>171</v>
      </c>
      <c r="K61" s="459"/>
      <c r="L61" s="457" t="e">
        <f>(((D61+E61)-G61)/(D61+E61))*100</f>
        <v>#DIV/0!</v>
      </c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15" hidden="1">
      <c r="B62" s="453"/>
      <c r="C62" s="430"/>
      <c r="D62" s="431"/>
      <c r="E62" s="432"/>
      <c r="F62" s="433"/>
      <c r="G62" s="434"/>
      <c r="H62" s="435"/>
      <c r="I62" s="450"/>
      <c r="J62" s="451"/>
      <c r="K62" s="436"/>
      <c r="L62" s="452"/>
      <c r="M62" s="421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s="54" customFormat="1" ht="37.15" hidden="1" customHeight="1" thickBot="1">
      <c r="B63" s="480"/>
      <c r="C63" s="479"/>
      <c r="D63" s="442"/>
      <c r="E63" s="443"/>
      <c r="F63" s="444"/>
      <c r="G63" s="445"/>
      <c r="H63" s="446"/>
      <c r="I63" s="447"/>
      <c r="J63" s="448"/>
      <c r="K63" s="449"/>
      <c r="L63" s="457"/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s="54" customFormat="1" ht="16.5" hidden="1" customHeight="1" thickBot="1">
      <c r="B64" s="437"/>
      <c r="C64" s="423"/>
      <c r="D64" s="424"/>
      <c r="E64" s="425"/>
      <c r="F64" s="426"/>
      <c r="G64" s="427"/>
      <c r="H64" s="428"/>
      <c r="I64" s="438"/>
      <c r="J64" s="439"/>
      <c r="K64" s="429"/>
      <c r="L64" s="440"/>
      <c r="M64" s="422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415"/>
      <c r="AC64" s="415"/>
      <c r="AD64" s="415"/>
      <c r="AE64" s="415"/>
      <c r="AF64" s="415"/>
      <c r="AG64" s="415"/>
      <c r="AH64" s="415"/>
      <c r="AI64" s="415"/>
      <c r="AJ64" s="415"/>
      <c r="AK64" s="415"/>
      <c r="AL64" s="415"/>
      <c r="AM64" s="415"/>
      <c r="AN64" s="415"/>
      <c r="AO64" s="415"/>
      <c r="AP64" s="415"/>
      <c r="AQ64" s="415"/>
      <c r="AR64" s="415"/>
      <c r="AS64" s="415"/>
      <c r="AT64" s="415"/>
      <c r="AU64" s="415"/>
      <c r="AV64" s="415"/>
      <c r="AW64" s="415"/>
    </row>
    <row r="65" spans="2:57" s="54" customFormat="1" ht="37.15" hidden="1" customHeight="1" thickBot="1">
      <c r="B65" s="456"/>
      <c r="C65" s="441"/>
      <c r="D65" s="442"/>
      <c r="E65" s="443"/>
      <c r="F65" s="444"/>
      <c r="G65" s="445"/>
      <c r="H65" s="446"/>
      <c r="I65" s="447"/>
      <c r="J65" s="448"/>
      <c r="K65" s="449"/>
      <c r="L65" s="457"/>
      <c r="M65" s="454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7.15" customHeight="1">
      <c r="B66" s="466"/>
      <c r="C66" s="430"/>
      <c r="D66" s="460"/>
      <c r="E66" s="461"/>
      <c r="F66" s="462"/>
      <c r="G66" s="460"/>
      <c r="H66" s="463"/>
      <c r="I66" s="463"/>
      <c r="J66" s="463"/>
      <c r="K66" s="464"/>
      <c r="L66" s="465"/>
      <c r="M66" s="50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ht="18" customHeight="1" thickBot="1">
      <c r="B67" s="59"/>
      <c r="C67" s="30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 t="s">
        <v>41</v>
      </c>
      <c r="O67" s="56"/>
      <c r="P67" s="60"/>
    </row>
    <row r="68" spans="2:57" ht="15.75" thickBot="1">
      <c r="B68" s="545" t="s">
        <v>55</v>
      </c>
      <c r="C68" s="546"/>
      <c r="D68" s="546"/>
      <c r="E68" s="546"/>
      <c r="F68" s="547"/>
      <c r="G68" s="545" t="s">
        <v>56</v>
      </c>
      <c r="H68" s="546"/>
      <c r="I68" s="546"/>
      <c r="J68" s="547"/>
      <c r="K68" s="545" t="s">
        <v>51</v>
      </c>
      <c r="L68" s="546"/>
      <c r="M68" s="546"/>
      <c r="N68" s="548"/>
      <c r="O68" s="56"/>
      <c r="P68" s="50"/>
    </row>
    <row r="69" spans="2:57" ht="15">
      <c r="B69" s="61" t="s">
        <v>17</v>
      </c>
      <c r="C69" s="62" t="s">
        <v>36</v>
      </c>
      <c r="D69" s="62" t="s">
        <v>37</v>
      </c>
      <c r="E69" s="62" t="s">
        <v>38</v>
      </c>
      <c r="F69" s="63" t="s">
        <v>39</v>
      </c>
      <c r="G69" s="62" t="s">
        <v>36</v>
      </c>
      <c r="H69" s="62" t="s">
        <v>37</v>
      </c>
      <c r="I69" s="62" t="s">
        <v>38</v>
      </c>
      <c r="J69" s="63" t="s">
        <v>39</v>
      </c>
      <c r="K69" s="62" t="s">
        <v>36</v>
      </c>
      <c r="L69" s="62" t="s">
        <v>37</v>
      </c>
      <c r="M69" s="62" t="s">
        <v>38</v>
      </c>
      <c r="N69" s="63" t="s">
        <v>39</v>
      </c>
      <c r="O69" s="56"/>
      <c r="P69" s="64"/>
    </row>
    <row r="70" spans="2:57" ht="15">
      <c r="B70" s="29" t="s">
        <v>6</v>
      </c>
      <c r="C70" s="282">
        <f>L57</f>
        <v>6.3877097230644555</v>
      </c>
      <c r="D70" s="76">
        <v>6.1166559838842547</v>
      </c>
      <c r="E70" s="76">
        <v>7.0100807731010235</v>
      </c>
      <c r="F70" s="66">
        <v>4.8</v>
      </c>
      <c r="G70" s="65">
        <f>[11]March_2026!$V$11</f>
        <v>5.4078709359467618</v>
      </c>
      <c r="H70" s="477">
        <v>5.8393881016574838</v>
      </c>
      <c r="I70" s="477">
        <v>7.0624229971326917</v>
      </c>
      <c r="J70" s="66">
        <v>4.8</v>
      </c>
      <c r="K70" s="67">
        <f>K57</f>
        <v>0.4062280701754386</v>
      </c>
      <c r="L70" s="194">
        <v>0.41416398138202642</v>
      </c>
      <c r="M70" s="194">
        <v>0.3950212849286624</v>
      </c>
      <c r="N70" s="68">
        <v>1</v>
      </c>
      <c r="O70" s="56"/>
      <c r="P70" s="69"/>
    </row>
    <row r="71" spans="2:57" ht="15">
      <c r="B71" s="33" t="s">
        <v>9</v>
      </c>
      <c r="C71" s="65"/>
      <c r="D71" s="76">
        <v>6.226853304877273</v>
      </c>
      <c r="E71" s="76">
        <v>6.218558063401959</v>
      </c>
      <c r="F71" s="66">
        <v>4.8</v>
      </c>
      <c r="G71" s="65"/>
      <c r="H71" s="76">
        <v>5.6013387717202709</v>
      </c>
      <c r="I71" s="76">
        <v>6.0251504474659541</v>
      </c>
      <c r="J71" s="66">
        <v>4.8</v>
      </c>
      <c r="K71" s="67"/>
      <c r="L71" s="194">
        <v>0.74087719298245613</v>
      </c>
      <c r="M71" s="194">
        <v>0.60474102461797952</v>
      </c>
      <c r="N71" s="68">
        <v>1</v>
      </c>
      <c r="P71" s="69"/>
    </row>
    <row r="72" spans="2:57" ht="15">
      <c r="B72" s="34" t="s">
        <v>40</v>
      </c>
      <c r="C72" s="65"/>
      <c r="D72" s="76">
        <v>12.686094393411453</v>
      </c>
      <c r="E72" s="76">
        <v>12.557379600093356</v>
      </c>
      <c r="F72" s="66">
        <v>5.5</v>
      </c>
      <c r="G72" s="65"/>
      <c r="H72" s="76">
        <v>16.188465805007624</v>
      </c>
      <c r="I72" s="76">
        <v>14.409617014725914</v>
      </c>
      <c r="J72" s="66">
        <v>5.5</v>
      </c>
      <c r="K72" s="67"/>
      <c r="L72" s="194">
        <v>0.22560526315789473</v>
      </c>
      <c r="M72" s="194">
        <v>0.29359298245614035</v>
      </c>
      <c r="N72" s="68">
        <v>1</v>
      </c>
      <c r="P72" s="69"/>
    </row>
    <row r="73" spans="2:57" ht="15">
      <c r="B73" s="22" t="s">
        <v>33</v>
      </c>
      <c r="C73" s="65"/>
      <c r="D73" s="76">
        <v>4.786281034041461</v>
      </c>
      <c r="E73" s="76">
        <v>4.9619586520196597</v>
      </c>
      <c r="F73" s="66">
        <v>3.3</v>
      </c>
      <c r="G73" s="65"/>
      <c r="H73" s="76">
        <v>5.4251963146907434</v>
      </c>
      <c r="I73" s="76">
        <v>4.9501867212112511</v>
      </c>
      <c r="J73" s="66">
        <v>3.3</v>
      </c>
      <c r="K73" s="67"/>
      <c r="L73" s="194">
        <v>1.3052631578947369</v>
      </c>
      <c r="M73" s="194">
        <v>0.88064327485380123</v>
      </c>
      <c r="N73" s="68">
        <v>1</v>
      </c>
      <c r="P73" s="69"/>
    </row>
    <row r="74" spans="2:57" ht="15">
      <c r="B74" s="35" t="s">
        <v>164</v>
      </c>
      <c r="C74" s="65"/>
      <c r="D74" s="76"/>
      <c r="E74" s="76"/>
      <c r="F74" s="66">
        <v>3.3</v>
      </c>
      <c r="G74" s="282"/>
      <c r="H74" s="76"/>
      <c r="I74" s="76"/>
      <c r="J74" s="66">
        <v>3</v>
      </c>
      <c r="K74" s="67"/>
      <c r="L74" s="194"/>
      <c r="M74" s="194"/>
      <c r="N74" s="68">
        <v>1</v>
      </c>
      <c r="P74" s="69"/>
    </row>
    <row r="75" spans="2:57" ht="15">
      <c r="B75" s="36" t="s">
        <v>15</v>
      </c>
      <c r="C75" s="65"/>
      <c r="D75" s="76"/>
      <c r="E75" s="76">
        <v>5.1105651105651271</v>
      </c>
      <c r="F75" s="70">
        <f>[15]May_2022!$M$43</f>
        <v>3.4878406700073312</v>
      </c>
      <c r="G75" s="282"/>
      <c r="H75" s="76"/>
      <c r="I75" s="76">
        <v>7.9131369535794072</v>
      </c>
      <c r="J75" s="66">
        <v>5.5</v>
      </c>
      <c r="K75" s="67"/>
      <c r="L75" s="194"/>
      <c r="M75" s="194">
        <v>1.3550877192982456</v>
      </c>
      <c r="N75" s="68">
        <v>1</v>
      </c>
      <c r="P75" s="69"/>
    </row>
    <row r="76" spans="2:57" ht="15">
      <c r="B76" s="37" t="s">
        <v>16</v>
      </c>
      <c r="C76" s="65"/>
      <c r="D76" s="76">
        <v>5.360174630123689</v>
      </c>
      <c r="E76" s="76">
        <v>4.3766776021473337</v>
      </c>
      <c r="F76" s="66">
        <v>3.3</v>
      </c>
      <c r="G76" s="282"/>
      <c r="H76" s="76">
        <v>11.106164027580478</v>
      </c>
      <c r="I76" s="76">
        <v>6.7590439068772588</v>
      </c>
      <c r="J76" s="66">
        <v>3.3</v>
      </c>
      <c r="K76" s="67"/>
      <c r="L76" s="194">
        <v>0.45637426900584793</v>
      </c>
      <c r="M76" s="194">
        <v>0.73190058479532172</v>
      </c>
      <c r="N76" s="71">
        <v>1</v>
      </c>
      <c r="P76" s="69"/>
    </row>
    <row r="77" spans="2:57" ht="15.75" thickBot="1">
      <c r="B77" s="38" t="s">
        <v>163</v>
      </c>
      <c r="C77" s="65"/>
      <c r="D77" s="76"/>
      <c r="E77" s="76"/>
      <c r="F77" s="66">
        <v>7.5</v>
      </c>
      <c r="G77" s="282"/>
      <c r="H77" s="76"/>
      <c r="I77" s="76"/>
      <c r="J77" s="66">
        <v>7.5</v>
      </c>
      <c r="K77" s="67"/>
      <c r="L77" s="194"/>
      <c r="M77" s="194"/>
      <c r="N77" s="71">
        <v>1</v>
      </c>
      <c r="P77" s="69"/>
    </row>
    <row r="78" spans="2:57" ht="15.75" thickBot="1">
      <c r="B78" s="414" t="s">
        <v>161</v>
      </c>
      <c r="C78" s="65"/>
      <c r="D78" s="76"/>
      <c r="E78" s="76"/>
      <c r="F78" s="66">
        <v>4.8</v>
      </c>
      <c r="G78" s="282"/>
      <c r="H78" s="76"/>
      <c r="I78" s="76"/>
      <c r="J78" s="66">
        <v>4.8</v>
      </c>
      <c r="K78" s="67"/>
      <c r="L78" s="194"/>
      <c r="M78" s="194"/>
      <c r="N78" s="71">
        <v>1</v>
      </c>
      <c r="O78" s="74"/>
      <c r="P78" s="75"/>
    </row>
    <row r="79" spans="2:57" ht="15">
      <c r="D79" s="76">
        <v>6.7866531074313539</v>
      </c>
      <c r="E79" s="76">
        <v>6.8443626331463765</v>
      </c>
      <c r="F79" s="341">
        <v>5.5</v>
      </c>
      <c r="H79" s="76">
        <v>8.0226230739694397</v>
      </c>
      <c r="I79" s="76">
        <v>7.3971027128713809</v>
      </c>
      <c r="J79" s="341">
        <v>5.5</v>
      </c>
      <c r="L79" s="194">
        <v>0.53836697298802549</v>
      </c>
      <c r="M79" s="194">
        <v>0.44702675607938758</v>
      </c>
      <c r="N79" s="386">
        <v>1</v>
      </c>
    </row>
  </sheetData>
  <mergeCells count="51">
    <mergeCell ref="M55:M56"/>
    <mergeCell ref="B68:F68"/>
    <mergeCell ref="G68:J68"/>
    <mergeCell ref="K68:N68"/>
    <mergeCell ref="G55:G56"/>
    <mergeCell ref="H55:H56"/>
    <mergeCell ref="I55:I56"/>
    <mergeCell ref="J55:J56"/>
    <mergeCell ref="K55:K56"/>
    <mergeCell ref="L55:L56"/>
    <mergeCell ref="F55:F56"/>
    <mergeCell ref="D50:E50"/>
    <mergeCell ref="B55:B56"/>
    <mergeCell ref="C55:C56"/>
    <mergeCell ref="D55:D56"/>
    <mergeCell ref="E55:E56"/>
    <mergeCell ref="B40:B49"/>
    <mergeCell ref="D40:E41"/>
    <mergeCell ref="J40:K40"/>
    <mergeCell ref="L41:N41"/>
    <mergeCell ref="D42:E43"/>
    <mergeCell ref="D44:E45"/>
    <mergeCell ref="D46:E47"/>
    <mergeCell ref="D48:E49"/>
    <mergeCell ref="I26:N26"/>
    <mergeCell ref="D27:E27"/>
    <mergeCell ref="B28:B39"/>
    <mergeCell ref="D28:E29"/>
    <mergeCell ref="D30:E31"/>
    <mergeCell ref="D32:E33"/>
    <mergeCell ref="D34:E35"/>
    <mergeCell ref="D36:E37"/>
    <mergeCell ref="D38:E39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0:B51">
    <cfRule type="cellIs" dxfId="1458" priority="63" operator="notBetween">
      <formula>#REF!</formula>
      <formula>#REF!</formula>
    </cfRule>
  </conditionalFormatting>
  <conditionalFormatting sqref="C54">
    <cfRule type="cellIs" dxfId="1457" priority="158" stopIfTrue="1" operator="greaterThan">
      <formula>100</formula>
    </cfRule>
    <cfRule type="cellIs" dxfId="1456" priority="157" stopIfTrue="1" operator="lessThan">
      <formula>96</formula>
    </cfRule>
  </conditionalFormatting>
  <conditionalFormatting sqref="C70:C74">
    <cfRule type="cellIs" dxfId="1455" priority="126" stopIfTrue="1" operator="lessThanOrEqual">
      <formula>0</formula>
    </cfRule>
  </conditionalFormatting>
  <conditionalFormatting sqref="C70:C78">
    <cfRule type="cellIs" dxfId="1454" priority="125" stopIfTrue="1" operator="greaterThan">
      <formula>$F70</formula>
    </cfRule>
  </conditionalFormatting>
  <conditionalFormatting sqref="C71">
    <cfRule type="cellIs" dxfId="1453" priority="159" stopIfTrue="1" operator="greaterThan">
      <formula>$F70</formula>
    </cfRule>
  </conditionalFormatting>
  <conditionalFormatting sqref="C75">
    <cfRule type="cellIs" dxfId="1452" priority="88" stopIfTrue="1" operator="greaterThan">
      <formula>$F74</formula>
    </cfRule>
    <cfRule type="cellIs" dxfId="1451" priority="87" stopIfTrue="1" operator="lessThanOrEqual">
      <formula>0</formula>
    </cfRule>
  </conditionalFormatting>
  <conditionalFormatting sqref="C76:C78">
    <cfRule type="cellIs" dxfId="1450" priority="127" stopIfTrue="1" operator="lessThanOrEqual">
      <formula>0</formula>
    </cfRule>
  </conditionalFormatting>
  <conditionalFormatting sqref="C81:C85">
    <cfRule type="cellIs" dxfId="1449" priority="149" stopIfTrue="1" operator="lessThanOrEqual">
      <formula>0</formula>
    </cfRule>
  </conditionalFormatting>
  <conditionalFormatting sqref="C82:C85">
    <cfRule type="cellIs" dxfId="1448" priority="148" stopIfTrue="1" operator="greaterThan">
      <formula>$F$81</formula>
    </cfRule>
  </conditionalFormatting>
  <conditionalFormatting sqref="C87">
    <cfRule type="cellIs" dxfId="1447" priority="151" stopIfTrue="1" operator="lessThanOrEqual">
      <formula>0</formula>
    </cfRule>
    <cfRule type="cellIs" dxfId="1446" priority="150" stopIfTrue="1" operator="greaterThan">
      <formula>$F$81</formula>
    </cfRule>
  </conditionalFormatting>
  <conditionalFormatting sqref="C81:D81 D83:D89">
    <cfRule type="cellIs" dxfId="1445" priority="143" stopIfTrue="1" operator="greaterThan">
      <formula>4.5</formula>
    </cfRule>
  </conditionalFormatting>
  <conditionalFormatting sqref="D50:D51">
    <cfRule type="cellIs" dxfId="1444" priority="64" operator="notBetween">
      <formula>#REF!</formula>
      <formula>#REF!</formula>
    </cfRule>
  </conditionalFormatting>
  <conditionalFormatting sqref="D70:D77">
    <cfRule type="cellIs" dxfId="1443" priority="36" stopIfTrue="1" operator="lessThanOrEqual">
      <formula>0</formula>
    </cfRule>
  </conditionalFormatting>
  <conditionalFormatting sqref="D70:D79">
    <cfRule type="cellIs" dxfId="1442" priority="15" stopIfTrue="1" operator="lessThanOrEqual">
      <formula>0</formula>
    </cfRule>
  </conditionalFormatting>
  <conditionalFormatting sqref="D78">
    <cfRule type="cellIs" dxfId="1441" priority="35" stopIfTrue="1" operator="lessThanOrEqual">
      <formula>0</formula>
    </cfRule>
  </conditionalFormatting>
  <conditionalFormatting sqref="D79">
    <cfRule type="cellIs" dxfId="1440" priority="30" stopIfTrue="1" operator="lessThanOrEqual">
      <formula>0</formula>
    </cfRule>
  </conditionalFormatting>
  <conditionalFormatting sqref="D81 D83:D89">
    <cfRule type="cellIs" dxfId="1439" priority="144" stopIfTrue="1" operator="lessThanOrEqual">
      <formula>0</formula>
    </cfRule>
  </conditionalFormatting>
  <conditionalFormatting sqref="D82">
    <cfRule type="cellIs" dxfId="1438" priority="136" stopIfTrue="1" operator="lessThanOrEqual">
      <formula>0</formula>
    </cfRule>
    <cfRule type="cellIs" dxfId="1437" priority="135" stopIfTrue="1" operator="greaterThan">
      <formula>$F$81</formula>
    </cfRule>
  </conditionalFormatting>
  <conditionalFormatting sqref="D70:E79">
    <cfRule type="cellIs" dxfId="1436" priority="17" stopIfTrue="1" operator="greaterThan">
      <formula>$F70</formula>
    </cfRule>
  </conditionalFormatting>
  <conditionalFormatting sqref="D79:E79">
    <cfRule type="cellIs" dxfId="1435" priority="19" stopIfTrue="1" operator="lessThanOrEqual">
      <formula>0</formula>
    </cfRule>
  </conditionalFormatting>
  <conditionalFormatting sqref="E10:E25">
    <cfRule type="cellIs" dxfId="1434" priority="10" operator="lessThan">
      <formula>48</formula>
    </cfRule>
  </conditionalFormatting>
  <conditionalFormatting sqref="E53 E54:F54">
    <cfRule type="cellIs" dxfId="1433" priority="140" stopIfTrue="1" operator="greaterThan">
      <formula>100</formula>
    </cfRule>
  </conditionalFormatting>
  <conditionalFormatting sqref="E54">
    <cfRule type="cellIs" dxfId="1432" priority="138" stopIfTrue="1" operator="greaterThan">
      <formula>100</formula>
    </cfRule>
    <cfRule type="cellIs" dxfId="1431" priority="137" stopIfTrue="1" operator="lessThan">
      <formula>96.8</formula>
    </cfRule>
  </conditionalFormatting>
  <conditionalFormatting sqref="E70:E78">
    <cfRule type="cellIs" dxfId="1430" priority="16" stopIfTrue="1" operator="lessThanOrEqual">
      <formula>0</formula>
    </cfRule>
  </conditionalFormatting>
  <conditionalFormatting sqref="E70:E79">
    <cfRule type="cellIs" dxfId="1429" priority="18" stopIfTrue="1" operator="lessThanOrEqual">
      <formula>0</formula>
    </cfRule>
  </conditionalFormatting>
  <conditionalFormatting sqref="E81:E89">
    <cfRule type="cellIs" dxfId="1428" priority="130" stopIfTrue="1" operator="lessThanOrEqual">
      <formula>0</formula>
    </cfRule>
    <cfRule type="cellIs" dxfId="1427" priority="129" stopIfTrue="1" operator="greaterThan">
      <formula>4.5</formula>
    </cfRule>
  </conditionalFormatting>
  <conditionalFormatting sqref="E54:F54 E53">
    <cfRule type="cellIs" dxfId="1426" priority="139" stopIfTrue="1" operator="lessThan">
      <formula>96.5</formula>
    </cfRule>
  </conditionalFormatting>
  <conditionalFormatting sqref="F10:F25">
    <cfRule type="cellIs" dxfId="1425" priority="11" operator="greaterThan">
      <formula>60</formula>
    </cfRule>
  </conditionalFormatting>
  <conditionalFormatting sqref="F54">
    <cfRule type="cellIs" dxfId="1424" priority="155" stopIfTrue="1" operator="lessThan">
      <formula>96.8</formula>
    </cfRule>
    <cfRule type="cellIs" dxfId="1423" priority="156" stopIfTrue="1" operator="greaterThan">
      <formula>100</formula>
    </cfRule>
  </conditionalFormatting>
  <conditionalFormatting sqref="F79">
    <cfRule type="cellIs" dxfId="1422" priority="33" stopIfTrue="1" operator="greaterThan">
      <formula>$F79</formula>
    </cfRule>
    <cfRule type="cellIs" dxfId="1421" priority="34" stopIfTrue="1" operator="lessThanOrEqual">
      <formula>0</formula>
    </cfRule>
  </conditionalFormatting>
  <conditionalFormatting sqref="G10:G25">
    <cfRule type="expression" dxfId="1420" priority="1">
      <formula>IF(+(IF(G10&lt;S10,0,IF(G10&gt;T10,0,1)))=0,1)</formula>
    </cfRule>
  </conditionalFormatting>
  <conditionalFormatting sqref="G70:G71">
    <cfRule type="cellIs" dxfId="1419" priority="32" stopIfTrue="1" operator="lessThanOrEqual">
      <formula>0</formula>
    </cfRule>
    <cfRule type="cellIs" dxfId="1418" priority="38" stopIfTrue="1" operator="lessThanOrEqual">
      <formula>0</formula>
    </cfRule>
    <cfRule type="cellIs" dxfId="1417" priority="31" stopIfTrue="1" operator="greaterThan">
      <formula>$F70</formula>
    </cfRule>
    <cfRule type="cellIs" dxfId="1416" priority="37" stopIfTrue="1" operator="greaterThan">
      <formula>$F70</formula>
    </cfRule>
  </conditionalFormatting>
  <conditionalFormatting sqref="G72">
    <cfRule type="cellIs" dxfId="1415" priority="41" stopIfTrue="1" operator="greaterThan">
      <formula>$F71</formula>
    </cfRule>
    <cfRule type="cellIs" dxfId="1414" priority="42" stopIfTrue="1" operator="lessThanOrEqual">
      <formula>0</formula>
    </cfRule>
  </conditionalFormatting>
  <conditionalFormatting sqref="G73">
    <cfRule type="cellIs" dxfId="1413" priority="25" stopIfTrue="1" operator="greaterThan">
      <formula>$F73</formula>
    </cfRule>
    <cfRule type="cellIs" dxfId="1412" priority="26" stopIfTrue="1" operator="lessThanOrEqual">
      <formula>0</formula>
    </cfRule>
    <cfRule type="cellIs" dxfId="1411" priority="24" stopIfTrue="1" operator="lessThanOrEqual">
      <formula>0</formula>
    </cfRule>
    <cfRule type="cellIs" dxfId="1410" priority="23" stopIfTrue="1" operator="greaterThan">
      <formula>$F73</formula>
    </cfRule>
  </conditionalFormatting>
  <conditionalFormatting sqref="G74:G78">
    <cfRule type="cellIs" dxfId="1409" priority="39" stopIfTrue="1" operator="greaterThan">
      <formula>$J74</formula>
    </cfRule>
    <cfRule type="cellIs" dxfId="1408" priority="40" stopIfTrue="1" operator="lessThanOrEqual">
      <formula>0</formula>
    </cfRule>
  </conditionalFormatting>
  <conditionalFormatting sqref="G83:G88 C86 C88">
    <cfRule type="cellIs" dxfId="1407" priority="153" stopIfTrue="1" operator="lessThanOrEqual">
      <formula>0</formula>
    </cfRule>
    <cfRule type="cellIs" dxfId="1406" priority="152" stopIfTrue="1" operator="greaterThan">
      <formula>4.5</formula>
    </cfRule>
  </conditionalFormatting>
  <conditionalFormatting sqref="G82:H82">
    <cfRule type="cellIs" dxfId="1405" priority="134" stopIfTrue="1" operator="lessThanOrEqual">
      <formula>0</formula>
    </cfRule>
    <cfRule type="cellIs" dxfId="1404" priority="133" stopIfTrue="1" operator="greaterThan">
      <formula>$F$81</formula>
    </cfRule>
  </conditionalFormatting>
  <conditionalFormatting sqref="H10:H25 M10:N25">
    <cfRule type="expression" dxfId="1403" priority="60">
      <formula>IF(+(IF(H10&lt;#REF!,0,IF(H10&gt;#REF!,0,1)))=0,1)</formula>
    </cfRule>
  </conditionalFormatting>
  <conditionalFormatting sqref="H39:H40 H53">
    <cfRule type="cellIs" dxfId="1402" priority="131" stopIfTrue="1" operator="greaterThan">
      <formula>0</formula>
    </cfRule>
  </conditionalFormatting>
  <conditionalFormatting sqref="H57:H61">
    <cfRule type="cellIs" dxfId="1401" priority="57" stopIfTrue="1" operator="greaterThan">
      <formula>$F$71</formula>
    </cfRule>
    <cfRule type="cellIs" dxfId="1400" priority="58" stopIfTrue="1" operator="lessThanOrEqual">
      <formula>0</formula>
    </cfRule>
    <cfRule type="cellIs" dxfId="1399" priority="55" stopIfTrue="1" operator="greaterThan">
      <formula>$F$73</formula>
    </cfRule>
    <cfRule type="cellIs" dxfId="1398" priority="46" stopIfTrue="1" operator="lessThanOrEqual">
      <formula>0</formula>
    </cfRule>
    <cfRule type="cellIs" dxfId="1397" priority="47" stopIfTrue="1" operator="greaterThan">
      <formula>$F$70</formula>
    </cfRule>
    <cfRule type="cellIs" dxfId="1396" priority="56" stopIfTrue="1" operator="lessThanOrEqual">
      <formula>0</formula>
    </cfRule>
  </conditionalFormatting>
  <conditionalFormatting sqref="H62:H63">
    <cfRule type="cellIs" dxfId="1395" priority="99" stopIfTrue="1" operator="greaterThan">
      <formula>$F$25</formula>
    </cfRule>
    <cfRule type="cellIs" dxfId="1394" priority="90" stopIfTrue="1" operator="lessThanOrEqual">
      <formula>0</formula>
    </cfRule>
    <cfRule type="cellIs" dxfId="1393" priority="91" stopIfTrue="1" operator="greaterThan">
      <formula>#REF!</formula>
    </cfRule>
    <cfRule type="cellIs" dxfId="1392" priority="101" stopIfTrue="1" operator="greaterThan">
      <formula>#REF!</formula>
    </cfRule>
    <cfRule type="cellIs" dxfId="1391" priority="102" stopIfTrue="1" operator="lessThanOrEqual">
      <formula>0</formula>
    </cfRule>
    <cfRule type="cellIs" dxfId="1390" priority="100" stopIfTrue="1" operator="lessThanOrEqual">
      <formula>0</formula>
    </cfRule>
  </conditionalFormatting>
  <conditionalFormatting sqref="H64">
    <cfRule type="cellIs" dxfId="1389" priority="114" stopIfTrue="1" operator="lessThanOrEqual">
      <formula>0</formula>
    </cfRule>
    <cfRule type="cellIs" dxfId="1388" priority="115" stopIfTrue="1" operator="greaterThan">
      <formula>$F$39</formula>
    </cfRule>
    <cfRule type="cellIs" dxfId="1387" priority="116" stopIfTrue="1" operator="lessThanOrEqual">
      <formula>0</formula>
    </cfRule>
    <cfRule type="cellIs" dxfId="1386" priority="104" stopIfTrue="1" operator="lessThanOrEqual">
      <formula>0</formula>
    </cfRule>
    <cfRule type="cellIs" dxfId="1385" priority="105" stopIfTrue="1" operator="greaterThan">
      <formula>$F$38</formula>
    </cfRule>
    <cfRule type="cellIs" dxfId="1384" priority="113" stopIfTrue="1" operator="greaterThan">
      <formula>$F$41</formula>
    </cfRule>
  </conditionalFormatting>
  <conditionalFormatting sqref="H65:H66">
    <cfRule type="cellIs" dxfId="1383" priority="86" stopIfTrue="1" operator="lessThanOrEqual">
      <formula>0</formula>
    </cfRule>
    <cfRule type="cellIs" dxfId="1382" priority="85" stopIfTrue="1" operator="greaterThan">
      <formula>#REF!</formula>
    </cfRule>
    <cfRule type="cellIs" dxfId="1381" priority="84" stopIfTrue="1" operator="lessThanOrEqual">
      <formula>0</formula>
    </cfRule>
    <cfRule type="cellIs" dxfId="1380" priority="74" stopIfTrue="1" operator="lessThanOrEqual">
      <formula>0</formula>
    </cfRule>
    <cfRule type="cellIs" dxfId="1379" priority="83" stopIfTrue="1" operator="greaterThan">
      <formula>$F$25</formula>
    </cfRule>
    <cfRule type="cellIs" dxfId="1378" priority="75" stopIfTrue="1" operator="greaterThan">
      <formula>#REF!</formula>
    </cfRule>
  </conditionalFormatting>
  <conditionalFormatting sqref="H81 H83:H89">
    <cfRule type="cellIs" dxfId="1377" priority="145" stopIfTrue="1" operator="greaterThan">
      <formula>4.5</formula>
    </cfRule>
    <cfRule type="cellIs" dxfId="1376" priority="146" stopIfTrue="1" operator="lessThanOrEqual">
      <formula>0</formula>
    </cfRule>
  </conditionalFormatting>
  <conditionalFormatting sqref="H57:I61">
    <cfRule type="cellIs" dxfId="1375" priority="48" stopIfTrue="1" operator="lessThanOrEqual">
      <formula>0</formula>
    </cfRule>
    <cfRule type="cellIs" dxfId="1374" priority="45" stopIfTrue="1" operator="greaterThan">
      <formula>$F$72</formula>
    </cfRule>
  </conditionalFormatting>
  <conditionalFormatting sqref="H62:I63">
    <cfRule type="cellIs" dxfId="1373" priority="89" stopIfTrue="1" operator="greaterThan">
      <formula>#REF!</formula>
    </cfRule>
    <cfRule type="cellIs" dxfId="1372" priority="92" stopIfTrue="1" operator="lessThanOrEqual">
      <formula>0</formula>
    </cfRule>
  </conditionalFormatting>
  <conditionalFormatting sqref="H64:I64">
    <cfRule type="cellIs" dxfId="1371" priority="106" stopIfTrue="1" operator="lessThanOrEqual">
      <formula>0</formula>
    </cfRule>
    <cfRule type="cellIs" dxfId="1370" priority="103" stopIfTrue="1" operator="greaterThan">
      <formula>$F$40</formula>
    </cfRule>
  </conditionalFormatting>
  <conditionalFormatting sqref="H65:I66">
    <cfRule type="cellIs" dxfId="1369" priority="76" stopIfTrue="1" operator="lessThanOrEqual">
      <formula>0</formula>
    </cfRule>
    <cfRule type="cellIs" dxfId="1368" priority="73" stopIfTrue="1" operator="greaterThan">
      <formula>#REF!</formula>
    </cfRule>
  </conditionalFormatting>
  <conditionalFormatting sqref="H70:I77">
    <cfRule type="cellIs" dxfId="1367" priority="14" stopIfTrue="1" operator="lessThanOrEqual">
      <formula>0</formula>
    </cfRule>
    <cfRule type="cellIs" dxfId="1366" priority="13" stopIfTrue="1" operator="greaterThan">
      <formula>$J70</formula>
    </cfRule>
  </conditionalFormatting>
  <conditionalFormatting sqref="H78:I78">
    <cfRule type="cellIs" dxfId="1365" priority="22" operator="greaterThan">
      <formula>5.3</formula>
    </cfRule>
  </conditionalFormatting>
  <conditionalFormatting sqref="H79:I79">
    <cfRule type="cellIs" dxfId="1364" priority="21" stopIfTrue="1" operator="lessThanOrEqual">
      <formula>0</formula>
    </cfRule>
    <cfRule type="cellIs" dxfId="1363" priority="20" stopIfTrue="1" operator="greaterThan">
      <formula>$J79</formula>
    </cfRule>
  </conditionalFormatting>
  <conditionalFormatting sqref="I57:I61">
    <cfRule type="cellIs" dxfId="1362" priority="52" stopIfTrue="1" operator="lessThanOrEqual">
      <formula>0</formula>
    </cfRule>
    <cfRule type="cellIs" dxfId="1361" priority="50" stopIfTrue="1" operator="lessThanOrEqual">
      <formula>0</formula>
    </cfRule>
    <cfRule type="cellIs" dxfId="1360" priority="53" stopIfTrue="1" operator="greaterThan">
      <formula>$F$70</formula>
    </cfRule>
    <cfRule type="cellIs" dxfId="1359" priority="54" stopIfTrue="1" operator="lessThanOrEqual">
      <formula>0</formula>
    </cfRule>
    <cfRule type="cellIs" dxfId="1358" priority="49" stopIfTrue="1" operator="greaterThan">
      <formula>$F$70</formula>
    </cfRule>
    <cfRule type="cellIs" dxfId="1357" priority="51" stopIfTrue="1" operator="greaterThan">
      <formula>$F$72</formula>
    </cfRule>
  </conditionalFormatting>
  <conditionalFormatting sqref="I62:I63">
    <cfRule type="cellIs" dxfId="1356" priority="96" stopIfTrue="1" operator="lessThanOrEqual">
      <formula>0</formula>
    </cfRule>
    <cfRule type="cellIs" dxfId="1355" priority="97" stopIfTrue="1" operator="greaterThan">
      <formula>#REF!</formula>
    </cfRule>
    <cfRule type="cellIs" dxfId="1354" priority="98" stopIfTrue="1" operator="lessThanOrEqual">
      <formula>0</formula>
    </cfRule>
    <cfRule type="cellIs" dxfId="1353" priority="93" stopIfTrue="1" operator="greaterThan">
      <formula>#REF!</formula>
    </cfRule>
    <cfRule type="cellIs" dxfId="1352" priority="94" stopIfTrue="1" operator="lessThanOrEqual">
      <formula>0</formula>
    </cfRule>
    <cfRule type="cellIs" dxfId="1351" priority="95" stopIfTrue="1" operator="greaterThan">
      <formula>#REF!</formula>
    </cfRule>
  </conditionalFormatting>
  <conditionalFormatting sqref="I64">
    <cfRule type="cellIs" dxfId="1350" priority="109" stopIfTrue="1" operator="greaterThan">
      <formula>$F$40</formula>
    </cfRule>
    <cfRule type="cellIs" dxfId="1349" priority="110" stopIfTrue="1" operator="lessThanOrEqual">
      <formula>0</formula>
    </cfRule>
    <cfRule type="cellIs" dxfId="1348" priority="111" stopIfTrue="1" operator="greaterThan">
      <formula>$F$38</formula>
    </cfRule>
    <cfRule type="cellIs" dxfId="1347" priority="112" stopIfTrue="1" operator="lessThanOrEqual">
      <formula>0</formula>
    </cfRule>
    <cfRule type="cellIs" dxfId="1346" priority="107" stopIfTrue="1" operator="greaterThan">
      <formula>$F$38</formula>
    </cfRule>
    <cfRule type="cellIs" dxfId="1345" priority="108" stopIfTrue="1" operator="lessThanOrEqual">
      <formula>0</formula>
    </cfRule>
  </conditionalFormatting>
  <conditionalFormatting sqref="I65:I66">
    <cfRule type="cellIs" dxfId="1344" priority="78" stopIfTrue="1" operator="lessThanOrEqual">
      <formula>0</formula>
    </cfRule>
    <cfRule type="cellIs" dxfId="1343" priority="79" stopIfTrue="1" operator="greaterThan">
      <formula>#REF!</formula>
    </cfRule>
    <cfRule type="cellIs" dxfId="1342" priority="82" stopIfTrue="1" operator="lessThanOrEqual">
      <formula>0</formula>
    </cfRule>
    <cfRule type="cellIs" dxfId="1341" priority="77" stopIfTrue="1" operator="greaterThan">
      <formula>#REF!</formula>
    </cfRule>
    <cfRule type="cellIs" dxfId="1340" priority="81" stopIfTrue="1" operator="greaterThan">
      <formula>#REF!</formula>
    </cfRule>
    <cfRule type="cellIs" dxfId="1339" priority="80" stopIfTrue="1" operator="lessThanOrEqual">
      <formula>0</formula>
    </cfRule>
  </conditionalFormatting>
  <conditionalFormatting sqref="I81:I89">
    <cfRule type="cellIs" dxfId="1338" priority="141" stopIfTrue="1" operator="greaterThan">
      <formula>4.5</formula>
    </cfRule>
    <cfRule type="cellIs" dxfId="1337" priority="142" stopIfTrue="1" operator="lessThanOrEqual">
      <formula>0</formula>
    </cfRule>
  </conditionalFormatting>
  <conditionalFormatting sqref="I10:J25">
    <cfRule type="cellIs" dxfId="1336" priority="4" operator="lessThan">
      <formula>97.9</formula>
    </cfRule>
  </conditionalFormatting>
  <conditionalFormatting sqref="J28">
    <cfRule type="cellIs" dxfId="1335" priority="44" operator="lessThan">
      <formula>97.95</formula>
    </cfRule>
  </conditionalFormatting>
  <conditionalFormatting sqref="J30">
    <cfRule type="cellIs" dxfId="1334" priority="118" stopIfTrue="1" operator="lessThan">
      <formula>96.8</formula>
    </cfRule>
    <cfRule type="cellIs" dxfId="1333" priority="119" stopIfTrue="1" operator="greaterThan">
      <formula>100</formula>
    </cfRule>
    <cfRule type="cellIs" dxfId="1332" priority="120" operator="lessThan">
      <formula>98</formula>
    </cfRule>
  </conditionalFormatting>
  <conditionalFormatting sqref="J30:J32">
    <cfRule type="cellIs" dxfId="1331" priority="117" operator="lessThan">
      <formula>97.4</formula>
    </cfRule>
  </conditionalFormatting>
  <conditionalFormatting sqref="J33:J34">
    <cfRule type="cellIs" dxfId="1330" priority="121" operator="lessThan">
      <formula>98</formula>
    </cfRule>
  </conditionalFormatting>
  <conditionalFormatting sqref="J35:J36">
    <cfRule type="cellIs" dxfId="1329" priority="122" stopIfTrue="1" operator="lessThan">
      <formula>96.8</formula>
    </cfRule>
    <cfRule type="cellIs" dxfId="1328" priority="123" stopIfTrue="1" operator="greaterThan">
      <formula>100</formula>
    </cfRule>
  </conditionalFormatting>
  <conditionalFormatting sqref="J35:J37">
    <cfRule type="cellIs" dxfId="1327" priority="124" operator="lessThan">
      <formula>98</formula>
    </cfRule>
  </conditionalFormatting>
  <conditionalFormatting sqref="J66">
    <cfRule type="cellIs" dxfId="1326" priority="67" stopIfTrue="1" operator="greaterThan">
      <formula>#REF!</formula>
    </cfRule>
    <cfRule type="cellIs" dxfId="1325" priority="69" stopIfTrue="1" operator="greaterThan">
      <formula>#REF!</formula>
    </cfRule>
    <cfRule type="cellIs" dxfId="1324" priority="72" stopIfTrue="1" operator="lessThanOrEqual">
      <formula>0</formula>
    </cfRule>
    <cfRule type="cellIs" dxfId="1323" priority="70" stopIfTrue="1" operator="lessThanOrEqual">
      <formula>0</formula>
    </cfRule>
    <cfRule type="cellIs" dxfId="1322" priority="71" stopIfTrue="1" operator="greaterThan">
      <formula>#REF!</formula>
    </cfRule>
    <cfRule type="cellIs" dxfId="1321" priority="66" stopIfTrue="1" operator="lessThanOrEqual">
      <formula>0</formula>
    </cfRule>
    <cfRule type="cellIs" dxfId="1320" priority="65" stopIfTrue="1" operator="greaterThan">
      <formula>#REF!</formula>
    </cfRule>
    <cfRule type="cellIs" dxfId="1319" priority="68" stopIfTrue="1" operator="lessThanOrEqual">
      <formula>0</formula>
    </cfRule>
  </conditionalFormatting>
  <conditionalFormatting sqref="J79">
    <cfRule type="cellIs" dxfId="1318" priority="28" stopIfTrue="1" operator="lessThanOrEqual">
      <formula>0</formula>
    </cfRule>
    <cfRule type="cellIs" dxfId="1317" priority="27" stopIfTrue="1" operator="greaterThan">
      <formula>$F79</formula>
    </cfRule>
  </conditionalFormatting>
  <conditionalFormatting sqref="K10:K25">
    <cfRule type="cellIs" dxfId="1316" priority="5" operator="greaterThan">
      <formula>6</formula>
    </cfRule>
    <cfRule type="cellIs" dxfId="1315" priority="7" operator="greaterThan">
      <formula>6.4</formula>
    </cfRule>
    <cfRule type="cellIs" dxfId="1314" priority="6" operator="lessThan">
      <formula>4</formula>
    </cfRule>
  </conditionalFormatting>
  <conditionalFormatting sqref="K57:K66">
    <cfRule type="cellIs" dxfId="1313" priority="59" stopIfTrue="1" operator="lessThan">
      <formula>100%</formula>
    </cfRule>
  </conditionalFormatting>
  <conditionalFormatting sqref="K81:K86">
    <cfRule type="cellIs" dxfId="1312" priority="147" stopIfTrue="1" operator="lessThan">
      <formula>100%</formula>
    </cfRule>
  </conditionalFormatting>
  <conditionalFormatting sqref="K88:K89">
    <cfRule type="cellIs" dxfId="1311" priority="154" stopIfTrue="1" operator="lessThan">
      <formula>100%</formula>
    </cfRule>
  </conditionalFormatting>
  <conditionalFormatting sqref="K70:M78">
    <cfRule type="cellIs" dxfId="1310" priority="12" stopIfTrue="1" operator="lessThan">
      <formula>100%</formula>
    </cfRule>
  </conditionalFormatting>
  <conditionalFormatting sqref="L10:L25">
    <cfRule type="cellIs" dxfId="1309" priority="8" operator="between">
      <formula>61</formula>
      <formula>65</formula>
    </cfRule>
    <cfRule type="cellIs" dxfId="1308" priority="9" operator="greaterThan">
      <formula>65</formula>
    </cfRule>
  </conditionalFormatting>
  <conditionalFormatting sqref="L28:M39">
    <cfRule type="cellIs" dxfId="1307" priority="61" operator="lessThan">
      <formula>97.95</formula>
    </cfRule>
  </conditionalFormatting>
  <conditionalFormatting sqref="L79:M79">
    <cfRule type="cellIs" dxfId="1306" priority="29" stopIfTrue="1" operator="lessThan">
      <formula>100%</formula>
    </cfRule>
  </conditionalFormatting>
  <conditionalFormatting sqref="L43:N43">
    <cfRule type="cellIs" dxfId="1305" priority="62" operator="notEqual">
      <formula>#REF!</formula>
    </cfRule>
  </conditionalFormatting>
  <conditionalFormatting sqref="L81:N89">
    <cfRule type="cellIs" dxfId="1304" priority="132" stopIfTrue="1" operator="lessThan">
      <formula>100%</formula>
    </cfRule>
  </conditionalFormatting>
  <conditionalFormatting sqref="M10:M23">
    <cfRule type="expression" dxfId="1303" priority="3">
      <formula>IF(+(IF(M10&lt;U10,0,IF(M10&gt;V10,0,1)))=0,1)</formula>
    </cfRule>
  </conditionalFormatting>
  <conditionalFormatting sqref="N10:N23">
    <cfRule type="expression" dxfId="1302" priority="2">
      <formula>IF(+(IF(N10&lt;W10,0,IF(N10&gt;X10,0,1)))=0,1)</formula>
    </cfRule>
  </conditionalFormatting>
  <conditionalFormatting sqref="N70:N79">
    <cfRule type="cellIs" dxfId="1301" priority="43" stopIfTrue="1" operator="lessThan">
      <formula>100%</formula>
    </cfRule>
  </conditionalFormatting>
  <conditionalFormatting sqref="P6">
    <cfRule type="cellIs" dxfId="1300" priority="128" operator="greaterThanOrEqual">
      <formula>19</formula>
    </cfRule>
  </conditionalFormatting>
  <dataValidations count="1">
    <dataValidation type="list" allowBlank="1" showInputMessage="1" showErrorMessage="1" sqref="R8" xr:uid="{D51039A6-0584-4EF8-A5E9-4689CBC17B08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3" max="16383" man="1"/>
  </rowBreaks>
  <colBreaks count="1" manualBreakCount="1">
    <brk id="15" max="89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745E3-9E93-4026-83BE-B3886230040B}">
  <sheetPr>
    <pageSetUpPr fitToPage="1"/>
  </sheetPr>
  <dimension ref="A1:BE97"/>
  <sheetViews>
    <sheetView topLeftCell="A16" zoomScale="70" zoomScaleNormal="70" workbookViewId="0">
      <selection activeCell="B29" sqref="B29:O29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9.42578125" style="275" customWidth="1"/>
    <col min="9" max="9" width="28" style="275" customWidth="1"/>
    <col min="10" max="10" width="28.42578125" style="275" customWidth="1"/>
    <col min="11" max="11" width="30.57031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4" t="s">
        <v>0</v>
      </c>
      <c r="T1" s="494"/>
      <c r="U1" s="494" t="s">
        <v>1</v>
      </c>
      <c r="V1" s="494"/>
      <c r="W1" s="494" t="s">
        <v>2</v>
      </c>
      <c r="X1" s="494"/>
      <c r="Y1" s="494" t="s">
        <v>124</v>
      </c>
      <c r="Z1" s="494"/>
    </row>
    <row r="2" spans="2:29" ht="15">
      <c r="B2" s="495" t="s">
        <v>3</v>
      </c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46104</v>
      </c>
      <c r="J4" s="398" t="s">
        <v>167</v>
      </c>
      <c r="K4" s="398"/>
      <c r="L4" s="11"/>
      <c r="M4" s="492" t="s">
        <v>8</v>
      </c>
      <c r="N4" s="493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8"/>
      <c r="D5" s="49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9" t="s">
        <v>17</v>
      </c>
      <c r="C8" s="501" t="s">
        <v>18</v>
      </c>
      <c r="D8" s="501" t="s">
        <v>19</v>
      </c>
      <c r="E8" s="356" t="s">
        <v>20</v>
      </c>
      <c r="F8" s="356" t="s">
        <v>21</v>
      </c>
      <c r="G8" s="501" t="s">
        <v>22</v>
      </c>
      <c r="H8" s="502" t="s">
        <v>144</v>
      </c>
      <c r="I8" s="501" t="s">
        <v>165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169</v>
      </c>
      <c r="O8" s="510" t="s">
        <v>155</v>
      </c>
      <c r="P8" s="496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0"/>
      <c r="C9" s="497"/>
      <c r="D9" s="497"/>
      <c r="E9" s="357" t="s">
        <v>30</v>
      </c>
      <c r="F9" s="357" t="s">
        <v>31</v>
      </c>
      <c r="G9" s="497"/>
      <c r="H9" s="503"/>
      <c r="I9" s="497"/>
      <c r="J9" s="505"/>
      <c r="K9" s="507"/>
      <c r="L9" s="509"/>
      <c r="M9" s="20" t="s">
        <v>32</v>
      </c>
      <c r="N9" s="21" t="s">
        <v>41</v>
      </c>
      <c r="O9" s="511"/>
      <c r="P9" s="497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29" t="s">
        <v>6</v>
      </c>
      <c r="C10" s="366" t="str">
        <f>[4]Brewhouse!$A263</f>
        <v>CA220</v>
      </c>
      <c r="D10" s="279">
        <f>[4]Brewhouse!$AF263</f>
        <v>51.2</v>
      </c>
      <c r="E10" s="279">
        <f>[4]Brewhouse!$AI263</f>
        <v>49.7</v>
      </c>
      <c r="F10" s="278">
        <f>[4]Brewhouse!$V263</f>
        <v>61</v>
      </c>
      <c r="G10" s="279">
        <f>[4]Brewhouse!AG263</f>
        <v>11.7</v>
      </c>
      <c r="H10" s="396"/>
      <c r="I10" s="368">
        <f>[4]Brewhouse!$AU263</f>
        <v>95.847937505992363</v>
      </c>
      <c r="J10" s="368">
        <f>[4]Brewhouse!$AV263</f>
        <v>96.749308795029492</v>
      </c>
      <c r="K10" s="281">
        <f>[4]Brewhouse!$Q263</f>
        <v>11.312384473197778</v>
      </c>
      <c r="L10" s="276">
        <f>[4]Brewhouse!$P263</f>
        <v>58</v>
      </c>
      <c r="M10" s="397">
        <f>[4]Brewhouse!$U263-[4]Brewhouse!$T263</f>
        <v>0.10555555555555554</v>
      </c>
      <c r="N10" s="370">
        <f>[4]Brewhouse!$Z263</f>
        <v>0.27291666666666664</v>
      </c>
      <c r="O10" s="420" t="str">
        <f>[4]Brewhouse!$AX263</f>
        <v>R.Sookram</v>
      </c>
      <c r="P10" s="418"/>
      <c r="R10" s="277" t="str">
        <f t="shared" ref="R10:R17" si="0">B10</f>
        <v>CARIB</v>
      </c>
      <c r="S10" s="472">
        <f t="shared" ref="S10:S54" si="1">VLOOKUP($B10,$R$3:$X$9,2,FALSE)</f>
        <v>11.6</v>
      </c>
      <c r="T10" s="472">
        <f t="shared" ref="T10:T54" si="2">VLOOKUP($B10,$R$3:$X$9,3,FALSE)</f>
        <v>12</v>
      </c>
      <c r="U10" s="297">
        <f t="shared" ref="U10:U54" si="3">VLOOKUP($B10,$R$3:$X$9,4,FALSE)</f>
        <v>0</v>
      </c>
      <c r="V10" s="297">
        <f t="shared" ref="V10:V54" si="4">VLOOKUP($B10,$R$3:$X$9,5,FALSE)</f>
        <v>0.118055555555556</v>
      </c>
      <c r="W10" s="297">
        <f t="shared" ref="W10:W54" si="5">VLOOKUP($B10,$R$3:$X$9,6,FALSE)</f>
        <v>0.22569444444444445</v>
      </c>
      <c r="X10" s="297">
        <f t="shared" ref="X10:X54" si="6">VLOOKUP($B10,$R$3:$X$9,7,FALSE)</f>
        <v>0.2638888888888889</v>
      </c>
      <c r="Y10" s="297">
        <f t="shared" ref="Y10:Y54" si="7">VLOOKUP($B10,$R$3:$Z$9,8,FALSE)</f>
        <v>0</v>
      </c>
      <c r="Z10" s="472">
        <f t="shared" ref="Z10:Z54" si="8">VLOOKUP($B10,$R$3:$Z$9,9,FALSE)</f>
        <v>60</v>
      </c>
    </row>
    <row r="11" spans="2:29" ht="16.5" customHeight="1">
      <c r="B11" s="29" t="s">
        <v>6</v>
      </c>
      <c r="C11" s="366" t="str">
        <f>[4]Brewhouse!$A264</f>
        <v>CA221</v>
      </c>
      <c r="D11" s="279">
        <f>[4]Brewhouse!$AF264</f>
        <v>50</v>
      </c>
      <c r="E11" s="279">
        <f>[4]Brewhouse!$AI264</f>
        <v>49.8</v>
      </c>
      <c r="F11" s="278">
        <f>[4]Brewhouse!$V264</f>
        <v>52</v>
      </c>
      <c r="G11" s="279">
        <f>[4]Brewhouse!AG264</f>
        <v>11.8</v>
      </c>
      <c r="H11" s="396"/>
      <c r="I11" s="368">
        <f>[4]Brewhouse!$AU264</f>
        <v>96.904607911463032</v>
      </c>
      <c r="J11" s="368">
        <f>[4]Brewhouse!$AV264</f>
        <v>97.815916319547796</v>
      </c>
      <c r="K11" s="281">
        <f>[4]Brewhouse!$Q264</f>
        <v>11.127541589648803</v>
      </c>
      <c r="L11" s="276">
        <f>[4]Brewhouse!$P264</f>
        <v>60</v>
      </c>
      <c r="M11" s="397">
        <f>[4]Brewhouse!$U264-[4]Brewhouse!$T264</f>
        <v>0.12361111111111112</v>
      </c>
      <c r="N11" s="370">
        <f>[4]Brewhouse!$Z264</f>
        <v>0.25972222222222224</v>
      </c>
      <c r="O11" s="420" t="str">
        <f>[4]Brewhouse!$AX264</f>
        <v>R.Sookram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6.5" customHeight="1">
      <c r="B12" s="29" t="s">
        <v>6</v>
      </c>
      <c r="C12" s="366" t="str">
        <f>[4]Brewhouse!$A265</f>
        <v>CA222</v>
      </c>
      <c r="D12" s="279">
        <f>[4]Brewhouse!$AF265</f>
        <v>50.4</v>
      </c>
      <c r="E12" s="279">
        <f>[4]Brewhouse!$AI265</f>
        <v>49.9</v>
      </c>
      <c r="F12" s="278">
        <f>[4]Brewhouse!$V265</f>
        <v>52</v>
      </c>
      <c r="G12" s="279">
        <f>[4]Brewhouse!AG265</f>
        <v>11.9</v>
      </c>
      <c r="H12" s="396"/>
      <c r="I12" s="368">
        <f>[4]Brewhouse!$AU265</f>
        <v>97.843989874471959</v>
      </c>
      <c r="J12" s="368">
        <f>[4]Brewhouse!$AV265</f>
        <v>98.764192248535394</v>
      </c>
      <c r="K12" s="281">
        <f>[4]Brewhouse!$Q265</f>
        <v>9.4814814814814774</v>
      </c>
      <c r="L12" s="276">
        <f>[4]Brewhouse!$P265</f>
        <v>45</v>
      </c>
      <c r="M12" s="397">
        <f>[4]Brewhouse!$U265-[4]Brewhouse!$T265</f>
        <v>9.2361111111111116E-2</v>
      </c>
      <c r="N12" s="370">
        <f>[4]Brewhouse!$Z265</f>
        <v>0.25486111111111109</v>
      </c>
      <c r="O12" s="420" t="str">
        <f>[4]Brewhouse!$AX265</f>
        <v>K. Benjamin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6.5" customHeight="1">
      <c r="B13" s="29" t="s">
        <v>6</v>
      </c>
      <c r="C13" s="366" t="str">
        <f>[4]Brewhouse!$A266</f>
        <v>CA223</v>
      </c>
      <c r="D13" s="279">
        <f>[4]Brewhouse!$AF266</f>
        <v>49.9</v>
      </c>
      <c r="E13" s="279">
        <f>[4]Brewhouse!$AI266</f>
        <v>49.2</v>
      </c>
      <c r="F13" s="278">
        <f>[4]Brewhouse!$V266</f>
        <v>51</v>
      </c>
      <c r="G13" s="279">
        <f>[4]Brewhouse!AG266</f>
        <v>12</v>
      </c>
      <c r="H13" s="396"/>
      <c r="I13" s="368">
        <f>[4]Brewhouse!$AU266</f>
        <v>97.685025256417518</v>
      </c>
      <c r="J13" s="368">
        <f>[4]Brewhouse!$AV266</f>
        <v>98.60355290388766</v>
      </c>
      <c r="K13" s="281">
        <f>[4]Brewhouse!$Q266</f>
        <v>8.9259259259259256</v>
      </c>
      <c r="L13" s="276">
        <f>[4]Brewhouse!$P266</f>
        <v>45</v>
      </c>
      <c r="M13" s="397">
        <f>[4]Brewhouse!$U266-[4]Brewhouse!$T266</f>
        <v>9.8611111111111149E-2</v>
      </c>
      <c r="N13" s="370">
        <f>[4]Brewhouse!$Z266</f>
        <v>0.22847222222222224</v>
      </c>
      <c r="O13" s="420" t="str">
        <f>[4]Brewhouse!$AX266</f>
        <v>K. Benjamin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6.5" customHeight="1">
      <c r="B14" s="29" t="s">
        <v>6</v>
      </c>
      <c r="C14" s="366" t="str">
        <f>[4]Brewhouse!$A267</f>
        <v>CA224</v>
      </c>
      <c r="D14" s="279">
        <f>[4]Brewhouse!$AF267</f>
        <v>52.9</v>
      </c>
      <c r="E14" s="279">
        <f>[4]Brewhouse!$AI267</f>
        <v>52.6</v>
      </c>
      <c r="F14" s="278">
        <f>[4]Brewhouse!$V267</f>
        <v>59</v>
      </c>
      <c r="G14" s="279">
        <f>[4]Brewhouse!AG267</f>
        <v>11.7</v>
      </c>
      <c r="H14" s="396"/>
      <c r="I14" s="368">
        <f>[4]Brewhouse!$AU267</f>
        <v>101.44067430211668</v>
      </c>
      <c r="J14" s="368">
        <f>[4]Brewhouse!$AV267</f>
        <v>102.39464069655031</v>
      </c>
      <c r="K14" s="281">
        <f>[4]Brewhouse!$Q267</f>
        <v>8.9259259259259256</v>
      </c>
      <c r="L14" s="276">
        <f>[4]Brewhouse!$P267</f>
        <v>48</v>
      </c>
      <c r="M14" s="397">
        <f>[4]Brewhouse!$U267-[4]Brewhouse!$T267</f>
        <v>9.9999999999999978E-2</v>
      </c>
      <c r="N14" s="370">
        <f>[4]Brewhouse!$Z267</f>
        <v>0.25486111111111109</v>
      </c>
      <c r="O14" s="420" t="str">
        <f>[4]Brewhouse!$AX267</f>
        <v>K. Benjamin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6.5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420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6.5" customHeight="1">
      <c r="B16" s="33" t="s">
        <v>9</v>
      </c>
      <c r="C16" s="366" t="str">
        <f>[3]Brewhouse!$A158</f>
        <v>ST106</v>
      </c>
      <c r="D16" s="279">
        <f>[3]Brewhouse!$AB158</f>
        <v>53.1</v>
      </c>
      <c r="E16" s="279">
        <f>[3]Brewhouse!$AG158</f>
        <v>48.6</v>
      </c>
      <c r="F16" s="278">
        <f>[3]Brewhouse!$V158</f>
        <v>56</v>
      </c>
      <c r="G16" s="279">
        <f>[3]Brewhouse!$AE158</f>
        <v>11.8</v>
      </c>
      <c r="H16" s="396"/>
      <c r="I16" s="368">
        <f>[3]Brewhouse!$AS158</f>
        <v>95.967564626079536</v>
      </c>
      <c r="J16" s="368">
        <f>[3]Brewhouse!$AT158</f>
        <v>96.720479613745113</v>
      </c>
      <c r="K16" s="281">
        <f>[3]Brewhouse!$Q158</f>
        <v>12.947269303201505</v>
      </c>
      <c r="L16" s="276">
        <f>[3]Brewhouse!$P158</f>
        <v>55</v>
      </c>
      <c r="M16" s="374">
        <f>[3]Brewhouse!$U158-[3]Brewhouse!$T158</f>
        <v>0.1069444444444444</v>
      </c>
      <c r="N16" s="370">
        <f>[3]Brewhouse!$AW158</f>
        <v>0.25763888888888886</v>
      </c>
      <c r="O16" s="371" t="str">
        <f>[3]Brewhouse!$AV158</f>
        <v>R. Regis</v>
      </c>
      <c r="P16" s="418"/>
      <c r="R16" s="277" t="str">
        <f t="shared" si="0"/>
        <v>STAG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2:26" ht="16.5" customHeight="1">
      <c r="B17" s="33" t="s">
        <v>9</v>
      </c>
      <c r="C17" s="366" t="str">
        <f>[3]Brewhouse!$A159</f>
        <v>ST107</v>
      </c>
      <c r="D17" s="279">
        <f>[3]Brewhouse!$AB159</f>
        <v>53.1</v>
      </c>
      <c r="E17" s="279">
        <f>[3]Brewhouse!$AG159</f>
        <v>49.4</v>
      </c>
      <c r="F17" s="278">
        <f>[3]Brewhouse!$V159</f>
        <v>58</v>
      </c>
      <c r="G17" s="279">
        <f>[3]Brewhouse!$AE159</f>
        <v>12</v>
      </c>
      <c r="H17" s="396"/>
      <c r="I17" s="368">
        <f>[3]Brewhouse!$AS159</f>
        <v>99.038293072120226</v>
      </c>
      <c r="J17" s="368">
        <f>[3]Brewhouse!$AT159</f>
        <v>99.815807030838158</v>
      </c>
      <c r="K17" s="281">
        <f>[3]Brewhouse!$Q159</f>
        <v>13.323917137476466</v>
      </c>
      <c r="L17" s="276">
        <f>[3]Brewhouse!$P159</f>
        <v>57</v>
      </c>
      <c r="M17" s="374">
        <f>[3]Brewhouse!$U159-[3]Brewhouse!$T159</f>
        <v>0.10972222222222228</v>
      </c>
      <c r="N17" s="370">
        <f>[3]Brewhouse!$AW159</f>
        <v>0.27777777777777779</v>
      </c>
      <c r="O17" s="371" t="str">
        <f>[3]Brewhouse!$AV159</f>
        <v>R. Regis</v>
      </c>
      <c r="P17" s="418"/>
      <c r="R17" s="277" t="str">
        <f t="shared" si="0"/>
        <v>STAG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2:26" ht="16.5" customHeight="1">
      <c r="B18" s="33" t="s">
        <v>9</v>
      </c>
      <c r="C18" s="366" t="str">
        <f>[3]Brewhouse!$A160</f>
        <v>ST108</v>
      </c>
      <c r="D18" s="279">
        <f>[3]Brewhouse!$AB160</f>
        <v>53.1</v>
      </c>
      <c r="E18" s="279">
        <f>[3]Brewhouse!$AG160</f>
        <v>51.4</v>
      </c>
      <c r="F18" s="278">
        <f>[3]Brewhouse!$V160</f>
        <v>64</v>
      </c>
      <c r="G18" s="279">
        <f>[3]Brewhouse!$AE160</f>
        <v>11.9</v>
      </c>
      <c r="H18" s="396"/>
      <c r="I18" s="368">
        <f>[3]Brewhouse!$AS160</f>
        <v>100.88509268187487</v>
      </c>
      <c r="J18" s="368">
        <f>[3]Brewhouse!$AT160</f>
        <v>101.67965194298654</v>
      </c>
      <c r="K18" s="281">
        <f>[3]Brewhouse!$Q160</f>
        <v>12.005649717514123</v>
      </c>
      <c r="L18" s="276">
        <f>[3]Brewhouse!$P160</f>
        <v>65</v>
      </c>
      <c r="M18" s="374">
        <f>[3]Brewhouse!$U160-[3]Brewhouse!$T160</f>
        <v>0.11805555555555558</v>
      </c>
      <c r="N18" s="370">
        <f>[3]Brewhouse!$AW160</f>
        <v>0.28819444444444453</v>
      </c>
      <c r="O18" s="371" t="str">
        <f>[3]Brewhouse!$AV160</f>
        <v>R.Sookram</v>
      </c>
      <c r="P18" s="418"/>
      <c r="R18" s="277" t="str">
        <f t="shared" ref="R18:R29" si="9">B18</f>
        <v>STAG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2:26" ht="16.5" customHeight="1">
      <c r="B19" s="33" t="s">
        <v>9</v>
      </c>
      <c r="C19" s="366" t="str">
        <f>[3]Brewhouse!$A161</f>
        <v>ST109</v>
      </c>
      <c r="D19" s="279">
        <f>[3]Brewhouse!$AB161</f>
        <v>53.1</v>
      </c>
      <c r="E19" s="279">
        <f>[3]Brewhouse!$AG161</f>
        <v>50.4</v>
      </c>
      <c r="F19" s="278">
        <f>[3]Brewhouse!$V161</f>
        <v>61</v>
      </c>
      <c r="G19" s="279">
        <f>[3]Brewhouse!$AE161</f>
        <v>11.8</v>
      </c>
      <c r="H19" s="396"/>
      <c r="I19" s="368">
        <f>[3]Brewhouse!$AS161</f>
        <v>100.27544662459104</v>
      </c>
      <c r="J19" s="368">
        <f>[3]Brewhouse!$AT161</f>
        <v>101.06060204258316</v>
      </c>
      <c r="K19" s="281">
        <f>[3]Brewhouse!$Q161</f>
        <v>12.947269303201505</v>
      </c>
      <c r="L19" s="276">
        <f>[3]Brewhouse!$P161</f>
        <v>63</v>
      </c>
      <c r="M19" s="374">
        <f>[3]Brewhouse!$U161-[3]Brewhouse!$T161</f>
        <v>0.11527777777777781</v>
      </c>
      <c r="N19" s="370">
        <f>[3]Brewhouse!$AW161</f>
        <v>0.2680555555555556</v>
      </c>
      <c r="O19" s="371" t="str">
        <f>[3]Brewhouse!$AV161</f>
        <v>R.Sookram</v>
      </c>
      <c r="P19" s="418"/>
      <c r="R19" s="277" t="str">
        <f t="shared" si="9"/>
        <v>STAG</v>
      </c>
      <c r="S19" s="472">
        <f t="shared" si="1"/>
        <v>11.6</v>
      </c>
      <c r="T19" s="472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472">
        <f t="shared" si="8"/>
        <v>60</v>
      </c>
    </row>
    <row r="20" spans="2:26" ht="16.5" customHeight="1">
      <c r="B20" s="33" t="s">
        <v>9</v>
      </c>
      <c r="C20" s="366" t="str">
        <f>[3]Brewhouse!$A162</f>
        <v>ST110</v>
      </c>
      <c r="D20" s="279">
        <f>[3]Brewhouse!$AB162</f>
        <v>53.4</v>
      </c>
      <c r="E20" s="279">
        <f>[3]Brewhouse!$AG162</f>
        <v>48</v>
      </c>
      <c r="F20" s="278">
        <f>[3]Brewhouse!$V162</f>
        <v>50</v>
      </c>
      <c r="G20" s="279">
        <f>[3]Brewhouse!$AE162</f>
        <v>12</v>
      </c>
      <c r="H20" s="396"/>
      <c r="I20" s="368">
        <f>[3]Brewhouse!$AS162</f>
        <v>97.783409002966863</v>
      </c>
      <c r="J20" s="368">
        <f>[3]Brewhouse!$AT162</f>
        <v>98.087648785303045</v>
      </c>
      <c r="K20" s="281">
        <f>[3]Brewhouse!$Q162</f>
        <v>12.687265917602994</v>
      </c>
      <c r="L20" s="276">
        <f>[3]Brewhouse!$P162</f>
        <v>45</v>
      </c>
      <c r="M20" s="374">
        <f>[3]Brewhouse!$U162-[3]Brewhouse!$T162</f>
        <v>9.9305555555555591E-2</v>
      </c>
      <c r="N20" s="370">
        <f>[3]Brewhouse!$AW162</f>
        <v>0.25347222222222221</v>
      </c>
      <c r="O20" s="371" t="str">
        <f>[3]Brewhouse!$AV162</f>
        <v>R.Sookram</v>
      </c>
      <c r="P20" s="418"/>
      <c r="R20" s="277" t="str">
        <f t="shared" si="9"/>
        <v>STAG</v>
      </c>
      <c r="S20" s="472">
        <f t="shared" si="1"/>
        <v>11.6</v>
      </c>
      <c r="T20" s="472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472">
        <f t="shared" si="8"/>
        <v>60</v>
      </c>
    </row>
    <row r="21" spans="2:26" ht="16.5" customHeight="1">
      <c r="B21" s="33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2:26" ht="16.5" customHeight="1">
      <c r="B22" s="489">
        <v>46102</v>
      </c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418"/>
      <c r="R22" s="277">
        <f t="shared" si="9"/>
        <v>46102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2:26" ht="16.5" customHeight="1">
      <c r="B23" s="33" t="s">
        <v>9</v>
      </c>
      <c r="C23" s="366" t="str">
        <f>[3]Brewhouse!$A163</f>
        <v>ST111</v>
      </c>
      <c r="D23" s="279">
        <f>[3]Brewhouse!$AB163</f>
        <v>53</v>
      </c>
      <c r="E23" s="279">
        <f>[3]Brewhouse!$AG163</f>
        <v>50</v>
      </c>
      <c r="F23" s="278">
        <f>[3]Brewhouse!$V163</f>
        <v>52</v>
      </c>
      <c r="G23" s="279">
        <f>[3]Brewhouse!$AE163</f>
        <v>11.7</v>
      </c>
      <c r="H23" s="396"/>
      <c r="I23" s="368">
        <f>[3]Brewhouse!$AS163</f>
        <v>99.181519714228756</v>
      </c>
      <c r="J23" s="368">
        <f>[3]Brewhouse!$AT163</f>
        <v>99.490109527953834</v>
      </c>
      <c r="K23" s="281">
        <f>[3]Brewhouse!$Q163</f>
        <v>10.896226415094338</v>
      </c>
      <c r="L23" s="276">
        <f>[3]Brewhouse!$P163</f>
        <v>62</v>
      </c>
      <c r="M23" s="374">
        <f>[3]Brewhouse!$U163-[3]Brewhouse!$T163</f>
        <v>0.10902777777777778</v>
      </c>
      <c r="N23" s="370">
        <f>[3]Brewhouse!$AW163</f>
        <v>0.27777777777777779</v>
      </c>
      <c r="O23" s="371" t="str">
        <f>[3]Brewhouse!$AV163</f>
        <v>K. Benjamin</v>
      </c>
      <c r="P23" s="418"/>
      <c r="R23" s="277" t="str">
        <f t="shared" si="9"/>
        <v>STAG</v>
      </c>
      <c r="S23" s="472">
        <f t="shared" si="1"/>
        <v>11.6</v>
      </c>
      <c r="T23" s="472">
        <f t="shared" si="2"/>
        <v>12</v>
      </c>
      <c r="U23" s="297">
        <f t="shared" si="3"/>
        <v>0</v>
      </c>
      <c r="V23" s="297">
        <f t="shared" si="4"/>
        <v>0.118055555555556</v>
      </c>
      <c r="W23" s="297">
        <f t="shared" si="5"/>
        <v>0.22569444444444445</v>
      </c>
      <c r="X23" s="297">
        <f t="shared" si="6"/>
        <v>0.2638888888888889</v>
      </c>
      <c r="Y23" s="297">
        <f t="shared" si="7"/>
        <v>0</v>
      </c>
      <c r="Z23" s="472">
        <f t="shared" si="8"/>
        <v>60</v>
      </c>
    </row>
    <row r="24" spans="2:26" ht="16.5" customHeight="1">
      <c r="B24" s="33" t="s">
        <v>9</v>
      </c>
      <c r="C24" s="366" t="str">
        <f>[3]Brewhouse!$A164</f>
        <v>ST112</v>
      </c>
      <c r="D24" s="279">
        <f>[3]Brewhouse!$AB164</f>
        <v>53</v>
      </c>
      <c r="E24" s="279">
        <f>[3]Brewhouse!$AG164</f>
        <v>50.1</v>
      </c>
      <c r="F24" s="278">
        <f>[3]Brewhouse!$V164</f>
        <v>52</v>
      </c>
      <c r="G24" s="279">
        <f>[3]Brewhouse!$AE164</f>
        <v>11.7</v>
      </c>
      <c r="H24" s="396"/>
      <c r="I24" s="368">
        <f>[3]Brewhouse!$AS164</f>
        <v>99.254628474405266</v>
      </c>
      <c r="J24" s="368">
        <f>[3]Brewhouse!$AT164</f>
        <v>99.563548766010811</v>
      </c>
      <c r="K24" s="281">
        <f>[3]Brewhouse!$Q164</f>
        <v>11.65094339622641</v>
      </c>
      <c r="L24" s="276">
        <f>[3]Brewhouse!$P164</f>
        <v>63</v>
      </c>
      <c r="M24" s="374">
        <f>[3]Brewhouse!$U164-[3]Brewhouse!$T164</f>
        <v>0.10902777777777783</v>
      </c>
      <c r="N24" s="370">
        <f>[3]Brewhouse!$AW164</f>
        <v>0.26180555555555562</v>
      </c>
      <c r="O24" s="371" t="str">
        <f>[3]Brewhouse!$AV164</f>
        <v>K. Benjamin</v>
      </c>
      <c r="P24" s="418"/>
      <c r="R24" s="277" t="str">
        <f t="shared" si="9"/>
        <v>STAG</v>
      </c>
      <c r="S24" s="472">
        <f t="shared" si="1"/>
        <v>11.6</v>
      </c>
      <c r="T24" s="472">
        <f t="shared" si="2"/>
        <v>12</v>
      </c>
      <c r="U24" s="297">
        <f t="shared" si="3"/>
        <v>0</v>
      </c>
      <c r="V24" s="297">
        <f t="shared" si="4"/>
        <v>0.118055555555556</v>
      </c>
      <c r="W24" s="297">
        <f t="shared" si="5"/>
        <v>0.22569444444444445</v>
      </c>
      <c r="X24" s="297">
        <f t="shared" si="6"/>
        <v>0.2638888888888889</v>
      </c>
      <c r="Y24" s="297">
        <f t="shared" si="7"/>
        <v>0</v>
      </c>
      <c r="Z24" s="472">
        <f t="shared" si="8"/>
        <v>60</v>
      </c>
    </row>
    <row r="25" spans="2:26" ht="16.5" customHeight="1">
      <c r="B25" s="33" t="s">
        <v>9</v>
      </c>
      <c r="C25" s="366" t="str">
        <f>[3]Brewhouse!$A165</f>
        <v>ST113</v>
      </c>
      <c r="D25" s="279">
        <f>[3]Brewhouse!$AB165</f>
        <v>53</v>
      </c>
      <c r="E25" s="279">
        <f>[3]Brewhouse!$AG165</f>
        <v>50</v>
      </c>
      <c r="F25" s="278">
        <f>[3]Brewhouse!$V165</f>
        <v>52</v>
      </c>
      <c r="G25" s="279">
        <f>[3]Brewhouse!$AE165</f>
        <v>11.8</v>
      </c>
      <c r="H25" s="396"/>
      <c r="I25" s="368">
        <f>[3]Brewhouse!$AS165</f>
        <v>99.821646060237796</v>
      </c>
      <c r="J25" s="368">
        <f>[3]Brewhouse!$AT165</f>
        <v>100.13243447622362</v>
      </c>
      <c r="K25" s="281">
        <f>[3]Brewhouse!$Q165</f>
        <v>11.65094339622641</v>
      </c>
      <c r="L25" s="276">
        <f>[3]Brewhouse!$P165</f>
        <v>59</v>
      </c>
      <c r="M25" s="374">
        <f>[3]Brewhouse!$U165-[3]Brewhouse!$T165</f>
        <v>0.11041666666666672</v>
      </c>
      <c r="N25" s="370">
        <f>[3]Brewhouse!$AW165</f>
        <v>0.25833333333333336</v>
      </c>
      <c r="O25" s="371" t="str">
        <f>[3]Brewhouse!$AV165</f>
        <v>K. Benjamin</v>
      </c>
      <c r="P25" s="418"/>
      <c r="R25" s="277" t="str">
        <f t="shared" si="9"/>
        <v>STAG</v>
      </c>
      <c r="S25" s="472">
        <f t="shared" si="1"/>
        <v>11.6</v>
      </c>
      <c r="T25" s="472">
        <f t="shared" si="2"/>
        <v>12</v>
      </c>
      <c r="U25" s="297">
        <f t="shared" si="3"/>
        <v>0</v>
      </c>
      <c r="V25" s="297">
        <f t="shared" si="4"/>
        <v>0.118055555555556</v>
      </c>
      <c r="W25" s="297">
        <f t="shared" si="5"/>
        <v>0.22569444444444445</v>
      </c>
      <c r="X25" s="297">
        <f t="shared" si="6"/>
        <v>0.2638888888888889</v>
      </c>
      <c r="Y25" s="297">
        <f t="shared" si="7"/>
        <v>0</v>
      </c>
      <c r="Z25" s="472">
        <f t="shared" si="8"/>
        <v>60</v>
      </c>
    </row>
    <row r="26" spans="2:26" ht="16.5" customHeight="1">
      <c r="B26" s="33" t="s">
        <v>9</v>
      </c>
      <c r="C26" s="366" t="str">
        <f>[3]Brewhouse!$A166</f>
        <v>ST114</v>
      </c>
      <c r="D26" s="279">
        <f>[3]Brewhouse!$AB166</f>
        <v>53</v>
      </c>
      <c r="E26" s="279">
        <f>[3]Brewhouse!$AG166</f>
        <v>49.7</v>
      </c>
      <c r="F26" s="278">
        <f>[3]Brewhouse!$V166</f>
        <v>55</v>
      </c>
      <c r="G26" s="279">
        <f>[3]Brewhouse!$AE166</f>
        <v>11.9</v>
      </c>
      <c r="H26" s="396"/>
      <c r="I26" s="368">
        <f>[3]Brewhouse!$AS166</f>
        <v>100.23336840295755</v>
      </c>
      <c r="J26" s="368">
        <f>[3]Brewhouse!$AT166</f>
        <v>100.54533492655028</v>
      </c>
      <c r="K26" s="281">
        <f>[3]Brewhouse!$Q166</f>
        <v>13.537735849056599</v>
      </c>
      <c r="L26" s="276">
        <f>[3]Brewhouse!$P166</f>
        <v>64</v>
      </c>
      <c r="M26" s="374">
        <f>[3]Brewhouse!$U166-[3]Brewhouse!$T166</f>
        <v>0.13402777777777775</v>
      </c>
      <c r="N26" s="370">
        <f>[3]Brewhouse!$AW166</f>
        <v>0.29652777777777772</v>
      </c>
      <c r="O26" s="371" t="str">
        <f>[3]Brewhouse!$AV166</f>
        <v>K. Benjamin</v>
      </c>
      <c r="P26" s="418"/>
      <c r="R26" s="277" t="str">
        <f t="shared" si="9"/>
        <v>STAG</v>
      </c>
      <c r="S26" s="472">
        <f t="shared" si="1"/>
        <v>11.6</v>
      </c>
      <c r="T26" s="472">
        <f t="shared" si="2"/>
        <v>12</v>
      </c>
      <c r="U26" s="297">
        <f t="shared" si="3"/>
        <v>0</v>
      </c>
      <c r="V26" s="297">
        <f t="shared" si="4"/>
        <v>0.118055555555556</v>
      </c>
      <c r="W26" s="297">
        <f t="shared" si="5"/>
        <v>0.22569444444444445</v>
      </c>
      <c r="X26" s="297">
        <f t="shared" si="6"/>
        <v>0.2638888888888889</v>
      </c>
      <c r="Y26" s="297">
        <f t="shared" si="7"/>
        <v>0</v>
      </c>
      <c r="Z26" s="472">
        <f t="shared" si="8"/>
        <v>60</v>
      </c>
    </row>
    <row r="27" spans="2:26" ht="16.5" customHeight="1">
      <c r="B27" s="33" t="s">
        <v>9</v>
      </c>
      <c r="C27" s="366" t="str">
        <f>[3]Brewhouse!$A167</f>
        <v>ST115</v>
      </c>
      <c r="D27" s="279">
        <f>[3]Brewhouse!$AB167</f>
        <v>53</v>
      </c>
      <c r="E27" s="279">
        <f>[3]Brewhouse!$AG167</f>
        <v>49.2</v>
      </c>
      <c r="F27" s="278">
        <f>[3]Brewhouse!$V167</f>
        <v>61</v>
      </c>
      <c r="G27" s="279">
        <f>[3]Brewhouse!$AE167</f>
        <v>11.9</v>
      </c>
      <c r="H27" s="396"/>
      <c r="I27" s="368">
        <f>[3]Brewhouse!$AS167</f>
        <v>99.224984415000222</v>
      </c>
      <c r="J27" s="368">
        <f>[3]Brewhouse!$AT167</f>
        <v>99.533812442379755</v>
      </c>
      <c r="K27" s="281">
        <f>[3]Brewhouse!$Q167</f>
        <v>12.028301886792454</v>
      </c>
      <c r="L27" s="276">
        <f>[3]Brewhouse!$P167</f>
        <v>61</v>
      </c>
      <c r="M27" s="374">
        <f>[3]Brewhouse!$U167-[3]Brewhouse!$T167</f>
        <v>0.11319444444444438</v>
      </c>
      <c r="N27" s="370">
        <f>[3]Brewhouse!$AW167</f>
        <v>0.31874999999999998</v>
      </c>
      <c r="O27" s="371" t="str">
        <f>[3]Brewhouse!$AV167</f>
        <v>K. Benjamin</v>
      </c>
      <c r="P27" s="418"/>
      <c r="R27" s="277" t="str">
        <f t="shared" si="9"/>
        <v>STAG</v>
      </c>
      <c r="S27" s="472">
        <f t="shared" si="1"/>
        <v>11.6</v>
      </c>
      <c r="T27" s="472">
        <f t="shared" si="2"/>
        <v>12</v>
      </c>
      <c r="U27" s="297">
        <f t="shared" si="3"/>
        <v>0</v>
      </c>
      <c r="V27" s="297">
        <f t="shared" si="4"/>
        <v>0.118055555555556</v>
      </c>
      <c r="W27" s="297">
        <f t="shared" si="5"/>
        <v>0.22569444444444445</v>
      </c>
      <c r="X27" s="297">
        <f t="shared" si="6"/>
        <v>0.2638888888888889</v>
      </c>
      <c r="Y27" s="297">
        <f t="shared" si="7"/>
        <v>0</v>
      </c>
      <c r="Z27" s="472">
        <f t="shared" si="8"/>
        <v>60</v>
      </c>
    </row>
    <row r="28" spans="2:26" ht="16.5" customHeight="1">
      <c r="B28" s="33" t="s">
        <v>9</v>
      </c>
      <c r="C28" s="366" t="str">
        <f>[3]Brewhouse!$A168</f>
        <v>ST116</v>
      </c>
      <c r="D28" s="279">
        <f>[3]Brewhouse!$AB168</f>
        <v>53</v>
      </c>
      <c r="E28" s="279">
        <f>[3]Brewhouse!$AG168</f>
        <v>50.1</v>
      </c>
      <c r="F28" s="278">
        <f>[3]Brewhouse!$V168</f>
        <v>63</v>
      </c>
      <c r="G28" s="279">
        <f>[3]Brewhouse!$AE168</f>
        <v>11.6</v>
      </c>
      <c r="H28" s="396"/>
      <c r="I28" s="368">
        <f>[3]Brewhouse!$AS168</f>
        <v>97.991392065284458</v>
      </c>
      <c r="J28" s="368">
        <f>[3]Brewhouse!$AT168</f>
        <v>98.296684223091745</v>
      </c>
      <c r="K28" s="281">
        <f>[3]Brewhouse!$Q168</f>
        <v>11.27358490566038</v>
      </c>
      <c r="L28" s="276">
        <f>[3]Brewhouse!$P168</f>
        <v>59</v>
      </c>
      <c r="M28" s="374">
        <f>[3]Brewhouse!$U168-[3]Brewhouse!$T168</f>
        <v>0.11319444444444438</v>
      </c>
      <c r="N28" s="370">
        <f>[3]Brewhouse!$AW168</f>
        <v>0.28402777777777766</v>
      </c>
      <c r="O28" s="371" t="str">
        <f>[3]Brewhouse!$AV168</f>
        <v>D. Gomaz</v>
      </c>
      <c r="P28" s="418"/>
      <c r="R28" s="277" t="str">
        <f t="shared" si="9"/>
        <v>STAG</v>
      </c>
      <c r="S28" s="472">
        <f t="shared" si="1"/>
        <v>11.6</v>
      </c>
      <c r="T28" s="472">
        <f t="shared" si="2"/>
        <v>12</v>
      </c>
      <c r="U28" s="297">
        <f t="shared" si="3"/>
        <v>0</v>
      </c>
      <c r="V28" s="297">
        <f t="shared" si="4"/>
        <v>0.118055555555556</v>
      </c>
      <c r="W28" s="297">
        <f t="shared" si="5"/>
        <v>0.22569444444444445</v>
      </c>
      <c r="X28" s="297">
        <f t="shared" si="6"/>
        <v>0.2638888888888889</v>
      </c>
      <c r="Y28" s="297">
        <f t="shared" si="7"/>
        <v>0</v>
      </c>
      <c r="Z28" s="472">
        <f t="shared" si="8"/>
        <v>60</v>
      </c>
    </row>
    <row r="29" spans="2:26" ht="16.5" customHeight="1">
      <c r="B29" s="33" t="s">
        <v>9</v>
      </c>
      <c r="C29" s="366" t="str">
        <f>[3]Brewhouse!$A169</f>
        <v>ST117</v>
      </c>
      <c r="D29" s="279">
        <f>[3]Brewhouse!$AB169</f>
        <v>53.1</v>
      </c>
      <c r="E29" s="279">
        <f>[3]Brewhouse!$AG169</f>
        <v>50.3</v>
      </c>
      <c r="F29" s="278">
        <f>[3]Brewhouse!$V169</f>
        <v>62</v>
      </c>
      <c r="G29" s="279">
        <f>[3]Brewhouse!$AE169</f>
        <v>11.6</v>
      </c>
      <c r="H29" s="396"/>
      <c r="I29" s="368">
        <f>[3]Brewhouse!$AS169</f>
        <v>98.754567210015793</v>
      </c>
      <c r="J29" s="368">
        <f>[3]Brewhouse!$AT169</f>
        <v>99.061931110005261</v>
      </c>
      <c r="K29" s="281">
        <f>[3]Brewhouse!$Q169</f>
        <v>12.570621468926548</v>
      </c>
      <c r="L29" s="276">
        <f>[3]Brewhouse!$P169</f>
        <v>61</v>
      </c>
      <c r="M29" s="374">
        <f>[3]Brewhouse!$U169-[3]Brewhouse!$T169</f>
        <v>0.11250000000000004</v>
      </c>
      <c r="N29" s="370">
        <f>[3]Brewhouse!$AW169</f>
        <v>0.24722222222222223</v>
      </c>
      <c r="O29" s="371" t="str">
        <f>[3]Brewhouse!$AV169</f>
        <v>D. Gomaz</v>
      </c>
      <c r="P29" s="418"/>
      <c r="R29" s="277" t="str">
        <f t="shared" si="9"/>
        <v>STAG</v>
      </c>
      <c r="S29" s="472">
        <f t="shared" si="1"/>
        <v>11.6</v>
      </c>
      <c r="T29" s="472">
        <f t="shared" si="2"/>
        <v>12</v>
      </c>
      <c r="U29" s="297">
        <f t="shared" si="3"/>
        <v>0</v>
      </c>
      <c r="V29" s="297">
        <f t="shared" si="4"/>
        <v>0.118055555555556</v>
      </c>
      <c r="W29" s="297">
        <f t="shared" si="5"/>
        <v>0.22569444444444445</v>
      </c>
      <c r="X29" s="297">
        <f t="shared" si="6"/>
        <v>0.2638888888888889</v>
      </c>
      <c r="Y29" s="297">
        <f t="shared" si="7"/>
        <v>0</v>
      </c>
      <c r="Z29" s="472">
        <f t="shared" si="8"/>
        <v>60</v>
      </c>
    </row>
    <row r="30" spans="2:26" ht="16.5" customHeight="1">
      <c r="B30" s="33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74"/>
      <c r="N30" s="370"/>
      <c r="O30" s="371"/>
      <c r="P30" s="418"/>
      <c r="R30" s="277">
        <f t="shared" ref="R30:R38" si="10">B30</f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2:26" ht="16.5" customHeight="1">
      <c r="B31" s="33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74"/>
      <c r="N31" s="370"/>
      <c r="O31" s="371"/>
      <c r="P31" s="418"/>
      <c r="R31" s="277">
        <f t="shared" si="1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2:26" ht="16.5" customHeight="1">
      <c r="B32" s="489">
        <v>46103</v>
      </c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420"/>
      <c r="P32" s="418"/>
      <c r="R32" s="277">
        <f t="shared" si="10"/>
        <v>46103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27" ht="16.5" customHeight="1">
      <c r="B33" s="37" t="s">
        <v>16</v>
      </c>
      <c r="C33" s="366" t="str">
        <f>[8]Brewhouse!$A33</f>
        <v>SM027</v>
      </c>
      <c r="D33" s="279">
        <f>[8]Brewhouse!$AH33</f>
        <v>53.1</v>
      </c>
      <c r="E33" s="279">
        <f>[8]Brewhouse!$AM33</f>
        <v>47.7</v>
      </c>
      <c r="F33" s="278">
        <f>[8]Brewhouse!$Z33</f>
        <v>96</v>
      </c>
      <c r="G33" s="279">
        <f>[8]Brewhouse!$AK33</f>
        <v>17.600000000000001</v>
      </c>
      <c r="H33" s="396"/>
      <c r="I33" s="368">
        <f>[8]Brewhouse!$AY33</f>
        <v>94.055682695670939</v>
      </c>
      <c r="J33" s="368">
        <f>[8]Brewhouse!$AZ33</f>
        <v>94.224119004046941</v>
      </c>
      <c r="K33" s="281">
        <f>[8]Brewhouse!$U33</f>
        <v>20.489642184557443</v>
      </c>
      <c r="L33" s="276">
        <f>[8]Brewhouse!$T33</f>
        <v>60</v>
      </c>
      <c r="M33" s="374">
        <f>[8]Brewhouse!$Y33-[8]Brewhouse!$X33</f>
        <v>0.15902777777777777</v>
      </c>
      <c r="N33" s="370">
        <f>[8]Brewhouse!$AD33</f>
        <v>0.32430555555555551</v>
      </c>
      <c r="O33" s="371" t="str">
        <f>[8]Brewhouse!$BC33</f>
        <v>D. Gomax</v>
      </c>
      <c r="P33" s="418"/>
      <c r="R33" s="277"/>
      <c r="S33" s="472"/>
      <c r="T33" s="472"/>
      <c r="U33" s="297"/>
      <c r="V33" s="297"/>
      <c r="W33" s="297"/>
      <c r="X33" s="297"/>
      <c r="Y33" s="297"/>
      <c r="Z33" s="472"/>
    </row>
    <row r="34" spans="1:27" ht="16.5" customHeight="1">
      <c r="B34" s="37" t="s">
        <v>16</v>
      </c>
      <c r="C34" s="366" t="str">
        <f>[8]Brewhouse!$A34</f>
        <v>SM028</v>
      </c>
      <c r="D34" s="279">
        <f>[8]Brewhouse!$AH34</f>
        <v>53</v>
      </c>
      <c r="E34" s="279">
        <f>[8]Brewhouse!$AM34</f>
        <v>51.1</v>
      </c>
      <c r="F34" s="278">
        <f>[8]Brewhouse!$Z34</f>
        <v>63</v>
      </c>
      <c r="G34" s="279">
        <f>[8]Brewhouse!$AK34</f>
        <v>17.5</v>
      </c>
      <c r="H34" s="396"/>
      <c r="I34" s="368">
        <f>[8]Brewhouse!$AY34</f>
        <v>98.909918997310143</v>
      </c>
      <c r="J34" s="368">
        <f>[8]Brewhouse!$AZ34</f>
        <v>99.089602776438056</v>
      </c>
      <c r="K34" s="281">
        <f>[8]Brewhouse!$U34</f>
        <v>14.301886792452839</v>
      </c>
      <c r="L34" s="276">
        <f>[8]Brewhouse!$T34</f>
        <v>60</v>
      </c>
      <c r="M34" s="374">
        <f>[8]Brewhouse!$Y34-[8]Brewhouse!$X34</f>
        <v>0.13402777777777775</v>
      </c>
      <c r="N34" s="370">
        <f>[8]Brewhouse!$AD34</f>
        <v>0.31805555555555554</v>
      </c>
      <c r="O34" s="371" t="str">
        <f>[8]Brewhouse!$BC34</f>
        <v>K. Benjamin</v>
      </c>
      <c r="P34" s="418"/>
      <c r="R34" s="277" t="str">
        <f>B34</f>
        <v>STARMALT</v>
      </c>
      <c r="S34" s="472">
        <f>VLOOKUP($B34,$R$3:$X$9,2,FALSE)</f>
        <v>17</v>
      </c>
      <c r="T34" s="472">
        <f>VLOOKUP($B34,$R$3:$X$9,3,FALSE)</f>
        <v>17.399999999999999</v>
      </c>
      <c r="U34" s="297">
        <f>VLOOKUP($B34,$R$3:$X$9,4,FALSE)</f>
        <v>0</v>
      </c>
      <c r="V34" s="297">
        <f>VLOOKUP($B34,$R$3:$X$9,5,FALSE)</f>
        <v>0.13605324074074074</v>
      </c>
      <c r="W34" s="297">
        <f>VLOOKUP($B34,$R$3:$X$9,6,FALSE)</f>
        <v>0.27430555555555552</v>
      </c>
      <c r="X34" s="297">
        <f>VLOOKUP($B34,$R$3:$X$9,7,FALSE)</f>
        <v>0.30902777777777779</v>
      </c>
      <c r="Y34" s="297">
        <f>VLOOKUP($B34,$R$3:$Z$9,8,FALSE)</f>
        <v>0</v>
      </c>
      <c r="Z34" s="472">
        <f>VLOOKUP($B34,$R$3:$Z$9,9,FALSE)</f>
        <v>85</v>
      </c>
    </row>
    <row r="35" spans="1:27" ht="16.5" customHeight="1">
      <c r="B35" s="37" t="s">
        <v>16</v>
      </c>
      <c r="C35" s="366" t="str">
        <f>[8]Brewhouse!$A35</f>
        <v>SM029</v>
      </c>
      <c r="D35" s="279">
        <f>[8]Brewhouse!$AH35</f>
        <v>53</v>
      </c>
      <c r="E35" s="279">
        <f>[8]Brewhouse!$AM35</f>
        <v>50.9</v>
      </c>
      <c r="F35" s="278">
        <f>[8]Brewhouse!$Z35</f>
        <v>65</v>
      </c>
      <c r="G35" s="279">
        <f>[8]Brewhouse!$AK35</f>
        <v>17.2</v>
      </c>
      <c r="H35" s="396"/>
      <c r="I35" s="368">
        <f>[8]Brewhouse!$AY35</f>
        <v>96.345839982665723</v>
      </c>
      <c r="J35" s="368">
        <f>[8]Brewhouse!$AZ35</f>
        <v>96.521681892437456</v>
      </c>
      <c r="K35" s="281">
        <f>[8]Brewhouse!$U35</f>
        <v>16.377358490566039</v>
      </c>
      <c r="L35" s="276">
        <f>[8]Brewhouse!$T35</f>
        <v>60</v>
      </c>
      <c r="M35" s="374">
        <f>[8]Brewhouse!$Y35-[8]Brewhouse!$X35</f>
        <v>0.13541666666666663</v>
      </c>
      <c r="N35" s="370">
        <f>[8]Brewhouse!$AD35</f>
        <v>0.30902777777777773</v>
      </c>
      <c r="O35" s="371" t="str">
        <f>[8]Brewhouse!$BC35</f>
        <v>K. Benjamin</v>
      </c>
      <c r="P35" s="418"/>
      <c r="R35" s="277" t="str">
        <f t="shared" si="10"/>
        <v>STARMALT</v>
      </c>
      <c r="S35" s="472">
        <f t="shared" si="1"/>
        <v>17</v>
      </c>
      <c r="T35" s="472">
        <f t="shared" si="2"/>
        <v>17.399999999999999</v>
      </c>
      <c r="U35" s="297">
        <f t="shared" si="3"/>
        <v>0</v>
      </c>
      <c r="V35" s="297">
        <f t="shared" si="4"/>
        <v>0.13605324074074074</v>
      </c>
      <c r="W35" s="297">
        <f t="shared" si="5"/>
        <v>0.27430555555555552</v>
      </c>
      <c r="X35" s="297">
        <f t="shared" si="6"/>
        <v>0.30902777777777779</v>
      </c>
      <c r="Y35" s="297">
        <f t="shared" si="7"/>
        <v>0</v>
      </c>
      <c r="Z35" s="472">
        <f t="shared" si="8"/>
        <v>85</v>
      </c>
    </row>
    <row r="36" spans="1:27" ht="16.5" customHeight="1">
      <c r="B36" s="37" t="s">
        <v>16</v>
      </c>
      <c r="C36" s="366" t="str">
        <f>[8]Brewhouse!$A36</f>
        <v>SM030</v>
      </c>
      <c r="D36" s="279">
        <f>[8]Brewhouse!$AH36</f>
        <v>53</v>
      </c>
      <c r="E36" s="279">
        <f>[8]Brewhouse!$AM36</f>
        <v>52.1</v>
      </c>
      <c r="F36" s="278">
        <f>[8]Brewhouse!$Z36</f>
        <v>65</v>
      </c>
      <c r="G36" s="279">
        <f>[8]Brewhouse!$AK36</f>
        <v>17.399999999999999</v>
      </c>
      <c r="H36" s="396"/>
      <c r="I36" s="368">
        <f>[8]Brewhouse!$AY36</f>
        <v>100.25295859815991</v>
      </c>
      <c r="J36" s="368">
        <f>[8]Brewhouse!$AZ36</f>
        <v>100.4350821976157</v>
      </c>
      <c r="K36" s="281">
        <f>[8]Brewhouse!$U36</f>
        <v>15.811320754716988</v>
      </c>
      <c r="L36" s="276">
        <f>[8]Brewhouse!$T36</f>
        <v>62</v>
      </c>
      <c r="M36" s="374">
        <f>[8]Brewhouse!$Y36-[8]Brewhouse!$X36</f>
        <v>0.13749999999999996</v>
      </c>
      <c r="N36" s="370">
        <f>[8]Brewhouse!$AD36</f>
        <v>0.30416666666666664</v>
      </c>
      <c r="O36" s="371" t="str">
        <f>[8]Brewhouse!$BC36</f>
        <v>K. Benjamin</v>
      </c>
      <c r="P36" s="418"/>
      <c r="R36" s="277" t="str">
        <f t="shared" si="10"/>
        <v>STARMALT</v>
      </c>
      <c r="S36" s="472">
        <f t="shared" si="1"/>
        <v>17</v>
      </c>
      <c r="T36" s="472">
        <f t="shared" si="2"/>
        <v>17.399999999999999</v>
      </c>
      <c r="U36" s="297">
        <f t="shared" si="3"/>
        <v>0</v>
      </c>
      <c r="V36" s="297">
        <f t="shared" si="4"/>
        <v>0.13605324074074074</v>
      </c>
      <c r="W36" s="297">
        <f t="shared" si="5"/>
        <v>0.27430555555555552</v>
      </c>
      <c r="X36" s="297">
        <f t="shared" si="6"/>
        <v>0.30902777777777779</v>
      </c>
      <c r="Y36" s="297">
        <f t="shared" si="7"/>
        <v>0</v>
      </c>
      <c r="Z36" s="472">
        <f t="shared" si="8"/>
        <v>85</v>
      </c>
    </row>
    <row r="37" spans="1:27" ht="16.5" customHeight="1">
      <c r="B37" s="37" t="s">
        <v>16</v>
      </c>
      <c r="C37" s="366" t="str">
        <f>[8]Brewhouse!$A37</f>
        <v>SM031</v>
      </c>
      <c r="D37" s="279">
        <f>[8]Brewhouse!$AH37</f>
        <v>53</v>
      </c>
      <c r="E37" s="279">
        <f>[8]Brewhouse!$AM37</f>
        <v>51.9</v>
      </c>
      <c r="F37" s="278">
        <f>[8]Brewhouse!$Z37</f>
        <v>65</v>
      </c>
      <c r="G37" s="279">
        <f>[8]Brewhouse!$AK37</f>
        <v>17.399999999999999</v>
      </c>
      <c r="H37" s="396"/>
      <c r="I37" s="368">
        <f>[8]Brewhouse!$AY37</f>
        <v>99.70768273648558</v>
      </c>
      <c r="J37" s="368">
        <f>[8]Brewhouse!$AZ37</f>
        <v>99.889154425528687</v>
      </c>
      <c r="K37" s="281">
        <f>[8]Brewhouse!$U37</f>
        <v>16.377358490566039</v>
      </c>
      <c r="L37" s="276">
        <f>[8]Brewhouse!$T37</f>
        <v>60</v>
      </c>
      <c r="M37" s="374">
        <f>[8]Brewhouse!$Y37-[8]Brewhouse!$X37</f>
        <v>0.14861111111111114</v>
      </c>
      <c r="N37" s="370">
        <f>[8]Brewhouse!$AD37</f>
        <v>0.3208333333333333</v>
      </c>
      <c r="O37" s="371" t="str">
        <f>[8]Brewhouse!$BC37</f>
        <v>K. Benjamin</v>
      </c>
      <c r="P37" s="418"/>
      <c r="R37" s="277" t="str">
        <f t="shared" si="10"/>
        <v>STARMALT</v>
      </c>
      <c r="S37" s="472">
        <f t="shared" si="1"/>
        <v>17</v>
      </c>
      <c r="T37" s="472">
        <f t="shared" si="2"/>
        <v>17.399999999999999</v>
      </c>
      <c r="U37" s="297">
        <f t="shared" si="3"/>
        <v>0</v>
      </c>
      <c r="V37" s="297">
        <f t="shared" si="4"/>
        <v>0.13605324074074074</v>
      </c>
      <c r="W37" s="297">
        <f t="shared" si="5"/>
        <v>0.27430555555555552</v>
      </c>
      <c r="X37" s="297">
        <f t="shared" si="6"/>
        <v>0.30902777777777779</v>
      </c>
      <c r="Y37" s="297">
        <f t="shared" si="7"/>
        <v>0</v>
      </c>
      <c r="Z37" s="472">
        <f t="shared" si="8"/>
        <v>85</v>
      </c>
    </row>
    <row r="38" spans="1:27" ht="15">
      <c r="B38" s="37" t="s">
        <v>16</v>
      </c>
      <c r="C38" s="366" t="str">
        <f>[8]Brewhouse!$A38</f>
        <v>SM032</v>
      </c>
      <c r="D38" s="279">
        <f>[8]Brewhouse!$AH38</f>
        <v>53</v>
      </c>
      <c r="E38" s="279">
        <f>[8]Brewhouse!$AM38</f>
        <v>52.3</v>
      </c>
      <c r="F38" s="278">
        <f>[8]Brewhouse!$Z38</f>
        <v>65</v>
      </c>
      <c r="G38" s="279">
        <f>[8]Brewhouse!$AK38</f>
        <v>17.100000000000001</v>
      </c>
      <c r="H38" s="396"/>
      <c r="I38" s="368">
        <f>[8]Brewhouse!$AY38</f>
        <v>98.878726432739867</v>
      </c>
      <c r="J38" s="368">
        <f>[8]Brewhouse!$AZ38</f>
        <v>99.058185219288532</v>
      </c>
      <c r="K38" s="281">
        <f>[8]Brewhouse!$U38</f>
        <v>15.433962264150944</v>
      </c>
      <c r="L38" s="276">
        <f>[8]Brewhouse!$T38</f>
        <v>60</v>
      </c>
      <c r="M38" s="374">
        <f>[8]Brewhouse!$Y38-[8]Brewhouse!$X38</f>
        <v>0.1333333333333333</v>
      </c>
      <c r="N38" s="370">
        <f>[8]Brewhouse!$AD38</f>
        <v>0.31319444444444444</v>
      </c>
      <c r="O38" s="371" t="str">
        <f>[8]Brewhouse!$BC38</f>
        <v>K. Benjamin</v>
      </c>
      <c r="P38" s="418"/>
      <c r="R38" s="277" t="str">
        <f t="shared" si="10"/>
        <v>STARMALT</v>
      </c>
      <c r="S38" s="472">
        <f t="shared" si="1"/>
        <v>17</v>
      </c>
      <c r="T38" s="472">
        <f t="shared" si="2"/>
        <v>17.399999999999999</v>
      </c>
      <c r="U38" s="297">
        <f t="shared" si="3"/>
        <v>0</v>
      </c>
      <c r="V38" s="297">
        <f t="shared" si="4"/>
        <v>0.13605324074074074</v>
      </c>
      <c r="W38" s="297">
        <f t="shared" si="5"/>
        <v>0.27430555555555552</v>
      </c>
      <c r="X38" s="297">
        <f t="shared" si="6"/>
        <v>0.30902777777777779</v>
      </c>
      <c r="Y38" s="297">
        <f t="shared" si="7"/>
        <v>0</v>
      </c>
      <c r="Z38" s="472">
        <f t="shared" si="8"/>
        <v>85</v>
      </c>
    </row>
    <row r="39" spans="1:27" ht="18" customHeight="1">
      <c r="B39" s="29"/>
      <c r="C39" s="366"/>
      <c r="D39" s="279"/>
      <c r="E39" s="279"/>
      <c r="F39" s="278"/>
      <c r="G39" s="279"/>
      <c r="H39" s="487"/>
      <c r="I39" s="368"/>
      <c r="J39" s="368"/>
      <c r="K39" s="281"/>
      <c r="L39" s="276"/>
      <c r="M39" s="374"/>
      <c r="N39" s="370"/>
      <c r="O39" s="371"/>
      <c r="P39" s="418"/>
      <c r="R39" s="277">
        <f t="shared" ref="R39:R45" si="11">B39</f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</row>
    <row r="40" spans="1:27" ht="16.5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371"/>
      <c r="P40" s="418"/>
      <c r="R40" s="277">
        <f t="shared" si="11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</row>
    <row r="41" spans="1:27" ht="15.75" customHeight="1" thickBot="1">
      <c r="B41" s="358"/>
      <c r="C41" s="358"/>
      <c r="D41" s="358"/>
      <c r="E41" s="358"/>
      <c r="F41" s="294"/>
      <c r="G41" s="294"/>
      <c r="H41" s="348"/>
      <c r="I41" s="512"/>
      <c r="J41" s="512"/>
      <c r="K41" s="512"/>
      <c r="L41" s="512"/>
      <c r="M41" s="512"/>
      <c r="N41" s="512"/>
      <c r="O41" s="1"/>
      <c r="P41" s="12"/>
      <c r="R41" s="277">
        <f t="shared" si="11"/>
        <v>0</v>
      </c>
      <c r="S41" s="472" t="e">
        <f t="shared" si="1"/>
        <v>#N/A</v>
      </c>
      <c r="T41" s="472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2" t="e">
        <f t="shared" si="8"/>
        <v>#N/A</v>
      </c>
    </row>
    <row r="42" spans="1:27" ht="15.75" customHeight="1" thickBot="1">
      <c r="B42" s="388" t="s">
        <v>162</v>
      </c>
      <c r="C42" s="388"/>
      <c r="D42" s="513" t="s">
        <v>35</v>
      </c>
      <c r="E42" s="514"/>
      <c r="F42" s="294"/>
      <c r="G42" s="294"/>
      <c r="H42" s="348"/>
      <c r="I42" s="24" t="s">
        <v>17</v>
      </c>
      <c r="J42" s="25"/>
      <c r="K42" s="26" t="s">
        <v>138</v>
      </c>
      <c r="L42" s="25" t="s">
        <v>37</v>
      </c>
      <c r="M42" s="25" t="s">
        <v>38</v>
      </c>
      <c r="N42" s="27" t="s">
        <v>39</v>
      </c>
      <c r="O42" s="294"/>
      <c r="P42" s="12"/>
      <c r="R42" s="277" t="str">
        <f t="shared" si="11"/>
        <v xml:space="preserve">BRAND </v>
      </c>
      <c r="S42" s="472" t="e">
        <f t="shared" si="1"/>
        <v>#N/A</v>
      </c>
      <c r="T42" s="472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472" t="e">
        <f t="shared" si="8"/>
        <v>#N/A</v>
      </c>
    </row>
    <row r="43" spans="1:27" ht="15" customHeight="1">
      <c r="A43" s="28"/>
      <c r="B43" s="515"/>
      <c r="C43" s="362"/>
      <c r="D43" s="518"/>
      <c r="E43" s="519"/>
      <c r="F43" s="294"/>
      <c r="G43" s="294"/>
      <c r="H43" s="348"/>
      <c r="I43" s="29" t="s">
        <v>6</v>
      </c>
      <c r="J43" s="323">
        <f>AVERAGE(I10:I14)</f>
        <v>97.944446970092315</v>
      </c>
      <c r="K43" s="284">
        <f>COUNTA([4]Brewhouse!$A$198:$A$267)</f>
        <v>70</v>
      </c>
      <c r="L43" s="305">
        <f>AVERAGE([4]Brewhouse!$AU$198:$AU$267)</f>
        <v>98.122193217682934</v>
      </c>
      <c r="M43" s="305">
        <f>AVERAGE([4]Brewhouse!$AU$42:$AU$123,[4]Brewhouse!$AU$125:$AU$188,[4]Brewhouse!$AU$198:$AU$267)</f>
        <v>97.766761680494795</v>
      </c>
      <c r="N43" s="30">
        <v>98</v>
      </c>
      <c r="O43" s="11"/>
      <c r="P43" s="31"/>
      <c r="R43" s="277">
        <f t="shared" si="11"/>
        <v>0</v>
      </c>
      <c r="S43" s="472" t="e">
        <f t="shared" si="1"/>
        <v>#N/A</v>
      </c>
      <c r="T43" s="472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472" t="e">
        <f t="shared" si="8"/>
        <v>#N/A</v>
      </c>
    </row>
    <row r="44" spans="1:27" ht="15" customHeight="1">
      <c r="A44" s="28"/>
      <c r="B44" s="516"/>
      <c r="C44" s="362"/>
      <c r="D44" s="520"/>
      <c r="E44" s="521"/>
      <c r="F44" s="294"/>
      <c r="G44" s="294"/>
      <c r="H44" s="348"/>
      <c r="I44" s="33" t="s">
        <v>9</v>
      </c>
      <c r="J44" s="280">
        <f>AVERAGE(I16:I20,I23:I29)</f>
        <v>99.034326029146868</v>
      </c>
      <c r="K44" s="284">
        <f>COUNTA([3]Brewhouse!$A$134:$A$169)</f>
        <v>36</v>
      </c>
      <c r="L44" s="302">
        <f>AVERAGE([3]Brewhouse!$AS$134:$AS$169)</f>
        <v>98.548334749686148</v>
      </c>
      <c r="M44" s="302">
        <f>AVERAGE([3]Brewhouse!$AS$52:$AS$81,[3]Brewhouse!$AS$83:$AS$124,[3]Brewhouse!$AS$134:$AS$169)</f>
        <v>98.393852349390286</v>
      </c>
      <c r="N44" s="30">
        <v>98</v>
      </c>
      <c r="O44" s="11"/>
      <c r="P44" s="31"/>
      <c r="R44" s="277">
        <f t="shared" si="11"/>
        <v>0</v>
      </c>
      <c r="S44" s="472" t="e">
        <f t="shared" si="1"/>
        <v>#N/A</v>
      </c>
      <c r="T44" s="472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472" t="e">
        <f t="shared" si="8"/>
        <v>#N/A</v>
      </c>
    </row>
    <row r="45" spans="1:27" ht="14.65" customHeight="1">
      <c r="A45" s="28"/>
      <c r="B45" s="516"/>
      <c r="C45" s="362"/>
      <c r="D45" s="522"/>
      <c r="E45" s="523"/>
      <c r="F45" s="294"/>
      <c r="G45" s="294"/>
      <c r="H45" s="348"/>
      <c r="I45" s="34" t="s">
        <v>12</v>
      </c>
      <c r="J45" s="280"/>
      <c r="K45" s="284">
        <f>COUNTA([5]Brewhouse!$A$34:$A$41)</f>
        <v>8</v>
      </c>
      <c r="L45" s="302">
        <f>AVERAGE([5]Brewhouse!$AU$34:$AU$41)</f>
        <v>94.762610859726223</v>
      </c>
      <c r="M45" s="302">
        <f>AVERAGE([5]Brewhouse!$AU$16:$AU$23,[5]Brewhouse!$AU$25:$AU$32,[5]Brewhouse!$AU$34:$AU$41)</f>
        <v>97.131453825415363</v>
      </c>
      <c r="N45" s="30">
        <v>98</v>
      </c>
      <c r="O45" s="11"/>
      <c r="P45" s="31"/>
      <c r="R45" s="277">
        <f t="shared" si="11"/>
        <v>0</v>
      </c>
      <c r="S45" s="472" t="e">
        <f t="shared" si="1"/>
        <v>#N/A</v>
      </c>
      <c r="T45" s="472" t="e">
        <f t="shared" si="2"/>
        <v>#N/A</v>
      </c>
      <c r="U45" s="297" t="e">
        <f t="shared" si="3"/>
        <v>#N/A</v>
      </c>
      <c r="V45" s="297" t="e">
        <f t="shared" si="4"/>
        <v>#N/A</v>
      </c>
      <c r="W45" s="297" t="e">
        <f t="shared" si="5"/>
        <v>#N/A</v>
      </c>
      <c r="X45" s="297" t="e">
        <f t="shared" si="6"/>
        <v>#N/A</v>
      </c>
      <c r="Y45" s="297" t="e">
        <f t="shared" si="7"/>
        <v>#N/A</v>
      </c>
      <c r="Z45" s="472" t="e">
        <f t="shared" si="8"/>
        <v>#N/A</v>
      </c>
    </row>
    <row r="46" spans="1:27" ht="14.65" customHeight="1">
      <c r="A46" s="28"/>
      <c r="B46" s="516"/>
      <c r="C46" s="362"/>
      <c r="D46" s="524"/>
      <c r="E46" s="521"/>
      <c r="F46" s="294"/>
      <c r="G46" s="294"/>
      <c r="H46" s="348"/>
      <c r="I46" s="22" t="s">
        <v>33</v>
      </c>
      <c r="J46" s="280"/>
      <c r="K46" s="284">
        <f>COUNTA([6]Brewhouse!$A$38:$A$44)</f>
        <v>7</v>
      </c>
      <c r="L46" s="302">
        <f>AVERAGE([6]Brewhouse!$AV$38:$AV$44)</f>
        <v>96.929916494140343</v>
      </c>
      <c r="M46" s="302">
        <f>AVERAGE([6]Brewhouse!$AV$23:$AV$34,[6]Brewhouse!$AV$36,[6]Brewhouse!$AV$38:$AV$44)</f>
        <v>97.74055230745536</v>
      </c>
      <c r="N46" s="30">
        <v>98</v>
      </c>
      <c r="O46" s="11"/>
      <c r="P46" s="31"/>
      <c r="R46" s="277">
        <f t="shared" ref="R46:R54" si="12">B46</f>
        <v>0</v>
      </c>
      <c r="S46" s="472" t="e">
        <f t="shared" si="1"/>
        <v>#N/A</v>
      </c>
      <c r="T46" s="472" t="e">
        <f t="shared" si="2"/>
        <v>#N/A</v>
      </c>
      <c r="U46" s="297" t="e">
        <f t="shared" si="3"/>
        <v>#N/A</v>
      </c>
      <c r="V46" s="297" t="e">
        <f t="shared" si="4"/>
        <v>#N/A</v>
      </c>
      <c r="W46" s="297" t="e">
        <f t="shared" si="5"/>
        <v>#N/A</v>
      </c>
      <c r="X46" s="297" t="e">
        <f t="shared" si="6"/>
        <v>#N/A</v>
      </c>
      <c r="Y46" s="297" t="e">
        <f t="shared" si="7"/>
        <v>#N/A</v>
      </c>
      <c r="Z46" s="472" t="e">
        <f t="shared" si="8"/>
        <v>#N/A</v>
      </c>
    </row>
    <row r="47" spans="1:27" ht="14.65" customHeight="1">
      <c r="A47" s="28"/>
      <c r="B47" s="516"/>
      <c r="C47" s="362"/>
      <c r="D47" s="522"/>
      <c r="E47" s="523"/>
      <c r="F47" s="417"/>
      <c r="G47" s="294"/>
      <c r="H47" s="348"/>
      <c r="I47" s="35" t="s">
        <v>29</v>
      </c>
      <c r="J47" s="280"/>
      <c r="K47" s="284"/>
      <c r="L47" s="302"/>
      <c r="M47" s="302"/>
      <c r="N47" s="30">
        <v>98</v>
      </c>
      <c r="O47" s="11"/>
      <c r="P47" s="31"/>
      <c r="R47" s="277">
        <f t="shared" si="12"/>
        <v>0</v>
      </c>
      <c r="S47" s="472" t="e">
        <f t="shared" si="1"/>
        <v>#N/A</v>
      </c>
      <c r="T47" s="472" t="e">
        <f t="shared" si="2"/>
        <v>#N/A</v>
      </c>
      <c r="U47" s="297" t="e">
        <f t="shared" si="3"/>
        <v>#N/A</v>
      </c>
      <c r="V47" s="297" t="e">
        <f t="shared" si="4"/>
        <v>#N/A</v>
      </c>
      <c r="W47" s="297" t="e">
        <f t="shared" si="5"/>
        <v>#N/A</v>
      </c>
      <c r="X47" s="297" t="e">
        <f t="shared" si="6"/>
        <v>#N/A</v>
      </c>
      <c r="Y47" s="297" t="e">
        <f t="shared" si="7"/>
        <v>#N/A</v>
      </c>
      <c r="Z47" s="472" t="e">
        <f t="shared" si="8"/>
        <v>#N/A</v>
      </c>
    </row>
    <row r="48" spans="1:27" ht="14.65" customHeight="1">
      <c r="A48" s="28"/>
      <c r="B48" s="516"/>
      <c r="C48" s="362"/>
      <c r="D48" s="524"/>
      <c r="E48" s="521"/>
      <c r="F48" s="417"/>
      <c r="G48" s="294"/>
      <c r="H48" s="348"/>
      <c r="I48" s="36" t="s">
        <v>15</v>
      </c>
      <c r="J48" s="323"/>
      <c r="K48" s="284"/>
      <c r="L48" s="302"/>
      <c r="M48" s="302">
        <f>AVERAGE([7]Brewhouse!$AT$4:$AT$11)</f>
        <v>92.826224508052405</v>
      </c>
      <c r="N48" s="30">
        <v>98</v>
      </c>
      <c r="O48" s="11"/>
      <c r="P48" s="31"/>
      <c r="R48" s="277">
        <f t="shared" si="12"/>
        <v>0</v>
      </c>
      <c r="S48" s="472" t="e">
        <f t="shared" si="1"/>
        <v>#N/A</v>
      </c>
      <c r="T48" s="472" t="e">
        <f t="shared" si="2"/>
        <v>#N/A</v>
      </c>
      <c r="U48" s="297" t="e">
        <f t="shared" si="3"/>
        <v>#N/A</v>
      </c>
      <c r="V48" s="297" t="e">
        <f t="shared" si="4"/>
        <v>#N/A</v>
      </c>
      <c r="W48" s="297" t="e">
        <f t="shared" si="5"/>
        <v>#N/A</v>
      </c>
      <c r="X48" s="297" t="e">
        <f t="shared" si="6"/>
        <v>#N/A</v>
      </c>
      <c r="Y48" s="297" t="e">
        <f t="shared" si="7"/>
        <v>#N/A</v>
      </c>
      <c r="Z48" s="472" t="e">
        <f t="shared" si="8"/>
        <v>#N/A</v>
      </c>
      <c r="AA48" s="472"/>
    </row>
    <row r="49" spans="1:56" ht="14.65" customHeight="1">
      <c r="A49" s="28"/>
      <c r="B49" s="516"/>
      <c r="C49" s="362"/>
      <c r="D49" s="522"/>
      <c r="E49" s="523"/>
      <c r="F49" s="417"/>
      <c r="G49" s="294"/>
      <c r="H49" s="348"/>
      <c r="I49" s="37" t="s">
        <v>16</v>
      </c>
      <c r="J49" s="323">
        <f>AVERAGE(I34:I38)</f>
        <v>98.819025349472241</v>
      </c>
      <c r="K49" s="284">
        <f>COUNTA([8]Brewhouse!$A$25:$A$39)</f>
        <v>15</v>
      </c>
      <c r="L49" s="302">
        <f>AVERAGE([8]Brewhouse!$AY$39)</f>
        <v>96.277512491508048</v>
      </c>
      <c r="M49" s="302">
        <f>AVERAGE([8]Brewhouse!$AY$5:$AY$14,[8]Brewhouse!$AY$16:$AY$23,[8]Brewhouse!$AY$39)</f>
        <v>97.240136082856438</v>
      </c>
      <c r="N49" s="30">
        <v>98</v>
      </c>
      <c r="O49" s="11"/>
      <c r="P49" s="31" t="s">
        <v>41</v>
      </c>
      <c r="R49" s="277">
        <f t="shared" si="12"/>
        <v>0</v>
      </c>
      <c r="S49" s="472" t="e">
        <f t="shared" si="1"/>
        <v>#N/A</v>
      </c>
      <c r="T49" s="472" t="e">
        <f t="shared" si="2"/>
        <v>#N/A</v>
      </c>
      <c r="U49" s="297" t="e">
        <f t="shared" si="3"/>
        <v>#N/A</v>
      </c>
      <c r="V49" s="297" t="e">
        <f t="shared" si="4"/>
        <v>#N/A</v>
      </c>
      <c r="W49" s="297" t="e">
        <f t="shared" si="5"/>
        <v>#N/A</v>
      </c>
      <c r="X49" s="297" t="e">
        <f t="shared" si="6"/>
        <v>#N/A</v>
      </c>
      <c r="Y49" s="297" t="e">
        <f t="shared" si="7"/>
        <v>#N/A</v>
      </c>
      <c r="Z49" s="472" t="e">
        <f t="shared" si="8"/>
        <v>#N/A</v>
      </c>
      <c r="AA49" s="472"/>
    </row>
    <row r="50" spans="1:56" ht="14.65" customHeight="1">
      <c r="A50" s="28"/>
      <c r="B50" s="516"/>
      <c r="C50" s="362"/>
      <c r="D50" s="524"/>
      <c r="E50" s="521"/>
      <c r="F50" s="294"/>
      <c r="G50" s="294"/>
      <c r="H50" s="348"/>
      <c r="I50" s="411" t="s">
        <v>158</v>
      </c>
      <c r="J50" s="326"/>
      <c r="K50" s="284"/>
      <c r="L50" s="305"/>
      <c r="M50" s="305"/>
      <c r="N50" s="30">
        <v>98</v>
      </c>
      <c r="O50" s="11"/>
      <c r="P50" s="31"/>
      <c r="R50" s="277">
        <f t="shared" si="12"/>
        <v>0</v>
      </c>
      <c r="S50" s="472" t="e">
        <f t="shared" si="1"/>
        <v>#N/A</v>
      </c>
      <c r="T50" s="472" t="e">
        <f t="shared" si="2"/>
        <v>#N/A</v>
      </c>
      <c r="U50" s="297" t="e">
        <f t="shared" si="3"/>
        <v>#N/A</v>
      </c>
      <c r="V50" s="297" t="e">
        <f t="shared" si="4"/>
        <v>#N/A</v>
      </c>
      <c r="W50" s="297" t="e">
        <f t="shared" si="5"/>
        <v>#N/A</v>
      </c>
      <c r="X50" s="297" t="e">
        <f t="shared" si="6"/>
        <v>#N/A</v>
      </c>
      <c r="Y50" s="297" t="e">
        <f t="shared" si="7"/>
        <v>#N/A</v>
      </c>
      <c r="Z50" s="472" t="e">
        <f t="shared" si="8"/>
        <v>#N/A</v>
      </c>
      <c r="AA50" s="472"/>
    </row>
    <row r="51" spans="1:56" ht="14.65" customHeight="1">
      <c r="A51" s="28"/>
      <c r="B51" s="516"/>
      <c r="C51" s="349"/>
      <c r="D51" s="522"/>
      <c r="E51" s="523"/>
      <c r="F51" s="294"/>
      <c r="G51" s="294"/>
      <c r="H51" s="348"/>
      <c r="I51" s="410" t="s">
        <v>157</v>
      </c>
      <c r="J51" s="326"/>
      <c r="K51" s="284"/>
      <c r="L51" s="305"/>
      <c r="M51" s="305"/>
      <c r="N51" s="30">
        <v>98</v>
      </c>
      <c r="O51" s="11"/>
      <c r="P51" s="31"/>
      <c r="R51" s="277">
        <f t="shared" si="12"/>
        <v>0</v>
      </c>
      <c r="S51" s="472" t="e">
        <f t="shared" si="1"/>
        <v>#N/A</v>
      </c>
      <c r="T51" s="472" t="e">
        <f t="shared" si="2"/>
        <v>#N/A</v>
      </c>
      <c r="U51" s="297" t="e">
        <f t="shared" si="3"/>
        <v>#N/A</v>
      </c>
      <c r="V51" s="297" t="e">
        <f t="shared" si="4"/>
        <v>#N/A</v>
      </c>
      <c r="W51" s="297" t="e">
        <f t="shared" si="5"/>
        <v>#N/A</v>
      </c>
      <c r="X51" s="297" t="e">
        <f t="shared" si="6"/>
        <v>#N/A</v>
      </c>
      <c r="Y51" s="297" t="e">
        <f t="shared" si="7"/>
        <v>#N/A</v>
      </c>
      <c r="Z51" s="472" t="e">
        <f t="shared" si="8"/>
        <v>#N/A</v>
      </c>
      <c r="AA51" s="472"/>
    </row>
    <row r="52" spans="1:56" ht="15" customHeight="1" thickBot="1">
      <c r="A52" s="28"/>
      <c r="B52" s="516"/>
      <c r="C52" s="349"/>
      <c r="D52" s="524"/>
      <c r="E52" s="521"/>
      <c r="F52" s="294"/>
      <c r="G52" s="294"/>
      <c r="H52" s="348"/>
      <c r="I52" s="406" t="s">
        <v>156</v>
      </c>
      <c r="J52" s="327"/>
      <c r="K52" s="407"/>
      <c r="L52" s="408"/>
      <c r="M52" s="408"/>
      <c r="N52" s="409">
        <v>98</v>
      </c>
      <c r="O52" s="11"/>
      <c r="P52" s="31"/>
      <c r="R52" s="277">
        <f t="shared" si="12"/>
        <v>0</v>
      </c>
      <c r="S52" s="472" t="e">
        <f t="shared" si="1"/>
        <v>#N/A</v>
      </c>
      <c r="T52" s="472" t="e">
        <f t="shared" si="2"/>
        <v>#N/A</v>
      </c>
      <c r="U52" s="297" t="e">
        <f t="shared" si="3"/>
        <v>#N/A</v>
      </c>
      <c r="V52" s="297" t="e">
        <f t="shared" si="4"/>
        <v>#N/A</v>
      </c>
      <c r="W52" s="297" t="e">
        <f t="shared" si="5"/>
        <v>#N/A</v>
      </c>
      <c r="X52" s="297" t="e">
        <f t="shared" si="6"/>
        <v>#N/A</v>
      </c>
      <c r="Y52" s="297" t="e">
        <f t="shared" si="7"/>
        <v>#N/A</v>
      </c>
      <c r="Z52" s="472" t="e">
        <f t="shared" si="8"/>
        <v>#N/A</v>
      </c>
      <c r="AA52" s="472"/>
    </row>
    <row r="53" spans="1:56" ht="15" customHeight="1" thickBot="1">
      <c r="A53" s="28"/>
      <c r="B53" s="516"/>
      <c r="C53" s="349"/>
      <c r="D53" s="518"/>
      <c r="E53" s="519"/>
      <c r="F53" s="294"/>
      <c r="G53" s="294"/>
      <c r="H53" s="348"/>
      <c r="I53" s="1"/>
      <c r="J53" s="39"/>
      <c r="K53" s="404">
        <f>SUM(K43:K52)</f>
        <v>136</v>
      </c>
      <c r="L53" s="405">
        <f>((L43*K43)+(L44*K44)+(L45*K45)+(L46*K46)+(L47*K47)+(K50*L50)+(L48*K48)+(L49*K49)+(L52*K52))/(K53)</f>
        <v>97.772548278940576</v>
      </c>
      <c r="M53" s="405">
        <f>AVERAGE('[9]Jan30th-31st'!$L$42,L53)</f>
        <v>97.800295007391014</v>
      </c>
      <c r="N53" s="40">
        <v>98</v>
      </c>
      <c r="O53" s="11"/>
      <c r="P53" s="31"/>
      <c r="R53" s="277">
        <f t="shared" si="12"/>
        <v>0</v>
      </c>
      <c r="S53" s="472" t="e">
        <f t="shared" si="1"/>
        <v>#N/A</v>
      </c>
      <c r="T53" s="472" t="e">
        <f t="shared" si="2"/>
        <v>#N/A</v>
      </c>
      <c r="U53" s="297" t="e">
        <f t="shared" si="3"/>
        <v>#N/A</v>
      </c>
      <c r="V53" s="297" t="e">
        <f t="shared" si="4"/>
        <v>#N/A</v>
      </c>
      <c r="W53" s="297" t="e">
        <f t="shared" si="5"/>
        <v>#N/A</v>
      </c>
      <c r="X53" s="297" t="e">
        <f t="shared" si="6"/>
        <v>#N/A</v>
      </c>
      <c r="Y53" s="297" t="e">
        <f t="shared" si="7"/>
        <v>#N/A</v>
      </c>
      <c r="Z53" s="472" t="e">
        <f t="shared" si="8"/>
        <v>#N/A</v>
      </c>
      <c r="AA53" s="472"/>
    </row>
    <row r="54" spans="1:56" ht="15.75" thickBot="1">
      <c r="B54" s="517"/>
      <c r="C54" s="350"/>
      <c r="D54" s="520"/>
      <c r="E54" s="521"/>
      <c r="F54" s="294"/>
      <c r="G54" s="42"/>
      <c r="H54" s="41"/>
      <c r="I54" s="42"/>
      <c r="J54" s="42"/>
      <c r="K54" s="351"/>
      <c r="L54" s="348"/>
      <c r="M54" s="348"/>
      <c r="N54" s="11"/>
      <c r="O54" s="294"/>
      <c r="P54" s="12"/>
      <c r="R54" s="277">
        <f t="shared" si="12"/>
        <v>0</v>
      </c>
      <c r="S54" s="472" t="e">
        <f t="shared" si="1"/>
        <v>#N/A</v>
      </c>
      <c r="T54" s="472" t="e">
        <f t="shared" si="2"/>
        <v>#N/A</v>
      </c>
      <c r="U54" s="297" t="e">
        <f t="shared" si="3"/>
        <v>#N/A</v>
      </c>
      <c r="V54" s="297" t="e">
        <f t="shared" si="4"/>
        <v>#N/A</v>
      </c>
      <c r="W54" s="297" t="e">
        <f t="shared" si="5"/>
        <v>#N/A</v>
      </c>
      <c r="X54" s="297" t="e">
        <f t="shared" si="6"/>
        <v>#N/A</v>
      </c>
      <c r="Y54" s="297" t="e">
        <f t="shared" si="7"/>
        <v>#N/A</v>
      </c>
      <c r="Z54" s="472" t="e">
        <f t="shared" si="8"/>
        <v>#N/A</v>
      </c>
      <c r="AA54" s="472"/>
    </row>
    <row r="55" spans="1:56" ht="15.75" thickBot="1">
      <c r="B55" s="525"/>
      <c r="C55" s="362"/>
      <c r="D55" s="528"/>
      <c r="E55" s="529"/>
      <c r="F55" s="294"/>
      <c r="G55" s="42"/>
      <c r="H55" s="41"/>
      <c r="I55" s="42"/>
      <c r="J55" s="530" t="s">
        <v>129</v>
      </c>
      <c r="K55" s="530"/>
      <c r="L55" s="294"/>
      <c r="M55" s="294"/>
      <c r="N55" s="294"/>
      <c r="O55" s="294"/>
      <c r="P55" s="12"/>
    </row>
    <row r="56" spans="1:56" ht="15.75" thickBot="1">
      <c r="B56" s="526"/>
      <c r="C56" s="362"/>
      <c r="D56" s="524"/>
      <c r="E56" s="521"/>
      <c r="F56" s="294"/>
      <c r="G56" s="42"/>
      <c r="H56" s="292" t="s">
        <v>17</v>
      </c>
      <c r="I56" s="293" t="s">
        <v>194</v>
      </c>
      <c r="J56" s="293" t="s">
        <v>195</v>
      </c>
      <c r="K56" s="293" t="s">
        <v>196</v>
      </c>
      <c r="L56" s="531" t="s">
        <v>136</v>
      </c>
      <c r="M56" s="531"/>
      <c r="N56" s="532"/>
      <c r="O56" s="294"/>
      <c r="P56" s="12"/>
    </row>
    <row r="57" spans="1:56" ht="15" customHeight="1" thickBot="1">
      <c r="B57" s="526"/>
      <c r="C57" s="349"/>
      <c r="D57" s="522"/>
      <c r="E57" s="523"/>
      <c r="F57" s="294"/>
      <c r="G57" s="42"/>
      <c r="H57" s="287" t="s">
        <v>6</v>
      </c>
      <c r="I57" s="324">
        <v>5</v>
      </c>
      <c r="J57" s="324"/>
      <c r="K57" s="324"/>
      <c r="L57" s="473" t="s">
        <v>37</v>
      </c>
      <c r="M57" s="474" t="s">
        <v>38</v>
      </c>
      <c r="N57" s="474" t="s">
        <v>84</v>
      </c>
      <c r="O57" s="294"/>
      <c r="P57" s="12"/>
    </row>
    <row r="58" spans="1:56" ht="15.75" customHeight="1" thickBot="1">
      <c r="B58" s="526"/>
      <c r="C58" s="349"/>
      <c r="D58" s="524"/>
      <c r="E58" s="521"/>
      <c r="F58" s="294"/>
      <c r="G58" s="42"/>
      <c r="H58" s="345" t="s">
        <v>9</v>
      </c>
      <c r="I58" s="324">
        <v>5</v>
      </c>
      <c r="J58" s="324">
        <v>7</v>
      </c>
      <c r="K58" s="324"/>
      <c r="L58" s="344">
        <f>AVERAGE(K67,'Mar 2nd'!K49,'Mar 1st'!K55,'Mar 3rd'!K49,'Mar 4th'!K51,'Mar 5th'!K52,'Mar 6th '!K49,'Mar 9th'!K53,'Mar 10th'!K47,'Mar 11th'!K50,'Mar 12th'!K51,'Mar 13th-15th'!J73,'Mar 13th-15th'!I73,'Mar 16th'!K58,'Mar 18th'!K55,J67,I67,'Mar 19th'!K52)</f>
        <v>7.3888888888888893</v>
      </c>
      <c r="M58" s="325">
        <f>AVERAGE('[9]Jan30th-31st'!$L$47,L58,'[10]Feb 26th '!$L$39)</f>
        <v>6.525281803542673</v>
      </c>
      <c r="N58" s="416">
        <v>9.1999999999999993</v>
      </c>
      <c r="O58" s="294"/>
      <c r="P58" s="12"/>
    </row>
    <row r="59" spans="1:56" ht="15" customHeight="1">
      <c r="B59" s="526"/>
      <c r="C59" s="349"/>
      <c r="D59" s="522"/>
      <c r="E59" s="523"/>
      <c r="F59" s="294"/>
      <c r="G59" s="42"/>
      <c r="H59" s="288" t="s">
        <v>40</v>
      </c>
      <c r="I59" s="324"/>
      <c r="J59" s="324"/>
      <c r="K59" s="324"/>
      <c r="L59" s="294"/>
      <c r="M59" s="294"/>
      <c r="N59" s="294"/>
      <c r="O59" s="294"/>
      <c r="P59" s="12"/>
    </row>
    <row r="60" spans="1:56" ht="15" customHeight="1">
      <c r="B60" s="526"/>
      <c r="C60" s="349"/>
      <c r="D60" s="524"/>
      <c r="E60" s="521"/>
      <c r="F60" s="294"/>
      <c r="G60" s="42"/>
      <c r="H60" s="289" t="s">
        <v>33</v>
      </c>
      <c r="I60" s="324"/>
      <c r="J60" s="324"/>
      <c r="K60" s="324"/>
      <c r="L60" s="294"/>
      <c r="M60" s="294"/>
      <c r="N60" s="294"/>
      <c r="O60" s="294"/>
      <c r="P60" s="12"/>
    </row>
    <row r="61" spans="1:56" ht="15">
      <c r="B61" s="526"/>
      <c r="C61" s="349"/>
      <c r="D61" s="522"/>
      <c r="E61" s="523"/>
      <c r="F61" s="294"/>
      <c r="G61" s="42"/>
      <c r="H61" s="290" t="s">
        <v>16</v>
      </c>
      <c r="I61" s="324"/>
      <c r="J61" s="324"/>
      <c r="K61" s="324">
        <v>6</v>
      </c>
      <c r="L61" s="294"/>
      <c r="M61" s="294"/>
      <c r="N61" s="294"/>
      <c r="O61" s="294"/>
      <c r="P61" s="12"/>
      <c r="BC61" s="44"/>
      <c r="BD61" s="44"/>
    </row>
    <row r="62" spans="1:56" ht="15">
      <c r="B62" s="526"/>
      <c r="C62" s="349"/>
      <c r="D62" s="524"/>
      <c r="E62" s="521"/>
      <c r="F62" s="294"/>
      <c r="G62" s="42"/>
      <c r="H62" s="291" t="s">
        <v>15</v>
      </c>
      <c r="I62" s="324"/>
      <c r="J62" s="324"/>
      <c r="K62" s="324"/>
      <c r="L62" s="294"/>
      <c r="M62" s="294"/>
      <c r="N62" s="294"/>
      <c r="O62" s="294"/>
      <c r="P62" s="12"/>
      <c r="BC62" s="44"/>
      <c r="BD62" s="44"/>
    </row>
    <row r="63" spans="1:56" ht="15">
      <c r="B63" s="526"/>
      <c r="C63" s="349"/>
      <c r="D63" s="522"/>
      <c r="E63" s="523"/>
      <c r="F63" s="294"/>
      <c r="G63" s="42"/>
      <c r="H63" s="291" t="s">
        <v>149</v>
      </c>
      <c r="I63" s="324"/>
      <c r="J63" s="324"/>
      <c r="K63" s="324"/>
      <c r="L63" s="294"/>
      <c r="M63" s="294"/>
      <c r="N63" s="294"/>
      <c r="O63" s="294"/>
      <c r="P63" s="12"/>
      <c r="BC63" s="44"/>
      <c r="BD63" s="44"/>
    </row>
    <row r="64" spans="1:56" ht="15.75" thickBot="1">
      <c r="B64" s="527"/>
      <c r="C64" s="350"/>
      <c r="D64" s="533"/>
      <c r="E64" s="534"/>
      <c r="F64" s="294" t="s">
        <v>166</v>
      </c>
      <c r="G64" s="42"/>
      <c r="H64" s="291" t="s">
        <v>148</v>
      </c>
      <c r="I64" s="324"/>
      <c r="J64" s="324"/>
      <c r="K64" s="324"/>
      <c r="L64" s="294"/>
      <c r="M64" s="294"/>
      <c r="N64" s="294" t="s">
        <v>41</v>
      </c>
      <c r="O64" s="294"/>
      <c r="P64" s="12"/>
      <c r="BC64" s="44"/>
      <c r="BD64" s="44"/>
    </row>
    <row r="65" spans="1:57" ht="17.649999999999999" customHeight="1" thickBot="1">
      <c r="B65" s="312" t="s">
        <v>139</v>
      </c>
      <c r="C65" s="313"/>
      <c r="D65" s="535"/>
      <c r="E65" s="536"/>
      <c r="F65" s="294"/>
      <c r="H65" s="295" t="s">
        <v>134</v>
      </c>
      <c r="I65" s="324"/>
      <c r="J65" s="324"/>
      <c r="K65" s="324"/>
      <c r="L65" s="294"/>
      <c r="M65" s="294"/>
      <c r="N65" s="294"/>
      <c r="O65" s="294"/>
      <c r="P65" s="12"/>
      <c r="BC65" s="44"/>
      <c r="BD65" s="44"/>
    </row>
    <row r="66" spans="1:57" ht="17.649999999999999" customHeight="1">
      <c r="B66" s="363"/>
      <c r="C66" s="364"/>
      <c r="D66" s="365"/>
      <c r="E66" s="365"/>
      <c r="F66" s="294"/>
      <c r="G66" s="42"/>
      <c r="H66" s="295" t="s">
        <v>131</v>
      </c>
      <c r="I66" s="324"/>
      <c r="J66" s="324"/>
      <c r="K66" s="324"/>
      <c r="L66" s="294"/>
      <c r="M66" s="294"/>
      <c r="N66" s="294"/>
      <c r="O66" s="294"/>
      <c r="P66" s="12"/>
      <c r="BC66" s="44"/>
      <c r="BD66" s="44"/>
    </row>
    <row r="67" spans="1:57" ht="15.6" customHeight="1">
      <c r="B67" s="45"/>
      <c r="C67" s="11"/>
      <c r="D67" s="11"/>
      <c r="E67" s="46"/>
      <c r="F67" s="294"/>
      <c r="G67" s="42"/>
      <c r="H67" s="346" t="s">
        <v>130</v>
      </c>
      <c r="I67" s="324">
        <f t="shared" ref="I67:J67" si="13">SUM(I57:I66)</f>
        <v>10</v>
      </c>
      <c r="J67" s="324">
        <f t="shared" si="13"/>
        <v>7</v>
      </c>
      <c r="K67" s="324">
        <f>SUM(K57:K66)</f>
        <v>6</v>
      </c>
      <c r="L67" s="294"/>
      <c r="M67" s="294"/>
      <c r="N67" s="294"/>
      <c r="O67" s="294"/>
      <c r="P67" s="12"/>
    </row>
    <row r="68" spans="1:57" ht="20.25" customHeight="1">
      <c r="B68" s="15" t="s">
        <v>42</v>
      </c>
      <c r="C68" s="1" t="s">
        <v>43</v>
      </c>
      <c r="D68" s="1"/>
      <c r="E68" s="1"/>
      <c r="F68" s="294"/>
      <c r="G68" s="42"/>
      <c r="H68" s="41"/>
      <c r="I68" s="42"/>
      <c r="L68" s="294"/>
      <c r="N68" s="315"/>
      <c r="P68" s="334"/>
    </row>
    <row r="69" spans="1:57" ht="15" customHeight="1" thickBot="1"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1"/>
      <c r="O69" s="48"/>
      <c r="P69" s="49"/>
    </row>
    <row r="70" spans="1:57" ht="15" customHeight="1" thickBot="1">
      <c r="B70" s="537" t="s">
        <v>17</v>
      </c>
      <c r="C70" s="537" t="s">
        <v>44</v>
      </c>
      <c r="D70" s="540" t="s">
        <v>45</v>
      </c>
      <c r="E70" s="501" t="s">
        <v>46</v>
      </c>
      <c r="F70" s="510" t="s">
        <v>47</v>
      </c>
      <c r="G70" s="549" t="s">
        <v>48</v>
      </c>
      <c r="H70" s="537" t="s">
        <v>49</v>
      </c>
      <c r="I70" s="537" t="s">
        <v>50</v>
      </c>
      <c r="J70" s="543" t="s">
        <v>28</v>
      </c>
      <c r="K70" s="499" t="s">
        <v>51</v>
      </c>
      <c r="L70" s="552" t="s">
        <v>52</v>
      </c>
      <c r="M70" s="543" t="s">
        <v>53</v>
      </c>
      <c r="N70" s="13"/>
      <c r="O70" s="13"/>
      <c r="P70" s="50"/>
    </row>
    <row r="71" spans="1:57" ht="28.5" customHeight="1" thickTop="1" thickBot="1">
      <c r="B71" s="538"/>
      <c r="C71" s="539"/>
      <c r="D71" s="541"/>
      <c r="E71" s="542"/>
      <c r="F71" s="554"/>
      <c r="G71" s="550"/>
      <c r="H71" s="538"/>
      <c r="I71" s="538"/>
      <c r="J71" s="544"/>
      <c r="K71" s="551"/>
      <c r="L71" s="553"/>
      <c r="M71" s="544"/>
      <c r="N71" s="13"/>
      <c r="O71" s="13"/>
      <c r="P71" s="50"/>
      <c r="Q71" s="355"/>
      <c r="AB71" s="475">
        <v>43474</v>
      </c>
      <c r="AC71" s="475">
        <v>43475</v>
      </c>
      <c r="AD71" s="475">
        <v>43476</v>
      </c>
      <c r="AE71" s="475">
        <v>43477</v>
      </c>
      <c r="AF71" s="475">
        <v>43478</v>
      </c>
      <c r="AG71" s="475">
        <v>43479</v>
      </c>
      <c r="AH71" s="475">
        <v>43480</v>
      </c>
      <c r="AI71" s="475">
        <v>43481</v>
      </c>
      <c r="AJ71" s="475">
        <v>43482</v>
      </c>
      <c r="AK71" s="475">
        <v>43483</v>
      </c>
      <c r="AL71" s="475">
        <v>43484</v>
      </c>
      <c r="AM71" s="475">
        <v>43485</v>
      </c>
      <c r="AN71" s="475">
        <v>43486</v>
      </c>
      <c r="AO71" s="475">
        <v>43487</v>
      </c>
      <c r="AP71" s="475">
        <v>43488</v>
      </c>
      <c r="AQ71" s="475">
        <v>43489</v>
      </c>
      <c r="AR71" s="475">
        <v>43490</v>
      </c>
      <c r="AS71" s="475">
        <v>43491</v>
      </c>
      <c r="AT71" s="475">
        <v>43492</v>
      </c>
      <c r="AU71" s="475">
        <v>43493</v>
      </c>
      <c r="AV71" s="475">
        <v>43494</v>
      </c>
      <c r="AW71" s="475">
        <v>43495</v>
      </c>
      <c r="AX71" s="475">
        <v>43496</v>
      </c>
    </row>
    <row r="72" spans="1:57" s="54" customFormat="1" ht="36.75" customHeight="1" thickBot="1">
      <c r="B72" s="480" t="str">
        <f>I43</f>
        <v>CARIB</v>
      </c>
      <c r="C72" s="479">
        <v>46101</v>
      </c>
      <c r="D72" s="442">
        <f>[11]March_2026!$V$3</f>
        <v>989.39999999999975</v>
      </c>
      <c r="E72" s="443"/>
      <c r="F72" s="444"/>
      <c r="G72" s="445">
        <f>[11]March_2026!$V$7</f>
        <v>926.2</v>
      </c>
      <c r="H72" s="458"/>
      <c r="I72" s="458"/>
      <c r="J72" s="448" t="s">
        <v>199</v>
      </c>
      <c r="K72" s="449">
        <f>[13]March_2026!$V$18</f>
        <v>0.4062280701754386</v>
      </c>
      <c r="L72" s="457">
        <f>(((D72+E72)-G72)/(D72+E72))*100</f>
        <v>6.3877097230644555</v>
      </c>
      <c r="M72" s="455" t="s">
        <v>182</v>
      </c>
      <c r="N72" s="13"/>
      <c r="O72" s="13"/>
      <c r="P72" s="50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57">
        <f>[14]January_2019!L5</f>
        <v>0</v>
      </c>
      <c r="AC72" s="57">
        <f>[14]January_2019!M5</f>
        <v>0</v>
      </c>
      <c r="AD72" s="57">
        <f>[14]January_2019!N5</f>
        <v>0</v>
      </c>
      <c r="AE72" s="57">
        <f>[14]January_2019!O5</f>
        <v>0</v>
      </c>
      <c r="AF72" s="57">
        <f>[14]January_2019!P5</f>
        <v>0</v>
      </c>
      <c r="AG72" s="57">
        <f>[14]January_2019!Q5</f>
        <v>0</v>
      </c>
      <c r="AH72" s="57">
        <f>[14]January_2019!R5</f>
        <v>0</v>
      </c>
      <c r="AI72" s="57">
        <f>[14]January_2019!S5</f>
        <v>0</v>
      </c>
      <c r="AJ72" s="57">
        <f>[14]January_2019!T5</f>
        <v>0</v>
      </c>
      <c r="AK72" s="57">
        <f>[14]January_2019!U5</f>
        <v>0</v>
      </c>
      <c r="AL72" s="57">
        <f>[14]January_2019!V5</f>
        <v>0</v>
      </c>
      <c r="AM72" s="57">
        <f>[14]January_2019!W5</f>
        <v>0</v>
      </c>
      <c r="AN72" s="57">
        <f>[14]January_2019!X5</f>
        <v>0</v>
      </c>
      <c r="AO72" s="57">
        <f>[14]January_2019!Y5</f>
        <v>0</v>
      </c>
      <c r="AP72" s="57">
        <f>[14]January_2019!Z5</f>
        <v>0</v>
      </c>
      <c r="AQ72" s="57">
        <f>[14]January_2019!AA5</f>
        <v>0</v>
      </c>
      <c r="AR72" s="57">
        <f>[14]January_2019!AB5</f>
        <v>0</v>
      </c>
      <c r="AS72" s="57">
        <f>[14]January_2019!AC5</f>
        <v>0</v>
      </c>
      <c r="AT72" s="57">
        <f>[14]January_2019!AD5</f>
        <v>0</v>
      </c>
      <c r="AU72" s="57">
        <f>[14]January_2019!AE5</f>
        <v>0</v>
      </c>
      <c r="AV72" s="57">
        <f>[14]January_2019!AF5</f>
        <v>0</v>
      </c>
      <c r="AW72" s="57">
        <f>[14]January_2019!AG5</f>
        <v>0</v>
      </c>
      <c r="AX72" s="277">
        <f>[14]January_2019!AH5</f>
        <v>0</v>
      </c>
      <c r="AY72" s="277"/>
      <c r="AZ72" s="277"/>
      <c r="BA72" s="277"/>
      <c r="BB72" s="277"/>
      <c r="BC72" s="277"/>
      <c r="BD72" s="277"/>
      <c r="BE72" s="277"/>
    </row>
    <row r="73" spans="1:57" s="54" customFormat="1" ht="36.75" hidden="1" customHeight="1" thickBot="1">
      <c r="B73" s="480"/>
      <c r="C73" s="479"/>
      <c r="D73" s="442"/>
      <c r="E73" s="443"/>
      <c r="F73" s="444"/>
      <c r="G73" s="445"/>
      <c r="H73" s="458"/>
      <c r="I73" s="458"/>
      <c r="J73" s="448"/>
      <c r="K73" s="449"/>
      <c r="L73" s="457"/>
      <c r="M73" s="455"/>
      <c r="N73" s="13"/>
      <c r="O73" s="13"/>
      <c r="P73" s="50"/>
      <c r="R73" s="275"/>
      <c r="S73" s="275"/>
      <c r="T73" s="275"/>
      <c r="U73" s="275"/>
      <c r="V73" s="275"/>
      <c r="W73" s="275"/>
      <c r="X73" s="275"/>
      <c r="Y73" s="275"/>
      <c r="Z73" s="275"/>
      <c r="AA73" s="275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277"/>
      <c r="AY73" s="277"/>
      <c r="AZ73" s="277"/>
      <c r="BA73" s="277"/>
      <c r="BB73" s="277"/>
      <c r="BC73" s="277"/>
      <c r="BD73" s="277"/>
      <c r="BE73" s="277"/>
    </row>
    <row r="74" spans="1:57" s="54" customFormat="1" ht="13.5" customHeight="1" thickBot="1">
      <c r="B74" s="480"/>
      <c r="C74" s="479"/>
      <c r="D74" s="442"/>
      <c r="E74" s="443"/>
      <c r="F74" s="444"/>
      <c r="G74" s="445"/>
      <c r="H74" s="458"/>
      <c r="I74" s="458"/>
      <c r="J74" s="476"/>
      <c r="K74" s="449"/>
      <c r="L74" s="457"/>
      <c r="M74" s="455"/>
      <c r="N74" s="13"/>
      <c r="O74" s="13"/>
      <c r="P74" s="50"/>
      <c r="R74" s="275"/>
      <c r="S74" s="275"/>
      <c r="T74" s="275"/>
      <c r="U74" s="275"/>
      <c r="V74" s="275"/>
      <c r="W74" s="275"/>
      <c r="X74" s="275"/>
      <c r="Y74" s="275"/>
      <c r="Z74" s="275"/>
      <c r="AA74" s="275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277"/>
      <c r="AY74" s="277"/>
      <c r="AZ74" s="277"/>
      <c r="BA74" s="277"/>
      <c r="BB74" s="277"/>
      <c r="BC74" s="277"/>
      <c r="BD74" s="277"/>
      <c r="BE74" s="277"/>
    </row>
    <row r="75" spans="1:57" s="54" customFormat="1" ht="36.75" customHeight="1" thickBot="1">
      <c r="B75" s="484" t="str">
        <f>H58</f>
        <v>STAG</v>
      </c>
      <c r="C75" s="479">
        <v>46101</v>
      </c>
      <c r="D75" s="442">
        <f>[11]March_2026!$W$13</f>
        <v>197.89999999999998</v>
      </c>
      <c r="E75" s="443"/>
      <c r="F75" s="444"/>
      <c r="G75" s="445">
        <f>[11]March_2026!$W$17</f>
        <v>176.6</v>
      </c>
      <c r="H75" s="458"/>
      <c r="I75" s="458"/>
      <c r="J75" s="448" t="s">
        <v>198</v>
      </c>
      <c r="K75" s="449"/>
      <c r="L75" s="457">
        <f>(((D75+E75)-G75)/(D75+E75))*100</f>
        <v>10.763011622031321</v>
      </c>
      <c r="M75" s="455" t="s">
        <v>182</v>
      </c>
      <c r="N75" s="13"/>
      <c r="O75" s="13"/>
      <c r="P75" s="50"/>
      <c r="R75" s="275"/>
      <c r="S75" s="275"/>
      <c r="T75" s="275"/>
      <c r="U75" s="275"/>
      <c r="V75" s="275"/>
      <c r="W75" s="275"/>
      <c r="X75" s="275"/>
      <c r="Y75" s="275"/>
      <c r="Z75" s="275"/>
      <c r="AA75" s="275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277"/>
      <c r="AY75" s="277"/>
      <c r="AZ75" s="277"/>
      <c r="BA75" s="277"/>
      <c r="BB75" s="277"/>
      <c r="BC75" s="277"/>
      <c r="BD75" s="277"/>
      <c r="BE75" s="277"/>
    </row>
    <row r="76" spans="1:57" s="54" customFormat="1" ht="14.25" customHeight="1" thickBot="1">
      <c r="B76" s="480"/>
      <c r="C76" s="479"/>
      <c r="D76" s="442"/>
      <c r="E76" s="443"/>
      <c r="F76" s="444"/>
      <c r="G76" s="445"/>
      <c r="H76" s="458"/>
      <c r="I76" s="458"/>
      <c r="J76" s="476"/>
      <c r="K76" s="449"/>
      <c r="L76" s="457"/>
      <c r="M76" s="455"/>
      <c r="N76" s="13"/>
      <c r="O76" s="13"/>
      <c r="P76" s="50"/>
      <c r="R76" s="275"/>
      <c r="S76" s="275"/>
      <c r="T76" s="275"/>
      <c r="U76" s="275"/>
      <c r="V76" s="275"/>
      <c r="W76" s="275"/>
      <c r="X76" s="275"/>
      <c r="Y76" s="275"/>
      <c r="Z76" s="275"/>
      <c r="AA76" s="275"/>
      <c r="AB76" s="57">
        <f>[14]January_2019!L6</f>
        <v>0</v>
      </c>
      <c r="AC76" s="57">
        <f>[14]January_2019!M6</f>
        <v>0</v>
      </c>
      <c r="AD76" s="57">
        <f>[14]January_2019!N6</f>
        <v>0</v>
      </c>
      <c r="AE76" s="57">
        <f>[14]January_2019!O6</f>
        <v>0</v>
      </c>
      <c r="AF76" s="57">
        <f>[14]January_2019!P6</f>
        <v>0</v>
      </c>
      <c r="AG76" s="57">
        <f>[14]January_2019!Q6</f>
        <v>0</v>
      </c>
      <c r="AH76" s="57">
        <f>[14]January_2019!R6</f>
        <v>0</v>
      </c>
      <c r="AI76" s="57">
        <f>[14]January_2019!S6</f>
        <v>0</v>
      </c>
      <c r="AJ76" s="57">
        <f>[14]January_2019!T6</f>
        <v>0</v>
      </c>
      <c r="AK76" s="57">
        <f>[14]January_2019!U6</f>
        <v>0</v>
      </c>
      <c r="AL76" s="57">
        <f>[14]January_2019!V6</f>
        <v>0</v>
      </c>
      <c r="AM76" s="57">
        <f>[14]January_2019!W6</f>
        <v>0</v>
      </c>
      <c r="AN76" s="57">
        <f>[14]January_2019!X6</f>
        <v>0</v>
      </c>
      <c r="AO76" s="57">
        <f>[14]January_2019!Y6</f>
        <v>0</v>
      </c>
      <c r="AP76" s="57">
        <f>[14]January_2019!Z6</f>
        <v>0</v>
      </c>
      <c r="AQ76" s="57">
        <f>[14]January_2019!AA6</f>
        <v>0</v>
      </c>
      <c r="AR76" s="57">
        <f>[14]January_2019!AB6</f>
        <v>0</v>
      </c>
      <c r="AS76" s="57">
        <f>[14]January_2019!AC6</f>
        <v>0</v>
      </c>
      <c r="AT76" s="57">
        <f>[14]January_2019!AD6</f>
        <v>0</v>
      </c>
      <c r="AU76" s="57">
        <f>[14]January_2019!AE6</f>
        <v>0</v>
      </c>
      <c r="AV76" s="57">
        <f>[14]January_2019!AF6</f>
        <v>0</v>
      </c>
      <c r="AW76" s="57">
        <f>[14]January_2019!AG6</f>
        <v>0</v>
      </c>
      <c r="AX76" s="277">
        <f>[14]January_2019!AH6</f>
        <v>0</v>
      </c>
      <c r="AY76" s="277"/>
      <c r="AZ76" s="277"/>
      <c r="BA76" s="277"/>
      <c r="BB76" s="277"/>
      <c r="BC76" s="277"/>
      <c r="BD76" s="277"/>
      <c r="BE76" s="277"/>
    </row>
    <row r="77" spans="1:57" s="54" customFormat="1" ht="37.15" customHeight="1" thickBot="1">
      <c r="A77" s="54" t="s">
        <v>168</v>
      </c>
      <c r="B77" s="484" t="str">
        <f>H58</f>
        <v>STAG</v>
      </c>
      <c r="C77" s="479">
        <v>46102</v>
      </c>
      <c r="D77" s="442">
        <f>[11]March_2026!$X$13</f>
        <v>296</v>
      </c>
      <c r="E77" s="443"/>
      <c r="F77" s="444"/>
      <c r="G77" s="445">
        <f>[11]March_2026!$X$17</f>
        <v>264.8</v>
      </c>
      <c r="H77" s="458"/>
      <c r="I77" s="458"/>
      <c r="J77" s="448" t="s">
        <v>197</v>
      </c>
      <c r="K77" s="449"/>
      <c r="L77" s="457">
        <f>(((D77+E77)-G77)/(D77+E77))*100</f>
        <v>10.540540540540537</v>
      </c>
      <c r="M77" s="455" t="s">
        <v>192</v>
      </c>
      <c r="N77" s="13"/>
      <c r="O77" s="13"/>
      <c r="P77" s="50"/>
      <c r="R77" s="275"/>
      <c r="S77" s="275"/>
      <c r="T77" s="275"/>
      <c r="U77" s="275"/>
      <c r="V77" s="275"/>
      <c r="W77" s="275"/>
      <c r="X77" s="275"/>
      <c r="Y77" s="275"/>
      <c r="Z77" s="275"/>
      <c r="AA77" s="275"/>
      <c r="AB77" s="57">
        <f>[14]January_2019!L7</f>
        <v>285.8</v>
      </c>
      <c r="AC77" s="57">
        <f>[14]January_2019!M7</f>
        <v>508.1</v>
      </c>
      <c r="AD77" s="57">
        <f>[14]January_2019!N7</f>
        <v>0</v>
      </c>
      <c r="AE77" s="57">
        <f>[14]January_2019!O7</f>
        <v>0</v>
      </c>
      <c r="AF77" s="57">
        <f>[14]January_2019!P7</f>
        <v>109.56666666666666</v>
      </c>
      <c r="AG77" s="57">
        <f>[14]January_2019!Q7</f>
        <v>297.64999999999998</v>
      </c>
      <c r="AH77" s="57">
        <f>[14]January_2019!R7</f>
        <v>122.3</v>
      </c>
      <c r="AI77" s="57">
        <f>[14]January_2019!S7</f>
        <v>0</v>
      </c>
      <c r="AJ77" s="57">
        <f>[14]January_2019!T7</f>
        <v>294.7</v>
      </c>
      <c r="AK77" s="57">
        <f>[14]January_2019!U7</f>
        <v>280.5</v>
      </c>
      <c r="AL77" s="57">
        <f>[14]January_2019!V7</f>
        <v>0</v>
      </c>
      <c r="AM77" s="57">
        <f>[14]January_2019!W7</f>
        <v>0</v>
      </c>
      <c r="AN77" s="57">
        <f>[14]January_2019!X7</f>
        <v>188.25</v>
      </c>
      <c r="AO77" s="57">
        <f>[14]January_2019!Y7</f>
        <v>295.7</v>
      </c>
      <c r="AP77" s="57">
        <f>[14]January_2019!Z7</f>
        <v>257.8</v>
      </c>
      <c r="AQ77" s="57">
        <f>[14]January_2019!AA7</f>
        <v>291.2</v>
      </c>
      <c r="AR77" s="57">
        <f>[14]January_2019!AB7</f>
        <v>187</v>
      </c>
      <c r="AS77" s="57">
        <f>[14]January_2019!AC7</f>
        <v>0</v>
      </c>
      <c r="AT77" s="57">
        <f>[14]January_2019!AD7</f>
        <v>0</v>
      </c>
      <c r="AU77" s="57">
        <f>[14]January_2019!AE7</f>
        <v>485.1</v>
      </c>
      <c r="AV77" s="57">
        <f>[14]January_2019!AF7</f>
        <v>171.55</v>
      </c>
      <c r="AW77" s="57">
        <f>[14]January_2019!AG7</f>
        <v>423.8</v>
      </c>
      <c r="AX77" s="277">
        <f>[14]January_2019!AH7</f>
        <v>0</v>
      </c>
      <c r="AY77" s="277"/>
      <c r="AZ77" s="277"/>
      <c r="BA77" s="277"/>
      <c r="BB77" s="277"/>
      <c r="BC77" s="277"/>
      <c r="BD77" s="277"/>
      <c r="BE77" s="277"/>
    </row>
    <row r="78" spans="1:57" s="54" customFormat="1" ht="19.5" hidden="1" customHeight="1" thickBot="1">
      <c r="B78" s="478"/>
      <c r="C78" s="430"/>
      <c r="D78" s="431"/>
      <c r="E78" s="432"/>
      <c r="F78" s="433"/>
      <c r="G78" s="434"/>
      <c r="H78" s="458"/>
      <c r="I78" s="458"/>
      <c r="J78" s="451"/>
      <c r="K78" s="436"/>
      <c r="L78" s="452"/>
      <c r="M78" s="421"/>
      <c r="N78" s="13"/>
      <c r="O78" s="13"/>
      <c r="P78" s="50"/>
      <c r="R78" s="275"/>
      <c r="S78" s="275"/>
      <c r="T78" s="275"/>
      <c r="U78" s="275"/>
      <c r="V78" s="275"/>
      <c r="W78" s="275"/>
      <c r="X78" s="275"/>
      <c r="Y78" s="275"/>
      <c r="Z78" s="275"/>
      <c r="AA78" s="275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277"/>
      <c r="AY78" s="277"/>
      <c r="AZ78" s="277"/>
      <c r="BA78" s="277"/>
      <c r="BB78" s="277"/>
      <c r="BC78" s="277"/>
      <c r="BD78" s="277"/>
      <c r="BE78" s="277"/>
    </row>
    <row r="79" spans="1:57" s="54" customFormat="1" ht="38.450000000000003" hidden="1" customHeight="1" thickBot="1">
      <c r="B79" s="480"/>
      <c r="C79" s="479"/>
      <c r="D79" s="442"/>
      <c r="E79" s="443"/>
      <c r="F79" s="444"/>
      <c r="G79" s="445"/>
      <c r="H79" s="458"/>
      <c r="I79" s="458"/>
      <c r="J79" s="448" t="s">
        <v>171</v>
      </c>
      <c r="K79" s="459"/>
      <c r="L79" s="457" t="e">
        <f>(((D79+E79)-G79)/(D79+E79))*100</f>
        <v>#DIV/0!</v>
      </c>
      <c r="M79" s="455"/>
      <c r="N79" s="13"/>
      <c r="O79" s="13"/>
      <c r="P79" s="50"/>
      <c r="R79" s="275"/>
      <c r="S79" s="275"/>
      <c r="T79" s="275"/>
      <c r="U79" s="275"/>
      <c r="V79" s="275"/>
      <c r="W79" s="275"/>
      <c r="X79" s="275"/>
      <c r="Y79" s="275"/>
      <c r="Z79" s="275"/>
      <c r="AA79" s="275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277"/>
      <c r="AY79" s="277"/>
      <c r="AZ79" s="277"/>
      <c r="BA79" s="277"/>
      <c r="BB79" s="277"/>
      <c r="BC79" s="277"/>
      <c r="BD79" s="277"/>
      <c r="BE79" s="277"/>
    </row>
    <row r="80" spans="1:57" s="54" customFormat="1" ht="15.75" hidden="1" thickBot="1">
      <c r="B80" s="453"/>
      <c r="C80" s="430"/>
      <c r="D80" s="431"/>
      <c r="E80" s="432"/>
      <c r="F80" s="433"/>
      <c r="G80" s="434"/>
      <c r="H80" s="435"/>
      <c r="I80" s="450"/>
      <c r="J80" s="451"/>
      <c r="K80" s="436"/>
      <c r="L80" s="452"/>
      <c r="M80" s="421"/>
      <c r="N80" s="13"/>
      <c r="O80" s="13"/>
      <c r="P80" s="50"/>
      <c r="R80" s="275"/>
      <c r="S80" s="275"/>
      <c r="T80" s="275"/>
      <c r="U80" s="275"/>
      <c r="V80" s="275"/>
      <c r="W80" s="275"/>
      <c r="X80" s="275"/>
      <c r="Y80" s="275"/>
      <c r="Z80" s="275"/>
      <c r="AA80" s="275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277"/>
      <c r="AY80" s="277"/>
      <c r="AZ80" s="277"/>
      <c r="BA80" s="277"/>
      <c r="BB80" s="277"/>
      <c r="BC80" s="277"/>
      <c r="BD80" s="277"/>
      <c r="BE80" s="277"/>
    </row>
    <row r="81" spans="2:57" s="54" customFormat="1" ht="37.15" hidden="1" customHeight="1" thickBot="1">
      <c r="B81" s="480"/>
      <c r="C81" s="479"/>
      <c r="D81" s="442"/>
      <c r="E81" s="443"/>
      <c r="F81" s="444"/>
      <c r="G81" s="445"/>
      <c r="H81" s="446"/>
      <c r="I81" s="447"/>
      <c r="J81" s="448"/>
      <c r="K81" s="449"/>
      <c r="L81" s="457"/>
      <c r="M81" s="455"/>
      <c r="N81" s="13"/>
      <c r="O81" s="13"/>
      <c r="P81" s="50"/>
      <c r="R81" s="275"/>
      <c r="S81" s="275"/>
      <c r="T81" s="275"/>
      <c r="U81" s="275"/>
      <c r="V81" s="275"/>
      <c r="W81" s="275"/>
      <c r="X81" s="275"/>
      <c r="Y81" s="275"/>
      <c r="Z81" s="275"/>
      <c r="AA81" s="275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277"/>
      <c r="AY81" s="277"/>
      <c r="AZ81" s="277"/>
      <c r="BA81" s="277"/>
      <c r="BB81" s="277"/>
      <c r="BC81" s="277"/>
      <c r="BD81" s="277"/>
      <c r="BE81" s="277"/>
    </row>
    <row r="82" spans="2:57" s="54" customFormat="1" ht="16.5" hidden="1" customHeight="1" thickBot="1">
      <c r="B82" s="437"/>
      <c r="C82" s="423"/>
      <c r="D82" s="424"/>
      <c r="E82" s="425"/>
      <c r="F82" s="426"/>
      <c r="G82" s="427"/>
      <c r="H82" s="428"/>
      <c r="I82" s="438"/>
      <c r="J82" s="439"/>
      <c r="K82" s="429"/>
      <c r="L82" s="440"/>
      <c r="M82" s="422"/>
      <c r="N82" s="13"/>
      <c r="O82" s="13"/>
      <c r="P82" s="50"/>
      <c r="R82" s="275"/>
      <c r="S82" s="275"/>
      <c r="T82" s="275"/>
      <c r="U82" s="275"/>
      <c r="V82" s="275"/>
      <c r="W82" s="275"/>
      <c r="X82" s="275"/>
      <c r="Y82" s="275"/>
      <c r="Z82" s="275"/>
      <c r="AA82" s="275"/>
      <c r="AB82" s="415"/>
      <c r="AC82" s="415"/>
      <c r="AD82" s="415"/>
      <c r="AE82" s="415"/>
      <c r="AF82" s="415"/>
      <c r="AG82" s="415"/>
      <c r="AH82" s="415"/>
      <c r="AI82" s="415"/>
      <c r="AJ82" s="415"/>
      <c r="AK82" s="415"/>
      <c r="AL82" s="415"/>
      <c r="AM82" s="415"/>
      <c r="AN82" s="415"/>
      <c r="AO82" s="415"/>
      <c r="AP82" s="415"/>
      <c r="AQ82" s="415"/>
      <c r="AR82" s="415"/>
      <c r="AS82" s="415"/>
      <c r="AT82" s="415"/>
      <c r="AU82" s="415"/>
      <c r="AV82" s="415"/>
      <c r="AW82" s="415"/>
    </row>
    <row r="83" spans="2:57" s="54" customFormat="1" ht="37.15" hidden="1" customHeight="1" thickBot="1">
      <c r="B83" s="456"/>
      <c r="C83" s="441"/>
      <c r="D83" s="442"/>
      <c r="E83" s="443"/>
      <c r="F83" s="444"/>
      <c r="G83" s="445"/>
      <c r="H83" s="446"/>
      <c r="I83" s="447"/>
      <c r="J83" s="448"/>
      <c r="K83" s="449"/>
      <c r="L83" s="457"/>
      <c r="M83" s="454"/>
      <c r="N83" s="13"/>
      <c r="O83" s="13"/>
      <c r="P83" s="50"/>
      <c r="R83" s="275"/>
      <c r="S83" s="275"/>
      <c r="T83" s="275"/>
      <c r="U83" s="275"/>
      <c r="V83" s="275"/>
      <c r="W83" s="275"/>
      <c r="X83" s="275"/>
      <c r="Y83" s="275"/>
      <c r="Z83" s="275"/>
      <c r="AA83" s="275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277"/>
      <c r="AY83" s="277"/>
      <c r="AZ83" s="277"/>
      <c r="BA83" s="277"/>
      <c r="BB83" s="277"/>
      <c r="BC83" s="277"/>
      <c r="BD83" s="277"/>
      <c r="BE83" s="277"/>
    </row>
    <row r="84" spans="2:57" s="54" customFormat="1" ht="37.15" customHeight="1">
      <c r="B84" s="466"/>
      <c r="C84" s="430"/>
      <c r="D84" s="460"/>
      <c r="E84" s="461"/>
      <c r="F84" s="462"/>
      <c r="G84" s="460"/>
      <c r="H84" s="463"/>
      <c r="I84" s="463"/>
      <c r="J84" s="463"/>
      <c r="K84" s="464"/>
      <c r="L84" s="465"/>
      <c r="M84" s="50"/>
      <c r="N84" s="13"/>
      <c r="O84" s="13"/>
      <c r="P84" s="50"/>
      <c r="R84" s="275"/>
      <c r="S84" s="275"/>
      <c r="T84" s="275"/>
      <c r="U84" s="275"/>
      <c r="V84" s="275"/>
      <c r="W84" s="275"/>
      <c r="X84" s="275"/>
      <c r="Y84" s="275"/>
      <c r="Z84" s="275"/>
      <c r="AA84" s="275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277"/>
      <c r="AY84" s="277"/>
      <c r="AZ84" s="277"/>
      <c r="BA84" s="277"/>
      <c r="BB84" s="277"/>
      <c r="BC84" s="277"/>
      <c r="BD84" s="277"/>
      <c r="BE84" s="277"/>
    </row>
    <row r="85" spans="2:57" ht="18" customHeight="1" thickBot="1">
      <c r="B85" s="59"/>
      <c r="C85" s="30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 t="s">
        <v>41</v>
      </c>
      <c r="O85" s="56"/>
      <c r="P85" s="60"/>
    </row>
    <row r="86" spans="2:57" ht="15.75" thickBot="1">
      <c r="B86" s="545" t="s">
        <v>55</v>
      </c>
      <c r="C86" s="546"/>
      <c r="D86" s="546"/>
      <c r="E86" s="546"/>
      <c r="F86" s="547"/>
      <c r="G86" s="545" t="s">
        <v>56</v>
      </c>
      <c r="H86" s="546"/>
      <c r="I86" s="546"/>
      <c r="J86" s="547"/>
      <c r="K86" s="545" t="s">
        <v>51</v>
      </c>
      <c r="L86" s="546"/>
      <c r="M86" s="546"/>
      <c r="N86" s="548"/>
      <c r="O86" s="56"/>
      <c r="P86" s="50"/>
    </row>
    <row r="87" spans="2:57" ht="15">
      <c r="B87" s="61" t="s">
        <v>17</v>
      </c>
      <c r="C87" s="62" t="s">
        <v>36</v>
      </c>
      <c r="D87" s="62" t="s">
        <v>37</v>
      </c>
      <c r="E87" s="62" t="s">
        <v>38</v>
      </c>
      <c r="F87" s="63" t="s">
        <v>39</v>
      </c>
      <c r="G87" s="62" t="s">
        <v>36</v>
      </c>
      <c r="H87" s="62" t="s">
        <v>37</v>
      </c>
      <c r="I87" s="62" t="s">
        <v>38</v>
      </c>
      <c r="J87" s="63" t="s">
        <v>39</v>
      </c>
      <c r="K87" s="62" t="s">
        <v>36</v>
      </c>
      <c r="L87" s="62" t="s">
        <v>37</v>
      </c>
      <c r="M87" s="62" t="s">
        <v>38</v>
      </c>
      <c r="N87" s="63" t="s">
        <v>39</v>
      </c>
      <c r="O87" s="56"/>
      <c r="P87" s="64"/>
    </row>
    <row r="88" spans="2:57" ht="15">
      <c r="B88" s="29" t="s">
        <v>6</v>
      </c>
      <c r="C88" s="282">
        <f>L72</f>
        <v>6.3877097230644555</v>
      </c>
      <c r="D88" s="76">
        <v>6.1166559838842547</v>
      </c>
      <c r="E88" s="76">
        <v>7.0100807731010235</v>
      </c>
      <c r="F88" s="66">
        <v>4.8</v>
      </c>
      <c r="G88" s="65"/>
      <c r="H88" s="477">
        <v>5.8393881016574838</v>
      </c>
      <c r="I88" s="477">
        <v>7.0624229971326917</v>
      </c>
      <c r="J88" s="66">
        <v>4.8</v>
      </c>
      <c r="K88" s="67"/>
      <c r="L88" s="194">
        <v>0.41416398138202642</v>
      </c>
      <c r="M88" s="194">
        <v>0.3950212849286624</v>
      </c>
      <c r="N88" s="68">
        <v>1</v>
      </c>
      <c r="O88" s="56"/>
      <c r="P88" s="69"/>
    </row>
    <row r="89" spans="2:57" ht="15">
      <c r="B89" s="33" t="s">
        <v>9</v>
      </c>
      <c r="C89" s="65"/>
      <c r="D89" s="76">
        <v>6.226853304877273</v>
      </c>
      <c r="E89" s="76">
        <v>6.218558063401959</v>
      </c>
      <c r="F89" s="66">
        <v>4.8</v>
      </c>
      <c r="G89" s="65"/>
      <c r="H89" s="76">
        <v>5.6013387717202709</v>
      </c>
      <c r="I89" s="76">
        <v>6.0251504474659541</v>
      </c>
      <c r="J89" s="66">
        <v>4.8</v>
      </c>
      <c r="K89" s="67"/>
      <c r="L89" s="194">
        <v>0.74087719298245613</v>
      </c>
      <c r="M89" s="194">
        <v>0.60474102461797952</v>
      </c>
      <c r="N89" s="68">
        <v>1</v>
      </c>
      <c r="P89" s="69"/>
    </row>
    <row r="90" spans="2:57" ht="15">
      <c r="B90" s="34" t="s">
        <v>40</v>
      </c>
      <c r="C90" s="65"/>
      <c r="D90" s="76">
        <v>12.686094393411453</v>
      </c>
      <c r="E90" s="76">
        <v>12.557379600093356</v>
      </c>
      <c r="F90" s="66">
        <v>5.5</v>
      </c>
      <c r="G90" s="65"/>
      <c r="H90" s="76">
        <v>16.188465805007624</v>
      </c>
      <c r="I90" s="76">
        <v>14.409617014725914</v>
      </c>
      <c r="J90" s="66">
        <v>5.5</v>
      </c>
      <c r="K90" s="67"/>
      <c r="L90" s="194">
        <v>0.22560526315789473</v>
      </c>
      <c r="M90" s="194">
        <v>0.29359298245614035</v>
      </c>
      <c r="N90" s="68">
        <v>1</v>
      </c>
      <c r="P90" s="69"/>
    </row>
    <row r="91" spans="2:57" ht="15">
      <c r="B91" s="22" t="s">
        <v>33</v>
      </c>
      <c r="C91" s="65"/>
      <c r="D91" s="76">
        <v>4.786281034041461</v>
      </c>
      <c r="E91" s="76">
        <v>4.9619586520196597</v>
      </c>
      <c r="F91" s="66">
        <v>3.3</v>
      </c>
      <c r="G91" s="65"/>
      <c r="H91" s="76">
        <v>5.4251963146907434</v>
      </c>
      <c r="I91" s="76">
        <v>4.9501867212112511</v>
      </c>
      <c r="J91" s="66">
        <v>3.3</v>
      </c>
      <c r="K91" s="67"/>
      <c r="L91" s="194">
        <v>1.3052631578947369</v>
      </c>
      <c r="M91" s="194">
        <v>0.88064327485380123</v>
      </c>
      <c r="N91" s="68">
        <v>1</v>
      </c>
      <c r="P91" s="69"/>
    </row>
    <row r="92" spans="2:57" ht="15">
      <c r="B92" s="35" t="s">
        <v>164</v>
      </c>
      <c r="C92" s="65"/>
      <c r="D92" s="76"/>
      <c r="E92" s="76"/>
      <c r="F92" s="66">
        <v>3.3</v>
      </c>
      <c r="G92" s="282"/>
      <c r="H92" s="76"/>
      <c r="I92" s="76"/>
      <c r="J92" s="66">
        <v>3</v>
      </c>
      <c r="K92" s="67"/>
      <c r="L92" s="194"/>
      <c r="M92" s="194"/>
      <c r="N92" s="68">
        <v>1</v>
      </c>
      <c r="P92" s="69"/>
    </row>
    <row r="93" spans="2:57" ht="15">
      <c r="B93" s="36" t="s">
        <v>15</v>
      </c>
      <c r="C93" s="65"/>
      <c r="D93" s="76"/>
      <c r="E93" s="76">
        <v>5.1105651105651271</v>
      </c>
      <c r="F93" s="70">
        <f>[15]May_2022!$M$43</f>
        <v>3.4878406700073312</v>
      </c>
      <c r="G93" s="282"/>
      <c r="H93" s="76"/>
      <c r="I93" s="76">
        <v>7.9131369535794072</v>
      </c>
      <c r="J93" s="66">
        <v>5.5</v>
      </c>
      <c r="K93" s="67"/>
      <c r="L93" s="194"/>
      <c r="M93" s="194">
        <v>1.3550877192982456</v>
      </c>
      <c r="N93" s="68">
        <v>1</v>
      </c>
      <c r="P93" s="69"/>
    </row>
    <row r="94" spans="2:57" ht="15">
      <c r="B94" s="37" t="s">
        <v>16</v>
      </c>
      <c r="C94" s="65"/>
      <c r="D94" s="76">
        <v>5.360174630123689</v>
      </c>
      <c r="E94" s="76">
        <v>4.3766776021473337</v>
      </c>
      <c r="F94" s="66">
        <v>3.3</v>
      </c>
      <c r="G94" s="282"/>
      <c r="H94" s="76">
        <v>11.106164027580478</v>
      </c>
      <c r="I94" s="76">
        <v>6.7590439068772588</v>
      </c>
      <c r="J94" s="66">
        <v>3.3</v>
      </c>
      <c r="K94" s="67"/>
      <c r="L94" s="194">
        <v>0.45637426900584793</v>
      </c>
      <c r="M94" s="194">
        <v>0.73190058479532172</v>
      </c>
      <c r="N94" s="71">
        <v>1</v>
      </c>
      <c r="P94" s="69"/>
    </row>
    <row r="95" spans="2:57" ht="15.75" thickBot="1">
      <c r="B95" s="38" t="s">
        <v>163</v>
      </c>
      <c r="C95" s="65"/>
      <c r="D95" s="76"/>
      <c r="E95" s="76"/>
      <c r="F95" s="66">
        <v>7.5</v>
      </c>
      <c r="G95" s="282"/>
      <c r="H95" s="76"/>
      <c r="I95" s="76"/>
      <c r="J95" s="66">
        <v>7.5</v>
      </c>
      <c r="K95" s="67"/>
      <c r="L95" s="194"/>
      <c r="M95" s="194"/>
      <c r="N95" s="71">
        <v>1</v>
      </c>
      <c r="P95" s="69"/>
    </row>
    <row r="96" spans="2:57" ht="15.75" thickBot="1">
      <c r="B96" s="414" t="s">
        <v>161</v>
      </c>
      <c r="C96" s="65"/>
      <c r="D96" s="76"/>
      <c r="E96" s="76"/>
      <c r="F96" s="66">
        <v>4.8</v>
      </c>
      <c r="G96" s="282"/>
      <c r="H96" s="76"/>
      <c r="I96" s="76"/>
      <c r="J96" s="66">
        <v>4.8</v>
      </c>
      <c r="K96" s="67"/>
      <c r="L96" s="194"/>
      <c r="M96" s="194"/>
      <c r="N96" s="71">
        <v>1</v>
      </c>
      <c r="O96" s="74"/>
      <c r="P96" s="75"/>
    </row>
    <row r="97" spans="4:14" ht="15">
      <c r="D97" s="76">
        <v>6.7866531074313539</v>
      </c>
      <c r="E97" s="76">
        <v>6.8443626331463765</v>
      </c>
      <c r="F97" s="341">
        <v>5.5</v>
      </c>
      <c r="H97" s="76">
        <v>8.0226230739694397</v>
      </c>
      <c r="I97" s="76">
        <v>7.3971027128713809</v>
      </c>
      <c r="J97" s="341">
        <v>5.5</v>
      </c>
      <c r="L97" s="194">
        <v>0.53836697298802549</v>
      </c>
      <c r="M97" s="194">
        <v>0.44702675607938758</v>
      </c>
      <c r="N97" s="386">
        <v>1</v>
      </c>
    </row>
  </sheetData>
  <mergeCells count="51">
    <mergeCell ref="M70:M71"/>
    <mergeCell ref="B86:F86"/>
    <mergeCell ref="G86:J86"/>
    <mergeCell ref="K86:N86"/>
    <mergeCell ref="G70:G71"/>
    <mergeCell ref="H70:H71"/>
    <mergeCell ref="I70:I71"/>
    <mergeCell ref="J70:J71"/>
    <mergeCell ref="K70:K71"/>
    <mergeCell ref="L70:L71"/>
    <mergeCell ref="F70:F71"/>
    <mergeCell ref="D65:E65"/>
    <mergeCell ref="B70:B71"/>
    <mergeCell ref="C70:C71"/>
    <mergeCell ref="D70:D71"/>
    <mergeCell ref="E70:E71"/>
    <mergeCell ref="B55:B64"/>
    <mergeCell ref="D55:E56"/>
    <mergeCell ref="J55:K55"/>
    <mergeCell ref="L56:N56"/>
    <mergeCell ref="D57:E58"/>
    <mergeCell ref="D59:E60"/>
    <mergeCell ref="D61:E62"/>
    <mergeCell ref="D63:E64"/>
    <mergeCell ref="I41:N41"/>
    <mergeCell ref="D42:E42"/>
    <mergeCell ref="B43:B54"/>
    <mergeCell ref="D43:E44"/>
    <mergeCell ref="D45:E46"/>
    <mergeCell ref="D47:E48"/>
    <mergeCell ref="D49:E50"/>
    <mergeCell ref="D51:E52"/>
    <mergeCell ref="D53:E54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65:B66">
    <cfRule type="cellIs" dxfId="1299" priority="84" operator="notBetween">
      <formula>#REF!</formula>
      <formula>#REF!</formula>
    </cfRule>
  </conditionalFormatting>
  <conditionalFormatting sqref="C69">
    <cfRule type="cellIs" dxfId="1298" priority="178" stopIfTrue="1" operator="lessThan">
      <formula>96</formula>
    </cfRule>
    <cfRule type="cellIs" dxfId="1297" priority="179" stopIfTrue="1" operator="greaterThan">
      <formula>100</formula>
    </cfRule>
  </conditionalFormatting>
  <conditionalFormatting sqref="C88:C92">
    <cfRule type="cellIs" dxfId="1296" priority="147" stopIfTrue="1" operator="lessThanOrEqual">
      <formula>0</formula>
    </cfRule>
  </conditionalFormatting>
  <conditionalFormatting sqref="C88:C96">
    <cfRule type="cellIs" dxfId="1295" priority="146" stopIfTrue="1" operator="greaterThan">
      <formula>$F88</formula>
    </cfRule>
  </conditionalFormatting>
  <conditionalFormatting sqref="C89">
    <cfRule type="cellIs" dxfId="1294" priority="180" stopIfTrue="1" operator="greaterThan">
      <formula>$F88</formula>
    </cfRule>
  </conditionalFormatting>
  <conditionalFormatting sqref="C93">
    <cfRule type="cellIs" dxfId="1293" priority="108" stopIfTrue="1" operator="lessThanOrEqual">
      <formula>0</formula>
    </cfRule>
    <cfRule type="cellIs" dxfId="1292" priority="109" stopIfTrue="1" operator="greaterThan">
      <formula>$F92</formula>
    </cfRule>
  </conditionalFormatting>
  <conditionalFormatting sqref="C94:C96">
    <cfRule type="cellIs" dxfId="1291" priority="148" stopIfTrue="1" operator="lessThanOrEqual">
      <formula>0</formula>
    </cfRule>
  </conditionalFormatting>
  <conditionalFormatting sqref="C99:C103">
    <cfRule type="cellIs" dxfId="1290" priority="170" stopIfTrue="1" operator="lessThanOrEqual">
      <formula>0</formula>
    </cfRule>
  </conditionalFormatting>
  <conditionalFormatting sqref="C100:C103">
    <cfRule type="cellIs" dxfId="1289" priority="169" stopIfTrue="1" operator="greaterThan">
      <formula>$F$99</formula>
    </cfRule>
  </conditionalFormatting>
  <conditionalFormatting sqref="C105">
    <cfRule type="cellIs" dxfId="1288" priority="171" stopIfTrue="1" operator="greaterThan">
      <formula>$F$99</formula>
    </cfRule>
    <cfRule type="cellIs" dxfId="1287" priority="172" stopIfTrue="1" operator="lessThanOrEqual">
      <formula>0</formula>
    </cfRule>
  </conditionalFormatting>
  <conditionalFormatting sqref="C99:D99 D101:D107">
    <cfRule type="cellIs" dxfId="1286" priority="164" stopIfTrue="1" operator="greaterThan">
      <formula>4.5</formula>
    </cfRule>
  </conditionalFormatting>
  <conditionalFormatting sqref="D65:D66">
    <cfRule type="cellIs" dxfId="1285" priority="85" operator="notBetween">
      <formula>#REF!</formula>
      <formula>#REF!</formula>
    </cfRule>
  </conditionalFormatting>
  <conditionalFormatting sqref="D88:D95">
    <cfRule type="cellIs" dxfId="1284" priority="57" stopIfTrue="1" operator="lessThanOrEqual">
      <formula>0</formula>
    </cfRule>
  </conditionalFormatting>
  <conditionalFormatting sqref="D88:D97">
    <cfRule type="cellIs" dxfId="1283" priority="36" stopIfTrue="1" operator="lessThanOrEqual">
      <formula>0</formula>
    </cfRule>
  </conditionalFormatting>
  <conditionalFormatting sqref="D96">
    <cfRule type="cellIs" dxfId="1282" priority="56" stopIfTrue="1" operator="lessThanOrEqual">
      <formula>0</formula>
    </cfRule>
  </conditionalFormatting>
  <conditionalFormatting sqref="D97">
    <cfRule type="cellIs" dxfId="1281" priority="51" stopIfTrue="1" operator="lessThanOrEqual">
      <formula>0</formula>
    </cfRule>
  </conditionalFormatting>
  <conditionalFormatting sqref="D99 D101:D107">
    <cfRule type="cellIs" dxfId="1280" priority="165" stopIfTrue="1" operator="lessThanOrEqual">
      <formula>0</formula>
    </cfRule>
  </conditionalFormatting>
  <conditionalFormatting sqref="D100">
    <cfRule type="cellIs" dxfId="1279" priority="157" stopIfTrue="1" operator="lessThanOrEqual">
      <formula>0</formula>
    </cfRule>
    <cfRule type="cellIs" dxfId="1278" priority="156" stopIfTrue="1" operator="greaterThan">
      <formula>$F$99</formula>
    </cfRule>
  </conditionalFormatting>
  <conditionalFormatting sqref="D88:E97">
    <cfRule type="cellIs" dxfId="1277" priority="38" stopIfTrue="1" operator="greaterThan">
      <formula>$F88</formula>
    </cfRule>
  </conditionalFormatting>
  <conditionalFormatting sqref="D97:E97">
    <cfRule type="cellIs" dxfId="1276" priority="40" stopIfTrue="1" operator="lessThanOrEqual">
      <formula>0</formula>
    </cfRule>
  </conditionalFormatting>
  <conditionalFormatting sqref="E10:E40">
    <cfRule type="cellIs" dxfId="1275" priority="8" operator="lessThan">
      <formula>48</formula>
    </cfRule>
  </conditionalFormatting>
  <conditionalFormatting sqref="E68 E69:F69">
    <cfRule type="cellIs" dxfId="1274" priority="161" stopIfTrue="1" operator="greaterThan">
      <formula>100</formula>
    </cfRule>
  </conditionalFormatting>
  <conditionalFormatting sqref="E69">
    <cfRule type="cellIs" dxfId="1273" priority="158" stopIfTrue="1" operator="lessThan">
      <formula>96.8</formula>
    </cfRule>
    <cfRule type="cellIs" dxfId="1272" priority="159" stopIfTrue="1" operator="greaterThan">
      <formula>100</formula>
    </cfRule>
  </conditionalFormatting>
  <conditionalFormatting sqref="E88:E96">
    <cfRule type="cellIs" dxfId="1271" priority="37" stopIfTrue="1" operator="lessThanOrEqual">
      <formula>0</formula>
    </cfRule>
  </conditionalFormatting>
  <conditionalFormatting sqref="E88:E97">
    <cfRule type="cellIs" dxfId="1270" priority="39" stopIfTrue="1" operator="lessThanOrEqual">
      <formula>0</formula>
    </cfRule>
  </conditionalFormatting>
  <conditionalFormatting sqref="E99:E107">
    <cfRule type="cellIs" dxfId="1269" priority="150" stopIfTrue="1" operator="greaterThan">
      <formula>4.5</formula>
    </cfRule>
    <cfRule type="cellIs" dxfId="1268" priority="151" stopIfTrue="1" operator="lessThanOrEqual">
      <formula>0</formula>
    </cfRule>
  </conditionalFormatting>
  <conditionalFormatting sqref="E69:F69 E68">
    <cfRule type="cellIs" dxfId="1267" priority="160" stopIfTrue="1" operator="lessThan">
      <formula>96.5</formula>
    </cfRule>
  </conditionalFormatting>
  <conditionalFormatting sqref="F10:F15 F32 F39:F40">
    <cfRule type="cellIs" dxfId="1266" priority="32" operator="greaterThan">
      <formula>60</formula>
    </cfRule>
  </conditionalFormatting>
  <conditionalFormatting sqref="F69">
    <cfRule type="cellIs" dxfId="1265" priority="177" stopIfTrue="1" operator="greaterThan">
      <formula>100</formula>
    </cfRule>
    <cfRule type="cellIs" dxfId="1264" priority="176" stopIfTrue="1" operator="lessThan">
      <formula>96.8</formula>
    </cfRule>
  </conditionalFormatting>
  <conditionalFormatting sqref="F97">
    <cfRule type="cellIs" dxfId="1263" priority="54" stopIfTrue="1" operator="greaterThan">
      <formula>$F97</formula>
    </cfRule>
    <cfRule type="cellIs" dxfId="1262" priority="55" stopIfTrue="1" operator="lessThanOrEqual">
      <formula>0</formula>
    </cfRule>
  </conditionalFormatting>
  <conditionalFormatting sqref="G10:G15 G32:G40">
    <cfRule type="expression" dxfId="1261" priority="22">
      <formula>IF(+(IF(G10&lt;S10,0,IF(G10&gt;T10,0,1)))=0,1)</formula>
    </cfRule>
  </conditionalFormatting>
  <conditionalFormatting sqref="G88:G89">
    <cfRule type="cellIs" dxfId="1260" priority="52" stopIfTrue="1" operator="greaterThan">
      <formula>$F88</formula>
    </cfRule>
    <cfRule type="cellIs" dxfId="1259" priority="53" stopIfTrue="1" operator="lessThanOrEqual">
      <formula>0</formula>
    </cfRule>
    <cfRule type="cellIs" dxfId="1258" priority="58" stopIfTrue="1" operator="greaterThan">
      <formula>$F88</formula>
    </cfRule>
    <cfRule type="cellIs" dxfId="1257" priority="59" stopIfTrue="1" operator="lessThanOrEqual">
      <formula>0</formula>
    </cfRule>
  </conditionalFormatting>
  <conditionalFormatting sqref="G90">
    <cfRule type="cellIs" dxfId="1256" priority="62" stopIfTrue="1" operator="greaterThan">
      <formula>$F89</formula>
    </cfRule>
    <cfRule type="cellIs" dxfId="1255" priority="63" stopIfTrue="1" operator="lessThanOrEqual">
      <formula>0</formula>
    </cfRule>
  </conditionalFormatting>
  <conditionalFormatting sqref="G91">
    <cfRule type="cellIs" dxfId="1254" priority="47" stopIfTrue="1" operator="lessThanOrEqual">
      <formula>0</formula>
    </cfRule>
    <cfRule type="cellIs" dxfId="1253" priority="45" stopIfTrue="1" operator="lessThanOrEqual">
      <formula>0</formula>
    </cfRule>
    <cfRule type="cellIs" dxfId="1252" priority="46" stopIfTrue="1" operator="greaterThan">
      <formula>$F91</formula>
    </cfRule>
    <cfRule type="cellIs" dxfId="1251" priority="44" stopIfTrue="1" operator="greaterThan">
      <formula>$F91</formula>
    </cfRule>
  </conditionalFormatting>
  <conditionalFormatting sqref="G92:G96">
    <cfRule type="cellIs" dxfId="1250" priority="60" stopIfTrue="1" operator="greaterThan">
      <formula>$J92</formula>
    </cfRule>
    <cfRule type="cellIs" dxfId="1249" priority="61" stopIfTrue="1" operator="lessThanOrEqual">
      <formula>0</formula>
    </cfRule>
  </conditionalFormatting>
  <conditionalFormatting sqref="G101:G106 C104 C106">
    <cfRule type="cellIs" dxfId="1248" priority="174" stopIfTrue="1" operator="lessThanOrEqual">
      <formula>0</formula>
    </cfRule>
    <cfRule type="cellIs" dxfId="1247" priority="173" stopIfTrue="1" operator="greaterThan">
      <formula>4.5</formula>
    </cfRule>
  </conditionalFormatting>
  <conditionalFormatting sqref="G100:H100">
    <cfRule type="cellIs" dxfId="1246" priority="155" stopIfTrue="1" operator="lessThanOrEqual">
      <formula>0</formula>
    </cfRule>
    <cfRule type="cellIs" dxfId="1245" priority="154" stopIfTrue="1" operator="greaterThan">
      <formula>$F$99</formula>
    </cfRule>
  </conditionalFormatting>
  <conditionalFormatting sqref="H10:H15 N10:N21 M39:N40">
    <cfRule type="expression" dxfId="1244" priority="81">
      <formula>IF(+(IF(H10&lt;#REF!,0,IF(H10&gt;#REF!,0,1)))=0,1)</formula>
    </cfRule>
  </conditionalFormatting>
  <conditionalFormatting sqref="H17:H40">
    <cfRule type="expression" dxfId="1243" priority="13">
      <formula>IF(+(IF(H17&lt;#REF!,0,IF(H17&gt;#REF!,0,1)))=0,1)</formula>
    </cfRule>
  </conditionalFormatting>
  <conditionalFormatting sqref="H54:H55 H68">
    <cfRule type="cellIs" dxfId="1242" priority="152" stopIfTrue="1" operator="greaterThan">
      <formula>0</formula>
    </cfRule>
  </conditionalFormatting>
  <conditionalFormatting sqref="H72:H79">
    <cfRule type="cellIs" dxfId="1241" priority="76" stopIfTrue="1" operator="greaterThan">
      <formula>$F$91</formula>
    </cfRule>
    <cfRule type="cellIs" dxfId="1240" priority="77" stopIfTrue="1" operator="lessThanOrEqual">
      <formula>0</formula>
    </cfRule>
    <cfRule type="cellIs" dxfId="1239" priority="78" stopIfTrue="1" operator="greaterThan">
      <formula>$F$89</formula>
    </cfRule>
    <cfRule type="cellIs" dxfId="1238" priority="79" stopIfTrue="1" operator="lessThanOrEqual">
      <formula>0</formula>
    </cfRule>
    <cfRule type="cellIs" dxfId="1237" priority="67" stopIfTrue="1" operator="lessThanOrEqual">
      <formula>0</formula>
    </cfRule>
    <cfRule type="cellIs" dxfId="1236" priority="68" stopIfTrue="1" operator="greaterThan">
      <formula>$F$88</formula>
    </cfRule>
  </conditionalFormatting>
  <conditionalFormatting sqref="H80:H81">
    <cfRule type="cellIs" dxfId="1235" priority="111" stopIfTrue="1" operator="lessThanOrEqual">
      <formula>0</formula>
    </cfRule>
    <cfRule type="cellIs" dxfId="1234" priority="123" stopIfTrue="1" operator="lessThanOrEqual">
      <formula>0</formula>
    </cfRule>
    <cfRule type="cellIs" dxfId="1233" priority="122" stopIfTrue="1" operator="greaterThan">
      <formula>#REF!</formula>
    </cfRule>
    <cfRule type="cellIs" dxfId="1232" priority="120" stopIfTrue="1" operator="greaterThan">
      <formula>$F$40</formula>
    </cfRule>
    <cfRule type="cellIs" dxfId="1231" priority="112" stopIfTrue="1" operator="greaterThan">
      <formula>#REF!</formula>
    </cfRule>
    <cfRule type="cellIs" dxfId="1230" priority="121" stopIfTrue="1" operator="lessThanOrEqual">
      <formula>0</formula>
    </cfRule>
  </conditionalFormatting>
  <conditionalFormatting sqref="H82">
    <cfRule type="cellIs" dxfId="1229" priority="126" stopIfTrue="1" operator="greaterThan">
      <formula>$F$53</formula>
    </cfRule>
    <cfRule type="cellIs" dxfId="1228" priority="135" stopIfTrue="1" operator="lessThanOrEqual">
      <formula>0</formula>
    </cfRule>
    <cfRule type="cellIs" dxfId="1227" priority="134" stopIfTrue="1" operator="greaterThan">
      <formula>$F$56</formula>
    </cfRule>
    <cfRule type="cellIs" dxfId="1226" priority="125" stopIfTrue="1" operator="lessThanOrEqual">
      <formula>0</formula>
    </cfRule>
    <cfRule type="cellIs" dxfId="1225" priority="136" stopIfTrue="1" operator="greaterThan">
      <formula>$F$54</formula>
    </cfRule>
    <cfRule type="cellIs" dxfId="1224" priority="137" stopIfTrue="1" operator="lessThanOrEqual">
      <formula>0</formula>
    </cfRule>
  </conditionalFormatting>
  <conditionalFormatting sqref="H83:H84">
    <cfRule type="cellIs" dxfId="1223" priority="95" stopIfTrue="1" operator="lessThanOrEqual">
      <formula>0</formula>
    </cfRule>
    <cfRule type="cellIs" dxfId="1222" priority="104" stopIfTrue="1" operator="greaterThan">
      <formula>$F$40</formula>
    </cfRule>
    <cfRule type="cellIs" dxfId="1221" priority="106" stopIfTrue="1" operator="greaterThan">
      <formula>#REF!</formula>
    </cfRule>
    <cfRule type="cellIs" dxfId="1220" priority="107" stopIfTrue="1" operator="lessThanOrEqual">
      <formula>0</formula>
    </cfRule>
    <cfRule type="cellIs" dxfId="1219" priority="96" stopIfTrue="1" operator="greaterThan">
      <formula>#REF!</formula>
    </cfRule>
    <cfRule type="cellIs" dxfId="1218" priority="105" stopIfTrue="1" operator="lessThanOrEqual">
      <formula>0</formula>
    </cfRule>
  </conditionalFormatting>
  <conditionalFormatting sqref="H99 H101:H107">
    <cfRule type="cellIs" dxfId="1217" priority="167" stopIfTrue="1" operator="lessThanOrEqual">
      <formula>0</formula>
    </cfRule>
    <cfRule type="cellIs" dxfId="1216" priority="166" stopIfTrue="1" operator="greaterThan">
      <formula>4.5</formula>
    </cfRule>
  </conditionalFormatting>
  <conditionalFormatting sqref="H72:I79">
    <cfRule type="cellIs" dxfId="1215" priority="69" stopIfTrue="1" operator="lessThanOrEqual">
      <formula>0</formula>
    </cfRule>
    <cfRule type="cellIs" dxfId="1214" priority="66" stopIfTrue="1" operator="greaterThan">
      <formula>$F$90</formula>
    </cfRule>
  </conditionalFormatting>
  <conditionalFormatting sqref="H80:I81">
    <cfRule type="cellIs" dxfId="1213" priority="110" stopIfTrue="1" operator="greaterThan">
      <formula>#REF!</formula>
    </cfRule>
    <cfRule type="cellIs" dxfId="1212" priority="113" stopIfTrue="1" operator="lessThanOrEqual">
      <formula>0</formula>
    </cfRule>
  </conditionalFormatting>
  <conditionalFormatting sqref="H82:I82">
    <cfRule type="cellIs" dxfId="1211" priority="124" stopIfTrue="1" operator="greaterThan">
      <formula>$F$55</formula>
    </cfRule>
    <cfRule type="cellIs" dxfId="1210" priority="127" stopIfTrue="1" operator="lessThanOrEqual">
      <formula>0</formula>
    </cfRule>
  </conditionalFormatting>
  <conditionalFormatting sqref="H83:I84">
    <cfRule type="cellIs" dxfId="1209" priority="94" stopIfTrue="1" operator="greaterThan">
      <formula>#REF!</formula>
    </cfRule>
    <cfRule type="cellIs" dxfId="1208" priority="97" stopIfTrue="1" operator="lessThanOrEqual">
      <formula>0</formula>
    </cfRule>
  </conditionalFormatting>
  <conditionalFormatting sqref="H88:I95">
    <cfRule type="cellIs" dxfId="1207" priority="34" stopIfTrue="1" operator="greaterThan">
      <formula>$J88</formula>
    </cfRule>
    <cfRule type="cellIs" dxfId="1206" priority="35" stopIfTrue="1" operator="lessThanOrEqual">
      <formula>0</formula>
    </cfRule>
  </conditionalFormatting>
  <conditionalFormatting sqref="H96:I96">
    <cfRule type="cellIs" dxfId="1205" priority="43" operator="greaterThan">
      <formula>5.3</formula>
    </cfRule>
  </conditionalFormatting>
  <conditionalFormatting sqref="H97:I97">
    <cfRule type="cellIs" dxfId="1204" priority="42" stopIfTrue="1" operator="lessThanOrEqual">
      <formula>0</formula>
    </cfRule>
    <cfRule type="cellIs" dxfId="1203" priority="41" stopIfTrue="1" operator="greaterThan">
      <formula>$J97</formula>
    </cfRule>
  </conditionalFormatting>
  <conditionalFormatting sqref="I72:I79">
    <cfRule type="cellIs" dxfId="1202" priority="70" stopIfTrue="1" operator="greaterThan">
      <formula>$F$88</formula>
    </cfRule>
    <cfRule type="cellIs" dxfId="1201" priority="74" stopIfTrue="1" operator="greaterThan">
      <formula>$F$88</formula>
    </cfRule>
    <cfRule type="cellIs" dxfId="1200" priority="73" stopIfTrue="1" operator="lessThanOrEqual">
      <formula>0</formula>
    </cfRule>
    <cfRule type="cellIs" dxfId="1199" priority="72" stopIfTrue="1" operator="greaterThan">
      <formula>$F$90</formula>
    </cfRule>
    <cfRule type="cellIs" dxfId="1198" priority="71" stopIfTrue="1" operator="lessThanOrEqual">
      <formula>0</formula>
    </cfRule>
    <cfRule type="cellIs" dxfId="1197" priority="75" stopIfTrue="1" operator="lessThanOrEqual">
      <formula>0</formula>
    </cfRule>
  </conditionalFormatting>
  <conditionalFormatting sqref="I80:I81">
    <cfRule type="cellIs" dxfId="1196" priority="118" stopIfTrue="1" operator="greaterThan">
      <formula>#REF!</formula>
    </cfRule>
    <cfRule type="cellIs" dxfId="1195" priority="117" stopIfTrue="1" operator="lessThanOrEqual">
      <formula>0</formula>
    </cfRule>
    <cfRule type="cellIs" dxfId="1194" priority="116" stopIfTrue="1" operator="greaterThan">
      <formula>#REF!</formula>
    </cfRule>
    <cfRule type="cellIs" dxfId="1193" priority="119" stopIfTrue="1" operator="lessThanOrEqual">
      <formula>0</formula>
    </cfRule>
    <cfRule type="cellIs" dxfId="1192" priority="115" stopIfTrue="1" operator="lessThanOrEqual">
      <formula>0</formula>
    </cfRule>
    <cfRule type="cellIs" dxfId="1191" priority="114" stopIfTrue="1" operator="greaterThan">
      <formula>#REF!</formula>
    </cfRule>
  </conditionalFormatting>
  <conditionalFormatting sqref="I82">
    <cfRule type="cellIs" dxfId="1190" priority="129" stopIfTrue="1" operator="lessThanOrEqual">
      <formula>0</formula>
    </cfRule>
    <cfRule type="cellIs" dxfId="1189" priority="128" stopIfTrue="1" operator="greaterThan">
      <formula>$F$53</formula>
    </cfRule>
    <cfRule type="cellIs" dxfId="1188" priority="130" stopIfTrue="1" operator="greaterThan">
      <formula>$F$55</formula>
    </cfRule>
    <cfRule type="cellIs" dxfId="1187" priority="131" stopIfTrue="1" operator="lessThanOrEqual">
      <formula>0</formula>
    </cfRule>
    <cfRule type="cellIs" dxfId="1186" priority="132" stopIfTrue="1" operator="greaterThan">
      <formula>$F$53</formula>
    </cfRule>
    <cfRule type="cellIs" dxfId="1185" priority="133" stopIfTrue="1" operator="lessThanOrEqual">
      <formula>0</formula>
    </cfRule>
  </conditionalFormatting>
  <conditionalFormatting sqref="I83:I84">
    <cfRule type="cellIs" dxfId="1184" priority="103" stopIfTrue="1" operator="lessThanOrEqual">
      <formula>0</formula>
    </cfRule>
    <cfRule type="cellIs" dxfId="1183" priority="100" stopIfTrue="1" operator="greaterThan">
      <formula>#REF!</formula>
    </cfRule>
    <cfRule type="cellIs" dxfId="1182" priority="98" stopIfTrue="1" operator="greaterThan">
      <formula>#REF!</formula>
    </cfRule>
    <cfRule type="cellIs" dxfId="1181" priority="102" stopIfTrue="1" operator="greaterThan">
      <formula>#REF!</formula>
    </cfRule>
    <cfRule type="cellIs" dxfId="1180" priority="101" stopIfTrue="1" operator="lessThanOrEqual">
      <formula>0</formula>
    </cfRule>
    <cfRule type="cellIs" dxfId="1179" priority="99" stopIfTrue="1" operator="lessThanOrEqual">
      <formula>0</formula>
    </cfRule>
  </conditionalFormatting>
  <conditionalFormatting sqref="I99:I107">
    <cfRule type="cellIs" dxfId="1178" priority="162" stopIfTrue="1" operator="greaterThan">
      <formula>4.5</formula>
    </cfRule>
    <cfRule type="cellIs" dxfId="1177" priority="163" stopIfTrue="1" operator="lessThanOrEqual">
      <formula>0</formula>
    </cfRule>
  </conditionalFormatting>
  <conditionalFormatting sqref="I10:J40">
    <cfRule type="cellIs" dxfId="1176" priority="4" operator="lessThan">
      <formula>97.9</formula>
    </cfRule>
  </conditionalFormatting>
  <conditionalFormatting sqref="J43">
    <cfRule type="cellIs" dxfId="1175" priority="65" operator="lessThan">
      <formula>97.95</formula>
    </cfRule>
  </conditionalFormatting>
  <conditionalFormatting sqref="J45">
    <cfRule type="cellIs" dxfId="1174" priority="140" stopIfTrue="1" operator="greaterThan">
      <formula>100</formula>
    </cfRule>
    <cfRule type="cellIs" dxfId="1173" priority="139" stopIfTrue="1" operator="lessThan">
      <formula>96.8</formula>
    </cfRule>
    <cfRule type="cellIs" dxfId="1172" priority="141" operator="lessThan">
      <formula>98</formula>
    </cfRule>
  </conditionalFormatting>
  <conditionalFormatting sqref="J45:J47">
    <cfRule type="cellIs" dxfId="1171" priority="138" operator="lessThan">
      <formula>97.4</formula>
    </cfRule>
  </conditionalFormatting>
  <conditionalFormatting sqref="J48:J49">
    <cfRule type="cellIs" dxfId="1170" priority="142" operator="lessThan">
      <formula>98</formula>
    </cfRule>
  </conditionalFormatting>
  <conditionalFormatting sqref="J50:J51">
    <cfRule type="cellIs" dxfId="1169" priority="143" stopIfTrue="1" operator="lessThan">
      <formula>96.8</formula>
    </cfRule>
    <cfRule type="cellIs" dxfId="1168" priority="144" stopIfTrue="1" operator="greaterThan">
      <formula>100</formula>
    </cfRule>
  </conditionalFormatting>
  <conditionalFormatting sqref="J50:J52">
    <cfRule type="cellIs" dxfId="1167" priority="145" operator="lessThan">
      <formula>98</formula>
    </cfRule>
  </conditionalFormatting>
  <conditionalFormatting sqref="J84">
    <cfRule type="cellIs" dxfId="1166" priority="93" stopIfTrue="1" operator="lessThanOrEqual">
      <formula>0</formula>
    </cfRule>
    <cfRule type="cellIs" dxfId="1165" priority="91" stopIfTrue="1" operator="lessThanOrEqual">
      <formula>0</formula>
    </cfRule>
    <cfRule type="cellIs" dxfId="1164" priority="90" stopIfTrue="1" operator="greaterThan">
      <formula>#REF!</formula>
    </cfRule>
    <cfRule type="cellIs" dxfId="1163" priority="89" stopIfTrue="1" operator="lessThanOrEqual">
      <formula>0</formula>
    </cfRule>
    <cfRule type="cellIs" dxfId="1162" priority="88" stopIfTrue="1" operator="greaterThan">
      <formula>#REF!</formula>
    </cfRule>
    <cfRule type="cellIs" dxfId="1161" priority="87" stopIfTrue="1" operator="lessThanOrEqual">
      <formula>0</formula>
    </cfRule>
    <cfRule type="cellIs" dxfId="1160" priority="92" stopIfTrue="1" operator="greaterThan">
      <formula>#REF!</formula>
    </cfRule>
    <cfRule type="cellIs" dxfId="1159" priority="86" stopIfTrue="1" operator="greaterThan">
      <formula>#REF!</formula>
    </cfRule>
  </conditionalFormatting>
  <conditionalFormatting sqref="J97">
    <cfRule type="cellIs" dxfId="1158" priority="49" stopIfTrue="1" operator="lessThanOrEqual">
      <formula>0</formula>
    </cfRule>
    <cfRule type="cellIs" dxfId="1157" priority="48" stopIfTrue="1" operator="greaterThan">
      <formula>$F97</formula>
    </cfRule>
  </conditionalFormatting>
  <conditionalFormatting sqref="K10:K40">
    <cfRule type="cellIs" dxfId="1156" priority="7" operator="greaterThan">
      <formula>6.4</formula>
    </cfRule>
    <cfRule type="cellIs" dxfId="1155" priority="6" operator="lessThan">
      <formula>4</formula>
    </cfRule>
    <cfRule type="cellIs" dxfId="1154" priority="5" operator="greaterThan">
      <formula>6</formula>
    </cfRule>
  </conditionalFormatting>
  <conditionalFormatting sqref="K72:K84">
    <cfRule type="cellIs" dxfId="1153" priority="80" stopIfTrue="1" operator="lessThan">
      <formula>100%</formula>
    </cfRule>
  </conditionalFormatting>
  <conditionalFormatting sqref="K99:K104">
    <cfRule type="cellIs" dxfId="1152" priority="168" stopIfTrue="1" operator="lessThan">
      <formula>100%</formula>
    </cfRule>
  </conditionalFormatting>
  <conditionalFormatting sqref="K106:K107">
    <cfRule type="cellIs" dxfId="1151" priority="175" stopIfTrue="1" operator="lessThan">
      <formula>100%</formula>
    </cfRule>
  </conditionalFormatting>
  <conditionalFormatting sqref="K88:M96">
    <cfRule type="cellIs" dxfId="1150" priority="33" stopIfTrue="1" operator="lessThan">
      <formula>100%</formula>
    </cfRule>
  </conditionalFormatting>
  <conditionalFormatting sqref="L10:L40">
    <cfRule type="cellIs" dxfId="1149" priority="11" operator="between">
      <formula>61</formula>
      <formula>65</formula>
    </cfRule>
    <cfRule type="cellIs" dxfId="1148" priority="12" operator="greaterThan">
      <formula>65</formula>
    </cfRule>
  </conditionalFormatting>
  <conditionalFormatting sqref="L43:M54">
    <cfRule type="cellIs" dxfId="1147" priority="82" operator="lessThan">
      <formula>97.95</formula>
    </cfRule>
  </conditionalFormatting>
  <conditionalFormatting sqref="L97:M97">
    <cfRule type="cellIs" dxfId="1146" priority="50" stopIfTrue="1" operator="lessThan">
      <formula>100%</formula>
    </cfRule>
  </conditionalFormatting>
  <conditionalFormatting sqref="L58:N58">
    <cfRule type="cellIs" dxfId="1145" priority="83" operator="notEqual">
      <formula>#REF!</formula>
    </cfRule>
  </conditionalFormatting>
  <conditionalFormatting sqref="L99:N107">
    <cfRule type="cellIs" dxfId="1144" priority="153" stopIfTrue="1" operator="lessThan">
      <formula>100%</formula>
    </cfRule>
  </conditionalFormatting>
  <conditionalFormatting sqref="M10:M15 M32:M38">
    <cfRule type="expression" dxfId="1143" priority="24">
      <formula>IF(+(IF(M10&lt;U10,0,IF(M10&gt;V10,0,1)))=0,1)</formula>
    </cfRule>
  </conditionalFormatting>
  <conditionalFormatting sqref="M10:N32 G16:H16 G17:G31">
    <cfRule type="expression" dxfId="1142" priority="21">
      <formula>IF(+(IF(G10&lt;#REF!,0,IF(G10&gt;#REF!,0,1)))=0,1)</formula>
    </cfRule>
  </conditionalFormatting>
  <conditionalFormatting sqref="N10:N21 N32:N38">
    <cfRule type="expression" dxfId="1141" priority="23">
      <formula>IF(+(IF(N10&lt;W10,0,IF(N10&gt;X10,0,1)))=0,1)</formula>
    </cfRule>
  </conditionalFormatting>
  <conditionalFormatting sqref="N23:N30">
    <cfRule type="expression" dxfId="1140" priority="2">
      <formula>IF(+(IF(N23&lt;#REF!,0,IF(N23&gt;#REF!,0,1)))=0,1)</formula>
    </cfRule>
    <cfRule type="expression" dxfId="1139" priority="1">
      <formula>IF(+(IF(N23&lt;W23,0,IF(N23&gt;X23,0,1)))=0,1)</formula>
    </cfRule>
  </conditionalFormatting>
  <conditionalFormatting sqref="N88:N97">
    <cfRule type="cellIs" dxfId="1138" priority="64" stopIfTrue="1" operator="lessThan">
      <formula>100%</formula>
    </cfRule>
  </conditionalFormatting>
  <conditionalFormatting sqref="P6">
    <cfRule type="cellIs" dxfId="1137" priority="149" operator="greaterThanOrEqual">
      <formula>19</formula>
    </cfRule>
  </conditionalFormatting>
  <dataValidations disablePrompts="1" count="1">
    <dataValidation type="list" allowBlank="1" showInputMessage="1" showErrorMessage="1" sqref="R8" xr:uid="{99D16F79-3962-4182-BEC9-C9F51CB788DB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101" max="16383" man="1"/>
  </rowBreaks>
  <colBreaks count="1" manualBreakCount="1">
    <brk id="15" max="89" man="1"/>
  </col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4E3CD-92C4-4629-BD91-FB5FC7932CE2}">
  <sheetPr>
    <pageSetUpPr fitToPage="1"/>
  </sheetPr>
  <dimension ref="A1:BE94"/>
  <sheetViews>
    <sheetView zoomScale="70" zoomScaleNormal="70" workbookViewId="0">
      <selection activeCell="E10" sqref="E10:E21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9.42578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4" t="s">
        <v>0</v>
      </c>
      <c r="T1" s="494"/>
      <c r="U1" s="494" t="s">
        <v>1</v>
      </c>
      <c r="V1" s="494"/>
      <c r="W1" s="494" t="s">
        <v>2</v>
      </c>
      <c r="X1" s="494"/>
      <c r="Y1" s="494" t="s">
        <v>124</v>
      </c>
      <c r="Z1" s="494"/>
    </row>
    <row r="2" spans="2:29" ht="15">
      <c r="B2" s="495" t="s">
        <v>3</v>
      </c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46105</v>
      </c>
      <c r="J4" s="398" t="s">
        <v>167</v>
      </c>
      <c r="K4" s="398"/>
      <c r="L4" s="11"/>
      <c r="M4" s="492" t="s">
        <v>8</v>
      </c>
      <c r="N4" s="493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8"/>
      <c r="D5" s="49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9" t="s">
        <v>17</v>
      </c>
      <c r="C8" s="501" t="s">
        <v>18</v>
      </c>
      <c r="D8" s="501" t="s">
        <v>19</v>
      </c>
      <c r="E8" s="356" t="s">
        <v>20</v>
      </c>
      <c r="F8" s="356" t="s">
        <v>21</v>
      </c>
      <c r="G8" s="501" t="s">
        <v>22</v>
      </c>
      <c r="H8" s="502" t="s">
        <v>144</v>
      </c>
      <c r="I8" s="501" t="s">
        <v>165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169</v>
      </c>
      <c r="O8" s="510" t="s">
        <v>155</v>
      </c>
      <c r="P8" s="496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0"/>
      <c r="C9" s="497"/>
      <c r="D9" s="497"/>
      <c r="E9" s="357" t="s">
        <v>30</v>
      </c>
      <c r="F9" s="357" t="s">
        <v>31</v>
      </c>
      <c r="G9" s="497"/>
      <c r="H9" s="503"/>
      <c r="I9" s="497"/>
      <c r="J9" s="505"/>
      <c r="K9" s="507"/>
      <c r="L9" s="509"/>
      <c r="M9" s="20" t="s">
        <v>32</v>
      </c>
      <c r="N9" s="21" t="s">
        <v>41</v>
      </c>
      <c r="O9" s="511"/>
      <c r="P9" s="497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37" t="s">
        <v>16</v>
      </c>
      <c r="C10" s="366" t="str">
        <f>[8]Brewhouse!$A39</f>
        <v>SM033</v>
      </c>
      <c r="D10" s="279">
        <f>[8]Brewhouse!$AH39</f>
        <v>53.1</v>
      </c>
      <c r="E10" s="279">
        <f>[8]Brewhouse!$AM39</f>
        <v>49.7</v>
      </c>
      <c r="F10" s="278">
        <f>[8]Brewhouse!$Z39</f>
        <v>69</v>
      </c>
      <c r="G10" s="279">
        <f>[8]Brewhouse!$AK39</f>
        <v>17.5</v>
      </c>
      <c r="H10" s="396"/>
      <c r="I10" s="368">
        <f>[8]Brewhouse!$AY39</f>
        <v>96.277512491508048</v>
      </c>
      <c r="J10" s="368">
        <f>[8]Brewhouse!$AZ39</f>
        <v>96.452250235277461</v>
      </c>
      <c r="K10" s="281">
        <f>[8]Brewhouse!$U39</f>
        <v>24.821092278719409</v>
      </c>
      <c r="L10" s="276">
        <f>[8]Brewhouse!$T39</f>
        <v>61</v>
      </c>
      <c r="M10" s="374">
        <f>[8]Brewhouse!$Y39-[8]Brewhouse!$X39</f>
        <v>0.1284722222222221</v>
      </c>
      <c r="N10" s="370">
        <f>[8]Brewhouse!$AD39</f>
        <v>0.32986111111111094</v>
      </c>
      <c r="O10" s="371" t="str">
        <f>[8]Brewhouse!$BC39</f>
        <v>R. Regis</v>
      </c>
      <c r="P10" s="418"/>
      <c r="R10" s="277" t="str">
        <f t="shared" ref="R10:R15" si="0">B10</f>
        <v>STARMALT</v>
      </c>
      <c r="S10" s="472">
        <f t="shared" ref="S10:S48" si="1">VLOOKUP($B10,$R$3:$X$9,2,FALSE)</f>
        <v>17</v>
      </c>
      <c r="T10" s="472">
        <f t="shared" ref="T10:T48" si="2">VLOOKUP($B10,$R$3:$X$9,3,FALSE)</f>
        <v>17.399999999999999</v>
      </c>
      <c r="U10" s="297">
        <f t="shared" ref="U10:U48" si="3">VLOOKUP($B10,$R$3:$X$9,4,FALSE)</f>
        <v>0</v>
      </c>
      <c r="V10" s="297">
        <f t="shared" ref="V10:V48" si="4">VLOOKUP($B10,$R$3:$X$9,5,FALSE)</f>
        <v>0.13605324074074074</v>
      </c>
      <c r="W10" s="297">
        <f t="shared" ref="W10:W48" si="5">VLOOKUP($B10,$R$3:$X$9,6,FALSE)</f>
        <v>0.27430555555555552</v>
      </c>
      <c r="X10" s="297">
        <f t="shared" ref="X10:X48" si="6">VLOOKUP($B10,$R$3:$X$9,7,FALSE)</f>
        <v>0.30902777777777779</v>
      </c>
      <c r="Y10" s="297">
        <f t="shared" ref="Y10:Y48" si="7">VLOOKUP($B10,$R$3:$Z$9,8,FALSE)</f>
        <v>0</v>
      </c>
      <c r="Z10" s="472">
        <f t="shared" ref="Z10:Z48" si="8">VLOOKUP($B10,$R$3:$Z$9,9,FALSE)</f>
        <v>85</v>
      </c>
    </row>
    <row r="11" spans="2:29" ht="15">
      <c r="B11" s="37" t="s">
        <v>16</v>
      </c>
      <c r="C11" s="366" t="str">
        <f>[8]Brewhouse!$A40</f>
        <v>SM034</v>
      </c>
      <c r="D11" s="279">
        <f>[8]Brewhouse!$AH40</f>
        <v>53.1</v>
      </c>
      <c r="E11" s="279">
        <f>[8]Brewhouse!$AM40</f>
        <v>51.3</v>
      </c>
      <c r="F11" s="278">
        <f>[8]Brewhouse!$Z40</f>
        <v>62</v>
      </c>
      <c r="G11" s="279">
        <f>[8]Brewhouse!$AK40</f>
        <v>17</v>
      </c>
      <c r="H11" s="396"/>
      <c r="I11" s="368">
        <f>[8]Brewhouse!$AY40</f>
        <v>96.506489839763731</v>
      </c>
      <c r="J11" s="368">
        <f>[8]Brewhouse!$AZ40</f>
        <v>96.68131379303253</v>
      </c>
      <c r="K11" s="281">
        <f>[8]Brewhouse!$U40</f>
        <v>17.853107344632775</v>
      </c>
      <c r="L11" s="276">
        <f>[8]Brewhouse!$T40</f>
        <v>60</v>
      </c>
      <c r="M11" s="374">
        <f>[8]Brewhouse!$Y40-[8]Brewhouse!$X40</f>
        <v>0.12986111111111109</v>
      </c>
      <c r="N11" s="370">
        <f>[8]Brewhouse!$AD40</f>
        <v>0.34166666666666667</v>
      </c>
      <c r="O11" s="371" t="str">
        <f>[8]Brewhouse!$BC40</f>
        <v>R.Sookram</v>
      </c>
      <c r="P11" s="418"/>
      <c r="R11" s="277" t="str">
        <f t="shared" si="0"/>
        <v>STARMALT</v>
      </c>
      <c r="S11" s="472">
        <f t="shared" si="1"/>
        <v>17</v>
      </c>
      <c r="T11" s="472">
        <f t="shared" si="2"/>
        <v>17.399999999999999</v>
      </c>
      <c r="U11" s="297">
        <f t="shared" si="3"/>
        <v>0</v>
      </c>
      <c r="V11" s="297">
        <f t="shared" si="4"/>
        <v>0.13605324074074074</v>
      </c>
      <c r="W11" s="297">
        <f t="shared" si="5"/>
        <v>0.27430555555555552</v>
      </c>
      <c r="X11" s="297">
        <f t="shared" si="6"/>
        <v>0.30902777777777779</v>
      </c>
      <c r="Y11" s="297">
        <f t="shared" si="7"/>
        <v>0</v>
      </c>
      <c r="Z11" s="472">
        <f t="shared" si="8"/>
        <v>85</v>
      </c>
    </row>
    <row r="12" spans="2:29" ht="15">
      <c r="B12" s="37" t="s">
        <v>16</v>
      </c>
      <c r="C12" s="366" t="str">
        <f>[8]Brewhouse!$A41</f>
        <v>SM035</v>
      </c>
      <c r="D12" s="279">
        <f>[8]Brewhouse!$AH41</f>
        <v>53.1</v>
      </c>
      <c r="E12" s="279">
        <f>[8]Brewhouse!$AM41</f>
        <v>51.1</v>
      </c>
      <c r="F12" s="278">
        <f>[8]Brewhouse!$Z41</f>
        <v>63</v>
      </c>
      <c r="G12" s="279">
        <f>[8]Brewhouse!$AK41</f>
        <v>17</v>
      </c>
      <c r="H12" s="396"/>
      <c r="I12" s="368">
        <f>[8]Brewhouse!$AY41</f>
        <v>95.74418830201364</v>
      </c>
      <c r="J12" s="368">
        <f>[8]Brewhouse!$AZ41</f>
        <v>95.918446283849875</v>
      </c>
      <c r="K12" s="281">
        <f>[8]Brewhouse!$U41</f>
        <v>21.054613935969879</v>
      </c>
      <c r="L12" s="276">
        <f>[8]Brewhouse!$T41</f>
        <v>59</v>
      </c>
      <c r="M12" s="374">
        <f>[8]Brewhouse!$Y41-[8]Brewhouse!$X41</f>
        <v>0.13888888888888884</v>
      </c>
      <c r="N12" s="370">
        <f>[8]Brewhouse!$AD41</f>
        <v>0.30763888888888885</v>
      </c>
      <c r="O12" s="371" t="str">
        <f>[8]Brewhouse!$BC41</f>
        <v>R.Sookram</v>
      </c>
      <c r="P12" s="418"/>
      <c r="R12" s="277" t="str">
        <f t="shared" si="0"/>
        <v>STARMALT</v>
      </c>
      <c r="S12" s="472">
        <f t="shared" si="1"/>
        <v>17</v>
      </c>
      <c r="T12" s="472">
        <f t="shared" si="2"/>
        <v>17.399999999999999</v>
      </c>
      <c r="U12" s="297">
        <f t="shared" si="3"/>
        <v>0</v>
      </c>
      <c r="V12" s="297">
        <f t="shared" si="4"/>
        <v>0.13605324074074074</v>
      </c>
      <c r="W12" s="297">
        <f t="shared" si="5"/>
        <v>0.27430555555555552</v>
      </c>
      <c r="X12" s="297">
        <f t="shared" si="6"/>
        <v>0.30902777777777779</v>
      </c>
      <c r="Y12" s="297">
        <f t="shared" si="7"/>
        <v>0</v>
      </c>
      <c r="Z12" s="472">
        <f t="shared" si="8"/>
        <v>85</v>
      </c>
    </row>
    <row r="13" spans="2:29" ht="15">
      <c r="B13" s="37" t="s">
        <v>16</v>
      </c>
      <c r="C13" s="366" t="str">
        <f>[8]Brewhouse!$A42</f>
        <v>SM036</v>
      </c>
      <c r="D13" s="279">
        <f>[8]Brewhouse!$AH42</f>
        <v>53.1</v>
      </c>
      <c r="E13" s="279">
        <f>[8]Brewhouse!$AM42</f>
        <v>51.7</v>
      </c>
      <c r="F13" s="278">
        <f>[8]Brewhouse!$Z42</f>
        <v>64</v>
      </c>
      <c r="G13" s="279">
        <f>[8]Brewhouse!$AK42</f>
        <v>17.3</v>
      </c>
      <c r="H13" s="396"/>
      <c r="I13" s="368">
        <f>[8]Brewhouse!$AY42</f>
        <v>99.134494554521325</v>
      </c>
      <c r="J13" s="368">
        <f>[8]Brewhouse!$AZ42</f>
        <v>99.314079204964017</v>
      </c>
      <c r="K13" s="281">
        <f>[8]Brewhouse!$U42</f>
        <v>16.346516007532969</v>
      </c>
      <c r="L13" s="276">
        <f>[8]Brewhouse!$T42</f>
        <v>60</v>
      </c>
      <c r="M13" s="374">
        <f>[8]Brewhouse!$Y42-[8]Brewhouse!$X42</f>
        <v>0.13680555555555562</v>
      </c>
      <c r="N13" s="370">
        <f>[8]Brewhouse!$AD42</f>
        <v>0.30625000000000002</v>
      </c>
      <c r="O13" s="371" t="str">
        <f>[8]Brewhouse!$BC42</f>
        <v>R.Sookram</v>
      </c>
      <c r="P13" s="418"/>
      <c r="R13" s="277" t="str">
        <f t="shared" si="0"/>
        <v>STARMALT</v>
      </c>
      <c r="S13" s="472">
        <f t="shared" si="1"/>
        <v>17</v>
      </c>
      <c r="T13" s="472">
        <f t="shared" si="2"/>
        <v>17.399999999999999</v>
      </c>
      <c r="U13" s="297">
        <f t="shared" si="3"/>
        <v>0</v>
      </c>
      <c r="V13" s="297">
        <f t="shared" si="4"/>
        <v>0.13605324074074074</v>
      </c>
      <c r="W13" s="297">
        <f t="shared" si="5"/>
        <v>0.27430555555555552</v>
      </c>
      <c r="X13" s="297">
        <f t="shared" si="6"/>
        <v>0.30902777777777779</v>
      </c>
      <c r="Y13" s="297">
        <f t="shared" si="7"/>
        <v>0</v>
      </c>
      <c r="Z13" s="472">
        <f t="shared" si="8"/>
        <v>85</v>
      </c>
    </row>
    <row r="14" spans="2:29" ht="15">
      <c r="B14" s="37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74"/>
      <c r="N14" s="370"/>
      <c r="O14" s="371"/>
      <c r="P14" s="418"/>
      <c r="R14" s="277">
        <f t="shared" si="0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5">
      <c r="B15" s="37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371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5">
      <c r="B16" s="37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371"/>
      <c r="P16" s="418"/>
      <c r="R16" s="277">
        <f t="shared" ref="R16:R48" si="9">B16</f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2:26" ht="16.5" customHeight="1">
      <c r="B17" s="29" t="s">
        <v>6</v>
      </c>
      <c r="C17" s="366" t="str">
        <f>[4]Brewhouse!$A268</f>
        <v>CA225</v>
      </c>
      <c r="D17" s="279">
        <f>[4]Brewhouse!$AF268</f>
        <v>50.5</v>
      </c>
      <c r="E17" s="279">
        <f>[4]Brewhouse!$AI268</f>
        <v>51.1</v>
      </c>
      <c r="F17" s="278">
        <f>[4]Brewhouse!$V268</f>
        <v>53</v>
      </c>
      <c r="G17" s="279">
        <f>[4]Brewhouse!AG268</f>
        <v>11.5</v>
      </c>
      <c r="H17" s="396"/>
      <c r="I17" s="368">
        <f>[4]Brewhouse!$AU268</f>
        <v>97.441660983042127</v>
      </c>
      <c r="J17" s="368">
        <f>[4]Brewhouse!$AV268</f>
        <v>97.805887826125385</v>
      </c>
      <c r="K17" s="281">
        <f>[4]Brewhouse!$Q268</f>
        <v>12.259259259259254</v>
      </c>
      <c r="L17" s="276">
        <f>[4]Brewhouse!$P268</f>
        <v>60</v>
      </c>
      <c r="M17" s="397">
        <f>[4]Brewhouse!$U268-[4]Brewhouse!$T268</f>
        <v>0.11111111111111116</v>
      </c>
      <c r="N17" s="370">
        <f>[4]Brewhouse!$Z268</f>
        <v>0.23958333333333337</v>
      </c>
      <c r="O17" s="420" t="str">
        <f>[4]Brewhouse!$AX268</f>
        <v>K. Benjamin</v>
      </c>
      <c r="P17" s="418"/>
      <c r="R17" s="277" t="str">
        <f t="shared" si="9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2:26" ht="16.5" customHeight="1">
      <c r="B18" s="29" t="s">
        <v>6</v>
      </c>
      <c r="C18" s="366" t="str">
        <f>[4]Brewhouse!$A269</f>
        <v>CA226</v>
      </c>
      <c r="D18" s="279">
        <f>[4]Brewhouse!$AF269</f>
        <v>48.7</v>
      </c>
      <c r="E18" s="279">
        <f>[4]Brewhouse!$AI269</f>
        <v>48.3</v>
      </c>
      <c r="F18" s="278">
        <f>[4]Brewhouse!$V269</f>
        <v>51</v>
      </c>
      <c r="G18" s="279">
        <f>[4]Brewhouse!AG269</f>
        <v>12.1</v>
      </c>
      <c r="H18" s="396"/>
      <c r="I18" s="368">
        <f>[4]Brewhouse!$AU269</f>
        <v>96.686043099880422</v>
      </c>
      <c r="J18" s="368">
        <f>[4]Brewhouse!$AV269</f>
        <v>97.047539438795766</v>
      </c>
      <c r="K18" s="281">
        <f>[4]Brewhouse!$Q269</f>
        <v>11.888888888888891</v>
      </c>
      <c r="L18" s="276">
        <f>[4]Brewhouse!$P269</f>
        <v>60</v>
      </c>
      <c r="M18" s="397">
        <f>[4]Brewhouse!$U269-[4]Brewhouse!$T269</f>
        <v>0.10624999999999996</v>
      </c>
      <c r="N18" s="370">
        <f>[4]Brewhouse!$Z269</f>
        <v>0.24166666666666659</v>
      </c>
      <c r="O18" s="420" t="str">
        <f>[4]Brewhouse!$AX269</f>
        <v>K. Benjamin</v>
      </c>
      <c r="P18" s="418"/>
      <c r="R18" s="277" t="str">
        <f t="shared" si="9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2:26" ht="16.5" customHeight="1">
      <c r="B19" s="29" t="s">
        <v>6</v>
      </c>
      <c r="C19" s="366" t="str">
        <f>[4]Brewhouse!$A270</f>
        <v>CA227</v>
      </c>
      <c r="D19" s="279">
        <f>[4]Brewhouse!$AF270</f>
        <v>50.9</v>
      </c>
      <c r="E19" s="279">
        <f>[4]Brewhouse!$AI270</f>
        <v>51.8</v>
      </c>
      <c r="F19" s="278">
        <f>[4]Brewhouse!$V270</f>
        <v>60</v>
      </c>
      <c r="G19" s="279">
        <f>[4]Brewhouse!AG270</f>
        <v>11.6</v>
      </c>
      <c r="H19" s="396"/>
      <c r="I19" s="368">
        <f>[4]Brewhouse!$AU270</f>
        <v>99.558186680524798</v>
      </c>
      <c r="J19" s="368">
        <f>[4]Brewhouse!$AV270</f>
        <v>99.930349143857782</v>
      </c>
      <c r="K19" s="281">
        <f>[4]Brewhouse!$Q270</f>
        <v>11.518518518518517</v>
      </c>
      <c r="L19" s="276">
        <f>[4]Brewhouse!$P270</f>
        <v>60</v>
      </c>
      <c r="M19" s="397">
        <f>[4]Brewhouse!$U270-[4]Brewhouse!$T270</f>
        <v>0.19166666666666665</v>
      </c>
      <c r="N19" s="370">
        <f>[4]Brewhouse!$Z270</f>
        <v>0.24791666666666667</v>
      </c>
      <c r="O19" s="420" t="str">
        <f>[4]Brewhouse!$AX270</f>
        <v>K. Benjamin</v>
      </c>
      <c r="P19" s="418"/>
      <c r="R19" s="277" t="str">
        <f t="shared" si="9"/>
        <v>CARIB</v>
      </c>
      <c r="S19" s="472">
        <f t="shared" si="1"/>
        <v>11.6</v>
      </c>
      <c r="T19" s="472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472">
        <f t="shared" si="8"/>
        <v>60</v>
      </c>
    </row>
    <row r="20" spans="2:26" ht="16.5" customHeight="1">
      <c r="B20" s="29" t="s">
        <v>6</v>
      </c>
      <c r="C20" s="366" t="str">
        <f>[4]Brewhouse!$A271</f>
        <v>CA228</v>
      </c>
      <c r="D20" s="279">
        <f>[4]Brewhouse!$AF271</f>
        <v>50.2</v>
      </c>
      <c r="E20" s="279">
        <f>[4]Brewhouse!$AI271</f>
        <v>50.7</v>
      </c>
      <c r="F20" s="278">
        <f>[4]Brewhouse!$V271</f>
        <v>62</v>
      </c>
      <c r="G20" s="279">
        <f>[4]Brewhouse!AG271</f>
        <v>11.9</v>
      </c>
      <c r="H20" s="396"/>
      <c r="I20" s="368">
        <f>[4]Brewhouse!$AU271</f>
        <v>100.34481040419453</v>
      </c>
      <c r="J20" s="368">
        <f>[4]Brewhouse!$AV271</f>
        <v>100.71986440083928</v>
      </c>
      <c r="K20" s="281">
        <f>[4]Brewhouse!$Q271</f>
        <v>11.497227356746762</v>
      </c>
      <c r="L20" s="276">
        <f>[4]Brewhouse!$P271</f>
        <v>62</v>
      </c>
      <c r="M20" s="397">
        <f>[4]Brewhouse!$U271-[4]Brewhouse!$T271</f>
        <v>0.10902777777777795</v>
      </c>
      <c r="N20" s="370">
        <f>[4]Brewhouse!$Z271</f>
        <v>0.24722222222222234</v>
      </c>
      <c r="O20" s="420" t="str">
        <f>[4]Brewhouse!$AX271</f>
        <v>R. Regis</v>
      </c>
      <c r="P20" s="418"/>
      <c r="R20" s="277" t="str">
        <f t="shared" si="9"/>
        <v>CARIB</v>
      </c>
      <c r="S20" s="472">
        <f t="shared" si="1"/>
        <v>11.6</v>
      </c>
      <c r="T20" s="472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472">
        <f t="shared" si="8"/>
        <v>60</v>
      </c>
    </row>
    <row r="21" spans="2:26" ht="16.5" customHeight="1">
      <c r="B21" s="29" t="s">
        <v>6</v>
      </c>
      <c r="C21" s="366" t="str">
        <f>[4]Brewhouse!$A272</f>
        <v>CA229</v>
      </c>
      <c r="D21" s="279">
        <f>[4]Brewhouse!$AF272</f>
        <v>50.5</v>
      </c>
      <c r="E21" s="279">
        <f>[4]Brewhouse!$AI272</f>
        <v>51.4</v>
      </c>
      <c r="F21" s="278">
        <f>[4]Brewhouse!$V272</f>
        <v>60</v>
      </c>
      <c r="G21" s="279">
        <f>[4]Brewhouse!AG272</f>
        <v>11.7</v>
      </c>
      <c r="H21" s="396"/>
      <c r="I21" s="368">
        <f>[4]Brewhouse!$AU272</f>
        <v>99.932598886125291</v>
      </c>
      <c r="J21" s="368">
        <f>[4]Brewhouse!$AV272</f>
        <v>100.30611217950205</v>
      </c>
      <c r="K21" s="281">
        <f>[4]Brewhouse!$Q272</f>
        <v>10.942698706099819</v>
      </c>
      <c r="L21" s="276">
        <f>[4]Brewhouse!$P272</f>
        <v>60</v>
      </c>
      <c r="M21" s="397">
        <f>[4]Brewhouse!$U272-[4]Brewhouse!$T272</f>
        <v>0.11388888888888893</v>
      </c>
      <c r="N21" s="370">
        <f>[4]Brewhouse!$Z272</f>
        <v>0.24791666666666667</v>
      </c>
      <c r="O21" s="420" t="str">
        <f>[4]Brewhouse!$AX272</f>
        <v>R. Regis</v>
      </c>
      <c r="P21" s="418"/>
      <c r="R21" s="277" t="str">
        <f t="shared" si="9"/>
        <v>CARIB</v>
      </c>
      <c r="S21" s="472">
        <f t="shared" si="1"/>
        <v>11.6</v>
      </c>
      <c r="T21" s="472">
        <f t="shared" si="2"/>
        <v>12</v>
      </c>
      <c r="U21" s="297">
        <f t="shared" si="3"/>
        <v>0</v>
      </c>
      <c r="V21" s="297">
        <f t="shared" si="4"/>
        <v>0.118055555555556</v>
      </c>
      <c r="W21" s="297">
        <f t="shared" si="5"/>
        <v>0.22569444444444445</v>
      </c>
      <c r="X21" s="297">
        <f t="shared" si="6"/>
        <v>0.2638888888888889</v>
      </c>
      <c r="Y21" s="297">
        <f t="shared" si="7"/>
        <v>0</v>
      </c>
      <c r="Z21" s="472">
        <f t="shared" si="8"/>
        <v>60</v>
      </c>
    </row>
    <row r="22" spans="2:26" ht="16.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2:26" ht="16.5" customHeight="1">
      <c r="B23" s="33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371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2:26" ht="16.5" customHeight="1">
      <c r="B24" s="48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371"/>
      <c r="P24" s="418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2:26" ht="16.5" hidden="1" customHeight="1">
      <c r="B25" s="33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74"/>
      <c r="N25" s="370"/>
      <c r="O25" s="371"/>
      <c r="P25" s="418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2:26" ht="16.5" hidden="1" customHeight="1">
      <c r="B26" s="33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74"/>
      <c r="N26" s="370"/>
      <c r="O26" s="371"/>
      <c r="P26" s="418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2:26" ht="16.5" hidden="1" customHeight="1">
      <c r="B27" s="33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74"/>
      <c r="N27" s="370"/>
      <c r="O27" s="371"/>
      <c r="P27" s="418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2:26" ht="16.5" hidden="1" customHeight="1">
      <c r="B28" s="33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74"/>
      <c r="N28" s="370"/>
      <c r="O28" s="371"/>
      <c r="P28" s="418"/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2:26" ht="16.5" hidden="1" customHeight="1">
      <c r="B29" s="33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74"/>
      <c r="N29" s="370"/>
      <c r="O29" s="371"/>
      <c r="P29" s="418"/>
      <c r="R29" s="277">
        <f t="shared" si="9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2:26" ht="16.5" hidden="1" customHeight="1">
      <c r="B30" s="33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74"/>
      <c r="N30" s="370"/>
      <c r="O30" s="371"/>
      <c r="P30" s="418"/>
      <c r="R30" s="277">
        <f t="shared" si="9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2:26" ht="16.5" hidden="1" customHeight="1">
      <c r="B31" s="33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74"/>
      <c r="N31" s="370"/>
      <c r="O31" s="371"/>
      <c r="P31" s="418"/>
      <c r="R31" s="277">
        <f t="shared" si="9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2:26" ht="16.5" hidden="1" customHeight="1">
      <c r="B32" s="33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74"/>
      <c r="N32" s="370"/>
      <c r="O32" s="371"/>
      <c r="P32" s="418"/>
      <c r="R32" s="277">
        <f t="shared" si="9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27" ht="16.5" hidden="1" customHeight="1">
      <c r="B33" s="33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74"/>
      <c r="N33" s="370"/>
      <c r="O33" s="371"/>
      <c r="P33" s="418"/>
      <c r="R33" s="277">
        <f t="shared" si="9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27" ht="16.5" hidden="1" customHeight="1">
      <c r="B34" s="48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420"/>
      <c r="P34" s="418"/>
      <c r="R34" s="277">
        <f t="shared" si="9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27" ht="16.5" hidden="1" customHeight="1">
      <c r="B35" s="37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74"/>
      <c r="N35" s="370"/>
      <c r="O35" s="371"/>
      <c r="P35" s="418"/>
      <c r="R35" s="277">
        <f t="shared" si="9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27" ht="16.5" hidden="1" customHeight="1">
      <c r="B36" s="37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74"/>
      <c r="N36" s="370"/>
      <c r="O36" s="371"/>
      <c r="P36" s="418"/>
      <c r="R36" s="277">
        <f t="shared" si="9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1:27" ht="16.5" hidden="1" customHeight="1">
      <c r="B37" s="37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74"/>
      <c r="N37" s="370"/>
      <c r="O37" s="371"/>
      <c r="P37" s="418"/>
      <c r="R37" s="277">
        <f t="shared" si="9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</row>
    <row r="38" spans="1:27" ht="15" hidden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74"/>
      <c r="N38" s="370"/>
      <c r="O38" s="371"/>
      <c r="P38" s="418"/>
      <c r="R38" s="277">
        <f t="shared" si="9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</row>
    <row r="39" spans="1:27" ht="18" hidden="1" customHeight="1">
      <c r="B39" s="29"/>
      <c r="C39" s="366"/>
      <c r="D39" s="279"/>
      <c r="E39" s="279"/>
      <c r="F39" s="278"/>
      <c r="G39" s="279"/>
      <c r="H39" s="487"/>
      <c r="I39" s="368"/>
      <c r="J39" s="368"/>
      <c r="K39" s="281"/>
      <c r="L39" s="276"/>
      <c r="M39" s="374"/>
      <c r="N39" s="370"/>
      <c r="O39" s="371"/>
      <c r="P39" s="418"/>
      <c r="R39" s="277">
        <f t="shared" si="9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</row>
    <row r="40" spans="1:27" ht="16.5" hidden="1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371"/>
      <c r="P40" s="418"/>
      <c r="R40" s="277">
        <f t="shared" si="9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</row>
    <row r="41" spans="1:27" ht="15.75" customHeight="1" thickBot="1">
      <c r="B41" s="358"/>
      <c r="C41" s="358"/>
      <c r="D41" s="358"/>
      <c r="E41" s="358"/>
      <c r="F41" s="294"/>
      <c r="G41" s="294"/>
      <c r="H41" s="348"/>
      <c r="I41" s="512"/>
      <c r="J41" s="512"/>
      <c r="K41" s="512"/>
      <c r="L41" s="512"/>
      <c r="M41" s="512"/>
      <c r="N41" s="512"/>
      <c r="O41" s="1"/>
      <c r="P41" s="12"/>
      <c r="R41" s="277">
        <f t="shared" si="9"/>
        <v>0</v>
      </c>
      <c r="S41" s="472" t="e">
        <f t="shared" si="1"/>
        <v>#N/A</v>
      </c>
      <c r="T41" s="472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2" t="e">
        <f t="shared" si="8"/>
        <v>#N/A</v>
      </c>
    </row>
    <row r="42" spans="1:27" ht="15.75" customHeight="1" thickBot="1">
      <c r="B42" s="388" t="s">
        <v>162</v>
      </c>
      <c r="C42" s="388"/>
      <c r="D42" s="513" t="s">
        <v>35</v>
      </c>
      <c r="E42" s="514"/>
      <c r="F42" s="294"/>
      <c r="G42" s="294"/>
      <c r="H42" s="348"/>
      <c r="I42" s="24" t="s">
        <v>17</v>
      </c>
      <c r="J42" s="25"/>
      <c r="K42" s="26" t="s">
        <v>138</v>
      </c>
      <c r="L42" s="25" t="s">
        <v>37</v>
      </c>
      <c r="M42" s="25" t="s">
        <v>38</v>
      </c>
      <c r="N42" s="27" t="s">
        <v>39</v>
      </c>
      <c r="O42" s="294"/>
      <c r="P42" s="12"/>
      <c r="R42" s="277" t="str">
        <f t="shared" si="9"/>
        <v xml:space="preserve">BRAND </v>
      </c>
      <c r="S42" s="472" t="e">
        <f t="shared" si="1"/>
        <v>#N/A</v>
      </c>
      <c r="T42" s="472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472" t="e">
        <f t="shared" si="8"/>
        <v>#N/A</v>
      </c>
    </row>
    <row r="43" spans="1:27" ht="15" customHeight="1">
      <c r="A43" s="28"/>
      <c r="B43" s="515"/>
      <c r="C43" s="362"/>
      <c r="D43" s="518"/>
      <c r="E43" s="519"/>
      <c r="F43" s="294"/>
      <c r="G43" s="294"/>
      <c r="H43" s="348"/>
      <c r="I43" s="29" t="s">
        <v>6</v>
      </c>
      <c r="J43" s="323">
        <f>AVERAGE(I17:I21)</f>
        <v>98.792660010753423</v>
      </c>
      <c r="K43" s="284">
        <f>COUNTA([4]Brewhouse!$A$198:$A$272)</f>
        <v>75</v>
      </c>
      <c r="L43" s="305">
        <f>AVERAGE([4]Brewhouse!$AU$198:$AU$272)</f>
        <v>98.166891003887642</v>
      </c>
      <c r="M43" s="305">
        <f>AVERAGE([4]Brewhouse!$AU$42:$AU$123,[4]Brewhouse!$AU$125:$AU$188,[4]Brewhouse!$AU$198:$AU$272)</f>
        <v>97.789972049957669</v>
      </c>
      <c r="N43" s="30">
        <v>98</v>
      </c>
      <c r="O43" s="11"/>
      <c r="P43" s="31"/>
      <c r="R43" s="277">
        <f t="shared" si="9"/>
        <v>0</v>
      </c>
      <c r="S43" s="472" t="e">
        <f t="shared" si="1"/>
        <v>#N/A</v>
      </c>
      <c r="T43" s="472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472" t="e">
        <f t="shared" si="8"/>
        <v>#N/A</v>
      </c>
    </row>
    <row r="44" spans="1:27" ht="15" customHeight="1">
      <c r="A44" s="28"/>
      <c r="B44" s="516"/>
      <c r="C44" s="362"/>
      <c r="D44" s="520"/>
      <c r="E44" s="521"/>
      <c r="F44" s="294"/>
      <c r="G44" s="294"/>
      <c r="H44" s="348"/>
      <c r="I44" s="33" t="s">
        <v>9</v>
      </c>
      <c r="J44" s="280"/>
      <c r="K44" s="284">
        <f>COUNTA([3]Brewhouse!$A$134:$A$169)</f>
        <v>36</v>
      </c>
      <c r="L44" s="302">
        <f>AVERAGE([3]Brewhouse!$AS$134:$AS$169)</f>
        <v>98.548334749686148</v>
      </c>
      <c r="M44" s="302">
        <f>AVERAGE([3]Brewhouse!$AS$52:$AS$81,[3]Brewhouse!$AS$83:$AS$124,[3]Brewhouse!$AS$134:$AS$169)</f>
        <v>98.393852349390286</v>
      </c>
      <c r="N44" s="30">
        <v>98</v>
      </c>
      <c r="O44" s="11"/>
      <c r="P44" s="31"/>
      <c r="R44" s="277">
        <f t="shared" si="9"/>
        <v>0</v>
      </c>
      <c r="S44" s="472" t="e">
        <f t="shared" si="1"/>
        <v>#N/A</v>
      </c>
      <c r="T44" s="472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472" t="e">
        <f t="shared" si="8"/>
        <v>#N/A</v>
      </c>
    </row>
    <row r="45" spans="1:27" ht="14.65" customHeight="1">
      <c r="A45" s="28"/>
      <c r="B45" s="516"/>
      <c r="C45" s="362"/>
      <c r="D45" s="522"/>
      <c r="E45" s="523"/>
      <c r="F45" s="294"/>
      <c r="G45" s="294"/>
      <c r="H45" s="348"/>
      <c r="I45" s="34" t="s">
        <v>12</v>
      </c>
      <c r="J45" s="280"/>
      <c r="K45" s="284">
        <f>COUNTA([5]Brewhouse!$A$34:$A$41)</f>
        <v>8</v>
      </c>
      <c r="L45" s="302">
        <f>AVERAGE([5]Brewhouse!$AU$34:$AU$41)</f>
        <v>94.762610859726223</v>
      </c>
      <c r="M45" s="302">
        <f>AVERAGE([5]Brewhouse!$AU$16:$AU$23,[5]Brewhouse!$AU$25:$AU$32,[5]Brewhouse!$AU$34:$AU$41)</f>
        <v>97.131453825415363</v>
      </c>
      <c r="N45" s="30">
        <v>98</v>
      </c>
      <c r="O45" s="11"/>
      <c r="P45" s="31"/>
      <c r="R45" s="277">
        <f t="shared" si="9"/>
        <v>0</v>
      </c>
      <c r="S45" s="472" t="e">
        <f t="shared" si="1"/>
        <v>#N/A</v>
      </c>
      <c r="T45" s="472" t="e">
        <f t="shared" si="2"/>
        <v>#N/A</v>
      </c>
      <c r="U45" s="297" t="e">
        <f t="shared" si="3"/>
        <v>#N/A</v>
      </c>
      <c r="V45" s="297" t="e">
        <f t="shared" si="4"/>
        <v>#N/A</v>
      </c>
      <c r="W45" s="297" t="e">
        <f t="shared" si="5"/>
        <v>#N/A</v>
      </c>
      <c r="X45" s="297" t="e">
        <f t="shared" si="6"/>
        <v>#N/A</v>
      </c>
      <c r="Y45" s="297" t="e">
        <f t="shared" si="7"/>
        <v>#N/A</v>
      </c>
      <c r="Z45" s="472" t="e">
        <f t="shared" si="8"/>
        <v>#N/A</v>
      </c>
    </row>
    <row r="46" spans="1:27" ht="14.65" customHeight="1">
      <c r="A46" s="28"/>
      <c r="B46" s="516"/>
      <c r="C46" s="362"/>
      <c r="D46" s="524"/>
      <c r="E46" s="521"/>
      <c r="F46" s="294"/>
      <c r="G46" s="294"/>
      <c r="H46" s="348"/>
      <c r="I46" s="22" t="s">
        <v>33</v>
      </c>
      <c r="J46" s="280"/>
      <c r="K46" s="284">
        <f>COUNTA([6]Brewhouse!$A$38:$A$44)</f>
        <v>7</v>
      </c>
      <c r="L46" s="302">
        <f>AVERAGE([6]Brewhouse!$AV$38:$AV$44)</f>
        <v>96.929916494140343</v>
      </c>
      <c r="M46" s="302">
        <f>AVERAGE([6]Brewhouse!$AV$23:$AV$34,[6]Brewhouse!$AV$36,[6]Brewhouse!$AV$38:$AV$44)</f>
        <v>97.74055230745536</v>
      </c>
      <c r="N46" s="30">
        <v>98</v>
      </c>
      <c r="O46" s="11"/>
      <c r="P46" s="31"/>
      <c r="R46" s="277">
        <f t="shared" si="9"/>
        <v>0</v>
      </c>
      <c r="S46" s="472" t="e">
        <f t="shared" si="1"/>
        <v>#N/A</v>
      </c>
      <c r="T46" s="472" t="e">
        <f t="shared" si="2"/>
        <v>#N/A</v>
      </c>
      <c r="U46" s="297" t="e">
        <f t="shared" si="3"/>
        <v>#N/A</v>
      </c>
      <c r="V46" s="297" t="e">
        <f t="shared" si="4"/>
        <v>#N/A</v>
      </c>
      <c r="W46" s="297" t="e">
        <f t="shared" si="5"/>
        <v>#N/A</v>
      </c>
      <c r="X46" s="297" t="e">
        <f t="shared" si="6"/>
        <v>#N/A</v>
      </c>
      <c r="Y46" s="297" t="e">
        <f t="shared" si="7"/>
        <v>#N/A</v>
      </c>
      <c r="Z46" s="472" t="e">
        <f t="shared" si="8"/>
        <v>#N/A</v>
      </c>
    </row>
    <row r="47" spans="1:27" ht="14.65" customHeight="1">
      <c r="A47" s="28"/>
      <c r="B47" s="516"/>
      <c r="C47" s="362"/>
      <c r="D47" s="522"/>
      <c r="E47" s="523"/>
      <c r="F47" s="417"/>
      <c r="G47" s="294"/>
      <c r="H47" s="348"/>
      <c r="I47" s="35" t="s">
        <v>29</v>
      </c>
      <c r="J47" s="280"/>
      <c r="K47" s="284"/>
      <c r="L47" s="302"/>
      <c r="M47" s="302"/>
      <c r="N47" s="30">
        <v>98</v>
      </c>
      <c r="O47" s="11"/>
      <c r="P47" s="31"/>
      <c r="R47" s="277">
        <f t="shared" si="9"/>
        <v>0</v>
      </c>
      <c r="S47" s="472" t="e">
        <f t="shared" si="1"/>
        <v>#N/A</v>
      </c>
      <c r="T47" s="472" t="e">
        <f t="shared" si="2"/>
        <v>#N/A</v>
      </c>
      <c r="U47" s="297" t="e">
        <f t="shared" si="3"/>
        <v>#N/A</v>
      </c>
      <c r="V47" s="297" t="e">
        <f t="shared" si="4"/>
        <v>#N/A</v>
      </c>
      <c r="W47" s="297" t="e">
        <f t="shared" si="5"/>
        <v>#N/A</v>
      </c>
      <c r="X47" s="297" t="e">
        <f t="shared" si="6"/>
        <v>#N/A</v>
      </c>
      <c r="Y47" s="297" t="e">
        <f t="shared" si="7"/>
        <v>#N/A</v>
      </c>
      <c r="Z47" s="472" t="e">
        <f t="shared" si="8"/>
        <v>#N/A</v>
      </c>
    </row>
    <row r="48" spans="1:27" ht="14.65" customHeight="1">
      <c r="A48" s="28"/>
      <c r="B48" s="516"/>
      <c r="C48" s="362"/>
      <c r="D48" s="524"/>
      <c r="E48" s="521"/>
      <c r="F48" s="417"/>
      <c r="G48" s="294"/>
      <c r="H48" s="348"/>
      <c r="I48" s="36" t="s">
        <v>15</v>
      </c>
      <c r="J48" s="323"/>
      <c r="K48" s="284"/>
      <c r="L48" s="302"/>
      <c r="M48" s="302">
        <f>AVERAGE([7]Brewhouse!$AT$4:$AT$11)</f>
        <v>92.826224508052405</v>
      </c>
      <c r="N48" s="30">
        <v>98</v>
      </c>
      <c r="O48" s="11"/>
      <c r="P48" s="31"/>
      <c r="R48" s="277">
        <f t="shared" si="9"/>
        <v>0</v>
      </c>
      <c r="S48" s="472" t="e">
        <f t="shared" si="1"/>
        <v>#N/A</v>
      </c>
      <c r="T48" s="472" t="e">
        <f t="shared" si="2"/>
        <v>#N/A</v>
      </c>
      <c r="U48" s="297" t="e">
        <f t="shared" si="3"/>
        <v>#N/A</v>
      </c>
      <c r="V48" s="297" t="e">
        <f t="shared" si="4"/>
        <v>#N/A</v>
      </c>
      <c r="W48" s="297" t="e">
        <f t="shared" si="5"/>
        <v>#N/A</v>
      </c>
      <c r="X48" s="297" t="e">
        <f t="shared" si="6"/>
        <v>#N/A</v>
      </c>
      <c r="Y48" s="297" t="e">
        <f t="shared" si="7"/>
        <v>#N/A</v>
      </c>
      <c r="Z48" s="472" t="e">
        <f t="shared" si="8"/>
        <v>#N/A</v>
      </c>
      <c r="AA48" s="472"/>
    </row>
    <row r="49" spans="1:56" ht="14.65" customHeight="1">
      <c r="A49" s="28"/>
      <c r="B49" s="516"/>
      <c r="C49" s="362"/>
      <c r="D49" s="522"/>
      <c r="E49" s="523"/>
      <c r="F49" s="417"/>
      <c r="G49" s="294"/>
      <c r="H49" s="348"/>
      <c r="I49" s="37" t="s">
        <v>16</v>
      </c>
      <c r="J49" s="323">
        <f>AVERAGE(I10:I13)</f>
        <v>96.915671296951686</v>
      </c>
      <c r="K49" s="284">
        <f>COUNTA([8]Brewhouse!$A$25:$A$42)</f>
        <v>18</v>
      </c>
      <c r="L49" s="302">
        <f>AVERAGE([8]Brewhouse!$AY$42)</f>
        <v>99.134494554521325</v>
      </c>
      <c r="M49" s="302">
        <f>AVERAGE([8]Brewhouse!$AY$5:$AY$14,[8]Brewhouse!$AY$16:$AY$23,[8]Brewhouse!$AY$42)</f>
        <v>97.390503559857137</v>
      </c>
      <c r="N49" s="30">
        <v>98</v>
      </c>
      <c r="O49" s="11"/>
      <c r="P49" s="31" t="s">
        <v>41</v>
      </c>
      <c r="R49" s="277">
        <f t="shared" ref="R49:R54" si="10">B49</f>
        <v>0</v>
      </c>
      <c r="S49" s="472" t="e">
        <f t="shared" ref="S49:S54" si="11">VLOOKUP($B49,$R$3:$X$9,2,FALSE)</f>
        <v>#N/A</v>
      </c>
      <c r="T49" s="472" t="e">
        <f t="shared" ref="T49:T54" si="12">VLOOKUP($B49,$R$3:$X$9,3,FALSE)</f>
        <v>#N/A</v>
      </c>
      <c r="U49" s="297" t="e">
        <f t="shared" ref="U49:U54" si="13">VLOOKUP($B49,$R$3:$X$9,4,FALSE)</f>
        <v>#N/A</v>
      </c>
      <c r="V49" s="297" t="e">
        <f t="shared" ref="V49:V54" si="14">VLOOKUP($B49,$R$3:$X$9,5,FALSE)</f>
        <v>#N/A</v>
      </c>
      <c r="W49" s="297" t="e">
        <f t="shared" ref="W49:W54" si="15">VLOOKUP($B49,$R$3:$X$9,6,FALSE)</f>
        <v>#N/A</v>
      </c>
      <c r="X49" s="297" t="e">
        <f t="shared" ref="X49:X54" si="16">VLOOKUP($B49,$R$3:$X$9,7,FALSE)</f>
        <v>#N/A</v>
      </c>
      <c r="Y49" s="297" t="e">
        <f t="shared" ref="Y49:Y54" si="17">VLOOKUP($B49,$R$3:$Z$9,8,FALSE)</f>
        <v>#N/A</v>
      </c>
      <c r="Z49" s="472" t="e">
        <f t="shared" ref="Z49:Z54" si="18">VLOOKUP($B49,$R$3:$Z$9,9,FALSE)</f>
        <v>#N/A</v>
      </c>
      <c r="AA49" s="472"/>
    </row>
    <row r="50" spans="1:56" ht="14.65" customHeight="1">
      <c r="A50" s="28"/>
      <c r="B50" s="516"/>
      <c r="C50" s="362"/>
      <c r="D50" s="524"/>
      <c r="E50" s="521"/>
      <c r="F50" s="294"/>
      <c r="G50" s="294"/>
      <c r="H50" s="348"/>
      <c r="I50" s="411" t="s">
        <v>158</v>
      </c>
      <c r="J50" s="326"/>
      <c r="K50" s="284"/>
      <c r="L50" s="305"/>
      <c r="M50" s="305"/>
      <c r="N50" s="30">
        <v>98</v>
      </c>
      <c r="O50" s="11"/>
      <c r="P50" s="31"/>
      <c r="R50" s="277">
        <f t="shared" si="10"/>
        <v>0</v>
      </c>
      <c r="S50" s="472" t="e">
        <f t="shared" si="11"/>
        <v>#N/A</v>
      </c>
      <c r="T50" s="472" t="e">
        <f t="shared" si="12"/>
        <v>#N/A</v>
      </c>
      <c r="U50" s="297" t="e">
        <f t="shared" si="13"/>
        <v>#N/A</v>
      </c>
      <c r="V50" s="297" t="e">
        <f t="shared" si="14"/>
        <v>#N/A</v>
      </c>
      <c r="W50" s="297" t="e">
        <f t="shared" si="15"/>
        <v>#N/A</v>
      </c>
      <c r="X50" s="297" t="e">
        <f t="shared" si="16"/>
        <v>#N/A</v>
      </c>
      <c r="Y50" s="297" t="e">
        <f t="shared" si="17"/>
        <v>#N/A</v>
      </c>
      <c r="Z50" s="472" t="e">
        <f t="shared" si="18"/>
        <v>#N/A</v>
      </c>
      <c r="AA50" s="472"/>
    </row>
    <row r="51" spans="1:56" ht="14.65" customHeight="1">
      <c r="A51" s="28"/>
      <c r="B51" s="516"/>
      <c r="C51" s="349"/>
      <c r="D51" s="522"/>
      <c r="E51" s="523"/>
      <c r="F51" s="294"/>
      <c r="G51" s="294"/>
      <c r="H51" s="348"/>
      <c r="I51" s="410" t="s">
        <v>157</v>
      </c>
      <c r="J51" s="326"/>
      <c r="K51" s="284"/>
      <c r="L51" s="305"/>
      <c r="M51" s="305"/>
      <c r="N51" s="30">
        <v>98</v>
      </c>
      <c r="O51" s="11"/>
      <c r="P51" s="31"/>
      <c r="R51" s="277">
        <f t="shared" si="10"/>
        <v>0</v>
      </c>
      <c r="S51" s="472" t="e">
        <f t="shared" si="11"/>
        <v>#N/A</v>
      </c>
      <c r="T51" s="472" t="e">
        <f t="shared" si="12"/>
        <v>#N/A</v>
      </c>
      <c r="U51" s="297" t="e">
        <f t="shared" si="13"/>
        <v>#N/A</v>
      </c>
      <c r="V51" s="297" t="e">
        <f t="shared" si="14"/>
        <v>#N/A</v>
      </c>
      <c r="W51" s="297" t="e">
        <f t="shared" si="15"/>
        <v>#N/A</v>
      </c>
      <c r="X51" s="297" t="e">
        <f t="shared" si="16"/>
        <v>#N/A</v>
      </c>
      <c r="Y51" s="297" t="e">
        <f t="shared" si="17"/>
        <v>#N/A</v>
      </c>
      <c r="Z51" s="472" t="e">
        <f t="shared" si="18"/>
        <v>#N/A</v>
      </c>
      <c r="AA51" s="472"/>
    </row>
    <row r="52" spans="1:56" ht="15" customHeight="1" thickBot="1">
      <c r="A52" s="28"/>
      <c r="B52" s="516"/>
      <c r="C52" s="349"/>
      <c r="D52" s="524"/>
      <c r="E52" s="521"/>
      <c r="F52" s="294"/>
      <c r="G52" s="294"/>
      <c r="H52" s="348"/>
      <c r="I52" s="406" t="s">
        <v>156</v>
      </c>
      <c r="J52" s="327"/>
      <c r="K52" s="407"/>
      <c r="L52" s="408"/>
      <c r="M52" s="408"/>
      <c r="N52" s="409">
        <v>98</v>
      </c>
      <c r="O52" s="11"/>
      <c r="P52" s="31"/>
      <c r="R52" s="277">
        <f t="shared" si="10"/>
        <v>0</v>
      </c>
      <c r="S52" s="472" t="e">
        <f t="shared" si="11"/>
        <v>#N/A</v>
      </c>
      <c r="T52" s="472" t="e">
        <f t="shared" si="12"/>
        <v>#N/A</v>
      </c>
      <c r="U52" s="297" t="e">
        <f t="shared" si="13"/>
        <v>#N/A</v>
      </c>
      <c r="V52" s="297" t="e">
        <f t="shared" si="14"/>
        <v>#N/A</v>
      </c>
      <c r="W52" s="297" t="e">
        <f t="shared" si="15"/>
        <v>#N/A</v>
      </c>
      <c r="X52" s="297" t="e">
        <f t="shared" si="16"/>
        <v>#N/A</v>
      </c>
      <c r="Y52" s="297" t="e">
        <f t="shared" si="17"/>
        <v>#N/A</v>
      </c>
      <c r="Z52" s="472" t="e">
        <f t="shared" si="18"/>
        <v>#N/A</v>
      </c>
      <c r="AA52" s="472"/>
    </row>
    <row r="53" spans="1:56" ht="15" customHeight="1" thickBot="1">
      <c r="A53" s="28"/>
      <c r="B53" s="516"/>
      <c r="C53" s="349"/>
      <c r="D53" s="518"/>
      <c r="E53" s="519"/>
      <c r="F53" s="294"/>
      <c r="G53" s="294"/>
      <c r="H53" s="348"/>
      <c r="I53" s="1"/>
      <c r="J53" s="39"/>
      <c r="K53" s="404">
        <f>SUM(K43:K52)</f>
        <v>144</v>
      </c>
      <c r="L53" s="405">
        <f>((L43*K43)+(L44*K44)+(L45*K45)+(L46*K46)+(L47*K47)+(K50*L50)+(L48*K48)+(L49*K49)+(L52*K52))/(K53)</f>
        <v>98.133945004155905</v>
      </c>
      <c r="M53" s="405">
        <f>AVERAGE('[9]Jan30th-31st'!$L$42,L53)</f>
        <v>97.980993369998686</v>
      </c>
      <c r="N53" s="40">
        <v>98</v>
      </c>
      <c r="O53" s="11"/>
      <c r="P53" s="31"/>
      <c r="R53" s="277">
        <f t="shared" si="10"/>
        <v>0</v>
      </c>
      <c r="S53" s="472" t="e">
        <f t="shared" si="11"/>
        <v>#N/A</v>
      </c>
      <c r="T53" s="472" t="e">
        <f t="shared" si="12"/>
        <v>#N/A</v>
      </c>
      <c r="U53" s="297" t="e">
        <f t="shared" si="13"/>
        <v>#N/A</v>
      </c>
      <c r="V53" s="297" t="e">
        <f t="shared" si="14"/>
        <v>#N/A</v>
      </c>
      <c r="W53" s="297" t="e">
        <f t="shared" si="15"/>
        <v>#N/A</v>
      </c>
      <c r="X53" s="297" t="e">
        <f t="shared" si="16"/>
        <v>#N/A</v>
      </c>
      <c r="Y53" s="297" t="e">
        <f t="shared" si="17"/>
        <v>#N/A</v>
      </c>
      <c r="Z53" s="472" t="e">
        <f t="shared" si="18"/>
        <v>#N/A</v>
      </c>
      <c r="AA53" s="472"/>
    </row>
    <row r="54" spans="1:56" ht="15.75" thickBot="1">
      <c r="B54" s="517"/>
      <c r="C54" s="350"/>
      <c r="D54" s="520"/>
      <c r="E54" s="521"/>
      <c r="F54" s="294"/>
      <c r="G54" s="42"/>
      <c r="H54" s="41"/>
      <c r="I54" s="42"/>
      <c r="J54" s="42"/>
      <c r="K54" s="351"/>
      <c r="L54" s="348"/>
      <c r="M54" s="348"/>
      <c r="N54" s="11"/>
      <c r="O54" s="294"/>
      <c r="P54" s="12"/>
      <c r="R54" s="277">
        <f t="shared" si="10"/>
        <v>0</v>
      </c>
      <c r="S54" s="472" t="e">
        <f t="shared" si="11"/>
        <v>#N/A</v>
      </c>
      <c r="T54" s="472" t="e">
        <f t="shared" si="12"/>
        <v>#N/A</v>
      </c>
      <c r="U54" s="297" t="e">
        <f t="shared" si="13"/>
        <v>#N/A</v>
      </c>
      <c r="V54" s="297" t="e">
        <f t="shared" si="14"/>
        <v>#N/A</v>
      </c>
      <c r="W54" s="297" t="e">
        <f t="shared" si="15"/>
        <v>#N/A</v>
      </c>
      <c r="X54" s="297" t="e">
        <f t="shared" si="16"/>
        <v>#N/A</v>
      </c>
      <c r="Y54" s="297" t="e">
        <f t="shared" si="17"/>
        <v>#N/A</v>
      </c>
      <c r="Z54" s="472" t="e">
        <f t="shared" si="18"/>
        <v>#N/A</v>
      </c>
      <c r="AA54" s="472"/>
    </row>
    <row r="55" spans="1:56" ht="15.75" thickBot="1">
      <c r="B55" s="525"/>
      <c r="C55" s="362"/>
      <c r="D55" s="528"/>
      <c r="E55" s="529"/>
      <c r="F55" s="294"/>
      <c r="G55" s="42"/>
      <c r="H55" s="41"/>
      <c r="I55" s="42"/>
      <c r="J55" s="530" t="s">
        <v>129</v>
      </c>
      <c r="K55" s="530"/>
      <c r="L55" s="294"/>
      <c r="M55" s="294"/>
      <c r="N55" s="294"/>
      <c r="O55" s="294"/>
      <c r="P55" s="12"/>
    </row>
    <row r="56" spans="1:56" ht="15.75" thickBot="1">
      <c r="B56" s="526"/>
      <c r="C56" s="362"/>
      <c r="D56" s="524"/>
      <c r="E56" s="521"/>
      <c r="F56" s="294"/>
      <c r="G56" s="42"/>
      <c r="H56" s="42"/>
      <c r="I56" s="42"/>
      <c r="J56" s="292" t="s">
        <v>17</v>
      </c>
      <c r="K56" s="293" t="s">
        <v>172</v>
      </c>
      <c r="L56" s="531" t="s">
        <v>136</v>
      </c>
      <c r="M56" s="531"/>
      <c r="N56" s="532"/>
      <c r="O56" s="294"/>
      <c r="P56" s="12"/>
    </row>
    <row r="57" spans="1:56" ht="15" customHeight="1" thickBot="1">
      <c r="B57" s="526"/>
      <c r="C57" s="349"/>
      <c r="D57" s="522"/>
      <c r="E57" s="523"/>
      <c r="F57" s="294"/>
      <c r="G57" s="42"/>
      <c r="H57" s="42"/>
      <c r="I57" s="42"/>
      <c r="J57" s="287" t="s">
        <v>6</v>
      </c>
      <c r="K57" s="324">
        <v>5</v>
      </c>
      <c r="L57" s="473" t="s">
        <v>37</v>
      </c>
      <c r="M57" s="474" t="s">
        <v>38</v>
      </c>
      <c r="N57" s="474" t="s">
        <v>84</v>
      </c>
      <c r="O57" s="294"/>
      <c r="P57" s="12"/>
    </row>
    <row r="58" spans="1:56" ht="15.75" customHeight="1" thickBot="1">
      <c r="B58" s="526"/>
      <c r="C58" s="349"/>
      <c r="D58" s="524"/>
      <c r="E58" s="521"/>
      <c r="F58" s="294"/>
      <c r="G58" s="42"/>
      <c r="H58" s="42"/>
      <c r="I58" s="42"/>
      <c r="J58" s="345" t="s">
        <v>9</v>
      </c>
      <c r="K58" s="324"/>
      <c r="L58" s="344">
        <f>AVERAGE(K67,'Mar 2nd'!K49,'Mar 1st'!K55,'Mar 3rd'!K49,'Mar 4th'!K51,'Mar 5th'!K52,'Mar 6th '!K49,'Mar 9th'!K53,'Mar 10th'!K47,'Mar 11th'!K50,'Mar 12th'!K51,'Mar 13th-15th'!J73,'Mar 13th-15th'!I73,'Mar 16th'!K58,'Mar 18th'!K55,'Mar 19th'!K52,'Mar 20th -22nd'!I67,'Mar 20th -22nd'!J67,'Mar 20th -22nd'!K67)</f>
        <v>7.4736842105263159</v>
      </c>
      <c r="M58" s="325">
        <f>AVERAGE('[9]Jan30th-31st'!$L$47,L58,'[10]Feb 26th '!$L$39)</f>
        <v>6.5535469107551494</v>
      </c>
      <c r="N58" s="416">
        <v>9.1999999999999993</v>
      </c>
      <c r="O58" s="294"/>
      <c r="P58" s="12"/>
    </row>
    <row r="59" spans="1:56" ht="15" customHeight="1">
      <c r="B59" s="526"/>
      <c r="C59" s="349"/>
      <c r="D59" s="522"/>
      <c r="E59" s="523"/>
      <c r="F59" s="294"/>
      <c r="G59" s="42"/>
      <c r="H59" s="42"/>
      <c r="I59" s="42"/>
      <c r="J59" s="288" t="s">
        <v>40</v>
      </c>
      <c r="K59" s="324"/>
      <c r="L59" s="294"/>
      <c r="M59" s="294"/>
      <c r="N59" s="294"/>
      <c r="O59" s="294"/>
      <c r="P59" s="12"/>
    </row>
    <row r="60" spans="1:56" ht="15" customHeight="1">
      <c r="B60" s="526"/>
      <c r="C60" s="349"/>
      <c r="D60" s="524"/>
      <c r="E60" s="521"/>
      <c r="F60" s="294"/>
      <c r="G60" s="42"/>
      <c r="H60" s="42"/>
      <c r="I60" s="42"/>
      <c r="J60" s="289" t="s">
        <v>33</v>
      </c>
      <c r="K60" s="324"/>
      <c r="L60" s="294"/>
      <c r="M60" s="294"/>
      <c r="N60" s="294"/>
      <c r="O60" s="294"/>
      <c r="P60" s="12"/>
    </row>
    <row r="61" spans="1:56" ht="15">
      <c r="B61" s="526"/>
      <c r="C61" s="349"/>
      <c r="D61" s="522"/>
      <c r="E61" s="523"/>
      <c r="F61" s="294"/>
      <c r="G61" s="42"/>
      <c r="H61" s="42"/>
      <c r="I61" s="42"/>
      <c r="J61" s="290" t="s">
        <v>16</v>
      </c>
      <c r="K61" s="324">
        <v>4</v>
      </c>
      <c r="L61" s="294"/>
      <c r="M61" s="294"/>
      <c r="N61" s="294"/>
      <c r="O61" s="294"/>
      <c r="P61" s="12"/>
      <c r="BC61" s="44"/>
      <c r="BD61" s="44"/>
    </row>
    <row r="62" spans="1:56" ht="15">
      <c r="B62" s="526"/>
      <c r="C62" s="349"/>
      <c r="D62" s="524"/>
      <c r="E62" s="521"/>
      <c r="F62" s="294"/>
      <c r="G62" s="42"/>
      <c r="H62" s="42"/>
      <c r="I62" s="42"/>
      <c r="J62" s="291" t="s">
        <v>15</v>
      </c>
      <c r="K62" s="324"/>
      <c r="L62" s="294"/>
      <c r="M62" s="294"/>
      <c r="N62" s="294"/>
      <c r="O62" s="294"/>
      <c r="P62" s="12"/>
      <c r="BC62" s="44"/>
      <c r="BD62" s="44"/>
    </row>
    <row r="63" spans="1:56" ht="15">
      <c r="B63" s="526"/>
      <c r="C63" s="349"/>
      <c r="D63" s="522"/>
      <c r="E63" s="523"/>
      <c r="F63" s="294"/>
      <c r="G63" s="42"/>
      <c r="H63" s="42"/>
      <c r="I63" s="42"/>
      <c r="J63" s="291" t="s">
        <v>149</v>
      </c>
      <c r="K63" s="324"/>
      <c r="L63" s="294"/>
      <c r="M63" s="294"/>
      <c r="N63" s="294"/>
      <c r="O63" s="294"/>
      <c r="P63" s="12"/>
      <c r="BC63" s="44"/>
      <c r="BD63" s="44"/>
    </row>
    <row r="64" spans="1:56" ht="15.75" thickBot="1">
      <c r="B64" s="527"/>
      <c r="C64" s="350"/>
      <c r="D64" s="533"/>
      <c r="E64" s="534"/>
      <c r="F64" s="294" t="s">
        <v>166</v>
      </c>
      <c r="G64" s="42"/>
      <c r="H64" s="42"/>
      <c r="I64" s="42"/>
      <c r="J64" s="291" t="s">
        <v>148</v>
      </c>
      <c r="K64" s="324"/>
      <c r="L64" s="294"/>
      <c r="M64" s="294"/>
      <c r="N64" s="294" t="s">
        <v>41</v>
      </c>
      <c r="O64" s="294"/>
      <c r="P64" s="12"/>
      <c r="BC64" s="44"/>
      <c r="BD64" s="44"/>
    </row>
    <row r="65" spans="1:57" ht="17.649999999999999" customHeight="1" thickBot="1">
      <c r="B65" s="312" t="s">
        <v>139</v>
      </c>
      <c r="C65" s="313"/>
      <c r="D65" s="535"/>
      <c r="E65" s="536"/>
      <c r="F65" s="294"/>
      <c r="J65" s="295" t="s">
        <v>134</v>
      </c>
      <c r="K65" s="324"/>
      <c r="L65" s="294"/>
      <c r="M65" s="294"/>
      <c r="N65" s="294"/>
      <c r="O65" s="294"/>
      <c r="P65" s="12"/>
      <c r="BC65" s="44"/>
      <c r="BD65" s="44"/>
    </row>
    <row r="66" spans="1:57" ht="17.649999999999999" customHeight="1">
      <c r="B66" s="363"/>
      <c r="C66" s="364"/>
      <c r="D66" s="365"/>
      <c r="E66" s="365"/>
      <c r="F66" s="294"/>
      <c r="G66" s="42"/>
      <c r="H66" s="42"/>
      <c r="I66" s="42"/>
      <c r="J66" s="295" t="s">
        <v>131</v>
      </c>
      <c r="K66" s="324"/>
      <c r="L66" s="294"/>
      <c r="M66" s="294"/>
      <c r="N66" s="294"/>
      <c r="O66" s="294"/>
      <c r="P66" s="12"/>
      <c r="BC66" s="44"/>
      <c r="BD66" s="44"/>
    </row>
    <row r="67" spans="1:57" ht="15.6" customHeight="1">
      <c r="B67" s="45"/>
      <c r="C67" s="11"/>
      <c r="D67" s="11"/>
      <c r="E67" s="46"/>
      <c r="F67" s="294"/>
      <c r="G67" s="42"/>
      <c r="H67" s="42"/>
      <c r="I67" s="42"/>
      <c r="J67" s="346" t="s">
        <v>130</v>
      </c>
      <c r="K67" s="324">
        <f>SUM(K57:K66)</f>
        <v>9</v>
      </c>
      <c r="L67" s="294"/>
      <c r="M67" s="294"/>
      <c r="N67" s="294"/>
      <c r="O67" s="294"/>
      <c r="P67" s="12"/>
    </row>
    <row r="68" spans="1:57" ht="20.25" customHeight="1">
      <c r="B68" s="15" t="s">
        <v>42</v>
      </c>
      <c r="C68" s="1" t="s">
        <v>43</v>
      </c>
      <c r="D68" s="1"/>
      <c r="E68" s="1"/>
      <c r="F68" s="294"/>
      <c r="G68" s="42"/>
      <c r="H68" s="41"/>
      <c r="I68" s="42"/>
      <c r="L68" s="294"/>
      <c r="N68" s="315"/>
      <c r="P68" s="334"/>
    </row>
    <row r="69" spans="1:57" ht="15" customHeight="1" thickBot="1"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1"/>
      <c r="O69" s="48"/>
      <c r="P69" s="49"/>
    </row>
    <row r="70" spans="1:57" ht="15" customHeight="1" thickBot="1">
      <c r="B70" s="537" t="s">
        <v>17</v>
      </c>
      <c r="C70" s="537" t="s">
        <v>44</v>
      </c>
      <c r="D70" s="540" t="s">
        <v>45</v>
      </c>
      <c r="E70" s="501" t="s">
        <v>46</v>
      </c>
      <c r="F70" s="510" t="s">
        <v>47</v>
      </c>
      <c r="G70" s="549" t="s">
        <v>48</v>
      </c>
      <c r="H70" s="537" t="s">
        <v>49</v>
      </c>
      <c r="I70" s="537" t="s">
        <v>50</v>
      </c>
      <c r="J70" s="543" t="s">
        <v>28</v>
      </c>
      <c r="K70" s="499" t="s">
        <v>51</v>
      </c>
      <c r="L70" s="552" t="s">
        <v>52</v>
      </c>
      <c r="M70" s="543" t="s">
        <v>53</v>
      </c>
      <c r="N70" s="13"/>
      <c r="O70" s="13"/>
      <c r="P70" s="50"/>
    </row>
    <row r="71" spans="1:57" ht="28.5" customHeight="1" thickTop="1" thickBot="1">
      <c r="B71" s="538"/>
      <c r="C71" s="539"/>
      <c r="D71" s="541"/>
      <c r="E71" s="542"/>
      <c r="F71" s="554"/>
      <c r="G71" s="550"/>
      <c r="H71" s="538"/>
      <c r="I71" s="538"/>
      <c r="J71" s="544"/>
      <c r="K71" s="551"/>
      <c r="L71" s="553"/>
      <c r="M71" s="544"/>
      <c r="N71" s="13"/>
      <c r="O71" s="13"/>
      <c r="P71" s="50"/>
      <c r="Q71" s="355"/>
      <c r="AB71" s="475">
        <v>43474</v>
      </c>
      <c r="AC71" s="475">
        <v>43475</v>
      </c>
      <c r="AD71" s="475">
        <v>43476</v>
      </c>
      <c r="AE71" s="475">
        <v>43477</v>
      </c>
      <c r="AF71" s="475">
        <v>43478</v>
      </c>
      <c r="AG71" s="475">
        <v>43479</v>
      </c>
      <c r="AH71" s="475">
        <v>43480</v>
      </c>
      <c r="AI71" s="475">
        <v>43481</v>
      </c>
      <c r="AJ71" s="475">
        <v>43482</v>
      </c>
      <c r="AK71" s="475">
        <v>43483</v>
      </c>
      <c r="AL71" s="475">
        <v>43484</v>
      </c>
      <c r="AM71" s="475">
        <v>43485</v>
      </c>
      <c r="AN71" s="475">
        <v>43486</v>
      </c>
      <c r="AO71" s="475">
        <v>43487</v>
      </c>
      <c r="AP71" s="475">
        <v>43488</v>
      </c>
      <c r="AQ71" s="475">
        <v>43489</v>
      </c>
      <c r="AR71" s="475">
        <v>43490</v>
      </c>
      <c r="AS71" s="475">
        <v>43491</v>
      </c>
      <c r="AT71" s="475">
        <v>43492</v>
      </c>
      <c r="AU71" s="475">
        <v>43493</v>
      </c>
      <c r="AV71" s="475">
        <v>43494</v>
      </c>
      <c r="AW71" s="475">
        <v>43495</v>
      </c>
      <c r="AX71" s="475">
        <v>43496</v>
      </c>
    </row>
    <row r="72" spans="1:57" s="54" customFormat="1" ht="36.75" customHeight="1" thickBot="1">
      <c r="B72" s="480" t="str">
        <f>I43</f>
        <v>CARIB</v>
      </c>
      <c r="C72" s="479">
        <v>46104</v>
      </c>
      <c r="D72" s="442">
        <f>[11]March_2026!$Z$3</f>
        <v>395.4</v>
      </c>
      <c r="E72" s="443"/>
      <c r="F72" s="444"/>
      <c r="G72" s="445">
        <f>[11]March_2026!$Z$7</f>
        <v>375.6</v>
      </c>
      <c r="H72" s="458"/>
      <c r="I72" s="458"/>
      <c r="J72" s="448" t="s">
        <v>171</v>
      </c>
      <c r="K72" s="449">
        <f>[13]March_2026!$Z$18</f>
        <v>0.65894736842105273</v>
      </c>
      <c r="L72" s="457">
        <f>(((D72+E72)-G72)/(D72+E72))*100</f>
        <v>5.0075872534142531</v>
      </c>
      <c r="M72" s="455" t="s">
        <v>183</v>
      </c>
      <c r="N72" s="13"/>
      <c r="O72" s="13"/>
      <c r="P72" s="50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57">
        <f>[14]January_2019!L5</f>
        <v>0</v>
      </c>
      <c r="AC72" s="57">
        <f>[14]January_2019!M5</f>
        <v>0</v>
      </c>
      <c r="AD72" s="57">
        <f>[14]January_2019!N5</f>
        <v>0</v>
      </c>
      <c r="AE72" s="57">
        <f>[14]January_2019!O5</f>
        <v>0</v>
      </c>
      <c r="AF72" s="57">
        <f>[14]January_2019!P5</f>
        <v>0</v>
      </c>
      <c r="AG72" s="57">
        <f>[14]January_2019!Q5</f>
        <v>0</v>
      </c>
      <c r="AH72" s="57">
        <f>[14]January_2019!R5</f>
        <v>0</v>
      </c>
      <c r="AI72" s="57">
        <f>[14]January_2019!S5</f>
        <v>0</v>
      </c>
      <c r="AJ72" s="57">
        <f>[14]January_2019!T5</f>
        <v>0</v>
      </c>
      <c r="AK72" s="57">
        <f>[14]January_2019!U5</f>
        <v>0</v>
      </c>
      <c r="AL72" s="57">
        <f>[14]January_2019!V5</f>
        <v>0</v>
      </c>
      <c r="AM72" s="57">
        <f>[14]January_2019!W5</f>
        <v>0</v>
      </c>
      <c r="AN72" s="57">
        <f>[14]January_2019!X5</f>
        <v>0</v>
      </c>
      <c r="AO72" s="57">
        <f>[14]January_2019!Y5</f>
        <v>0</v>
      </c>
      <c r="AP72" s="57">
        <f>[14]January_2019!Z5</f>
        <v>0</v>
      </c>
      <c r="AQ72" s="57">
        <f>[14]January_2019!AA5</f>
        <v>0</v>
      </c>
      <c r="AR72" s="57">
        <f>[14]January_2019!AB5</f>
        <v>0</v>
      </c>
      <c r="AS72" s="57">
        <f>[14]January_2019!AC5</f>
        <v>0</v>
      </c>
      <c r="AT72" s="57">
        <f>[14]January_2019!AD5</f>
        <v>0</v>
      </c>
      <c r="AU72" s="57">
        <f>[14]January_2019!AE5</f>
        <v>0</v>
      </c>
      <c r="AV72" s="57">
        <f>[14]January_2019!AF5</f>
        <v>0</v>
      </c>
      <c r="AW72" s="57">
        <f>[14]January_2019!AG5</f>
        <v>0</v>
      </c>
      <c r="AX72" s="277">
        <f>[14]January_2019!AH5</f>
        <v>0</v>
      </c>
      <c r="AY72" s="277"/>
      <c r="AZ72" s="277"/>
      <c r="BA72" s="277"/>
      <c r="BB72" s="277"/>
      <c r="BC72" s="277"/>
      <c r="BD72" s="277"/>
      <c r="BE72" s="277"/>
    </row>
    <row r="73" spans="1:57" s="54" customFormat="1" ht="14.25" customHeight="1" thickBot="1">
      <c r="B73" s="480"/>
      <c r="C73" s="479"/>
      <c r="D73" s="442"/>
      <c r="E73" s="443"/>
      <c r="F73" s="444"/>
      <c r="G73" s="445"/>
      <c r="H73" s="458"/>
      <c r="I73" s="458"/>
      <c r="J73" s="476"/>
      <c r="K73" s="449"/>
      <c r="L73" s="457"/>
      <c r="M73" s="455"/>
      <c r="N73" s="13"/>
      <c r="O73" s="13"/>
      <c r="P73" s="50"/>
      <c r="R73" s="275"/>
      <c r="S73" s="275"/>
      <c r="T73" s="275"/>
      <c r="U73" s="275"/>
      <c r="V73" s="275"/>
      <c r="W73" s="275"/>
      <c r="X73" s="275"/>
      <c r="Y73" s="275"/>
      <c r="Z73" s="275"/>
      <c r="AA73" s="275"/>
      <c r="AB73" s="57">
        <f>[14]January_2019!L6</f>
        <v>0</v>
      </c>
      <c r="AC73" s="57">
        <f>[14]January_2019!M6</f>
        <v>0</v>
      </c>
      <c r="AD73" s="57">
        <f>[14]January_2019!N6</f>
        <v>0</v>
      </c>
      <c r="AE73" s="57">
        <f>[14]January_2019!O6</f>
        <v>0</v>
      </c>
      <c r="AF73" s="57">
        <f>[14]January_2019!P6</f>
        <v>0</v>
      </c>
      <c r="AG73" s="57">
        <f>[14]January_2019!Q6</f>
        <v>0</v>
      </c>
      <c r="AH73" s="57">
        <f>[14]January_2019!R6</f>
        <v>0</v>
      </c>
      <c r="AI73" s="57">
        <f>[14]January_2019!S6</f>
        <v>0</v>
      </c>
      <c r="AJ73" s="57">
        <f>[14]January_2019!T6</f>
        <v>0</v>
      </c>
      <c r="AK73" s="57">
        <f>[14]January_2019!U6</f>
        <v>0</v>
      </c>
      <c r="AL73" s="57">
        <f>[14]January_2019!V6</f>
        <v>0</v>
      </c>
      <c r="AM73" s="57">
        <f>[14]January_2019!W6</f>
        <v>0</v>
      </c>
      <c r="AN73" s="57">
        <f>[14]January_2019!X6</f>
        <v>0</v>
      </c>
      <c r="AO73" s="57">
        <f>[14]January_2019!Y6</f>
        <v>0</v>
      </c>
      <c r="AP73" s="57">
        <f>[14]January_2019!Z6</f>
        <v>0</v>
      </c>
      <c r="AQ73" s="57">
        <f>[14]January_2019!AA6</f>
        <v>0</v>
      </c>
      <c r="AR73" s="57">
        <f>[14]January_2019!AB6</f>
        <v>0</v>
      </c>
      <c r="AS73" s="57">
        <f>[14]January_2019!AC6</f>
        <v>0</v>
      </c>
      <c r="AT73" s="57">
        <f>[14]January_2019!AD6</f>
        <v>0</v>
      </c>
      <c r="AU73" s="57">
        <f>[14]January_2019!AE6</f>
        <v>0</v>
      </c>
      <c r="AV73" s="57">
        <f>[14]January_2019!AF6</f>
        <v>0</v>
      </c>
      <c r="AW73" s="57">
        <f>[14]January_2019!AG6</f>
        <v>0</v>
      </c>
      <c r="AX73" s="277">
        <f>[14]January_2019!AH6</f>
        <v>0</v>
      </c>
      <c r="AY73" s="277"/>
      <c r="AZ73" s="277"/>
      <c r="BA73" s="277"/>
      <c r="BB73" s="277"/>
      <c r="BC73" s="277"/>
      <c r="BD73" s="277"/>
      <c r="BE73" s="277"/>
    </row>
    <row r="74" spans="1:57" s="54" customFormat="1" ht="37.15" hidden="1" customHeight="1" thickBot="1">
      <c r="A74" s="54" t="s">
        <v>168</v>
      </c>
      <c r="B74" s="480"/>
      <c r="C74" s="479"/>
      <c r="D74" s="442"/>
      <c r="E74" s="443"/>
      <c r="F74" s="444"/>
      <c r="G74" s="445"/>
      <c r="H74" s="458"/>
      <c r="I74" s="458"/>
      <c r="J74" s="448"/>
      <c r="K74" s="449"/>
      <c r="L74" s="457"/>
      <c r="M74" s="455"/>
      <c r="N74" s="13"/>
      <c r="O74" s="13"/>
      <c r="P74" s="50"/>
      <c r="R74" s="275"/>
      <c r="S74" s="275"/>
      <c r="T74" s="275"/>
      <c r="U74" s="275"/>
      <c r="V74" s="275"/>
      <c r="W74" s="275"/>
      <c r="X74" s="275"/>
      <c r="Y74" s="275"/>
      <c r="Z74" s="275"/>
      <c r="AA74" s="275"/>
      <c r="AB74" s="57">
        <f>[14]January_2019!L7</f>
        <v>285.8</v>
      </c>
      <c r="AC74" s="57">
        <f>[14]January_2019!M7</f>
        <v>508.1</v>
      </c>
      <c r="AD74" s="57">
        <f>[14]January_2019!N7</f>
        <v>0</v>
      </c>
      <c r="AE74" s="57">
        <f>[14]January_2019!O7</f>
        <v>0</v>
      </c>
      <c r="AF74" s="57">
        <f>[14]January_2019!P7</f>
        <v>109.56666666666666</v>
      </c>
      <c r="AG74" s="57">
        <f>[14]January_2019!Q7</f>
        <v>297.64999999999998</v>
      </c>
      <c r="AH74" s="57">
        <f>[14]January_2019!R7</f>
        <v>122.3</v>
      </c>
      <c r="AI74" s="57">
        <f>[14]January_2019!S7</f>
        <v>0</v>
      </c>
      <c r="AJ74" s="57">
        <f>[14]January_2019!T7</f>
        <v>294.7</v>
      </c>
      <c r="AK74" s="57">
        <f>[14]January_2019!U7</f>
        <v>280.5</v>
      </c>
      <c r="AL74" s="57">
        <f>[14]January_2019!V7</f>
        <v>0</v>
      </c>
      <c r="AM74" s="57">
        <f>[14]January_2019!W7</f>
        <v>0</v>
      </c>
      <c r="AN74" s="57">
        <f>[14]January_2019!X7</f>
        <v>188.25</v>
      </c>
      <c r="AO74" s="57">
        <f>[14]January_2019!Y7</f>
        <v>295.7</v>
      </c>
      <c r="AP74" s="57">
        <f>[14]January_2019!Z7</f>
        <v>257.8</v>
      </c>
      <c r="AQ74" s="57">
        <f>[14]January_2019!AA7</f>
        <v>291.2</v>
      </c>
      <c r="AR74" s="57">
        <f>[14]January_2019!AB7</f>
        <v>187</v>
      </c>
      <c r="AS74" s="57">
        <f>[14]January_2019!AC7</f>
        <v>0</v>
      </c>
      <c r="AT74" s="57">
        <f>[14]January_2019!AD7</f>
        <v>0</v>
      </c>
      <c r="AU74" s="57">
        <f>[14]January_2019!AE7</f>
        <v>485.1</v>
      </c>
      <c r="AV74" s="57">
        <f>[14]January_2019!AF7</f>
        <v>171.55</v>
      </c>
      <c r="AW74" s="57">
        <f>[14]January_2019!AG7</f>
        <v>423.8</v>
      </c>
      <c r="AX74" s="277">
        <f>[14]January_2019!AH7</f>
        <v>0</v>
      </c>
      <c r="AY74" s="277"/>
      <c r="AZ74" s="277"/>
      <c r="BA74" s="277"/>
      <c r="BB74" s="277"/>
      <c r="BC74" s="277"/>
      <c r="BD74" s="277"/>
      <c r="BE74" s="277"/>
    </row>
    <row r="75" spans="1:57" s="54" customFormat="1" ht="19.5" hidden="1" customHeight="1" thickBot="1">
      <c r="B75" s="478"/>
      <c r="C75" s="430"/>
      <c r="D75" s="431"/>
      <c r="E75" s="432"/>
      <c r="F75" s="433"/>
      <c r="G75" s="434"/>
      <c r="H75" s="458"/>
      <c r="I75" s="458"/>
      <c r="J75" s="451"/>
      <c r="K75" s="436"/>
      <c r="L75" s="452"/>
      <c r="M75" s="421"/>
      <c r="N75" s="13"/>
      <c r="O75" s="13"/>
      <c r="P75" s="50"/>
      <c r="R75" s="275"/>
      <c r="S75" s="275"/>
      <c r="T75" s="275"/>
      <c r="U75" s="275"/>
      <c r="V75" s="275"/>
      <c r="W75" s="275"/>
      <c r="X75" s="275"/>
      <c r="Y75" s="275"/>
      <c r="Z75" s="275"/>
      <c r="AA75" s="275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277"/>
      <c r="AY75" s="277"/>
      <c r="AZ75" s="277"/>
      <c r="BA75" s="277"/>
      <c r="BB75" s="277"/>
      <c r="BC75" s="277"/>
      <c r="BD75" s="277"/>
      <c r="BE75" s="277"/>
    </row>
    <row r="76" spans="1:57" s="54" customFormat="1" ht="38.450000000000003" hidden="1" customHeight="1" thickBot="1">
      <c r="B76" s="480"/>
      <c r="C76" s="479"/>
      <c r="D76" s="442"/>
      <c r="E76" s="443"/>
      <c r="F76" s="444"/>
      <c r="G76" s="445"/>
      <c r="H76" s="458"/>
      <c r="I76" s="458"/>
      <c r="J76" s="448" t="s">
        <v>171</v>
      </c>
      <c r="K76" s="459"/>
      <c r="L76" s="457" t="e">
        <f>(((D76+E76)-G76)/(D76+E76))*100</f>
        <v>#DIV/0!</v>
      </c>
      <c r="M76" s="455"/>
      <c r="N76" s="13"/>
      <c r="O76" s="13"/>
      <c r="P76" s="50"/>
      <c r="R76" s="275"/>
      <c r="S76" s="275"/>
      <c r="T76" s="275"/>
      <c r="U76" s="275"/>
      <c r="V76" s="275"/>
      <c r="W76" s="275"/>
      <c r="X76" s="275"/>
      <c r="Y76" s="275"/>
      <c r="Z76" s="275"/>
      <c r="AA76" s="275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277"/>
      <c r="AY76" s="277"/>
      <c r="AZ76" s="277"/>
      <c r="BA76" s="277"/>
      <c r="BB76" s="277"/>
      <c r="BC76" s="277"/>
      <c r="BD76" s="277"/>
      <c r="BE76" s="277"/>
    </row>
    <row r="77" spans="1:57" s="54" customFormat="1" ht="15" hidden="1">
      <c r="B77" s="453"/>
      <c r="C77" s="430"/>
      <c r="D77" s="431"/>
      <c r="E77" s="432"/>
      <c r="F77" s="433"/>
      <c r="G77" s="434"/>
      <c r="H77" s="435"/>
      <c r="I77" s="450"/>
      <c r="J77" s="451"/>
      <c r="K77" s="436"/>
      <c r="L77" s="452"/>
      <c r="M77" s="421"/>
      <c r="N77" s="13"/>
      <c r="O77" s="13"/>
      <c r="P77" s="50"/>
      <c r="R77" s="275"/>
      <c r="S77" s="275"/>
      <c r="T77" s="275"/>
      <c r="U77" s="275"/>
      <c r="V77" s="275"/>
      <c r="W77" s="275"/>
      <c r="X77" s="275"/>
      <c r="Y77" s="275"/>
      <c r="Z77" s="275"/>
      <c r="AA77" s="275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277"/>
      <c r="AY77" s="277"/>
      <c r="AZ77" s="277"/>
      <c r="BA77" s="277"/>
      <c r="BB77" s="277"/>
      <c r="BC77" s="277"/>
      <c r="BD77" s="277"/>
      <c r="BE77" s="277"/>
    </row>
    <row r="78" spans="1:57" s="54" customFormat="1" ht="37.15" hidden="1" customHeight="1" thickBot="1">
      <c r="B78" s="480"/>
      <c r="C78" s="479"/>
      <c r="D78" s="442"/>
      <c r="E78" s="443"/>
      <c r="F78" s="444"/>
      <c r="G78" s="445"/>
      <c r="H78" s="446"/>
      <c r="I78" s="447"/>
      <c r="J78" s="448"/>
      <c r="K78" s="449"/>
      <c r="L78" s="457"/>
      <c r="M78" s="455"/>
      <c r="N78" s="13"/>
      <c r="O78" s="13"/>
      <c r="P78" s="50"/>
      <c r="R78" s="275"/>
      <c r="S78" s="275"/>
      <c r="T78" s="275"/>
      <c r="U78" s="275"/>
      <c r="V78" s="275"/>
      <c r="W78" s="275"/>
      <c r="X78" s="275"/>
      <c r="Y78" s="275"/>
      <c r="Z78" s="275"/>
      <c r="AA78" s="275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277"/>
      <c r="AY78" s="277"/>
      <c r="AZ78" s="277"/>
      <c r="BA78" s="277"/>
      <c r="BB78" s="277"/>
      <c r="BC78" s="277"/>
      <c r="BD78" s="277"/>
      <c r="BE78" s="277"/>
    </row>
    <row r="79" spans="1:57" s="54" customFormat="1" ht="16.5" hidden="1" customHeight="1" thickBot="1">
      <c r="B79" s="437"/>
      <c r="C79" s="423"/>
      <c r="D79" s="424"/>
      <c r="E79" s="425"/>
      <c r="F79" s="426"/>
      <c r="G79" s="427"/>
      <c r="H79" s="428"/>
      <c r="I79" s="438"/>
      <c r="J79" s="439"/>
      <c r="K79" s="429"/>
      <c r="L79" s="440"/>
      <c r="M79" s="422"/>
      <c r="N79" s="13"/>
      <c r="O79" s="13"/>
      <c r="P79" s="50"/>
      <c r="R79" s="275"/>
      <c r="S79" s="275"/>
      <c r="T79" s="275"/>
      <c r="U79" s="275"/>
      <c r="V79" s="275"/>
      <c r="W79" s="275"/>
      <c r="X79" s="275"/>
      <c r="Y79" s="275"/>
      <c r="Z79" s="275"/>
      <c r="AA79" s="275"/>
      <c r="AB79" s="415"/>
      <c r="AC79" s="415"/>
      <c r="AD79" s="415"/>
      <c r="AE79" s="415"/>
      <c r="AF79" s="415"/>
      <c r="AG79" s="415"/>
      <c r="AH79" s="415"/>
      <c r="AI79" s="415"/>
      <c r="AJ79" s="415"/>
      <c r="AK79" s="415"/>
      <c r="AL79" s="415"/>
      <c r="AM79" s="415"/>
      <c r="AN79" s="415"/>
      <c r="AO79" s="415"/>
      <c r="AP79" s="415"/>
      <c r="AQ79" s="415"/>
      <c r="AR79" s="415"/>
      <c r="AS79" s="415"/>
      <c r="AT79" s="415"/>
      <c r="AU79" s="415"/>
      <c r="AV79" s="415"/>
      <c r="AW79" s="415"/>
    </row>
    <row r="80" spans="1:57" s="54" customFormat="1" ht="37.15" hidden="1" customHeight="1" thickBot="1">
      <c r="B80" s="456"/>
      <c r="C80" s="441"/>
      <c r="D80" s="442"/>
      <c r="E80" s="443"/>
      <c r="F80" s="444"/>
      <c r="G80" s="445"/>
      <c r="H80" s="446"/>
      <c r="I80" s="447"/>
      <c r="J80" s="448"/>
      <c r="K80" s="449"/>
      <c r="L80" s="457"/>
      <c r="M80" s="454"/>
      <c r="N80" s="13"/>
      <c r="O80" s="13"/>
      <c r="P80" s="50"/>
      <c r="R80" s="275"/>
      <c r="S80" s="275"/>
      <c r="T80" s="275"/>
      <c r="U80" s="275"/>
      <c r="V80" s="275"/>
      <c r="W80" s="275"/>
      <c r="X80" s="275"/>
      <c r="Y80" s="275"/>
      <c r="Z80" s="275"/>
      <c r="AA80" s="275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277"/>
      <c r="AY80" s="277"/>
      <c r="AZ80" s="277"/>
      <c r="BA80" s="277"/>
      <c r="BB80" s="277"/>
      <c r="BC80" s="277"/>
      <c r="BD80" s="277"/>
      <c r="BE80" s="277"/>
    </row>
    <row r="81" spans="2:57" s="54" customFormat="1" ht="37.15" customHeight="1">
      <c r="B81" s="466"/>
      <c r="C81" s="430"/>
      <c r="D81" s="460"/>
      <c r="E81" s="461"/>
      <c r="F81" s="462"/>
      <c r="G81" s="460"/>
      <c r="H81" s="463"/>
      <c r="I81" s="463"/>
      <c r="J81" s="463"/>
      <c r="K81" s="464"/>
      <c r="L81" s="465"/>
      <c r="M81" s="50"/>
      <c r="N81" s="13"/>
      <c r="O81" s="13"/>
      <c r="P81" s="50"/>
      <c r="R81" s="275"/>
      <c r="S81" s="275"/>
      <c r="T81" s="275"/>
      <c r="U81" s="275"/>
      <c r="V81" s="275"/>
      <c r="W81" s="275"/>
      <c r="X81" s="275"/>
      <c r="Y81" s="275"/>
      <c r="Z81" s="275"/>
      <c r="AA81" s="275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277"/>
      <c r="AY81" s="277"/>
      <c r="AZ81" s="277"/>
      <c r="BA81" s="277"/>
      <c r="BB81" s="277"/>
      <c r="BC81" s="277"/>
      <c r="BD81" s="277"/>
      <c r="BE81" s="277"/>
    </row>
    <row r="82" spans="2:57" ht="18" customHeight="1" thickBot="1">
      <c r="B82" s="59"/>
      <c r="C82" s="30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 t="s">
        <v>41</v>
      </c>
      <c r="O82" s="56"/>
      <c r="P82" s="60"/>
    </row>
    <row r="83" spans="2:57" ht="15.75" thickBot="1">
      <c r="B83" s="545" t="s">
        <v>55</v>
      </c>
      <c r="C83" s="546"/>
      <c r="D83" s="546"/>
      <c r="E83" s="546"/>
      <c r="F83" s="547"/>
      <c r="G83" s="545" t="s">
        <v>56</v>
      </c>
      <c r="H83" s="546"/>
      <c r="I83" s="546"/>
      <c r="J83" s="547"/>
      <c r="K83" s="545" t="s">
        <v>51</v>
      </c>
      <c r="L83" s="546"/>
      <c r="M83" s="546"/>
      <c r="N83" s="548"/>
      <c r="O83" s="56"/>
      <c r="P83" s="50"/>
    </row>
    <row r="84" spans="2:57" ht="15">
      <c r="B84" s="61" t="s">
        <v>17</v>
      </c>
      <c r="C84" s="62" t="s">
        <v>36</v>
      </c>
      <c r="D84" s="62" t="s">
        <v>37</v>
      </c>
      <c r="E84" s="62" t="s">
        <v>38</v>
      </c>
      <c r="F84" s="63" t="s">
        <v>39</v>
      </c>
      <c r="G84" s="62" t="s">
        <v>36</v>
      </c>
      <c r="H84" s="62" t="s">
        <v>37</v>
      </c>
      <c r="I84" s="62" t="s">
        <v>38</v>
      </c>
      <c r="J84" s="63" t="s">
        <v>39</v>
      </c>
      <c r="K84" s="62" t="s">
        <v>36</v>
      </c>
      <c r="L84" s="62" t="s">
        <v>37</v>
      </c>
      <c r="M84" s="62" t="s">
        <v>38</v>
      </c>
      <c r="N84" s="63" t="s">
        <v>39</v>
      </c>
      <c r="O84" s="56"/>
      <c r="P84" s="64"/>
    </row>
    <row r="85" spans="2:57" ht="15">
      <c r="B85" s="29" t="s">
        <v>6</v>
      </c>
      <c r="C85" s="282">
        <f>L72</f>
        <v>5.0075872534142531</v>
      </c>
      <c r="D85" s="76">
        <v>6.4013350546302155</v>
      </c>
      <c r="E85" s="76">
        <v>7.0119249176380309</v>
      </c>
      <c r="F85" s="66">
        <v>4.8</v>
      </c>
      <c r="G85" s="65">
        <f>[11]March_2026!$Z$11</f>
        <v>3.7818787018454154</v>
      </c>
      <c r="H85" s="477">
        <v>5.9350144696103513</v>
      </c>
      <c r="I85" s="477">
        <v>6.969826820679609</v>
      </c>
      <c r="J85" s="66">
        <v>4.8</v>
      </c>
      <c r="K85" s="67">
        <f>K72</f>
        <v>0.65894736842105273</v>
      </c>
      <c r="L85" s="194">
        <v>0.44405179615705931</v>
      </c>
      <c r="M85" s="194">
        <v>0.40254147927187095</v>
      </c>
      <c r="N85" s="68">
        <v>1</v>
      </c>
      <c r="O85" s="56"/>
      <c r="P85" s="69"/>
    </row>
    <row r="86" spans="2:57" ht="15">
      <c r="B86" s="33" t="s">
        <v>9</v>
      </c>
      <c r="C86" s="65"/>
      <c r="D86" s="76">
        <v>6.8615237182558628</v>
      </c>
      <c r="E86" s="76">
        <v>6.4762854321888064</v>
      </c>
      <c r="F86" s="66">
        <v>4.8</v>
      </c>
      <c r="G86" s="65"/>
      <c r="H86" s="76">
        <v>5.0732418100956229</v>
      </c>
      <c r="I86" s="76">
        <v>5.8451774678116024</v>
      </c>
      <c r="J86" s="66">
        <v>4.8</v>
      </c>
      <c r="K86" s="67"/>
      <c r="L86" s="194">
        <v>0.74460526315789477</v>
      </c>
      <c r="M86" s="194">
        <v>0.6060199763140478</v>
      </c>
      <c r="N86" s="68">
        <v>1</v>
      </c>
      <c r="P86" s="69"/>
    </row>
    <row r="87" spans="2:57" ht="15">
      <c r="B87" s="34" t="s">
        <v>40</v>
      </c>
      <c r="C87" s="65"/>
      <c r="D87" s="76">
        <v>12.686094393411453</v>
      </c>
      <c r="E87" s="76">
        <v>12.557379600093356</v>
      </c>
      <c r="F87" s="66">
        <v>5.5</v>
      </c>
      <c r="G87" s="65"/>
      <c r="H87" s="76">
        <v>16.188465805007624</v>
      </c>
      <c r="I87" s="76">
        <v>14.409617014725914</v>
      </c>
      <c r="J87" s="66">
        <v>5.5</v>
      </c>
      <c r="K87" s="67"/>
      <c r="L87" s="194">
        <v>0.22560526315789473</v>
      </c>
      <c r="M87" s="194">
        <v>0.29359298245614035</v>
      </c>
      <c r="N87" s="68">
        <v>1</v>
      </c>
      <c r="P87" s="69"/>
    </row>
    <row r="88" spans="2:57" ht="15">
      <c r="B88" s="22" t="s">
        <v>33</v>
      </c>
      <c r="C88" s="65"/>
      <c r="D88" s="76">
        <v>4.786281034041461</v>
      </c>
      <c r="E88" s="76">
        <v>4.9619586520196597</v>
      </c>
      <c r="F88" s="66">
        <v>3.3</v>
      </c>
      <c r="G88" s="65"/>
      <c r="H88" s="76">
        <v>5.4251963146907434</v>
      </c>
      <c r="I88" s="76">
        <v>4.9501867212112511</v>
      </c>
      <c r="J88" s="66">
        <v>3.3</v>
      </c>
      <c r="K88" s="67"/>
      <c r="L88" s="194">
        <v>1.3052631578947369</v>
      </c>
      <c r="M88" s="194">
        <v>0.88064327485380123</v>
      </c>
      <c r="N88" s="68">
        <v>1</v>
      </c>
      <c r="P88" s="69"/>
    </row>
    <row r="89" spans="2:57" ht="15">
      <c r="B89" s="35" t="s">
        <v>164</v>
      </c>
      <c r="C89" s="65"/>
      <c r="D89" s="76"/>
      <c r="E89" s="76"/>
      <c r="F89" s="66">
        <v>3.3</v>
      </c>
      <c r="G89" s="282"/>
      <c r="H89" s="76"/>
      <c r="I89" s="76"/>
      <c r="J89" s="66">
        <v>3</v>
      </c>
      <c r="K89" s="67"/>
      <c r="L89" s="194"/>
      <c r="M89" s="194"/>
      <c r="N89" s="68">
        <v>1</v>
      </c>
      <c r="P89" s="69"/>
    </row>
    <row r="90" spans="2:57" ht="15">
      <c r="B90" s="36" t="s">
        <v>15</v>
      </c>
      <c r="C90" s="65"/>
      <c r="D90" s="76"/>
      <c r="E90" s="76">
        <v>5.1105651105651271</v>
      </c>
      <c r="F90" s="70">
        <f>[15]May_2022!$M$43</f>
        <v>3.4878406700073312</v>
      </c>
      <c r="G90" s="282"/>
      <c r="H90" s="76"/>
      <c r="I90" s="76">
        <v>7.9131369535794072</v>
      </c>
      <c r="J90" s="66">
        <v>5.5</v>
      </c>
      <c r="K90" s="67"/>
      <c r="L90" s="194"/>
      <c r="M90" s="194">
        <v>1.3550877192982456</v>
      </c>
      <c r="N90" s="68">
        <v>1</v>
      </c>
      <c r="P90" s="69"/>
    </row>
    <row r="91" spans="2:57" ht="15">
      <c r="B91" s="37" t="s">
        <v>16</v>
      </c>
      <c r="C91" s="65"/>
      <c r="D91" s="76">
        <v>5.360174630123689</v>
      </c>
      <c r="E91" s="76">
        <v>4.3766776021473337</v>
      </c>
      <c r="F91" s="66">
        <v>3.3</v>
      </c>
      <c r="G91" s="282"/>
      <c r="H91" s="76">
        <v>11.106164027580478</v>
      </c>
      <c r="I91" s="76">
        <v>6.7590439068772588</v>
      </c>
      <c r="J91" s="66">
        <v>3.3</v>
      </c>
      <c r="K91" s="67"/>
      <c r="L91" s="194">
        <v>0.45637426900584793</v>
      </c>
      <c r="M91" s="194">
        <v>0.73190058479532172</v>
      </c>
      <c r="N91" s="71">
        <v>1</v>
      </c>
      <c r="P91" s="69"/>
    </row>
    <row r="92" spans="2:57" ht="15.75" thickBot="1">
      <c r="B92" s="38" t="s">
        <v>163</v>
      </c>
      <c r="C92" s="65"/>
      <c r="D92" s="76"/>
      <c r="E92" s="76"/>
      <c r="F92" s="66">
        <v>7.5</v>
      </c>
      <c r="G92" s="282"/>
      <c r="H92" s="76"/>
      <c r="I92" s="76"/>
      <c r="J92" s="66">
        <v>7.5</v>
      </c>
      <c r="K92" s="67"/>
      <c r="L92" s="194"/>
      <c r="M92" s="194"/>
      <c r="N92" s="71">
        <v>1</v>
      </c>
      <c r="P92" s="69"/>
    </row>
    <row r="93" spans="2:57" ht="15.75" thickBot="1">
      <c r="B93" s="414" t="s">
        <v>161</v>
      </c>
      <c r="C93" s="65"/>
      <c r="D93" s="76"/>
      <c r="E93" s="76"/>
      <c r="F93" s="66">
        <v>4.8</v>
      </c>
      <c r="G93" s="282"/>
      <c r="H93" s="76"/>
      <c r="I93" s="76"/>
      <c r="J93" s="66">
        <v>4.8</v>
      </c>
      <c r="K93" s="67"/>
      <c r="L93" s="194"/>
      <c r="M93" s="194"/>
      <c r="N93" s="71">
        <v>1</v>
      </c>
      <c r="O93" s="74"/>
      <c r="P93" s="75"/>
    </row>
    <row r="94" spans="2:57" ht="15">
      <c r="D94" s="76">
        <v>6.9789318083406826</v>
      </c>
      <c r="E94" s="76">
        <v>6.9076260410438604</v>
      </c>
      <c r="F94" s="341">
        <v>5.5</v>
      </c>
      <c r="H94" s="76">
        <v>7.6356063546642883</v>
      </c>
      <c r="I94" s="76">
        <v>7.2951335057977627</v>
      </c>
      <c r="J94" s="341">
        <v>5.5</v>
      </c>
      <c r="L94" s="194">
        <v>0.54648021094402666</v>
      </c>
      <c r="M94" s="194">
        <v>0.4528465461900365</v>
      </c>
      <c r="N94" s="386">
        <v>1</v>
      </c>
    </row>
  </sheetData>
  <mergeCells count="51">
    <mergeCell ref="M70:M71"/>
    <mergeCell ref="B83:F83"/>
    <mergeCell ref="G83:J83"/>
    <mergeCell ref="K83:N83"/>
    <mergeCell ref="G70:G71"/>
    <mergeCell ref="H70:H71"/>
    <mergeCell ref="I70:I71"/>
    <mergeCell ref="J70:J71"/>
    <mergeCell ref="K70:K71"/>
    <mergeCell ref="L70:L71"/>
    <mergeCell ref="F70:F71"/>
    <mergeCell ref="D65:E65"/>
    <mergeCell ref="B70:B71"/>
    <mergeCell ref="C70:C71"/>
    <mergeCell ref="D70:D71"/>
    <mergeCell ref="E70:E71"/>
    <mergeCell ref="B55:B64"/>
    <mergeCell ref="D55:E56"/>
    <mergeCell ref="J55:K55"/>
    <mergeCell ref="L56:N56"/>
    <mergeCell ref="D57:E58"/>
    <mergeCell ref="D59:E60"/>
    <mergeCell ref="D61:E62"/>
    <mergeCell ref="D63:E64"/>
    <mergeCell ref="I41:N41"/>
    <mergeCell ref="D42:E42"/>
    <mergeCell ref="B43:B54"/>
    <mergeCell ref="D43:E44"/>
    <mergeCell ref="D45:E46"/>
    <mergeCell ref="D47:E48"/>
    <mergeCell ref="D49:E50"/>
    <mergeCell ref="D51:E52"/>
    <mergeCell ref="D53:E54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65:B66">
    <cfRule type="cellIs" dxfId="1136" priority="82" operator="notBetween">
      <formula>#REF!</formula>
      <formula>#REF!</formula>
    </cfRule>
  </conditionalFormatting>
  <conditionalFormatting sqref="C69">
    <cfRule type="cellIs" dxfId="1135" priority="177" stopIfTrue="1" operator="greaterThan">
      <formula>100</formula>
    </cfRule>
    <cfRule type="cellIs" dxfId="1134" priority="176" stopIfTrue="1" operator="lessThan">
      <formula>96</formula>
    </cfRule>
  </conditionalFormatting>
  <conditionalFormatting sqref="C85:C89">
    <cfRule type="cellIs" dxfId="1133" priority="145" stopIfTrue="1" operator="lessThanOrEqual">
      <formula>0</formula>
    </cfRule>
  </conditionalFormatting>
  <conditionalFormatting sqref="C85:C93">
    <cfRule type="cellIs" dxfId="1132" priority="144" stopIfTrue="1" operator="greaterThan">
      <formula>$F85</formula>
    </cfRule>
  </conditionalFormatting>
  <conditionalFormatting sqref="C86">
    <cfRule type="cellIs" dxfId="1131" priority="178" stopIfTrue="1" operator="greaterThan">
      <formula>$F85</formula>
    </cfRule>
  </conditionalFormatting>
  <conditionalFormatting sqref="C90">
    <cfRule type="cellIs" dxfId="1130" priority="106" stopIfTrue="1" operator="lessThanOrEqual">
      <formula>0</formula>
    </cfRule>
    <cfRule type="cellIs" dxfId="1129" priority="107" stopIfTrue="1" operator="greaterThan">
      <formula>$F89</formula>
    </cfRule>
  </conditionalFormatting>
  <conditionalFormatting sqref="C91:C93">
    <cfRule type="cellIs" dxfId="1128" priority="146" stopIfTrue="1" operator="lessThanOrEqual">
      <formula>0</formula>
    </cfRule>
  </conditionalFormatting>
  <conditionalFormatting sqref="C96:C100">
    <cfRule type="cellIs" dxfId="1127" priority="168" stopIfTrue="1" operator="lessThanOrEqual">
      <formula>0</formula>
    </cfRule>
  </conditionalFormatting>
  <conditionalFormatting sqref="C97:C100">
    <cfRule type="cellIs" dxfId="1126" priority="167" stopIfTrue="1" operator="greaterThan">
      <formula>$F$96</formula>
    </cfRule>
  </conditionalFormatting>
  <conditionalFormatting sqref="C102">
    <cfRule type="cellIs" dxfId="1125" priority="170" stopIfTrue="1" operator="lessThanOrEqual">
      <formula>0</formula>
    </cfRule>
    <cfRule type="cellIs" dxfId="1124" priority="169" stopIfTrue="1" operator="greaterThan">
      <formula>$F$96</formula>
    </cfRule>
  </conditionalFormatting>
  <conditionalFormatting sqref="C96:D96 D98:D104">
    <cfRule type="cellIs" dxfId="1123" priority="162" stopIfTrue="1" operator="greaterThan">
      <formula>4.5</formula>
    </cfRule>
  </conditionalFormatting>
  <conditionalFormatting sqref="D65:D66">
    <cfRule type="cellIs" dxfId="1122" priority="83" operator="notBetween">
      <formula>#REF!</formula>
      <formula>#REF!</formula>
    </cfRule>
  </conditionalFormatting>
  <conditionalFormatting sqref="D85:D92">
    <cfRule type="cellIs" dxfId="1121" priority="55" stopIfTrue="1" operator="lessThanOrEqual">
      <formula>0</formula>
    </cfRule>
  </conditionalFormatting>
  <conditionalFormatting sqref="D85:D94">
    <cfRule type="cellIs" dxfId="1120" priority="34" stopIfTrue="1" operator="lessThanOrEqual">
      <formula>0</formula>
    </cfRule>
  </conditionalFormatting>
  <conditionalFormatting sqref="D93">
    <cfRule type="cellIs" dxfId="1119" priority="54" stopIfTrue="1" operator="lessThanOrEqual">
      <formula>0</formula>
    </cfRule>
  </conditionalFormatting>
  <conditionalFormatting sqref="D94">
    <cfRule type="cellIs" dxfId="1118" priority="49" stopIfTrue="1" operator="lessThanOrEqual">
      <formula>0</formula>
    </cfRule>
  </conditionalFormatting>
  <conditionalFormatting sqref="D96 D98:D104">
    <cfRule type="cellIs" dxfId="1117" priority="163" stopIfTrue="1" operator="lessThanOrEqual">
      <formula>0</formula>
    </cfRule>
  </conditionalFormatting>
  <conditionalFormatting sqref="D97">
    <cfRule type="cellIs" dxfId="1116" priority="154" stopIfTrue="1" operator="greaterThan">
      <formula>$F$96</formula>
    </cfRule>
    <cfRule type="cellIs" dxfId="1115" priority="155" stopIfTrue="1" operator="lessThanOrEqual">
      <formula>0</formula>
    </cfRule>
  </conditionalFormatting>
  <conditionalFormatting sqref="D85:E94">
    <cfRule type="cellIs" dxfId="1114" priority="36" stopIfTrue="1" operator="greaterThan">
      <formula>$F85</formula>
    </cfRule>
  </conditionalFormatting>
  <conditionalFormatting sqref="D94:E94">
    <cfRule type="cellIs" dxfId="1113" priority="38" stopIfTrue="1" operator="lessThanOrEqual">
      <formula>0</formula>
    </cfRule>
  </conditionalFormatting>
  <conditionalFormatting sqref="E10:E40">
    <cfRule type="cellIs" dxfId="1112" priority="18" operator="lessThan">
      <formula>48</formula>
    </cfRule>
  </conditionalFormatting>
  <conditionalFormatting sqref="E68 E69:F69">
    <cfRule type="cellIs" dxfId="1111" priority="159" stopIfTrue="1" operator="greaterThan">
      <formula>100</formula>
    </cfRule>
  </conditionalFormatting>
  <conditionalFormatting sqref="E69">
    <cfRule type="cellIs" dxfId="1110" priority="157" stopIfTrue="1" operator="greaterThan">
      <formula>100</formula>
    </cfRule>
    <cfRule type="cellIs" dxfId="1109" priority="156" stopIfTrue="1" operator="lessThan">
      <formula>96.8</formula>
    </cfRule>
  </conditionalFormatting>
  <conditionalFormatting sqref="E85:E93">
    <cfRule type="cellIs" dxfId="1108" priority="35" stopIfTrue="1" operator="lessThanOrEqual">
      <formula>0</formula>
    </cfRule>
  </conditionalFormatting>
  <conditionalFormatting sqref="E85:E94">
    <cfRule type="cellIs" dxfId="1107" priority="37" stopIfTrue="1" operator="lessThanOrEqual">
      <formula>0</formula>
    </cfRule>
  </conditionalFormatting>
  <conditionalFormatting sqref="E96:E104">
    <cfRule type="cellIs" dxfId="1106" priority="148" stopIfTrue="1" operator="greaterThan">
      <formula>4.5</formula>
    </cfRule>
    <cfRule type="cellIs" dxfId="1105" priority="149" stopIfTrue="1" operator="lessThanOrEqual">
      <formula>0</formula>
    </cfRule>
  </conditionalFormatting>
  <conditionalFormatting sqref="E69:F69 E68">
    <cfRule type="cellIs" dxfId="1104" priority="158" stopIfTrue="1" operator="lessThan">
      <formula>96.5</formula>
    </cfRule>
  </conditionalFormatting>
  <conditionalFormatting sqref="F17:F22 F34 F38:F40">
    <cfRule type="cellIs" dxfId="1103" priority="30" operator="greaterThan">
      <formula>60</formula>
    </cfRule>
  </conditionalFormatting>
  <conditionalFormatting sqref="F69">
    <cfRule type="cellIs" dxfId="1102" priority="174" stopIfTrue="1" operator="lessThan">
      <formula>96.8</formula>
    </cfRule>
    <cfRule type="cellIs" dxfId="1101" priority="175" stopIfTrue="1" operator="greaterThan">
      <formula>100</formula>
    </cfRule>
  </conditionalFormatting>
  <conditionalFormatting sqref="F94">
    <cfRule type="cellIs" dxfId="1100" priority="52" stopIfTrue="1" operator="greaterThan">
      <formula>$F94</formula>
    </cfRule>
    <cfRule type="cellIs" dxfId="1099" priority="53" stopIfTrue="1" operator="lessThanOrEqual">
      <formula>0</formula>
    </cfRule>
  </conditionalFormatting>
  <conditionalFormatting sqref="G10:G22 G34:G40">
    <cfRule type="expression" dxfId="1098" priority="20">
      <formula>IF(+(IF(G10&lt;S10,0,IF(G10&gt;T10,0,1)))=0,1)</formula>
    </cfRule>
  </conditionalFormatting>
  <conditionalFormatting sqref="G85:G86">
    <cfRule type="cellIs" dxfId="1097" priority="50" stopIfTrue="1" operator="greaterThan">
      <formula>$F85</formula>
    </cfRule>
    <cfRule type="cellIs" dxfId="1096" priority="51" stopIfTrue="1" operator="lessThanOrEqual">
      <formula>0</formula>
    </cfRule>
    <cfRule type="cellIs" dxfId="1095" priority="56" stopIfTrue="1" operator="greaterThan">
      <formula>$F85</formula>
    </cfRule>
    <cfRule type="cellIs" dxfId="1094" priority="57" stopIfTrue="1" operator="lessThanOrEqual">
      <formula>0</formula>
    </cfRule>
  </conditionalFormatting>
  <conditionalFormatting sqref="G87">
    <cfRule type="cellIs" dxfId="1093" priority="61" stopIfTrue="1" operator="lessThanOrEqual">
      <formula>0</formula>
    </cfRule>
    <cfRule type="cellIs" dxfId="1092" priority="60" stopIfTrue="1" operator="greaterThan">
      <formula>$F86</formula>
    </cfRule>
  </conditionalFormatting>
  <conditionalFormatting sqref="G88">
    <cfRule type="cellIs" dxfId="1091" priority="43" stopIfTrue="1" operator="lessThanOrEqual">
      <formula>0</formula>
    </cfRule>
    <cfRule type="cellIs" dxfId="1090" priority="44" stopIfTrue="1" operator="greaterThan">
      <formula>$F88</formula>
    </cfRule>
    <cfRule type="cellIs" dxfId="1089" priority="45" stopIfTrue="1" operator="lessThanOrEqual">
      <formula>0</formula>
    </cfRule>
    <cfRule type="cellIs" dxfId="1088" priority="42" stopIfTrue="1" operator="greaterThan">
      <formula>$F88</formula>
    </cfRule>
  </conditionalFormatting>
  <conditionalFormatting sqref="G89:G93">
    <cfRule type="cellIs" dxfId="1087" priority="58" stopIfTrue="1" operator="greaterThan">
      <formula>$J89</formula>
    </cfRule>
    <cfRule type="cellIs" dxfId="1086" priority="59" stopIfTrue="1" operator="lessThanOrEqual">
      <formula>0</formula>
    </cfRule>
  </conditionalFormatting>
  <conditionalFormatting sqref="G98:G103 C101 C103">
    <cfRule type="cellIs" dxfId="1085" priority="172" stopIfTrue="1" operator="lessThanOrEqual">
      <formula>0</formula>
    </cfRule>
    <cfRule type="cellIs" dxfId="1084" priority="171" stopIfTrue="1" operator="greaterThan">
      <formula>4.5</formula>
    </cfRule>
  </conditionalFormatting>
  <conditionalFormatting sqref="G97:H97">
    <cfRule type="cellIs" dxfId="1083" priority="153" stopIfTrue="1" operator="lessThanOrEqual">
      <formula>0</formula>
    </cfRule>
    <cfRule type="cellIs" dxfId="1082" priority="152" stopIfTrue="1" operator="greaterThan">
      <formula>$F$96</formula>
    </cfRule>
  </conditionalFormatting>
  <conditionalFormatting sqref="H10:H40">
    <cfRule type="expression" dxfId="1081" priority="11">
      <formula>IF(+(IF(H10&lt;#REF!,0,IF(H10&gt;#REF!,0,1)))=0,1)</formula>
    </cfRule>
  </conditionalFormatting>
  <conditionalFormatting sqref="H54:H55 H68">
    <cfRule type="cellIs" dxfId="1080" priority="150" stopIfTrue="1" operator="greaterThan">
      <formula>0</formula>
    </cfRule>
  </conditionalFormatting>
  <conditionalFormatting sqref="H72:H76">
    <cfRule type="cellIs" dxfId="1079" priority="65" stopIfTrue="1" operator="lessThanOrEqual">
      <formula>0</formula>
    </cfRule>
    <cfRule type="cellIs" dxfId="1078" priority="66" stopIfTrue="1" operator="greaterThan">
      <formula>$F$85</formula>
    </cfRule>
    <cfRule type="cellIs" dxfId="1077" priority="74" stopIfTrue="1" operator="greaterThan">
      <formula>$F$88</formula>
    </cfRule>
    <cfRule type="cellIs" dxfId="1076" priority="75" stopIfTrue="1" operator="lessThanOrEqual">
      <formula>0</formula>
    </cfRule>
    <cfRule type="cellIs" dxfId="1075" priority="76" stopIfTrue="1" operator="greaterThan">
      <formula>$F$86</formula>
    </cfRule>
    <cfRule type="cellIs" dxfId="1074" priority="77" stopIfTrue="1" operator="lessThanOrEqual">
      <formula>0</formula>
    </cfRule>
  </conditionalFormatting>
  <conditionalFormatting sqref="H77:H78">
    <cfRule type="cellIs" dxfId="1073" priority="119" stopIfTrue="1" operator="lessThanOrEqual">
      <formula>0</formula>
    </cfRule>
    <cfRule type="cellIs" dxfId="1072" priority="120" stopIfTrue="1" operator="greaterThan">
      <formula>#REF!</formula>
    </cfRule>
    <cfRule type="cellIs" dxfId="1071" priority="109" stopIfTrue="1" operator="lessThanOrEqual">
      <formula>0</formula>
    </cfRule>
    <cfRule type="cellIs" dxfId="1070" priority="110" stopIfTrue="1" operator="greaterThan">
      <formula>#REF!</formula>
    </cfRule>
    <cfRule type="cellIs" dxfId="1069" priority="121" stopIfTrue="1" operator="lessThanOrEqual">
      <formula>0</formula>
    </cfRule>
    <cfRule type="cellIs" dxfId="1068" priority="118" stopIfTrue="1" operator="greaterThan">
      <formula>$F$40</formula>
    </cfRule>
  </conditionalFormatting>
  <conditionalFormatting sqref="H79">
    <cfRule type="cellIs" dxfId="1067" priority="135" stopIfTrue="1" operator="lessThanOrEqual">
      <formula>0</formula>
    </cfRule>
    <cfRule type="cellIs" dxfId="1066" priority="123" stopIfTrue="1" operator="lessThanOrEqual">
      <formula>0</formula>
    </cfRule>
    <cfRule type="cellIs" dxfId="1065" priority="124" stopIfTrue="1" operator="greaterThan">
      <formula>$F$53</formula>
    </cfRule>
    <cfRule type="cellIs" dxfId="1064" priority="134" stopIfTrue="1" operator="greaterThan">
      <formula>$F$54</formula>
    </cfRule>
    <cfRule type="cellIs" dxfId="1063" priority="133" stopIfTrue="1" operator="lessThanOrEqual">
      <formula>0</formula>
    </cfRule>
    <cfRule type="cellIs" dxfId="1062" priority="132" stopIfTrue="1" operator="greaterThan">
      <formula>$F$56</formula>
    </cfRule>
  </conditionalFormatting>
  <conditionalFormatting sqref="H80:H81">
    <cfRule type="cellIs" dxfId="1061" priority="105" stopIfTrue="1" operator="lessThanOrEqual">
      <formula>0</formula>
    </cfRule>
    <cfRule type="cellIs" dxfId="1060" priority="93" stopIfTrue="1" operator="lessThanOrEqual">
      <formula>0</formula>
    </cfRule>
    <cfRule type="cellIs" dxfId="1059" priority="94" stopIfTrue="1" operator="greaterThan">
      <formula>#REF!</formula>
    </cfRule>
    <cfRule type="cellIs" dxfId="1058" priority="103" stopIfTrue="1" operator="lessThanOrEqual">
      <formula>0</formula>
    </cfRule>
    <cfRule type="cellIs" dxfId="1057" priority="104" stopIfTrue="1" operator="greaterThan">
      <formula>#REF!</formula>
    </cfRule>
    <cfRule type="cellIs" dxfId="1056" priority="102" stopIfTrue="1" operator="greaterThan">
      <formula>$F$40</formula>
    </cfRule>
  </conditionalFormatting>
  <conditionalFormatting sqref="H96 H98:H104">
    <cfRule type="cellIs" dxfId="1055" priority="164" stopIfTrue="1" operator="greaterThan">
      <formula>4.5</formula>
    </cfRule>
    <cfRule type="cellIs" dxfId="1054" priority="165" stopIfTrue="1" operator="lessThanOrEqual">
      <formula>0</formula>
    </cfRule>
  </conditionalFormatting>
  <conditionalFormatting sqref="H72:I76">
    <cfRule type="cellIs" dxfId="1053" priority="67" stopIfTrue="1" operator="lessThanOrEqual">
      <formula>0</formula>
    </cfRule>
    <cfRule type="cellIs" dxfId="1052" priority="64" stopIfTrue="1" operator="greaterThan">
      <formula>$F$87</formula>
    </cfRule>
  </conditionalFormatting>
  <conditionalFormatting sqref="H77:I78">
    <cfRule type="cellIs" dxfId="1051" priority="108" stopIfTrue="1" operator="greaterThan">
      <formula>#REF!</formula>
    </cfRule>
    <cfRule type="cellIs" dxfId="1050" priority="111" stopIfTrue="1" operator="lessThanOrEqual">
      <formula>0</formula>
    </cfRule>
  </conditionalFormatting>
  <conditionalFormatting sqref="H79:I79">
    <cfRule type="cellIs" dxfId="1049" priority="122" stopIfTrue="1" operator="greaterThan">
      <formula>$F$55</formula>
    </cfRule>
    <cfRule type="cellIs" dxfId="1048" priority="125" stopIfTrue="1" operator="lessThanOrEqual">
      <formula>0</formula>
    </cfRule>
  </conditionalFormatting>
  <conditionalFormatting sqref="H80:I81">
    <cfRule type="cellIs" dxfId="1047" priority="92" stopIfTrue="1" operator="greaterThan">
      <formula>#REF!</formula>
    </cfRule>
    <cfRule type="cellIs" dxfId="1046" priority="95" stopIfTrue="1" operator="lessThanOrEqual">
      <formula>0</formula>
    </cfRule>
  </conditionalFormatting>
  <conditionalFormatting sqref="H85:I92">
    <cfRule type="cellIs" dxfId="1045" priority="32" stopIfTrue="1" operator="greaterThan">
      <formula>$J85</formula>
    </cfRule>
    <cfRule type="cellIs" dxfId="1044" priority="33" stopIfTrue="1" operator="lessThanOrEqual">
      <formula>0</formula>
    </cfRule>
  </conditionalFormatting>
  <conditionalFormatting sqref="H93:I93">
    <cfRule type="cellIs" dxfId="1043" priority="41" operator="greaterThan">
      <formula>5.3</formula>
    </cfRule>
  </conditionalFormatting>
  <conditionalFormatting sqref="H94:I94">
    <cfRule type="cellIs" dxfId="1042" priority="40" stopIfTrue="1" operator="lessThanOrEqual">
      <formula>0</formula>
    </cfRule>
    <cfRule type="cellIs" dxfId="1041" priority="39" stopIfTrue="1" operator="greaterThan">
      <formula>$J94</formula>
    </cfRule>
  </conditionalFormatting>
  <conditionalFormatting sqref="I72:I76">
    <cfRule type="cellIs" dxfId="1040" priority="73" stopIfTrue="1" operator="lessThanOrEqual">
      <formula>0</formula>
    </cfRule>
    <cfRule type="cellIs" dxfId="1039" priority="70" stopIfTrue="1" operator="greaterThan">
      <formula>$F$87</formula>
    </cfRule>
    <cfRule type="cellIs" dxfId="1038" priority="71" stopIfTrue="1" operator="lessThanOrEqual">
      <formula>0</formula>
    </cfRule>
    <cfRule type="cellIs" dxfId="1037" priority="72" stopIfTrue="1" operator="greaterThan">
      <formula>$F$85</formula>
    </cfRule>
    <cfRule type="cellIs" dxfId="1036" priority="68" stopIfTrue="1" operator="greaterThan">
      <formula>$F$85</formula>
    </cfRule>
    <cfRule type="cellIs" dxfId="1035" priority="69" stopIfTrue="1" operator="lessThanOrEqual">
      <formula>0</formula>
    </cfRule>
  </conditionalFormatting>
  <conditionalFormatting sqref="I77:I78">
    <cfRule type="cellIs" dxfId="1034" priority="115" stopIfTrue="1" operator="lessThanOrEqual">
      <formula>0</formula>
    </cfRule>
    <cfRule type="cellIs" dxfId="1033" priority="112" stopIfTrue="1" operator="greaterThan">
      <formula>#REF!</formula>
    </cfRule>
    <cfRule type="cellIs" dxfId="1032" priority="113" stopIfTrue="1" operator="lessThanOrEqual">
      <formula>0</formula>
    </cfRule>
    <cfRule type="cellIs" dxfId="1031" priority="114" stopIfTrue="1" operator="greaterThan">
      <formula>#REF!</formula>
    </cfRule>
    <cfRule type="cellIs" dxfId="1030" priority="117" stopIfTrue="1" operator="lessThanOrEqual">
      <formula>0</formula>
    </cfRule>
    <cfRule type="cellIs" dxfId="1029" priority="116" stopIfTrue="1" operator="greaterThan">
      <formula>#REF!</formula>
    </cfRule>
  </conditionalFormatting>
  <conditionalFormatting sqref="I79">
    <cfRule type="cellIs" dxfId="1028" priority="128" stopIfTrue="1" operator="greaterThan">
      <formula>$F$55</formula>
    </cfRule>
    <cfRule type="cellIs" dxfId="1027" priority="129" stopIfTrue="1" operator="lessThanOrEqual">
      <formula>0</formula>
    </cfRule>
    <cfRule type="cellIs" dxfId="1026" priority="130" stopIfTrue="1" operator="greaterThan">
      <formula>$F$53</formula>
    </cfRule>
    <cfRule type="cellIs" dxfId="1025" priority="131" stopIfTrue="1" operator="lessThanOrEqual">
      <formula>0</formula>
    </cfRule>
    <cfRule type="cellIs" dxfId="1024" priority="126" stopIfTrue="1" operator="greaterThan">
      <formula>$F$53</formula>
    </cfRule>
    <cfRule type="cellIs" dxfId="1023" priority="127" stopIfTrue="1" operator="lessThanOrEqual">
      <formula>0</formula>
    </cfRule>
  </conditionalFormatting>
  <conditionalFormatting sqref="I80:I81">
    <cfRule type="cellIs" dxfId="1022" priority="99" stopIfTrue="1" operator="lessThanOrEqual">
      <formula>0</formula>
    </cfRule>
    <cfRule type="cellIs" dxfId="1021" priority="97" stopIfTrue="1" operator="lessThanOrEqual">
      <formula>0</formula>
    </cfRule>
    <cfRule type="cellIs" dxfId="1020" priority="96" stopIfTrue="1" operator="greaterThan">
      <formula>#REF!</formula>
    </cfRule>
    <cfRule type="cellIs" dxfId="1019" priority="101" stopIfTrue="1" operator="lessThanOrEqual">
      <formula>0</formula>
    </cfRule>
    <cfRule type="cellIs" dxfId="1018" priority="100" stopIfTrue="1" operator="greaterThan">
      <formula>#REF!</formula>
    </cfRule>
    <cfRule type="cellIs" dxfId="1017" priority="98" stopIfTrue="1" operator="greaterThan">
      <formula>#REF!</formula>
    </cfRule>
  </conditionalFormatting>
  <conditionalFormatting sqref="I96:I104">
    <cfRule type="cellIs" dxfId="1016" priority="161" stopIfTrue="1" operator="lessThanOrEqual">
      <formula>0</formula>
    </cfRule>
    <cfRule type="cellIs" dxfId="1015" priority="160" stopIfTrue="1" operator="greaterThan">
      <formula>4.5</formula>
    </cfRule>
  </conditionalFormatting>
  <conditionalFormatting sqref="I10:J40">
    <cfRule type="cellIs" dxfId="1014" priority="12" operator="lessThan">
      <formula>97.9</formula>
    </cfRule>
  </conditionalFormatting>
  <conditionalFormatting sqref="J43">
    <cfRule type="cellIs" dxfId="1013" priority="63" operator="lessThan">
      <formula>97.95</formula>
    </cfRule>
  </conditionalFormatting>
  <conditionalFormatting sqref="J45">
    <cfRule type="cellIs" dxfId="1012" priority="138" stopIfTrue="1" operator="greaterThan">
      <formula>100</formula>
    </cfRule>
    <cfRule type="cellIs" dxfId="1011" priority="139" operator="lessThan">
      <formula>98</formula>
    </cfRule>
    <cfRule type="cellIs" dxfId="1010" priority="137" stopIfTrue="1" operator="lessThan">
      <formula>96.8</formula>
    </cfRule>
  </conditionalFormatting>
  <conditionalFormatting sqref="J45:J47">
    <cfRule type="cellIs" dxfId="1009" priority="136" operator="lessThan">
      <formula>97.4</formula>
    </cfRule>
  </conditionalFormatting>
  <conditionalFormatting sqref="J48:J49">
    <cfRule type="cellIs" dxfId="1008" priority="140" operator="lessThan">
      <formula>98</formula>
    </cfRule>
  </conditionalFormatting>
  <conditionalFormatting sqref="J50:J51">
    <cfRule type="cellIs" dxfId="1007" priority="141" stopIfTrue="1" operator="lessThan">
      <formula>96.8</formula>
    </cfRule>
    <cfRule type="cellIs" dxfId="1006" priority="142" stopIfTrue="1" operator="greaterThan">
      <formula>100</formula>
    </cfRule>
  </conditionalFormatting>
  <conditionalFormatting sqref="J50:J52">
    <cfRule type="cellIs" dxfId="1005" priority="143" operator="lessThan">
      <formula>98</formula>
    </cfRule>
  </conditionalFormatting>
  <conditionalFormatting sqref="J81">
    <cfRule type="cellIs" dxfId="1004" priority="91" stopIfTrue="1" operator="lessThanOrEqual">
      <formula>0</formula>
    </cfRule>
    <cfRule type="cellIs" dxfId="1003" priority="90" stopIfTrue="1" operator="greaterThan">
      <formula>#REF!</formula>
    </cfRule>
    <cfRule type="cellIs" dxfId="1002" priority="89" stopIfTrue="1" operator="lessThanOrEqual">
      <formula>0</formula>
    </cfRule>
    <cfRule type="cellIs" dxfId="1001" priority="88" stopIfTrue="1" operator="greaterThan">
      <formula>#REF!</formula>
    </cfRule>
    <cfRule type="cellIs" dxfId="1000" priority="87" stopIfTrue="1" operator="lessThanOrEqual">
      <formula>0</formula>
    </cfRule>
    <cfRule type="cellIs" dxfId="999" priority="86" stopIfTrue="1" operator="greaterThan">
      <formula>#REF!</formula>
    </cfRule>
    <cfRule type="cellIs" dxfId="998" priority="84" stopIfTrue="1" operator="greaterThan">
      <formula>#REF!</formula>
    </cfRule>
    <cfRule type="cellIs" dxfId="997" priority="85" stopIfTrue="1" operator="lessThanOrEqual">
      <formula>0</formula>
    </cfRule>
  </conditionalFormatting>
  <conditionalFormatting sqref="J94">
    <cfRule type="cellIs" dxfId="996" priority="46" stopIfTrue="1" operator="greaterThan">
      <formula>$F94</formula>
    </cfRule>
    <cfRule type="cellIs" dxfId="995" priority="47" stopIfTrue="1" operator="lessThanOrEqual">
      <formula>0</formula>
    </cfRule>
  </conditionalFormatting>
  <conditionalFormatting sqref="K10:K40">
    <cfRule type="cellIs" dxfId="994" priority="13" operator="greaterThan">
      <formula>6</formula>
    </cfRule>
    <cfRule type="cellIs" dxfId="993" priority="15" operator="greaterThan">
      <formula>6.4</formula>
    </cfRule>
    <cfRule type="cellIs" dxfId="992" priority="14" operator="lessThan">
      <formula>4</formula>
    </cfRule>
  </conditionalFormatting>
  <conditionalFormatting sqref="K72:K81">
    <cfRule type="cellIs" dxfId="991" priority="78" stopIfTrue="1" operator="lessThan">
      <formula>100%</formula>
    </cfRule>
  </conditionalFormatting>
  <conditionalFormatting sqref="K96:K101">
    <cfRule type="cellIs" dxfId="990" priority="166" stopIfTrue="1" operator="lessThan">
      <formula>100%</formula>
    </cfRule>
  </conditionalFormatting>
  <conditionalFormatting sqref="K103:K104">
    <cfRule type="cellIs" dxfId="989" priority="173" stopIfTrue="1" operator="lessThan">
      <formula>100%</formula>
    </cfRule>
  </conditionalFormatting>
  <conditionalFormatting sqref="K85:M93">
    <cfRule type="cellIs" dxfId="988" priority="31" stopIfTrue="1" operator="lessThan">
      <formula>100%</formula>
    </cfRule>
  </conditionalFormatting>
  <conditionalFormatting sqref="L10:L40">
    <cfRule type="cellIs" dxfId="987" priority="17" operator="greaterThan">
      <formula>65</formula>
    </cfRule>
    <cfRule type="cellIs" dxfId="986" priority="16" operator="between">
      <formula>61</formula>
      <formula>65</formula>
    </cfRule>
  </conditionalFormatting>
  <conditionalFormatting sqref="L43:M54">
    <cfRule type="cellIs" dxfId="985" priority="80" operator="lessThan">
      <formula>97.95</formula>
    </cfRule>
  </conditionalFormatting>
  <conditionalFormatting sqref="L94:M94">
    <cfRule type="cellIs" dxfId="984" priority="48" stopIfTrue="1" operator="lessThan">
      <formula>100%</formula>
    </cfRule>
  </conditionalFormatting>
  <conditionalFormatting sqref="L58:N58">
    <cfRule type="cellIs" dxfId="983" priority="81" operator="notEqual">
      <formula>#REF!</formula>
    </cfRule>
  </conditionalFormatting>
  <conditionalFormatting sqref="L96:N104">
    <cfRule type="cellIs" dxfId="982" priority="151" stopIfTrue="1" operator="lessThan">
      <formula>100%</formula>
    </cfRule>
  </conditionalFormatting>
  <conditionalFormatting sqref="M10:M22 M34:M38">
    <cfRule type="expression" dxfId="981" priority="22">
      <formula>IF(+(IF(M10&lt;U10,0,IF(M10&gt;V10,0,1)))=0,1)</formula>
    </cfRule>
  </conditionalFormatting>
  <conditionalFormatting sqref="M17:N34 G23:G33">
    <cfRule type="expression" dxfId="980" priority="19">
      <formula>IF(+(IF(G17&lt;#REF!,0,IF(G17&gt;#REF!,0,1)))=0,1)</formula>
    </cfRule>
  </conditionalFormatting>
  <conditionalFormatting sqref="M39:N40">
    <cfRule type="expression" dxfId="979" priority="79">
      <formula>IF(+(IF(M39&lt;#REF!,0,IF(M39&gt;#REF!,0,1)))=0,1)</formula>
    </cfRule>
  </conditionalFormatting>
  <conditionalFormatting sqref="N10:N22 N34:N38">
    <cfRule type="expression" dxfId="978" priority="21">
      <formula>IF(+(IF(N10&lt;W10,0,IF(N10&gt;X10,0,1)))=0,1)</formula>
    </cfRule>
  </conditionalFormatting>
  <conditionalFormatting sqref="N85:N94">
    <cfRule type="cellIs" dxfId="977" priority="62" stopIfTrue="1" operator="lessThan">
      <formula>100%</formula>
    </cfRule>
  </conditionalFormatting>
  <conditionalFormatting sqref="P6">
    <cfRule type="cellIs" dxfId="976" priority="147" operator="greaterThanOrEqual">
      <formula>19</formula>
    </cfRule>
  </conditionalFormatting>
  <dataValidations count="1">
    <dataValidation type="list" allowBlank="1" showInputMessage="1" showErrorMessage="1" sqref="R8" xr:uid="{A8E9A738-5601-4C60-9129-5DDFAF5C988A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98" max="16383" man="1"/>
  </rowBreaks>
  <colBreaks count="1" manualBreakCount="1">
    <brk id="15" max="89" man="1"/>
  </col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D1D63-7B29-4570-8572-1A8A24C87269}">
  <sheetPr>
    <pageSetUpPr fitToPage="1"/>
  </sheetPr>
  <dimension ref="A1:BE82"/>
  <sheetViews>
    <sheetView topLeftCell="A16" zoomScale="70" zoomScaleNormal="70" workbookViewId="0">
      <selection activeCell="L60" sqref="L60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9.42578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4" t="s">
        <v>0</v>
      </c>
      <c r="T1" s="494"/>
      <c r="U1" s="494" t="s">
        <v>1</v>
      </c>
      <c r="V1" s="494"/>
      <c r="W1" s="494" t="s">
        <v>2</v>
      </c>
      <c r="X1" s="494"/>
      <c r="Y1" s="494" t="s">
        <v>124</v>
      </c>
      <c r="Z1" s="494"/>
    </row>
    <row r="2" spans="2:29" ht="15">
      <c r="B2" s="495" t="s">
        <v>3</v>
      </c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46106</v>
      </c>
      <c r="J4" s="398" t="s">
        <v>167</v>
      </c>
      <c r="K4" s="398"/>
      <c r="L4" s="11"/>
      <c r="M4" s="492" t="s">
        <v>8</v>
      </c>
      <c r="N4" s="493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8"/>
      <c r="D5" s="49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9" t="s">
        <v>17</v>
      </c>
      <c r="C8" s="501" t="s">
        <v>18</v>
      </c>
      <c r="D8" s="501" t="s">
        <v>19</v>
      </c>
      <c r="E8" s="356" t="s">
        <v>20</v>
      </c>
      <c r="F8" s="356" t="s">
        <v>21</v>
      </c>
      <c r="G8" s="501" t="s">
        <v>22</v>
      </c>
      <c r="H8" s="502" t="s">
        <v>144</v>
      </c>
      <c r="I8" s="501" t="s">
        <v>165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169</v>
      </c>
      <c r="O8" s="510" t="s">
        <v>155</v>
      </c>
      <c r="P8" s="496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0"/>
      <c r="C9" s="497"/>
      <c r="D9" s="497"/>
      <c r="E9" s="357" t="s">
        <v>30</v>
      </c>
      <c r="F9" s="357" t="s">
        <v>31</v>
      </c>
      <c r="G9" s="497"/>
      <c r="H9" s="503"/>
      <c r="I9" s="497"/>
      <c r="J9" s="505"/>
      <c r="K9" s="507"/>
      <c r="L9" s="509"/>
      <c r="M9" s="20" t="s">
        <v>32</v>
      </c>
      <c r="N9" s="21" t="s">
        <v>41</v>
      </c>
      <c r="O9" s="511"/>
      <c r="P9" s="497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29" t="s">
        <v>6</v>
      </c>
      <c r="C10" s="366" t="str">
        <f>[4]Brewhouse!$A273</f>
        <v>CA230</v>
      </c>
      <c r="D10" s="279">
        <f>[4]Brewhouse!$AF273</f>
        <v>50</v>
      </c>
      <c r="E10" s="279">
        <f>[4]Brewhouse!$AI273</f>
        <v>50.5</v>
      </c>
      <c r="F10" s="278">
        <f>[4]Brewhouse!$V273</f>
        <v>61</v>
      </c>
      <c r="G10" s="279">
        <f>[4]Brewhouse!AG273</f>
        <v>11.6</v>
      </c>
      <c r="H10" s="396">
        <v>11.9</v>
      </c>
      <c r="I10" s="368">
        <f>[4]Brewhouse!$AU273</f>
        <v>97.05962214993248</v>
      </c>
      <c r="J10" s="368">
        <f>[4]Brewhouse!$AV273</f>
        <v>97.422444628664451</v>
      </c>
      <c r="K10" s="281">
        <f>[4]Brewhouse!$Q273</f>
        <v>12.606284658040664</v>
      </c>
      <c r="L10" s="276">
        <f>[4]Brewhouse!$P273</f>
        <v>60</v>
      </c>
      <c r="M10" s="397">
        <f>[4]Brewhouse!$U273-[4]Brewhouse!$T273</f>
        <v>0.11458333333333337</v>
      </c>
      <c r="N10" s="370">
        <f>[4]Brewhouse!$Z273</f>
        <v>0.25208333333333333</v>
      </c>
      <c r="O10" s="420" t="str">
        <f>[4]Brewhouse!$AX273</f>
        <v>R. Regis</v>
      </c>
      <c r="P10" s="418"/>
      <c r="R10" s="277" t="str">
        <f t="shared" ref="R10:R42" si="0">B10</f>
        <v>CARIB</v>
      </c>
      <c r="S10" s="472">
        <f t="shared" ref="S10:S42" si="1">VLOOKUP($B10,$R$3:$X$9,2,FALSE)</f>
        <v>11.6</v>
      </c>
      <c r="T10" s="472">
        <f t="shared" ref="T10:T42" si="2">VLOOKUP($B10,$R$3:$X$9,3,FALSE)</f>
        <v>12</v>
      </c>
      <c r="U10" s="297">
        <f t="shared" ref="U10:U42" si="3">VLOOKUP($B10,$R$3:$X$9,4,FALSE)</f>
        <v>0</v>
      </c>
      <c r="V10" s="297">
        <f t="shared" ref="V10:V42" si="4">VLOOKUP($B10,$R$3:$X$9,5,FALSE)</f>
        <v>0.118055555555556</v>
      </c>
      <c r="W10" s="297">
        <f t="shared" ref="W10:W42" si="5">VLOOKUP($B10,$R$3:$X$9,6,FALSE)</f>
        <v>0.22569444444444445</v>
      </c>
      <c r="X10" s="297">
        <f t="shared" ref="X10:X42" si="6">VLOOKUP($B10,$R$3:$X$9,7,FALSE)</f>
        <v>0.2638888888888889</v>
      </c>
      <c r="Y10" s="297">
        <f t="shared" ref="Y10:Y42" si="7">VLOOKUP($B10,$R$3:$Z$9,8,FALSE)</f>
        <v>0</v>
      </c>
      <c r="Z10" s="472">
        <f t="shared" ref="Z10:Z42" si="8">VLOOKUP($B10,$R$3:$Z$9,9,FALSE)</f>
        <v>60</v>
      </c>
    </row>
    <row r="11" spans="2:29" ht="16.5" customHeight="1">
      <c r="B11" s="29" t="s">
        <v>6</v>
      </c>
      <c r="C11" s="366" t="str">
        <f>[4]Brewhouse!$A274</f>
        <v>CA231</v>
      </c>
      <c r="D11" s="279">
        <f>[4]Brewhouse!$AF274</f>
        <v>50.4</v>
      </c>
      <c r="E11" s="279">
        <f>[4]Brewhouse!$AI274</f>
        <v>50.9</v>
      </c>
      <c r="F11" s="278">
        <f>[4]Brewhouse!$V274</f>
        <v>62</v>
      </c>
      <c r="G11" s="279">
        <f>[4]Brewhouse!AG274</f>
        <v>11.7</v>
      </c>
      <c r="H11" s="396">
        <v>11.7</v>
      </c>
      <c r="I11" s="368">
        <f>[4]Brewhouse!$AU274</f>
        <v>98.473296044522911</v>
      </c>
      <c r="J11" s="368">
        <f>[4]Brewhouse!$AV274</f>
        <v>98.841450860971889</v>
      </c>
      <c r="K11" s="281">
        <f>[4]Brewhouse!$Q274</f>
        <v>11.866913123844734</v>
      </c>
      <c r="L11" s="276">
        <f>[4]Brewhouse!$P274</f>
        <v>58</v>
      </c>
      <c r="M11" s="397">
        <f>[4]Brewhouse!$U274-[4]Brewhouse!$T274</f>
        <v>0.11666666666666664</v>
      </c>
      <c r="N11" s="370">
        <f>[4]Brewhouse!$Z274</f>
        <v>0.30138888888888887</v>
      </c>
      <c r="O11" s="420" t="str">
        <f>[4]Brewhouse!$AX274</f>
        <v>R.Sookram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6.5" customHeight="1">
      <c r="B12" s="29" t="s">
        <v>6</v>
      </c>
      <c r="C12" s="366" t="str">
        <f>[4]Brewhouse!$A275</f>
        <v>CA232</v>
      </c>
      <c r="D12" s="279">
        <f>[4]Brewhouse!$AF275</f>
        <v>49.8</v>
      </c>
      <c r="E12" s="279">
        <f>[4]Brewhouse!$AI275</f>
        <v>49.6</v>
      </c>
      <c r="F12" s="278">
        <f>[4]Brewhouse!$V275</f>
        <v>61</v>
      </c>
      <c r="G12" s="279">
        <f>[4]Brewhouse!AG275</f>
        <v>11.8</v>
      </c>
      <c r="H12" s="396">
        <v>11.8</v>
      </c>
      <c r="I12" s="368">
        <f>[4]Brewhouse!$AU275</f>
        <v>96.821336097738467</v>
      </c>
      <c r="J12" s="368">
        <f>[4]Brewhouse!$AV275</f>
        <v>97.183314853921161</v>
      </c>
      <c r="K12" s="281">
        <f>[4]Brewhouse!$Q275</f>
        <v>9.2791127541589713</v>
      </c>
      <c r="L12" s="276">
        <f>[4]Brewhouse!$P275</f>
        <v>59</v>
      </c>
      <c r="M12" s="397">
        <f>[4]Brewhouse!$U275-[4]Brewhouse!$T275</f>
        <v>0.10763888888888895</v>
      </c>
      <c r="N12" s="370">
        <f>[4]Brewhouse!$Z275</f>
        <v>0.34652777777777782</v>
      </c>
      <c r="O12" s="420" t="str">
        <f>[4]Brewhouse!$AX275</f>
        <v>R.Sookram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6.5" customHeight="1">
      <c r="B13" s="29" t="s">
        <v>6</v>
      </c>
      <c r="C13" s="366" t="str">
        <f>[4]Brewhouse!$A276</f>
        <v>CA233</v>
      </c>
      <c r="D13" s="279">
        <f>[4]Brewhouse!$AF276</f>
        <v>50.6</v>
      </c>
      <c r="E13" s="279">
        <f>[4]Brewhouse!$AI276</f>
        <v>48.8</v>
      </c>
      <c r="F13" s="278">
        <f>[4]Brewhouse!$V276</f>
        <v>53</v>
      </c>
      <c r="G13" s="279">
        <f>[4]Brewhouse!AG276</f>
        <v>11.7</v>
      </c>
      <c r="H13" s="396">
        <v>11.9</v>
      </c>
      <c r="I13" s="368">
        <f>[4]Brewhouse!$AU276</f>
        <v>94.526889247991434</v>
      </c>
      <c r="J13" s="368">
        <f>[4]Brewhouse!$AV276</f>
        <v>94.880266999122568</v>
      </c>
      <c r="K13" s="281">
        <f>[4]Brewhouse!$Q276</f>
        <v>7.6296296296296253</v>
      </c>
      <c r="L13" s="276">
        <f>[4]Brewhouse!$P276</f>
        <v>60</v>
      </c>
      <c r="M13" s="397">
        <f>[4]Brewhouse!$U276-[4]Brewhouse!$T276</f>
        <v>6.3194444444444553E-2</v>
      </c>
      <c r="N13" s="370">
        <f>[4]Brewhouse!$Z276</f>
        <v>0.23472222222222228</v>
      </c>
      <c r="O13" s="420" t="str">
        <f>[4]Brewhouse!$AX276</f>
        <v>K. Benjamin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6.5" customHeight="1">
      <c r="B14" s="29" t="s">
        <v>6</v>
      </c>
      <c r="C14" s="366" t="str">
        <f>[4]Brewhouse!$A277</f>
        <v>CA234</v>
      </c>
      <c r="D14" s="279">
        <f>[4]Brewhouse!$AF277</f>
        <v>50.8</v>
      </c>
      <c r="E14" s="279">
        <f>[4]Brewhouse!$AI277</f>
        <v>50.2</v>
      </c>
      <c r="F14" s="278">
        <f>[4]Brewhouse!$V277</f>
        <v>58</v>
      </c>
      <c r="G14" s="279">
        <f>[4]Brewhouse!AG277</f>
        <v>11.9</v>
      </c>
      <c r="H14" s="396">
        <v>12.1</v>
      </c>
      <c r="I14" s="368">
        <f>[4]Brewhouse!$AU277</f>
        <v>99.232478638628749</v>
      </c>
      <c r="J14" s="368">
        <f>[4]Brewhouse!$AV277</f>
        <v>99.60339937275053</v>
      </c>
      <c r="K14" s="281">
        <f>[4]Brewhouse!$Q277</f>
        <v>8</v>
      </c>
      <c r="L14" s="276">
        <f>[4]Brewhouse!$P277</f>
        <v>61</v>
      </c>
      <c r="M14" s="397">
        <f>[4]Brewhouse!$U277-[4]Brewhouse!$T277</f>
        <v>0.10763888888888884</v>
      </c>
      <c r="N14" s="370">
        <f>[4]Brewhouse!$Z277</f>
        <v>0.23611111111111105</v>
      </c>
      <c r="O14" s="420" t="str">
        <f>[4]Brewhouse!$AX277</f>
        <v>K. Benjamin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6.5" customHeight="1">
      <c r="B15" s="29" t="s">
        <v>6</v>
      </c>
      <c r="C15" s="366" t="str">
        <f>[4]Brewhouse!$A278</f>
        <v>CA235</v>
      </c>
      <c r="D15" s="279">
        <f>[4]Brewhouse!$AF278</f>
        <v>49.9</v>
      </c>
      <c r="E15" s="279">
        <f>[4]Brewhouse!$AI278</f>
        <v>49.4</v>
      </c>
      <c r="F15" s="278">
        <f>[4]Brewhouse!$V278</f>
        <v>57</v>
      </c>
      <c r="G15" s="279">
        <f>[4]Brewhouse!AG278</f>
        <v>11.9</v>
      </c>
      <c r="H15" s="396">
        <v>12</v>
      </c>
      <c r="I15" s="368">
        <f>[4]Brewhouse!$AU278</f>
        <v>97.771866547676723</v>
      </c>
      <c r="J15" s="368">
        <f>[4]Brewhouse!$AV278</f>
        <v>98.137303775176733</v>
      </c>
      <c r="K15" s="281">
        <f>[4]Brewhouse!$Q278</f>
        <v>8.9259259259259256</v>
      </c>
      <c r="L15" s="276">
        <f>[4]Brewhouse!$P278</f>
        <v>63</v>
      </c>
      <c r="M15" s="397">
        <f>[4]Brewhouse!$U278-[4]Brewhouse!$T278</f>
        <v>0.10902777777777783</v>
      </c>
      <c r="N15" s="370">
        <f>[4]Brewhouse!$Z278</f>
        <v>0.23611111111111116</v>
      </c>
      <c r="O15" s="420" t="str">
        <f>[4]Brewhouse!$AX278</f>
        <v>K. Benjamin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6.5" customHeight="1">
      <c r="B16" s="29" t="s">
        <v>6</v>
      </c>
      <c r="C16" s="366" t="str">
        <f>[4]Brewhouse!$A279</f>
        <v>CA236</v>
      </c>
      <c r="D16" s="279">
        <f>[4]Brewhouse!$AF279</f>
        <v>50</v>
      </c>
      <c r="E16" s="279">
        <f>[4]Brewhouse!$AI279</f>
        <v>49.3</v>
      </c>
      <c r="F16" s="278">
        <f>[4]Brewhouse!$V279</f>
        <v>59</v>
      </c>
      <c r="G16" s="279">
        <f>[4]Brewhouse!AG279</f>
        <v>12</v>
      </c>
      <c r="H16" s="396">
        <v>11.9</v>
      </c>
      <c r="I16" s="368">
        <f>[4]Brewhouse!$AU279</f>
        <v>98.557950595645067</v>
      </c>
      <c r="J16" s="368">
        <f>[4]Brewhouse!$AV279</f>
        <v>98.926301790365244</v>
      </c>
      <c r="K16" s="281">
        <f>[4]Brewhouse!$Q279</f>
        <v>10.222222222222214</v>
      </c>
      <c r="L16" s="276">
        <f>[4]Brewhouse!$P279</f>
        <v>60</v>
      </c>
      <c r="M16" s="397">
        <f>[4]Brewhouse!$U279-[4]Brewhouse!$T279</f>
        <v>0.1055555555555554</v>
      </c>
      <c r="N16" s="370">
        <f>[4]Brewhouse!$Z279</f>
        <v>0.24652777777777768</v>
      </c>
      <c r="O16" s="420" t="str">
        <f>[4]Brewhouse!$AX279</f>
        <v>K. Benjamin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6.5" customHeight="1">
      <c r="B17" s="29" t="s">
        <v>6</v>
      </c>
      <c r="C17" s="366" t="str">
        <f>[4]Brewhouse!$A280</f>
        <v>CA237</v>
      </c>
      <c r="D17" s="279">
        <f>[4]Brewhouse!$AF280</f>
        <v>51.9</v>
      </c>
      <c r="E17" s="279">
        <f>[4]Brewhouse!$AI280</f>
        <v>52.2</v>
      </c>
      <c r="F17" s="278">
        <f>[4]Brewhouse!$V280</f>
        <v>63</v>
      </c>
      <c r="G17" s="279">
        <f>[4]Brewhouse!AG280</f>
        <v>11.6</v>
      </c>
      <c r="H17" s="396">
        <v>11.7</v>
      </c>
      <c r="I17" s="368">
        <f>[4]Brewhouse!$AU280</f>
        <v>99.798300055092355</v>
      </c>
      <c r="J17" s="368">
        <f>[4]Brewhouse!$AV280</f>
        <v>100.45417588477869</v>
      </c>
      <c r="K17" s="281">
        <f>[4]Brewhouse!$Q280</f>
        <v>8.5397412199630267</v>
      </c>
      <c r="L17" s="276">
        <f>[4]Brewhouse!$P280</f>
        <v>60</v>
      </c>
      <c r="M17" s="397">
        <f>[4]Brewhouse!$U280-[4]Brewhouse!$T280</f>
        <v>0.11180555555555571</v>
      </c>
      <c r="N17" s="370">
        <f>[4]Brewhouse!$Z280</f>
        <v>0.24444444444444458</v>
      </c>
      <c r="O17" s="420" t="str">
        <f>[4]Brewhouse!$AX280</f>
        <v>R. Regis</v>
      </c>
      <c r="P17" s="418"/>
      <c r="R17" s="277" t="str">
        <f t="shared" si="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6.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6.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6.5" customHeight="1">
      <c r="B20" s="33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6.5" hidden="1" customHeight="1">
      <c r="B21" s="33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6.5" hidden="1" customHeight="1">
      <c r="B22" s="48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6.5" hidden="1" customHeight="1">
      <c r="B23" s="37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371"/>
      <c r="P23" s="418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6.5" hidden="1" customHeight="1">
      <c r="B24" s="37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371"/>
      <c r="P24" s="418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6.5" hidden="1" customHeight="1">
      <c r="B25" s="37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74"/>
      <c r="N25" s="370"/>
      <c r="O25" s="371"/>
      <c r="P25" s="418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5" hidden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74"/>
      <c r="N26" s="370"/>
      <c r="O26" s="371"/>
      <c r="P26" s="418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8" hidden="1" customHeight="1">
      <c r="B27" s="29"/>
      <c r="C27" s="366"/>
      <c r="D27" s="279"/>
      <c r="E27" s="279"/>
      <c r="F27" s="278"/>
      <c r="G27" s="279"/>
      <c r="H27" s="487"/>
      <c r="I27" s="368"/>
      <c r="J27" s="368"/>
      <c r="K27" s="281"/>
      <c r="L27" s="276"/>
      <c r="M27" s="374"/>
      <c r="N27" s="370"/>
      <c r="O27" s="371"/>
      <c r="P27" s="418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6.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18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5.75" customHeight="1" thickBot="1">
      <c r="B29" s="358"/>
      <c r="C29" s="358"/>
      <c r="D29" s="358"/>
      <c r="E29" s="358"/>
      <c r="F29" s="294"/>
      <c r="G29" s="294"/>
      <c r="H29" s="348"/>
      <c r="I29" s="512"/>
      <c r="J29" s="512"/>
      <c r="K29" s="512"/>
      <c r="L29" s="512"/>
      <c r="M29" s="512"/>
      <c r="N29" s="512"/>
      <c r="O29" s="1"/>
      <c r="P29" s="12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5.75" customHeight="1" thickBot="1">
      <c r="B30" s="388" t="s">
        <v>162</v>
      </c>
      <c r="C30" s="388"/>
      <c r="D30" s="513" t="s">
        <v>35</v>
      </c>
      <c r="E30" s="514"/>
      <c r="F30" s="294"/>
      <c r="G30" s="294"/>
      <c r="H30" s="348"/>
      <c r="I30" s="24" t="s">
        <v>17</v>
      </c>
      <c r="J30" s="25"/>
      <c r="K30" s="26" t="s">
        <v>138</v>
      </c>
      <c r="L30" s="25" t="s">
        <v>37</v>
      </c>
      <c r="M30" s="25" t="s">
        <v>38</v>
      </c>
      <c r="N30" s="27" t="s">
        <v>39</v>
      </c>
      <c r="O30" s="294"/>
      <c r="P30" s="12"/>
      <c r="R30" s="277" t="str">
        <f t="shared" si="0"/>
        <v xml:space="preserve">BRAND 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5" customHeight="1">
      <c r="A31" s="28"/>
      <c r="B31" s="515"/>
      <c r="C31" s="362"/>
      <c r="D31" s="518"/>
      <c r="E31" s="519"/>
      <c r="F31" s="294"/>
      <c r="G31" s="294"/>
      <c r="H31" s="348"/>
      <c r="I31" s="29" t="s">
        <v>6</v>
      </c>
      <c r="J31" s="323">
        <f>AVERAGE(I10:I17)</f>
        <v>97.780217422153513</v>
      </c>
      <c r="K31" s="284">
        <f>COUNTA([4]Brewhouse!$A$198:$A$280)</f>
        <v>83</v>
      </c>
      <c r="L31" s="305">
        <f>AVERAGE([4]Brewhouse!$AU$198:$AU$280)</f>
        <v>98.1296212610699</v>
      </c>
      <c r="M31" s="305">
        <f>AVERAGE([4]Brewhouse!$AU$42:$AU$123,[4]Brewhouse!$AU$125:$AU$188,[4]Brewhouse!$AU$198:$AU$280)</f>
        <v>97.789631276933918</v>
      </c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5" customHeight="1">
      <c r="A32" s="28"/>
      <c r="B32" s="516"/>
      <c r="C32" s="362"/>
      <c r="D32" s="520"/>
      <c r="E32" s="521"/>
      <c r="F32" s="294"/>
      <c r="G32" s="294"/>
      <c r="H32" s="348"/>
      <c r="I32" s="33" t="s">
        <v>9</v>
      </c>
      <c r="J32" s="280"/>
      <c r="K32" s="284">
        <f>COUNTA([3]Brewhouse!$A$134:$A$169)</f>
        <v>36</v>
      </c>
      <c r="L32" s="302">
        <f>AVERAGE([3]Brewhouse!$AS$134:$AS$169)</f>
        <v>98.548334749686148</v>
      </c>
      <c r="M32" s="302">
        <f>AVERAGE([3]Brewhouse!$AS$52:$AS$81,[3]Brewhouse!$AS$83:$AS$124,[3]Brewhouse!$AS$134:$AS$169)</f>
        <v>98.393852349390286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27" ht="14.65" customHeight="1">
      <c r="A33" s="28"/>
      <c r="B33" s="516"/>
      <c r="C33" s="362"/>
      <c r="D33" s="522"/>
      <c r="E33" s="523"/>
      <c r="F33" s="294"/>
      <c r="G33" s="294"/>
      <c r="H33" s="348"/>
      <c r="I33" s="34" t="s">
        <v>12</v>
      </c>
      <c r="J33" s="280"/>
      <c r="K33" s="284">
        <f>COUNTA([5]Brewhouse!$A$34:$A$41)</f>
        <v>8</v>
      </c>
      <c r="L33" s="302">
        <f>AVERAGE([5]Brewhouse!$AU$34:$AU$41)</f>
        <v>94.762610859726223</v>
      </c>
      <c r="M33" s="302">
        <f>AVERAGE([5]Brewhouse!$AU$16:$AU$23,[5]Brewhouse!$AU$25:$AU$32,[5]Brewhouse!$AU$34:$AU$41)</f>
        <v>97.131453825415363</v>
      </c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27" ht="14.65" customHeight="1">
      <c r="A34" s="28"/>
      <c r="B34" s="516"/>
      <c r="C34" s="362"/>
      <c r="D34" s="524"/>
      <c r="E34" s="521"/>
      <c r="F34" s="294"/>
      <c r="G34" s="294"/>
      <c r="H34" s="348"/>
      <c r="I34" s="22" t="s">
        <v>33</v>
      </c>
      <c r="J34" s="280"/>
      <c r="K34" s="284">
        <f>COUNTA([6]Brewhouse!$A$38:$A$44)</f>
        <v>7</v>
      </c>
      <c r="L34" s="302">
        <f>AVERAGE([6]Brewhouse!$AV$38:$AV$44)</f>
        <v>96.929916494140343</v>
      </c>
      <c r="M34" s="302">
        <f>AVERAGE([6]Brewhouse!$AV$23:$AV$34,[6]Brewhouse!$AV$36,[6]Brewhouse!$AV$38:$AV$44)</f>
        <v>97.74055230745536</v>
      </c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27" ht="14.65" customHeight="1">
      <c r="A35" s="28"/>
      <c r="B35" s="516"/>
      <c r="C35" s="362"/>
      <c r="D35" s="522"/>
      <c r="E35" s="523"/>
      <c r="F35" s="417"/>
      <c r="G35" s="294"/>
      <c r="H35" s="348"/>
      <c r="I35" s="35" t="s">
        <v>29</v>
      </c>
      <c r="J35" s="280"/>
      <c r="K35" s="284"/>
      <c r="L35" s="302"/>
      <c r="M35" s="302"/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27" ht="14.65" customHeight="1">
      <c r="A36" s="28"/>
      <c r="B36" s="516"/>
      <c r="C36" s="362"/>
      <c r="D36" s="524"/>
      <c r="E36" s="521"/>
      <c r="F36" s="417"/>
      <c r="G36" s="294"/>
      <c r="H36" s="348"/>
      <c r="I36" s="36" t="s">
        <v>15</v>
      </c>
      <c r="J36" s="323"/>
      <c r="K36" s="284"/>
      <c r="L36" s="302"/>
      <c r="M36" s="302">
        <f>AVERAGE([7]Brewhouse!$AT$4:$AT$11)</f>
        <v>92.826224508052405</v>
      </c>
      <c r="N36" s="3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27" ht="14.65" customHeight="1">
      <c r="A37" s="28"/>
      <c r="B37" s="516"/>
      <c r="C37" s="362"/>
      <c r="D37" s="522"/>
      <c r="E37" s="523"/>
      <c r="F37" s="417"/>
      <c r="G37" s="294"/>
      <c r="H37" s="348"/>
      <c r="I37" s="37" t="s">
        <v>16</v>
      </c>
      <c r="J37" s="323"/>
      <c r="K37" s="284">
        <f>COUNTA([8]Brewhouse!$A$25:$A$42)</f>
        <v>18</v>
      </c>
      <c r="L37" s="302">
        <f>AVERAGE([8]Brewhouse!$AY$42)</f>
        <v>99.134494554521325</v>
      </c>
      <c r="M37" s="302">
        <f>AVERAGE([8]Brewhouse!$AY$5:$AY$14,[8]Brewhouse!$AY$16:$AY$23,[8]Brewhouse!$AY$42)</f>
        <v>97.390503559857137</v>
      </c>
      <c r="N37" s="30">
        <v>98</v>
      </c>
      <c r="O37" s="11"/>
      <c r="P37" s="31" t="s">
        <v>41</v>
      </c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27" ht="14.65" customHeight="1">
      <c r="A38" s="28"/>
      <c r="B38" s="516"/>
      <c r="C38" s="362"/>
      <c r="D38" s="524"/>
      <c r="E38" s="521"/>
      <c r="F38" s="294"/>
      <c r="G38" s="294"/>
      <c r="H38" s="348"/>
      <c r="I38" s="411" t="s">
        <v>158</v>
      </c>
      <c r="J38" s="326"/>
      <c r="K38" s="284"/>
      <c r="L38" s="305"/>
      <c r="M38" s="305"/>
      <c r="N38" s="30">
        <v>98</v>
      </c>
      <c r="O38" s="11"/>
      <c r="P38" s="31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27" ht="14.65" customHeight="1">
      <c r="A39" s="28"/>
      <c r="B39" s="516"/>
      <c r="C39" s="349"/>
      <c r="D39" s="522"/>
      <c r="E39" s="523"/>
      <c r="F39" s="294"/>
      <c r="G39" s="294"/>
      <c r="H39" s="348"/>
      <c r="I39" s="410" t="s">
        <v>157</v>
      </c>
      <c r="J39" s="326"/>
      <c r="K39" s="284"/>
      <c r="L39" s="305"/>
      <c r="M39" s="305"/>
      <c r="N39" s="30">
        <v>98</v>
      </c>
      <c r="O39" s="11"/>
      <c r="P39" s="31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  <c r="AA39" s="472"/>
    </row>
    <row r="40" spans="1:27" ht="15" customHeight="1" thickBot="1">
      <c r="A40" s="28"/>
      <c r="B40" s="516"/>
      <c r="C40" s="349"/>
      <c r="D40" s="524"/>
      <c r="E40" s="521"/>
      <c r="F40" s="294"/>
      <c r="G40" s="294"/>
      <c r="H40" s="348"/>
      <c r="I40" s="406" t="s">
        <v>156</v>
      </c>
      <c r="J40" s="327"/>
      <c r="K40" s="407"/>
      <c r="L40" s="408"/>
      <c r="M40" s="408"/>
      <c r="N40" s="409">
        <v>98</v>
      </c>
      <c r="O40" s="11"/>
      <c r="P40" s="31"/>
      <c r="R40" s="277">
        <f t="shared" si="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  <c r="AA40" s="472"/>
    </row>
    <row r="41" spans="1:27" ht="15" customHeight="1" thickBot="1">
      <c r="A41" s="28"/>
      <c r="B41" s="516"/>
      <c r="C41" s="349"/>
      <c r="D41" s="518"/>
      <c r="E41" s="519"/>
      <c r="F41" s="294"/>
      <c r="G41" s="294"/>
      <c r="H41" s="348"/>
      <c r="I41" s="1"/>
      <c r="J41" s="39"/>
      <c r="K41" s="404">
        <f>SUM(K31:K40)</f>
        <v>152</v>
      </c>
      <c r="L41" s="405">
        <f>((L31*K31)+(L32*K32)+(L33*K33)+(L34*K34)+(L35*K35)+(K38*L38)+(L36*K36)+(L37*K37)+(L40*K40))/(K41)</f>
        <v>98.115327762997893</v>
      </c>
      <c r="M41" s="405">
        <f>AVERAGE('[9]Jan30th-31st'!$L$42,L41)</f>
        <v>97.97168474941968</v>
      </c>
      <c r="N41" s="40">
        <v>98</v>
      </c>
      <c r="O41" s="11"/>
      <c r="P41" s="31"/>
      <c r="R41" s="277">
        <f t="shared" si="0"/>
        <v>0</v>
      </c>
      <c r="S41" s="472" t="e">
        <f t="shared" si="1"/>
        <v>#N/A</v>
      </c>
      <c r="T41" s="472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2" t="e">
        <f t="shared" si="8"/>
        <v>#N/A</v>
      </c>
      <c r="AA41" s="472"/>
    </row>
    <row r="42" spans="1:27" ht="15.75" thickBot="1">
      <c r="B42" s="517"/>
      <c r="C42" s="350"/>
      <c r="D42" s="520"/>
      <c r="E42" s="521"/>
      <c r="F42" s="294"/>
      <c r="G42" s="42"/>
      <c r="H42" s="41"/>
      <c r="I42" s="42"/>
      <c r="J42" s="42"/>
      <c r="K42" s="351"/>
      <c r="L42" s="348"/>
      <c r="M42" s="348"/>
      <c r="N42" s="11"/>
      <c r="O42" s="294"/>
      <c r="P42" s="12"/>
      <c r="R42" s="277">
        <f t="shared" si="0"/>
        <v>0</v>
      </c>
      <c r="S42" s="472" t="e">
        <f t="shared" si="1"/>
        <v>#N/A</v>
      </c>
      <c r="T42" s="472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472" t="e">
        <f t="shared" si="8"/>
        <v>#N/A</v>
      </c>
      <c r="AA42" s="472"/>
    </row>
    <row r="43" spans="1:27" ht="15.75" thickBot="1">
      <c r="B43" s="525"/>
      <c r="C43" s="362"/>
      <c r="D43" s="528"/>
      <c r="E43" s="529"/>
      <c r="F43" s="294"/>
      <c r="G43" s="42"/>
      <c r="H43" s="41"/>
      <c r="I43" s="42"/>
      <c r="J43" s="530" t="s">
        <v>129</v>
      </c>
      <c r="K43" s="530"/>
      <c r="L43" s="294"/>
      <c r="M43" s="294"/>
      <c r="N43" s="294"/>
      <c r="O43" s="294"/>
      <c r="P43" s="12"/>
    </row>
    <row r="44" spans="1:27" ht="15.75" thickBot="1">
      <c r="B44" s="526"/>
      <c r="C44" s="362"/>
      <c r="D44" s="524"/>
      <c r="E44" s="521"/>
      <c r="F44" s="294"/>
      <c r="G44" s="42"/>
      <c r="H44" s="42"/>
      <c r="I44" s="42"/>
      <c r="J44" s="292" t="s">
        <v>17</v>
      </c>
      <c r="K44" s="293" t="s">
        <v>172</v>
      </c>
      <c r="L44" s="531" t="s">
        <v>136</v>
      </c>
      <c r="M44" s="531"/>
      <c r="N44" s="532"/>
      <c r="O44" s="294"/>
      <c r="P44" s="12"/>
    </row>
    <row r="45" spans="1:27" ht="15" customHeight="1" thickBot="1">
      <c r="B45" s="526"/>
      <c r="C45" s="349"/>
      <c r="D45" s="522"/>
      <c r="E45" s="523"/>
      <c r="F45" s="294"/>
      <c r="G45" s="42"/>
      <c r="H45" s="42"/>
      <c r="I45" s="42"/>
      <c r="J45" s="287" t="s">
        <v>6</v>
      </c>
      <c r="K45" s="324">
        <v>8</v>
      </c>
      <c r="L45" s="473" t="s">
        <v>37</v>
      </c>
      <c r="M45" s="474" t="s">
        <v>38</v>
      </c>
      <c r="N45" s="474" t="s">
        <v>84</v>
      </c>
      <c r="O45" s="294"/>
      <c r="P45" s="12"/>
    </row>
    <row r="46" spans="1:27" ht="15.75" customHeight="1" thickBot="1">
      <c r="B46" s="526"/>
      <c r="C46" s="349"/>
      <c r="D46" s="524"/>
      <c r="E46" s="521"/>
      <c r="F46" s="294"/>
      <c r="G46" s="42"/>
      <c r="H46" s="42"/>
      <c r="I46" s="42"/>
      <c r="J46" s="345" t="s">
        <v>9</v>
      </c>
      <c r="K46" s="324"/>
      <c r="L46" s="344">
        <f>AVERAGE(K55,'Mar 2nd'!K49,'Mar 1st'!K55,'Mar 3rd'!K49,'Mar 4th'!K51,'Mar 5th'!K52,'Mar 6th '!K49,'Mar 9th'!K53,'Mar 10th'!K47,'Mar 11th'!K50,'Mar 12th'!K51,'Mar 13th-15th'!J73,'Mar 13th-15th'!I73,'Mar 16th'!K58,'Mar 18th'!K55,'Mar 19th'!K52,'Mar 20th -22nd'!I67,'Mar 20th -22nd'!J67,'Mar 20th -22nd'!K67,'Mar 23rd '!K67)</f>
        <v>7.5</v>
      </c>
      <c r="M46" s="325">
        <f>AVERAGE('[9]Jan30th-31st'!$L$47,L46,'[10]Feb 26th '!$L$39)</f>
        <v>6.5623188405797102</v>
      </c>
      <c r="N46" s="416">
        <v>9.1999999999999993</v>
      </c>
      <c r="O46" s="294"/>
      <c r="P46" s="12"/>
    </row>
    <row r="47" spans="1:27" ht="15" customHeight="1">
      <c r="B47" s="526"/>
      <c r="C47" s="349"/>
      <c r="D47" s="522"/>
      <c r="E47" s="523"/>
      <c r="F47" s="294"/>
      <c r="G47" s="42"/>
      <c r="H47" s="42"/>
      <c r="I47" s="42"/>
      <c r="J47" s="288" t="s">
        <v>40</v>
      </c>
      <c r="K47" s="324"/>
      <c r="L47" s="294"/>
      <c r="M47" s="294"/>
      <c r="N47" s="294"/>
      <c r="O47" s="294"/>
      <c r="P47" s="12"/>
    </row>
    <row r="48" spans="1:27" ht="15" customHeight="1">
      <c r="B48" s="526"/>
      <c r="C48" s="349"/>
      <c r="D48" s="524"/>
      <c r="E48" s="521"/>
      <c r="F48" s="294"/>
      <c r="G48" s="42"/>
      <c r="H48" s="42"/>
      <c r="I48" s="42"/>
      <c r="J48" s="289" t="s">
        <v>33</v>
      </c>
      <c r="K48" s="324"/>
      <c r="L48" s="294"/>
      <c r="M48" s="294"/>
      <c r="N48" s="294"/>
      <c r="O48" s="294"/>
      <c r="P48" s="12"/>
    </row>
    <row r="49" spans="1:57" ht="15">
      <c r="B49" s="526"/>
      <c r="C49" s="349"/>
      <c r="D49" s="522"/>
      <c r="E49" s="523"/>
      <c r="F49" s="294"/>
      <c r="G49" s="42"/>
      <c r="H49" s="42"/>
      <c r="I49" s="42"/>
      <c r="J49" s="290" t="s">
        <v>16</v>
      </c>
      <c r="K49" s="324"/>
      <c r="L49" s="294"/>
      <c r="M49" s="294"/>
      <c r="N49" s="294"/>
      <c r="O49" s="294"/>
      <c r="P49" s="12"/>
      <c r="BC49" s="44"/>
      <c r="BD49" s="44"/>
    </row>
    <row r="50" spans="1:57" ht="15">
      <c r="B50" s="526"/>
      <c r="C50" s="349"/>
      <c r="D50" s="524"/>
      <c r="E50" s="521"/>
      <c r="F50" s="294"/>
      <c r="G50" s="42"/>
      <c r="H50" s="42"/>
      <c r="I50" s="42"/>
      <c r="J50" s="291" t="s">
        <v>15</v>
      </c>
      <c r="K50" s="324"/>
      <c r="L50" s="294"/>
      <c r="M50" s="294"/>
      <c r="N50" s="294"/>
      <c r="O50" s="294"/>
      <c r="P50" s="12"/>
      <c r="BC50" s="44"/>
      <c r="BD50" s="44"/>
    </row>
    <row r="51" spans="1:57" ht="15">
      <c r="B51" s="526"/>
      <c r="C51" s="349"/>
      <c r="D51" s="522"/>
      <c r="E51" s="523"/>
      <c r="F51" s="294"/>
      <c r="G51" s="42"/>
      <c r="H51" s="42"/>
      <c r="I51" s="42"/>
      <c r="J51" s="291" t="s">
        <v>149</v>
      </c>
      <c r="K51" s="324"/>
      <c r="L51" s="294"/>
      <c r="M51" s="294"/>
      <c r="N51" s="294"/>
      <c r="O51" s="294"/>
      <c r="P51" s="12"/>
      <c r="BC51" s="44"/>
      <c r="BD51" s="44"/>
    </row>
    <row r="52" spans="1:57" ht="15.75" thickBot="1">
      <c r="B52" s="527"/>
      <c r="C52" s="350"/>
      <c r="D52" s="533"/>
      <c r="E52" s="534"/>
      <c r="F52" s="294" t="s">
        <v>166</v>
      </c>
      <c r="G52" s="42"/>
      <c r="H52" s="42"/>
      <c r="I52" s="42"/>
      <c r="J52" s="291" t="s">
        <v>148</v>
      </c>
      <c r="K52" s="324"/>
      <c r="L52" s="294"/>
      <c r="M52" s="294"/>
      <c r="N52" s="294" t="s">
        <v>41</v>
      </c>
      <c r="O52" s="294"/>
      <c r="P52" s="12"/>
      <c r="BC52" s="44"/>
      <c r="BD52" s="44"/>
    </row>
    <row r="53" spans="1:57" ht="17.649999999999999" customHeight="1" thickBot="1">
      <c r="B53" s="312" t="s">
        <v>139</v>
      </c>
      <c r="C53" s="313"/>
      <c r="D53" s="535"/>
      <c r="E53" s="536"/>
      <c r="F53" s="294"/>
      <c r="J53" s="295" t="s">
        <v>134</v>
      </c>
      <c r="K53" s="324"/>
      <c r="L53" s="294"/>
      <c r="M53" s="294"/>
      <c r="N53" s="294"/>
      <c r="O53" s="294"/>
      <c r="P53" s="12"/>
      <c r="BC53" s="44"/>
      <c r="BD53" s="44"/>
    </row>
    <row r="54" spans="1:57" ht="17.649999999999999" customHeight="1">
      <c r="B54" s="363"/>
      <c r="C54" s="364"/>
      <c r="D54" s="365"/>
      <c r="E54" s="365"/>
      <c r="F54" s="294"/>
      <c r="G54" s="42"/>
      <c r="H54" s="42"/>
      <c r="I54" s="42"/>
      <c r="J54" s="295" t="s">
        <v>131</v>
      </c>
      <c r="K54" s="324"/>
      <c r="L54" s="294"/>
      <c r="M54" s="294"/>
      <c r="N54" s="294"/>
      <c r="O54" s="294"/>
      <c r="P54" s="12"/>
      <c r="BC54" s="44"/>
      <c r="BD54" s="44"/>
    </row>
    <row r="55" spans="1:57" ht="15.6" customHeight="1">
      <c r="B55" s="45"/>
      <c r="C55" s="11"/>
      <c r="D55" s="11"/>
      <c r="E55" s="46"/>
      <c r="F55" s="294"/>
      <c r="G55" s="42"/>
      <c r="H55" s="42"/>
      <c r="I55" s="42"/>
      <c r="J55" s="346" t="s">
        <v>130</v>
      </c>
      <c r="K55" s="324">
        <f>SUM(K45:K54)</f>
        <v>8</v>
      </c>
      <c r="L55" s="294"/>
      <c r="M55" s="294"/>
      <c r="N55" s="294"/>
      <c r="O55" s="294"/>
      <c r="P55" s="12"/>
    </row>
    <row r="56" spans="1:57" ht="20.25" customHeight="1">
      <c r="B56" s="15" t="s">
        <v>42</v>
      </c>
      <c r="C56" s="1" t="s">
        <v>43</v>
      </c>
      <c r="D56" s="1"/>
      <c r="E56" s="1"/>
      <c r="F56" s="294"/>
      <c r="G56" s="42"/>
      <c r="H56" s="41"/>
      <c r="I56" s="42"/>
      <c r="L56" s="294"/>
      <c r="N56" s="315"/>
      <c r="P56" s="334"/>
    </row>
    <row r="57" spans="1:57" ht="15" customHeight="1" thickBot="1"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1"/>
      <c r="O57" s="48"/>
      <c r="P57" s="49"/>
    </row>
    <row r="58" spans="1:57" ht="15" customHeight="1" thickBot="1">
      <c r="B58" s="537" t="s">
        <v>17</v>
      </c>
      <c r="C58" s="537" t="s">
        <v>44</v>
      </c>
      <c r="D58" s="540" t="s">
        <v>45</v>
      </c>
      <c r="E58" s="501" t="s">
        <v>46</v>
      </c>
      <c r="F58" s="510" t="s">
        <v>47</v>
      </c>
      <c r="G58" s="549" t="s">
        <v>48</v>
      </c>
      <c r="H58" s="537" t="s">
        <v>49</v>
      </c>
      <c r="I58" s="537" t="s">
        <v>50</v>
      </c>
      <c r="J58" s="543" t="s">
        <v>28</v>
      </c>
      <c r="K58" s="499" t="s">
        <v>51</v>
      </c>
      <c r="L58" s="552" t="s">
        <v>52</v>
      </c>
      <c r="M58" s="543" t="s">
        <v>53</v>
      </c>
      <c r="N58" s="13"/>
      <c r="O58" s="13"/>
      <c r="P58" s="50"/>
    </row>
    <row r="59" spans="1:57" ht="28.5" customHeight="1" thickTop="1" thickBot="1">
      <c r="B59" s="538"/>
      <c r="C59" s="539"/>
      <c r="D59" s="541"/>
      <c r="E59" s="542"/>
      <c r="F59" s="554"/>
      <c r="G59" s="550"/>
      <c r="H59" s="538"/>
      <c r="I59" s="538"/>
      <c r="J59" s="544"/>
      <c r="K59" s="551"/>
      <c r="L59" s="553"/>
      <c r="M59" s="544"/>
      <c r="N59" s="13"/>
      <c r="O59" s="13"/>
      <c r="P59" s="50"/>
      <c r="Q59" s="355"/>
      <c r="AB59" s="475">
        <v>43474</v>
      </c>
      <c r="AC59" s="475">
        <v>43475</v>
      </c>
      <c r="AD59" s="475">
        <v>43476</v>
      </c>
      <c r="AE59" s="475">
        <v>43477</v>
      </c>
      <c r="AF59" s="475">
        <v>43478</v>
      </c>
      <c r="AG59" s="475">
        <v>43479</v>
      </c>
      <c r="AH59" s="475">
        <v>43480</v>
      </c>
      <c r="AI59" s="475">
        <v>43481</v>
      </c>
      <c r="AJ59" s="475">
        <v>43482</v>
      </c>
      <c r="AK59" s="475">
        <v>43483</v>
      </c>
      <c r="AL59" s="475">
        <v>43484</v>
      </c>
      <c r="AM59" s="475">
        <v>43485</v>
      </c>
      <c r="AN59" s="475">
        <v>43486</v>
      </c>
      <c r="AO59" s="475">
        <v>43487</v>
      </c>
      <c r="AP59" s="475">
        <v>43488</v>
      </c>
      <c r="AQ59" s="475">
        <v>43489</v>
      </c>
      <c r="AR59" s="475">
        <v>43490</v>
      </c>
      <c r="AS59" s="475">
        <v>43491</v>
      </c>
      <c r="AT59" s="475">
        <v>43492</v>
      </c>
      <c r="AU59" s="475">
        <v>43493</v>
      </c>
      <c r="AV59" s="475">
        <v>43494</v>
      </c>
      <c r="AW59" s="475">
        <v>43495</v>
      </c>
      <c r="AX59" s="475">
        <v>43496</v>
      </c>
    </row>
    <row r="60" spans="1:57" s="54" customFormat="1" ht="36.75" customHeight="1" thickBot="1">
      <c r="B60" s="481" t="str">
        <f>J49</f>
        <v>STARMALT</v>
      </c>
      <c r="C60" s="479">
        <v>46105</v>
      </c>
      <c r="D60" s="442">
        <f>[11]March_2026!$AA$55</f>
        <v>509.8</v>
      </c>
      <c r="E60" s="443"/>
      <c r="F60" s="444"/>
      <c r="G60" s="445">
        <f>[11]March_2026!$AA$59</f>
        <v>495.1</v>
      </c>
      <c r="H60" s="458"/>
      <c r="I60" s="458"/>
      <c r="J60" s="448" t="s">
        <v>174</v>
      </c>
      <c r="K60" s="449">
        <f>[13]March_2026!$AA$53</f>
        <v>1.7371929824561405</v>
      </c>
      <c r="L60" s="476">
        <f>(((D60+E60)-G60)/(D60+E60))*100</f>
        <v>2.8834837191055294</v>
      </c>
      <c r="M60" s="455" t="s">
        <v>183</v>
      </c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>
        <f>[14]January_2019!L5</f>
        <v>0</v>
      </c>
      <c r="AC60" s="57">
        <f>[14]January_2019!M5</f>
        <v>0</v>
      </c>
      <c r="AD60" s="57">
        <f>[14]January_2019!N5</f>
        <v>0</v>
      </c>
      <c r="AE60" s="57">
        <f>[14]January_2019!O5</f>
        <v>0</v>
      </c>
      <c r="AF60" s="57">
        <f>[14]January_2019!P5</f>
        <v>0</v>
      </c>
      <c r="AG60" s="57">
        <f>[14]January_2019!Q5</f>
        <v>0</v>
      </c>
      <c r="AH60" s="57">
        <f>[14]January_2019!R5</f>
        <v>0</v>
      </c>
      <c r="AI60" s="57">
        <f>[14]January_2019!S5</f>
        <v>0</v>
      </c>
      <c r="AJ60" s="57">
        <f>[14]January_2019!T5</f>
        <v>0</v>
      </c>
      <c r="AK60" s="57">
        <f>[14]January_2019!U5</f>
        <v>0</v>
      </c>
      <c r="AL60" s="57">
        <f>[14]January_2019!V5</f>
        <v>0</v>
      </c>
      <c r="AM60" s="57">
        <f>[14]January_2019!W5</f>
        <v>0</v>
      </c>
      <c r="AN60" s="57">
        <f>[14]January_2019!X5</f>
        <v>0</v>
      </c>
      <c r="AO60" s="57">
        <f>[14]January_2019!Y5</f>
        <v>0</v>
      </c>
      <c r="AP60" s="57">
        <f>[14]January_2019!Z5</f>
        <v>0</v>
      </c>
      <c r="AQ60" s="57">
        <f>[14]January_2019!AA5</f>
        <v>0</v>
      </c>
      <c r="AR60" s="57">
        <f>[14]January_2019!AB5</f>
        <v>0</v>
      </c>
      <c r="AS60" s="57">
        <f>[14]January_2019!AC5</f>
        <v>0</v>
      </c>
      <c r="AT60" s="57">
        <f>[14]January_2019!AD5</f>
        <v>0</v>
      </c>
      <c r="AU60" s="57">
        <f>[14]January_2019!AE5</f>
        <v>0</v>
      </c>
      <c r="AV60" s="57">
        <f>[14]January_2019!AF5</f>
        <v>0</v>
      </c>
      <c r="AW60" s="57">
        <f>[14]January_2019!AG5</f>
        <v>0</v>
      </c>
      <c r="AX60" s="277">
        <f>[14]January_2019!AH5</f>
        <v>0</v>
      </c>
      <c r="AY60" s="277"/>
      <c r="AZ60" s="277"/>
      <c r="BA60" s="277"/>
      <c r="BB60" s="277"/>
      <c r="BC60" s="277"/>
      <c r="BD60" s="277"/>
      <c r="BE60" s="277"/>
    </row>
    <row r="61" spans="1:57" s="54" customFormat="1" ht="14.25" customHeight="1" thickBot="1">
      <c r="B61" s="480"/>
      <c r="C61" s="479"/>
      <c r="D61" s="442"/>
      <c r="E61" s="443"/>
      <c r="F61" s="444"/>
      <c r="G61" s="445"/>
      <c r="H61" s="458"/>
      <c r="I61" s="458"/>
      <c r="J61" s="476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>
        <f>[14]January_2019!L6</f>
        <v>0</v>
      </c>
      <c r="AC61" s="57">
        <f>[14]January_2019!M6</f>
        <v>0</v>
      </c>
      <c r="AD61" s="57">
        <f>[14]January_2019!N6</f>
        <v>0</v>
      </c>
      <c r="AE61" s="57">
        <f>[14]January_2019!O6</f>
        <v>0</v>
      </c>
      <c r="AF61" s="57">
        <f>[14]January_2019!P6</f>
        <v>0</v>
      </c>
      <c r="AG61" s="57">
        <f>[14]January_2019!Q6</f>
        <v>0</v>
      </c>
      <c r="AH61" s="57">
        <f>[14]January_2019!R6</f>
        <v>0</v>
      </c>
      <c r="AI61" s="57">
        <f>[14]January_2019!S6</f>
        <v>0</v>
      </c>
      <c r="AJ61" s="57">
        <f>[14]January_2019!T6</f>
        <v>0</v>
      </c>
      <c r="AK61" s="57">
        <f>[14]January_2019!U6</f>
        <v>0</v>
      </c>
      <c r="AL61" s="57">
        <f>[14]January_2019!V6</f>
        <v>0</v>
      </c>
      <c r="AM61" s="57">
        <f>[14]January_2019!W6</f>
        <v>0</v>
      </c>
      <c r="AN61" s="57">
        <f>[14]January_2019!X6</f>
        <v>0</v>
      </c>
      <c r="AO61" s="57">
        <f>[14]January_2019!Y6</f>
        <v>0</v>
      </c>
      <c r="AP61" s="57">
        <f>[14]January_2019!Z6</f>
        <v>0</v>
      </c>
      <c r="AQ61" s="57">
        <f>[14]January_2019!AA6</f>
        <v>0</v>
      </c>
      <c r="AR61" s="57">
        <f>[14]January_2019!AB6</f>
        <v>0</v>
      </c>
      <c r="AS61" s="57">
        <f>[14]January_2019!AC6</f>
        <v>0</v>
      </c>
      <c r="AT61" s="57">
        <f>[14]January_2019!AD6</f>
        <v>0</v>
      </c>
      <c r="AU61" s="57">
        <f>[14]January_2019!AE6</f>
        <v>0</v>
      </c>
      <c r="AV61" s="57">
        <f>[14]January_2019!AF6</f>
        <v>0</v>
      </c>
      <c r="AW61" s="57">
        <f>[14]January_2019!AG6</f>
        <v>0</v>
      </c>
      <c r="AX61" s="277">
        <f>[14]January_2019!AH6</f>
        <v>0</v>
      </c>
      <c r="AY61" s="277"/>
      <c r="AZ61" s="277"/>
      <c r="BA61" s="277"/>
      <c r="BB61" s="277"/>
      <c r="BC61" s="277"/>
      <c r="BD61" s="277"/>
      <c r="BE61" s="277"/>
    </row>
    <row r="62" spans="1:57" s="54" customFormat="1" ht="37.15" hidden="1" customHeight="1" thickBot="1">
      <c r="A62" s="54" t="s">
        <v>168</v>
      </c>
      <c r="B62" s="480"/>
      <c r="C62" s="479"/>
      <c r="D62" s="442"/>
      <c r="E62" s="443"/>
      <c r="F62" s="444"/>
      <c r="G62" s="445"/>
      <c r="H62" s="458"/>
      <c r="I62" s="458"/>
      <c r="J62" s="448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>
        <f>[14]January_2019!L7</f>
        <v>285.8</v>
      </c>
      <c r="AC62" s="57">
        <f>[14]January_2019!M7</f>
        <v>508.1</v>
      </c>
      <c r="AD62" s="57">
        <f>[14]January_2019!N7</f>
        <v>0</v>
      </c>
      <c r="AE62" s="57">
        <f>[14]January_2019!O7</f>
        <v>0</v>
      </c>
      <c r="AF62" s="57">
        <f>[14]January_2019!P7</f>
        <v>109.56666666666666</v>
      </c>
      <c r="AG62" s="57">
        <f>[14]January_2019!Q7</f>
        <v>297.64999999999998</v>
      </c>
      <c r="AH62" s="57">
        <f>[14]January_2019!R7</f>
        <v>122.3</v>
      </c>
      <c r="AI62" s="57">
        <f>[14]January_2019!S7</f>
        <v>0</v>
      </c>
      <c r="AJ62" s="57">
        <f>[14]January_2019!T7</f>
        <v>294.7</v>
      </c>
      <c r="AK62" s="57">
        <f>[14]January_2019!U7</f>
        <v>280.5</v>
      </c>
      <c r="AL62" s="57">
        <f>[14]January_2019!V7</f>
        <v>0</v>
      </c>
      <c r="AM62" s="57">
        <f>[14]January_2019!W7</f>
        <v>0</v>
      </c>
      <c r="AN62" s="57">
        <f>[14]January_2019!X7</f>
        <v>188.25</v>
      </c>
      <c r="AO62" s="57">
        <f>[14]January_2019!Y7</f>
        <v>295.7</v>
      </c>
      <c r="AP62" s="57">
        <f>[14]January_2019!Z7</f>
        <v>257.8</v>
      </c>
      <c r="AQ62" s="57">
        <f>[14]January_2019!AA7</f>
        <v>291.2</v>
      </c>
      <c r="AR62" s="57">
        <f>[14]January_2019!AB7</f>
        <v>187</v>
      </c>
      <c r="AS62" s="57">
        <f>[14]January_2019!AC7</f>
        <v>0</v>
      </c>
      <c r="AT62" s="57">
        <f>[14]January_2019!AD7</f>
        <v>0</v>
      </c>
      <c r="AU62" s="57">
        <f>[14]January_2019!AE7</f>
        <v>485.1</v>
      </c>
      <c r="AV62" s="57">
        <f>[14]January_2019!AF7</f>
        <v>171.55</v>
      </c>
      <c r="AW62" s="57">
        <f>[14]January_2019!AG7</f>
        <v>423.8</v>
      </c>
      <c r="AX62" s="277">
        <f>[14]January_2019!AH7</f>
        <v>0</v>
      </c>
      <c r="AY62" s="277"/>
      <c r="AZ62" s="277"/>
      <c r="BA62" s="277"/>
      <c r="BB62" s="277"/>
      <c r="BC62" s="277"/>
      <c r="BD62" s="277"/>
      <c r="BE62" s="277"/>
    </row>
    <row r="63" spans="1:57" s="54" customFormat="1" ht="19.5" hidden="1" customHeight="1" thickBot="1">
      <c r="B63" s="478"/>
      <c r="C63" s="430"/>
      <c r="D63" s="431"/>
      <c r="E63" s="432"/>
      <c r="F63" s="433"/>
      <c r="G63" s="434"/>
      <c r="H63" s="458"/>
      <c r="I63" s="458"/>
      <c r="J63" s="451"/>
      <c r="K63" s="436"/>
      <c r="L63" s="452"/>
      <c r="M63" s="421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s="54" customFormat="1" ht="38.450000000000003" hidden="1" customHeight="1" thickBot="1">
      <c r="B64" s="480"/>
      <c r="C64" s="479"/>
      <c r="D64" s="442"/>
      <c r="E64" s="443"/>
      <c r="F64" s="444"/>
      <c r="G64" s="445"/>
      <c r="H64" s="458"/>
      <c r="I64" s="458"/>
      <c r="J64" s="448" t="s">
        <v>171</v>
      </c>
      <c r="K64" s="459"/>
      <c r="L64" s="457" t="e">
        <f>(((D64+E64)-G64)/(D64+E64))*100</f>
        <v>#DIV/0!</v>
      </c>
      <c r="M64" s="45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15" hidden="1">
      <c r="B65" s="453"/>
      <c r="C65" s="430"/>
      <c r="D65" s="431"/>
      <c r="E65" s="432"/>
      <c r="F65" s="433"/>
      <c r="G65" s="434"/>
      <c r="H65" s="435"/>
      <c r="I65" s="450"/>
      <c r="J65" s="451"/>
      <c r="K65" s="436"/>
      <c r="L65" s="452"/>
      <c r="M65" s="421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7.15" hidden="1" customHeight="1" thickBot="1">
      <c r="B66" s="480"/>
      <c r="C66" s="479"/>
      <c r="D66" s="442"/>
      <c r="E66" s="443"/>
      <c r="F66" s="444"/>
      <c r="G66" s="445"/>
      <c r="H66" s="446"/>
      <c r="I66" s="447"/>
      <c r="J66" s="448"/>
      <c r="K66" s="449"/>
      <c r="L66" s="457"/>
      <c r="M66" s="455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16.5" hidden="1" customHeight="1" thickBot="1">
      <c r="B67" s="437"/>
      <c r="C67" s="423"/>
      <c r="D67" s="424"/>
      <c r="E67" s="425"/>
      <c r="F67" s="426"/>
      <c r="G67" s="427"/>
      <c r="H67" s="428"/>
      <c r="I67" s="438"/>
      <c r="J67" s="439"/>
      <c r="K67" s="429"/>
      <c r="L67" s="440"/>
      <c r="M67" s="422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415"/>
      <c r="AC67" s="415"/>
      <c r="AD67" s="415"/>
      <c r="AE67" s="415"/>
      <c r="AF67" s="415"/>
      <c r="AG67" s="415"/>
      <c r="AH67" s="415"/>
      <c r="AI67" s="415"/>
      <c r="AJ67" s="415"/>
      <c r="AK67" s="415"/>
      <c r="AL67" s="415"/>
      <c r="AM67" s="415"/>
      <c r="AN67" s="415"/>
      <c r="AO67" s="415"/>
      <c r="AP67" s="415"/>
      <c r="AQ67" s="415"/>
      <c r="AR67" s="415"/>
      <c r="AS67" s="415"/>
      <c r="AT67" s="415"/>
      <c r="AU67" s="415"/>
      <c r="AV67" s="415"/>
      <c r="AW67" s="415"/>
    </row>
    <row r="68" spans="2:57" s="54" customFormat="1" ht="37.15" hidden="1" customHeight="1" thickBot="1">
      <c r="B68" s="456"/>
      <c r="C68" s="441"/>
      <c r="D68" s="442"/>
      <c r="E68" s="443"/>
      <c r="F68" s="444"/>
      <c r="G68" s="445"/>
      <c r="H68" s="446"/>
      <c r="I68" s="447"/>
      <c r="J68" s="448"/>
      <c r="K68" s="449"/>
      <c r="L68" s="457"/>
      <c r="M68" s="454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s="54" customFormat="1" ht="37.15" customHeight="1">
      <c r="B69" s="466"/>
      <c r="C69" s="430"/>
      <c r="D69" s="460"/>
      <c r="E69" s="461"/>
      <c r="F69" s="462"/>
      <c r="G69" s="460"/>
      <c r="H69" s="463"/>
      <c r="I69" s="463"/>
      <c r="J69" s="463"/>
      <c r="K69" s="464"/>
      <c r="L69" s="465"/>
      <c r="M69" s="50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2:57" ht="18" customHeight="1" thickBot="1">
      <c r="B70" s="59"/>
      <c r="C70" s="30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 t="s">
        <v>41</v>
      </c>
      <c r="O70" s="56"/>
      <c r="P70" s="60"/>
    </row>
    <row r="71" spans="2:57" ht="15.75" thickBot="1">
      <c r="B71" s="545" t="s">
        <v>55</v>
      </c>
      <c r="C71" s="546"/>
      <c r="D71" s="546"/>
      <c r="E71" s="546"/>
      <c r="F71" s="547"/>
      <c r="G71" s="545" t="s">
        <v>56</v>
      </c>
      <c r="H71" s="546"/>
      <c r="I71" s="546"/>
      <c r="J71" s="547"/>
      <c r="K71" s="545" t="s">
        <v>51</v>
      </c>
      <c r="L71" s="546"/>
      <c r="M71" s="546"/>
      <c r="N71" s="548"/>
      <c r="O71" s="56"/>
      <c r="P71" s="50"/>
    </row>
    <row r="72" spans="2:57" ht="15">
      <c r="B72" s="61" t="s">
        <v>17</v>
      </c>
      <c r="C72" s="62" t="s">
        <v>36</v>
      </c>
      <c r="D72" s="62" t="s">
        <v>37</v>
      </c>
      <c r="E72" s="62" t="s">
        <v>38</v>
      </c>
      <c r="F72" s="63" t="s">
        <v>39</v>
      </c>
      <c r="G72" s="62" t="s">
        <v>36</v>
      </c>
      <c r="H72" s="62" t="s">
        <v>37</v>
      </c>
      <c r="I72" s="62" t="s">
        <v>38</v>
      </c>
      <c r="J72" s="63" t="s">
        <v>39</v>
      </c>
      <c r="K72" s="62" t="s">
        <v>36</v>
      </c>
      <c r="L72" s="62" t="s">
        <v>37</v>
      </c>
      <c r="M72" s="62" t="s">
        <v>38</v>
      </c>
      <c r="N72" s="63" t="s">
        <v>39</v>
      </c>
      <c r="O72" s="56"/>
      <c r="P72" s="64"/>
    </row>
    <row r="73" spans="2:57" ht="15">
      <c r="B73" s="29" t="s">
        <v>6</v>
      </c>
      <c r="C73" s="282"/>
      <c r="D73" s="76">
        <v>6.4013350546302155</v>
      </c>
      <c r="E73" s="76">
        <v>7.0119249176380309</v>
      </c>
      <c r="F73" s="66">
        <v>4.8</v>
      </c>
      <c r="G73" s="65"/>
      <c r="H73" s="477">
        <v>5.7706564474715716</v>
      </c>
      <c r="I73" s="477">
        <v>6.9165248305015652</v>
      </c>
      <c r="J73" s="66">
        <v>4.8</v>
      </c>
      <c r="K73" s="67"/>
      <c r="L73" s="194">
        <v>0.436797723475355</v>
      </c>
      <c r="M73" s="194">
        <v>0.40085154944546642</v>
      </c>
      <c r="N73" s="68">
        <v>1</v>
      </c>
      <c r="O73" s="56"/>
      <c r="P73" s="69"/>
    </row>
    <row r="74" spans="2:57" ht="15">
      <c r="B74" s="33" t="s">
        <v>9</v>
      </c>
      <c r="C74" s="65"/>
      <c r="D74" s="76">
        <v>6.8615237182558628</v>
      </c>
      <c r="E74" s="76">
        <v>6.4762854321888064</v>
      </c>
      <c r="F74" s="66">
        <v>4.8</v>
      </c>
      <c r="G74" s="65"/>
      <c r="H74" s="76">
        <v>6.2381602420176003</v>
      </c>
      <c r="I74" s="76">
        <v>6.2417888695033525</v>
      </c>
      <c r="J74" s="66">
        <v>4.8</v>
      </c>
      <c r="K74" s="67"/>
      <c r="L74" s="194">
        <v>0.74460526315789477</v>
      </c>
      <c r="M74" s="194">
        <v>0.6060199763140478</v>
      </c>
      <c r="N74" s="68">
        <v>1</v>
      </c>
      <c r="P74" s="69"/>
    </row>
    <row r="75" spans="2:57" ht="15">
      <c r="B75" s="34" t="s">
        <v>40</v>
      </c>
      <c r="C75" s="65"/>
      <c r="D75" s="76">
        <v>12.686094393411453</v>
      </c>
      <c r="E75" s="76">
        <v>12.557379600093356</v>
      </c>
      <c r="F75" s="66">
        <v>5.5</v>
      </c>
      <c r="G75" s="491" t="e">
        <f>G72*G74</f>
        <v>#VALUE!</v>
      </c>
      <c r="H75" s="76">
        <v>16.188465805007624</v>
      </c>
      <c r="I75" s="76">
        <v>14.409617014725914</v>
      </c>
      <c r="J75" s="66">
        <v>5.5</v>
      </c>
      <c r="K75" s="67"/>
      <c r="L75" s="194">
        <v>0.22560526315789473</v>
      </c>
      <c r="M75" s="194">
        <v>0.29359298245614035</v>
      </c>
      <c r="N75" s="68">
        <v>1</v>
      </c>
      <c r="P75" s="69"/>
    </row>
    <row r="76" spans="2:57" ht="15">
      <c r="B76" s="22" t="s">
        <v>33</v>
      </c>
      <c r="C76" s="65"/>
      <c r="D76" s="76">
        <v>4.786281034041461</v>
      </c>
      <c r="E76" s="76">
        <v>4.9619586520196597</v>
      </c>
      <c r="F76" s="66">
        <v>3.3</v>
      </c>
      <c r="G76" s="65"/>
      <c r="H76" s="76">
        <v>5.4251963146907434</v>
      </c>
      <c r="I76" s="76">
        <v>4.9501867212112511</v>
      </c>
      <c r="J76" s="66">
        <v>3.3</v>
      </c>
      <c r="K76" s="67"/>
      <c r="L76" s="194">
        <v>1.3052631578947369</v>
      </c>
      <c r="M76" s="194">
        <v>0.88064327485380123</v>
      </c>
      <c r="N76" s="68">
        <v>1</v>
      </c>
      <c r="P76" s="69"/>
    </row>
    <row r="77" spans="2:57" ht="15">
      <c r="B77" s="35" t="s">
        <v>164</v>
      </c>
      <c r="C77" s="65"/>
      <c r="D77" s="76"/>
      <c r="E77" s="76"/>
      <c r="F77" s="66">
        <v>3.3</v>
      </c>
      <c r="G77" s="282"/>
      <c r="H77" s="76"/>
      <c r="I77" s="76"/>
      <c r="J77" s="66">
        <v>3</v>
      </c>
      <c r="K77" s="67"/>
      <c r="L77" s="194"/>
      <c r="M77" s="194"/>
      <c r="N77" s="68">
        <v>1</v>
      </c>
      <c r="P77" s="69"/>
    </row>
    <row r="78" spans="2:57" ht="15">
      <c r="B78" s="36" t="s">
        <v>15</v>
      </c>
      <c r="C78" s="65"/>
      <c r="D78" s="76"/>
      <c r="E78" s="76">
        <v>5.1105651105651271</v>
      </c>
      <c r="F78" s="70">
        <f>[15]May_2022!$M$43</f>
        <v>3.4878406700073312</v>
      </c>
      <c r="G78" s="282"/>
      <c r="H78" s="76"/>
      <c r="I78" s="76">
        <v>7.9131369535794072</v>
      </c>
      <c r="J78" s="66">
        <v>5.5</v>
      </c>
      <c r="K78" s="67"/>
      <c r="L78" s="194"/>
      <c r="M78" s="194">
        <v>1.3550877192982456</v>
      </c>
      <c r="N78" s="68">
        <v>1</v>
      </c>
      <c r="P78" s="69"/>
    </row>
    <row r="79" spans="2:57" ht="15">
      <c r="B79" s="37" t="s">
        <v>16</v>
      </c>
      <c r="C79" s="65">
        <f>L60</f>
        <v>2.8834837191055294</v>
      </c>
      <c r="D79" s="76">
        <v>3.990890358963231</v>
      </c>
      <c r="E79" s="76">
        <v>3.9654240950837436</v>
      </c>
      <c r="F79" s="66">
        <v>3.3</v>
      </c>
      <c r="G79" s="282">
        <f>[11]March_2026!$AA$63</f>
        <v>4.4583461452822126</v>
      </c>
      <c r="H79" s="76">
        <v>7.5259787647367338</v>
      </c>
      <c r="I79" s="76">
        <v>6.1323263986468994</v>
      </c>
      <c r="J79" s="66">
        <v>3.3</v>
      </c>
      <c r="K79" s="67">
        <f>K60</f>
        <v>1.7371929824561405</v>
      </c>
      <c r="L79" s="194">
        <v>1.0967836257309942</v>
      </c>
      <c r="M79" s="194">
        <v>0.93295906432748543</v>
      </c>
      <c r="N79" s="71">
        <v>1</v>
      </c>
      <c r="P79" s="69"/>
    </row>
    <row r="80" spans="2:57" ht="15.75" thickBot="1">
      <c r="B80" s="38" t="s">
        <v>163</v>
      </c>
      <c r="C80" s="65"/>
      <c r="D80" s="76"/>
      <c r="E80" s="76"/>
      <c r="F80" s="66">
        <v>7.5</v>
      </c>
      <c r="G80" s="282"/>
      <c r="H80" s="76"/>
      <c r="I80" s="76"/>
      <c r="J80" s="66">
        <v>7.5</v>
      </c>
      <c r="K80" s="67"/>
      <c r="L80" s="194"/>
      <c r="M80" s="194"/>
      <c r="N80" s="71">
        <v>1</v>
      </c>
      <c r="P80" s="69"/>
    </row>
    <row r="81" spans="2:16" ht="15.75" thickBot="1">
      <c r="B81" s="414" t="s">
        <v>161</v>
      </c>
      <c r="C81" s="65"/>
      <c r="D81" s="76"/>
      <c r="E81" s="76"/>
      <c r="F81" s="66">
        <v>4.8</v>
      </c>
      <c r="G81" s="282"/>
      <c r="H81" s="76"/>
      <c r="I81" s="76"/>
      <c r="J81" s="66">
        <v>4.8</v>
      </c>
      <c r="K81" s="67"/>
      <c r="L81" s="194"/>
      <c r="M81" s="194"/>
      <c r="N81" s="71">
        <v>1</v>
      </c>
      <c r="O81" s="74"/>
      <c r="P81" s="75"/>
    </row>
    <row r="82" spans="2:16" ht="15">
      <c r="D82" s="76">
        <v>6.6892370024004153</v>
      </c>
      <c r="E82" s="76">
        <v>6.8024742234222932</v>
      </c>
      <c r="F82" s="341">
        <v>5.5</v>
      </c>
      <c r="H82" s="76">
        <v>7.4183826127441499</v>
      </c>
      <c r="I82" s="76">
        <v>7.2322965555262879</v>
      </c>
      <c r="J82" s="341">
        <v>5.5</v>
      </c>
      <c r="L82" s="194">
        <v>0.61310845741805509</v>
      </c>
      <c r="M82" s="194">
        <v>0.48429049118522816</v>
      </c>
      <c r="N82" s="386">
        <v>1</v>
      </c>
    </row>
  </sheetData>
  <mergeCells count="51">
    <mergeCell ref="M58:M59"/>
    <mergeCell ref="B71:F71"/>
    <mergeCell ref="G71:J71"/>
    <mergeCell ref="K71:N71"/>
    <mergeCell ref="G58:G59"/>
    <mergeCell ref="H58:H59"/>
    <mergeCell ref="I58:I59"/>
    <mergeCell ref="J58:J59"/>
    <mergeCell ref="K58:K59"/>
    <mergeCell ref="L58:L59"/>
    <mergeCell ref="F58:F59"/>
    <mergeCell ref="D53:E53"/>
    <mergeCell ref="B58:B59"/>
    <mergeCell ref="C58:C59"/>
    <mergeCell ref="D58:D59"/>
    <mergeCell ref="E58:E59"/>
    <mergeCell ref="B43:B52"/>
    <mergeCell ref="D43:E44"/>
    <mergeCell ref="J43:K43"/>
    <mergeCell ref="L44:N44"/>
    <mergeCell ref="D45:E46"/>
    <mergeCell ref="D47:E48"/>
    <mergeCell ref="D49:E50"/>
    <mergeCell ref="D51:E52"/>
    <mergeCell ref="I29:N29"/>
    <mergeCell ref="D30:E30"/>
    <mergeCell ref="B31:B42"/>
    <mergeCell ref="D31:E32"/>
    <mergeCell ref="D33:E34"/>
    <mergeCell ref="D35:E36"/>
    <mergeCell ref="D37:E38"/>
    <mergeCell ref="D39:E40"/>
    <mergeCell ref="D41:E4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3:B54">
    <cfRule type="cellIs" dxfId="975" priority="66" operator="notBetween">
      <formula>#REF!</formula>
      <formula>#REF!</formula>
    </cfRule>
  </conditionalFormatting>
  <conditionalFormatting sqref="C57">
    <cfRule type="cellIs" dxfId="974" priority="161" stopIfTrue="1" operator="greaterThan">
      <formula>100</formula>
    </cfRule>
    <cfRule type="cellIs" dxfId="973" priority="160" stopIfTrue="1" operator="lessThan">
      <formula>96</formula>
    </cfRule>
  </conditionalFormatting>
  <conditionalFormatting sqref="C73:C77">
    <cfRule type="cellIs" dxfId="972" priority="129" stopIfTrue="1" operator="lessThanOrEqual">
      <formula>0</formula>
    </cfRule>
  </conditionalFormatting>
  <conditionalFormatting sqref="C73:C81">
    <cfRule type="cellIs" dxfId="971" priority="128" stopIfTrue="1" operator="greaterThan">
      <formula>$F73</formula>
    </cfRule>
  </conditionalFormatting>
  <conditionalFormatting sqref="C74">
    <cfRule type="cellIs" dxfId="970" priority="162" stopIfTrue="1" operator="greaterThan">
      <formula>$F73</formula>
    </cfRule>
  </conditionalFormatting>
  <conditionalFormatting sqref="C78">
    <cfRule type="cellIs" dxfId="969" priority="90" stopIfTrue="1" operator="lessThanOrEqual">
      <formula>0</formula>
    </cfRule>
    <cfRule type="cellIs" dxfId="968" priority="91" stopIfTrue="1" operator="greaterThan">
      <formula>$F77</formula>
    </cfRule>
  </conditionalFormatting>
  <conditionalFormatting sqref="C79:C81">
    <cfRule type="cellIs" dxfId="967" priority="130" stopIfTrue="1" operator="lessThanOrEqual">
      <formula>0</formula>
    </cfRule>
  </conditionalFormatting>
  <conditionalFormatting sqref="C84:C88">
    <cfRule type="cellIs" dxfId="966" priority="152" stopIfTrue="1" operator="lessThanOrEqual">
      <formula>0</formula>
    </cfRule>
  </conditionalFormatting>
  <conditionalFormatting sqref="C85:C88">
    <cfRule type="cellIs" dxfId="965" priority="151" stopIfTrue="1" operator="greaterThan">
      <formula>$F$84</formula>
    </cfRule>
  </conditionalFormatting>
  <conditionalFormatting sqref="C90">
    <cfRule type="cellIs" dxfId="964" priority="154" stopIfTrue="1" operator="lessThanOrEqual">
      <formula>0</formula>
    </cfRule>
    <cfRule type="cellIs" dxfId="963" priority="153" stopIfTrue="1" operator="greaterThan">
      <formula>$F$84</formula>
    </cfRule>
  </conditionalFormatting>
  <conditionalFormatting sqref="C84:D84 D86:D92">
    <cfRule type="cellIs" dxfId="962" priority="146" stopIfTrue="1" operator="greaterThan">
      <formula>4.5</formula>
    </cfRule>
  </conditionalFormatting>
  <conditionalFormatting sqref="D53:D54">
    <cfRule type="cellIs" dxfId="961" priority="67" operator="notBetween">
      <formula>#REF!</formula>
      <formula>#REF!</formula>
    </cfRule>
  </conditionalFormatting>
  <conditionalFormatting sqref="D73:D80">
    <cfRule type="cellIs" dxfId="960" priority="39" stopIfTrue="1" operator="lessThanOrEqual">
      <formula>0</formula>
    </cfRule>
  </conditionalFormatting>
  <conditionalFormatting sqref="D73:D82">
    <cfRule type="cellIs" dxfId="959" priority="18" stopIfTrue="1" operator="lessThanOrEqual">
      <formula>0</formula>
    </cfRule>
  </conditionalFormatting>
  <conditionalFormatting sqref="D81">
    <cfRule type="cellIs" dxfId="958" priority="38" stopIfTrue="1" operator="lessThanOrEqual">
      <formula>0</formula>
    </cfRule>
  </conditionalFormatting>
  <conditionalFormatting sqref="D82">
    <cfRule type="cellIs" dxfId="957" priority="33" stopIfTrue="1" operator="lessThanOrEqual">
      <formula>0</formula>
    </cfRule>
  </conditionalFormatting>
  <conditionalFormatting sqref="D84 D86:D92">
    <cfRule type="cellIs" dxfId="956" priority="147" stopIfTrue="1" operator="lessThanOrEqual">
      <formula>0</formula>
    </cfRule>
  </conditionalFormatting>
  <conditionalFormatting sqref="D85">
    <cfRule type="cellIs" dxfId="955" priority="139" stopIfTrue="1" operator="lessThanOrEqual">
      <formula>0</formula>
    </cfRule>
    <cfRule type="cellIs" dxfId="954" priority="138" stopIfTrue="1" operator="greaterThan">
      <formula>$F$84</formula>
    </cfRule>
  </conditionalFormatting>
  <conditionalFormatting sqref="D73:E82">
    <cfRule type="cellIs" dxfId="953" priority="20" stopIfTrue="1" operator="greaterThan">
      <formula>$F73</formula>
    </cfRule>
  </conditionalFormatting>
  <conditionalFormatting sqref="D82:E82">
    <cfRule type="cellIs" dxfId="952" priority="22" stopIfTrue="1" operator="lessThanOrEqual">
      <formula>0</formula>
    </cfRule>
  </conditionalFormatting>
  <conditionalFormatting sqref="E10:E28">
    <cfRule type="cellIs" dxfId="951" priority="9" operator="lessThan">
      <formula>48</formula>
    </cfRule>
  </conditionalFormatting>
  <conditionalFormatting sqref="E56 E57:F57">
    <cfRule type="cellIs" dxfId="950" priority="143" stopIfTrue="1" operator="greaterThan">
      <formula>100</formula>
    </cfRule>
  </conditionalFormatting>
  <conditionalFormatting sqref="E57">
    <cfRule type="cellIs" dxfId="949" priority="141" stopIfTrue="1" operator="greaterThan">
      <formula>100</formula>
    </cfRule>
    <cfRule type="cellIs" dxfId="948" priority="140" stopIfTrue="1" operator="lessThan">
      <formula>96.8</formula>
    </cfRule>
  </conditionalFormatting>
  <conditionalFormatting sqref="E73:E81">
    <cfRule type="cellIs" dxfId="947" priority="19" stopIfTrue="1" operator="lessThanOrEqual">
      <formula>0</formula>
    </cfRule>
  </conditionalFormatting>
  <conditionalFormatting sqref="E73:E82">
    <cfRule type="cellIs" dxfId="946" priority="21" stopIfTrue="1" operator="lessThanOrEqual">
      <formula>0</formula>
    </cfRule>
  </conditionalFormatting>
  <conditionalFormatting sqref="E84:E92">
    <cfRule type="cellIs" dxfId="945" priority="133" stopIfTrue="1" operator="lessThanOrEqual">
      <formula>0</formula>
    </cfRule>
    <cfRule type="cellIs" dxfId="944" priority="132" stopIfTrue="1" operator="greaterThan">
      <formula>4.5</formula>
    </cfRule>
  </conditionalFormatting>
  <conditionalFormatting sqref="E57:F57 E56">
    <cfRule type="cellIs" dxfId="943" priority="142" stopIfTrue="1" operator="lessThan">
      <formula>96.5</formula>
    </cfRule>
  </conditionalFormatting>
  <conditionalFormatting sqref="F10:F19 F22 F26:F28">
    <cfRule type="cellIs" dxfId="942" priority="14" operator="greaterThan">
      <formula>60</formula>
    </cfRule>
  </conditionalFormatting>
  <conditionalFormatting sqref="F57">
    <cfRule type="cellIs" dxfId="941" priority="159" stopIfTrue="1" operator="greaterThan">
      <formula>100</formula>
    </cfRule>
    <cfRule type="cellIs" dxfId="940" priority="158" stopIfTrue="1" operator="lessThan">
      <formula>96.8</formula>
    </cfRule>
  </conditionalFormatting>
  <conditionalFormatting sqref="F82">
    <cfRule type="cellIs" dxfId="939" priority="36" stopIfTrue="1" operator="greaterThan">
      <formula>$F82</formula>
    </cfRule>
    <cfRule type="cellIs" dxfId="938" priority="37" stopIfTrue="1" operator="lessThanOrEqual">
      <formula>0</formula>
    </cfRule>
  </conditionalFormatting>
  <conditionalFormatting sqref="G10:G19 G22:G28">
    <cfRule type="expression" dxfId="937" priority="11">
      <formula>IF(+(IF(G10&lt;S10,0,IF(G10&gt;T10,0,1)))=0,1)</formula>
    </cfRule>
  </conditionalFormatting>
  <conditionalFormatting sqref="G20:G21">
    <cfRule type="expression" dxfId="936" priority="10">
      <formula>IF(+(IF(G20&lt;#REF!,0,IF(G20&gt;#REF!,0,1)))=0,1)</formula>
    </cfRule>
  </conditionalFormatting>
  <conditionalFormatting sqref="G73:G74">
    <cfRule type="cellIs" dxfId="935" priority="40" stopIfTrue="1" operator="greaterThan">
      <formula>$F73</formula>
    </cfRule>
    <cfRule type="cellIs" dxfId="934" priority="41" stopIfTrue="1" operator="lessThanOrEqual">
      <formula>0</formula>
    </cfRule>
    <cfRule type="cellIs" dxfId="933" priority="34" stopIfTrue="1" operator="greaterThan">
      <formula>$F73</formula>
    </cfRule>
    <cfRule type="cellIs" dxfId="932" priority="35" stopIfTrue="1" operator="lessThanOrEqual">
      <formula>0</formula>
    </cfRule>
  </conditionalFormatting>
  <conditionalFormatting sqref="G75">
    <cfRule type="containsErrors" dxfId="931" priority="1" stopIfTrue="1">
      <formula>ISERROR(G75)</formula>
    </cfRule>
  </conditionalFormatting>
  <conditionalFormatting sqref="G76">
    <cfRule type="cellIs" dxfId="930" priority="29" stopIfTrue="1" operator="lessThanOrEqual">
      <formula>0</formula>
    </cfRule>
    <cfRule type="cellIs" dxfId="929" priority="26" stopIfTrue="1" operator="greaterThan">
      <formula>$F76</formula>
    </cfRule>
    <cfRule type="cellIs" dxfId="928" priority="27" stopIfTrue="1" operator="lessThanOrEqual">
      <formula>0</formula>
    </cfRule>
    <cfRule type="cellIs" dxfId="927" priority="28" stopIfTrue="1" operator="greaterThan">
      <formula>$F76</formula>
    </cfRule>
  </conditionalFormatting>
  <conditionalFormatting sqref="G77:G81">
    <cfRule type="cellIs" dxfId="926" priority="42" stopIfTrue="1" operator="greaterThan">
      <formula>$J77</formula>
    </cfRule>
    <cfRule type="cellIs" dxfId="925" priority="43" stopIfTrue="1" operator="lessThanOrEqual">
      <formula>0</formula>
    </cfRule>
  </conditionalFormatting>
  <conditionalFormatting sqref="G86:G91 C89 C91">
    <cfRule type="cellIs" dxfId="924" priority="156" stopIfTrue="1" operator="lessThanOrEqual">
      <formula>0</formula>
    </cfRule>
    <cfRule type="cellIs" dxfId="923" priority="155" stopIfTrue="1" operator="greaterThan">
      <formula>4.5</formula>
    </cfRule>
  </conditionalFormatting>
  <conditionalFormatting sqref="G85:H85">
    <cfRule type="cellIs" dxfId="922" priority="137" stopIfTrue="1" operator="lessThanOrEqual">
      <formula>0</formula>
    </cfRule>
    <cfRule type="cellIs" dxfId="921" priority="136" stopIfTrue="1" operator="greaterThan">
      <formula>$F$84</formula>
    </cfRule>
  </conditionalFormatting>
  <conditionalFormatting sqref="H42:H43 H56">
    <cfRule type="cellIs" dxfId="920" priority="134" stopIfTrue="1" operator="greaterThan">
      <formula>0</formula>
    </cfRule>
  </conditionalFormatting>
  <conditionalFormatting sqref="H60:H64">
    <cfRule type="cellIs" dxfId="919" priority="49" stopIfTrue="1" operator="lessThanOrEqual">
      <formula>0</formula>
    </cfRule>
    <cfRule type="cellIs" dxfId="918" priority="50" stopIfTrue="1" operator="greaterThan">
      <formula>$F$73</formula>
    </cfRule>
    <cfRule type="cellIs" dxfId="917" priority="58" stopIfTrue="1" operator="greaterThan">
      <formula>$F$76</formula>
    </cfRule>
    <cfRule type="cellIs" dxfId="916" priority="59" stopIfTrue="1" operator="lessThanOrEqual">
      <formula>0</formula>
    </cfRule>
    <cfRule type="cellIs" dxfId="915" priority="60" stopIfTrue="1" operator="greaterThan">
      <formula>$F$74</formula>
    </cfRule>
    <cfRule type="cellIs" dxfId="914" priority="61" stopIfTrue="1" operator="lessThanOrEqual">
      <formula>0</formula>
    </cfRule>
  </conditionalFormatting>
  <conditionalFormatting sqref="H65:H66">
    <cfRule type="cellIs" dxfId="913" priority="103" stopIfTrue="1" operator="lessThanOrEqual">
      <formula>0</formula>
    </cfRule>
    <cfRule type="cellIs" dxfId="912" priority="105" stopIfTrue="1" operator="lessThanOrEqual">
      <formula>0</formula>
    </cfRule>
    <cfRule type="cellIs" dxfId="911" priority="93" stopIfTrue="1" operator="lessThanOrEqual">
      <formula>0</formula>
    </cfRule>
    <cfRule type="cellIs" dxfId="910" priority="102" stopIfTrue="1" operator="greaterThan">
      <formula>$F$28</formula>
    </cfRule>
    <cfRule type="cellIs" dxfId="909" priority="104" stopIfTrue="1" operator="greaterThan">
      <formula>#REF!</formula>
    </cfRule>
    <cfRule type="cellIs" dxfId="908" priority="94" stopIfTrue="1" operator="greaterThan">
      <formula>#REF!</formula>
    </cfRule>
  </conditionalFormatting>
  <conditionalFormatting sqref="H67">
    <cfRule type="cellIs" dxfId="907" priority="117" stopIfTrue="1" operator="lessThanOrEqual">
      <formula>0</formula>
    </cfRule>
    <cfRule type="cellIs" dxfId="906" priority="116" stopIfTrue="1" operator="greaterThan">
      <formula>$F$44</formula>
    </cfRule>
    <cfRule type="cellIs" dxfId="905" priority="108" stopIfTrue="1" operator="greaterThan">
      <formula>$F$41</formula>
    </cfRule>
    <cfRule type="cellIs" dxfId="904" priority="107" stopIfTrue="1" operator="lessThanOrEqual">
      <formula>0</formula>
    </cfRule>
    <cfRule type="cellIs" dxfId="903" priority="118" stopIfTrue="1" operator="greaterThan">
      <formula>$F$42</formula>
    </cfRule>
    <cfRule type="cellIs" dxfId="902" priority="119" stopIfTrue="1" operator="lessThanOrEqual">
      <formula>0</formula>
    </cfRule>
  </conditionalFormatting>
  <conditionalFormatting sqref="H68:H69">
    <cfRule type="cellIs" dxfId="901" priority="86" stopIfTrue="1" operator="greaterThan">
      <formula>$F$28</formula>
    </cfRule>
    <cfRule type="cellIs" dxfId="900" priority="87" stopIfTrue="1" operator="lessThanOrEqual">
      <formula>0</formula>
    </cfRule>
    <cfRule type="cellIs" dxfId="899" priority="88" stopIfTrue="1" operator="greaterThan">
      <formula>#REF!</formula>
    </cfRule>
    <cfRule type="cellIs" dxfId="898" priority="89" stopIfTrue="1" operator="lessThanOrEqual">
      <formula>0</formula>
    </cfRule>
    <cfRule type="cellIs" dxfId="897" priority="77" stopIfTrue="1" operator="lessThanOrEqual">
      <formula>0</formula>
    </cfRule>
    <cfRule type="cellIs" dxfId="896" priority="78" stopIfTrue="1" operator="greaterThan">
      <formula>#REF!</formula>
    </cfRule>
  </conditionalFormatting>
  <conditionalFormatting sqref="H84 H86:H92">
    <cfRule type="cellIs" dxfId="895" priority="148" stopIfTrue="1" operator="greaterThan">
      <formula>4.5</formula>
    </cfRule>
    <cfRule type="cellIs" dxfId="894" priority="149" stopIfTrue="1" operator="lessThanOrEqual">
      <formula>0</formula>
    </cfRule>
  </conditionalFormatting>
  <conditionalFormatting sqref="H60:I64">
    <cfRule type="cellIs" dxfId="893" priority="48" stopIfTrue="1" operator="greaterThan">
      <formula>$F$75</formula>
    </cfRule>
    <cfRule type="cellIs" dxfId="892" priority="51" stopIfTrue="1" operator="lessThanOrEqual">
      <formula>0</formula>
    </cfRule>
  </conditionalFormatting>
  <conditionalFormatting sqref="H65:I66">
    <cfRule type="cellIs" dxfId="891" priority="92" stopIfTrue="1" operator="greaterThan">
      <formula>#REF!</formula>
    </cfRule>
    <cfRule type="cellIs" dxfId="890" priority="95" stopIfTrue="1" operator="lessThanOrEqual">
      <formula>0</formula>
    </cfRule>
  </conditionalFormatting>
  <conditionalFormatting sqref="H67:I67">
    <cfRule type="cellIs" dxfId="889" priority="106" stopIfTrue="1" operator="greaterThan">
      <formula>$F$43</formula>
    </cfRule>
    <cfRule type="cellIs" dxfId="888" priority="109" stopIfTrue="1" operator="lessThanOrEqual">
      <formula>0</formula>
    </cfRule>
  </conditionalFormatting>
  <conditionalFormatting sqref="H68:I69">
    <cfRule type="cellIs" dxfId="887" priority="79" stopIfTrue="1" operator="lessThanOrEqual">
      <formula>0</formula>
    </cfRule>
    <cfRule type="cellIs" dxfId="886" priority="76" stopIfTrue="1" operator="greaterThan">
      <formula>#REF!</formula>
    </cfRule>
  </conditionalFormatting>
  <conditionalFormatting sqref="H73:I80">
    <cfRule type="cellIs" dxfId="885" priority="16" stopIfTrue="1" operator="greaterThan">
      <formula>$J73</formula>
    </cfRule>
    <cfRule type="cellIs" dxfId="884" priority="17" stopIfTrue="1" operator="lessThanOrEqual">
      <formula>0</formula>
    </cfRule>
  </conditionalFormatting>
  <conditionalFormatting sqref="H81:I81">
    <cfRule type="cellIs" dxfId="883" priority="25" operator="greaterThan">
      <formula>5.3</formula>
    </cfRule>
  </conditionalFormatting>
  <conditionalFormatting sqref="H82:I82">
    <cfRule type="cellIs" dxfId="882" priority="23" stopIfTrue="1" operator="greaterThan">
      <formula>$J82</formula>
    </cfRule>
    <cfRule type="cellIs" dxfId="881" priority="24" stopIfTrue="1" operator="lessThanOrEqual">
      <formula>0</formula>
    </cfRule>
  </conditionalFormatting>
  <conditionalFormatting sqref="I60:I64">
    <cfRule type="cellIs" dxfId="880" priority="53" stopIfTrue="1" operator="lessThanOrEqual">
      <formula>0</formula>
    </cfRule>
    <cfRule type="cellIs" dxfId="879" priority="54" stopIfTrue="1" operator="greaterThan">
      <formula>$F$75</formula>
    </cfRule>
    <cfRule type="cellIs" dxfId="878" priority="55" stopIfTrue="1" operator="lessThanOrEqual">
      <formula>0</formula>
    </cfRule>
    <cfRule type="cellIs" dxfId="877" priority="56" stopIfTrue="1" operator="greaterThan">
      <formula>$F$73</formula>
    </cfRule>
    <cfRule type="cellIs" dxfId="876" priority="57" stopIfTrue="1" operator="lessThanOrEqual">
      <formula>0</formula>
    </cfRule>
    <cfRule type="cellIs" dxfId="875" priority="52" stopIfTrue="1" operator="greaterThan">
      <formula>$F$73</formula>
    </cfRule>
  </conditionalFormatting>
  <conditionalFormatting sqref="I65:I66">
    <cfRule type="cellIs" dxfId="874" priority="97" stopIfTrue="1" operator="lessThanOrEqual">
      <formula>0</formula>
    </cfRule>
    <cfRule type="cellIs" dxfId="873" priority="101" stopIfTrue="1" operator="lessThanOrEqual">
      <formula>0</formula>
    </cfRule>
    <cfRule type="cellIs" dxfId="872" priority="100" stopIfTrue="1" operator="greaterThan">
      <formula>#REF!</formula>
    </cfRule>
    <cfRule type="cellIs" dxfId="871" priority="99" stopIfTrue="1" operator="lessThanOrEqual">
      <formula>0</formula>
    </cfRule>
    <cfRule type="cellIs" dxfId="870" priority="98" stopIfTrue="1" operator="greaterThan">
      <formula>#REF!</formula>
    </cfRule>
    <cfRule type="cellIs" dxfId="869" priority="96" stopIfTrue="1" operator="greaterThan">
      <formula>#REF!</formula>
    </cfRule>
  </conditionalFormatting>
  <conditionalFormatting sqref="I67">
    <cfRule type="cellIs" dxfId="868" priority="110" stopIfTrue="1" operator="greaterThan">
      <formula>$F$41</formula>
    </cfRule>
    <cfRule type="cellIs" dxfId="867" priority="111" stopIfTrue="1" operator="lessThanOrEqual">
      <formula>0</formula>
    </cfRule>
    <cfRule type="cellIs" dxfId="866" priority="112" stopIfTrue="1" operator="greaterThan">
      <formula>$F$43</formula>
    </cfRule>
    <cfRule type="cellIs" dxfId="865" priority="113" stopIfTrue="1" operator="lessThanOrEqual">
      <formula>0</formula>
    </cfRule>
    <cfRule type="cellIs" dxfId="864" priority="114" stopIfTrue="1" operator="greaterThan">
      <formula>$F$41</formula>
    </cfRule>
    <cfRule type="cellIs" dxfId="863" priority="115" stopIfTrue="1" operator="lessThanOrEqual">
      <formula>0</formula>
    </cfRule>
  </conditionalFormatting>
  <conditionalFormatting sqref="I68:I69">
    <cfRule type="cellIs" dxfId="862" priority="83" stopIfTrue="1" operator="lessThanOrEqual">
      <formula>0</formula>
    </cfRule>
    <cfRule type="cellIs" dxfId="861" priority="80" stopIfTrue="1" operator="greaterThan">
      <formula>#REF!</formula>
    </cfRule>
    <cfRule type="cellIs" dxfId="860" priority="84" stopIfTrue="1" operator="greaterThan">
      <formula>#REF!</formula>
    </cfRule>
    <cfRule type="cellIs" dxfId="859" priority="81" stopIfTrue="1" operator="lessThanOrEqual">
      <formula>0</formula>
    </cfRule>
    <cfRule type="cellIs" dxfId="858" priority="85" stopIfTrue="1" operator="lessThanOrEqual">
      <formula>0</formula>
    </cfRule>
    <cfRule type="cellIs" dxfId="857" priority="82" stopIfTrue="1" operator="greaterThan">
      <formula>#REF!</formula>
    </cfRule>
  </conditionalFormatting>
  <conditionalFormatting sqref="I84:I92">
    <cfRule type="cellIs" dxfId="856" priority="144" stopIfTrue="1" operator="greaterThan">
      <formula>4.5</formula>
    </cfRule>
    <cfRule type="cellIs" dxfId="855" priority="145" stopIfTrue="1" operator="lessThanOrEqual">
      <formula>0</formula>
    </cfRule>
  </conditionalFormatting>
  <conditionalFormatting sqref="I10:J28">
    <cfRule type="cellIs" dxfId="854" priority="3" operator="lessThan">
      <formula>97.9</formula>
    </cfRule>
  </conditionalFormatting>
  <conditionalFormatting sqref="J31">
    <cfRule type="cellIs" dxfId="853" priority="47" operator="lessThan">
      <formula>97.95</formula>
    </cfRule>
  </conditionalFormatting>
  <conditionalFormatting sqref="J33">
    <cfRule type="cellIs" dxfId="852" priority="122" stopIfTrue="1" operator="greaterThan">
      <formula>100</formula>
    </cfRule>
    <cfRule type="cellIs" dxfId="851" priority="123" operator="lessThan">
      <formula>98</formula>
    </cfRule>
    <cfRule type="cellIs" dxfId="850" priority="121" stopIfTrue="1" operator="lessThan">
      <formula>96.8</formula>
    </cfRule>
  </conditionalFormatting>
  <conditionalFormatting sqref="J33:J35">
    <cfRule type="cellIs" dxfId="849" priority="120" operator="lessThan">
      <formula>97.4</formula>
    </cfRule>
  </conditionalFormatting>
  <conditionalFormatting sqref="J36:J37">
    <cfRule type="cellIs" dxfId="848" priority="124" operator="lessThan">
      <formula>98</formula>
    </cfRule>
  </conditionalFormatting>
  <conditionalFormatting sqref="J38:J39">
    <cfRule type="cellIs" dxfId="847" priority="125" stopIfTrue="1" operator="lessThan">
      <formula>96.8</formula>
    </cfRule>
    <cfRule type="cellIs" dxfId="846" priority="126" stopIfTrue="1" operator="greaterThan">
      <formula>100</formula>
    </cfRule>
  </conditionalFormatting>
  <conditionalFormatting sqref="J38:J40">
    <cfRule type="cellIs" dxfId="845" priority="127" operator="lessThan">
      <formula>98</formula>
    </cfRule>
  </conditionalFormatting>
  <conditionalFormatting sqref="J69">
    <cfRule type="cellIs" dxfId="844" priority="71" stopIfTrue="1" operator="lessThanOrEqual">
      <formula>0</formula>
    </cfRule>
    <cfRule type="cellIs" dxfId="843" priority="70" stopIfTrue="1" operator="greaterThan">
      <formula>#REF!</formula>
    </cfRule>
    <cfRule type="cellIs" dxfId="842" priority="69" stopIfTrue="1" operator="lessThanOrEqual">
      <formula>0</formula>
    </cfRule>
    <cfRule type="cellIs" dxfId="841" priority="75" stopIfTrue="1" operator="lessThanOrEqual">
      <formula>0</formula>
    </cfRule>
    <cfRule type="cellIs" dxfId="840" priority="68" stopIfTrue="1" operator="greaterThan">
      <formula>#REF!</formula>
    </cfRule>
    <cfRule type="cellIs" dxfId="839" priority="74" stopIfTrue="1" operator="greaterThan">
      <formula>#REF!</formula>
    </cfRule>
    <cfRule type="cellIs" dxfId="838" priority="73" stopIfTrue="1" operator="lessThanOrEqual">
      <formula>0</formula>
    </cfRule>
    <cfRule type="cellIs" dxfId="837" priority="72" stopIfTrue="1" operator="greaterThan">
      <formula>#REF!</formula>
    </cfRule>
  </conditionalFormatting>
  <conditionalFormatting sqref="J82">
    <cfRule type="cellIs" dxfId="836" priority="31" stopIfTrue="1" operator="lessThanOrEqual">
      <formula>0</formula>
    </cfRule>
    <cfRule type="cellIs" dxfId="835" priority="30" stopIfTrue="1" operator="greaterThan">
      <formula>$F82</formula>
    </cfRule>
  </conditionalFormatting>
  <conditionalFormatting sqref="K10:K28">
    <cfRule type="cellIs" dxfId="834" priority="5" operator="lessThan">
      <formula>4</formula>
    </cfRule>
    <cfRule type="cellIs" dxfId="833" priority="6" operator="greaterThan">
      <formula>6.4</formula>
    </cfRule>
    <cfRule type="cellIs" dxfId="832" priority="4" operator="greaterThan">
      <formula>6</formula>
    </cfRule>
  </conditionalFormatting>
  <conditionalFormatting sqref="K60:K69">
    <cfRule type="cellIs" dxfId="831" priority="62" stopIfTrue="1" operator="lessThan">
      <formula>100%</formula>
    </cfRule>
  </conditionalFormatting>
  <conditionalFormatting sqref="K84:K89">
    <cfRule type="cellIs" dxfId="830" priority="150" stopIfTrue="1" operator="lessThan">
      <formula>100%</formula>
    </cfRule>
  </conditionalFormatting>
  <conditionalFormatting sqref="K91:K92">
    <cfRule type="cellIs" dxfId="829" priority="157" stopIfTrue="1" operator="lessThan">
      <formula>100%</formula>
    </cfRule>
  </conditionalFormatting>
  <conditionalFormatting sqref="K73:M81">
    <cfRule type="cellIs" dxfId="828" priority="15" stopIfTrue="1" operator="lessThan">
      <formula>100%</formula>
    </cfRule>
  </conditionalFormatting>
  <conditionalFormatting sqref="L10:L28">
    <cfRule type="cellIs" dxfId="827" priority="8" operator="greaterThan">
      <formula>65</formula>
    </cfRule>
    <cfRule type="cellIs" dxfId="826" priority="7" operator="between">
      <formula>61</formula>
      <formula>65</formula>
    </cfRule>
  </conditionalFormatting>
  <conditionalFormatting sqref="L31:M42">
    <cfRule type="cellIs" dxfId="825" priority="64" operator="lessThan">
      <formula>97.95</formula>
    </cfRule>
  </conditionalFormatting>
  <conditionalFormatting sqref="L82:M82">
    <cfRule type="cellIs" dxfId="824" priority="32" stopIfTrue="1" operator="lessThan">
      <formula>100%</formula>
    </cfRule>
  </conditionalFormatting>
  <conditionalFormatting sqref="L46:N46">
    <cfRule type="cellIs" dxfId="823" priority="65" operator="notEqual">
      <formula>#REF!</formula>
    </cfRule>
  </conditionalFormatting>
  <conditionalFormatting sqref="L84:N92">
    <cfRule type="cellIs" dxfId="822" priority="135" stopIfTrue="1" operator="lessThan">
      <formula>100%</formula>
    </cfRule>
  </conditionalFormatting>
  <conditionalFormatting sqref="M10:M17 M22:M26">
    <cfRule type="expression" dxfId="821" priority="13">
      <formula>IF(+(IF(M10&lt;U10,0,IF(M10&gt;V10,0,1)))=0,1)</formula>
    </cfRule>
  </conditionalFormatting>
  <conditionalFormatting sqref="M10:N22 H10:H28">
    <cfRule type="expression" dxfId="820" priority="2">
      <formula>IF(+(IF(H10&lt;#REF!,0,IF(H10&gt;#REF!,0,1)))=0,1)</formula>
    </cfRule>
  </conditionalFormatting>
  <conditionalFormatting sqref="M27:N28">
    <cfRule type="expression" dxfId="819" priority="63">
      <formula>IF(+(IF(M27&lt;#REF!,0,IF(M27&gt;#REF!,0,1)))=0,1)</formula>
    </cfRule>
  </conditionalFormatting>
  <conditionalFormatting sqref="N10:N17 N22:N26">
    <cfRule type="expression" dxfId="818" priority="12">
      <formula>IF(+(IF(N10&lt;W10,0,IF(N10&gt;X10,0,1)))=0,1)</formula>
    </cfRule>
  </conditionalFormatting>
  <conditionalFormatting sqref="N73:N82">
    <cfRule type="cellIs" dxfId="817" priority="46" stopIfTrue="1" operator="lessThan">
      <formula>100%</formula>
    </cfRule>
  </conditionalFormatting>
  <conditionalFormatting sqref="P6">
    <cfRule type="cellIs" dxfId="816" priority="131" operator="greaterThanOrEqual">
      <formula>19</formula>
    </cfRule>
  </conditionalFormatting>
  <dataValidations count="1">
    <dataValidation type="list" allowBlank="1" showInputMessage="1" showErrorMessage="1" sqref="R8" xr:uid="{7F74F438-7692-428C-A2C4-2B4299C8ADA4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6" max="16383" man="1"/>
  </rowBreaks>
  <colBreaks count="1" manualBreakCount="1">
    <brk id="15" max="89" man="1"/>
  </col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71E69-413B-4128-91A2-18194086FD65}">
  <sheetPr>
    <pageSetUpPr fitToPage="1"/>
  </sheetPr>
  <dimension ref="A1:BE84"/>
  <sheetViews>
    <sheetView zoomScale="70" zoomScaleNormal="70" workbookViewId="0">
      <selection activeCell="B13" sqref="B13:O13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9.42578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4" t="s">
        <v>0</v>
      </c>
      <c r="T1" s="494"/>
      <c r="U1" s="494" t="s">
        <v>1</v>
      </c>
      <c r="V1" s="494"/>
      <c r="W1" s="494" t="s">
        <v>2</v>
      </c>
      <c r="X1" s="494"/>
      <c r="Y1" s="494" t="s">
        <v>124</v>
      </c>
      <c r="Z1" s="494"/>
    </row>
    <row r="2" spans="2:29" ht="15">
      <c r="B2" s="495" t="s">
        <v>3</v>
      </c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46106</v>
      </c>
      <c r="J4" s="398" t="s">
        <v>167</v>
      </c>
      <c r="K4" s="398"/>
      <c r="L4" s="11"/>
      <c r="M4" s="492" t="s">
        <v>8</v>
      </c>
      <c r="N4" s="493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8"/>
      <c r="D5" s="49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9" t="s">
        <v>17</v>
      </c>
      <c r="C8" s="501" t="s">
        <v>18</v>
      </c>
      <c r="D8" s="501" t="s">
        <v>19</v>
      </c>
      <c r="E8" s="356" t="s">
        <v>20</v>
      </c>
      <c r="F8" s="356" t="s">
        <v>21</v>
      </c>
      <c r="G8" s="501" t="s">
        <v>22</v>
      </c>
      <c r="H8" s="502" t="s">
        <v>144</v>
      </c>
      <c r="I8" s="501" t="s">
        <v>165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169</v>
      </c>
      <c r="O8" s="510" t="s">
        <v>155</v>
      </c>
      <c r="P8" s="496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0"/>
      <c r="C9" s="497"/>
      <c r="D9" s="497"/>
      <c r="E9" s="357" t="s">
        <v>30</v>
      </c>
      <c r="F9" s="357" t="s">
        <v>31</v>
      </c>
      <c r="G9" s="497"/>
      <c r="H9" s="503"/>
      <c r="I9" s="497"/>
      <c r="J9" s="505"/>
      <c r="K9" s="507"/>
      <c r="L9" s="509"/>
      <c r="M9" s="20" t="s">
        <v>32</v>
      </c>
      <c r="N9" s="21" t="s">
        <v>41</v>
      </c>
      <c r="O9" s="511"/>
      <c r="P9" s="497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29" t="s">
        <v>6</v>
      </c>
      <c r="C10" s="366" t="str">
        <f>[4]Brewhouse!$A281</f>
        <v>CA238</v>
      </c>
      <c r="D10" s="279">
        <f>[4]Brewhouse!$AF281</f>
        <v>51.7</v>
      </c>
      <c r="E10" s="279">
        <f>[4]Brewhouse!$AI281</f>
        <v>52</v>
      </c>
      <c r="F10" s="278">
        <f>[4]Brewhouse!$V281</f>
        <v>54</v>
      </c>
      <c r="G10" s="279">
        <f>[4]Brewhouse!AG281</f>
        <v>11.6</v>
      </c>
      <c r="H10" s="396"/>
      <c r="I10" s="368">
        <f>[4]Brewhouse!$AU281</f>
        <v>99.38157832321258</v>
      </c>
      <c r="J10" s="368">
        <f>[4]Brewhouse!$AV281</f>
        <v>100.31618060773371</v>
      </c>
      <c r="K10" s="281">
        <f>[4]Brewhouse!$Q281</f>
        <v>8.9094269870609999</v>
      </c>
      <c r="L10" s="276">
        <f>[4]Brewhouse!$P281</f>
        <v>60</v>
      </c>
      <c r="M10" s="397">
        <f>[4]Brewhouse!$U281-[4]Brewhouse!$T281</f>
        <v>0.11250000000000004</v>
      </c>
      <c r="N10" s="370">
        <f>[4]Brewhouse!$Z281</f>
        <v>0.25277777777777777</v>
      </c>
      <c r="O10" s="420" t="str">
        <f>[4]Brewhouse!$AX281</f>
        <v>R. Regis</v>
      </c>
      <c r="P10" s="418"/>
      <c r="R10" s="277" t="str">
        <f t="shared" ref="R10:R19" si="0">B10</f>
        <v>CARIB</v>
      </c>
      <c r="S10" s="472">
        <f t="shared" ref="S10:S19" si="1">VLOOKUP($B10,$R$3:$X$9,2,FALSE)</f>
        <v>11.6</v>
      </c>
      <c r="T10" s="472">
        <f t="shared" ref="T10:T19" si="2">VLOOKUP($B10,$R$3:$X$9,3,FALSE)</f>
        <v>12</v>
      </c>
      <c r="U10" s="297">
        <f t="shared" ref="U10:U19" si="3">VLOOKUP($B10,$R$3:$X$9,4,FALSE)</f>
        <v>0</v>
      </c>
      <c r="V10" s="297">
        <f t="shared" ref="V10:V19" si="4">VLOOKUP($B10,$R$3:$X$9,5,FALSE)</f>
        <v>0.118055555555556</v>
      </c>
      <c r="W10" s="297">
        <f t="shared" ref="W10:W19" si="5">VLOOKUP($B10,$R$3:$X$9,6,FALSE)</f>
        <v>0.22569444444444445</v>
      </c>
      <c r="X10" s="297">
        <f t="shared" ref="X10:X19" si="6">VLOOKUP($B10,$R$3:$X$9,7,FALSE)</f>
        <v>0.2638888888888889</v>
      </c>
      <c r="Y10" s="297">
        <f t="shared" ref="Y10:Y19" si="7">VLOOKUP($B10,$R$3:$Z$9,8,FALSE)</f>
        <v>0</v>
      </c>
      <c r="Z10" s="472">
        <f t="shared" ref="Z10:Z19" si="8">VLOOKUP($B10,$R$3:$Z$9,9,FALSE)</f>
        <v>60</v>
      </c>
    </row>
    <row r="11" spans="2:29" ht="16.5" customHeight="1">
      <c r="B11" s="29" t="s">
        <v>6</v>
      </c>
      <c r="C11" s="366" t="str">
        <f>[4]Brewhouse!$A282</f>
        <v>CA239</v>
      </c>
      <c r="D11" s="279">
        <f>[4]Brewhouse!$AF282</f>
        <v>50.5</v>
      </c>
      <c r="E11" s="279">
        <f>[4]Brewhouse!$AI282</f>
        <v>49.7</v>
      </c>
      <c r="F11" s="278">
        <f>[4]Brewhouse!$V282</f>
        <v>61</v>
      </c>
      <c r="G11" s="279">
        <f>[4]Brewhouse!AG282</f>
        <v>12</v>
      </c>
      <c r="H11" s="396"/>
      <c r="I11" s="368">
        <f>[4]Brewhouse!$AU282</f>
        <v>98.434186024142619</v>
      </c>
      <c r="J11" s="368">
        <f>[4]Brewhouse!$AV282</f>
        <v>99.359878860635362</v>
      </c>
      <c r="K11" s="281">
        <f>[4]Brewhouse!$Q282</f>
        <v>8.7245841035120115</v>
      </c>
      <c r="L11" s="276">
        <f>[4]Brewhouse!$P282</f>
        <v>60</v>
      </c>
      <c r="M11" s="397">
        <f>[4]Brewhouse!$U282-[4]Brewhouse!$T282</f>
        <v>0.11319444444444443</v>
      </c>
      <c r="N11" s="370">
        <f>[4]Brewhouse!$Z282</f>
        <v>0.26180555555555551</v>
      </c>
      <c r="O11" s="420" t="str">
        <f>[4]Brewhouse!$AX282</f>
        <v>R. Regis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6.5" customHeight="1">
      <c r="B12" s="29" t="s">
        <v>6</v>
      </c>
      <c r="C12" s="366" t="str">
        <f>[4]Brewhouse!$A283</f>
        <v>CA240</v>
      </c>
      <c r="D12" s="279">
        <f>[4]Brewhouse!$AF283</f>
        <v>51.3</v>
      </c>
      <c r="E12" s="279">
        <f>[4]Brewhouse!$AI283</f>
        <v>51.2</v>
      </c>
      <c r="F12" s="278">
        <f>[4]Brewhouse!$V283</f>
        <v>62</v>
      </c>
      <c r="G12" s="279">
        <f>[4]Brewhouse!AG283</f>
        <v>11.7</v>
      </c>
      <c r="H12" s="396"/>
      <c r="I12" s="368">
        <f>[4]Brewhouse!$AU283</f>
        <v>98.376488030672363</v>
      </c>
      <c r="J12" s="368">
        <f>[4]Brewhouse!$AV283</f>
        <v>99.301818344024184</v>
      </c>
      <c r="K12" s="281">
        <f>[4]Brewhouse!$Q283</f>
        <v>8.7245841035120115</v>
      </c>
      <c r="L12" s="276">
        <f>[4]Brewhouse!$P283</f>
        <v>58</v>
      </c>
      <c r="M12" s="397">
        <f>[4]Brewhouse!$U283-[4]Brewhouse!$T283</f>
        <v>0.10833333333333334</v>
      </c>
      <c r="N12" s="370">
        <f>[4]Brewhouse!$Z283</f>
        <v>0.23819444444444443</v>
      </c>
      <c r="O12" s="420" t="str">
        <f>[4]Brewhouse!$AX283</f>
        <v>R.Sookram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6.5" customHeight="1">
      <c r="B13" s="29" t="s">
        <v>6</v>
      </c>
      <c r="C13" s="366" t="str">
        <f>[4]Brewhouse!$A284</f>
        <v>CA241</v>
      </c>
      <c r="D13" s="279">
        <f>[4]Brewhouse!$AF284</f>
        <v>47.8</v>
      </c>
      <c r="E13" s="279">
        <f>[4]Brewhouse!$AI284</f>
        <v>49.2</v>
      </c>
      <c r="F13" s="278">
        <f>[4]Brewhouse!$V284</f>
        <v>60</v>
      </c>
      <c r="G13" s="279">
        <f>[4]Brewhouse!AG284</f>
        <v>11.6</v>
      </c>
      <c r="H13" s="396"/>
      <c r="I13" s="368">
        <f>[4]Brewhouse!$AU284</f>
        <v>107.26927617311497</v>
      </c>
      <c r="J13" s="368">
        <f>[4]Brewhouse!$AV284</f>
        <v>108.27056188525863</v>
      </c>
      <c r="K13" s="281">
        <f>[4]Brewhouse!$Q284</f>
        <v>3.918367346938779</v>
      </c>
      <c r="L13" s="276">
        <f>[4]Brewhouse!$P284</f>
        <v>58</v>
      </c>
      <c r="M13" s="397">
        <f>[4]Brewhouse!$U284-[4]Brewhouse!$T284</f>
        <v>0.15347222222222223</v>
      </c>
      <c r="N13" s="370">
        <f>[4]Brewhouse!$Z284</f>
        <v>0.28819444444444448</v>
      </c>
      <c r="O13" s="420" t="str">
        <f>[4]Brewhouse!$AX284</f>
        <v>R.Sookram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6.5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420"/>
      <c r="P14" s="418"/>
      <c r="R14" s="277">
        <f t="shared" si="0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6.5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420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6.5" customHeight="1">
      <c r="B16" s="22" t="s">
        <v>33</v>
      </c>
      <c r="C16" s="366" t="str">
        <f>[6]Brewhouse!A45</f>
        <v>VM021</v>
      </c>
      <c r="D16" s="279">
        <f>[6]Brewhouse!AE45</f>
        <v>50</v>
      </c>
      <c r="E16" s="279">
        <f>[6]Brewhouse!AJ45</f>
        <v>47.2</v>
      </c>
      <c r="F16" s="278">
        <f>[6]Brewhouse!X45</f>
        <v>71</v>
      </c>
      <c r="G16" s="279">
        <f>[6]Brewhouse!AH45</f>
        <v>14.3</v>
      </c>
      <c r="H16" s="396"/>
      <c r="I16" s="368">
        <f>[6]Brewhouse!AV45</f>
        <v>95.481796103254354</v>
      </c>
      <c r="J16" s="368">
        <f>[6]Brewhouse!AW45</f>
        <v>95.672586309057451</v>
      </c>
      <c r="K16" s="281">
        <f>[6]Brewhouse!S45</f>
        <v>14.719999999999999</v>
      </c>
      <c r="L16" s="276">
        <f>[6]Brewhouse!R45</f>
        <v>61</v>
      </c>
      <c r="M16" s="374">
        <f>[6]Brewhouse!$W45-[6]Brewhouse!$V45</f>
        <v>0.14166666666666661</v>
      </c>
      <c r="N16" s="370">
        <f>[6]Brewhouse!AB45</f>
        <v>0.3041666666666667</v>
      </c>
      <c r="O16" s="371" t="str">
        <f>[6]Brewhouse!$AZ45</f>
        <v>K. Benjamin</v>
      </c>
      <c r="P16" s="418"/>
      <c r="R16" s="277" t="str">
        <f t="shared" si="0"/>
        <v>VITAMALT</v>
      </c>
      <c r="S16" s="472">
        <f t="shared" si="1"/>
        <v>14.2</v>
      </c>
      <c r="T16" s="472">
        <f t="shared" si="2"/>
        <v>14.6</v>
      </c>
      <c r="U16" s="297">
        <f t="shared" si="3"/>
        <v>0</v>
      </c>
      <c r="V16" s="297">
        <f t="shared" si="4"/>
        <v>0.13905092592592591</v>
      </c>
      <c r="W16" s="297">
        <f t="shared" si="5"/>
        <v>0.26041666666666669</v>
      </c>
      <c r="X16" s="297">
        <f t="shared" si="6"/>
        <v>0.2951388888888889</v>
      </c>
      <c r="Y16" s="297">
        <f t="shared" si="7"/>
        <v>0</v>
      </c>
      <c r="Z16" s="472">
        <f t="shared" si="8"/>
        <v>75</v>
      </c>
    </row>
    <row r="17" spans="2:26" ht="16.5" customHeight="1">
      <c r="B17" s="22" t="s">
        <v>33</v>
      </c>
      <c r="C17" s="366" t="str">
        <f>[6]Brewhouse!A46</f>
        <v>VM022</v>
      </c>
      <c r="D17" s="279">
        <f>[6]Brewhouse!AE46</f>
        <v>50</v>
      </c>
      <c r="E17" s="279">
        <f>[6]Brewhouse!AJ46</f>
        <v>47.8</v>
      </c>
      <c r="F17" s="278">
        <f>[6]Brewhouse!X46</f>
        <v>85</v>
      </c>
      <c r="G17" s="279">
        <f>[6]Brewhouse!AH46</f>
        <v>14.5</v>
      </c>
      <c r="H17" s="396"/>
      <c r="I17" s="368">
        <f>[6]Brewhouse!AV46</f>
        <v>98.065568882791581</v>
      </c>
      <c r="J17" s="368">
        <f>[6]Brewhouse!AW46</f>
        <v>98.262327316270458</v>
      </c>
      <c r="K17" s="281">
        <f>[6]Brewhouse!S46</f>
        <v>13.120000000000005</v>
      </c>
      <c r="L17" s="276">
        <f>[6]Brewhouse!R46</f>
        <v>60</v>
      </c>
      <c r="M17" s="374">
        <f>[6]Brewhouse!$W46-[6]Brewhouse!$V46</f>
        <v>0.14375000000000004</v>
      </c>
      <c r="N17" s="370">
        <f>[6]Brewhouse!AB46</f>
        <v>0.31458333333333333</v>
      </c>
      <c r="O17" s="371" t="str">
        <f>[6]Brewhouse!$AZ46</f>
        <v>K. Benjamin</v>
      </c>
      <c r="P17" s="418"/>
      <c r="R17" s="277" t="str">
        <f t="shared" si="0"/>
        <v>VITAMALT</v>
      </c>
      <c r="S17" s="472">
        <f t="shared" si="1"/>
        <v>14.2</v>
      </c>
      <c r="T17" s="472">
        <f t="shared" si="2"/>
        <v>14.6</v>
      </c>
      <c r="U17" s="297">
        <f t="shared" si="3"/>
        <v>0</v>
      </c>
      <c r="V17" s="297">
        <f t="shared" si="4"/>
        <v>0.13905092592592591</v>
      </c>
      <c r="W17" s="297">
        <f t="shared" si="5"/>
        <v>0.26041666666666669</v>
      </c>
      <c r="X17" s="297">
        <f t="shared" si="6"/>
        <v>0.2951388888888889</v>
      </c>
      <c r="Y17" s="297">
        <f t="shared" si="7"/>
        <v>0</v>
      </c>
      <c r="Z17" s="472">
        <f t="shared" si="8"/>
        <v>75</v>
      </c>
    </row>
    <row r="18" spans="2:26" ht="16.5" customHeight="1">
      <c r="B18" s="22" t="s">
        <v>33</v>
      </c>
      <c r="C18" s="366" t="str">
        <f>[6]Brewhouse!A47</f>
        <v>VM023</v>
      </c>
      <c r="D18" s="279">
        <f>[6]Brewhouse!AE47</f>
        <v>50.1</v>
      </c>
      <c r="E18" s="279">
        <f>[6]Brewhouse!AJ47</f>
        <v>47.4</v>
      </c>
      <c r="F18" s="278">
        <f>[6]Brewhouse!X47</f>
        <v>87</v>
      </c>
      <c r="G18" s="279">
        <f>[6]Brewhouse!AH47</f>
        <v>14.4</v>
      </c>
      <c r="H18" s="396"/>
      <c r="I18" s="368">
        <f>[6]Brewhouse!AV47</f>
        <v>97.055454228278464</v>
      </c>
      <c r="J18" s="368">
        <f>[6]Brewhouse!AW47</f>
        <v>97.246183925582201</v>
      </c>
      <c r="K18" s="281">
        <f>[6]Brewhouse!S47</f>
        <v>13.093812375249492</v>
      </c>
      <c r="L18" s="276">
        <f>[6]Brewhouse!R47</f>
        <v>60</v>
      </c>
      <c r="M18" s="374">
        <f>[6]Brewhouse!$W47-[6]Brewhouse!$V47</f>
        <v>0.14027777777777772</v>
      </c>
      <c r="N18" s="370">
        <f>[6]Brewhouse!AB47</f>
        <v>0.2861111111111112</v>
      </c>
      <c r="O18" s="371" t="str">
        <f>[6]Brewhouse!$AZ47</f>
        <v>R. Regis</v>
      </c>
      <c r="P18" s="418"/>
      <c r="R18" s="277" t="str">
        <f t="shared" si="0"/>
        <v>VITAMALT</v>
      </c>
      <c r="S18" s="472">
        <f t="shared" si="1"/>
        <v>14.2</v>
      </c>
      <c r="T18" s="472">
        <f t="shared" si="2"/>
        <v>14.6</v>
      </c>
      <c r="U18" s="297">
        <f t="shared" si="3"/>
        <v>0</v>
      </c>
      <c r="V18" s="297">
        <f t="shared" si="4"/>
        <v>0.13905092592592591</v>
      </c>
      <c r="W18" s="297">
        <f t="shared" si="5"/>
        <v>0.26041666666666669</v>
      </c>
      <c r="X18" s="297">
        <f t="shared" si="6"/>
        <v>0.2951388888888889</v>
      </c>
      <c r="Y18" s="297">
        <f t="shared" si="7"/>
        <v>0</v>
      </c>
      <c r="Z18" s="472">
        <f t="shared" si="8"/>
        <v>75</v>
      </c>
    </row>
    <row r="19" spans="2:26" ht="16.5" customHeight="1">
      <c r="B19" s="22" t="s">
        <v>33</v>
      </c>
      <c r="C19" s="366" t="str">
        <f>[6]Brewhouse!A48</f>
        <v>VM024</v>
      </c>
      <c r="D19" s="279">
        <f>[6]Brewhouse!AE48</f>
        <v>50.1</v>
      </c>
      <c r="E19" s="279">
        <f>[6]Brewhouse!AJ48</f>
        <v>48.9</v>
      </c>
      <c r="F19" s="278">
        <f>[6]Brewhouse!X48</f>
        <v>87</v>
      </c>
      <c r="G19" s="279">
        <f>[6]Brewhouse!AH48</f>
        <v>14.3</v>
      </c>
      <c r="H19" s="396"/>
      <c r="I19" s="368">
        <f>[6]Brewhouse!AV48</f>
        <v>99.652179089121645</v>
      </c>
      <c r="J19" s="368">
        <f>[6]Brewhouse!AW48</f>
        <v>99.8455256296361</v>
      </c>
      <c r="K19" s="281">
        <f>[6]Brewhouse!S48</f>
        <v>13.293413173652702</v>
      </c>
      <c r="L19" s="276">
        <f>[6]Brewhouse!R48</f>
        <v>61</v>
      </c>
      <c r="M19" s="374">
        <f>[6]Brewhouse!$W48-[6]Brewhouse!$V48</f>
        <v>0.14444444444444438</v>
      </c>
      <c r="N19" s="370">
        <f>[6]Brewhouse!AB48</f>
        <v>0.31388888888888888</v>
      </c>
      <c r="O19" s="371" t="str">
        <f>[6]Brewhouse!$AZ48</f>
        <v>R. Regis</v>
      </c>
      <c r="P19" s="418"/>
      <c r="R19" s="277" t="str">
        <f t="shared" si="0"/>
        <v>VITAMALT</v>
      </c>
      <c r="S19" s="472">
        <f t="shared" si="1"/>
        <v>14.2</v>
      </c>
      <c r="T19" s="472">
        <f t="shared" si="2"/>
        <v>14.6</v>
      </c>
      <c r="U19" s="297">
        <f t="shared" si="3"/>
        <v>0</v>
      </c>
      <c r="V19" s="297">
        <f t="shared" si="4"/>
        <v>0.13905092592592591</v>
      </c>
      <c r="W19" s="297">
        <f t="shared" si="5"/>
        <v>0.26041666666666669</v>
      </c>
      <c r="X19" s="297">
        <f t="shared" si="6"/>
        <v>0.2951388888888889</v>
      </c>
      <c r="Y19" s="297">
        <f t="shared" si="7"/>
        <v>0</v>
      </c>
      <c r="Z19" s="472">
        <f t="shared" si="8"/>
        <v>75</v>
      </c>
    </row>
    <row r="20" spans="2:26" ht="16.5" customHeight="1">
      <c r="B20" s="22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ref="R20:R44" si="9">B20</f>
        <v>0</v>
      </c>
      <c r="S20" s="472" t="e">
        <f t="shared" ref="S20:S44" si="10">VLOOKUP($B20,$R$3:$X$9,2,FALSE)</f>
        <v>#N/A</v>
      </c>
      <c r="T20" s="472" t="e">
        <f t="shared" ref="T20:T44" si="11">VLOOKUP($B20,$R$3:$X$9,3,FALSE)</f>
        <v>#N/A</v>
      </c>
      <c r="U20" s="297" t="e">
        <f t="shared" ref="U20:U44" si="12">VLOOKUP($B20,$R$3:$X$9,4,FALSE)</f>
        <v>#N/A</v>
      </c>
      <c r="V20" s="297" t="e">
        <f t="shared" ref="V20:V44" si="13">VLOOKUP($B20,$R$3:$X$9,5,FALSE)</f>
        <v>#N/A</v>
      </c>
      <c r="W20" s="297" t="e">
        <f t="shared" ref="W20:W44" si="14">VLOOKUP($B20,$R$3:$X$9,6,FALSE)</f>
        <v>#N/A</v>
      </c>
      <c r="X20" s="297" t="e">
        <f t="shared" ref="X20:X44" si="15">VLOOKUP($B20,$R$3:$X$9,7,FALSE)</f>
        <v>#N/A</v>
      </c>
      <c r="Y20" s="297" t="e">
        <f t="shared" ref="Y20:Y44" si="16">VLOOKUP($B20,$R$3:$Z$9,8,FALSE)</f>
        <v>#N/A</v>
      </c>
      <c r="Z20" s="472" t="e">
        <f t="shared" ref="Z20:Z44" si="17">VLOOKUP($B20,$R$3:$Z$9,9,FALSE)</f>
        <v>#N/A</v>
      </c>
    </row>
    <row r="21" spans="2:26" ht="16.5" customHeight="1">
      <c r="B21" s="22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8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2:26" ht="16.5" hidden="1" customHeight="1">
      <c r="B22" s="33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418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2:26" ht="16.5" hidden="1" customHeight="1">
      <c r="B23" s="33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371"/>
      <c r="P23" s="418"/>
      <c r="R23" s="277">
        <f t="shared" si="9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2:26" ht="16.5" hidden="1" customHeight="1">
      <c r="B24" s="48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420"/>
      <c r="P24" s="418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2:26" ht="16.5" hidden="1" customHeight="1">
      <c r="B25" s="37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74"/>
      <c r="N25" s="370"/>
      <c r="O25" s="371"/>
      <c r="P25" s="418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2:26" ht="16.5" hidden="1" customHeight="1">
      <c r="B26" s="37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74"/>
      <c r="N26" s="370"/>
      <c r="O26" s="371"/>
      <c r="P26" s="418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2:26" ht="16.5" hidden="1" customHeight="1">
      <c r="B27" s="37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74"/>
      <c r="N27" s="370"/>
      <c r="O27" s="371"/>
      <c r="P27" s="418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2:26" ht="15" hidden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74"/>
      <c r="N28" s="370"/>
      <c r="O28" s="371"/>
      <c r="P28" s="418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2:26" ht="18" hidden="1" customHeight="1">
      <c r="B29" s="29"/>
      <c r="C29" s="366"/>
      <c r="D29" s="279"/>
      <c r="E29" s="279"/>
      <c r="F29" s="278"/>
      <c r="G29" s="279"/>
      <c r="H29" s="487"/>
      <c r="I29" s="368"/>
      <c r="J29" s="368"/>
      <c r="K29" s="281"/>
      <c r="L29" s="276"/>
      <c r="M29" s="374"/>
      <c r="N29" s="370"/>
      <c r="O29" s="371"/>
      <c r="P29" s="418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2:26" ht="16.5" hidden="1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371"/>
      <c r="P30" s="418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2:26" ht="15.75" customHeight="1" thickBot="1">
      <c r="B31" s="358"/>
      <c r="C31" s="358"/>
      <c r="D31" s="358"/>
      <c r="E31" s="358"/>
      <c r="F31" s="294"/>
      <c r="G31" s="294"/>
      <c r="H31" s="348"/>
      <c r="I31" s="512"/>
      <c r="J31" s="512"/>
      <c r="K31" s="512"/>
      <c r="L31" s="512"/>
      <c r="M31" s="512"/>
      <c r="N31" s="512"/>
      <c r="O31" s="1"/>
      <c r="P31" s="12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2:26" ht="15.75" customHeight="1" thickBot="1">
      <c r="B32" s="388" t="s">
        <v>162</v>
      </c>
      <c r="C32" s="388"/>
      <c r="D32" s="513" t="s">
        <v>35</v>
      </c>
      <c r="E32" s="514"/>
      <c r="F32" s="294"/>
      <c r="G32" s="294"/>
      <c r="H32" s="348"/>
      <c r="I32" s="24" t="s">
        <v>17</v>
      </c>
      <c r="J32" s="25"/>
      <c r="K32" s="26" t="s">
        <v>138</v>
      </c>
      <c r="L32" s="25" t="s">
        <v>37</v>
      </c>
      <c r="M32" s="25" t="s">
        <v>38</v>
      </c>
      <c r="N32" s="27" t="s">
        <v>39</v>
      </c>
      <c r="O32" s="294"/>
      <c r="P32" s="12"/>
      <c r="R32" s="277" t="str">
        <f t="shared" si="9"/>
        <v xml:space="preserve">BRAND 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</row>
    <row r="33" spans="1:27" ht="15" customHeight="1">
      <c r="A33" s="28"/>
      <c r="B33" s="515"/>
      <c r="C33" s="362"/>
      <c r="D33" s="518"/>
      <c r="E33" s="519"/>
      <c r="F33" s="294"/>
      <c r="G33" s="294"/>
      <c r="H33" s="348"/>
      <c r="I33" s="29" t="s">
        <v>6</v>
      </c>
      <c r="J33" s="323">
        <f>AVERAGE(I10:I13)</f>
        <v>100.86538213778563</v>
      </c>
      <c r="K33" s="284">
        <f>COUNTA([4]Brewhouse!$A$198:$A$284)</f>
        <v>87</v>
      </c>
      <c r="L33" s="305">
        <f>AVERAGE([4]Brewhouse!$AU$198:$AU$284)</f>
        <v>98.255403370344155</v>
      </c>
      <c r="M33" s="305">
        <f>AVERAGE([4]Brewhouse!$AU$42:$AU$123,[4]Brewhouse!$AU$125:$AU$188,[4]Brewhouse!$AU$198:$AU$284)</f>
        <v>97.842433866819803</v>
      </c>
      <c r="N33" s="30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</row>
    <row r="34" spans="1:27" ht="15" customHeight="1">
      <c r="A34" s="28"/>
      <c r="B34" s="516"/>
      <c r="C34" s="362"/>
      <c r="D34" s="520"/>
      <c r="E34" s="521"/>
      <c r="F34" s="294"/>
      <c r="G34" s="294"/>
      <c r="H34" s="348"/>
      <c r="I34" s="33" t="s">
        <v>9</v>
      </c>
      <c r="J34" s="280"/>
      <c r="K34" s="284">
        <f>COUNTA([3]Brewhouse!$A$134:$A$169)</f>
        <v>36</v>
      </c>
      <c r="L34" s="302">
        <f>AVERAGE([3]Brewhouse!$AS$134:$AS$169)</f>
        <v>98.548334749686148</v>
      </c>
      <c r="M34" s="302">
        <f>AVERAGE([3]Brewhouse!$AS$52:$AS$81,[3]Brewhouse!$AS$83:$AS$124,[3]Brewhouse!$AS$134:$AS$169)</f>
        <v>98.393852349390286</v>
      </c>
      <c r="N34" s="30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</row>
    <row r="35" spans="1:27" ht="14.65" customHeight="1">
      <c r="A35" s="28"/>
      <c r="B35" s="516"/>
      <c r="C35" s="362"/>
      <c r="D35" s="522"/>
      <c r="E35" s="523"/>
      <c r="F35" s="294"/>
      <c r="G35" s="294"/>
      <c r="H35" s="348"/>
      <c r="I35" s="34" t="s">
        <v>12</v>
      </c>
      <c r="J35" s="280"/>
      <c r="K35" s="284">
        <f>COUNTA([5]Brewhouse!$A$34:$A$41)</f>
        <v>8</v>
      </c>
      <c r="L35" s="302">
        <f>AVERAGE([5]Brewhouse!$AU$34:$AU$41)</f>
        <v>94.762610859726223</v>
      </c>
      <c r="M35" s="302">
        <f>AVERAGE([5]Brewhouse!$AU$16:$AU$23,[5]Brewhouse!$AU$25:$AU$32,[5]Brewhouse!$AU$34:$AU$41)</f>
        <v>97.131453825415363</v>
      </c>
      <c r="N35" s="30">
        <v>98</v>
      </c>
      <c r="O35" s="11"/>
      <c r="P35" s="31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</row>
    <row r="36" spans="1:27" ht="14.65" customHeight="1">
      <c r="A36" s="28"/>
      <c r="B36" s="516"/>
      <c r="C36" s="362"/>
      <c r="D36" s="524"/>
      <c r="E36" s="521"/>
      <c r="F36" s="294"/>
      <c r="G36" s="294"/>
      <c r="H36" s="348"/>
      <c r="I36" s="22" t="s">
        <v>33</v>
      </c>
      <c r="J36" s="280">
        <f>AVERAGE(I16:I18)</f>
        <v>96.86760640477479</v>
      </c>
      <c r="K36" s="284">
        <f>COUNTA([6]Brewhouse!$A$38:$A$47)</f>
        <v>10</v>
      </c>
      <c r="L36" s="302">
        <f>AVERAGE([6]Brewhouse!$AV$38:$AV$47)</f>
        <v>96.911223467330686</v>
      </c>
      <c r="M36" s="302">
        <f>AVERAGE([6]Brewhouse!$AV$23:$AV$34,[6]Brewhouse!$AV$36,[6]Brewhouse!$AV$38:$AV$47)</f>
        <v>97.626689798410055</v>
      </c>
      <c r="N36" s="30">
        <v>98</v>
      </c>
      <c r="O36" s="11"/>
      <c r="P36" s="31"/>
      <c r="R36" s="277">
        <f t="shared" si="9"/>
        <v>0</v>
      </c>
      <c r="S36" s="472" t="e">
        <f t="shared" si="10"/>
        <v>#N/A</v>
      </c>
      <c r="T36" s="472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2" t="e">
        <f t="shared" si="17"/>
        <v>#N/A</v>
      </c>
    </row>
    <row r="37" spans="1:27" ht="14.65" customHeight="1">
      <c r="A37" s="28"/>
      <c r="B37" s="516"/>
      <c r="C37" s="362"/>
      <c r="D37" s="522"/>
      <c r="E37" s="523"/>
      <c r="F37" s="417"/>
      <c r="G37" s="294"/>
      <c r="H37" s="348"/>
      <c r="I37" s="35" t="s">
        <v>29</v>
      </c>
      <c r="J37" s="280"/>
      <c r="K37" s="284"/>
      <c r="L37" s="302"/>
      <c r="M37" s="302"/>
      <c r="N37" s="30">
        <v>98</v>
      </c>
      <c r="O37" s="11"/>
      <c r="P37" s="31"/>
      <c r="R37" s="277">
        <f t="shared" si="9"/>
        <v>0</v>
      </c>
      <c r="S37" s="472" t="e">
        <f t="shared" si="10"/>
        <v>#N/A</v>
      </c>
      <c r="T37" s="472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472" t="e">
        <f t="shared" si="17"/>
        <v>#N/A</v>
      </c>
    </row>
    <row r="38" spans="1:27" ht="14.65" customHeight="1">
      <c r="A38" s="28"/>
      <c r="B38" s="516"/>
      <c r="C38" s="362"/>
      <c r="D38" s="524"/>
      <c r="E38" s="521"/>
      <c r="F38" s="417"/>
      <c r="G38" s="294"/>
      <c r="H38" s="348"/>
      <c r="I38" s="36" t="s">
        <v>15</v>
      </c>
      <c r="J38" s="323"/>
      <c r="K38" s="284"/>
      <c r="L38" s="302"/>
      <c r="M38" s="302">
        <f>AVERAGE([7]Brewhouse!$AT$4:$AT$11)</f>
        <v>92.826224508052405</v>
      </c>
      <c r="N38" s="30">
        <v>98</v>
      </c>
      <c r="O38" s="11"/>
      <c r="P38" s="31"/>
      <c r="R38" s="277">
        <f t="shared" si="9"/>
        <v>0</v>
      </c>
      <c r="S38" s="472" t="e">
        <f t="shared" si="10"/>
        <v>#N/A</v>
      </c>
      <c r="T38" s="472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472" t="e">
        <f t="shared" si="17"/>
        <v>#N/A</v>
      </c>
      <c r="AA38" s="472"/>
    </row>
    <row r="39" spans="1:27" ht="14.65" customHeight="1">
      <c r="A39" s="28"/>
      <c r="B39" s="516"/>
      <c r="C39" s="362"/>
      <c r="D39" s="522"/>
      <c r="E39" s="523"/>
      <c r="F39" s="417"/>
      <c r="G39" s="294"/>
      <c r="H39" s="348"/>
      <c r="I39" s="37" t="s">
        <v>16</v>
      </c>
      <c r="J39" s="323"/>
      <c r="K39" s="284">
        <f>COUNTA([8]Brewhouse!$A$25:$A$42)</f>
        <v>18</v>
      </c>
      <c r="L39" s="302">
        <f>AVERAGE([8]Brewhouse!$AY$42)</f>
        <v>99.134494554521325</v>
      </c>
      <c r="M39" s="302">
        <f>AVERAGE([8]Brewhouse!$AY$5:$AY$14,[8]Brewhouse!$AY$16:$AY$23,[8]Brewhouse!$AY$42)</f>
        <v>97.390503559857137</v>
      </c>
      <c r="N39" s="30">
        <v>98</v>
      </c>
      <c r="O39" s="11"/>
      <c r="P39" s="31" t="s">
        <v>41</v>
      </c>
      <c r="R39" s="277">
        <f t="shared" si="9"/>
        <v>0</v>
      </c>
      <c r="S39" s="472" t="e">
        <f t="shared" si="10"/>
        <v>#N/A</v>
      </c>
      <c r="T39" s="472" t="e">
        <f t="shared" si="11"/>
        <v>#N/A</v>
      </c>
      <c r="U39" s="297" t="e">
        <f t="shared" si="12"/>
        <v>#N/A</v>
      </c>
      <c r="V39" s="297" t="e">
        <f t="shared" si="13"/>
        <v>#N/A</v>
      </c>
      <c r="W39" s="297" t="e">
        <f t="shared" si="14"/>
        <v>#N/A</v>
      </c>
      <c r="X39" s="297" t="e">
        <f t="shared" si="15"/>
        <v>#N/A</v>
      </c>
      <c r="Y39" s="297" t="e">
        <f t="shared" si="16"/>
        <v>#N/A</v>
      </c>
      <c r="Z39" s="472" t="e">
        <f t="shared" si="17"/>
        <v>#N/A</v>
      </c>
      <c r="AA39" s="472"/>
    </row>
    <row r="40" spans="1:27" ht="14.65" customHeight="1">
      <c r="A40" s="28"/>
      <c r="B40" s="516"/>
      <c r="C40" s="362"/>
      <c r="D40" s="524"/>
      <c r="E40" s="521"/>
      <c r="F40" s="294"/>
      <c r="G40" s="294"/>
      <c r="H40" s="348"/>
      <c r="I40" s="411" t="s">
        <v>158</v>
      </c>
      <c r="J40" s="326"/>
      <c r="K40" s="284"/>
      <c r="L40" s="305"/>
      <c r="M40" s="305"/>
      <c r="N40" s="30">
        <v>98</v>
      </c>
      <c r="O40" s="11"/>
      <c r="P40" s="31"/>
      <c r="R40" s="277">
        <f t="shared" si="9"/>
        <v>0</v>
      </c>
      <c r="S40" s="472" t="e">
        <f t="shared" si="10"/>
        <v>#N/A</v>
      </c>
      <c r="T40" s="472" t="e">
        <f t="shared" si="11"/>
        <v>#N/A</v>
      </c>
      <c r="U40" s="297" t="e">
        <f t="shared" si="12"/>
        <v>#N/A</v>
      </c>
      <c r="V40" s="297" t="e">
        <f t="shared" si="13"/>
        <v>#N/A</v>
      </c>
      <c r="W40" s="297" t="e">
        <f t="shared" si="14"/>
        <v>#N/A</v>
      </c>
      <c r="X40" s="297" t="e">
        <f t="shared" si="15"/>
        <v>#N/A</v>
      </c>
      <c r="Y40" s="297" t="e">
        <f t="shared" si="16"/>
        <v>#N/A</v>
      </c>
      <c r="Z40" s="472" t="e">
        <f t="shared" si="17"/>
        <v>#N/A</v>
      </c>
      <c r="AA40" s="472"/>
    </row>
    <row r="41" spans="1:27" ht="14.65" customHeight="1">
      <c r="A41" s="28"/>
      <c r="B41" s="516"/>
      <c r="C41" s="349"/>
      <c r="D41" s="522"/>
      <c r="E41" s="523"/>
      <c r="F41" s="294"/>
      <c r="G41" s="294"/>
      <c r="H41" s="348"/>
      <c r="I41" s="410" t="s">
        <v>157</v>
      </c>
      <c r="J41" s="326"/>
      <c r="K41" s="284"/>
      <c r="L41" s="305"/>
      <c r="M41" s="305"/>
      <c r="N41" s="30">
        <v>98</v>
      </c>
      <c r="O41" s="11"/>
      <c r="P41" s="31"/>
      <c r="R41" s="277">
        <f t="shared" si="9"/>
        <v>0</v>
      </c>
      <c r="S41" s="472" t="e">
        <f t="shared" si="10"/>
        <v>#N/A</v>
      </c>
      <c r="T41" s="472" t="e">
        <f t="shared" si="11"/>
        <v>#N/A</v>
      </c>
      <c r="U41" s="297" t="e">
        <f t="shared" si="12"/>
        <v>#N/A</v>
      </c>
      <c r="V41" s="297" t="e">
        <f t="shared" si="13"/>
        <v>#N/A</v>
      </c>
      <c r="W41" s="297" t="e">
        <f t="shared" si="14"/>
        <v>#N/A</v>
      </c>
      <c r="X41" s="297" t="e">
        <f t="shared" si="15"/>
        <v>#N/A</v>
      </c>
      <c r="Y41" s="297" t="e">
        <f t="shared" si="16"/>
        <v>#N/A</v>
      </c>
      <c r="Z41" s="472" t="e">
        <f t="shared" si="17"/>
        <v>#N/A</v>
      </c>
      <c r="AA41" s="472"/>
    </row>
    <row r="42" spans="1:27" ht="15" customHeight="1" thickBot="1">
      <c r="A42" s="28"/>
      <c r="B42" s="516"/>
      <c r="C42" s="349"/>
      <c r="D42" s="524"/>
      <c r="E42" s="521"/>
      <c r="F42" s="294"/>
      <c r="G42" s="294"/>
      <c r="H42" s="348"/>
      <c r="I42" s="406" t="s">
        <v>156</v>
      </c>
      <c r="J42" s="327"/>
      <c r="K42" s="407"/>
      <c r="L42" s="408"/>
      <c r="M42" s="408"/>
      <c r="N42" s="409">
        <v>98</v>
      </c>
      <c r="O42" s="11"/>
      <c r="P42" s="31"/>
      <c r="R42" s="277">
        <f t="shared" si="9"/>
        <v>0</v>
      </c>
      <c r="S42" s="472" t="e">
        <f t="shared" si="10"/>
        <v>#N/A</v>
      </c>
      <c r="T42" s="472" t="e">
        <f t="shared" si="11"/>
        <v>#N/A</v>
      </c>
      <c r="U42" s="297" t="e">
        <f t="shared" si="12"/>
        <v>#N/A</v>
      </c>
      <c r="V42" s="297" t="e">
        <f t="shared" si="13"/>
        <v>#N/A</v>
      </c>
      <c r="W42" s="297" t="e">
        <f t="shared" si="14"/>
        <v>#N/A</v>
      </c>
      <c r="X42" s="297" t="e">
        <f t="shared" si="15"/>
        <v>#N/A</v>
      </c>
      <c r="Y42" s="297" t="e">
        <f t="shared" si="16"/>
        <v>#N/A</v>
      </c>
      <c r="Z42" s="472" t="e">
        <f t="shared" si="17"/>
        <v>#N/A</v>
      </c>
      <c r="AA42" s="472"/>
    </row>
    <row r="43" spans="1:27" ht="15" customHeight="1" thickBot="1">
      <c r="A43" s="28"/>
      <c r="B43" s="516"/>
      <c r="C43" s="349"/>
      <c r="D43" s="518"/>
      <c r="E43" s="519"/>
      <c r="F43" s="294"/>
      <c r="G43" s="294"/>
      <c r="H43" s="348"/>
      <c r="I43" s="1"/>
      <c r="J43" s="39"/>
      <c r="K43" s="404">
        <f>SUM(K33:K42)</f>
        <v>159</v>
      </c>
      <c r="L43" s="405">
        <f>((L33*K33)+(L34*K34)+(L35*K35)+(L36*K36)+(L37*K37)+(K40*L40)+(L38*K38)+(L39*K39)+(L42*K42))/(K43)</f>
        <v>98.160969608434854</v>
      </c>
      <c r="M43" s="405">
        <f>AVERAGE('[9]Jan30th-31st'!$L$42,L43)</f>
        <v>97.99450567213816</v>
      </c>
      <c r="N43" s="40">
        <v>98</v>
      </c>
      <c r="O43" s="11"/>
      <c r="P43" s="31"/>
      <c r="R43" s="277">
        <f t="shared" si="9"/>
        <v>0</v>
      </c>
      <c r="S43" s="472" t="e">
        <f t="shared" si="10"/>
        <v>#N/A</v>
      </c>
      <c r="T43" s="472" t="e">
        <f t="shared" si="11"/>
        <v>#N/A</v>
      </c>
      <c r="U43" s="297" t="e">
        <f t="shared" si="12"/>
        <v>#N/A</v>
      </c>
      <c r="V43" s="297" t="e">
        <f t="shared" si="13"/>
        <v>#N/A</v>
      </c>
      <c r="W43" s="297" t="e">
        <f t="shared" si="14"/>
        <v>#N/A</v>
      </c>
      <c r="X43" s="297" t="e">
        <f t="shared" si="15"/>
        <v>#N/A</v>
      </c>
      <c r="Y43" s="297" t="e">
        <f t="shared" si="16"/>
        <v>#N/A</v>
      </c>
      <c r="Z43" s="472" t="e">
        <f t="shared" si="17"/>
        <v>#N/A</v>
      </c>
      <c r="AA43" s="472"/>
    </row>
    <row r="44" spans="1:27" ht="15.75" thickBot="1">
      <c r="B44" s="517"/>
      <c r="C44" s="350"/>
      <c r="D44" s="520"/>
      <c r="E44" s="521"/>
      <c r="F44" s="294"/>
      <c r="G44" s="42"/>
      <c r="H44" s="41"/>
      <c r="I44" s="42"/>
      <c r="J44" s="42"/>
      <c r="K44" s="351"/>
      <c r="L44" s="348"/>
      <c r="M44" s="348"/>
      <c r="N44" s="11"/>
      <c r="O44" s="294"/>
      <c r="P44" s="12"/>
      <c r="R44" s="277">
        <f t="shared" si="9"/>
        <v>0</v>
      </c>
      <c r="S44" s="472" t="e">
        <f t="shared" si="10"/>
        <v>#N/A</v>
      </c>
      <c r="T44" s="472" t="e">
        <f t="shared" si="11"/>
        <v>#N/A</v>
      </c>
      <c r="U44" s="297" t="e">
        <f t="shared" si="12"/>
        <v>#N/A</v>
      </c>
      <c r="V44" s="297" t="e">
        <f t="shared" si="13"/>
        <v>#N/A</v>
      </c>
      <c r="W44" s="297" t="e">
        <f t="shared" si="14"/>
        <v>#N/A</v>
      </c>
      <c r="X44" s="297" t="e">
        <f t="shared" si="15"/>
        <v>#N/A</v>
      </c>
      <c r="Y44" s="297" t="e">
        <f t="shared" si="16"/>
        <v>#N/A</v>
      </c>
      <c r="Z44" s="472" t="e">
        <f t="shared" si="17"/>
        <v>#N/A</v>
      </c>
      <c r="AA44" s="472"/>
    </row>
    <row r="45" spans="1:27" ht="15.75" thickBot="1">
      <c r="B45" s="525"/>
      <c r="C45" s="362"/>
      <c r="D45" s="528"/>
      <c r="E45" s="529"/>
      <c r="F45" s="294"/>
      <c r="G45" s="42"/>
      <c r="H45" s="41"/>
      <c r="I45" s="42"/>
      <c r="J45" s="530" t="s">
        <v>129</v>
      </c>
      <c r="K45" s="530"/>
      <c r="L45" s="294"/>
      <c r="M45" s="294"/>
      <c r="N45" s="294"/>
      <c r="O45" s="294"/>
      <c r="P45" s="12"/>
    </row>
    <row r="46" spans="1:27" ht="15.75" thickBot="1">
      <c r="B46" s="526"/>
      <c r="C46" s="362"/>
      <c r="D46" s="524"/>
      <c r="E46" s="521"/>
      <c r="F46" s="294"/>
      <c r="G46" s="42"/>
      <c r="H46" s="42"/>
      <c r="I46" s="42"/>
      <c r="J46" s="292" t="s">
        <v>17</v>
      </c>
      <c r="K46" s="293" t="s">
        <v>172</v>
      </c>
      <c r="L46" s="531" t="s">
        <v>136</v>
      </c>
      <c r="M46" s="531"/>
      <c r="N46" s="532"/>
      <c r="O46" s="294"/>
      <c r="P46" s="12"/>
    </row>
    <row r="47" spans="1:27" ht="15" customHeight="1" thickBot="1">
      <c r="B47" s="526"/>
      <c r="C47" s="349"/>
      <c r="D47" s="522"/>
      <c r="E47" s="523"/>
      <c r="F47" s="294"/>
      <c r="G47" s="42"/>
      <c r="H47" s="42"/>
      <c r="I47" s="42"/>
      <c r="J47" s="287" t="s">
        <v>6</v>
      </c>
      <c r="K47" s="324">
        <v>4</v>
      </c>
      <c r="L47" s="473" t="s">
        <v>37</v>
      </c>
      <c r="M47" s="474" t="s">
        <v>38</v>
      </c>
      <c r="N47" s="474" t="s">
        <v>84</v>
      </c>
      <c r="O47" s="294"/>
      <c r="P47" s="12"/>
    </row>
    <row r="48" spans="1:27" ht="15.75" customHeight="1" thickBot="1">
      <c r="B48" s="526"/>
      <c r="C48" s="349"/>
      <c r="D48" s="524"/>
      <c r="E48" s="521"/>
      <c r="F48" s="294"/>
      <c r="G48" s="42"/>
      <c r="H48" s="42"/>
      <c r="I48" s="42"/>
      <c r="J48" s="345" t="s">
        <v>9</v>
      </c>
      <c r="K48" s="324"/>
      <c r="L48" s="344">
        <f>AVERAGE(K57,'Mar 2nd'!K49,'Mar 1st'!K55,'Mar 3rd'!K49,'Mar 4th'!K51,'Mar 5th'!K52,'Mar 6th '!K49,'Mar 9th'!K53,'Mar 10th'!K47,'Mar 11th'!K50,'Mar 12th'!K51,'Mar 13th-15th'!J73,'Mar 13th-15th'!I73,'Mar 16th'!K58,'Mar 18th'!K55,'Mar 19th'!K52,'Mar 20th -22nd'!I67,'Mar 20th -22nd'!J67,'Mar 20th -22nd'!K67,'Mar 23rd '!K67)</f>
        <v>7.5</v>
      </c>
      <c r="M48" s="325">
        <f>AVERAGE('[9]Jan30th-31st'!$L$47,L48,'[10]Feb 26th '!$L$39)</f>
        <v>6.5623188405797102</v>
      </c>
      <c r="N48" s="416">
        <v>9.1999999999999993</v>
      </c>
      <c r="O48" s="294"/>
      <c r="P48" s="12"/>
    </row>
    <row r="49" spans="1:57" ht="15" customHeight="1">
      <c r="B49" s="526"/>
      <c r="C49" s="349"/>
      <c r="D49" s="522"/>
      <c r="E49" s="523"/>
      <c r="F49" s="294"/>
      <c r="G49" s="42"/>
      <c r="H49" s="42"/>
      <c r="I49" s="42"/>
      <c r="J49" s="288" t="s">
        <v>40</v>
      </c>
      <c r="K49" s="324"/>
      <c r="L49" s="294"/>
      <c r="M49" s="294"/>
      <c r="N49" s="294"/>
      <c r="O49" s="294"/>
      <c r="P49" s="12"/>
    </row>
    <row r="50" spans="1:57" ht="15" customHeight="1">
      <c r="B50" s="526"/>
      <c r="C50" s="349"/>
      <c r="D50" s="524"/>
      <c r="E50" s="521"/>
      <c r="F50" s="294"/>
      <c r="G50" s="42"/>
      <c r="H50" s="42"/>
      <c r="I50" s="42"/>
      <c r="J50" s="289" t="s">
        <v>33</v>
      </c>
      <c r="K50" s="324">
        <v>4</v>
      </c>
      <c r="L50" s="294"/>
      <c r="M50" s="294"/>
      <c r="N50" s="294"/>
      <c r="O50" s="294"/>
      <c r="P50" s="12"/>
    </row>
    <row r="51" spans="1:57" ht="15">
      <c r="B51" s="526"/>
      <c r="C51" s="349"/>
      <c r="D51" s="522"/>
      <c r="E51" s="523"/>
      <c r="F51" s="294"/>
      <c r="G51" s="42"/>
      <c r="H51" s="42"/>
      <c r="I51" s="42"/>
      <c r="J51" s="290" t="s">
        <v>16</v>
      </c>
      <c r="K51" s="324"/>
      <c r="L51" s="294"/>
      <c r="M51" s="294"/>
      <c r="N51" s="294"/>
      <c r="O51" s="294"/>
      <c r="P51" s="12"/>
      <c r="BC51" s="44"/>
      <c r="BD51" s="44"/>
    </row>
    <row r="52" spans="1:57" ht="15">
      <c r="B52" s="526"/>
      <c r="C52" s="349"/>
      <c r="D52" s="524"/>
      <c r="E52" s="521"/>
      <c r="F52" s="294"/>
      <c r="G52" s="42"/>
      <c r="H52" s="42"/>
      <c r="I52" s="42"/>
      <c r="J52" s="291" t="s">
        <v>15</v>
      </c>
      <c r="K52" s="324"/>
      <c r="L52" s="294"/>
      <c r="M52" s="294"/>
      <c r="N52" s="294"/>
      <c r="O52" s="294"/>
      <c r="P52" s="12"/>
      <c r="BC52" s="44"/>
      <c r="BD52" s="44"/>
    </row>
    <row r="53" spans="1:57" ht="15">
      <c r="B53" s="526"/>
      <c r="C53" s="349"/>
      <c r="D53" s="522"/>
      <c r="E53" s="523"/>
      <c r="F53" s="294"/>
      <c r="G53" s="42"/>
      <c r="H53" s="42"/>
      <c r="I53" s="42"/>
      <c r="J53" s="291" t="s">
        <v>149</v>
      </c>
      <c r="K53" s="324"/>
      <c r="L53" s="294"/>
      <c r="M53" s="294"/>
      <c r="N53" s="294"/>
      <c r="O53" s="294"/>
      <c r="P53" s="12"/>
      <c r="BC53" s="44"/>
      <c r="BD53" s="44"/>
    </row>
    <row r="54" spans="1:57" ht="15.75" thickBot="1">
      <c r="B54" s="527"/>
      <c r="C54" s="350"/>
      <c r="D54" s="533"/>
      <c r="E54" s="534"/>
      <c r="F54" s="294" t="s">
        <v>166</v>
      </c>
      <c r="G54" s="42"/>
      <c r="H54" s="42"/>
      <c r="I54" s="42"/>
      <c r="J54" s="291" t="s">
        <v>148</v>
      </c>
      <c r="K54" s="324"/>
      <c r="L54" s="294"/>
      <c r="M54" s="294"/>
      <c r="N54" s="294" t="s">
        <v>41</v>
      </c>
      <c r="O54" s="294"/>
      <c r="P54" s="12"/>
      <c r="BC54" s="44"/>
      <c r="BD54" s="44"/>
    </row>
    <row r="55" spans="1:57" ht="17.649999999999999" customHeight="1" thickBot="1">
      <c r="B55" s="312" t="s">
        <v>139</v>
      </c>
      <c r="C55" s="313"/>
      <c r="D55" s="535"/>
      <c r="E55" s="536"/>
      <c r="F55" s="294"/>
      <c r="J55" s="295" t="s">
        <v>134</v>
      </c>
      <c r="K55" s="324"/>
      <c r="L55" s="294"/>
      <c r="M55" s="294"/>
      <c r="N55" s="294"/>
      <c r="O55" s="294"/>
      <c r="P55" s="12"/>
      <c r="BC55" s="44"/>
      <c r="BD55" s="44"/>
    </row>
    <row r="56" spans="1:57" ht="17.649999999999999" customHeight="1">
      <c r="B56" s="363"/>
      <c r="C56" s="364"/>
      <c r="D56" s="365"/>
      <c r="E56" s="365"/>
      <c r="F56" s="294"/>
      <c r="G56" s="42"/>
      <c r="H56" s="42"/>
      <c r="I56" s="42"/>
      <c r="J56" s="295" t="s">
        <v>131</v>
      </c>
      <c r="K56" s="324"/>
      <c r="L56" s="294"/>
      <c r="M56" s="294"/>
      <c r="N56" s="294"/>
      <c r="O56" s="294"/>
      <c r="P56" s="12"/>
      <c r="BC56" s="44"/>
      <c r="BD56" s="44"/>
    </row>
    <row r="57" spans="1:57" ht="15.6" customHeight="1">
      <c r="B57" s="45"/>
      <c r="C57" s="11"/>
      <c r="D57" s="11"/>
      <c r="E57" s="46"/>
      <c r="F57" s="294"/>
      <c r="G57" s="42"/>
      <c r="H57" s="42"/>
      <c r="I57" s="42"/>
      <c r="J57" s="346" t="s">
        <v>130</v>
      </c>
      <c r="K57" s="324">
        <f>SUM(K47:K56)</f>
        <v>8</v>
      </c>
      <c r="L57" s="294"/>
      <c r="M57" s="294"/>
      <c r="N57" s="294"/>
      <c r="O57" s="294"/>
      <c r="P57" s="12"/>
    </row>
    <row r="58" spans="1:57" ht="20.25" customHeight="1">
      <c r="B58" s="15" t="s">
        <v>42</v>
      </c>
      <c r="C58" s="1" t="s">
        <v>43</v>
      </c>
      <c r="D58" s="1"/>
      <c r="E58" s="1"/>
      <c r="F58" s="294"/>
      <c r="G58" s="42"/>
      <c r="H58" s="41"/>
      <c r="I58" s="42"/>
      <c r="L58" s="294"/>
      <c r="N58" s="315"/>
      <c r="P58" s="334"/>
    </row>
    <row r="59" spans="1:57" ht="15" customHeight="1" thickBot="1"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1"/>
      <c r="O59" s="48"/>
      <c r="P59" s="49"/>
    </row>
    <row r="60" spans="1:57" ht="15" customHeight="1" thickBot="1">
      <c r="B60" s="537" t="s">
        <v>17</v>
      </c>
      <c r="C60" s="537" t="s">
        <v>44</v>
      </c>
      <c r="D60" s="540" t="s">
        <v>45</v>
      </c>
      <c r="E60" s="501" t="s">
        <v>46</v>
      </c>
      <c r="F60" s="510" t="s">
        <v>47</v>
      </c>
      <c r="G60" s="549" t="s">
        <v>48</v>
      </c>
      <c r="H60" s="537" t="s">
        <v>49</v>
      </c>
      <c r="I60" s="537" t="s">
        <v>50</v>
      </c>
      <c r="J60" s="543" t="s">
        <v>28</v>
      </c>
      <c r="K60" s="499" t="s">
        <v>51</v>
      </c>
      <c r="L60" s="552" t="s">
        <v>52</v>
      </c>
      <c r="M60" s="543" t="s">
        <v>53</v>
      </c>
      <c r="N60" s="13"/>
      <c r="O60" s="13"/>
      <c r="P60" s="50"/>
    </row>
    <row r="61" spans="1:57" ht="28.5" customHeight="1" thickTop="1" thickBot="1">
      <c r="B61" s="538"/>
      <c r="C61" s="539"/>
      <c r="D61" s="541"/>
      <c r="E61" s="542"/>
      <c r="F61" s="554"/>
      <c r="G61" s="550"/>
      <c r="H61" s="538"/>
      <c r="I61" s="538"/>
      <c r="J61" s="544"/>
      <c r="K61" s="551"/>
      <c r="L61" s="553"/>
      <c r="M61" s="544"/>
      <c r="N61" s="13"/>
      <c r="O61" s="13"/>
      <c r="P61" s="50"/>
      <c r="Q61" s="355"/>
      <c r="AB61" s="475">
        <v>43474</v>
      </c>
      <c r="AC61" s="475">
        <v>43475</v>
      </c>
      <c r="AD61" s="475">
        <v>43476</v>
      </c>
      <c r="AE61" s="475">
        <v>43477</v>
      </c>
      <c r="AF61" s="475">
        <v>43478</v>
      </c>
      <c r="AG61" s="475">
        <v>43479</v>
      </c>
      <c r="AH61" s="475">
        <v>43480</v>
      </c>
      <c r="AI61" s="475">
        <v>43481</v>
      </c>
      <c r="AJ61" s="475">
        <v>43482</v>
      </c>
      <c r="AK61" s="475">
        <v>43483</v>
      </c>
      <c r="AL61" s="475">
        <v>43484</v>
      </c>
      <c r="AM61" s="475">
        <v>43485</v>
      </c>
      <c r="AN61" s="475">
        <v>43486</v>
      </c>
      <c r="AO61" s="475">
        <v>43487</v>
      </c>
      <c r="AP61" s="475">
        <v>43488</v>
      </c>
      <c r="AQ61" s="475">
        <v>43489</v>
      </c>
      <c r="AR61" s="475">
        <v>43490</v>
      </c>
      <c r="AS61" s="475">
        <v>43491</v>
      </c>
      <c r="AT61" s="475">
        <v>43492</v>
      </c>
      <c r="AU61" s="475">
        <v>43493</v>
      </c>
      <c r="AV61" s="475">
        <v>43494</v>
      </c>
      <c r="AW61" s="475">
        <v>43495</v>
      </c>
      <c r="AX61" s="475">
        <v>43496</v>
      </c>
    </row>
    <row r="62" spans="1:57" s="54" customFormat="1" ht="36.75" customHeight="1" thickBot="1">
      <c r="B62" s="484" t="str">
        <f>J48</f>
        <v>STAG</v>
      </c>
      <c r="C62" s="479">
        <v>46105</v>
      </c>
      <c r="D62" s="442">
        <f>[11]March_2026!$AB$13</f>
        <v>403.19999999999993</v>
      </c>
      <c r="E62" s="443"/>
      <c r="F62" s="444"/>
      <c r="G62" s="445">
        <f>[11]March_2026!$AB$17</f>
        <v>384.6</v>
      </c>
      <c r="H62" s="458"/>
      <c r="I62" s="458"/>
      <c r="J62" s="448" t="s">
        <v>174</v>
      </c>
      <c r="K62" s="449">
        <f>[13]March_2026!$AB$25</f>
        <v>1.3494736842105264</v>
      </c>
      <c r="L62" s="476">
        <f>(((D62+E62)-G62)/(D62+E62))*100</f>
        <v>4.6130952380952159</v>
      </c>
      <c r="M62" s="455" t="s">
        <v>184</v>
      </c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>
        <f>[14]January_2019!L5</f>
        <v>0</v>
      </c>
      <c r="AC62" s="57">
        <f>[14]January_2019!M5</f>
        <v>0</v>
      </c>
      <c r="AD62" s="57">
        <f>[14]January_2019!N5</f>
        <v>0</v>
      </c>
      <c r="AE62" s="57">
        <f>[14]January_2019!O5</f>
        <v>0</v>
      </c>
      <c r="AF62" s="57">
        <f>[14]January_2019!P5</f>
        <v>0</v>
      </c>
      <c r="AG62" s="57">
        <f>[14]January_2019!Q5</f>
        <v>0</v>
      </c>
      <c r="AH62" s="57">
        <f>[14]January_2019!R5</f>
        <v>0</v>
      </c>
      <c r="AI62" s="57">
        <f>[14]January_2019!S5</f>
        <v>0</v>
      </c>
      <c r="AJ62" s="57">
        <f>[14]January_2019!T5</f>
        <v>0</v>
      </c>
      <c r="AK62" s="57">
        <f>[14]January_2019!U5</f>
        <v>0</v>
      </c>
      <c r="AL62" s="57">
        <f>[14]January_2019!V5</f>
        <v>0</v>
      </c>
      <c r="AM62" s="57">
        <f>[14]January_2019!W5</f>
        <v>0</v>
      </c>
      <c r="AN62" s="57">
        <f>[14]January_2019!X5</f>
        <v>0</v>
      </c>
      <c r="AO62" s="57">
        <f>[14]January_2019!Y5</f>
        <v>0</v>
      </c>
      <c r="AP62" s="57">
        <f>[14]January_2019!Z5</f>
        <v>0</v>
      </c>
      <c r="AQ62" s="57">
        <f>[14]January_2019!AA5</f>
        <v>0</v>
      </c>
      <c r="AR62" s="57">
        <f>[14]January_2019!AB5</f>
        <v>0</v>
      </c>
      <c r="AS62" s="57">
        <f>[14]January_2019!AC5</f>
        <v>0</v>
      </c>
      <c r="AT62" s="57">
        <f>[14]January_2019!AD5</f>
        <v>0</v>
      </c>
      <c r="AU62" s="57">
        <f>[14]January_2019!AE5</f>
        <v>0</v>
      </c>
      <c r="AV62" s="57">
        <f>[14]January_2019!AF5</f>
        <v>0</v>
      </c>
      <c r="AW62" s="57">
        <f>[14]January_2019!AG5</f>
        <v>0</v>
      </c>
      <c r="AX62" s="277">
        <f>[14]January_2019!AH5</f>
        <v>0</v>
      </c>
      <c r="AY62" s="277"/>
      <c r="AZ62" s="277"/>
      <c r="BA62" s="277"/>
      <c r="BB62" s="277"/>
      <c r="BC62" s="277"/>
      <c r="BD62" s="277"/>
      <c r="BE62" s="277"/>
    </row>
    <row r="63" spans="1:57" s="54" customFormat="1" ht="14.25" customHeight="1" thickBot="1">
      <c r="B63" s="480"/>
      <c r="C63" s="479"/>
      <c r="D63" s="442"/>
      <c r="E63" s="443"/>
      <c r="F63" s="444"/>
      <c r="G63" s="445"/>
      <c r="H63" s="458"/>
      <c r="I63" s="458"/>
      <c r="J63" s="476"/>
      <c r="K63" s="449"/>
      <c r="L63" s="457"/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>
        <f>[14]January_2019!L6</f>
        <v>0</v>
      </c>
      <c r="AC63" s="57">
        <f>[14]January_2019!M6</f>
        <v>0</v>
      </c>
      <c r="AD63" s="57">
        <f>[14]January_2019!N6</f>
        <v>0</v>
      </c>
      <c r="AE63" s="57">
        <f>[14]January_2019!O6</f>
        <v>0</v>
      </c>
      <c r="AF63" s="57">
        <f>[14]January_2019!P6</f>
        <v>0</v>
      </c>
      <c r="AG63" s="57">
        <f>[14]January_2019!Q6</f>
        <v>0</v>
      </c>
      <c r="AH63" s="57">
        <f>[14]January_2019!R6</f>
        <v>0</v>
      </c>
      <c r="AI63" s="57">
        <f>[14]January_2019!S6</f>
        <v>0</v>
      </c>
      <c r="AJ63" s="57">
        <f>[14]January_2019!T6</f>
        <v>0</v>
      </c>
      <c r="AK63" s="57">
        <f>[14]January_2019!U6</f>
        <v>0</v>
      </c>
      <c r="AL63" s="57">
        <f>[14]January_2019!V6</f>
        <v>0</v>
      </c>
      <c r="AM63" s="57">
        <f>[14]January_2019!W6</f>
        <v>0</v>
      </c>
      <c r="AN63" s="57">
        <f>[14]January_2019!X6</f>
        <v>0</v>
      </c>
      <c r="AO63" s="57">
        <f>[14]January_2019!Y6</f>
        <v>0</v>
      </c>
      <c r="AP63" s="57">
        <f>[14]January_2019!Z6</f>
        <v>0</v>
      </c>
      <c r="AQ63" s="57">
        <f>[14]January_2019!AA6</f>
        <v>0</v>
      </c>
      <c r="AR63" s="57">
        <f>[14]January_2019!AB6</f>
        <v>0</v>
      </c>
      <c r="AS63" s="57">
        <f>[14]January_2019!AC6</f>
        <v>0</v>
      </c>
      <c r="AT63" s="57">
        <f>[14]January_2019!AD6</f>
        <v>0</v>
      </c>
      <c r="AU63" s="57">
        <f>[14]January_2019!AE6</f>
        <v>0</v>
      </c>
      <c r="AV63" s="57">
        <f>[14]January_2019!AF6</f>
        <v>0</v>
      </c>
      <c r="AW63" s="57">
        <f>[14]January_2019!AG6</f>
        <v>0</v>
      </c>
      <c r="AX63" s="277">
        <f>[14]January_2019!AH6</f>
        <v>0</v>
      </c>
      <c r="AY63" s="277"/>
      <c r="AZ63" s="277"/>
      <c r="BA63" s="277"/>
      <c r="BB63" s="277"/>
      <c r="BC63" s="277"/>
      <c r="BD63" s="277"/>
      <c r="BE63" s="277"/>
    </row>
    <row r="64" spans="1:57" s="54" customFormat="1" ht="37.15" hidden="1" customHeight="1" thickBot="1">
      <c r="A64" s="54" t="s">
        <v>168</v>
      </c>
      <c r="B64" s="480"/>
      <c r="C64" s="479"/>
      <c r="D64" s="442"/>
      <c r="E64" s="443"/>
      <c r="F64" s="444"/>
      <c r="G64" s="445"/>
      <c r="H64" s="458"/>
      <c r="I64" s="458"/>
      <c r="J64" s="448"/>
      <c r="K64" s="449"/>
      <c r="L64" s="457"/>
      <c r="M64" s="45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>
        <f>[14]January_2019!L7</f>
        <v>285.8</v>
      </c>
      <c r="AC64" s="57">
        <f>[14]January_2019!M7</f>
        <v>508.1</v>
      </c>
      <c r="AD64" s="57">
        <f>[14]January_2019!N7</f>
        <v>0</v>
      </c>
      <c r="AE64" s="57">
        <f>[14]January_2019!O7</f>
        <v>0</v>
      </c>
      <c r="AF64" s="57">
        <f>[14]January_2019!P7</f>
        <v>109.56666666666666</v>
      </c>
      <c r="AG64" s="57">
        <f>[14]January_2019!Q7</f>
        <v>297.64999999999998</v>
      </c>
      <c r="AH64" s="57">
        <f>[14]January_2019!R7</f>
        <v>122.3</v>
      </c>
      <c r="AI64" s="57">
        <f>[14]January_2019!S7</f>
        <v>0</v>
      </c>
      <c r="AJ64" s="57">
        <f>[14]January_2019!T7</f>
        <v>294.7</v>
      </c>
      <c r="AK64" s="57">
        <f>[14]January_2019!U7</f>
        <v>280.5</v>
      </c>
      <c r="AL64" s="57">
        <f>[14]January_2019!V7</f>
        <v>0</v>
      </c>
      <c r="AM64" s="57">
        <f>[14]January_2019!W7</f>
        <v>0</v>
      </c>
      <c r="AN64" s="57">
        <f>[14]January_2019!X7</f>
        <v>188.25</v>
      </c>
      <c r="AO64" s="57">
        <f>[14]January_2019!Y7</f>
        <v>295.7</v>
      </c>
      <c r="AP64" s="57">
        <f>[14]January_2019!Z7</f>
        <v>257.8</v>
      </c>
      <c r="AQ64" s="57">
        <f>[14]January_2019!AA7</f>
        <v>291.2</v>
      </c>
      <c r="AR64" s="57">
        <f>[14]January_2019!AB7</f>
        <v>187</v>
      </c>
      <c r="AS64" s="57">
        <f>[14]January_2019!AC7</f>
        <v>0</v>
      </c>
      <c r="AT64" s="57">
        <f>[14]January_2019!AD7</f>
        <v>0</v>
      </c>
      <c r="AU64" s="57">
        <f>[14]January_2019!AE7</f>
        <v>485.1</v>
      </c>
      <c r="AV64" s="57">
        <f>[14]January_2019!AF7</f>
        <v>171.55</v>
      </c>
      <c r="AW64" s="57">
        <f>[14]January_2019!AG7</f>
        <v>423.8</v>
      </c>
      <c r="AX64" s="277">
        <f>[14]January_2019!AH7</f>
        <v>0</v>
      </c>
      <c r="AY64" s="277"/>
      <c r="AZ64" s="277"/>
      <c r="BA64" s="277"/>
      <c r="BB64" s="277"/>
      <c r="BC64" s="277"/>
      <c r="BD64" s="277"/>
      <c r="BE64" s="277"/>
    </row>
    <row r="65" spans="2:57" s="54" customFormat="1" ht="19.5" hidden="1" customHeight="1" thickBot="1">
      <c r="B65" s="478"/>
      <c r="C65" s="430"/>
      <c r="D65" s="431"/>
      <c r="E65" s="432"/>
      <c r="F65" s="433"/>
      <c r="G65" s="434"/>
      <c r="H65" s="458"/>
      <c r="I65" s="458"/>
      <c r="J65" s="451"/>
      <c r="K65" s="436"/>
      <c r="L65" s="452"/>
      <c r="M65" s="421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8.450000000000003" hidden="1" customHeight="1" thickBot="1">
      <c r="B66" s="480"/>
      <c r="C66" s="479"/>
      <c r="D66" s="442"/>
      <c r="E66" s="443"/>
      <c r="F66" s="444"/>
      <c r="G66" s="445"/>
      <c r="H66" s="458"/>
      <c r="I66" s="458"/>
      <c r="J66" s="448" t="s">
        <v>171</v>
      </c>
      <c r="K66" s="459"/>
      <c r="L66" s="457" t="e">
        <f>(((D66+E66)-G66)/(D66+E66))*100</f>
        <v>#DIV/0!</v>
      </c>
      <c r="M66" s="455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15" hidden="1">
      <c r="B67" s="453"/>
      <c r="C67" s="430"/>
      <c r="D67" s="431"/>
      <c r="E67" s="432"/>
      <c r="F67" s="433"/>
      <c r="G67" s="434"/>
      <c r="H67" s="435"/>
      <c r="I67" s="450"/>
      <c r="J67" s="451"/>
      <c r="K67" s="436"/>
      <c r="L67" s="452"/>
      <c r="M67" s="421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37.15" hidden="1" customHeight="1" thickBot="1">
      <c r="B68" s="480"/>
      <c r="C68" s="479"/>
      <c r="D68" s="442"/>
      <c r="E68" s="443"/>
      <c r="F68" s="444"/>
      <c r="G68" s="445"/>
      <c r="H68" s="446"/>
      <c r="I68" s="447"/>
      <c r="J68" s="448"/>
      <c r="K68" s="449"/>
      <c r="L68" s="457"/>
      <c r="M68" s="455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s="54" customFormat="1" ht="16.5" hidden="1" customHeight="1" thickBot="1">
      <c r="B69" s="437"/>
      <c r="C69" s="423"/>
      <c r="D69" s="424"/>
      <c r="E69" s="425"/>
      <c r="F69" s="426"/>
      <c r="G69" s="427"/>
      <c r="H69" s="428"/>
      <c r="I69" s="438"/>
      <c r="J69" s="439"/>
      <c r="K69" s="429"/>
      <c r="L69" s="440"/>
      <c r="M69" s="422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415"/>
      <c r="AC69" s="415"/>
      <c r="AD69" s="415"/>
      <c r="AE69" s="415"/>
      <c r="AF69" s="415"/>
      <c r="AG69" s="415"/>
      <c r="AH69" s="415"/>
      <c r="AI69" s="415"/>
      <c r="AJ69" s="415"/>
      <c r="AK69" s="415"/>
      <c r="AL69" s="415"/>
      <c r="AM69" s="415"/>
      <c r="AN69" s="415"/>
      <c r="AO69" s="415"/>
      <c r="AP69" s="415"/>
      <c r="AQ69" s="415"/>
      <c r="AR69" s="415"/>
      <c r="AS69" s="415"/>
      <c r="AT69" s="415"/>
      <c r="AU69" s="415"/>
      <c r="AV69" s="415"/>
      <c r="AW69" s="415"/>
    </row>
    <row r="70" spans="2:57" s="54" customFormat="1" ht="37.15" hidden="1" customHeight="1" thickBot="1">
      <c r="B70" s="456"/>
      <c r="C70" s="441"/>
      <c r="D70" s="442"/>
      <c r="E70" s="443"/>
      <c r="F70" s="444"/>
      <c r="G70" s="445"/>
      <c r="H70" s="446"/>
      <c r="I70" s="447"/>
      <c r="J70" s="448"/>
      <c r="K70" s="449"/>
      <c r="L70" s="457"/>
      <c r="M70" s="454"/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277"/>
      <c r="AY70" s="277"/>
      <c r="AZ70" s="277"/>
      <c r="BA70" s="277"/>
      <c r="BB70" s="277"/>
      <c r="BC70" s="277"/>
      <c r="BD70" s="277"/>
      <c r="BE70" s="277"/>
    </row>
    <row r="71" spans="2:57" s="54" customFormat="1" ht="37.15" customHeight="1">
      <c r="B71" s="466"/>
      <c r="C71" s="430"/>
      <c r="D71" s="460"/>
      <c r="E71" s="461"/>
      <c r="F71" s="462"/>
      <c r="G71" s="460"/>
      <c r="H71" s="463"/>
      <c r="I71" s="463"/>
      <c r="J71" s="463"/>
      <c r="K71" s="464"/>
      <c r="L71" s="465"/>
      <c r="M71" s="50"/>
      <c r="N71" s="13"/>
      <c r="O71" s="13"/>
      <c r="P71" s="50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277"/>
      <c r="AY71" s="277"/>
      <c r="AZ71" s="277"/>
      <c r="BA71" s="277"/>
      <c r="BB71" s="277"/>
      <c r="BC71" s="277"/>
      <c r="BD71" s="277"/>
      <c r="BE71" s="277"/>
    </row>
    <row r="72" spans="2:57" ht="18" customHeight="1" thickBot="1">
      <c r="B72" s="59"/>
      <c r="C72" s="30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 t="s">
        <v>41</v>
      </c>
      <c r="O72" s="56"/>
      <c r="P72" s="60"/>
    </row>
    <row r="73" spans="2:57" ht="15.75" thickBot="1">
      <c r="B73" s="545" t="s">
        <v>55</v>
      </c>
      <c r="C73" s="546"/>
      <c r="D73" s="546"/>
      <c r="E73" s="546"/>
      <c r="F73" s="547"/>
      <c r="G73" s="545" t="s">
        <v>56</v>
      </c>
      <c r="H73" s="546"/>
      <c r="I73" s="546"/>
      <c r="J73" s="547"/>
      <c r="K73" s="545" t="s">
        <v>51</v>
      </c>
      <c r="L73" s="546"/>
      <c r="M73" s="546"/>
      <c r="N73" s="548"/>
      <c r="O73" s="56"/>
      <c r="P73" s="50"/>
    </row>
    <row r="74" spans="2:57" ht="15">
      <c r="B74" s="61" t="s">
        <v>17</v>
      </c>
      <c r="C74" s="62" t="s">
        <v>36</v>
      </c>
      <c r="D74" s="62" t="s">
        <v>37</v>
      </c>
      <c r="E74" s="62" t="s">
        <v>38</v>
      </c>
      <c r="F74" s="63" t="s">
        <v>39</v>
      </c>
      <c r="G74" s="62" t="s">
        <v>36</v>
      </c>
      <c r="H74" s="62" t="s">
        <v>37</v>
      </c>
      <c r="I74" s="62" t="s">
        <v>38</v>
      </c>
      <c r="J74" s="63" t="s">
        <v>39</v>
      </c>
      <c r="K74" s="62" t="s">
        <v>36</v>
      </c>
      <c r="L74" s="62" t="s">
        <v>37</v>
      </c>
      <c r="M74" s="62" t="s">
        <v>38</v>
      </c>
      <c r="N74" s="63" t="s">
        <v>39</v>
      </c>
      <c r="O74" s="56"/>
      <c r="P74" s="64"/>
    </row>
    <row r="75" spans="2:57" ht="15">
      <c r="B75" s="29" t="s">
        <v>6</v>
      </c>
      <c r="C75" s="282"/>
      <c r="D75" s="76">
        <v>6.4013350546302155</v>
      </c>
      <c r="E75" s="76">
        <v>7.0119249176380309</v>
      </c>
      <c r="F75" s="66">
        <v>4.8</v>
      </c>
      <c r="G75" s="65"/>
      <c r="H75" s="477">
        <v>5.7706564474715716</v>
      </c>
      <c r="I75" s="477">
        <v>6.9165248305015652</v>
      </c>
      <c r="J75" s="66">
        <v>4.8</v>
      </c>
      <c r="K75" s="67"/>
      <c r="L75" s="194">
        <v>0.436797723475355</v>
      </c>
      <c r="M75" s="194">
        <v>0.40085154944546642</v>
      </c>
      <c r="N75" s="68">
        <v>1</v>
      </c>
      <c r="O75" s="56"/>
      <c r="P75" s="69"/>
    </row>
    <row r="76" spans="2:57" ht="15">
      <c r="B76" s="33" t="s">
        <v>9</v>
      </c>
      <c r="C76" s="65">
        <f>L62</f>
        <v>4.6130952380952159</v>
      </c>
      <c r="D76" s="76">
        <v>6.49747008272427</v>
      </c>
      <c r="E76" s="76">
        <v>6.3411334413966323</v>
      </c>
      <c r="F76" s="66">
        <v>4.8</v>
      </c>
      <c r="G76" s="65">
        <f>[11]March_2026!$AB$21</f>
        <v>3.7703193727289781</v>
      </c>
      <c r="H76" s="76">
        <v>5.8363193922358541</v>
      </c>
      <c r="I76" s="76">
        <v>6.0615758973702238</v>
      </c>
      <c r="J76" s="66">
        <v>4.8</v>
      </c>
      <c r="K76" s="67">
        <f>K62</f>
        <v>1.3494736842105264</v>
      </c>
      <c r="L76" s="194">
        <v>0.86557894736842111</v>
      </c>
      <c r="M76" s="194">
        <v>0.66474567163482645</v>
      </c>
      <c r="N76" s="68">
        <v>1</v>
      </c>
      <c r="P76" s="69"/>
    </row>
    <row r="77" spans="2:57" ht="15">
      <c r="B77" s="34" t="s">
        <v>40</v>
      </c>
      <c r="C77" s="65"/>
      <c r="D77" s="76">
        <v>12.686094393411453</v>
      </c>
      <c r="E77" s="76">
        <v>12.557379600093356</v>
      </c>
      <c r="F77" s="66">
        <v>5.5</v>
      </c>
      <c r="G77" s="491" t="e">
        <f>G74*G76</f>
        <v>#VALUE!</v>
      </c>
      <c r="H77" s="76">
        <v>16.188465805007624</v>
      </c>
      <c r="I77" s="76">
        <v>14.409617014725914</v>
      </c>
      <c r="J77" s="66">
        <v>5.5</v>
      </c>
      <c r="K77" s="67"/>
      <c r="L77" s="194">
        <v>0.22560526315789473</v>
      </c>
      <c r="M77" s="194">
        <v>0.29359298245614035</v>
      </c>
      <c r="N77" s="68">
        <v>1</v>
      </c>
      <c r="P77" s="69"/>
    </row>
    <row r="78" spans="2:57" ht="15">
      <c r="B78" s="22" t="s">
        <v>33</v>
      </c>
      <c r="C78" s="65"/>
      <c r="D78" s="76">
        <v>4.786281034041461</v>
      </c>
      <c r="E78" s="76">
        <v>4.9619586520196597</v>
      </c>
      <c r="F78" s="66">
        <v>3.3</v>
      </c>
      <c r="G78" s="65"/>
      <c r="H78" s="76">
        <v>5.4251963146907434</v>
      </c>
      <c r="I78" s="76">
        <v>4.9501867212112511</v>
      </c>
      <c r="J78" s="66">
        <v>3.3</v>
      </c>
      <c r="K78" s="67"/>
      <c r="L78" s="194">
        <v>1.3052631578947369</v>
      </c>
      <c r="M78" s="194">
        <v>0.88064327485380123</v>
      </c>
      <c r="N78" s="68">
        <v>1</v>
      </c>
      <c r="P78" s="69"/>
    </row>
    <row r="79" spans="2:57" ht="15">
      <c r="B79" s="35" t="s">
        <v>164</v>
      </c>
      <c r="C79" s="65"/>
      <c r="D79" s="76"/>
      <c r="E79" s="76"/>
      <c r="F79" s="66">
        <v>3.3</v>
      </c>
      <c r="G79" s="282"/>
      <c r="H79" s="76"/>
      <c r="I79" s="76"/>
      <c r="J79" s="66">
        <v>3</v>
      </c>
      <c r="K79" s="67"/>
      <c r="L79" s="194"/>
      <c r="M79" s="194"/>
      <c r="N79" s="68">
        <v>1</v>
      </c>
      <c r="P79" s="69"/>
    </row>
    <row r="80" spans="2:57" ht="15">
      <c r="B80" s="36" t="s">
        <v>15</v>
      </c>
      <c r="C80" s="65"/>
      <c r="D80" s="76"/>
      <c r="E80" s="76">
        <v>5.1105651105651271</v>
      </c>
      <c r="F80" s="70">
        <f>[15]May_2022!$M$43</f>
        <v>3.4878406700073312</v>
      </c>
      <c r="G80" s="282"/>
      <c r="H80" s="76"/>
      <c r="I80" s="76">
        <v>7.9131369535794072</v>
      </c>
      <c r="J80" s="66">
        <v>5.5</v>
      </c>
      <c r="K80" s="67"/>
      <c r="L80" s="194"/>
      <c r="M80" s="194">
        <v>1.3550877192982456</v>
      </c>
      <c r="N80" s="68">
        <v>1</v>
      </c>
      <c r="P80" s="69"/>
    </row>
    <row r="81" spans="2:16" ht="15">
      <c r="B81" s="37" t="s">
        <v>16</v>
      </c>
      <c r="C81" s="65"/>
      <c r="D81" s="76">
        <v>3.990890358963231</v>
      </c>
      <c r="E81" s="76">
        <v>3.9654240950837436</v>
      </c>
      <c r="F81" s="66">
        <v>3.3</v>
      </c>
      <c r="G81" s="282"/>
      <c r="H81" s="76">
        <v>7.5259787647367338</v>
      </c>
      <c r="I81" s="76">
        <v>6.1323263986468994</v>
      </c>
      <c r="J81" s="66">
        <v>3.3</v>
      </c>
      <c r="K81" s="67"/>
      <c r="L81" s="194">
        <v>1.0967836257309942</v>
      </c>
      <c r="M81" s="194">
        <v>0.93295906432748543</v>
      </c>
      <c r="N81" s="71">
        <v>1</v>
      </c>
      <c r="P81" s="69"/>
    </row>
    <row r="82" spans="2:16" ht="15.75" thickBot="1">
      <c r="B82" s="38" t="s">
        <v>163</v>
      </c>
      <c r="C82" s="65"/>
      <c r="D82" s="76"/>
      <c r="E82" s="76"/>
      <c r="F82" s="66">
        <v>7.5</v>
      </c>
      <c r="G82" s="282"/>
      <c r="H82" s="76"/>
      <c r="I82" s="76"/>
      <c r="J82" s="66">
        <v>7.5</v>
      </c>
      <c r="K82" s="67"/>
      <c r="L82" s="194"/>
      <c r="M82" s="194"/>
      <c r="N82" s="71">
        <v>1</v>
      </c>
      <c r="P82" s="69"/>
    </row>
    <row r="83" spans="2:16" ht="15.75" thickBot="1">
      <c r="B83" s="414" t="s">
        <v>161</v>
      </c>
      <c r="C83" s="65"/>
      <c r="D83" s="76"/>
      <c r="E83" s="76"/>
      <c r="F83" s="66">
        <v>4.8</v>
      </c>
      <c r="G83" s="282"/>
      <c r="H83" s="76"/>
      <c r="I83" s="76"/>
      <c r="J83" s="66">
        <v>4.8</v>
      </c>
      <c r="K83" s="67"/>
      <c r="L83" s="194"/>
      <c r="M83" s="194"/>
      <c r="N83" s="71">
        <v>1</v>
      </c>
      <c r="O83" s="74"/>
      <c r="P83" s="75"/>
    </row>
    <row r="84" spans="2:16" ht="15">
      <c r="D84" s="76">
        <v>6.579241291407695</v>
      </c>
      <c r="E84" s="76">
        <v>6.7581438606429041</v>
      </c>
      <c r="F84" s="341">
        <v>5.5</v>
      </c>
      <c r="H84" s="76">
        <v>7.247277298266452</v>
      </c>
      <c r="I84" s="76">
        <v>7.1686832894353127</v>
      </c>
      <c r="J84" s="341">
        <v>5.5</v>
      </c>
      <c r="L84" s="194">
        <v>0.65401763668430335</v>
      </c>
      <c r="M84" s="194">
        <v>0.50592007101086045</v>
      </c>
      <c r="N84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31:N31"/>
    <mergeCell ref="D32:E32"/>
    <mergeCell ref="B33:B44"/>
    <mergeCell ref="D33:E34"/>
    <mergeCell ref="D35:E36"/>
    <mergeCell ref="D37:E38"/>
    <mergeCell ref="D39:E40"/>
    <mergeCell ref="D41:E42"/>
    <mergeCell ref="D43:E44"/>
    <mergeCell ref="B45:B54"/>
    <mergeCell ref="D45:E46"/>
    <mergeCell ref="J45:K45"/>
    <mergeCell ref="L46:N46"/>
    <mergeCell ref="D47:E48"/>
    <mergeCell ref="D49:E50"/>
    <mergeCell ref="D51:E52"/>
    <mergeCell ref="D53:E54"/>
    <mergeCell ref="D55:E55"/>
    <mergeCell ref="B60:B61"/>
    <mergeCell ref="C60:C61"/>
    <mergeCell ref="D60:D61"/>
    <mergeCell ref="E60:E61"/>
    <mergeCell ref="M60:M61"/>
    <mergeCell ref="B73:F73"/>
    <mergeCell ref="G73:J73"/>
    <mergeCell ref="K73:N73"/>
    <mergeCell ref="G60:G61"/>
    <mergeCell ref="H60:H61"/>
    <mergeCell ref="I60:I61"/>
    <mergeCell ref="J60:J61"/>
    <mergeCell ref="K60:K61"/>
    <mergeCell ref="L60:L61"/>
    <mergeCell ref="F60:F61"/>
  </mergeCells>
  <conditionalFormatting sqref="B55:B56">
    <cfRule type="cellIs" dxfId="815" priority="76" operator="notBetween">
      <formula>#REF!</formula>
      <formula>#REF!</formula>
    </cfRule>
  </conditionalFormatting>
  <conditionalFormatting sqref="C59">
    <cfRule type="cellIs" dxfId="814" priority="170" stopIfTrue="1" operator="lessThan">
      <formula>96</formula>
    </cfRule>
    <cfRule type="cellIs" dxfId="813" priority="171" stopIfTrue="1" operator="greaterThan">
      <formula>100</formula>
    </cfRule>
  </conditionalFormatting>
  <conditionalFormatting sqref="C75:C79">
    <cfRule type="cellIs" dxfId="812" priority="139" stopIfTrue="1" operator="lessThanOrEqual">
      <formula>0</formula>
    </cfRule>
  </conditionalFormatting>
  <conditionalFormatting sqref="C75:C83">
    <cfRule type="cellIs" dxfId="811" priority="138" stopIfTrue="1" operator="greaterThan">
      <formula>$F75</formula>
    </cfRule>
  </conditionalFormatting>
  <conditionalFormatting sqref="C76">
    <cfRule type="cellIs" dxfId="810" priority="172" stopIfTrue="1" operator="greaterThan">
      <formula>$F75</formula>
    </cfRule>
  </conditionalFormatting>
  <conditionalFormatting sqref="C80">
    <cfRule type="cellIs" dxfId="809" priority="100" stopIfTrue="1" operator="lessThanOrEqual">
      <formula>0</formula>
    </cfRule>
    <cfRule type="cellIs" dxfId="808" priority="101" stopIfTrue="1" operator="greaterThan">
      <formula>$F79</formula>
    </cfRule>
  </conditionalFormatting>
  <conditionalFormatting sqref="C81:C83">
    <cfRule type="cellIs" dxfId="807" priority="140" stopIfTrue="1" operator="lessThanOrEqual">
      <formula>0</formula>
    </cfRule>
  </conditionalFormatting>
  <conditionalFormatting sqref="C86:C90">
    <cfRule type="cellIs" dxfId="806" priority="162" stopIfTrue="1" operator="lessThanOrEqual">
      <formula>0</formula>
    </cfRule>
  </conditionalFormatting>
  <conditionalFormatting sqref="C87:C90">
    <cfRule type="cellIs" dxfId="805" priority="161" stopIfTrue="1" operator="greaterThan">
      <formula>$F$86</formula>
    </cfRule>
  </conditionalFormatting>
  <conditionalFormatting sqref="C92">
    <cfRule type="cellIs" dxfId="804" priority="163" stopIfTrue="1" operator="greaterThan">
      <formula>$F$86</formula>
    </cfRule>
    <cfRule type="cellIs" dxfId="803" priority="164" stopIfTrue="1" operator="lessThanOrEqual">
      <formula>0</formula>
    </cfRule>
  </conditionalFormatting>
  <conditionalFormatting sqref="C86:D86 D88:D94">
    <cfRule type="cellIs" dxfId="802" priority="156" stopIfTrue="1" operator="greaterThan">
      <formula>4.5</formula>
    </cfRule>
  </conditionalFormatting>
  <conditionalFormatting sqref="D55:D56">
    <cfRule type="cellIs" dxfId="801" priority="77" operator="notBetween">
      <formula>#REF!</formula>
      <formula>#REF!</formula>
    </cfRule>
  </conditionalFormatting>
  <conditionalFormatting sqref="D75:D82">
    <cfRule type="cellIs" dxfId="800" priority="51" stopIfTrue="1" operator="lessThanOrEqual">
      <formula>0</formula>
    </cfRule>
  </conditionalFormatting>
  <conditionalFormatting sqref="D75:D84">
    <cfRule type="cellIs" dxfId="799" priority="30" stopIfTrue="1" operator="lessThanOrEqual">
      <formula>0</formula>
    </cfRule>
  </conditionalFormatting>
  <conditionalFormatting sqref="D83">
    <cfRule type="cellIs" dxfId="798" priority="50" stopIfTrue="1" operator="lessThanOrEqual">
      <formula>0</formula>
    </cfRule>
  </conditionalFormatting>
  <conditionalFormatting sqref="D84">
    <cfRule type="cellIs" dxfId="797" priority="45" stopIfTrue="1" operator="lessThanOrEqual">
      <formula>0</formula>
    </cfRule>
  </conditionalFormatting>
  <conditionalFormatting sqref="D86 D88:D94">
    <cfRule type="cellIs" dxfId="796" priority="157" stopIfTrue="1" operator="lessThanOrEqual">
      <formula>0</formula>
    </cfRule>
  </conditionalFormatting>
  <conditionalFormatting sqref="D87">
    <cfRule type="cellIs" dxfId="795" priority="149" stopIfTrue="1" operator="lessThanOrEqual">
      <formula>0</formula>
    </cfRule>
    <cfRule type="cellIs" dxfId="794" priority="148" stopIfTrue="1" operator="greaterThan">
      <formula>$F$86</formula>
    </cfRule>
  </conditionalFormatting>
  <conditionalFormatting sqref="D75:E84">
    <cfRule type="cellIs" dxfId="793" priority="32" stopIfTrue="1" operator="greaterThan">
      <formula>$F75</formula>
    </cfRule>
  </conditionalFormatting>
  <conditionalFormatting sqref="D84:E84">
    <cfRule type="cellIs" dxfId="792" priority="34" stopIfTrue="1" operator="lessThanOrEqual">
      <formula>0</formula>
    </cfRule>
  </conditionalFormatting>
  <conditionalFormatting sqref="E10:E30">
    <cfRule type="cellIs" dxfId="791" priority="21" operator="lessThan">
      <formula>48</formula>
    </cfRule>
  </conditionalFormatting>
  <conditionalFormatting sqref="E58 E59:F59">
    <cfRule type="cellIs" dxfId="790" priority="153" stopIfTrue="1" operator="greaterThan">
      <formula>100</formula>
    </cfRule>
  </conditionalFormatting>
  <conditionalFormatting sqref="E59">
    <cfRule type="cellIs" dxfId="789" priority="151" stopIfTrue="1" operator="greaterThan">
      <formula>100</formula>
    </cfRule>
    <cfRule type="cellIs" dxfId="788" priority="150" stopIfTrue="1" operator="lessThan">
      <formula>96.8</formula>
    </cfRule>
  </conditionalFormatting>
  <conditionalFormatting sqref="E75:E83">
    <cfRule type="cellIs" dxfId="787" priority="31" stopIfTrue="1" operator="lessThanOrEqual">
      <formula>0</formula>
    </cfRule>
  </conditionalFormatting>
  <conditionalFormatting sqref="E75:E84">
    <cfRule type="cellIs" dxfId="786" priority="33" stopIfTrue="1" operator="lessThanOrEqual">
      <formula>0</formula>
    </cfRule>
  </conditionalFormatting>
  <conditionalFormatting sqref="E86:E94">
    <cfRule type="cellIs" dxfId="785" priority="142" stopIfTrue="1" operator="greaterThan">
      <formula>4.5</formula>
    </cfRule>
    <cfRule type="cellIs" dxfId="784" priority="143" stopIfTrue="1" operator="lessThanOrEqual">
      <formula>0</formula>
    </cfRule>
  </conditionalFormatting>
  <conditionalFormatting sqref="E59:F59 E58">
    <cfRule type="cellIs" dxfId="783" priority="152" stopIfTrue="1" operator="lessThan">
      <formula>96.5</formula>
    </cfRule>
  </conditionalFormatting>
  <conditionalFormatting sqref="F10:F21 F24 F28:F30">
    <cfRule type="cellIs" dxfId="782" priority="26" operator="greaterThan">
      <formula>60</formula>
    </cfRule>
  </conditionalFormatting>
  <conditionalFormatting sqref="F59">
    <cfRule type="cellIs" dxfId="781" priority="169" stopIfTrue="1" operator="greaterThan">
      <formula>100</formula>
    </cfRule>
    <cfRule type="cellIs" dxfId="780" priority="168" stopIfTrue="1" operator="lessThan">
      <formula>96.8</formula>
    </cfRule>
  </conditionalFormatting>
  <conditionalFormatting sqref="F84">
    <cfRule type="cellIs" dxfId="779" priority="48" stopIfTrue="1" operator="greaterThan">
      <formula>$F84</formula>
    </cfRule>
    <cfRule type="cellIs" dxfId="778" priority="49" stopIfTrue="1" operator="lessThanOrEqual">
      <formula>0</formula>
    </cfRule>
  </conditionalFormatting>
  <conditionalFormatting sqref="G10:G21 G24:G30">
    <cfRule type="expression" dxfId="777" priority="23">
      <formula>IF(+(IF(G10&lt;S10,0,IF(G10&gt;T10,0,1)))=0,1)</formula>
    </cfRule>
  </conditionalFormatting>
  <conditionalFormatting sqref="G75:G76">
    <cfRule type="cellIs" dxfId="776" priority="52" stopIfTrue="1" operator="greaterThan">
      <formula>$F75</formula>
    </cfRule>
    <cfRule type="cellIs" dxfId="775" priority="53" stopIfTrue="1" operator="lessThanOrEqual">
      <formula>0</formula>
    </cfRule>
    <cfRule type="cellIs" dxfId="774" priority="46" stopIfTrue="1" operator="greaterThan">
      <formula>$F75</formula>
    </cfRule>
    <cfRule type="cellIs" dxfId="773" priority="47" stopIfTrue="1" operator="lessThanOrEqual">
      <formula>0</formula>
    </cfRule>
  </conditionalFormatting>
  <conditionalFormatting sqref="G77">
    <cfRule type="containsErrors" dxfId="772" priority="13" stopIfTrue="1">
      <formula>ISERROR(G77)</formula>
    </cfRule>
  </conditionalFormatting>
  <conditionalFormatting sqref="G78">
    <cfRule type="cellIs" dxfId="771" priority="41" stopIfTrue="1" operator="lessThanOrEqual">
      <formula>0</formula>
    </cfRule>
    <cfRule type="cellIs" dxfId="770" priority="38" stopIfTrue="1" operator="greaterThan">
      <formula>$F78</formula>
    </cfRule>
    <cfRule type="cellIs" dxfId="769" priority="39" stopIfTrue="1" operator="lessThanOrEqual">
      <formula>0</formula>
    </cfRule>
    <cfRule type="cellIs" dxfId="768" priority="40" stopIfTrue="1" operator="greaterThan">
      <formula>$F78</formula>
    </cfRule>
  </conditionalFormatting>
  <conditionalFormatting sqref="G79:G83">
    <cfRule type="cellIs" dxfId="767" priority="54" stopIfTrue="1" operator="greaterThan">
      <formula>$J79</formula>
    </cfRule>
    <cfRule type="cellIs" dxfId="766" priority="55" stopIfTrue="1" operator="lessThanOrEqual">
      <formula>0</formula>
    </cfRule>
  </conditionalFormatting>
  <conditionalFormatting sqref="G88:G93 C91 C93">
    <cfRule type="cellIs" dxfId="765" priority="166" stopIfTrue="1" operator="lessThanOrEqual">
      <formula>0</formula>
    </cfRule>
    <cfRule type="cellIs" dxfId="764" priority="165" stopIfTrue="1" operator="greaterThan">
      <formula>4.5</formula>
    </cfRule>
  </conditionalFormatting>
  <conditionalFormatting sqref="G87:H87">
    <cfRule type="cellIs" dxfId="763" priority="147" stopIfTrue="1" operator="lessThanOrEqual">
      <formula>0</formula>
    </cfRule>
    <cfRule type="cellIs" dxfId="762" priority="146" stopIfTrue="1" operator="greaterThan">
      <formula>$F$86</formula>
    </cfRule>
  </conditionalFormatting>
  <conditionalFormatting sqref="H44:H45 H58">
    <cfRule type="cellIs" dxfId="761" priority="144" stopIfTrue="1" operator="greaterThan">
      <formula>0</formula>
    </cfRule>
  </conditionalFormatting>
  <conditionalFormatting sqref="H62:H66">
    <cfRule type="cellIs" dxfId="760" priority="59" stopIfTrue="1" operator="lessThanOrEqual">
      <formula>0</formula>
    </cfRule>
    <cfRule type="cellIs" dxfId="759" priority="60" stopIfTrue="1" operator="greaterThan">
      <formula>$F$75</formula>
    </cfRule>
    <cfRule type="cellIs" dxfId="758" priority="68" stopIfTrue="1" operator="greaterThan">
      <formula>$F$78</formula>
    </cfRule>
    <cfRule type="cellIs" dxfId="757" priority="69" stopIfTrue="1" operator="lessThanOrEqual">
      <formula>0</formula>
    </cfRule>
    <cfRule type="cellIs" dxfId="756" priority="70" stopIfTrue="1" operator="greaterThan">
      <formula>$F$76</formula>
    </cfRule>
    <cfRule type="cellIs" dxfId="755" priority="71" stopIfTrue="1" operator="lessThanOrEqual">
      <formula>0</formula>
    </cfRule>
  </conditionalFormatting>
  <conditionalFormatting sqref="H67:H68">
    <cfRule type="cellIs" dxfId="754" priority="112" stopIfTrue="1" operator="greaterThan">
      <formula>$F$30</formula>
    </cfRule>
    <cfRule type="cellIs" dxfId="753" priority="115" stopIfTrue="1" operator="lessThanOrEqual">
      <formula>0</formula>
    </cfRule>
    <cfRule type="cellIs" dxfId="752" priority="103" stopIfTrue="1" operator="lessThanOrEqual">
      <formula>0</formula>
    </cfRule>
    <cfRule type="cellIs" dxfId="751" priority="113" stopIfTrue="1" operator="lessThanOrEqual">
      <formula>0</formula>
    </cfRule>
    <cfRule type="cellIs" dxfId="750" priority="114" stopIfTrue="1" operator="greaterThan">
      <formula>#REF!</formula>
    </cfRule>
    <cfRule type="cellIs" dxfId="749" priority="104" stopIfTrue="1" operator="greaterThan">
      <formula>#REF!</formula>
    </cfRule>
  </conditionalFormatting>
  <conditionalFormatting sqref="H69">
    <cfRule type="cellIs" dxfId="748" priority="127" stopIfTrue="1" operator="lessThanOrEqual">
      <formula>0</formula>
    </cfRule>
    <cfRule type="cellIs" dxfId="747" priority="126" stopIfTrue="1" operator="greaterThan">
      <formula>$F$46</formula>
    </cfRule>
    <cfRule type="cellIs" dxfId="746" priority="118" stopIfTrue="1" operator="greaterThan">
      <formula>$F$43</formula>
    </cfRule>
    <cfRule type="cellIs" dxfId="745" priority="117" stopIfTrue="1" operator="lessThanOrEqual">
      <formula>0</formula>
    </cfRule>
    <cfRule type="cellIs" dxfId="744" priority="128" stopIfTrue="1" operator="greaterThan">
      <formula>$F$44</formula>
    </cfRule>
    <cfRule type="cellIs" dxfId="743" priority="129" stopIfTrue="1" operator="lessThanOrEqual">
      <formula>0</formula>
    </cfRule>
  </conditionalFormatting>
  <conditionalFormatting sqref="H70:H71">
    <cfRule type="cellIs" dxfId="742" priority="96" stopIfTrue="1" operator="greaterThan">
      <formula>$F$30</formula>
    </cfRule>
    <cfRule type="cellIs" dxfId="741" priority="97" stopIfTrue="1" operator="lessThanOrEqual">
      <formula>0</formula>
    </cfRule>
    <cfRule type="cellIs" dxfId="740" priority="98" stopIfTrue="1" operator="greaterThan">
      <formula>#REF!</formula>
    </cfRule>
    <cfRule type="cellIs" dxfId="739" priority="99" stopIfTrue="1" operator="lessThanOrEqual">
      <formula>0</formula>
    </cfRule>
    <cfRule type="cellIs" dxfId="738" priority="87" stopIfTrue="1" operator="lessThanOrEqual">
      <formula>0</formula>
    </cfRule>
    <cfRule type="cellIs" dxfId="737" priority="88" stopIfTrue="1" operator="greaterThan">
      <formula>#REF!</formula>
    </cfRule>
  </conditionalFormatting>
  <conditionalFormatting sqref="H86 H88:H94">
    <cfRule type="cellIs" dxfId="736" priority="158" stopIfTrue="1" operator="greaterThan">
      <formula>4.5</formula>
    </cfRule>
    <cfRule type="cellIs" dxfId="735" priority="159" stopIfTrue="1" operator="lessThanOrEqual">
      <formula>0</formula>
    </cfRule>
  </conditionalFormatting>
  <conditionalFormatting sqref="H62:I66">
    <cfRule type="cellIs" dxfId="734" priority="58" stopIfTrue="1" operator="greaterThan">
      <formula>$F$77</formula>
    </cfRule>
    <cfRule type="cellIs" dxfId="733" priority="61" stopIfTrue="1" operator="lessThanOrEqual">
      <formula>0</formula>
    </cfRule>
  </conditionalFormatting>
  <conditionalFormatting sqref="H67:I68">
    <cfRule type="cellIs" dxfId="732" priority="102" stopIfTrue="1" operator="greaterThan">
      <formula>#REF!</formula>
    </cfRule>
    <cfRule type="cellIs" dxfId="731" priority="105" stopIfTrue="1" operator="lessThanOrEqual">
      <formula>0</formula>
    </cfRule>
  </conditionalFormatting>
  <conditionalFormatting sqref="H69:I69">
    <cfRule type="cellIs" dxfId="730" priority="116" stopIfTrue="1" operator="greaterThan">
      <formula>$F$45</formula>
    </cfRule>
    <cfRule type="cellIs" dxfId="729" priority="119" stopIfTrue="1" operator="lessThanOrEqual">
      <formula>0</formula>
    </cfRule>
  </conditionalFormatting>
  <conditionalFormatting sqref="H70:I71">
    <cfRule type="cellIs" dxfId="728" priority="89" stopIfTrue="1" operator="lessThanOrEqual">
      <formula>0</formula>
    </cfRule>
    <cfRule type="cellIs" dxfId="727" priority="86" stopIfTrue="1" operator="greaterThan">
      <formula>#REF!</formula>
    </cfRule>
  </conditionalFormatting>
  <conditionalFormatting sqref="H75:I82">
    <cfRule type="cellIs" dxfId="726" priority="28" stopIfTrue="1" operator="greaterThan">
      <formula>$J75</formula>
    </cfRule>
    <cfRule type="cellIs" dxfId="725" priority="29" stopIfTrue="1" operator="lessThanOrEqual">
      <formula>0</formula>
    </cfRule>
  </conditionalFormatting>
  <conditionalFormatting sqref="H83:I83">
    <cfRule type="cellIs" dxfId="724" priority="37" operator="greaterThan">
      <formula>5.3</formula>
    </cfRule>
  </conditionalFormatting>
  <conditionalFormatting sqref="H84:I84">
    <cfRule type="cellIs" dxfId="723" priority="35" stopIfTrue="1" operator="greaterThan">
      <formula>$J84</formula>
    </cfRule>
    <cfRule type="cellIs" dxfId="722" priority="36" stopIfTrue="1" operator="lessThanOrEqual">
      <formula>0</formula>
    </cfRule>
  </conditionalFormatting>
  <conditionalFormatting sqref="I62:I66">
    <cfRule type="cellIs" dxfId="721" priority="63" stopIfTrue="1" operator="lessThanOrEqual">
      <formula>0</formula>
    </cfRule>
    <cfRule type="cellIs" dxfId="720" priority="64" stopIfTrue="1" operator="greaterThan">
      <formula>$F$77</formula>
    </cfRule>
    <cfRule type="cellIs" dxfId="719" priority="65" stopIfTrue="1" operator="lessThanOrEqual">
      <formula>0</formula>
    </cfRule>
    <cfRule type="cellIs" dxfId="718" priority="66" stopIfTrue="1" operator="greaterThan">
      <formula>$F$75</formula>
    </cfRule>
    <cfRule type="cellIs" dxfId="717" priority="67" stopIfTrue="1" operator="lessThanOrEqual">
      <formula>0</formula>
    </cfRule>
    <cfRule type="cellIs" dxfId="716" priority="62" stopIfTrue="1" operator="greaterThan">
      <formula>$F$75</formula>
    </cfRule>
  </conditionalFormatting>
  <conditionalFormatting sqref="I67:I68">
    <cfRule type="cellIs" dxfId="715" priority="110" stopIfTrue="1" operator="greaterThan">
      <formula>#REF!</formula>
    </cfRule>
    <cfRule type="cellIs" dxfId="714" priority="109" stopIfTrue="1" operator="lessThanOrEqual">
      <formula>0</formula>
    </cfRule>
    <cfRule type="cellIs" dxfId="713" priority="108" stopIfTrue="1" operator="greaterThan">
      <formula>#REF!</formula>
    </cfRule>
    <cfRule type="cellIs" dxfId="712" priority="106" stopIfTrue="1" operator="greaterThan">
      <formula>#REF!</formula>
    </cfRule>
    <cfRule type="cellIs" dxfId="711" priority="107" stopIfTrue="1" operator="lessThanOrEqual">
      <formula>0</formula>
    </cfRule>
    <cfRule type="cellIs" dxfId="710" priority="111" stopIfTrue="1" operator="lessThanOrEqual">
      <formula>0</formula>
    </cfRule>
  </conditionalFormatting>
  <conditionalFormatting sqref="I69">
    <cfRule type="cellIs" dxfId="709" priority="120" stopIfTrue="1" operator="greaterThan">
      <formula>$F$43</formula>
    </cfRule>
    <cfRule type="cellIs" dxfId="708" priority="121" stopIfTrue="1" operator="lessThanOrEqual">
      <formula>0</formula>
    </cfRule>
    <cfRule type="cellIs" dxfId="707" priority="122" stopIfTrue="1" operator="greaterThan">
      <formula>$F$45</formula>
    </cfRule>
    <cfRule type="cellIs" dxfId="706" priority="123" stopIfTrue="1" operator="lessThanOrEqual">
      <formula>0</formula>
    </cfRule>
    <cfRule type="cellIs" dxfId="705" priority="124" stopIfTrue="1" operator="greaterThan">
      <formula>$F$43</formula>
    </cfRule>
    <cfRule type="cellIs" dxfId="704" priority="125" stopIfTrue="1" operator="lessThanOrEqual">
      <formula>0</formula>
    </cfRule>
  </conditionalFormatting>
  <conditionalFormatting sqref="I70:I71">
    <cfRule type="cellIs" dxfId="703" priority="94" stopIfTrue="1" operator="greaterThan">
      <formula>#REF!</formula>
    </cfRule>
    <cfRule type="cellIs" dxfId="702" priority="91" stopIfTrue="1" operator="lessThanOrEqual">
      <formula>0</formula>
    </cfRule>
    <cfRule type="cellIs" dxfId="701" priority="90" stopIfTrue="1" operator="greaterThan">
      <formula>#REF!</formula>
    </cfRule>
    <cfRule type="cellIs" dxfId="700" priority="92" stopIfTrue="1" operator="greaterThan">
      <formula>#REF!</formula>
    </cfRule>
    <cfRule type="cellIs" dxfId="699" priority="93" stopIfTrue="1" operator="lessThanOrEqual">
      <formula>0</formula>
    </cfRule>
    <cfRule type="cellIs" dxfId="698" priority="95" stopIfTrue="1" operator="lessThanOrEqual">
      <formula>0</formula>
    </cfRule>
  </conditionalFormatting>
  <conditionalFormatting sqref="I86:I94">
    <cfRule type="cellIs" dxfId="697" priority="155" stopIfTrue="1" operator="lessThanOrEqual">
      <formula>0</formula>
    </cfRule>
    <cfRule type="cellIs" dxfId="696" priority="154" stopIfTrue="1" operator="greaterThan">
      <formula>4.5</formula>
    </cfRule>
  </conditionalFormatting>
  <conditionalFormatting sqref="I10:J30">
    <cfRule type="cellIs" dxfId="695" priority="15" operator="lessThan">
      <formula>97.9</formula>
    </cfRule>
  </conditionalFormatting>
  <conditionalFormatting sqref="J33">
    <cfRule type="cellIs" dxfId="694" priority="57" operator="lessThan">
      <formula>97.95</formula>
    </cfRule>
  </conditionalFormatting>
  <conditionalFormatting sqref="J35">
    <cfRule type="cellIs" dxfId="693" priority="132" stopIfTrue="1" operator="greaterThan">
      <formula>100</formula>
    </cfRule>
    <cfRule type="cellIs" dxfId="692" priority="131" stopIfTrue="1" operator="lessThan">
      <formula>96.8</formula>
    </cfRule>
    <cfRule type="cellIs" dxfId="691" priority="133" operator="lessThan">
      <formula>98</formula>
    </cfRule>
  </conditionalFormatting>
  <conditionalFormatting sqref="J35:J37">
    <cfRule type="cellIs" dxfId="690" priority="130" operator="lessThan">
      <formula>97.4</formula>
    </cfRule>
  </conditionalFormatting>
  <conditionalFormatting sqref="J38:J39">
    <cfRule type="cellIs" dxfId="689" priority="134" operator="lessThan">
      <formula>98</formula>
    </cfRule>
  </conditionalFormatting>
  <conditionalFormatting sqref="J40:J41">
    <cfRule type="cellIs" dxfId="688" priority="136" stopIfTrue="1" operator="greaterThan">
      <formula>100</formula>
    </cfRule>
    <cfRule type="cellIs" dxfId="687" priority="135" stopIfTrue="1" operator="lessThan">
      <formula>96.8</formula>
    </cfRule>
  </conditionalFormatting>
  <conditionalFormatting sqref="J40:J42">
    <cfRule type="cellIs" dxfId="686" priority="137" operator="lessThan">
      <formula>98</formula>
    </cfRule>
  </conditionalFormatting>
  <conditionalFormatting sqref="J71">
    <cfRule type="cellIs" dxfId="685" priority="80" stopIfTrue="1" operator="greaterThan">
      <formula>#REF!</formula>
    </cfRule>
    <cfRule type="cellIs" dxfId="684" priority="81" stopIfTrue="1" operator="lessThanOrEqual">
      <formula>0</formula>
    </cfRule>
    <cfRule type="cellIs" dxfId="683" priority="78" stopIfTrue="1" operator="greaterThan">
      <formula>#REF!</formula>
    </cfRule>
    <cfRule type="cellIs" dxfId="682" priority="79" stopIfTrue="1" operator="lessThanOrEqual">
      <formula>0</formula>
    </cfRule>
    <cfRule type="cellIs" dxfId="681" priority="85" stopIfTrue="1" operator="lessThanOrEqual">
      <formula>0</formula>
    </cfRule>
    <cfRule type="cellIs" dxfId="680" priority="84" stopIfTrue="1" operator="greaterThan">
      <formula>#REF!</formula>
    </cfRule>
    <cfRule type="cellIs" dxfId="679" priority="83" stopIfTrue="1" operator="lessThanOrEqual">
      <formula>0</formula>
    </cfRule>
    <cfRule type="cellIs" dxfId="678" priority="82" stopIfTrue="1" operator="greaterThan">
      <formula>#REF!</formula>
    </cfRule>
  </conditionalFormatting>
  <conditionalFormatting sqref="J84">
    <cfRule type="cellIs" dxfId="677" priority="43" stopIfTrue="1" operator="lessThanOrEqual">
      <formula>0</formula>
    </cfRule>
    <cfRule type="cellIs" dxfId="676" priority="42" stopIfTrue="1" operator="greaterThan">
      <formula>$F84</formula>
    </cfRule>
  </conditionalFormatting>
  <conditionalFormatting sqref="K10:K30">
    <cfRule type="cellIs" dxfId="675" priority="18" operator="greaterThan">
      <formula>6.4</formula>
    </cfRule>
    <cfRule type="cellIs" dxfId="674" priority="17" operator="lessThan">
      <formula>4</formula>
    </cfRule>
    <cfRule type="cellIs" dxfId="673" priority="16" operator="greaterThan">
      <formula>6</formula>
    </cfRule>
  </conditionalFormatting>
  <conditionalFormatting sqref="K62:K71">
    <cfRule type="cellIs" dxfId="672" priority="72" stopIfTrue="1" operator="lessThan">
      <formula>100%</formula>
    </cfRule>
  </conditionalFormatting>
  <conditionalFormatting sqref="K86:K91">
    <cfRule type="cellIs" dxfId="671" priority="160" stopIfTrue="1" operator="lessThan">
      <formula>100%</formula>
    </cfRule>
  </conditionalFormatting>
  <conditionalFormatting sqref="K93:K94">
    <cfRule type="cellIs" dxfId="670" priority="167" stopIfTrue="1" operator="lessThan">
      <formula>100%</formula>
    </cfRule>
  </conditionalFormatting>
  <conditionalFormatting sqref="K75:M83">
    <cfRule type="cellIs" dxfId="669" priority="27" stopIfTrue="1" operator="lessThan">
      <formula>100%</formula>
    </cfRule>
  </conditionalFormatting>
  <conditionalFormatting sqref="L10:L30">
    <cfRule type="cellIs" dxfId="668" priority="20" operator="greaterThan">
      <formula>65</formula>
    </cfRule>
    <cfRule type="cellIs" dxfId="667" priority="19" operator="between">
      <formula>61</formula>
      <formula>65</formula>
    </cfRule>
  </conditionalFormatting>
  <conditionalFormatting sqref="L33:M44">
    <cfRule type="cellIs" dxfId="666" priority="74" operator="lessThan">
      <formula>97.95</formula>
    </cfRule>
  </conditionalFormatting>
  <conditionalFormatting sqref="L84:M84">
    <cfRule type="cellIs" dxfId="665" priority="44" stopIfTrue="1" operator="lessThan">
      <formula>100%</formula>
    </cfRule>
  </conditionalFormatting>
  <conditionalFormatting sqref="L48:N48">
    <cfRule type="cellIs" dxfId="664" priority="75" operator="notEqual">
      <formula>#REF!</formula>
    </cfRule>
  </conditionalFormatting>
  <conditionalFormatting sqref="L86:N94">
    <cfRule type="cellIs" dxfId="663" priority="145" stopIfTrue="1" operator="lessThan">
      <formula>100%</formula>
    </cfRule>
  </conditionalFormatting>
  <conditionalFormatting sqref="M10:M21 M24:M28">
    <cfRule type="expression" dxfId="662" priority="25">
      <formula>IF(+(IF(M10&lt;U10,0,IF(M10&gt;V10,0,1)))=0,1)</formula>
    </cfRule>
  </conditionalFormatting>
  <conditionalFormatting sqref="M10:N15 H10:H30 G22:G23 M22:N24">
    <cfRule type="expression" dxfId="661" priority="22">
      <formula>IF(+(IF(G10&lt;#REF!,0,IF(G10&gt;#REF!,0,1)))=0,1)</formula>
    </cfRule>
  </conditionalFormatting>
  <conditionalFormatting sqref="M29:N30">
    <cfRule type="expression" dxfId="660" priority="73">
      <formula>IF(+(IF(M29&lt;#REF!,0,IF(M29&gt;#REF!,0,1)))=0,1)</formula>
    </cfRule>
  </conditionalFormatting>
  <conditionalFormatting sqref="N10:N21 N24:N28">
    <cfRule type="expression" dxfId="659" priority="24">
      <formula>IF(+(IF(N10&lt;W10,0,IF(N10&gt;X10,0,1)))=0,1)</formula>
    </cfRule>
  </conditionalFormatting>
  <conditionalFormatting sqref="N75:N84">
    <cfRule type="cellIs" dxfId="658" priority="56" stopIfTrue="1" operator="lessThan">
      <formula>100%</formula>
    </cfRule>
  </conditionalFormatting>
  <conditionalFormatting sqref="P6">
    <cfRule type="cellIs" dxfId="657" priority="141" operator="greaterThanOrEqual">
      <formula>19</formula>
    </cfRule>
  </conditionalFormatting>
  <dataValidations count="1">
    <dataValidation type="list" allowBlank="1" showInputMessage="1" showErrorMessage="1" sqref="R8" xr:uid="{FDD3E04A-6E35-4BD5-9C64-8C45A1EC1E16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8" max="16383" man="1"/>
  </rowBreaks>
  <colBreaks count="1" manualBreakCount="1">
    <brk id="15" max="89" man="1"/>
  </col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3E6D-CB9F-4645-AC26-E3D108EAB63B}">
  <sheetPr>
    <pageSetUpPr fitToPage="1"/>
  </sheetPr>
  <dimension ref="A1:BE73"/>
  <sheetViews>
    <sheetView topLeftCell="A7" zoomScale="70" zoomScaleNormal="70" workbookViewId="0">
      <selection activeCell="D73" sqref="D73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9.42578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4" t="s">
        <v>0</v>
      </c>
      <c r="T1" s="494"/>
      <c r="U1" s="494" t="s">
        <v>1</v>
      </c>
      <c r="V1" s="494"/>
      <c r="W1" s="494" t="s">
        <v>2</v>
      </c>
      <c r="X1" s="494"/>
      <c r="Y1" s="494" t="s">
        <v>124</v>
      </c>
      <c r="Z1" s="494"/>
    </row>
    <row r="2" spans="2:29" ht="15">
      <c r="B2" s="495" t="s">
        <v>3</v>
      </c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46108</v>
      </c>
      <c r="J4" s="398" t="s">
        <v>167</v>
      </c>
      <c r="K4" s="398"/>
      <c r="L4" s="11"/>
      <c r="M4" s="492" t="s">
        <v>8</v>
      </c>
      <c r="N4" s="493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8"/>
      <c r="D5" s="49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9" t="s">
        <v>17</v>
      </c>
      <c r="C8" s="501" t="s">
        <v>18</v>
      </c>
      <c r="D8" s="501" t="s">
        <v>19</v>
      </c>
      <c r="E8" s="356" t="s">
        <v>20</v>
      </c>
      <c r="F8" s="356" t="s">
        <v>21</v>
      </c>
      <c r="G8" s="501" t="s">
        <v>22</v>
      </c>
      <c r="H8" s="502" t="s">
        <v>144</v>
      </c>
      <c r="I8" s="501" t="s">
        <v>165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169</v>
      </c>
      <c r="O8" s="510" t="s">
        <v>155</v>
      </c>
      <c r="P8" s="496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0"/>
      <c r="C9" s="497"/>
      <c r="D9" s="497"/>
      <c r="E9" s="357" t="s">
        <v>30</v>
      </c>
      <c r="F9" s="357" t="s">
        <v>31</v>
      </c>
      <c r="G9" s="497"/>
      <c r="H9" s="503"/>
      <c r="I9" s="497"/>
      <c r="J9" s="505"/>
      <c r="K9" s="507"/>
      <c r="L9" s="509"/>
      <c r="M9" s="20" t="s">
        <v>32</v>
      </c>
      <c r="N9" s="21" t="s">
        <v>41</v>
      </c>
      <c r="O9" s="511"/>
      <c r="P9" s="497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22" t="s">
        <v>33</v>
      </c>
      <c r="C10" s="366" t="str">
        <f>[6]Brewhouse!A49</f>
        <v>VM025</v>
      </c>
      <c r="D10" s="279">
        <f>[6]Brewhouse!AE49</f>
        <v>50.1</v>
      </c>
      <c r="E10" s="279">
        <f>[6]Brewhouse!AJ49</f>
        <v>48.9</v>
      </c>
      <c r="F10" s="278">
        <f>[6]Brewhouse!X49</f>
        <v>87</v>
      </c>
      <c r="G10" s="279">
        <f>[6]Brewhouse!AH49</f>
        <v>14.2</v>
      </c>
      <c r="H10" s="396">
        <v>14.3</v>
      </c>
      <c r="I10" s="368">
        <f>[6]Brewhouse!AV49</f>
        <v>99.135667211498472</v>
      </c>
      <c r="J10" s="368">
        <f>[6]Brewhouse!AW49</f>
        <v>99.326354113480548</v>
      </c>
      <c r="K10" s="281">
        <f>[6]Brewhouse!S49</f>
        <v>12.295409181636733</v>
      </c>
      <c r="L10" s="276">
        <f>[6]Brewhouse!R49</f>
        <v>59</v>
      </c>
      <c r="M10" s="374">
        <f>[6]Brewhouse!$W49-[6]Brewhouse!$V49</f>
        <v>0.14583333333333337</v>
      </c>
      <c r="N10" s="370">
        <f>[6]Brewhouse!AB49</f>
        <v>0.29861111111111116</v>
      </c>
      <c r="O10" s="371" t="str">
        <f>[6]Brewhouse!$AZ49</f>
        <v>R. Regis</v>
      </c>
      <c r="P10" s="418"/>
      <c r="R10" s="277" t="str">
        <f t="shared" ref="R10:R33" si="0">B10</f>
        <v>VITAMALT</v>
      </c>
      <c r="S10" s="472">
        <f t="shared" ref="S10:S33" si="1">VLOOKUP($B10,$R$3:$X$9,2,FALSE)</f>
        <v>14.2</v>
      </c>
      <c r="T10" s="472">
        <f t="shared" ref="T10:T33" si="2">VLOOKUP($B10,$R$3:$X$9,3,FALSE)</f>
        <v>14.6</v>
      </c>
      <c r="U10" s="297">
        <f t="shared" ref="U10:U33" si="3">VLOOKUP($B10,$R$3:$X$9,4,FALSE)</f>
        <v>0</v>
      </c>
      <c r="V10" s="297">
        <f t="shared" ref="V10:V33" si="4">VLOOKUP($B10,$R$3:$X$9,5,FALSE)</f>
        <v>0.13905092592592591</v>
      </c>
      <c r="W10" s="297">
        <f t="shared" ref="W10:W33" si="5">VLOOKUP($B10,$R$3:$X$9,6,FALSE)</f>
        <v>0.26041666666666669</v>
      </c>
      <c r="X10" s="297">
        <f t="shared" ref="X10:X33" si="6">VLOOKUP($B10,$R$3:$X$9,7,FALSE)</f>
        <v>0.2951388888888889</v>
      </c>
      <c r="Y10" s="297">
        <f t="shared" ref="Y10:Y33" si="7">VLOOKUP($B10,$R$3:$Z$9,8,FALSE)</f>
        <v>0</v>
      </c>
      <c r="Z10" s="472">
        <f t="shared" ref="Z10:Z33" si="8">VLOOKUP($B10,$R$3:$Z$9,9,FALSE)</f>
        <v>75</v>
      </c>
    </row>
    <row r="11" spans="2:29" ht="16.5" customHeight="1">
      <c r="B11" s="22" t="s">
        <v>33</v>
      </c>
      <c r="C11" s="366" t="str">
        <f>[6]Brewhouse!A50</f>
        <v>VM026</v>
      </c>
      <c r="D11" s="279">
        <f>[6]Brewhouse!AE50</f>
        <v>50.1</v>
      </c>
      <c r="E11" s="279">
        <f>[6]Brewhouse!AJ50</f>
        <v>48.9</v>
      </c>
      <c r="F11" s="278">
        <f>[6]Brewhouse!X50</f>
        <v>97</v>
      </c>
      <c r="G11" s="279">
        <f>[6]Brewhouse!AH50</f>
        <v>14.3</v>
      </c>
      <c r="H11" s="396">
        <v>14.2</v>
      </c>
      <c r="I11" s="368">
        <f>[6]Brewhouse!AV50</f>
        <v>99.232905943935492</v>
      </c>
      <c r="J11" s="368">
        <f>[6]Brewhouse!AW50</f>
        <v>99.428736469274483</v>
      </c>
      <c r="K11" s="281">
        <f>[6]Brewhouse!S50</f>
        <v>16.287425149700603</v>
      </c>
      <c r="L11" s="276">
        <f>[6]Brewhouse!R50</f>
        <v>57</v>
      </c>
      <c r="M11" s="374">
        <f>[6]Brewhouse!$W50-[6]Brewhouse!$V50</f>
        <v>0.14722222222222225</v>
      </c>
      <c r="N11" s="370">
        <f>[6]Brewhouse!AB50</f>
        <v>0.30555555555555558</v>
      </c>
      <c r="O11" s="371" t="str">
        <f>[6]Brewhouse!$AZ50</f>
        <v>R.Sookram</v>
      </c>
      <c r="P11" s="418"/>
      <c r="R11" s="277" t="str">
        <f t="shared" si="0"/>
        <v>VITAMALT</v>
      </c>
      <c r="S11" s="472">
        <f t="shared" si="1"/>
        <v>14.2</v>
      </c>
      <c r="T11" s="472">
        <f t="shared" si="2"/>
        <v>14.6</v>
      </c>
      <c r="U11" s="297">
        <f t="shared" si="3"/>
        <v>0</v>
      </c>
      <c r="V11" s="297">
        <f t="shared" si="4"/>
        <v>0.13905092592592591</v>
      </c>
      <c r="W11" s="297">
        <f t="shared" si="5"/>
        <v>0.26041666666666669</v>
      </c>
      <c r="X11" s="297">
        <f t="shared" si="6"/>
        <v>0.2951388888888889</v>
      </c>
      <c r="Y11" s="297">
        <f t="shared" si="7"/>
        <v>0</v>
      </c>
      <c r="Z11" s="472">
        <f t="shared" si="8"/>
        <v>75</v>
      </c>
    </row>
    <row r="12" spans="2:29" ht="16.5" customHeight="1">
      <c r="B12" s="22" t="s">
        <v>33</v>
      </c>
      <c r="C12" s="366" t="str">
        <f>[6]Brewhouse!A51</f>
        <v>VM027</v>
      </c>
      <c r="D12" s="279">
        <f>[6]Brewhouse!AE51</f>
        <v>50.1</v>
      </c>
      <c r="E12" s="279">
        <f>[6]Brewhouse!AJ51</f>
        <v>48.3</v>
      </c>
      <c r="F12" s="278">
        <f>[6]Brewhouse!X51</f>
        <v>86</v>
      </c>
      <c r="G12" s="279">
        <f>[6]Brewhouse!AH51</f>
        <v>14.3</v>
      </c>
      <c r="H12" s="396">
        <v>14.3</v>
      </c>
      <c r="I12" s="368">
        <f>[6]Brewhouse!AV51</f>
        <v>98.11852940599799</v>
      </c>
      <c r="J12" s="368">
        <f>[6]Brewhouse!AW51</f>
        <v>98.311348218318201</v>
      </c>
      <c r="K12" s="281">
        <f>[6]Brewhouse!S51</f>
        <v>13.892215568862277</v>
      </c>
      <c r="L12" s="276">
        <f>[6]Brewhouse!R51</f>
        <v>59</v>
      </c>
      <c r="M12" s="374">
        <f>[6]Brewhouse!$W51-[6]Brewhouse!$V51</f>
        <v>0.13750000000000007</v>
      </c>
      <c r="N12" s="370">
        <f>[6]Brewhouse!AB51</f>
        <v>0.29097222222222224</v>
      </c>
      <c r="O12" s="371" t="str">
        <f>[6]Brewhouse!$AZ51</f>
        <v>R.Sookram</v>
      </c>
      <c r="P12" s="418"/>
      <c r="R12" s="277" t="str">
        <f t="shared" si="0"/>
        <v>VITAMALT</v>
      </c>
      <c r="S12" s="472">
        <f t="shared" si="1"/>
        <v>14.2</v>
      </c>
      <c r="T12" s="472">
        <f t="shared" si="2"/>
        <v>14.6</v>
      </c>
      <c r="U12" s="297">
        <f t="shared" si="3"/>
        <v>0</v>
      </c>
      <c r="V12" s="297">
        <f t="shared" si="4"/>
        <v>0.13905092592592591</v>
      </c>
      <c r="W12" s="297">
        <f t="shared" si="5"/>
        <v>0.26041666666666669</v>
      </c>
      <c r="X12" s="297">
        <f t="shared" si="6"/>
        <v>0.2951388888888889</v>
      </c>
      <c r="Y12" s="297">
        <f t="shared" si="7"/>
        <v>0</v>
      </c>
      <c r="Z12" s="472">
        <f t="shared" si="8"/>
        <v>75</v>
      </c>
    </row>
    <row r="13" spans="2:29" ht="16.5" customHeight="1">
      <c r="B13" s="22" t="s">
        <v>33</v>
      </c>
      <c r="C13" s="366" t="str">
        <f>[6]Brewhouse!A52</f>
        <v>VM028</v>
      </c>
      <c r="D13" s="279">
        <f>[6]Brewhouse!AE52</f>
        <v>50.1</v>
      </c>
      <c r="E13" s="279">
        <f>[6]Brewhouse!AJ52</f>
        <v>45.8</v>
      </c>
      <c r="F13" s="278">
        <f>[6]Brewhouse!X52</f>
        <v>73</v>
      </c>
      <c r="G13" s="279">
        <f>[6]Brewhouse!AH52</f>
        <v>14.2</v>
      </c>
      <c r="H13" s="367"/>
      <c r="I13" s="368">
        <f>[6]Brewhouse!AV52</f>
        <v>92.3621562467644</v>
      </c>
      <c r="J13" s="368">
        <f>[6]Brewhouse!AW52</f>
        <v>92.54366285289322</v>
      </c>
      <c r="K13" s="281">
        <f>[6]Brewhouse!S52</f>
        <v>14.491017964071851</v>
      </c>
      <c r="L13" s="276">
        <f>[6]Brewhouse!R52</f>
        <v>58</v>
      </c>
      <c r="M13" s="374">
        <f>[6]Brewhouse!$W52-[6]Brewhouse!$V52</f>
        <v>0.12708333333333344</v>
      </c>
      <c r="N13" s="370">
        <f>[6]Brewhouse!AB52</f>
        <v>0.2770833333333334</v>
      </c>
      <c r="O13" s="371" t="str">
        <f>[6]Brewhouse!$AZ52</f>
        <v>R.Sookram</v>
      </c>
      <c r="P13" s="418"/>
      <c r="R13" s="277" t="str">
        <f t="shared" ref="R13:R30" si="9">B13</f>
        <v>VITAMALT</v>
      </c>
      <c r="S13" s="472">
        <f t="shared" si="1"/>
        <v>14.2</v>
      </c>
      <c r="T13" s="472">
        <f t="shared" si="2"/>
        <v>14.6</v>
      </c>
      <c r="U13" s="297">
        <f t="shared" si="3"/>
        <v>0</v>
      </c>
      <c r="V13" s="297">
        <f t="shared" si="4"/>
        <v>0.13905092592592591</v>
      </c>
      <c r="W13" s="297">
        <f t="shared" si="5"/>
        <v>0.26041666666666669</v>
      </c>
      <c r="X13" s="297">
        <f t="shared" si="6"/>
        <v>0.2951388888888889</v>
      </c>
      <c r="Y13" s="297">
        <f t="shared" si="7"/>
        <v>0</v>
      </c>
      <c r="Z13" s="472">
        <f t="shared" si="8"/>
        <v>75</v>
      </c>
    </row>
    <row r="14" spans="2:29" ht="16.5" customHeight="1">
      <c r="B14" s="22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74"/>
      <c r="N14" s="370"/>
      <c r="O14" s="371"/>
      <c r="P14" s="418"/>
      <c r="R14" s="277">
        <f t="shared" si="9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6.5" customHeight="1">
      <c r="B15" s="22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371"/>
      <c r="P15" s="418"/>
      <c r="R15" s="277">
        <f t="shared" si="9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6.5" hidden="1" customHeight="1">
      <c r="B16" s="22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371"/>
      <c r="P16" s="418"/>
      <c r="R16" s="277">
        <f t="shared" si="9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5" hidden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8" hidden="1" customHeight="1">
      <c r="B18" s="29"/>
      <c r="C18" s="366"/>
      <c r="D18" s="279"/>
      <c r="E18" s="279"/>
      <c r="F18" s="278"/>
      <c r="G18" s="279"/>
      <c r="H18" s="487"/>
      <c r="I18" s="368"/>
      <c r="J18" s="368"/>
      <c r="K18" s="281"/>
      <c r="L18" s="276"/>
      <c r="M18" s="374"/>
      <c r="N18" s="370"/>
      <c r="O18" s="371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6.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5.75" customHeight="1" thickBot="1">
      <c r="B20" s="358"/>
      <c r="C20" s="358"/>
      <c r="D20" s="358"/>
      <c r="E20" s="358"/>
      <c r="F20" s="294"/>
      <c r="G20" s="294"/>
      <c r="H20" s="348"/>
      <c r="I20" s="512"/>
      <c r="J20" s="512"/>
      <c r="K20" s="512"/>
      <c r="L20" s="512"/>
      <c r="M20" s="512"/>
      <c r="N20" s="512"/>
      <c r="O20" s="1"/>
      <c r="P20" s="12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5.75" customHeight="1" thickBot="1">
      <c r="B21" s="388" t="s">
        <v>162</v>
      </c>
      <c r="C21" s="388"/>
      <c r="D21" s="513" t="s">
        <v>35</v>
      </c>
      <c r="E21" s="514"/>
      <c r="F21" s="294"/>
      <c r="G21" s="294"/>
      <c r="H21" s="348"/>
      <c r="I21" s="24" t="s">
        <v>17</v>
      </c>
      <c r="J21" s="25"/>
      <c r="K21" s="26" t="s">
        <v>138</v>
      </c>
      <c r="L21" s="25" t="s">
        <v>37</v>
      </c>
      <c r="M21" s="25" t="s">
        <v>38</v>
      </c>
      <c r="N21" s="27" t="s">
        <v>39</v>
      </c>
      <c r="O21" s="294"/>
      <c r="P21" s="12"/>
      <c r="R21" s="277" t="str">
        <f t="shared" si="9"/>
        <v xml:space="preserve">BRAND 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5" customHeight="1">
      <c r="A22" s="28"/>
      <c r="B22" s="515"/>
      <c r="C22" s="362"/>
      <c r="D22" s="518"/>
      <c r="E22" s="519"/>
      <c r="F22" s="294"/>
      <c r="G22" s="294"/>
      <c r="H22" s="348"/>
      <c r="I22" s="29" t="s">
        <v>6</v>
      </c>
      <c r="J22" s="323"/>
      <c r="K22" s="284">
        <f>COUNTA([4]Brewhouse!$A$198:$A$284)</f>
        <v>87</v>
      </c>
      <c r="L22" s="305">
        <f>AVERAGE([4]Brewhouse!$AU$198:$AU$284)</f>
        <v>98.255403370344155</v>
      </c>
      <c r="M22" s="305">
        <f>AVERAGE([4]Brewhouse!$AU$42:$AU$123,[4]Brewhouse!$AU$125:$AU$188,[4]Brewhouse!$AU$198:$AU$284)</f>
        <v>97.842433866819803</v>
      </c>
      <c r="N22" s="30">
        <v>98</v>
      </c>
      <c r="O22" s="11"/>
      <c r="P22" s="31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5" customHeight="1">
      <c r="A23" s="28"/>
      <c r="B23" s="516"/>
      <c r="C23" s="362"/>
      <c r="D23" s="520"/>
      <c r="E23" s="521"/>
      <c r="F23" s="294"/>
      <c r="G23" s="294"/>
      <c r="H23" s="348"/>
      <c r="I23" s="33" t="s">
        <v>9</v>
      </c>
      <c r="J23" s="280"/>
      <c r="K23" s="284">
        <f>COUNTA([3]Brewhouse!$A$134:$A$169)</f>
        <v>36</v>
      </c>
      <c r="L23" s="302">
        <f>AVERAGE([3]Brewhouse!$AS$134:$AS$169)</f>
        <v>98.548334749686148</v>
      </c>
      <c r="M23" s="302">
        <f>AVERAGE([3]Brewhouse!$AS$52:$AS$81,[3]Brewhouse!$AS$83:$AS$124,[3]Brewhouse!$AS$134:$AS$169)</f>
        <v>98.393852349390286</v>
      </c>
      <c r="N23" s="30">
        <v>98</v>
      </c>
      <c r="O23" s="11"/>
      <c r="P23" s="31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4.65" customHeight="1">
      <c r="A24" s="28"/>
      <c r="B24" s="516"/>
      <c r="C24" s="362"/>
      <c r="D24" s="522"/>
      <c r="E24" s="523"/>
      <c r="F24" s="294"/>
      <c r="G24" s="294"/>
      <c r="H24" s="348"/>
      <c r="I24" s="34" t="s">
        <v>12</v>
      </c>
      <c r="J24" s="280"/>
      <c r="K24" s="284">
        <f>COUNTA([5]Brewhouse!$A$34:$A$41)</f>
        <v>8</v>
      </c>
      <c r="L24" s="302">
        <f>AVERAGE([5]Brewhouse!$AU$34:$AU$41)</f>
        <v>94.762610859726223</v>
      </c>
      <c r="M24" s="302">
        <f>AVERAGE([5]Brewhouse!$AU$16:$AU$23,[5]Brewhouse!$AU$25:$AU$32,[5]Brewhouse!$AU$34:$AU$41)</f>
        <v>97.131453825415363</v>
      </c>
      <c r="N24" s="30">
        <v>98</v>
      </c>
      <c r="O24" s="11"/>
      <c r="P24" s="31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65" customHeight="1">
      <c r="A25" s="28"/>
      <c r="B25" s="516"/>
      <c r="C25" s="362"/>
      <c r="D25" s="524"/>
      <c r="E25" s="521"/>
      <c r="F25" s="294"/>
      <c r="G25" s="294"/>
      <c r="H25" s="348"/>
      <c r="I25" s="22" t="s">
        <v>33</v>
      </c>
      <c r="J25" s="280">
        <f>AVERAGE(I10:I13)</f>
        <v>97.212314702049099</v>
      </c>
      <c r="K25" s="284">
        <f>COUNTA([6]Brewhouse!$A$38:$A$52)</f>
        <v>15</v>
      </c>
      <c r="L25" s="302">
        <f>AVERAGE([6]Brewhouse!$AV$38:$AV$52)</f>
        <v>97.174244838041659</v>
      </c>
      <c r="M25" s="302">
        <f>AVERAGE([6]Brewhouse!$AV$23:$AV$34,[6]Brewhouse!$AV$36,[6]Brewhouse!$AV$38:$AV$52)</f>
        <v>97.639832259312456</v>
      </c>
      <c r="N25" s="30">
        <v>98</v>
      </c>
      <c r="O25" s="11"/>
      <c r="P25" s="31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16"/>
      <c r="C26" s="362"/>
      <c r="D26" s="522"/>
      <c r="E26" s="523"/>
      <c r="F26" s="417"/>
      <c r="G26" s="294"/>
      <c r="H26" s="348"/>
      <c r="I26" s="35" t="s">
        <v>29</v>
      </c>
      <c r="J26" s="280"/>
      <c r="K26" s="284"/>
      <c r="L26" s="302"/>
      <c r="M26" s="302"/>
      <c r="N26" s="30">
        <v>98</v>
      </c>
      <c r="O26" s="11"/>
      <c r="P26" s="31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16"/>
      <c r="C27" s="362"/>
      <c r="D27" s="524"/>
      <c r="E27" s="521"/>
      <c r="F27" s="417"/>
      <c r="G27" s="294"/>
      <c r="H27" s="348"/>
      <c r="I27" s="36" t="s">
        <v>15</v>
      </c>
      <c r="J27" s="323"/>
      <c r="K27" s="284"/>
      <c r="L27" s="302"/>
      <c r="M27" s="302">
        <f>AVERAGE([7]Brewhouse!$AT$4:$AT$11)</f>
        <v>92.826224508052405</v>
      </c>
      <c r="N27" s="30">
        <v>98</v>
      </c>
      <c r="O27" s="11"/>
      <c r="P27" s="31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  <c r="AA27" s="472"/>
    </row>
    <row r="28" spans="1:27" ht="14.65" customHeight="1">
      <c r="A28" s="28"/>
      <c r="B28" s="516"/>
      <c r="C28" s="362"/>
      <c r="D28" s="522"/>
      <c r="E28" s="523"/>
      <c r="F28" s="417"/>
      <c r="G28" s="294"/>
      <c r="H28" s="348"/>
      <c r="I28" s="37" t="s">
        <v>16</v>
      </c>
      <c r="J28" s="323"/>
      <c r="K28" s="284">
        <f>COUNTA([8]Brewhouse!$A$25:$A$42)</f>
        <v>18</v>
      </c>
      <c r="L28" s="302">
        <f>AVERAGE([8]Brewhouse!$AY$42)</f>
        <v>99.134494554521325</v>
      </c>
      <c r="M28" s="302">
        <f>AVERAGE([8]Brewhouse!$AY$5:$AY$14,[8]Brewhouse!$AY$16:$AY$23,[8]Brewhouse!$AY$42)</f>
        <v>97.390503559857137</v>
      </c>
      <c r="N28" s="30">
        <v>98</v>
      </c>
      <c r="O28" s="11"/>
      <c r="P28" s="31" t="s">
        <v>41</v>
      </c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  <c r="AA28" s="472"/>
    </row>
    <row r="29" spans="1:27" ht="14.65" customHeight="1">
      <c r="A29" s="28"/>
      <c r="B29" s="516"/>
      <c r="C29" s="362"/>
      <c r="D29" s="524"/>
      <c r="E29" s="521"/>
      <c r="F29" s="294"/>
      <c r="G29" s="294"/>
      <c r="H29" s="348"/>
      <c r="I29" s="411" t="s">
        <v>158</v>
      </c>
      <c r="J29" s="326"/>
      <c r="K29" s="284"/>
      <c r="L29" s="305"/>
      <c r="M29" s="305"/>
      <c r="N29" s="30">
        <v>98</v>
      </c>
      <c r="O29" s="11"/>
      <c r="P29" s="31"/>
      <c r="R29" s="277">
        <f t="shared" si="9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  <c r="AA29" s="472"/>
    </row>
    <row r="30" spans="1:27" ht="14.65" customHeight="1">
      <c r="A30" s="28"/>
      <c r="B30" s="516"/>
      <c r="C30" s="349"/>
      <c r="D30" s="522"/>
      <c r="E30" s="523"/>
      <c r="F30" s="294"/>
      <c r="G30" s="294"/>
      <c r="H30" s="348"/>
      <c r="I30" s="410" t="s">
        <v>157</v>
      </c>
      <c r="J30" s="326"/>
      <c r="K30" s="284"/>
      <c r="L30" s="305"/>
      <c r="M30" s="305"/>
      <c r="N30" s="30">
        <v>98</v>
      </c>
      <c r="O30" s="11"/>
      <c r="P30" s="31"/>
      <c r="R30" s="277">
        <f t="shared" si="9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5" customHeight="1" thickBot="1">
      <c r="A31" s="28"/>
      <c r="B31" s="516"/>
      <c r="C31" s="349"/>
      <c r="D31" s="524"/>
      <c r="E31" s="521"/>
      <c r="F31" s="294"/>
      <c r="G31" s="294"/>
      <c r="H31" s="348"/>
      <c r="I31" s="406" t="s">
        <v>156</v>
      </c>
      <c r="J31" s="327"/>
      <c r="K31" s="407"/>
      <c r="L31" s="408"/>
      <c r="M31" s="408"/>
      <c r="N31" s="409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5" customHeight="1" thickBot="1">
      <c r="A32" s="28"/>
      <c r="B32" s="516"/>
      <c r="C32" s="349"/>
      <c r="D32" s="518"/>
      <c r="E32" s="519"/>
      <c r="F32" s="294"/>
      <c r="G32" s="294"/>
      <c r="H32" s="348"/>
      <c r="I32" s="1"/>
      <c r="J32" s="39"/>
      <c r="K32" s="404">
        <f>SUM(K22:K31)</f>
        <v>164</v>
      </c>
      <c r="L32" s="405">
        <f>((L22*K22)+(L23*K23)+(L24*K24)+(L25*K25)+(L26*K26)+(K29*L29)+(L27*K27)+(L28*K28)+(L31*K31))/(K32)</f>
        <v>98.146924424624771</v>
      </c>
      <c r="M32" s="405">
        <f>AVERAGE('[9]Jan30th-31st'!$L$42,L32)</f>
        <v>97.987483080233119</v>
      </c>
      <c r="N32" s="4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2:56" ht="15.75" thickBot="1">
      <c r="B33" s="517"/>
      <c r="C33" s="350"/>
      <c r="D33" s="520"/>
      <c r="E33" s="521"/>
      <c r="F33" s="294"/>
      <c r="G33" s="42"/>
      <c r="H33" s="41"/>
      <c r="I33" s="42"/>
      <c r="J33" s="42"/>
      <c r="K33" s="351"/>
      <c r="L33" s="348"/>
      <c r="M33" s="348"/>
      <c r="N33" s="11"/>
      <c r="O33" s="294"/>
      <c r="P33" s="12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2:56" ht="15.75" thickBot="1">
      <c r="B34" s="525"/>
      <c r="C34" s="362"/>
      <c r="D34" s="528"/>
      <c r="E34" s="529"/>
      <c r="F34" s="294"/>
      <c r="G34" s="42"/>
      <c r="H34" s="41"/>
      <c r="I34" s="42"/>
      <c r="J34" s="530" t="s">
        <v>129</v>
      </c>
      <c r="K34" s="530"/>
      <c r="L34" s="294"/>
      <c r="M34" s="294"/>
      <c r="N34" s="294"/>
      <c r="O34" s="294"/>
      <c r="P34" s="12"/>
    </row>
    <row r="35" spans="2:56" ht="15.75" thickBot="1">
      <c r="B35" s="526"/>
      <c r="C35" s="362"/>
      <c r="D35" s="524"/>
      <c r="E35" s="521"/>
      <c r="F35" s="294"/>
      <c r="G35" s="42"/>
      <c r="H35" s="42"/>
      <c r="I35" s="42"/>
      <c r="J35" s="292" t="s">
        <v>17</v>
      </c>
      <c r="K35" s="293" t="s">
        <v>172</v>
      </c>
      <c r="L35" s="531" t="s">
        <v>136</v>
      </c>
      <c r="M35" s="531"/>
      <c r="N35" s="532"/>
      <c r="O35" s="294"/>
      <c r="P35" s="12"/>
    </row>
    <row r="36" spans="2:56" ht="15" customHeight="1" thickBot="1">
      <c r="B36" s="526"/>
      <c r="C36" s="349"/>
      <c r="D36" s="522"/>
      <c r="E36" s="523"/>
      <c r="F36" s="294"/>
      <c r="G36" s="42"/>
      <c r="H36" s="42"/>
      <c r="I36" s="42"/>
      <c r="J36" s="287" t="s">
        <v>6</v>
      </c>
      <c r="K36" s="324"/>
      <c r="L36" s="473" t="s">
        <v>37</v>
      </c>
      <c r="M36" s="474" t="s">
        <v>38</v>
      </c>
      <c r="N36" s="474" t="s">
        <v>84</v>
      </c>
      <c r="O36" s="294"/>
      <c r="P36" s="12"/>
    </row>
    <row r="37" spans="2:56" ht="15.75" customHeight="1" thickBot="1">
      <c r="B37" s="526"/>
      <c r="C37" s="349"/>
      <c r="D37" s="524"/>
      <c r="E37" s="521"/>
      <c r="F37" s="294"/>
      <c r="G37" s="42"/>
      <c r="H37" s="42"/>
      <c r="I37" s="42"/>
      <c r="J37" s="345" t="s">
        <v>9</v>
      </c>
      <c r="K37" s="324"/>
      <c r="L37" s="344">
        <f>AVERAGE(K46,'Mar 2nd'!K49,'Mar 1st'!K55,'Mar 3rd'!K49,'Mar 4th'!K51,'Mar 5th'!K52,'Mar 6th '!K49,'Mar 9th'!K53,'Mar 10th'!K47,'Mar 11th'!K50,'Mar 12th'!K51,'Mar 13th-15th'!J73,'Mar 13th-15th'!I73,'Mar 16th'!K58,'Mar 18th'!K55,'Mar 19th'!K52,'Mar 20th -22nd'!I67,'Mar 20th -22nd'!J67,'Mar 20th -22nd'!K67,'Mar 23rd '!K67,'Mar 25th '!K57)</f>
        <v>7.333333333333333</v>
      </c>
      <c r="M37" s="325">
        <f>AVERAGE('[9]Jan30th-31st'!$L$47,L37,'[10]Feb 26th '!$L$39)</f>
        <v>6.5067632850241539</v>
      </c>
      <c r="N37" s="416">
        <v>9.1999999999999993</v>
      </c>
      <c r="O37" s="294"/>
      <c r="P37" s="12"/>
    </row>
    <row r="38" spans="2:56" ht="15" customHeight="1">
      <c r="B38" s="526"/>
      <c r="C38" s="349"/>
      <c r="D38" s="522"/>
      <c r="E38" s="523"/>
      <c r="F38" s="294"/>
      <c r="G38" s="42"/>
      <c r="H38" s="42"/>
      <c r="I38" s="42"/>
      <c r="J38" s="288" t="s">
        <v>40</v>
      </c>
      <c r="K38" s="324"/>
      <c r="L38" s="294"/>
      <c r="M38" s="294"/>
      <c r="N38" s="294"/>
      <c r="O38" s="294"/>
      <c r="P38" s="12"/>
    </row>
    <row r="39" spans="2:56" ht="15" customHeight="1">
      <c r="B39" s="526"/>
      <c r="C39" s="349"/>
      <c r="D39" s="524"/>
      <c r="E39" s="521"/>
      <c r="F39" s="294"/>
      <c r="G39" s="42"/>
      <c r="H39" s="42"/>
      <c r="I39" s="42"/>
      <c r="J39" s="289" t="s">
        <v>33</v>
      </c>
      <c r="K39" s="324">
        <v>4</v>
      </c>
      <c r="L39" s="294"/>
      <c r="M39" s="294"/>
      <c r="N39" s="294"/>
      <c r="O39" s="294"/>
      <c r="P39" s="12"/>
    </row>
    <row r="40" spans="2:56" ht="15">
      <c r="B40" s="526"/>
      <c r="C40" s="349"/>
      <c r="D40" s="522"/>
      <c r="E40" s="523"/>
      <c r="F40" s="294"/>
      <c r="G40" s="42"/>
      <c r="H40" s="42"/>
      <c r="I40" s="42"/>
      <c r="J40" s="290" t="s">
        <v>16</v>
      </c>
      <c r="K40" s="324"/>
      <c r="L40" s="294"/>
      <c r="M40" s="294"/>
      <c r="N40" s="294"/>
      <c r="O40" s="294"/>
      <c r="P40" s="12"/>
      <c r="BC40" s="44"/>
      <c r="BD40" s="44"/>
    </row>
    <row r="41" spans="2:56" ht="15">
      <c r="B41" s="526"/>
      <c r="C41" s="349"/>
      <c r="D41" s="524"/>
      <c r="E41" s="521"/>
      <c r="F41" s="294"/>
      <c r="G41" s="42"/>
      <c r="H41" s="42"/>
      <c r="I41" s="42"/>
      <c r="J41" s="291" t="s">
        <v>15</v>
      </c>
      <c r="K41" s="324"/>
      <c r="L41" s="294"/>
      <c r="M41" s="294"/>
      <c r="N41" s="294"/>
      <c r="O41" s="294"/>
      <c r="P41" s="12"/>
      <c r="BC41" s="44"/>
      <c r="BD41" s="44"/>
    </row>
    <row r="42" spans="2:56" ht="15">
      <c r="B42" s="526"/>
      <c r="C42" s="349"/>
      <c r="D42" s="522"/>
      <c r="E42" s="523"/>
      <c r="F42" s="294"/>
      <c r="G42" s="42"/>
      <c r="H42" s="42"/>
      <c r="I42" s="42"/>
      <c r="J42" s="291" t="s">
        <v>149</v>
      </c>
      <c r="K42" s="324"/>
      <c r="L42" s="294"/>
      <c r="M42" s="294"/>
      <c r="N42" s="294"/>
      <c r="O42" s="294"/>
      <c r="P42" s="12"/>
      <c r="BC42" s="44"/>
      <c r="BD42" s="44"/>
    </row>
    <row r="43" spans="2:56" ht="15.75" thickBot="1">
      <c r="B43" s="527"/>
      <c r="C43" s="350"/>
      <c r="D43" s="533"/>
      <c r="E43" s="534"/>
      <c r="F43" s="294" t="s">
        <v>166</v>
      </c>
      <c r="G43" s="42"/>
      <c r="H43" s="42"/>
      <c r="I43" s="42"/>
      <c r="J43" s="291" t="s">
        <v>148</v>
      </c>
      <c r="K43" s="324"/>
      <c r="L43" s="294"/>
      <c r="M43" s="294"/>
      <c r="N43" s="294" t="s">
        <v>41</v>
      </c>
      <c r="O43" s="294"/>
      <c r="P43" s="12"/>
      <c r="BC43" s="44"/>
      <c r="BD43" s="44"/>
    </row>
    <row r="44" spans="2:56" ht="17.649999999999999" customHeight="1" thickBot="1">
      <c r="B44" s="312" t="s">
        <v>139</v>
      </c>
      <c r="C44" s="313"/>
      <c r="D44" s="535"/>
      <c r="E44" s="536"/>
      <c r="F44" s="294"/>
      <c r="J44" s="295" t="s">
        <v>134</v>
      </c>
      <c r="K44" s="324"/>
      <c r="L44" s="294"/>
      <c r="M44" s="294"/>
      <c r="N44" s="294"/>
      <c r="O44" s="294"/>
      <c r="P44" s="12"/>
      <c r="BC44" s="44"/>
      <c r="BD44" s="44"/>
    </row>
    <row r="45" spans="2:56" ht="17.649999999999999" customHeight="1">
      <c r="B45" s="363"/>
      <c r="C45" s="364"/>
      <c r="D45" s="365"/>
      <c r="E45" s="365"/>
      <c r="F45" s="294"/>
      <c r="G45" s="42"/>
      <c r="H45" s="42"/>
      <c r="I45" s="42"/>
      <c r="J45" s="295" t="s">
        <v>131</v>
      </c>
      <c r="K45" s="324"/>
      <c r="L45" s="294"/>
      <c r="M45" s="294"/>
      <c r="N45" s="294"/>
      <c r="O45" s="294"/>
      <c r="P45" s="12"/>
      <c r="BC45" s="44"/>
      <c r="BD45" s="44"/>
    </row>
    <row r="46" spans="2:56" ht="15.6" customHeight="1">
      <c r="B46" s="45"/>
      <c r="C46" s="11"/>
      <c r="D46" s="11"/>
      <c r="E46" s="46"/>
      <c r="F46" s="294"/>
      <c r="G46" s="42"/>
      <c r="H46" s="42"/>
      <c r="I46" s="42"/>
      <c r="J46" s="346" t="s">
        <v>130</v>
      </c>
      <c r="K46" s="324">
        <f>SUM(K36:K45)</f>
        <v>4</v>
      </c>
      <c r="L46" s="294"/>
      <c r="M46" s="294"/>
      <c r="N46" s="294"/>
      <c r="O46" s="294"/>
      <c r="P46" s="12"/>
    </row>
    <row r="47" spans="2:56" ht="20.25" customHeight="1">
      <c r="B47" s="15" t="s">
        <v>42</v>
      </c>
      <c r="C47" s="1" t="s">
        <v>43</v>
      </c>
      <c r="D47" s="1"/>
      <c r="E47" s="1"/>
      <c r="F47" s="294"/>
      <c r="G47" s="42"/>
      <c r="H47" s="41"/>
      <c r="I47" s="42"/>
      <c r="L47" s="294"/>
      <c r="N47" s="315"/>
      <c r="P47" s="334"/>
    </row>
    <row r="48" spans="2:56" ht="15" customHeight="1" thickBot="1"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1"/>
      <c r="O48" s="48"/>
      <c r="P48" s="49"/>
    </row>
    <row r="49" spans="1:57" ht="15" customHeight="1" thickBot="1">
      <c r="B49" s="537" t="s">
        <v>17</v>
      </c>
      <c r="C49" s="537" t="s">
        <v>44</v>
      </c>
      <c r="D49" s="540" t="s">
        <v>45</v>
      </c>
      <c r="E49" s="501" t="s">
        <v>46</v>
      </c>
      <c r="F49" s="510" t="s">
        <v>47</v>
      </c>
      <c r="G49" s="549" t="s">
        <v>48</v>
      </c>
      <c r="H49" s="537" t="s">
        <v>49</v>
      </c>
      <c r="I49" s="537" t="s">
        <v>50</v>
      </c>
      <c r="J49" s="543" t="s">
        <v>28</v>
      </c>
      <c r="K49" s="499" t="s">
        <v>51</v>
      </c>
      <c r="L49" s="552" t="s">
        <v>52</v>
      </c>
      <c r="M49" s="543" t="s">
        <v>53</v>
      </c>
      <c r="N49" s="13"/>
      <c r="O49" s="13"/>
      <c r="P49" s="50"/>
    </row>
    <row r="50" spans="1:57" ht="28.5" customHeight="1" thickTop="1" thickBot="1">
      <c r="B50" s="538"/>
      <c r="C50" s="539"/>
      <c r="D50" s="541"/>
      <c r="E50" s="542"/>
      <c r="F50" s="554"/>
      <c r="G50" s="550"/>
      <c r="H50" s="538"/>
      <c r="I50" s="538"/>
      <c r="J50" s="544"/>
      <c r="K50" s="551"/>
      <c r="L50" s="553"/>
      <c r="M50" s="544"/>
      <c r="N50" s="13"/>
      <c r="O50" s="13"/>
      <c r="P50" s="50"/>
      <c r="Q50" s="355"/>
      <c r="AB50" s="475">
        <v>43474</v>
      </c>
      <c r="AC50" s="475">
        <v>43475</v>
      </c>
      <c r="AD50" s="475">
        <v>43476</v>
      </c>
      <c r="AE50" s="475">
        <v>43477</v>
      </c>
      <c r="AF50" s="475">
        <v>43478</v>
      </c>
      <c r="AG50" s="475">
        <v>43479</v>
      </c>
      <c r="AH50" s="475">
        <v>43480</v>
      </c>
      <c r="AI50" s="475">
        <v>43481</v>
      </c>
      <c r="AJ50" s="475">
        <v>43482</v>
      </c>
      <c r="AK50" s="475">
        <v>43483</v>
      </c>
      <c r="AL50" s="475">
        <v>43484</v>
      </c>
      <c r="AM50" s="475">
        <v>43485</v>
      </c>
      <c r="AN50" s="475">
        <v>43486</v>
      </c>
      <c r="AO50" s="475">
        <v>43487</v>
      </c>
      <c r="AP50" s="475">
        <v>43488</v>
      </c>
      <c r="AQ50" s="475">
        <v>43489</v>
      </c>
      <c r="AR50" s="475">
        <v>43490</v>
      </c>
      <c r="AS50" s="475">
        <v>43491</v>
      </c>
      <c r="AT50" s="475">
        <v>43492</v>
      </c>
      <c r="AU50" s="475">
        <v>43493</v>
      </c>
      <c r="AV50" s="475">
        <v>43494</v>
      </c>
      <c r="AW50" s="475">
        <v>43495</v>
      </c>
      <c r="AX50" s="475">
        <v>43496</v>
      </c>
    </row>
    <row r="51" spans="1:57" s="54" customFormat="1" ht="36.75" customHeight="1" thickBot="1">
      <c r="B51" s="484"/>
      <c r="C51" s="479"/>
      <c r="D51" s="442"/>
      <c r="E51" s="443"/>
      <c r="F51" s="444"/>
      <c r="G51" s="445"/>
      <c r="H51" s="458"/>
      <c r="I51" s="458"/>
      <c r="J51" s="448"/>
      <c r="K51" s="449"/>
      <c r="L51" s="476"/>
      <c r="M51" s="455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[14]January_2019!L5</f>
        <v>0</v>
      </c>
      <c r="AC51" s="57">
        <f>[14]January_2019!M5</f>
        <v>0</v>
      </c>
      <c r="AD51" s="57">
        <f>[14]January_2019!N5</f>
        <v>0</v>
      </c>
      <c r="AE51" s="57">
        <f>[14]January_2019!O5</f>
        <v>0</v>
      </c>
      <c r="AF51" s="57">
        <f>[14]January_2019!P5</f>
        <v>0</v>
      </c>
      <c r="AG51" s="57">
        <f>[14]January_2019!Q5</f>
        <v>0</v>
      </c>
      <c r="AH51" s="57">
        <f>[14]January_2019!R5</f>
        <v>0</v>
      </c>
      <c r="AI51" s="57">
        <f>[14]January_2019!S5</f>
        <v>0</v>
      </c>
      <c r="AJ51" s="57">
        <f>[14]January_2019!T5</f>
        <v>0</v>
      </c>
      <c r="AK51" s="57">
        <f>[14]January_2019!U5</f>
        <v>0</v>
      </c>
      <c r="AL51" s="57">
        <f>[14]January_2019!V5</f>
        <v>0</v>
      </c>
      <c r="AM51" s="57">
        <f>[14]January_2019!W5</f>
        <v>0</v>
      </c>
      <c r="AN51" s="57">
        <f>[14]January_2019!X5</f>
        <v>0</v>
      </c>
      <c r="AO51" s="57">
        <f>[14]January_2019!Y5</f>
        <v>0</v>
      </c>
      <c r="AP51" s="57">
        <f>[14]January_2019!Z5</f>
        <v>0</v>
      </c>
      <c r="AQ51" s="57">
        <f>[14]January_2019!AA5</f>
        <v>0</v>
      </c>
      <c r="AR51" s="57">
        <f>[14]January_2019!AB5</f>
        <v>0</v>
      </c>
      <c r="AS51" s="57">
        <f>[14]January_2019!AC5</f>
        <v>0</v>
      </c>
      <c r="AT51" s="57">
        <f>[14]January_2019!AD5</f>
        <v>0</v>
      </c>
      <c r="AU51" s="57">
        <f>[14]January_2019!AE5</f>
        <v>0</v>
      </c>
      <c r="AV51" s="57">
        <f>[14]January_2019!AF5</f>
        <v>0</v>
      </c>
      <c r="AW51" s="57">
        <f>[14]January_2019!AG5</f>
        <v>0</v>
      </c>
      <c r="AX51" s="277">
        <f>[14]January_2019!AH5</f>
        <v>0</v>
      </c>
      <c r="AY51" s="277"/>
      <c r="AZ51" s="277"/>
      <c r="BA51" s="277"/>
      <c r="BB51" s="277"/>
      <c r="BC51" s="277"/>
      <c r="BD51" s="277"/>
      <c r="BE51" s="277"/>
    </row>
    <row r="52" spans="1:57" s="54" customFormat="1" ht="14.25" customHeight="1" thickBot="1">
      <c r="B52" s="480"/>
      <c r="C52" s="479"/>
      <c r="D52" s="442"/>
      <c r="E52" s="443"/>
      <c r="F52" s="444"/>
      <c r="G52" s="445"/>
      <c r="H52" s="458"/>
      <c r="I52" s="458"/>
      <c r="J52" s="476"/>
      <c r="K52" s="449"/>
      <c r="L52" s="457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[14]January_2019!L6</f>
        <v>0</v>
      </c>
      <c r="AC52" s="57">
        <f>[14]January_2019!M6</f>
        <v>0</v>
      </c>
      <c r="AD52" s="57">
        <f>[14]January_2019!N6</f>
        <v>0</v>
      </c>
      <c r="AE52" s="57">
        <f>[14]January_2019!O6</f>
        <v>0</v>
      </c>
      <c r="AF52" s="57">
        <f>[14]January_2019!P6</f>
        <v>0</v>
      </c>
      <c r="AG52" s="57">
        <f>[14]January_2019!Q6</f>
        <v>0</v>
      </c>
      <c r="AH52" s="57">
        <f>[14]January_2019!R6</f>
        <v>0</v>
      </c>
      <c r="AI52" s="57">
        <f>[14]January_2019!S6</f>
        <v>0</v>
      </c>
      <c r="AJ52" s="57">
        <f>[14]January_2019!T6</f>
        <v>0</v>
      </c>
      <c r="AK52" s="57">
        <f>[14]January_2019!U6</f>
        <v>0</v>
      </c>
      <c r="AL52" s="57">
        <f>[14]January_2019!V6</f>
        <v>0</v>
      </c>
      <c r="AM52" s="57">
        <f>[14]January_2019!W6</f>
        <v>0</v>
      </c>
      <c r="AN52" s="57">
        <f>[14]January_2019!X6</f>
        <v>0</v>
      </c>
      <c r="AO52" s="57">
        <f>[14]January_2019!Y6</f>
        <v>0</v>
      </c>
      <c r="AP52" s="57">
        <f>[14]January_2019!Z6</f>
        <v>0</v>
      </c>
      <c r="AQ52" s="57">
        <f>[14]January_2019!AA6</f>
        <v>0</v>
      </c>
      <c r="AR52" s="57">
        <f>[14]January_2019!AB6</f>
        <v>0</v>
      </c>
      <c r="AS52" s="57">
        <f>[14]January_2019!AC6</f>
        <v>0</v>
      </c>
      <c r="AT52" s="57">
        <f>[14]January_2019!AD6</f>
        <v>0</v>
      </c>
      <c r="AU52" s="57">
        <f>[14]January_2019!AE6</f>
        <v>0</v>
      </c>
      <c r="AV52" s="57">
        <f>[14]January_2019!AF6</f>
        <v>0</v>
      </c>
      <c r="AW52" s="57">
        <f>[14]January_2019!AG6</f>
        <v>0</v>
      </c>
      <c r="AX52" s="277">
        <f>[14]January_2019!AH6</f>
        <v>0</v>
      </c>
      <c r="AY52" s="277"/>
      <c r="AZ52" s="277"/>
      <c r="BA52" s="277"/>
      <c r="BB52" s="277"/>
      <c r="BC52" s="277"/>
      <c r="BD52" s="277"/>
      <c r="BE52" s="277"/>
    </row>
    <row r="53" spans="1:57" s="54" customFormat="1" ht="37.15" hidden="1" customHeight="1" thickBot="1">
      <c r="A53" s="54" t="s">
        <v>168</v>
      </c>
      <c r="B53" s="480"/>
      <c r="C53" s="479"/>
      <c r="D53" s="442"/>
      <c r="E53" s="443"/>
      <c r="F53" s="444"/>
      <c r="G53" s="445"/>
      <c r="H53" s="458"/>
      <c r="I53" s="458"/>
      <c r="J53" s="448"/>
      <c r="K53" s="44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[14]January_2019!L7</f>
        <v>285.8</v>
      </c>
      <c r="AC53" s="57">
        <f>[14]January_2019!M7</f>
        <v>508.1</v>
      </c>
      <c r="AD53" s="57">
        <f>[14]January_2019!N7</f>
        <v>0</v>
      </c>
      <c r="AE53" s="57">
        <f>[14]January_2019!O7</f>
        <v>0</v>
      </c>
      <c r="AF53" s="57">
        <f>[14]January_2019!P7</f>
        <v>109.56666666666666</v>
      </c>
      <c r="AG53" s="57">
        <f>[14]January_2019!Q7</f>
        <v>297.64999999999998</v>
      </c>
      <c r="AH53" s="57">
        <f>[14]January_2019!R7</f>
        <v>122.3</v>
      </c>
      <c r="AI53" s="57">
        <f>[14]January_2019!S7</f>
        <v>0</v>
      </c>
      <c r="AJ53" s="57">
        <f>[14]January_2019!T7</f>
        <v>294.7</v>
      </c>
      <c r="AK53" s="57">
        <f>[14]January_2019!U7</f>
        <v>280.5</v>
      </c>
      <c r="AL53" s="57">
        <f>[14]January_2019!V7</f>
        <v>0</v>
      </c>
      <c r="AM53" s="57">
        <f>[14]January_2019!W7</f>
        <v>0</v>
      </c>
      <c r="AN53" s="57">
        <f>[14]January_2019!X7</f>
        <v>188.25</v>
      </c>
      <c r="AO53" s="57">
        <f>[14]January_2019!Y7</f>
        <v>295.7</v>
      </c>
      <c r="AP53" s="57">
        <f>[14]January_2019!Z7</f>
        <v>257.8</v>
      </c>
      <c r="AQ53" s="57">
        <f>[14]January_2019!AA7</f>
        <v>291.2</v>
      </c>
      <c r="AR53" s="57">
        <f>[14]January_2019!AB7</f>
        <v>187</v>
      </c>
      <c r="AS53" s="57">
        <f>[14]January_2019!AC7</f>
        <v>0</v>
      </c>
      <c r="AT53" s="57">
        <f>[14]January_2019!AD7</f>
        <v>0</v>
      </c>
      <c r="AU53" s="57">
        <f>[14]January_2019!AE7</f>
        <v>485.1</v>
      </c>
      <c r="AV53" s="57">
        <f>[14]January_2019!AF7</f>
        <v>171.55</v>
      </c>
      <c r="AW53" s="57">
        <f>[14]January_2019!AG7</f>
        <v>423.8</v>
      </c>
      <c r="AX53" s="277">
        <f>[14]January_2019!AH7</f>
        <v>0</v>
      </c>
      <c r="AY53" s="277"/>
      <c r="AZ53" s="277"/>
      <c r="BA53" s="277"/>
      <c r="BB53" s="277"/>
      <c r="BC53" s="277"/>
      <c r="BD53" s="277"/>
      <c r="BE53" s="277"/>
    </row>
    <row r="54" spans="1:57" s="54" customFormat="1" ht="19.5" hidden="1" customHeight="1" thickBot="1">
      <c r="B54" s="478"/>
      <c r="C54" s="430"/>
      <c r="D54" s="431"/>
      <c r="E54" s="432"/>
      <c r="F54" s="433"/>
      <c r="G54" s="434"/>
      <c r="H54" s="458"/>
      <c r="I54" s="458"/>
      <c r="J54" s="451"/>
      <c r="K54" s="436"/>
      <c r="L54" s="452"/>
      <c r="M54" s="421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1:57" s="54" customFormat="1" ht="38.450000000000003" hidden="1" customHeight="1" thickBot="1">
      <c r="B55" s="480"/>
      <c r="C55" s="479"/>
      <c r="D55" s="442"/>
      <c r="E55" s="443"/>
      <c r="F55" s="444"/>
      <c r="G55" s="445"/>
      <c r="H55" s="458"/>
      <c r="I55" s="458"/>
      <c r="J55" s="448" t="s">
        <v>171</v>
      </c>
      <c r="K55" s="459"/>
      <c r="L55" s="457" t="e">
        <f>(((D55+E55)-G55)/(D55+E55))*100</f>
        <v>#DIV/0!</v>
      </c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1:57" s="54" customFormat="1" ht="15" hidden="1">
      <c r="B56" s="453"/>
      <c r="C56" s="430"/>
      <c r="D56" s="431"/>
      <c r="E56" s="432"/>
      <c r="F56" s="433"/>
      <c r="G56" s="434"/>
      <c r="H56" s="435"/>
      <c r="I56" s="450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1:57" s="54" customFormat="1" ht="37.15" hidden="1" customHeight="1" thickBot="1">
      <c r="B57" s="480"/>
      <c r="C57" s="479"/>
      <c r="D57" s="442"/>
      <c r="E57" s="443"/>
      <c r="F57" s="444"/>
      <c r="G57" s="445"/>
      <c r="H57" s="446"/>
      <c r="I57" s="447"/>
      <c r="J57" s="448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1:57" s="54" customFormat="1" ht="16.5" hidden="1" customHeight="1" thickBot="1">
      <c r="B58" s="437"/>
      <c r="C58" s="423"/>
      <c r="D58" s="424"/>
      <c r="E58" s="425"/>
      <c r="F58" s="426"/>
      <c r="G58" s="427"/>
      <c r="H58" s="428"/>
      <c r="I58" s="438"/>
      <c r="J58" s="439"/>
      <c r="K58" s="429"/>
      <c r="L58" s="440"/>
      <c r="M58" s="422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415"/>
      <c r="AC58" s="415"/>
      <c r="AD58" s="415"/>
      <c r="AE58" s="415"/>
      <c r="AF58" s="415"/>
      <c r="AG58" s="415"/>
      <c r="AH58" s="415"/>
      <c r="AI58" s="415"/>
      <c r="AJ58" s="415"/>
      <c r="AK58" s="415"/>
      <c r="AL58" s="415"/>
      <c r="AM58" s="415"/>
      <c r="AN58" s="415"/>
      <c r="AO58" s="415"/>
      <c r="AP58" s="415"/>
      <c r="AQ58" s="415"/>
      <c r="AR58" s="415"/>
      <c r="AS58" s="415"/>
      <c r="AT58" s="415"/>
      <c r="AU58" s="415"/>
      <c r="AV58" s="415"/>
      <c r="AW58" s="415"/>
    </row>
    <row r="59" spans="1:57" s="54" customFormat="1" ht="37.15" hidden="1" customHeight="1" thickBot="1">
      <c r="B59" s="456"/>
      <c r="C59" s="441"/>
      <c r="D59" s="442"/>
      <c r="E59" s="443"/>
      <c r="F59" s="444"/>
      <c r="G59" s="445"/>
      <c r="H59" s="446"/>
      <c r="I59" s="447"/>
      <c r="J59" s="448"/>
      <c r="K59" s="449"/>
      <c r="L59" s="457"/>
      <c r="M59" s="454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37.15" customHeight="1">
      <c r="B60" s="466"/>
      <c r="C60" s="430"/>
      <c r="D60" s="460"/>
      <c r="E60" s="461"/>
      <c r="F60" s="462"/>
      <c r="G60" s="460"/>
      <c r="H60" s="463"/>
      <c r="I60" s="463"/>
      <c r="J60" s="463"/>
      <c r="K60" s="464"/>
      <c r="L60" s="465"/>
      <c r="M60" s="50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ht="18" customHeight="1" thickBot="1">
      <c r="B61" s="59"/>
      <c r="C61" s="30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 t="s">
        <v>41</v>
      </c>
      <c r="O61" s="56"/>
      <c r="P61" s="60"/>
    </row>
    <row r="62" spans="1:57" ht="15.75" thickBot="1">
      <c r="B62" s="545" t="s">
        <v>55</v>
      </c>
      <c r="C62" s="546"/>
      <c r="D62" s="546"/>
      <c r="E62" s="546"/>
      <c r="F62" s="547"/>
      <c r="G62" s="545" t="s">
        <v>56</v>
      </c>
      <c r="H62" s="546"/>
      <c r="I62" s="546"/>
      <c r="J62" s="547"/>
      <c r="K62" s="545" t="s">
        <v>51</v>
      </c>
      <c r="L62" s="546"/>
      <c r="M62" s="546"/>
      <c r="N62" s="548"/>
      <c r="O62" s="56"/>
      <c r="P62" s="50"/>
    </row>
    <row r="63" spans="1:57" ht="15">
      <c r="B63" s="61" t="s">
        <v>17</v>
      </c>
      <c r="C63" s="62" t="s">
        <v>36</v>
      </c>
      <c r="D63" s="62" t="s">
        <v>37</v>
      </c>
      <c r="E63" s="62" t="s">
        <v>38</v>
      </c>
      <c r="F63" s="63" t="s">
        <v>39</v>
      </c>
      <c r="G63" s="62" t="s">
        <v>36</v>
      </c>
      <c r="H63" s="62" t="s">
        <v>37</v>
      </c>
      <c r="I63" s="62" t="s">
        <v>38</v>
      </c>
      <c r="J63" s="63" t="s">
        <v>39</v>
      </c>
      <c r="K63" s="62" t="s">
        <v>36</v>
      </c>
      <c r="L63" s="62" t="s">
        <v>37</v>
      </c>
      <c r="M63" s="62" t="s">
        <v>38</v>
      </c>
      <c r="N63" s="63" t="s">
        <v>39</v>
      </c>
      <c r="O63" s="56"/>
      <c r="P63" s="64"/>
    </row>
    <row r="64" spans="1:57" ht="15">
      <c r="B64" s="29" t="s">
        <v>6</v>
      </c>
      <c r="C64" s="282"/>
      <c r="D64" s="76">
        <v>6.4013350546302155</v>
      </c>
      <c r="E64" s="76">
        <v>7.0119249176380309</v>
      </c>
      <c r="F64" s="66">
        <v>4.8</v>
      </c>
      <c r="G64" s="65"/>
      <c r="H64" s="477">
        <v>5.7706564474715716</v>
      </c>
      <c r="I64" s="477">
        <v>6.9165248305015652</v>
      </c>
      <c r="J64" s="66">
        <v>4.8</v>
      </c>
      <c r="K64" s="67"/>
      <c r="L64" s="194">
        <v>0.436797723475355</v>
      </c>
      <c r="M64" s="194">
        <v>0.40085154944546642</v>
      </c>
      <c r="N64" s="68">
        <v>1</v>
      </c>
      <c r="O64" s="56"/>
      <c r="P64" s="69"/>
    </row>
    <row r="65" spans="2:16" ht="15">
      <c r="B65" s="33" t="s">
        <v>9</v>
      </c>
      <c r="C65" s="65"/>
      <c r="D65" s="76">
        <v>6.49747008272427</v>
      </c>
      <c r="E65" s="76">
        <v>6.3411334413966323</v>
      </c>
      <c r="F65" s="66">
        <v>4.8</v>
      </c>
      <c r="G65" s="65"/>
      <c r="H65" s="76">
        <v>5.8363193922358541</v>
      </c>
      <c r="I65" s="76">
        <v>6.0615758973702238</v>
      </c>
      <c r="J65" s="66">
        <v>4.8</v>
      </c>
      <c r="K65" s="67"/>
      <c r="L65" s="194">
        <v>0.86557894736842111</v>
      </c>
      <c r="M65" s="194">
        <v>0.66474567163482645</v>
      </c>
      <c r="N65" s="68">
        <v>1</v>
      </c>
      <c r="P65" s="69"/>
    </row>
    <row r="66" spans="2:16" ht="15">
      <c r="B66" s="34" t="s">
        <v>40</v>
      </c>
      <c r="C66" s="65"/>
      <c r="D66" s="76">
        <v>12.686094393411453</v>
      </c>
      <c r="E66" s="76">
        <v>12.557379600093356</v>
      </c>
      <c r="F66" s="66">
        <v>5.5</v>
      </c>
      <c r="G66" s="491"/>
      <c r="H66" s="76">
        <v>16.188465805007624</v>
      </c>
      <c r="I66" s="76">
        <v>14.409617014725914</v>
      </c>
      <c r="J66" s="66">
        <v>5.5</v>
      </c>
      <c r="K66" s="67"/>
      <c r="L66" s="194">
        <v>0.22560526315789473</v>
      </c>
      <c r="M66" s="194">
        <v>0.29359298245614035</v>
      </c>
      <c r="N66" s="68">
        <v>1</v>
      </c>
      <c r="P66" s="69"/>
    </row>
    <row r="67" spans="2:16" ht="15">
      <c r="B67" s="22" t="s">
        <v>33</v>
      </c>
      <c r="C67" s="65"/>
      <c r="D67" s="76">
        <v>4.786281034041461</v>
      </c>
      <c r="E67" s="76">
        <v>4.9619586520196597</v>
      </c>
      <c r="F67" s="66">
        <v>3.3</v>
      </c>
      <c r="G67" s="65"/>
      <c r="H67" s="76">
        <v>5.4251963146907434</v>
      </c>
      <c r="I67" s="76">
        <v>4.9501867212112511</v>
      </c>
      <c r="J67" s="66">
        <v>3.3</v>
      </c>
      <c r="K67" s="67"/>
      <c r="L67" s="194">
        <v>1.3052631578947369</v>
      </c>
      <c r="M67" s="194">
        <v>0.88064327485380123</v>
      </c>
      <c r="N67" s="68">
        <v>1</v>
      </c>
      <c r="P67" s="69"/>
    </row>
    <row r="68" spans="2:16" ht="15">
      <c r="B68" s="35" t="s">
        <v>164</v>
      </c>
      <c r="C68" s="65"/>
      <c r="D68" s="76"/>
      <c r="E68" s="76"/>
      <c r="F68" s="66">
        <v>3.3</v>
      </c>
      <c r="G68" s="282"/>
      <c r="H68" s="76"/>
      <c r="I68" s="76"/>
      <c r="J68" s="66">
        <v>3</v>
      </c>
      <c r="K68" s="67"/>
      <c r="L68" s="194"/>
      <c r="M68" s="194"/>
      <c r="N68" s="68">
        <v>1</v>
      </c>
      <c r="P68" s="69"/>
    </row>
    <row r="69" spans="2:16" ht="15">
      <c r="B69" s="36" t="s">
        <v>15</v>
      </c>
      <c r="C69" s="65"/>
      <c r="D69" s="76"/>
      <c r="E69" s="76">
        <v>5.1105651105651271</v>
      </c>
      <c r="F69" s="70">
        <f>[15]May_2022!$M$43</f>
        <v>3.4878406700073312</v>
      </c>
      <c r="G69" s="282"/>
      <c r="H69" s="76"/>
      <c r="I69" s="76">
        <v>7.9131369535794072</v>
      </c>
      <c r="J69" s="66">
        <v>5.5</v>
      </c>
      <c r="K69" s="67"/>
      <c r="L69" s="194"/>
      <c r="M69" s="194">
        <v>1.3550877192982456</v>
      </c>
      <c r="N69" s="68">
        <v>1</v>
      </c>
      <c r="P69" s="69"/>
    </row>
    <row r="70" spans="2:16" ht="15">
      <c r="B70" s="37" t="s">
        <v>16</v>
      </c>
      <c r="C70" s="65"/>
      <c r="D70" s="76">
        <v>3.990890358963231</v>
      </c>
      <c r="E70" s="76">
        <v>3.9654240950837436</v>
      </c>
      <c r="F70" s="66">
        <v>3.3</v>
      </c>
      <c r="G70" s="282"/>
      <c r="H70" s="76">
        <v>7.5259787647367338</v>
      </c>
      <c r="I70" s="76">
        <v>6.1323263986468994</v>
      </c>
      <c r="J70" s="66">
        <v>3.3</v>
      </c>
      <c r="K70" s="67"/>
      <c r="L70" s="194">
        <v>1.0967836257309942</v>
      </c>
      <c r="M70" s="194">
        <v>0.93295906432748543</v>
      </c>
      <c r="N70" s="71">
        <v>1</v>
      </c>
      <c r="P70" s="69"/>
    </row>
    <row r="71" spans="2:16" ht="15.75" thickBot="1">
      <c r="B71" s="38" t="s">
        <v>163</v>
      </c>
      <c r="C71" s="65"/>
      <c r="D71" s="76"/>
      <c r="E71" s="76"/>
      <c r="F71" s="66">
        <v>7.5</v>
      </c>
      <c r="G71" s="282"/>
      <c r="H71" s="76"/>
      <c r="I71" s="76"/>
      <c r="J71" s="66">
        <v>7.5</v>
      </c>
      <c r="K71" s="67"/>
      <c r="L71" s="194"/>
      <c r="M71" s="194"/>
      <c r="N71" s="71">
        <v>1</v>
      </c>
      <c r="P71" s="69"/>
    </row>
    <row r="72" spans="2:16" ht="15.75" thickBot="1">
      <c r="B72" s="414" t="s">
        <v>161</v>
      </c>
      <c r="C72" s="65"/>
      <c r="D72" s="76"/>
      <c r="E72" s="76"/>
      <c r="F72" s="66">
        <v>4.8</v>
      </c>
      <c r="G72" s="282"/>
      <c r="H72" s="76"/>
      <c r="I72" s="76"/>
      <c r="J72" s="66">
        <v>4.8</v>
      </c>
      <c r="K72" s="67"/>
      <c r="L72" s="194"/>
      <c r="M72" s="194"/>
      <c r="N72" s="71">
        <v>1</v>
      </c>
      <c r="O72" s="74"/>
      <c r="P72" s="75"/>
    </row>
    <row r="73" spans="2:16" ht="15">
      <c r="D73" s="76">
        <v>6.579241291407695</v>
      </c>
      <c r="E73" s="76">
        <v>6.7581438606429041</v>
      </c>
      <c r="F73" s="341">
        <v>5.5</v>
      </c>
      <c r="H73" s="76">
        <v>7.247277298266452</v>
      </c>
      <c r="I73" s="76">
        <v>7.1686832894353127</v>
      </c>
      <c r="J73" s="341">
        <v>5.5</v>
      </c>
      <c r="L73" s="194">
        <v>0.65401763668430335</v>
      </c>
      <c r="M73" s="194">
        <v>0.50592007101086045</v>
      </c>
      <c r="N73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0:N20"/>
    <mergeCell ref="D21:E21"/>
    <mergeCell ref="B22:B33"/>
    <mergeCell ref="D22:E23"/>
    <mergeCell ref="D24:E25"/>
    <mergeCell ref="D26:E27"/>
    <mergeCell ref="D28:E29"/>
    <mergeCell ref="D30:E31"/>
    <mergeCell ref="D32:E33"/>
    <mergeCell ref="B34:B43"/>
    <mergeCell ref="D34:E35"/>
    <mergeCell ref="J34:K34"/>
    <mergeCell ref="L35:N35"/>
    <mergeCell ref="D36:E37"/>
    <mergeCell ref="D38:E39"/>
    <mergeCell ref="D40:E41"/>
    <mergeCell ref="D42:E43"/>
    <mergeCell ref="D44:E44"/>
    <mergeCell ref="B49:B50"/>
    <mergeCell ref="C49:C50"/>
    <mergeCell ref="D49:D50"/>
    <mergeCell ref="E49:E50"/>
    <mergeCell ref="M49:M50"/>
    <mergeCell ref="B62:F62"/>
    <mergeCell ref="G62:J62"/>
    <mergeCell ref="K62:N62"/>
    <mergeCell ref="G49:G50"/>
    <mergeCell ref="H49:H50"/>
    <mergeCell ref="I49:I50"/>
    <mergeCell ref="J49:J50"/>
    <mergeCell ref="K49:K50"/>
    <mergeCell ref="L49:L50"/>
    <mergeCell ref="F49:F50"/>
  </mergeCells>
  <conditionalFormatting sqref="B44:B45">
    <cfRule type="cellIs" dxfId="656" priority="63" operator="notBetween">
      <formula>#REF!</formula>
      <formula>#REF!</formula>
    </cfRule>
  </conditionalFormatting>
  <conditionalFormatting sqref="C48">
    <cfRule type="cellIs" dxfId="655" priority="158" stopIfTrue="1" operator="greaterThan">
      <formula>100</formula>
    </cfRule>
    <cfRule type="cellIs" dxfId="654" priority="157" stopIfTrue="1" operator="lessThan">
      <formula>96</formula>
    </cfRule>
  </conditionalFormatting>
  <conditionalFormatting sqref="C64:C68">
    <cfRule type="cellIs" dxfId="653" priority="126" stopIfTrue="1" operator="lessThanOrEqual">
      <formula>0</formula>
    </cfRule>
  </conditionalFormatting>
  <conditionalFormatting sqref="C64:C72">
    <cfRule type="cellIs" dxfId="652" priority="125" stopIfTrue="1" operator="greaterThan">
      <formula>$F64</formula>
    </cfRule>
  </conditionalFormatting>
  <conditionalFormatting sqref="C65">
    <cfRule type="cellIs" dxfId="651" priority="159" stopIfTrue="1" operator="greaterThan">
      <formula>$F64</formula>
    </cfRule>
  </conditionalFormatting>
  <conditionalFormatting sqref="C69">
    <cfRule type="cellIs" dxfId="650" priority="88" stopIfTrue="1" operator="greaterThan">
      <formula>$F68</formula>
    </cfRule>
    <cfRule type="cellIs" dxfId="649" priority="87" stopIfTrue="1" operator="lessThanOrEqual">
      <formula>0</formula>
    </cfRule>
  </conditionalFormatting>
  <conditionalFormatting sqref="C70:C72">
    <cfRule type="cellIs" dxfId="648" priority="127" stopIfTrue="1" operator="lessThanOrEqual">
      <formula>0</formula>
    </cfRule>
  </conditionalFormatting>
  <conditionalFormatting sqref="C75:C79">
    <cfRule type="cellIs" dxfId="647" priority="149" stopIfTrue="1" operator="lessThanOrEqual">
      <formula>0</formula>
    </cfRule>
  </conditionalFormatting>
  <conditionalFormatting sqref="C76:C79">
    <cfRule type="cellIs" dxfId="646" priority="148" stopIfTrue="1" operator="greaterThan">
      <formula>$F$75</formula>
    </cfRule>
  </conditionalFormatting>
  <conditionalFormatting sqref="C81">
    <cfRule type="cellIs" dxfId="645" priority="150" stopIfTrue="1" operator="greaterThan">
      <formula>$F$75</formula>
    </cfRule>
    <cfRule type="cellIs" dxfId="644" priority="151" stopIfTrue="1" operator="lessThanOrEqual">
      <formula>0</formula>
    </cfRule>
  </conditionalFormatting>
  <conditionalFormatting sqref="C75:D75 D77:D83">
    <cfRule type="cellIs" dxfId="643" priority="143" stopIfTrue="1" operator="greaterThan">
      <formula>4.5</formula>
    </cfRule>
  </conditionalFormatting>
  <conditionalFormatting sqref="D44:D45">
    <cfRule type="cellIs" dxfId="642" priority="64" operator="notBetween">
      <formula>#REF!</formula>
      <formula>#REF!</formula>
    </cfRule>
  </conditionalFormatting>
  <conditionalFormatting sqref="D64:D71">
    <cfRule type="cellIs" dxfId="641" priority="38" stopIfTrue="1" operator="lessThanOrEqual">
      <formula>0</formula>
    </cfRule>
  </conditionalFormatting>
  <conditionalFormatting sqref="D64:D73">
    <cfRule type="cellIs" dxfId="640" priority="17" stopIfTrue="1" operator="lessThanOrEqual">
      <formula>0</formula>
    </cfRule>
  </conditionalFormatting>
  <conditionalFormatting sqref="D72">
    <cfRule type="cellIs" dxfId="639" priority="37" stopIfTrue="1" operator="lessThanOrEqual">
      <formula>0</formula>
    </cfRule>
  </conditionalFormatting>
  <conditionalFormatting sqref="D73">
    <cfRule type="cellIs" dxfId="638" priority="32" stopIfTrue="1" operator="lessThanOrEqual">
      <formula>0</formula>
    </cfRule>
  </conditionalFormatting>
  <conditionalFormatting sqref="D75 D77:D83">
    <cfRule type="cellIs" dxfId="637" priority="144" stopIfTrue="1" operator="lessThanOrEqual">
      <formula>0</formula>
    </cfRule>
  </conditionalFormatting>
  <conditionalFormatting sqref="D76">
    <cfRule type="cellIs" dxfId="636" priority="135" stopIfTrue="1" operator="greaterThan">
      <formula>$F$75</formula>
    </cfRule>
    <cfRule type="cellIs" dxfId="635" priority="136" stopIfTrue="1" operator="lessThanOrEqual">
      <formula>0</formula>
    </cfRule>
  </conditionalFormatting>
  <conditionalFormatting sqref="D64:E73">
    <cfRule type="cellIs" dxfId="634" priority="19" stopIfTrue="1" operator="greaterThan">
      <formula>$F64</formula>
    </cfRule>
  </conditionalFormatting>
  <conditionalFormatting sqref="D73:E73">
    <cfRule type="cellIs" dxfId="633" priority="21" stopIfTrue="1" operator="lessThanOrEqual">
      <formula>0</formula>
    </cfRule>
  </conditionalFormatting>
  <conditionalFormatting sqref="E10:E19">
    <cfRule type="cellIs" dxfId="632" priority="8" operator="lessThan">
      <formula>48</formula>
    </cfRule>
  </conditionalFormatting>
  <conditionalFormatting sqref="E47 E48:F48">
    <cfRule type="cellIs" dxfId="631" priority="140" stopIfTrue="1" operator="greaterThan">
      <formula>100</formula>
    </cfRule>
  </conditionalFormatting>
  <conditionalFormatting sqref="E48">
    <cfRule type="cellIs" dxfId="630" priority="138" stopIfTrue="1" operator="greaterThan">
      <formula>100</formula>
    </cfRule>
    <cfRule type="cellIs" dxfId="629" priority="137" stopIfTrue="1" operator="lessThan">
      <formula>96.8</formula>
    </cfRule>
  </conditionalFormatting>
  <conditionalFormatting sqref="E64:E72">
    <cfRule type="cellIs" dxfId="628" priority="18" stopIfTrue="1" operator="lessThanOrEqual">
      <formula>0</formula>
    </cfRule>
  </conditionalFormatting>
  <conditionalFormatting sqref="E64:E73">
    <cfRule type="cellIs" dxfId="627" priority="20" stopIfTrue="1" operator="lessThanOrEqual">
      <formula>0</formula>
    </cfRule>
  </conditionalFormatting>
  <conditionalFormatting sqref="E75:E83">
    <cfRule type="cellIs" dxfId="626" priority="129" stopIfTrue="1" operator="greaterThan">
      <formula>4.5</formula>
    </cfRule>
    <cfRule type="cellIs" dxfId="625" priority="130" stopIfTrue="1" operator="lessThanOrEqual">
      <formula>0</formula>
    </cfRule>
  </conditionalFormatting>
  <conditionalFormatting sqref="E48:F48 E47">
    <cfRule type="cellIs" dxfId="624" priority="139" stopIfTrue="1" operator="lessThan">
      <formula>96.5</formula>
    </cfRule>
  </conditionalFormatting>
  <conditionalFormatting sqref="F10:F19">
    <cfRule type="cellIs" dxfId="623" priority="13" operator="greaterThan">
      <formula>60</formula>
    </cfRule>
  </conditionalFormatting>
  <conditionalFormatting sqref="F48">
    <cfRule type="cellIs" dxfId="622" priority="155" stopIfTrue="1" operator="lessThan">
      <formula>96.8</formula>
    </cfRule>
    <cfRule type="cellIs" dxfId="621" priority="156" stopIfTrue="1" operator="greaterThan">
      <formula>100</formula>
    </cfRule>
  </conditionalFormatting>
  <conditionalFormatting sqref="F73">
    <cfRule type="cellIs" dxfId="620" priority="36" stopIfTrue="1" operator="lessThanOrEqual">
      <formula>0</formula>
    </cfRule>
    <cfRule type="cellIs" dxfId="619" priority="35" stopIfTrue="1" operator="greaterThan">
      <formula>$F73</formula>
    </cfRule>
  </conditionalFormatting>
  <conditionalFormatting sqref="G10:G13 G17:G19">
    <cfRule type="expression" dxfId="618" priority="10">
      <formula>IF(+(IF(G10&lt;S10,0,IF(G10&gt;T10,0,1)))=0,1)</formula>
    </cfRule>
  </conditionalFormatting>
  <conditionalFormatting sqref="G14 M14:N14">
    <cfRule type="expression" dxfId="617" priority="252">
      <formula>IF(+(IF(G14&lt;#REF!,0,IF(G14&gt;#REF!,0,1)))=0,1)</formula>
    </cfRule>
  </conditionalFormatting>
  <conditionalFormatting sqref="G15:G16">
    <cfRule type="expression" dxfId="616" priority="224">
      <formula>IF(+(IF(G15&lt;S14,0,IF(G15&gt;T14,0,1)))=0,1)</formula>
    </cfRule>
  </conditionalFormatting>
  <conditionalFormatting sqref="G64:G65">
    <cfRule type="cellIs" dxfId="615" priority="33" stopIfTrue="1" operator="greaterThan">
      <formula>$F64</formula>
    </cfRule>
    <cfRule type="cellIs" dxfId="614" priority="34" stopIfTrue="1" operator="lessThanOrEqual">
      <formula>0</formula>
    </cfRule>
    <cfRule type="cellIs" dxfId="613" priority="39" stopIfTrue="1" operator="greaterThan">
      <formula>$F64</formula>
    </cfRule>
    <cfRule type="cellIs" dxfId="612" priority="40" stopIfTrue="1" operator="lessThanOrEqual">
      <formula>0</formula>
    </cfRule>
  </conditionalFormatting>
  <conditionalFormatting sqref="G66">
    <cfRule type="containsErrors" dxfId="611" priority="1" stopIfTrue="1">
      <formula>ISERROR(G66)</formula>
    </cfRule>
  </conditionalFormatting>
  <conditionalFormatting sqref="G67">
    <cfRule type="cellIs" dxfId="610" priority="25" stopIfTrue="1" operator="greaterThan">
      <formula>$F67</formula>
    </cfRule>
    <cfRule type="cellIs" dxfId="609" priority="26" stopIfTrue="1" operator="lessThanOrEqual">
      <formula>0</formula>
    </cfRule>
    <cfRule type="cellIs" dxfId="608" priority="27" stopIfTrue="1" operator="greaterThan">
      <formula>$F67</formula>
    </cfRule>
    <cfRule type="cellIs" dxfId="607" priority="28" stopIfTrue="1" operator="lessThanOrEqual">
      <formula>0</formula>
    </cfRule>
  </conditionalFormatting>
  <conditionalFormatting sqref="G68:G72">
    <cfRule type="cellIs" dxfId="606" priority="42" stopIfTrue="1" operator="lessThanOrEqual">
      <formula>0</formula>
    </cfRule>
    <cfRule type="cellIs" dxfId="605" priority="41" stopIfTrue="1" operator="greaterThan">
      <formula>$J68</formula>
    </cfRule>
  </conditionalFormatting>
  <conditionalFormatting sqref="G77:G82 C80 C82">
    <cfRule type="cellIs" dxfId="604" priority="152" stopIfTrue="1" operator="greaterThan">
      <formula>4.5</formula>
    </cfRule>
    <cfRule type="cellIs" dxfId="603" priority="153" stopIfTrue="1" operator="lessThanOrEqual">
      <formula>0</formula>
    </cfRule>
  </conditionalFormatting>
  <conditionalFormatting sqref="G76:H76">
    <cfRule type="cellIs" dxfId="602" priority="134" stopIfTrue="1" operator="lessThanOrEqual">
      <formula>0</formula>
    </cfRule>
    <cfRule type="cellIs" dxfId="601" priority="133" stopIfTrue="1" operator="greaterThan">
      <formula>$F$75</formula>
    </cfRule>
  </conditionalFormatting>
  <conditionalFormatting sqref="H10:H19">
    <cfRule type="expression" dxfId="600" priority="9">
      <formula>IF(+(IF(H10&lt;#REF!,0,IF(H10&gt;#REF!,0,1)))=0,1)</formula>
    </cfRule>
  </conditionalFormatting>
  <conditionalFormatting sqref="H33:H34 H47">
    <cfRule type="cellIs" dxfId="599" priority="131" stopIfTrue="1" operator="greaterThan">
      <formula>0</formula>
    </cfRule>
  </conditionalFormatting>
  <conditionalFormatting sqref="H51:H55">
    <cfRule type="cellIs" dxfId="598" priority="57" stopIfTrue="1" operator="greaterThan">
      <formula>$F$65</formula>
    </cfRule>
    <cfRule type="cellIs" dxfId="597" priority="58" stopIfTrue="1" operator="lessThanOrEqual">
      <formula>0</formula>
    </cfRule>
    <cfRule type="cellIs" dxfId="596" priority="46" stopIfTrue="1" operator="lessThanOrEqual">
      <formula>0</formula>
    </cfRule>
    <cfRule type="cellIs" dxfId="595" priority="55" stopIfTrue="1" operator="greaterThan">
      <formula>$F$67</formula>
    </cfRule>
    <cfRule type="cellIs" dxfId="594" priority="56" stopIfTrue="1" operator="lessThanOrEqual">
      <formula>0</formula>
    </cfRule>
    <cfRule type="cellIs" dxfId="593" priority="47" stopIfTrue="1" operator="greaterThan">
      <formula>$F$64</formula>
    </cfRule>
  </conditionalFormatting>
  <conditionalFormatting sqref="H56:H57">
    <cfRule type="cellIs" dxfId="592" priority="99" stopIfTrue="1" operator="greaterThan">
      <formula>$F$19</formula>
    </cfRule>
    <cfRule type="cellIs" dxfId="591" priority="100" stopIfTrue="1" operator="lessThanOrEqual">
      <formula>0</formula>
    </cfRule>
    <cfRule type="cellIs" dxfId="590" priority="101" stopIfTrue="1" operator="greaterThan">
      <formula>#REF!</formula>
    </cfRule>
    <cfRule type="cellIs" dxfId="589" priority="102" stopIfTrue="1" operator="lessThanOrEqual">
      <formula>0</formula>
    </cfRule>
    <cfRule type="cellIs" dxfId="588" priority="90" stopIfTrue="1" operator="lessThanOrEqual">
      <formula>0</formula>
    </cfRule>
    <cfRule type="cellIs" dxfId="587" priority="91" stopIfTrue="1" operator="greaterThan">
      <formula>#REF!</formula>
    </cfRule>
  </conditionalFormatting>
  <conditionalFormatting sqref="H58">
    <cfRule type="cellIs" dxfId="586" priority="116" stopIfTrue="1" operator="lessThanOrEqual">
      <formula>0</formula>
    </cfRule>
    <cfRule type="cellIs" dxfId="585" priority="115" stopIfTrue="1" operator="greaterThan">
      <formula>$F$33</formula>
    </cfRule>
    <cfRule type="cellIs" dxfId="584" priority="114" stopIfTrue="1" operator="lessThanOrEqual">
      <formula>0</formula>
    </cfRule>
    <cfRule type="cellIs" dxfId="583" priority="113" stopIfTrue="1" operator="greaterThan">
      <formula>$F$35</formula>
    </cfRule>
    <cfRule type="cellIs" dxfId="582" priority="105" stopIfTrue="1" operator="greaterThan">
      <formula>$F$32</formula>
    </cfRule>
    <cfRule type="cellIs" dxfId="581" priority="104" stopIfTrue="1" operator="lessThanOrEqual">
      <formula>0</formula>
    </cfRule>
  </conditionalFormatting>
  <conditionalFormatting sqref="H59:H60">
    <cfRule type="cellIs" dxfId="580" priority="83" stopIfTrue="1" operator="greaterThan">
      <formula>$F$19</formula>
    </cfRule>
    <cfRule type="cellIs" dxfId="579" priority="84" stopIfTrue="1" operator="lessThanOrEqual">
      <formula>0</formula>
    </cfRule>
    <cfRule type="cellIs" dxfId="578" priority="85" stopIfTrue="1" operator="greaterThan">
      <formula>#REF!</formula>
    </cfRule>
    <cfRule type="cellIs" dxfId="577" priority="86" stopIfTrue="1" operator="lessThanOrEqual">
      <formula>0</formula>
    </cfRule>
    <cfRule type="cellIs" dxfId="576" priority="74" stopIfTrue="1" operator="lessThanOrEqual">
      <formula>0</formula>
    </cfRule>
    <cfRule type="cellIs" dxfId="575" priority="75" stopIfTrue="1" operator="greaterThan">
      <formula>#REF!</formula>
    </cfRule>
  </conditionalFormatting>
  <conditionalFormatting sqref="H75 H77:H83">
    <cfRule type="cellIs" dxfId="574" priority="146" stopIfTrue="1" operator="lessThanOrEqual">
      <formula>0</formula>
    </cfRule>
    <cfRule type="cellIs" dxfId="573" priority="145" stopIfTrue="1" operator="greaterThan">
      <formula>4.5</formula>
    </cfRule>
  </conditionalFormatting>
  <conditionalFormatting sqref="H51:I55">
    <cfRule type="cellIs" dxfId="572" priority="45" stopIfTrue="1" operator="greaterThan">
      <formula>$F$66</formula>
    </cfRule>
    <cfRule type="cellIs" dxfId="571" priority="48" stopIfTrue="1" operator="lessThanOrEqual">
      <formula>0</formula>
    </cfRule>
  </conditionalFormatting>
  <conditionalFormatting sqref="H56:I57">
    <cfRule type="cellIs" dxfId="570" priority="89" stopIfTrue="1" operator="greaterThan">
      <formula>#REF!</formula>
    </cfRule>
    <cfRule type="cellIs" dxfId="569" priority="92" stopIfTrue="1" operator="lessThanOrEqual">
      <formula>0</formula>
    </cfRule>
  </conditionalFormatting>
  <conditionalFormatting sqref="H58:I58">
    <cfRule type="cellIs" dxfId="568" priority="106" stopIfTrue="1" operator="lessThanOrEqual">
      <formula>0</formula>
    </cfRule>
    <cfRule type="cellIs" dxfId="567" priority="103" stopIfTrue="1" operator="greaterThan">
      <formula>$F$34</formula>
    </cfRule>
  </conditionalFormatting>
  <conditionalFormatting sqref="H59:I60">
    <cfRule type="cellIs" dxfId="566" priority="73" stopIfTrue="1" operator="greaterThan">
      <formula>#REF!</formula>
    </cfRule>
    <cfRule type="cellIs" dxfId="565" priority="76" stopIfTrue="1" operator="lessThanOrEqual">
      <formula>0</formula>
    </cfRule>
  </conditionalFormatting>
  <conditionalFormatting sqref="H64:I71">
    <cfRule type="cellIs" dxfId="564" priority="16" stopIfTrue="1" operator="lessThanOrEqual">
      <formula>0</formula>
    </cfRule>
    <cfRule type="cellIs" dxfId="563" priority="15" stopIfTrue="1" operator="greaterThan">
      <formula>$J64</formula>
    </cfRule>
  </conditionalFormatting>
  <conditionalFormatting sqref="H72:I72">
    <cfRule type="cellIs" dxfId="562" priority="24" operator="greaterThan">
      <formula>5.3</formula>
    </cfRule>
  </conditionalFormatting>
  <conditionalFormatting sqref="H73:I73">
    <cfRule type="cellIs" dxfId="561" priority="22" stopIfTrue="1" operator="greaterThan">
      <formula>$J73</formula>
    </cfRule>
    <cfRule type="cellIs" dxfId="560" priority="23" stopIfTrue="1" operator="lessThanOrEqual">
      <formula>0</formula>
    </cfRule>
  </conditionalFormatting>
  <conditionalFormatting sqref="I51:I55">
    <cfRule type="cellIs" dxfId="559" priority="53" stopIfTrue="1" operator="greaterThan">
      <formula>$F$64</formula>
    </cfRule>
    <cfRule type="cellIs" dxfId="558" priority="49" stopIfTrue="1" operator="greaterThan">
      <formula>$F$64</formula>
    </cfRule>
    <cfRule type="cellIs" dxfId="557" priority="50" stopIfTrue="1" operator="lessThanOrEqual">
      <formula>0</formula>
    </cfRule>
    <cfRule type="cellIs" dxfId="556" priority="51" stopIfTrue="1" operator="greaterThan">
      <formula>$F$66</formula>
    </cfRule>
    <cfRule type="cellIs" dxfId="555" priority="52" stopIfTrue="1" operator="lessThanOrEqual">
      <formula>0</formula>
    </cfRule>
    <cfRule type="cellIs" dxfId="554" priority="54" stopIfTrue="1" operator="lessThanOrEqual">
      <formula>0</formula>
    </cfRule>
  </conditionalFormatting>
  <conditionalFormatting sqref="I56:I57">
    <cfRule type="cellIs" dxfId="553" priority="95" stopIfTrue="1" operator="greaterThan">
      <formula>#REF!</formula>
    </cfRule>
    <cfRule type="cellIs" dxfId="552" priority="94" stopIfTrue="1" operator="lessThanOrEqual">
      <formula>0</formula>
    </cfRule>
    <cfRule type="cellIs" dxfId="551" priority="93" stopIfTrue="1" operator="greaterThan">
      <formula>#REF!</formula>
    </cfRule>
    <cfRule type="cellIs" dxfId="550" priority="98" stopIfTrue="1" operator="lessThanOrEqual">
      <formula>0</formula>
    </cfRule>
    <cfRule type="cellIs" dxfId="549" priority="97" stopIfTrue="1" operator="greaterThan">
      <formula>#REF!</formula>
    </cfRule>
    <cfRule type="cellIs" dxfId="548" priority="96" stopIfTrue="1" operator="lessThanOrEqual">
      <formula>0</formula>
    </cfRule>
  </conditionalFormatting>
  <conditionalFormatting sqref="I58">
    <cfRule type="cellIs" dxfId="547" priority="112" stopIfTrue="1" operator="lessThanOrEqual">
      <formula>0</formula>
    </cfRule>
    <cfRule type="cellIs" dxfId="546" priority="107" stopIfTrue="1" operator="greaterThan">
      <formula>$F$32</formula>
    </cfRule>
    <cfRule type="cellIs" dxfId="545" priority="108" stopIfTrue="1" operator="lessThanOrEqual">
      <formula>0</formula>
    </cfRule>
    <cfRule type="cellIs" dxfId="544" priority="109" stopIfTrue="1" operator="greaterThan">
      <formula>$F$34</formula>
    </cfRule>
    <cfRule type="cellIs" dxfId="543" priority="110" stopIfTrue="1" operator="lessThanOrEqual">
      <formula>0</formula>
    </cfRule>
    <cfRule type="cellIs" dxfId="542" priority="111" stopIfTrue="1" operator="greaterThan">
      <formula>$F$32</formula>
    </cfRule>
  </conditionalFormatting>
  <conditionalFormatting sqref="I59:I60">
    <cfRule type="cellIs" dxfId="541" priority="82" stopIfTrue="1" operator="lessThanOrEqual">
      <formula>0</formula>
    </cfRule>
    <cfRule type="cellIs" dxfId="540" priority="80" stopIfTrue="1" operator="lessThanOrEqual">
      <formula>0</formula>
    </cfRule>
    <cfRule type="cellIs" dxfId="539" priority="79" stopIfTrue="1" operator="greaterThan">
      <formula>#REF!</formula>
    </cfRule>
    <cfRule type="cellIs" dxfId="538" priority="78" stopIfTrue="1" operator="lessThanOrEqual">
      <formula>0</formula>
    </cfRule>
    <cfRule type="cellIs" dxfId="537" priority="77" stopIfTrue="1" operator="greaterThan">
      <formula>#REF!</formula>
    </cfRule>
    <cfRule type="cellIs" dxfId="536" priority="81" stopIfTrue="1" operator="greaterThan">
      <formula>#REF!</formula>
    </cfRule>
  </conditionalFormatting>
  <conditionalFormatting sqref="I75:I83">
    <cfRule type="cellIs" dxfId="535" priority="142" stopIfTrue="1" operator="lessThanOrEqual">
      <formula>0</formula>
    </cfRule>
    <cfRule type="cellIs" dxfId="534" priority="141" stopIfTrue="1" operator="greaterThan">
      <formula>4.5</formula>
    </cfRule>
  </conditionalFormatting>
  <conditionalFormatting sqref="I10:J19">
    <cfRule type="cellIs" dxfId="533" priority="2" operator="lessThan">
      <formula>97.9</formula>
    </cfRule>
  </conditionalFormatting>
  <conditionalFormatting sqref="J22">
    <cfRule type="cellIs" dxfId="532" priority="44" operator="lessThan">
      <formula>97.95</formula>
    </cfRule>
  </conditionalFormatting>
  <conditionalFormatting sqref="J24">
    <cfRule type="cellIs" dxfId="531" priority="119" stopIfTrue="1" operator="greaterThan">
      <formula>100</formula>
    </cfRule>
    <cfRule type="cellIs" dxfId="530" priority="120" operator="lessThan">
      <formula>98</formula>
    </cfRule>
    <cfRule type="cellIs" dxfId="529" priority="118" stopIfTrue="1" operator="lessThan">
      <formula>96.8</formula>
    </cfRule>
  </conditionalFormatting>
  <conditionalFormatting sqref="J24:J26">
    <cfRule type="cellIs" dxfId="528" priority="117" operator="lessThan">
      <formula>97.4</formula>
    </cfRule>
  </conditionalFormatting>
  <conditionalFormatting sqref="J27:J28">
    <cfRule type="cellIs" dxfId="527" priority="121" operator="lessThan">
      <formula>98</formula>
    </cfRule>
  </conditionalFormatting>
  <conditionalFormatting sqref="J29:J30">
    <cfRule type="cellIs" dxfId="526" priority="123" stopIfTrue="1" operator="greaterThan">
      <formula>100</formula>
    </cfRule>
    <cfRule type="cellIs" dxfId="525" priority="122" stopIfTrue="1" operator="lessThan">
      <formula>96.8</formula>
    </cfRule>
  </conditionalFormatting>
  <conditionalFormatting sqref="J29:J31">
    <cfRule type="cellIs" dxfId="524" priority="124" operator="lessThan">
      <formula>98</formula>
    </cfRule>
  </conditionalFormatting>
  <conditionalFormatting sqref="J60">
    <cfRule type="cellIs" dxfId="523" priority="72" stopIfTrue="1" operator="lessThanOrEqual">
      <formula>0</formula>
    </cfRule>
    <cfRule type="cellIs" dxfId="522" priority="71" stopIfTrue="1" operator="greaterThan">
      <formula>#REF!</formula>
    </cfRule>
    <cfRule type="cellIs" dxfId="521" priority="70" stopIfTrue="1" operator="lessThanOrEqual">
      <formula>0</formula>
    </cfRule>
    <cfRule type="cellIs" dxfId="520" priority="69" stopIfTrue="1" operator="greaterThan">
      <formula>#REF!</formula>
    </cfRule>
    <cfRule type="cellIs" dxfId="519" priority="68" stopIfTrue="1" operator="lessThanOrEqual">
      <formula>0</formula>
    </cfRule>
    <cfRule type="cellIs" dxfId="518" priority="67" stopIfTrue="1" operator="greaterThan">
      <formula>#REF!</formula>
    </cfRule>
    <cfRule type="cellIs" dxfId="517" priority="65" stopIfTrue="1" operator="greaterThan">
      <formula>#REF!</formula>
    </cfRule>
    <cfRule type="cellIs" dxfId="516" priority="66" stopIfTrue="1" operator="lessThanOrEqual">
      <formula>0</formula>
    </cfRule>
  </conditionalFormatting>
  <conditionalFormatting sqref="J73">
    <cfRule type="cellIs" dxfId="515" priority="30" stopIfTrue="1" operator="lessThanOrEqual">
      <formula>0</formula>
    </cfRule>
    <cfRule type="cellIs" dxfId="514" priority="29" stopIfTrue="1" operator="greaterThan">
      <formula>$F73</formula>
    </cfRule>
  </conditionalFormatting>
  <conditionalFormatting sqref="K10:K19">
    <cfRule type="cellIs" dxfId="513" priority="3" operator="greaterThan">
      <formula>6</formula>
    </cfRule>
    <cfRule type="cellIs" dxfId="512" priority="5" operator="greaterThan">
      <formula>6.4</formula>
    </cfRule>
    <cfRule type="cellIs" dxfId="511" priority="4" operator="lessThan">
      <formula>4</formula>
    </cfRule>
  </conditionalFormatting>
  <conditionalFormatting sqref="K51:K60">
    <cfRule type="cellIs" dxfId="510" priority="59" stopIfTrue="1" operator="lessThan">
      <formula>100%</formula>
    </cfRule>
  </conditionalFormatting>
  <conditionalFormatting sqref="K75:K80">
    <cfRule type="cellIs" dxfId="509" priority="147" stopIfTrue="1" operator="lessThan">
      <formula>100%</formula>
    </cfRule>
  </conditionalFormatting>
  <conditionalFormatting sqref="K82:K83">
    <cfRule type="cellIs" dxfId="508" priority="154" stopIfTrue="1" operator="lessThan">
      <formula>100%</formula>
    </cfRule>
  </conditionalFormatting>
  <conditionalFormatting sqref="K64:M72">
    <cfRule type="cellIs" dxfId="507" priority="14" stopIfTrue="1" operator="lessThan">
      <formula>100%</formula>
    </cfRule>
  </conditionalFormatting>
  <conditionalFormatting sqref="L10:L19">
    <cfRule type="cellIs" dxfId="506" priority="7" operator="greaterThan">
      <formula>65</formula>
    </cfRule>
    <cfRule type="cellIs" dxfId="505" priority="6" operator="between">
      <formula>61</formula>
      <formula>65</formula>
    </cfRule>
  </conditionalFormatting>
  <conditionalFormatting sqref="L22:M33">
    <cfRule type="cellIs" dxfId="504" priority="61" operator="lessThan">
      <formula>97.95</formula>
    </cfRule>
  </conditionalFormatting>
  <conditionalFormatting sqref="L73:M73">
    <cfRule type="cellIs" dxfId="503" priority="31" stopIfTrue="1" operator="lessThan">
      <formula>100%</formula>
    </cfRule>
  </conditionalFormatting>
  <conditionalFormatting sqref="L37:N37">
    <cfRule type="cellIs" dxfId="502" priority="62" operator="notEqual">
      <formula>#REF!</formula>
    </cfRule>
  </conditionalFormatting>
  <conditionalFormatting sqref="L75:N83">
    <cfRule type="cellIs" dxfId="501" priority="132" stopIfTrue="1" operator="lessThan">
      <formula>100%</formula>
    </cfRule>
  </conditionalFormatting>
  <conditionalFormatting sqref="M10:M13 M17">
    <cfRule type="expression" dxfId="500" priority="12">
      <formula>IF(+(IF(M10&lt;U10,0,IF(M10&gt;V10,0,1)))=0,1)</formula>
    </cfRule>
  </conditionalFormatting>
  <conditionalFormatting sqref="M15:M16">
    <cfRule type="expression" dxfId="499" priority="245">
      <formula>IF(+(IF(M15&lt;U14,0,IF(M15&gt;V14,0,1)))=0,1)</formula>
    </cfRule>
  </conditionalFormatting>
  <conditionalFormatting sqref="M18:N19">
    <cfRule type="expression" dxfId="498" priority="60">
      <formula>IF(+(IF(M18&lt;#REF!,0,IF(M18&gt;#REF!,0,1)))=0,1)</formula>
    </cfRule>
  </conditionalFormatting>
  <conditionalFormatting sqref="N10:N13 N17">
    <cfRule type="expression" dxfId="497" priority="11">
      <formula>IF(+(IF(N10&lt;W10,0,IF(N10&gt;X10,0,1)))=0,1)</formula>
    </cfRule>
  </conditionalFormatting>
  <conditionalFormatting sqref="N15:N16">
    <cfRule type="expression" dxfId="496" priority="251">
      <formula>IF(+(IF(N15&lt;W14,0,IF(N15&gt;X14,0,1)))=0,1)</formula>
    </cfRule>
  </conditionalFormatting>
  <conditionalFormatting sqref="N64:N73">
    <cfRule type="cellIs" dxfId="495" priority="43" stopIfTrue="1" operator="lessThan">
      <formula>100%</formula>
    </cfRule>
  </conditionalFormatting>
  <conditionalFormatting sqref="P6">
    <cfRule type="cellIs" dxfId="494" priority="128" operator="greaterThanOrEqual">
      <formula>19</formula>
    </cfRule>
  </conditionalFormatting>
  <dataValidations count="1">
    <dataValidation type="list" allowBlank="1" showInputMessage="1" showErrorMessage="1" sqref="R8" xr:uid="{D76A352D-0973-4709-BC1D-2397FEBE152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7" max="16383" man="1"/>
  </rowBreaks>
  <colBreaks count="1" manualBreakCount="1">
    <brk id="15" max="89" man="1"/>
  </col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BAC8C-C6CD-43F2-851A-43EED523AD57}">
  <sheetPr>
    <pageSetUpPr fitToPage="1"/>
  </sheetPr>
  <dimension ref="A1:BE69"/>
  <sheetViews>
    <sheetView topLeftCell="A3" zoomScale="70" zoomScaleNormal="70" workbookViewId="0">
      <selection activeCell="B10" sqref="B10:O10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9.42578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4" t="s">
        <v>0</v>
      </c>
      <c r="T1" s="494"/>
      <c r="U1" s="494" t="s">
        <v>1</v>
      </c>
      <c r="V1" s="494"/>
      <c r="W1" s="494" t="s">
        <v>2</v>
      </c>
      <c r="X1" s="494"/>
      <c r="Y1" s="494" t="s">
        <v>124</v>
      </c>
      <c r="Z1" s="494"/>
    </row>
    <row r="2" spans="2:29" ht="15">
      <c r="B2" s="495" t="s">
        <v>3</v>
      </c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46111</v>
      </c>
      <c r="J4" s="398" t="s">
        <v>167</v>
      </c>
      <c r="K4" s="398"/>
      <c r="L4" s="11"/>
      <c r="M4" s="492" t="s">
        <v>8</v>
      </c>
      <c r="N4" s="493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8"/>
      <c r="D5" s="49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9" t="s">
        <v>17</v>
      </c>
      <c r="C8" s="501" t="s">
        <v>18</v>
      </c>
      <c r="D8" s="501" t="s">
        <v>19</v>
      </c>
      <c r="E8" s="356" t="s">
        <v>20</v>
      </c>
      <c r="F8" s="356" t="s">
        <v>21</v>
      </c>
      <c r="G8" s="501" t="s">
        <v>22</v>
      </c>
      <c r="H8" s="502" t="s">
        <v>144</v>
      </c>
      <c r="I8" s="501" t="s">
        <v>165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169</v>
      </c>
      <c r="O8" s="510" t="s">
        <v>155</v>
      </c>
      <c r="P8" s="496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0"/>
      <c r="C9" s="497"/>
      <c r="D9" s="497"/>
      <c r="E9" s="357" t="s">
        <v>30</v>
      </c>
      <c r="F9" s="357" t="s">
        <v>31</v>
      </c>
      <c r="G9" s="497"/>
      <c r="H9" s="503"/>
      <c r="I9" s="497"/>
      <c r="J9" s="505"/>
      <c r="K9" s="507"/>
      <c r="L9" s="509"/>
      <c r="M9" s="20" t="s">
        <v>32</v>
      </c>
      <c r="N9" s="21" t="s">
        <v>41</v>
      </c>
      <c r="O9" s="511"/>
      <c r="P9" s="497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29" t="s">
        <v>6</v>
      </c>
      <c r="C10" s="366" t="str">
        <f>[4]Brewhouse!$A285</f>
        <v>CA242</v>
      </c>
      <c r="D10" s="279">
        <f>[4]Brewhouse!$AF285</f>
        <v>47.1</v>
      </c>
      <c r="E10" s="279">
        <f>[4]Brewhouse!$AI285</f>
        <v>48.8</v>
      </c>
      <c r="F10" s="278">
        <f>[4]Brewhouse!$V285</f>
        <v>49</v>
      </c>
      <c r="G10" s="279">
        <f>[4]Brewhouse!AG285</f>
        <v>11.7</v>
      </c>
      <c r="H10" s="396"/>
      <c r="I10" s="368">
        <f>[4]Brewhouse!$AU285</f>
        <v>104.13717497046395</v>
      </c>
      <c r="J10" s="368">
        <f>[4]Brewhouse!$AV285</f>
        <v>105.11099556567784</v>
      </c>
      <c r="K10" s="281">
        <f>[4]Brewhouse!$Q285</f>
        <v>14.269870609981513</v>
      </c>
      <c r="L10" s="276">
        <f>[4]Brewhouse!$P285</f>
        <v>56</v>
      </c>
      <c r="M10" s="397">
        <f>[4]Brewhouse!$U285-[4]Brewhouse!$T285</f>
        <v>0.11666666666666659</v>
      </c>
      <c r="N10" s="370">
        <f>[4]Brewhouse!$Z285</f>
        <v>0.25972222222222219</v>
      </c>
      <c r="O10" s="420" t="str">
        <f>[4]Brewhouse!$AX285</f>
        <v>R.Sookram</v>
      </c>
      <c r="P10" s="418"/>
      <c r="R10" s="277" t="str">
        <f t="shared" ref="R10:R29" si="0">B10</f>
        <v>CARIB</v>
      </c>
      <c r="S10" s="472">
        <f t="shared" ref="S10:S29" si="1">VLOOKUP($B10,$R$3:$X$9,2,FALSE)</f>
        <v>11.6</v>
      </c>
      <c r="T10" s="472">
        <f t="shared" ref="T10:T29" si="2">VLOOKUP($B10,$R$3:$X$9,3,FALSE)</f>
        <v>12</v>
      </c>
      <c r="U10" s="297">
        <f t="shared" ref="U10:U29" si="3">VLOOKUP($B10,$R$3:$X$9,4,FALSE)</f>
        <v>0</v>
      </c>
      <c r="V10" s="297">
        <f t="shared" ref="V10:V29" si="4">VLOOKUP($B10,$R$3:$X$9,5,FALSE)</f>
        <v>0.118055555555556</v>
      </c>
      <c r="W10" s="297">
        <f t="shared" ref="W10:W29" si="5">VLOOKUP($B10,$R$3:$X$9,6,FALSE)</f>
        <v>0.22569444444444445</v>
      </c>
      <c r="X10" s="297">
        <f t="shared" ref="X10:X29" si="6">VLOOKUP($B10,$R$3:$X$9,7,FALSE)</f>
        <v>0.2638888888888889</v>
      </c>
      <c r="Y10" s="297">
        <f t="shared" ref="Y10:Y29" si="7">VLOOKUP($B10,$R$3:$Z$9,8,FALSE)</f>
        <v>0</v>
      </c>
      <c r="Z10" s="472">
        <f t="shared" ref="Z10:Z29" si="8">VLOOKUP($B10,$R$3:$Z$9,9,FALSE)</f>
        <v>60</v>
      </c>
    </row>
    <row r="11" spans="2:29" ht="16.5" customHeight="1">
      <c r="B11" s="22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74"/>
      <c r="N11" s="370"/>
      <c r="O11" s="371"/>
      <c r="P11" s="418"/>
      <c r="R11" s="277">
        <f t="shared" si="0"/>
        <v>0</v>
      </c>
      <c r="S11" s="472" t="e">
        <f t="shared" si="1"/>
        <v>#N/A</v>
      </c>
      <c r="T11" s="472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472" t="e">
        <f t="shared" si="8"/>
        <v>#N/A</v>
      </c>
    </row>
    <row r="12" spans="2:29" ht="16.5" hidden="1" customHeight="1">
      <c r="B12" s="22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74"/>
      <c r="N12" s="370"/>
      <c r="O12" s="371"/>
      <c r="P12" s="418"/>
      <c r="R12" s="277">
        <f t="shared" si="0"/>
        <v>0</v>
      </c>
      <c r="S12" s="472" t="e">
        <f t="shared" si="1"/>
        <v>#N/A</v>
      </c>
      <c r="T12" s="472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472" t="e">
        <f t="shared" si="8"/>
        <v>#N/A</v>
      </c>
    </row>
    <row r="13" spans="2:29" ht="15" hidden="1">
      <c r="B13" s="29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74"/>
      <c r="N13" s="370"/>
      <c r="O13" s="371"/>
      <c r="P13" s="418"/>
      <c r="R13" s="277">
        <f t="shared" si="0"/>
        <v>0</v>
      </c>
      <c r="S13" s="472" t="e">
        <f t="shared" si="1"/>
        <v>#N/A</v>
      </c>
      <c r="T13" s="472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472" t="e">
        <f t="shared" si="8"/>
        <v>#N/A</v>
      </c>
    </row>
    <row r="14" spans="2:29" ht="18" hidden="1" customHeight="1">
      <c r="B14" s="29"/>
      <c r="C14" s="366"/>
      <c r="D14" s="279"/>
      <c r="E14" s="279"/>
      <c r="F14" s="278"/>
      <c r="G14" s="279"/>
      <c r="H14" s="487"/>
      <c r="I14" s="368"/>
      <c r="J14" s="368"/>
      <c r="K14" s="281"/>
      <c r="L14" s="276"/>
      <c r="M14" s="374"/>
      <c r="N14" s="370"/>
      <c r="O14" s="371"/>
      <c r="P14" s="418"/>
      <c r="R14" s="277">
        <f t="shared" si="0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6.5" hidden="1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371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5.75" customHeight="1" thickBot="1">
      <c r="B16" s="358"/>
      <c r="C16" s="358"/>
      <c r="D16" s="358"/>
      <c r="E16" s="358"/>
      <c r="F16" s="294"/>
      <c r="G16" s="294"/>
      <c r="H16" s="348"/>
      <c r="I16" s="512"/>
      <c r="J16" s="512"/>
      <c r="K16" s="512"/>
      <c r="L16" s="512"/>
      <c r="M16" s="512"/>
      <c r="N16" s="512"/>
      <c r="O16" s="1"/>
      <c r="P16" s="12"/>
      <c r="R16" s="277">
        <f t="shared" si="0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5.75" customHeight="1" thickBot="1">
      <c r="B17" s="388" t="s">
        <v>162</v>
      </c>
      <c r="C17" s="388"/>
      <c r="D17" s="513" t="s">
        <v>35</v>
      </c>
      <c r="E17" s="514"/>
      <c r="F17" s="294"/>
      <c r="G17" s="294"/>
      <c r="H17" s="348"/>
      <c r="I17" s="24" t="s">
        <v>17</v>
      </c>
      <c r="J17" s="25"/>
      <c r="K17" s="26" t="s">
        <v>138</v>
      </c>
      <c r="L17" s="25" t="s">
        <v>37</v>
      </c>
      <c r="M17" s="25" t="s">
        <v>38</v>
      </c>
      <c r="N17" s="27" t="s">
        <v>39</v>
      </c>
      <c r="O17" s="294"/>
      <c r="P17" s="12"/>
      <c r="R17" s="277" t="str">
        <f t="shared" si="0"/>
        <v xml:space="preserve">BRAND 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5" customHeight="1">
      <c r="A18" s="28"/>
      <c r="B18" s="515"/>
      <c r="C18" s="362"/>
      <c r="D18" s="518"/>
      <c r="E18" s="519"/>
      <c r="F18" s="294"/>
      <c r="G18" s="294"/>
      <c r="H18" s="348"/>
      <c r="I18" s="29" t="s">
        <v>6</v>
      </c>
      <c r="J18" s="323">
        <f>I10</f>
        <v>104.13717497046395</v>
      </c>
      <c r="K18" s="284">
        <f>COUNTA([4]Brewhouse!$A$198:$A$285)</f>
        <v>88</v>
      </c>
      <c r="L18" s="305">
        <f>AVERAGE([4]Brewhouse!$AU$198:$AU$285)</f>
        <v>98.322241683981872</v>
      </c>
      <c r="M18" s="305">
        <f>AVERAGE([4]Brewhouse!$AU$42:$AU$123,[4]Brewhouse!$AU$125:$AU$188,[4]Brewhouse!$AU$198:$AU$285)</f>
        <v>97.869334469826825</v>
      </c>
      <c r="N18" s="30">
        <v>98</v>
      </c>
      <c r="O18" s="11"/>
      <c r="P18" s="31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5" customHeight="1">
      <c r="A19" s="28"/>
      <c r="B19" s="516"/>
      <c r="C19" s="362"/>
      <c r="D19" s="520"/>
      <c r="E19" s="521"/>
      <c r="F19" s="294"/>
      <c r="G19" s="294"/>
      <c r="H19" s="348"/>
      <c r="I19" s="33" t="s">
        <v>9</v>
      </c>
      <c r="J19" s="280"/>
      <c r="K19" s="284">
        <f>COUNTA([3]Brewhouse!$A$134:$A$169)</f>
        <v>36</v>
      </c>
      <c r="L19" s="302">
        <f>AVERAGE([3]Brewhouse!$AS$134:$AS$169)</f>
        <v>98.548334749686148</v>
      </c>
      <c r="M19" s="302">
        <f>AVERAGE([3]Brewhouse!$AS$52:$AS$81,[3]Brewhouse!$AS$83:$AS$124,[3]Brewhouse!$AS$134:$AS$169)</f>
        <v>98.393852349390286</v>
      </c>
      <c r="N19" s="30">
        <v>98</v>
      </c>
      <c r="O19" s="11"/>
      <c r="P19" s="31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4.65" customHeight="1">
      <c r="A20" s="28"/>
      <c r="B20" s="516"/>
      <c r="C20" s="362"/>
      <c r="D20" s="522"/>
      <c r="E20" s="523"/>
      <c r="F20" s="294"/>
      <c r="G20" s="294"/>
      <c r="H20" s="348"/>
      <c r="I20" s="34" t="s">
        <v>12</v>
      </c>
      <c r="J20" s="280"/>
      <c r="K20" s="284">
        <f>COUNTA([5]Brewhouse!$A$34:$A$41)</f>
        <v>8</v>
      </c>
      <c r="L20" s="302">
        <f>AVERAGE([5]Brewhouse!$AU$34:$AU$41)</f>
        <v>94.762610859726223</v>
      </c>
      <c r="M20" s="302">
        <f>AVERAGE([5]Brewhouse!$AU$16:$AU$23,[5]Brewhouse!$AU$25:$AU$32,[5]Brewhouse!$AU$34:$AU$41)</f>
        <v>97.131453825415363</v>
      </c>
      <c r="N20" s="30">
        <v>98</v>
      </c>
      <c r="O20" s="11"/>
      <c r="P20" s="31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4.65" customHeight="1">
      <c r="A21" s="28"/>
      <c r="B21" s="516"/>
      <c r="C21" s="362"/>
      <c r="D21" s="524"/>
      <c r="E21" s="521"/>
      <c r="F21" s="294"/>
      <c r="G21" s="294"/>
      <c r="H21" s="348"/>
      <c r="I21" s="22" t="s">
        <v>33</v>
      </c>
      <c r="J21" s="280"/>
      <c r="K21" s="284">
        <f>COUNTA([6]Brewhouse!$A$38:$A$52)</f>
        <v>15</v>
      </c>
      <c r="L21" s="302">
        <f>AVERAGE([6]Brewhouse!$AV$38:$AV$52)</f>
        <v>97.174244838041659</v>
      </c>
      <c r="M21" s="302">
        <f>AVERAGE([6]Brewhouse!$AV$23:$AV$34,[6]Brewhouse!$AV$36,[6]Brewhouse!$AV$38:$AV$52)</f>
        <v>97.639832259312456</v>
      </c>
      <c r="N21" s="30">
        <v>98</v>
      </c>
      <c r="O21" s="11"/>
      <c r="P21" s="31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4.65" customHeight="1">
      <c r="A22" s="28"/>
      <c r="B22" s="516"/>
      <c r="C22" s="362"/>
      <c r="D22" s="522"/>
      <c r="E22" s="523"/>
      <c r="F22" s="417"/>
      <c r="G22" s="294"/>
      <c r="H22" s="348"/>
      <c r="I22" s="35" t="s">
        <v>29</v>
      </c>
      <c r="J22" s="280"/>
      <c r="K22" s="284"/>
      <c r="L22" s="302"/>
      <c r="M22" s="302"/>
      <c r="N22" s="30">
        <v>98</v>
      </c>
      <c r="O22" s="11"/>
      <c r="P22" s="31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4.65" customHeight="1">
      <c r="A23" s="28"/>
      <c r="B23" s="516"/>
      <c r="C23" s="362"/>
      <c r="D23" s="524"/>
      <c r="E23" s="521"/>
      <c r="F23" s="417"/>
      <c r="G23" s="294"/>
      <c r="H23" s="348"/>
      <c r="I23" s="36" t="s">
        <v>15</v>
      </c>
      <c r="J23" s="323"/>
      <c r="K23" s="284"/>
      <c r="L23" s="302"/>
      <c r="M23" s="302">
        <f>AVERAGE([7]Brewhouse!$AT$4:$AT$11)</f>
        <v>92.826224508052405</v>
      </c>
      <c r="N23" s="30">
        <v>98</v>
      </c>
      <c r="O23" s="11"/>
      <c r="P23" s="31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  <c r="AA23" s="472"/>
    </row>
    <row r="24" spans="1:27" ht="14.65" customHeight="1">
      <c r="A24" s="28"/>
      <c r="B24" s="516"/>
      <c r="C24" s="362"/>
      <c r="D24" s="522"/>
      <c r="E24" s="523"/>
      <c r="F24" s="417"/>
      <c r="G24" s="294"/>
      <c r="H24" s="348"/>
      <c r="I24" s="37" t="s">
        <v>16</v>
      </c>
      <c r="J24" s="323"/>
      <c r="K24" s="284">
        <f>COUNTA([8]Brewhouse!$A$25:$A$42)</f>
        <v>18</v>
      </c>
      <c r="L24" s="302">
        <f>AVERAGE([8]Brewhouse!$AY$42)</f>
        <v>99.134494554521325</v>
      </c>
      <c r="M24" s="302">
        <f>AVERAGE([8]Brewhouse!$AY$5:$AY$14,[8]Brewhouse!$AY$16:$AY$23,[8]Brewhouse!$AY$42)</f>
        <v>97.390503559857137</v>
      </c>
      <c r="N24" s="30">
        <v>98</v>
      </c>
      <c r="O24" s="11"/>
      <c r="P24" s="31" t="s">
        <v>41</v>
      </c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  <c r="AA24" s="472"/>
    </row>
    <row r="25" spans="1:27" ht="14.65" customHeight="1">
      <c r="A25" s="28"/>
      <c r="B25" s="516"/>
      <c r="C25" s="362"/>
      <c r="D25" s="524"/>
      <c r="E25" s="521"/>
      <c r="F25" s="294"/>
      <c r="G25" s="294"/>
      <c r="H25" s="348"/>
      <c r="I25" s="411" t="s">
        <v>158</v>
      </c>
      <c r="J25" s="326"/>
      <c r="K25" s="284"/>
      <c r="L25" s="305"/>
      <c r="M25" s="305"/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  <c r="AA25" s="472"/>
    </row>
    <row r="26" spans="1:27" ht="14.65" customHeight="1">
      <c r="A26" s="28"/>
      <c r="B26" s="516"/>
      <c r="C26" s="349"/>
      <c r="D26" s="522"/>
      <c r="E26" s="523"/>
      <c r="F26" s="294"/>
      <c r="G26" s="294"/>
      <c r="H26" s="348"/>
      <c r="I26" s="410" t="s">
        <v>157</v>
      </c>
      <c r="J26" s="326"/>
      <c r="K26" s="284"/>
      <c r="L26" s="305"/>
      <c r="M26" s="305"/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  <c r="AA26" s="472"/>
    </row>
    <row r="27" spans="1:27" ht="15" customHeight="1" thickBot="1">
      <c r="A27" s="28"/>
      <c r="B27" s="516"/>
      <c r="C27" s="349"/>
      <c r="D27" s="524"/>
      <c r="E27" s="521"/>
      <c r="F27" s="294"/>
      <c r="G27" s="294"/>
      <c r="H27" s="348"/>
      <c r="I27" s="406" t="s">
        <v>156</v>
      </c>
      <c r="J27" s="327"/>
      <c r="K27" s="407"/>
      <c r="L27" s="408"/>
      <c r="M27" s="408"/>
      <c r="N27" s="409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  <c r="AA27" s="472"/>
    </row>
    <row r="28" spans="1:27" ht="15" customHeight="1" thickBot="1">
      <c r="A28" s="28"/>
      <c r="B28" s="516"/>
      <c r="C28" s="349"/>
      <c r="D28" s="518"/>
      <c r="E28" s="519"/>
      <c r="F28" s="294"/>
      <c r="G28" s="294"/>
      <c r="H28" s="348"/>
      <c r="I28" s="1"/>
      <c r="J28" s="39"/>
      <c r="K28" s="404">
        <f>SUM(K18:K27)</f>
        <v>165</v>
      </c>
      <c r="L28" s="405">
        <f>((L18*K18)+(L19*K19)+(L20*K20)+(L21*K21)+(L22*K22)+(K25*L25)+(L23*K23)+(L24*K24)+(L27*K27))/(K28)</f>
        <v>98.183228973387429</v>
      </c>
      <c r="M28" s="405">
        <f>AVERAGE('[9]Jan30th-31st'!$L$42,L28)</f>
        <v>98.005635354614441</v>
      </c>
      <c r="N28" s="4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  <c r="AA28" s="472"/>
    </row>
    <row r="29" spans="1:27" ht="15.75" thickBot="1">
      <c r="B29" s="517"/>
      <c r="C29" s="350"/>
      <c r="D29" s="520"/>
      <c r="E29" s="521"/>
      <c r="F29" s="294"/>
      <c r="G29" s="42"/>
      <c r="H29" s="41"/>
      <c r="I29" s="42"/>
      <c r="J29" s="42"/>
      <c r="K29" s="351"/>
      <c r="L29" s="348"/>
      <c r="M29" s="348"/>
      <c r="N29" s="11"/>
      <c r="O29" s="294"/>
      <c r="P29" s="12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  <c r="AA29" s="472"/>
    </row>
    <row r="30" spans="1:27" ht="15.75" thickBot="1">
      <c r="B30" s="525"/>
      <c r="C30" s="362"/>
      <c r="D30" s="528"/>
      <c r="E30" s="529"/>
      <c r="F30" s="294"/>
      <c r="G30" s="42"/>
      <c r="H30" s="41"/>
      <c r="I30" s="42"/>
      <c r="J30" s="530" t="s">
        <v>129</v>
      </c>
      <c r="K30" s="530"/>
      <c r="L30" s="294"/>
      <c r="M30" s="294"/>
      <c r="N30" s="294"/>
      <c r="O30" s="294"/>
      <c r="P30" s="12"/>
    </row>
    <row r="31" spans="1:27" ht="15.75" thickBot="1">
      <c r="B31" s="526"/>
      <c r="C31" s="362"/>
      <c r="D31" s="524"/>
      <c r="E31" s="521"/>
      <c r="F31" s="294"/>
      <c r="G31" s="42"/>
      <c r="H31" s="42"/>
      <c r="I31" s="42"/>
      <c r="J31" s="292" t="s">
        <v>17</v>
      </c>
      <c r="K31" s="293" t="s">
        <v>172</v>
      </c>
      <c r="L31" s="531" t="s">
        <v>136</v>
      </c>
      <c r="M31" s="531"/>
      <c r="N31" s="532"/>
      <c r="O31" s="294"/>
      <c r="P31" s="12"/>
    </row>
    <row r="32" spans="1:27" ht="15" customHeight="1" thickBot="1">
      <c r="B32" s="526"/>
      <c r="C32" s="349"/>
      <c r="D32" s="522"/>
      <c r="E32" s="523"/>
      <c r="F32" s="294"/>
      <c r="G32" s="42"/>
      <c r="H32" s="42"/>
      <c r="I32" s="42"/>
      <c r="J32" s="287" t="s">
        <v>6</v>
      </c>
      <c r="K32" s="324">
        <v>1</v>
      </c>
      <c r="L32" s="473" t="s">
        <v>37</v>
      </c>
      <c r="M32" s="474" t="s">
        <v>38</v>
      </c>
      <c r="N32" s="474" t="s">
        <v>84</v>
      </c>
      <c r="O32" s="294"/>
      <c r="P32" s="12"/>
    </row>
    <row r="33" spans="2:57" ht="15.75" customHeight="1" thickBot="1">
      <c r="B33" s="526"/>
      <c r="C33" s="349"/>
      <c r="D33" s="524"/>
      <c r="E33" s="521"/>
      <c r="F33" s="294"/>
      <c r="G33" s="42"/>
      <c r="H33" s="42"/>
      <c r="I33" s="42"/>
      <c r="J33" s="345" t="s">
        <v>9</v>
      </c>
      <c r="K33" s="324"/>
      <c r="L33" s="344">
        <f>AVERAGE(K42,'Mar 2nd'!K49,'Mar 1st'!K55,'Mar 3rd'!K49,'Mar 4th'!K51,'Mar 5th'!K52,'Mar 6th '!K49,'Mar 9th'!K53,'Mar 10th'!K47,'Mar 11th'!K50,'Mar 12th'!K51,'Mar 13th-15th'!J73,'Mar 13th-15th'!I73,'Mar 16th'!K58,'Mar 18th'!K55,'Mar 19th'!K52,'Mar 20th -22nd'!I67,'Mar 20th -22nd'!J67,'Mar 20th -22nd'!K67,'Mar 23rd '!K67,'Mar 25th '!K57,'Mar 26th'!K46)</f>
        <v>7.0454545454545459</v>
      </c>
      <c r="M33" s="325">
        <f>AVERAGE('[9]Jan30th-31st'!$L$47,L33,'[10]Feb 26th '!$L$39)</f>
        <v>6.4108036890645579</v>
      </c>
      <c r="N33" s="416">
        <v>9.1999999999999993</v>
      </c>
      <c r="O33" s="294"/>
      <c r="P33" s="12"/>
    </row>
    <row r="34" spans="2:57" ht="15" customHeight="1">
      <c r="B34" s="526"/>
      <c r="C34" s="349"/>
      <c r="D34" s="522"/>
      <c r="E34" s="523"/>
      <c r="F34" s="294"/>
      <c r="G34" s="42"/>
      <c r="H34" s="42"/>
      <c r="I34" s="42"/>
      <c r="J34" s="288" t="s">
        <v>40</v>
      </c>
      <c r="K34" s="324"/>
      <c r="L34" s="294"/>
      <c r="M34" s="294"/>
      <c r="N34" s="294"/>
      <c r="O34" s="294"/>
      <c r="P34" s="12"/>
    </row>
    <row r="35" spans="2:57" ht="15" customHeight="1">
      <c r="B35" s="526"/>
      <c r="C35" s="349"/>
      <c r="D35" s="524"/>
      <c r="E35" s="521"/>
      <c r="F35" s="294"/>
      <c r="G35" s="42"/>
      <c r="H35" s="42"/>
      <c r="I35" s="42"/>
      <c r="J35" s="289" t="s">
        <v>33</v>
      </c>
      <c r="K35" s="324"/>
      <c r="L35" s="294"/>
      <c r="M35" s="294"/>
      <c r="N35" s="294"/>
      <c r="O35" s="294"/>
      <c r="P35" s="12"/>
    </row>
    <row r="36" spans="2:57" ht="15">
      <c r="B36" s="526"/>
      <c r="C36" s="349"/>
      <c r="D36" s="522"/>
      <c r="E36" s="523"/>
      <c r="F36" s="294"/>
      <c r="G36" s="42"/>
      <c r="H36" s="42"/>
      <c r="I36" s="42"/>
      <c r="J36" s="290" t="s">
        <v>16</v>
      </c>
      <c r="K36" s="324"/>
      <c r="L36" s="294"/>
      <c r="M36" s="294"/>
      <c r="N36" s="294"/>
      <c r="O36" s="294"/>
      <c r="P36" s="12"/>
      <c r="BC36" s="44"/>
      <c r="BD36" s="44"/>
    </row>
    <row r="37" spans="2:57" ht="15">
      <c r="B37" s="526"/>
      <c r="C37" s="349"/>
      <c r="D37" s="524"/>
      <c r="E37" s="521"/>
      <c r="F37" s="294"/>
      <c r="G37" s="42"/>
      <c r="H37" s="42"/>
      <c r="I37" s="42"/>
      <c r="J37" s="291" t="s">
        <v>15</v>
      </c>
      <c r="K37" s="324"/>
      <c r="L37" s="294"/>
      <c r="M37" s="294"/>
      <c r="N37" s="294"/>
      <c r="O37" s="294"/>
      <c r="P37" s="12"/>
      <c r="BC37" s="44"/>
      <c r="BD37" s="44"/>
    </row>
    <row r="38" spans="2:57" ht="15">
      <c r="B38" s="526"/>
      <c r="C38" s="349"/>
      <c r="D38" s="522"/>
      <c r="E38" s="523"/>
      <c r="F38" s="294"/>
      <c r="G38" s="42"/>
      <c r="H38" s="42"/>
      <c r="I38" s="42"/>
      <c r="J38" s="291" t="s">
        <v>149</v>
      </c>
      <c r="K38" s="324"/>
      <c r="L38" s="294"/>
      <c r="M38" s="294"/>
      <c r="N38" s="294"/>
      <c r="O38" s="294"/>
      <c r="P38" s="12"/>
      <c r="BC38" s="44"/>
      <c r="BD38" s="44"/>
    </row>
    <row r="39" spans="2:57" ht="15.75" thickBot="1">
      <c r="B39" s="527"/>
      <c r="C39" s="350"/>
      <c r="D39" s="533"/>
      <c r="E39" s="534"/>
      <c r="F39" s="294" t="s">
        <v>166</v>
      </c>
      <c r="G39" s="42"/>
      <c r="H39" s="42"/>
      <c r="I39" s="42"/>
      <c r="J39" s="291" t="s">
        <v>148</v>
      </c>
      <c r="K39" s="324"/>
      <c r="L39" s="294"/>
      <c r="M39" s="294"/>
      <c r="N39" s="294" t="s">
        <v>41</v>
      </c>
      <c r="O39" s="294"/>
      <c r="P39" s="12"/>
      <c r="BC39" s="44"/>
      <c r="BD39" s="44"/>
    </row>
    <row r="40" spans="2:57" ht="17.649999999999999" customHeight="1" thickBot="1">
      <c r="B40" s="312" t="s">
        <v>139</v>
      </c>
      <c r="C40" s="313"/>
      <c r="D40" s="535"/>
      <c r="E40" s="536"/>
      <c r="F40" s="294"/>
      <c r="J40" s="295" t="s">
        <v>134</v>
      </c>
      <c r="K40" s="324"/>
      <c r="L40" s="294"/>
      <c r="M40" s="294"/>
      <c r="N40" s="294"/>
      <c r="O40" s="294"/>
      <c r="P40" s="12"/>
      <c r="BC40" s="44"/>
      <c r="BD40" s="44"/>
    </row>
    <row r="41" spans="2:57" ht="17.649999999999999" customHeight="1">
      <c r="B41" s="363"/>
      <c r="C41" s="364"/>
      <c r="D41" s="365"/>
      <c r="E41" s="365"/>
      <c r="F41" s="294"/>
      <c r="G41" s="42"/>
      <c r="H41" s="42"/>
      <c r="I41" s="42"/>
      <c r="J41" s="295" t="s">
        <v>131</v>
      </c>
      <c r="K41" s="324"/>
      <c r="L41" s="294"/>
      <c r="M41" s="294"/>
      <c r="N41" s="294"/>
      <c r="O41" s="294"/>
      <c r="P41" s="12"/>
      <c r="BC41" s="44"/>
      <c r="BD41" s="44"/>
    </row>
    <row r="42" spans="2:57" ht="15.6" customHeight="1">
      <c r="B42" s="45"/>
      <c r="C42" s="11"/>
      <c r="D42" s="11"/>
      <c r="E42" s="46"/>
      <c r="F42" s="294"/>
      <c r="G42" s="42"/>
      <c r="H42" s="42"/>
      <c r="I42" s="42"/>
      <c r="J42" s="346" t="s">
        <v>130</v>
      </c>
      <c r="K42" s="324">
        <f>SUM(K32:K41)</f>
        <v>1</v>
      </c>
      <c r="L42" s="294"/>
      <c r="M42" s="294"/>
      <c r="N42" s="294"/>
      <c r="O42" s="294"/>
      <c r="P42" s="12"/>
    </row>
    <row r="43" spans="2:57" ht="20.25" customHeight="1">
      <c r="B43" s="15" t="s">
        <v>42</v>
      </c>
      <c r="C43" s="1" t="s">
        <v>43</v>
      </c>
      <c r="D43" s="1"/>
      <c r="E43" s="1"/>
      <c r="F43" s="294"/>
      <c r="G43" s="42"/>
      <c r="H43" s="41"/>
      <c r="I43" s="42"/>
      <c r="L43" s="294"/>
      <c r="N43" s="315"/>
      <c r="P43" s="334"/>
    </row>
    <row r="44" spans="2:57" ht="15" customHeight="1" thickBot="1"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1"/>
      <c r="O44" s="48"/>
      <c r="P44" s="49"/>
    </row>
    <row r="45" spans="2:57" ht="15" customHeight="1" thickBot="1">
      <c r="B45" s="537" t="s">
        <v>17</v>
      </c>
      <c r="C45" s="537" t="s">
        <v>44</v>
      </c>
      <c r="D45" s="540" t="s">
        <v>45</v>
      </c>
      <c r="E45" s="501" t="s">
        <v>46</v>
      </c>
      <c r="F45" s="510" t="s">
        <v>47</v>
      </c>
      <c r="G45" s="549" t="s">
        <v>48</v>
      </c>
      <c r="H45" s="537" t="s">
        <v>49</v>
      </c>
      <c r="I45" s="537" t="s">
        <v>50</v>
      </c>
      <c r="J45" s="543" t="s">
        <v>28</v>
      </c>
      <c r="K45" s="499" t="s">
        <v>51</v>
      </c>
      <c r="L45" s="552" t="s">
        <v>52</v>
      </c>
      <c r="M45" s="543" t="s">
        <v>53</v>
      </c>
      <c r="N45" s="13"/>
      <c r="O45" s="13"/>
      <c r="P45" s="50"/>
    </row>
    <row r="46" spans="2:57" ht="28.5" customHeight="1" thickTop="1" thickBot="1">
      <c r="B46" s="538"/>
      <c r="C46" s="539"/>
      <c r="D46" s="541"/>
      <c r="E46" s="542"/>
      <c r="F46" s="554"/>
      <c r="G46" s="550"/>
      <c r="H46" s="538"/>
      <c r="I46" s="538"/>
      <c r="J46" s="544"/>
      <c r="K46" s="551"/>
      <c r="L46" s="553"/>
      <c r="M46" s="544"/>
      <c r="N46" s="13"/>
      <c r="O46" s="13"/>
      <c r="P46" s="50"/>
      <c r="Q46" s="355"/>
      <c r="AB46" s="475">
        <v>43474</v>
      </c>
      <c r="AC46" s="475">
        <v>43475</v>
      </c>
      <c r="AD46" s="475">
        <v>43476</v>
      </c>
      <c r="AE46" s="475">
        <v>43477</v>
      </c>
      <c r="AF46" s="475">
        <v>43478</v>
      </c>
      <c r="AG46" s="475">
        <v>43479</v>
      </c>
      <c r="AH46" s="475">
        <v>43480</v>
      </c>
      <c r="AI46" s="475">
        <v>43481</v>
      </c>
      <c r="AJ46" s="475">
        <v>43482</v>
      </c>
      <c r="AK46" s="475">
        <v>43483</v>
      </c>
      <c r="AL46" s="475">
        <v>43484</v>
      </c>
      <c r="AM46" s="475">
        <v>43485</v>
      </c>
      <c r="AN46" s="475">
        <v>43486</v>
      </c>
      <c r="AO46" s="475">
        <v>43487</v>
      </c>
      <c r="AP46" s="475">
        <v>43488</v>
      </c>
      <c r="AQ46" s="475">
        <v>43489</v>
      </c>
      <c r="AR46" s="475">
        <v>43490</v>
      </c>
      <c r="AS46" s="475">
        <v>43491</v>
      </c>
      <c r="AT46" s="475">
        <v>43492</v>
      </c>
      <c r="AU46" s="475">
        <v>43493</v>
      </c>
      <c r="AV46" s="475">
        <v>43494</v>
      </c>
      <c r="AW46" s="475">
        <v>43495</v>
      </c>
      <c r="AX46" s="475">
        <v>43496</v>
      </c>
    </row>
    <row r="47" spans="2:57" s="54" customFormat="1" ht="36.75" customHeight="1" thickBot="1">
      <c r="B47" s="480" t="str">
        <f>J32</f>
        <v>CARIB</v>
      </c>
      <c r="C47" s="479">
        <v>46108</v>
      </c>
      <c r="D47" s="442">
        <f>[11]March_2026!$AD$3</f>
        <v>285.20000000000005</v>
      </c>
      <c r="E47" s="443"/>
      <c r="F47" s="444"/>
      <c r="G47" s="445">
        <f>[11]March_2026!$AD$7</f>
        <v>271.10000000000002</v>
      </c>
      <c r="H47" s="458"/>
      <c r="I47" s="458"/>
      <c r="J47" s="448" t="s">
        <v>171</v>
      </c>
      <c r="K47" s="449">
        <f>[13]March_2026!$AD$18</f>
        <v>0.95122807017543864</v>
      </c>
      <c r="L47" s="457">
        <f>(((D47+E47)-G47)/(D47+E47))*100</f>
        <v>4.9438990182328268</v>
      </c>
      <c r="M47" s="455" t="s">
        <v>183</v>
      </c>
      <c r="N47" s="13"/>
      <c r="O47" s="13"/>
      <c r="P47" s="50"/>
      <c r="R47" s="275"/>
      <c r="S47" s="275"/>
      <c r="T47" s="275"/>
      <c r="U47" s="275"/>
      <c r="V47" s="275"/>
      <c r="W47" s="275"/>
      <c r="X47" s="275"/>
      <c r="Y47" s="275"/>
      <c r="Z47" s="275"/>
      <c r="AA47" s="275"/>
      <c r="AB47" s="57">
        <f>[14]January_2019!L5</f>
        <v>0</v>
      </c>
      <c r="AC47" s="57">
        <f>[14]January_2019!M5</f>
        <v>0</v>
      </c>
      <c r="AD47" s="57">
        <f>[14]January_2019!N5</f>
        <v>0</v>
      </c>
      <c r="AE47" s="57">
        <f>[14]January_2019!O5</f>
        <v>0</v>
      </c>
      <c r="AF47" s="57">
        <f>[14]January_2019!P5</f>
        <v>0</v>
      </c>
      <c r="AG47" s="57">
        <f>[14]January_2019!Q5</f>
        <v>0</v>
      </c>
      <c r="AH47" s="57">
        <f>[14]January_2019!R5</f>
        <v>0</v>
      </c>
      <c r="AI47" s="57">
        <f>[14]January_2019!S5</f>
        <v>0</v>
      </c>
      <c r="AJ47" s="57">
        <f>[14]January_2019!T5</f>
        <v>0</v>
      </c>
      <c r="AK47" s="57">
        <f>[14]January_2019!U5</f>
        <v>0</v>
      </c>
      <c r="AL47" s="57">
        <f>[14]January_2019!V5</f>
        <v>0</v>
      </c>
      <c r="AM47" s="57">
        <f>[14]January_2019!W5</f>
        <v>0</v>
      </c>
      <c r="AN47" s="57">
        <f>[14]January_2019!X5</f>
        <v>0</v>
      </c>
      <c r="AO47" s="57">
        <f>[14]January_2019!Y5</f>
        <v>0</v>
      </c>
      <c r="AP47" s="57">
        <f>[14]January_2019!Z5</f>
        <v>0</v>
      </c>
      <c r="AQ47" s="57">
        <f>[14]January_2019!AA5</f>
        <v>0</v>
      </c>
      <c r="AR47" s="57">
        <f>[14]January_2019!AB5</f>
        <v>0</v>
      </c>
      <c r="AS47" s="57">
        <f>[14]January_2019!AC5</f>
        <v>0</v>
      </c>
      <c r="AT47" s="57">
        <f>[14]January_2019!AD5</f>
        <v>0</v>
      </c>
      <c r="AU47" s="57">
        <f>[14]January_2019!AE5</f>
        <v>0</v>
      </c>
      <c r="AV47" s="57">
        <f>[14]January_2019!AF5</f>
        <v>0</v>
      </c>
      <c r="AW47" s="57">
        <f>[14]January_2019!AG5</f>
        <v>0</v>
      </c>
      <c r="AX47" s="277">
        <f>[14]January_2019!AH5</f>
        <v>0</v>
      </c>
      <c r="AY47" s="277"/>
      <c r="AZ47" s="277"/>
      <c r="BA47" s="277"/>
      <c r="BB47" s="277"/>
      <c r="BC47" s="277"/>
      <c r="BD47" s="277"/>
      <c r="BE47" s="277"/>
    </row>
    <row r="48" spans="2:57" s="54" customFormat="1" ht="14.25" customHeight="1" thickBot="1">
      <c r="B48" s="480"/>
      <c r="C48" s="479"/>
      <c r="D48" s="442"/>
      <c r="E48" s="443"/>
      <c r="F48" s="444"/>
      <c r="G48" s="445"/>
      <c r="H48" s="458"/>
      <c r="I48" s="458"/>
      <c r="J48" s="476"/>
      <c r="K48" s="449"/>
      <c r="L48" s="457"/>
      <c r="M48" s="455"/>
      <c r="N48" s="13"/>
      <c r="O48" s="13"/>
      <c r="P48" s="50"/>
      <c r="R48" s="275"/>
      <c r="S48" s="275"/>
      <c r="T48" s="275"/>
      <c r="U48" s="275"/>
      <c r="V48" s="275"/>
      <c r="W48" s="275"/>
      <c r="X48" s="275"/>
      <c r="Y48" s="275"/>
      <c r="Z48" s="275"/>
      <c r="AA48" s="275"/>
      <c r="AB48" s="57">
        <f>[14]January_2019!L6</f>
        <v>0</v>
      </c>
      <c r="AC48" s="57">
        <f>[14]January_2019!M6</f>
        <v>0</v>
      </c>
      <c r="AD48" s="57">
        <f>[14]January_2019!N6</f>
        <v>0</v>
      </c>
      <c r="AE48" s="57">
        <f>[14]January_2019!O6</f>
        <v>0</v>
      </c>
      <c r="AF48" s="57">
        <f>[14]January_2019!P6</f>
        <v>0</v>
      </c>
      <c r="AG48" s="57">
        <f>[14]January_2019!Q6</f>
        <v>0</v>
      </c>
      <c r="AH48" s="57">
        <f>[14]January_2019!R6</f>
        <v>0</v>
      </c>
      <c r="AI48" s="57">
        <f>[14]January_2019!S6</f>
        <v>0</v>
      </c>
      <c r="AJ48" s="57">
        <f>[14]January_2019!T6</f>
        <v>0</v>
      </c>
      <c r="AK48" s="57">
        <f>[14]January_2019!U6</f>
        <v>0</v>
      </c>
      <c r="AL48" s="57">
        <f>[14]January_2019!V6</f>
        <v>0</v>
      </c>
      <c r="AM48" s="57">
        <f>[14]January_2019!W6</f>
        <v>0</v>
      </c>
      <c r="AN48" s="57">
        <f>[14]January_2019!X6</f>
        <v>0</v>
      </c>
      <c r="AO48" s="57">
        <f>[14]January_2019!Y6</f>
        <v>0</v>
      </c>
      <c r="AP48" s="57">
        <f>[14]January_2019!Z6</f>
        <v>0</v>
      </c>
      <c r="AQ48" s="57">
        <f>[14]January_2019!AA6</f>
        <v>0</v>
      </c>
      <c r="AR48" s="57">
        <f>[14]January_2019!AB6</f>
        <v>0</v>
      </c>
      <c r="AS48" s="57">
        <f>[14]January_2019!AC6</f>
        <v>0</v>
      </c>
      <c r="AT48" s="57">
        <f>[14]January_2019!AD6</f>
        <v>0</v>
      </c>
      <c r="AU48" s="57">
        <f>[14]January_2019!AE6</f>
        <v>0</v>
      </c>
      <c r="AV48" s="57">
        <f>[14]January_2019!AF6</f>
        <v>0</v>
      </c>
      <c r="AW48" s="57">
        <f>[14]January_2019!AG6</f>
        <v>0</v>
      </c>
      <c r="AX48" s="277">
        <f>[14]January_2019!AH6</f>
        <v>0</v>
      </c>
      <c r="AY48" s="277"/>
      <c r="AZ48" s="277"/>
      <c r="BA48" s="277"/>
      <c r="BB48" s="277"/>
      <c r="BC48" s="277"/>
      <c r="BD48" s="277"/>
      <c r="BE48" s="277"/>
    </row>
    <row r="49" spans="1:57" s="54" customFormat="1" ht="37.15" hidden="1" customHeight="1" thickBot="1">
      <c r="A49" s="54" t="s">
        <v>168</v>
      </c>
      <c r="B49" s="480"/>
      <c r="C49" s="479"/>
      <c r="D49" s="442"/>
      <c r="E49" s="443"/>
      <c r="F49" s="444"/>
      <c r="G49" s="445"/>
      <c r="H49" s="458"/>
      <c r="I49" s="458"/>
      <c r="J49" s="448"/>
      <c r="K49" s="449"/>
      <c r="L49" s="457"/>
      <c r="M49" s="455"/>
      <c r="N49" s="13"/>
      <c r="O49" s="13"/>
      <c r="P49" s="50"/>
      <c r="R49" s="275"/>
      <c r="S49" s="275"/>
      <c r="T49" s="275"/>
      <c r="U49" s="275"/>
      <c r="V49" s="275"/>
      <c r="W49" s="275"/>
      <c r="X49" s="275"/>
      <c r="Y49" s="275"/>
      <c r="Z49" s="275"/>
      <c r="AA49" s="275"/>
      <c r="AB49" s="57">
        <f>[14]January_2019!L7</f>
        <v>285.8</v>
      </c>
      <c r="AC49" s="57">
        <f>[14]January_2019!M7</f>
        <v>508.1</v>
      </c>
      <c r="AD49" s="57">
        <f>[14]January_2019!N7</f>
        <v>0</v>
      </c>
      <c r="AE49" s="57">
        <f>[14]January_2019!O7</f>
        <v>0</v>
      </c>
      <c r="AF49" s="57">
        <f>[14]January_2019!P7</f>
        <v>109.56666666666666</v>
      </c>
      <c r="AG49" s="57">
        <f>[14]January_2019!Q7</f>
        <v>297.64999999999998</v>
      </c>
      <c r="AH49" s="57">
        <f>[14]January_2019!R7</f>
        <v>122.3</v>
      </c>
      <c r="AI49" s="57">
        <f>[14]January_2019!S7</f>
        <v>0</v>
      </c>
      <c r="AJ49" s="57">
        <f>[14]January_2019!T7</f>
        <v>294.7</v>
      </c>
      <c r="AK49" s="57">
        <f>[14]January_2019!U7</f>
        <v>280.5</v>
      </c>
      <c r="AL49" s="57">
        <f>[14]January_2019!V7</f>
        <v>0</v>
      </c>
      <c r="AM49" s="57">
        <f>[14]January_2019!W7</f>
        <v>0</v>
      </c>
      <c r="AN49" s="57">
        <f>[14]January_2019!X7</f>
        <v>188.25</v>
      </c>
      <c r="AO49" s="57">
        <f>[14]January_2019!Y7</f>
        <v>295.7</v>
      </c>
      <c r="AP49" s="57">
        <f>[14]January_2019!Z7</f>
        <v>257.8</v>
      </c>
      <c r="AQ49" s="57">
        <f>[14]January_2019!AA7</f>
        <v>291.2</v>
      </c>
      <c r="AR49" s="57">
        <f>[14]January_2019!AB7</f>
        <v>187</v>
      </c>
      <c r="AS49" s="57">
        <f>[14]January_2019!AC7</f>
        <v>0</v>
      </c>
      <c r="AT49" s="57">
        <f>[14]January_2019!AD7</f>
        <v>0</v>
      </c>
      <c r="AU49" s="57">
        <f>[14]January_2019!AE7</f>
        <v>485.1</v>
      </c>
      <c r="AV49" s="57">
        <f>[14]January_2019!AF7</f>
        <v>171.55</v>
      </c>
      <c r="AW49" s="57">
        <f>[14]January_2019!AG7</f>
        <v>423.8</v>
      </c>
      <c r="AX49" s="277">
        <f>[14]January_2019!AH7</f>
        <v>0</v>
      </c>
      <c r="AY49" s="277"/>
      <c r="AZ49" s="277"/>
      <c r="BA49" s="277"/>
      <c r="BB49" s="277"/>
      <c r="BC49" s="277"/>
      <c r="BD49" s="277"/>
      <c r="BE49" s="277"/>
    </row>
    <row r="50" spans="1:57" s="54" customFormat="1" ht="19.5" hidden="1" customHeight="1" thickBot="1">
      <c r="B50" s="478"/>
      <c r="C50" s="430"/>
      <c r="D50" s="431"/>
      <c r="E50" s="432"/>
      <c r="F50" s="433"/>
      <c r="G50" s="434"/>
      <c r="H50" s="458"/>
      <c r="I50" s="458"/>
      <c r="J50" s="451"/>
      <c r="K50" s="436"/>
      <c r="L50" s="452"/>
      <c r="M50" s="421"/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277"/>
      <c r="AY50" s="277"/>
      <c r="AZ50" s="277"/>
      <c r="BA50" s="277"/>
      <c r="BB50" s="277"/>
      <c r="BC50" s="277"/>
      <c r="BD50" s="277"/>
      <c r="BE50" s="277"/>
    </row>
    <row r="51" spans="1:57" s="54" customFormat="1" ht="38.450000000000003" hidden="1" customHeight="1" thickBot="1">
      <c r="B51" s="480"/>
      <c r="C51" s="479"/>
      <c r="D51" s="442"/>
      <c r="E51" s="443"/>
      <c r="F51" s="444"/>
      <c r="G51" s="445"/>
      <c r="H51" s="458"/>
      <c r="I51" s="458"/>
      <c r="J51" s="448" t="s">
        <v>171</v>
      </c>
      <c r="K51" s="459"/>
      <c r="L51" s="457" t="e">
        <f>(((D51+E51)-G51)/(D51+E51))*100</f>
        <v>#DIV/0!</v>
      </c>
      <c r="M51" s="455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277"/>
      <c r="AY51" s="277"/>
      <c r="AZ51" s="277"/>
      <c r="BA51" s="277"/>
      <c r="BB51" s="277"/>
      <c r="BC51" s="277"/>
      <c r="BD51" s="277"/>
      <c r="BE51" s="277"/>
    </row>
    <row r="52" spans="1:57" s="54" customFormat="1" ht="15" hidden="1">
      <c r="B52" s="453"/>
      <c r="C52" s="430"/>
      <c r="D52" s="431"/>
      <c r="E52" s="432"/>
      <c r="F52" s="433"/>
      <c r="G52" s="434"/>
      <c r="H52" s="435"/>
      <c r="I52" s="450"/>
      <c r="J52" s="451"/>
      <c r="K52" s="436"/>
      <c r="L52" s="452"/>
      <c r="M52" s="421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277"/>
      <c r="AY52" s="277"/>
      <c r="AZ52" s="277"/>
      <c r="BA52" s="277"/>
      <c r="BB52" s="277"/>
      <c r="BC52" s="277"/>
      <c r="BD52" s="277"/>
      <c r="BE52" s="277"/>
    </row>
    <row r="53" spans="1:57" s="54" customFormat="1" ht="37.15" hidden="1" customHeight="1" thickBot="1">
      <c r="B53" s="480"/>
      <c r="C53" s="479"/>
      <c r="D53" s="442"/>
      <c r="E53" s="443"/>
      <c r="F53" s="444"/>
      <c r="G53" s="445"/>
      <c r="H53" s="446"/>
      <c r="I53" s="447"/>
      <c r="J53" s="448"/>
      <c r="K53" s="44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1:57" s="54" customFormat="1" ht="16.5" hidden="1" customHeight="1" thickBot="1">
      <c r="B54" s="437"/>
      <c r="C54" s="423"/>
      <c r="D54" s="424"/>
      <c r="E54" s="425"/>
      <c r="F54" s="426"/>
      <c r="G54" s="427"/>
      <c r="H54" s="428"/>
      <c r="I54" s="438"/>
      <c r="J54" s="439"/>
      <c r="K54" s="429"/>
      <c r="L54" s="440"/>
      <c r="M54" s="422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415"/>
      <c r="AC54" s="415"/>
      <c r="AD54" s="415"/>
      <c r="AE54" s="415"/>
      <c r="AF54" s="415"/>
      <c r="AG54" s="415"/>
      <c r="AH54" s="415"/>
      <c r="AI54" s="415"/>
      <c r="AJ54" s="415"/>
      <c r="AK54" s="415"/>
      <c r="AL54" s="415"/>
      <c r="AM54" s="415"/>
      <c r="AN54" s="415"/>
      <c r="AO54" s="415"/>
      <c r="AP54" s="415"/>
      <c r="AQ54" s="415"/>
      <c r="AR54" s="415"/>
      <c r="AS54" s="415"/>
      <c r="AT54" s="415"/>
      <c r="AU54" s="415"/>
      <c r="AV54" s="415"/>
      <c r="AW54" s="415"/>
    </row>
    <row r="55" spans="1:57" s="54" customFormat="1" ht="37.15" hidden="1" customHeight="1" thickBot="1">
      <c r="B55" s="456"/>
      <c r="C55" s="441"/>
      <c r="D55" s="442"/>
      <c r="E55" s="443"/>
      <c r="F55" s="444"/>
      <c r="G55" s="445"/>
      <c r="H55" s="446"/>
      <c r="I55" s="447"/>
      <c r="J55" s="448"/>
      <c r="K55" s="449"/>
      <c r="L55" s="457"/>
      <c r="M55" s="454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1:57" s="54" customFormat="1" ht="37.15" customHeight="1">
      <c r="B56" s="466"/>
      <c r="C56" s="430"/>
      <c r="D56" s="460"/>
      <c r="E56" s="461"/>
      <c r="F56" s="462"/>
      <c r="G56" s="460"/>
      <c r="H56" s="463"/>
      <c r="I56" s="463"/>
      <c r="J56" s="463"/>
      <c r="K56" s="464"/>
      <c r="L56" s="465"/>
      <c r="M56" s="50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1:57" ht="18" customHeight="1" thickBot="1">
      <c r="B57" s="59"/>
      <c r="C57" s="30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 t="s">
        <v>41</v>
      </c>
      <c r="O57" s="56"/>
      <c r="P57" s="60"/>
    </row>
    <row r="58" spans="1:57" ht="15.75" thickBot="1">
      <c r="B58" s="545" t="s">
        <v>55</v>
      </c>
      <c r="C58" s="546"/>
      <c r="D58" s="546"/>
      <c r="E58" s="546"/>
      <c r="F58" s="547"/>
      <c r="G58" s="545" t="s">
        <v>56</v>
      </c>
      <c r="H58" s="546"/>
      <c r="I58" s="546"/>
      <c r="J58" s="547"/>
      <c r="K58" s="545" t="s">
        <v>51</v>
      </c>
      <c r="L58" s="546"/>
      <c r="M58" s="546"/>
      <c r="N58" s="548"/>
      <c r="O58" s="56"/>
      <c r="P58" s="50"/>
    </row>
    <row r="59" spans="1:57" ht="15">
      <c r="B59" s="61" t="s">
        <v>17</v>
      </c>
      <c r="C59" s="62" t="s">
        <v>36</v>
      </c>
      <c r="D59" s="62" t="s">
        <v>37</v>
      </c>
      <c r="E59" s="62" t="s">
        <v>38</v>
      </c>
      <c r="F59" s="63" t="s">
        <v>39</v>
      </c>
      <c r="G59" s="62" t="s">
        <v>36</v>
      </c>
      <c r="H59" s="62" t="s">
        <v>37</v>
      </c>
      <c r="I59" s="62" t="s">
        <v>38</v>
      </c>
      <c r="J59" s="63" t="s">
        <v>39</v>
      </c>
      <c r="K59" s="62" t="s">
        <v>36</v>
      </c>
      <c r="L59" s="62" t="s">
        <v>37</v>
      </c>
      <c r="M59" s="62" t="s">
        <v>38</v>
      </c>
      <c r="N59" s="63" t="s">
        <v>39</v>
      </c>
      <c r="O59" s="56"/>
      <c r="P59" s="64"/>
    </row>
    <row r="60" spans="1:57" ht="15">
      <c r="B60" s="29" t="s">
        <v>6</v>
      </c>
      <c r="C60" s="282">
        <f>L47</f>
        <v>4.9438990182328268</v>
      </c>
      <c r="D60" s="76">
        <v>5.2713042462473245</v>
      </c>
      <c r="E60" s="76">
        <v>6.6124045179597859</v>
      </c>
      <c r="F60" s="66">
        <v>4.8</v>
      </c>
      <c r="G60" s="65">
        <f>[11]March_2026!$AD$11</f>
        <v>3.8749950714498915</v>
      </c>
      <c r="H60" s="477">
        <v>5.6141126359937656</v>
      </c>
      <c r="I60" s="477">
        <v>6.8302557293457467</v>
      </c>
      <c r="J60" s="66">
        <v>4.8</v>
      </c>
      <c r="K60" s="67">
        <f>K47</f>
        <v>0.95122807017543864</v>
      </c>
      <c r="L60" s="194">
        <v>0.49395665088647545</v>
      </c>
      <c r="M60" s="194">
        <v>0.41642520296738733</v>
      </c>
      <c r="N60" s="68">
        <v>1</v>
      </c>
      <c r="O60" s="56"/>
      <c r="P60" s="69"/>
    </row>
    <row r="61" spans="1:57" ht="15">
      <c r="B61" s="33" t="s">
        <v>9</v>
      </c>
      <c r="C61" s="65"/>
      <c r="D61" s="76">
        <v>6.49747008272427</v>
      </c>
      <c r="E61" s="76">
        <v>6.3411334413966323</v>
      </c>
      <c r="F61" s="66">
        <v>4.8</v>
      </c>
      <c r="G61" s="65"/>
      <c r="H61" s="76">
        <v>5.8363193922358541</v>
      </c>
      <c r="I61" s="76">
        <v>6.0615758973702238</v>
      </c>
      <c r="J61" s="66">
        <v>4.8</v>
      </c>
      <c r="K61" s="67"/>
      <c r="L61" s="194">
        <v>0.86557894736842111</v>
      </c>
      <c r="M61" s="194">
        <v>0.66474567163482645</v>
      </c>
      <c r="N61" s="68">
        <v>1</v>
      </c>
      <c r="P61" s="69"/>
    </row>
    <row r="62" spans="1:57" ht="15">
      <c r="B62" s="34" t="s">
        <v>40</v>
      </c>
      <c r="C62" s="65"/>
      <c r="D62" s="76">
        <v>12.686094393411453</v>
      </c>
      <c r="E62" s="76">
        <v>12.557379600093356</v>
      </c>
      <c r="F62" s="66">
        <v>5.5</v>
      </c>
      <c r="G62" s="491"/>
      <c r="H62" s="76">
        <v>16.188465805007624</v>
      </c>
      <c r="I62" s="76">
        <v>14.409617014725914</v>
      </c>
      <c r="J62" s="66">
        <v>5.5</v>
      </c>
      <c r="K62" s="67"/>
      <c r="L62" s="194">
        <v>0.22560526315789473</v>
      </c>
      <c r="M62" s="194">
        <v>0.29359298245614035</v>
      </c>
      <c r="N62" s="68">
        <v>1</v>
      </c>
      <c r="P62" s="69"/>
    </row>
    <row r="63" spans="1:57" ht="15">
      <c r="B63" s="22" t="s">
        <v>33</v>
      </c>
      <c r="C63" s="65"/>
      <c r="D63" s="76">
        <v>4.786281034041461</v>
      </c>
      <c r="E63" s="76">
        <v>4.9619586520196597</v>
      </c>
      <c r="F63" s="66">
        <v>3.3</v>
      </c>
      <c r="G63" s="65"/>
      <c r="H63" s="76">
        <v>5.4251963146907434</v>
      </c>
      <c r="I63" s="76">
        <v>4.9501867212112511</v>
      </c>
      <c r="J63" s="66">
        <v>3.3</v>
      </c>
      <c r="K63" s="67"/>
      <c r="L63" s="194">
        <v>1.3052631578947369</v>
      </c>
      <c r="M63" s="194">
        <v>0.88064327485380123</v>
      </c>
      <c r="N63" s="68">
        <v>1</v>
      </c>
      <c r="P63" s="69"/>
    </row>
    <row r="64" spans="1:57" ht="15">
      <c r="B64" s="35" t="s">
        <v>164</v>
      </c>
      <c r="C64" s="65"/>
      <c r="D64" s="76"/>
      <c r="E64" s="76"/>
      <c r="F64" s="66">
        <v>3.3</v>
      </c>
      <c r="G64" s="282"/>
      <c r="H64" s="76"/>
      <c r="I64" s="76"/>
      <c r="J64" s="66">
        <v>3</v>
      </c>
      <c r="K64" s="67"/>
      <c r="L64" s="194"/>
      <c r="M64" s="194"/>
      <c r="N64" s="68">
        <v>1</v>
      </c>
      <c r="P64" s="69"/>
    </row>
    <row r="65" spans="2:16" ht="15">
      <c r="B65" s="36" t="s">
        <v>15</v>
      </c>
      <c r="C65" s="65"/>
      <c r="D65" s="76"/>
      <c r="E65" s="76">
        <v>5.1105651105651271</v>
      </c>
      <c r="F65" s="70">
        <f>[15]May_2022!$M$43</f>
        <v>3.4878406700073312</v>
      </c>
      <c r="G65" s="282"/>
      <c r="H65" s="76"/>
      <c r="I65" s="76">
        <v>7.9131369535794072</v>
      </c>
      <c r="J65" s="66">
        <v>5.5</v>
      </c>
      <c r="K65" s="67"/>
      <c r="L65" s="194"/>
      <c r="M65" s="194">
        <v>1.3550877192982456</v>
      </c>
      <c r="N65" s="68">
        <v>1</v>
      </c>
      <c r="P65" s="69"/>
    </row>
    <row r="66" spans="2:16" ht="15">
      <c r="B66" s="37" t="s">
        <v>16</v>
      </c>
      <c r="C66" s="65"/>
      <c r="D66" s="76">
        <v>3.990890358963231</v>
      </c>
      <c r="E66" s="76">
        <v>3.9654240950837436</v>
      </c>
      <c r="F66" s="66">
        <v>3.3</v>
      </c>
      <c r="G66" s="282"/>
      <c r="H66" s="76">
        <v>7.5259787647367338</v>
      </c>
      <c r="I66" s="76">
        <v>6.1323263986468994</v>
      </c>
      <c r="J66" s="66">
        <v>3.3</v>
      </c>
      <c r="K66" s="67"/>
      <c r="L66" s="194">
        <v>1.0967836257309942</v>
      </c>
      <c r="M66" s="194">
        <v>0.93295906432748543</v>
      </c>
      <c r="N66" s="71">
        <v>1</v>
      </c>
      <c r="P66" s="69"/>
    </row>
    <row r="67" spans="2:16" ht="15.75" thickBot="1">
      <c r="B67" s="38" t="s">
        <v>163</v>
      </c>
      <c r="C67" s="65"/>
      <c r="D67" s="76"/>
      <c r="E67" s="76"/>
      <c r="F67" s="66">
        <v>7.5</v>
      </c>
      <c r="G67" s="282"/>
      <c r="H67" s="76"/>
      <c r="I67" s="76"/>
      <c r="J67" s="66">
        <v>7.5</v>
      </c>
      <c r="K67" s="67"/>
      <c r="L67" s="194"/>
      <c r="M67" s="194"/>
      <c r="N67" s="71">
        <v>1</v>
      </c>
      <c r="P67" s="69"/>
    </row>
    <row r="68" spans="2:16" ht="15.75" thickBot="1">
      <c r="B68" s="414" t="s">
        <v>161</v>
      </c>
      <c r="C68" s="65"/>
      <c r="D68" s="76"/>
      <c r="E68" s="76"/>
      <c r="F68" s="66">
        <v>4.8</v>
      </c>
      <c r="G68" s="282"/>
      <c r="H68" s="76"/>
      <c r="I68" s="76"/>
      <c r="J68" s="66">
        <v>4.8</v>
      </c>
      <c r="K68" s="67"/>
      <c r="L68" s="194"/>
      <c r="M68" s="194"/>
      <c r="N68" s="71">
        <v>1</v>
      </c>
      <c r="O68" s="74"/>
      <c r="P68" s="75"/>
    </row>
    <row r="69" spans="2:16" ht="15">
      <c r="D69" s="76">
        <v>6.0812358435344676</v>
      </c>
      <c r="E69" s="76">
        <v>6.5618263756692174</v>
      </c>
      <c r="F69" s="341">
        <v>5.5</v>
      </c>
      <c r="H69" s="76">
        <v>7.1389894943597403</v>
      </c>
      <c r="I69" s="76">
        <v>7.1264235614322686</v>
      </c>
      <c r="J69" s="341">
        <v>5.5</v>
      </c>
      <c r="L69" s="194">
        <v>0.6696602910785735</v>
      </c>
      <c r="M69" s="194">
        <v>0.51678124172219164</v>
      </c>
      <c r="N69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16:N16"/>
    <mergeCell ref="D17:E17"/>
    <mergeCell ref="B18:B29"/>
    <mergeCell ref="D18:E19"/>
    <mergeCell ref="D20:E21"/>
    <mergeCell ref="D22:E23"/>
    <mergeCell ref="D24:E25"/>
    <mergeCell ref="D26:E27"/>
    <mergeCell ref="D28:E29"/>
    <mergeCell ref="B30:B39"/>
    <mergeCell ref="D30:E31"/>
    <mergeCell ref="J30:K30"/>
    <mergeCell ref="L31:N31"/>
    <mergeCell ref="D32:E33"/>
    <mergeCell ref="D34:E35"/>
    <mergeCell ref="D36:E37"/>
    <mergeCell ref="D38:E39"/>
    <mergeCell ref="D40:E40"/>
    <mergeCell ref="B45:B46"/>
    <mergeCell ref="C45:C46"/>
    <mergeCell ref="D45:D46"/>
    <mergeCell ref="E45:E46"/>
    <mergeCell ref="M45:M46"/>
    <mergeCell ref="B58:F58"/>
    <mergeCell ref="G58:J58"/>
    <mergeCell ref="K58:N58"/>
    <mergeCell ref="G45:G46"/>
    <mergeCell ref="H45:H46"/>
    <mergeCell ref="I45:I46"/>
    <mergeCell ref="J45:J46"/>
    <mergeCell ref="K45:K46"/>
    <mergeCell ref="L45:L46"/>
    <mergeCell ref="F45:F46"/>
  </mergeCells>
  <conditionalFormatting sqref="B40:B41">
    <cfRule type="cellIs" dxfId="493" priority="75" operator="notBetween">
      <formula>#REF!</formula>
      <formula>#REF!</formula>
    </cfRule>
  </conditionalFormatting>
  <conditionalFormatting sqref="C44">
    <cfRule type="cellIs" dxfId="492" priority="169" stopIfTrue="1" operator="lessThan">
      <formula>96</formula>
    </cfRule>
    <cfRule type="cellIs" dxfId="491" priority="170" stopIfTrue="1" operator="greaterThan">
      <formula>100</formula>
    </cfRule>
  </conditionalFormatting>
  <conditionalFormatting sqref="C60:C64">
    <cfRule type="cellIs" dxfId="490" priority="138" stopIfTrue="1" operator="lessThanOrEqual">
      <formula>0</formula>
    </cfRule>
  </conditionalFormatting>
  <conditionalFormatting sqref="C60:C68">
    <cfRule type="cellIs" dxfId="489" priority="137" stopIfTrue="1" operator="greaterThan">
      <formula>$F60</formula>
    </cfRule>
  </conditionalFormatting>
  <conditionalFormatting sqref="C61">
    <cfRule type="cellIs" dxfId="488" priority="171" stopIfTrue="1" operator="greaterThan">
      <formula>$F60</formula>
    </cfRule>
  </conditionalFormatting>
  <conditionalFormatting sqref="C65">
    <cfRule type="cellIs" dxfId="487" priority="100" stopIfTrue="1" operator="greaterThan">
      <formula>$F64</formula>
    </cfRule>
    <cfRule type="cellIs" dxfId="486" priority="99" stopIfTrue="1" operator="lessThanOrEqual">
      <formula>0</formula>
    </cfRule>
  </conditionalFormatting>
  <conditionalFormatting sqref="C66:C68">
    <cfRule type="cellIs" dxfId="485" priority="139" stopIfTrue="1" operator="lessThanOrEqual">
      <formula>0</formula>
    </cfRule>
  </conditionalFormatting>
  <conditionalFormatting sqref="C71:C75">
    <cfRule type="cellIs" dxfId="484" priority="161" stopIfTrue="1" operator="lessThanOrEqual">
      <formula>0</formula>
    </cfRule>
  </conditionalFormatting>
  <conditionalFormatting sqref="C72:C75">
    <cfRule type="cellIs" dxfId="483" priority="160" stopIfTrue="1" operator="greaterThan">
      <formula>$F$71</formula>
    </cfRule>
  </conditionalFormatting>
  <conditionalFormatting sqref="C77">
    <cfRule type="cellIs" dxfId="482" priority="163" stopIfTrue="1" operator="lessThanOrEqual">
      <formula>0</formula>
    </cfRule>
    <cfRule type="cellIs" dxfId="481" priority="162" stopIfTrue="1" operator="greaterThan">
      <formula>$F$71</formula>
    </cfRule>
  </conditionalFormatting>
  <conditionalFormatting sqref="C71:D71 D73:D79">
    <cfRule type="cellIs" dxfId="480" priority="155" stopIfTrue="1" operator="greaterThan">
      <formula>4.5</formula>
    </cfRule>
  </conditionalFormatting>
  <conditionalFormatting sqref="D40:D41">
    <cfRule type="cellIs" dxfId="479" priority="76" operator="notBetween">
      <formula>#REF!</formula>
      <formula>#REF!</formula>
    </cfRule>
  </conditionalFormatting>
  <conditionalFormatting sqref="D60:D67">
    <cfRule type="cellIs" dxfId="478" priority="50" stopIfTrue="1" operator="lessThanOrEqual">
      <formula>0</formula>
    </cfRule>
  </conditionalFormatting>
  <conditionalFormatting sqref="D60:D69">
    <cfRule type="cellIs" dxfId="477" priority="29" stopIfTrue="1" operator="lessThanOrEqual">
      <formula>0</formula>
    </cfRule>
  </conditionalFormatting>
  <conditionalFormatting sqref="D68">
    <cfRule type="cellIs" dxfId="476" priority="49" stopIfTrue="1" operator="lessThanOrEqual">
      <formula>0</formula>
    </cfRule>
  </conditionalFormatting>
  <conditionalFormatting sqref="D69">
    <cfRule type="cellIs" dxfId="475" priority="44" stopIfTrue="1" operator="lessThanOrEqual">
      <formula>0</formula>
    </cfRule>
  </conditionalFormatting>
  <conditionalFormatting sqref="D71 D73:D79">
    <cfRule type="cellIs" dxfId="474" priority="156" stopIfTrue="1" operator="lessThanOrEqual">
      <formula>0</formula>
    </cfRule>
  </conditionalFormatting>
  <conditionalFormatting sqref="D72">
    <cfRule type="cellIs" dxfId="473" priority="147" stopIfTrue="1" operator="greaterThan">
      <formula>$F$71</formula>
    </cfRule>
    <cfRule type="cellIs" dxfId="472" priority="148" stopIfTrue="1" operator="lessThanOrEqual">
      <formula>0</formula>
    </cfRule>
  </conditionalFormatting>
  <conditionalFormatting sqref="D60:E69">
    <cfRule type="cellIs" dxfId="471" priority="31" stopIfTrue="1" operator="greaterThan">
      <formula>$F60</formula>
    </cfRule>
  </conditionalFormatting>
  <conditionalFormatting sqref="D69:E69">
    <cfRule type="cellIs" dxfId="470" priority="33" stopIfTrue="1" operator="lessThanOrEqual">
      <formula>0</formula>
    </cfRule>
  </conditionalFormatting>
  <conditionalFormatting sqref="E10:E15">
    <cfRule type="cellIs" dxfId="469" priority="20" operator="lessThan">
      <formula>48</formula>
    </cfRule>
  </conditionalFormatting>
  <conditionalFormatting sqref="E43 E44:F44">
    <cfRule type="cellIs" dxfId="468" priority="152" stopIfTrue="1" operator="greaterThan">
      <formula>100</formula>
    </cfRule>
  </conditionalFormatting>
  <conditionalFormatting sqref="E44">
    <cfRule type="cellIs" dxfId="467" priority="150" stopIfTrue="1" operator="greaterThan">
      <formula>100</formula>
    </cfRule>
    <cfRule type="cellIs" dxfId="466" priority="149" stopIfTrue="1" operator="lessThan">
      <formula>96.8</formula>
    </cfRule>
  </conditionalFormatting>
  <conditionalFormatting sqref="E60:E68">
    <cfRule type="cellIs" dxfId="465" priority="30" stopIfTrue="1" operator="lessThanOrEqual">
      <formula>0</formula>
    </cfRule>
  </conditionalFormatting>
  <conditionalFormatting sqref="E60:E69">
    <cfRule type="cellIs" dxfId="464" priority="32" stopIfTrue="1" operator="lessThanOrEqual">
      <formula>0</formula>
    </cfRule>
  </conditionalFormatting>
  <conditionalFormatting sqref="E71:E79">
    <cfRule type="cellIs" dxfId="463" priority="141" stopIfTrue="1" operator="greaterThan">
      <formula>4.5</formula>
    </cfRule>
    <cfRule type="cellIs" dxfId="462" priority="142" stopIfTrue="1" operator="lessThanOrEqual">
      <formula>0</formula>
    </cfRule>
  </conditionalFormatting>
  <conditionalFormatting sqref="E44:F44 E43">
    <cfRule type="cellIs" dxfId="461" priority="151" stopIfTrue="1" operator="lessThan">
      <formula>96.5</formula>
    </cfRule>
  </conditionalFormatting>
  <conditionalFormatting sqref="F10:F15">
    <cfRule type="cellIs" dxfId="460" priority="25" operator="greaterThan">
      <formula>60</formula>
    </cfRule>
  </conditionalFormatting>
  <conditionalFormatting sqref="F44">
    <cfRule type="cellIs" dxfId="459" priority="167" stopIfTrue="1" operator="lessThan">
      <formula>96.8</formula>
    </cfRule>
    <cfRule type="cellIs" dxfId="458" priority="168" stopIfTrue="1" operator="greaterThan">
      <formula>100</formula>
    </cfRule>
  </conditionalFormatting>
  <conditionalFormatting sqref="F69">
    <cfRule type="cellIs" dxfId="457" priority="47" stopIfTrue="1" operator="greaterThan">
      <formula>$F69</formula>
    </cfRule>
    <cfRule type="cellIs" dxfId="456" priority="48" stopIfTrue="1" operator="lessThanOrEqual">
      <formula>0</formula>
    </cfRule>
  </conditionalFormatting>
  <conditionalFormatting sqref="G10 G13:G15">
    <cfRule type="expression" dxfId="455" priority="22">
      <formula>IF(+(IF(G10&lt;S10,0,IF(G10&gt;T10,0,1)))=0,1)</formula>
    </cfRule>
  </conditionalFormatting>
  <conditionalFormatting sqref="G11:G12">
    <cfRule type="expression" dxfId="454" priority="172">
      <formula>IF(+(IF(G11&lt;S10,0,IF(G11&gt;T10,0,1)))=0,1)</formula>
    </cfRule>
  </conditionalFormatting>
  <conditionalFormatting sqref="G60:G61">
    <cfRule type="cellIs" dxfId="453" priority="52" stopIfTrue="1" operator="lessThanOrEqual">
      <formula>0</formula>
    </cfRule>
    <cfRule type="cellIs" dxfId="452" priority="46" stopIfTrue="1" operator="lessThanOrEqual">
      <formula>0</formula>
    </cfRule>
    <cfRule type="cellIs" dxfId="451" priority="51" stopIfTrue="1" operator="greaterThan">
      <formula>$F60</formula>
    </cfRule>
    <cfRule type="cellIs" dxfId="450" priority="45" stopIfTrue="1" operator="greaterThan">
      <formula>$F60</formula>
    </cfRule>
  </conditionalFormatting>
  <conditionalFormatting sqref="G62">
    <cfRule type="containsErrors" dxfId="449" priority="13" stopIfTrue="1">
      <formula>ISERROR(G62)</formula>
    </cfRule>
  </conditionalFormatting>
  <conditionalFormatting sqref="G63">
    <cfRule type="cellIs" dxfId="448" priority="38" stopIfTrue="1" operator="lessThanOrEqual">
      <formula>0</formula>
    </cfRule>
    <cfRule type="cellIs" dxfId="447" priority="40" stopIfTrue="1" operator="lessThanOrEqual">
      <formula>0</formula>
    </cfRule>
    <cfRule type="cellIs" dxfId="446" priority="39" stopIfTrue="1" operator="greaterThan">
      <formula>$F63</formula>
    </cfRule>
    <cfRule type="cellIs" dxfId="445" priority="37" stopIfTrue="1" operator="greaterThan">
      <formula>$F63</formula>
    </cfRule>
  </conditionalFormatting>
  <conditionalFormatting sqref="G64:G68">
    <cfRule type="cellIs" dxfId="444" priority="54" stopIfTrue="1" operator="lessThanOrEqual">
      <formula>0</formula>
    </cfRule>
    <cfRule type="cellIs" dxfId="443" priority="53" stopIfTrue="1" operator="greaterThan">
      <formula>$J64</formula>
    </cfRule>
  </conditionalFormatting>
  <conditionalFormatting sqref="G73:G78 C76 C78">
    <cfRule type="cellIs" dxfId="442" priority="164" stopIfTrue="1" operator="greaterThan">
      <formula>4.5</formula>
    </cfRule>
    <cfRule type="cellIs" dxfId="441" priority="165" stopIfTrue="1" operator="lessThanOrEqual">
      <formula>0</formula>
    </cfRule>
  </conditionalFormatting>
  <conditionalFormatting sqref="G72:H72">
    <cfRule type="cellIs" dxfId="440" priority="145" stopIfTrue="1" operator="greaterThan">
      <formula>$F$71</formula>
    </cfRule>
    <cfRule type="cellIs" dxfId="439" priority="146" stopIfTrue="1" operator="lessThanOrEqual">
      <formula>0</formula>
    </cfRule>
  </conditionalFormatting>
  <conditionalFormatting sqref="H29:H30 H43">
    <cfRule type="cellIs" dxfId="438" priority="143" stopIfTrue="1" operator="greaterThan">
      <formula>0</formula>
    </cfRule>
  </conditionalFormatting>
  <conditionalFormatting sqref="H47:H51">
    <cfRule type="cellIs" dxfId="437" priority="69" stopIfTrue="1" operator="greaterThan">
      <formula>$F$61</formula>
    </cfRule>
    <cfRule type="cellIs" dxfId="436" priority="58" stopIfTrue="1" operator="lessThanOrEqual">
      <formula>0</formula>
    </cfRule>
    <cfRule type="cellIs" dxfId="435" priority="67" stopIfTrue="1" operator="greaterThan">
      <formula>$F$63</formula>
    </cfRule>
    <cfRule type="cellIs" dxfId="434" priority="70" stopIfTrue="1" operator="lessThanOrEqual">
      <formula>0</formula>
    </cfRule>
    <cfRule type="cellIs" dxfId="433" priority="59" stopIfTrue="1" operator="greaterThan">
      <formula>$F$60</formula>
    </cfRule>
    <cfRule type="cellIs" dxfId="432" priority="68" stopIfTrue="1" operator="lessThanOrEqual">
      <formula>0</formula>
    </cfRule>
  </conditionalFormatting>
  <conditionalFormatting sqref="H52:H53">
    <cfRule type="cellIs" dxfId="431" priority="102" stopIfTrue="1" operator="lessThanOrEqual">
      <formula>0</formula>
    </cfRule>
    <cfRule type="cellIs" dxfId="430" priority="111" stopIfTrue="1" operator="greaterThan">
      <formula>$F$15</formula>
    </cfRule>
    <cfRule type="cellIs" dxfId="429" priority="112" stopIfTrue="1" operator="lessThanOrEqual">
      <formula>0</formula>
    </cfRule>
    <cfRule type="cellIs" dxfId="428" priority="113" stopIfTrue="1" operator="greaterThan">
      <formula>#REF!</formula>
    </cfRule>
    <cfRule type="cellIs" dxfId="427" priority="103" stopIfTrue="1" operator="greaterThan">
      <formula>#REF!</formula>
    </cfRule>
    <cfRule type="cellIs" dxfId="426" priority="114" stopIfTrue="1" operator="lessThanOrEqual">
      <formula>0</formula>
    </cfRule>
  </conditionalFormatting>
  <conditionalFormatting sqref="H54">
    <cfRule type="cellIs" dxfId="425" priority="125" stopIfTrue="1" operator="greaterThan">
      <formula>$F$31</formula>
    </cfRule>
    <cfRule type="cellIs" dxfId="424" priority="128" stopIfTrue="1" operator="lessThanOrEqual">
      <formula>0</formula>
    </cfRule>
    <cfRule type="cellIs" dxfId="423" priority="126" stopIfTrue="1" operator="lessThanOrEqual">
      <formula>0</formula>
    </cfRule>
    <cfRule type="cellIs" dxfId="422" priority="127" stopIfTrue="1" operator="greaterThan">
      <formula>$F$29</formula>
    </cfRule>
    <cfRule type="cellIs" dxfId="421" priority="116" stopIfTrue="1" operator="lessThanOrEqual">
      <formula>0</formula>
    </cfRule>
    <cfRule type="cellIs" dxfId="420" priority="117" stopIfTrue="1" operator="greaterThan">
      <formula>$F$28</formula>
    </cfRule>
  </conditionalFormatting>
  <conditionalFormatting sqref="H55:H56">
    <cfRule type="cellIs" dxfId="419" priority="96" stopIfTrue="1" operator="lessThanOrEqual">
      <formula>0</formula>
    </cfRule>
    <cfRule type="cellIs" dxfId="418" priority="98" stopIfTrue="1" operator="lessThanOrEqual">
      <formula>0</formula>
    </cfRule>
    <cfRule type="cellIs" dxfId="417" priority="97" stopIfTrue="1" operator="greaterThan">
      <formula>#REF!</formula>
    </cfRule>
    <cfRule type="cellIs" dxfId="416" priority="95" stopIfTrue="1" operator="greaterThan">
      <formula>$F$15</formula>
    </cfRule>
    <cfRule type="cellIs" dxfId="415" priority="86" stopIfTrue="1" operator="lessThanOrEqual">
      <formula>0</formula>
    </cfRule>
    <cfRule type="cellIs" dxfId="414" priority="87" stopIfTrue="1" operator="greaterThan">
      <formula>#REF!</formula>
    </cfRule>
  </conditionalFormatting>
  <conditionalFormatting sqref="H71 H73:H79">
    <cfRule type="cellIs" dxfId="413" priority="157" stopIfTrue="1" operator="greaterThan">
      <formula>4.5</formula>
    </cfRule>
    <cfRule type="cellIs" dxfId="412" priority="158" stopIfTrue="1" operator="lessThanOrEqual">
      <formula>0</formula>
    </cfRule>
  </conditionalFormatting>
  <conditionalFormatting sqref="H47:I51">
    <cfRule type="cellIs" dxfId="411" priority="60" stopIfTrue="1" operator="lessThanOrEqual">
      <formula>0</formula>
    </cfRule>
    <cfRule type="cellIs" dxfId="410" priority="57" stopIfTrue="1" operator="greaterThan">
      <formula>$F$62</formula>
    </cfRule>
  </conditionalFormatting>
  <conditionalFormatting sqref="H52:I53">
    <cfRule type="cellIs" dxfId="409" priority="101" stopIfTrue="1" operator="greaterThan">
      <formula>#REF!</formula>
    </cfRule>
    <cfRule type="cellIs" dxfId="408" priority="104" stopIfTrue="1" operator="lessThanOrEqual">
      <formula>0</formula>
    </cfRule>
  </conditionalFormatting>
  <conditionalFormatting sqref="H54:I54">
    <cfRule type="cellIs" dxfId="407" priority="115" stopIfTrue="1" operator="greaterThan">
      <formula>$F$30</formula>
    </cfRule>
    <cfRule type="cellIs" dxfId="406" priority="118" stopIfTrue="1" operator="lessThanOrEqual">
      <formula>0</formula>
    </cfRule>
  </conditionalFormatting>
  <conditionalFormatting sqref="H55:I56">
    <cfRule type="cellIs" dxfId="405" priority="85" stopIfTrue="1" operator="greaterThan">
      <formula>#REF!</formula>
    </cfRule>
    <cfRule type="cellIs" dxfId="404" priority="88" stopIfTrue="1" operator="lessThanOrEqual">
      <formula>0</formula>
    </cfRule>
  </conditionalFormatting>
  <conditionalFormatting sqref="H60:I67">
    <cfRule type="cellIs" dxfId="403" priority="28" stopIfTrue="1" operator="lessThanOrEqual">
      <formula>0</formula>
    </cfRule>
    <cfRule type="cellIs" dxfId="402" priority="27" stopIfTrue="1" operator="greaterThan">
      <formula>$J60</formula>
    </cfRule>
  </conditionalFormatting>
  <conditionalFormatting sqref="H68:I68">
    <cfRule type="cellIs" dxfId="401" priority="36" operator="greaterThan">
      <formula>5.3</formula>
    </cfRule>
  </conditionalFormatting>
  <conditionalFormatting sqref="H69:I69">
    <cfRule type="cellIs" dxfId="400" priority="35" stopIfTrue="1" operator="lessThanOrEqual">
      <formula>0</formula>
    </cfRule>
    <cfRule type="cellIs" dxfId="399" priority="34" stopIfTrue="1" operator="greaterThan">
      <formula>$J69</formula>
    </cfRule>
  </conditionalFormatting>
  <conditionalFormatting sqref="I47:I51">
    <cfRule type="cellIs" dxfId="398" priority="61" stopIfTrue="1" operator="greaterThan">
      <formula>$F$60</formula>
    </cfRule>
    <cfRule type="cellIs" dxfId="397" priority="63" stopIfTrue="1" operator="greaterThan">
      <formula>$F$62</formula>
    </cfRule>
    <cfRule type="cellIs" dxfId="396" priority="62" stopIfTrue="1" operator="lessThanOrEqual">
      <formula>0</formula>
    </cfRule>
    <cfRule type="cellIs" dxfId="395" priority="66" stopIfTrue="1" operator="lessThanOrEqual">
      <formula>0</formula>
    </cfRule>
    <cfRule type="cellIs" dxfId="394" priority="65" stopIfTrue="1" operator="greaterThan">
      <formula>$F$60</formula>
    </cfRule>
    <cfRule type="cellIs" dxfId="393" priority="64" stopIfTrue="1" operator="lessThanOrEqual">
      <formula>0</formula>
    </cfRule>
  </conditionalFormatting>
  <conditionalFormatting sqref="I52:I53">
    <cfRule type="cellIs" dxfId="392" priority="108" stopIfTrue="1" operator="lessThanOrEqual">
      <formula>0</formula>
    </cfRule>
    <cfRule type="cellIs" dxfId="391" priority="109" stopIfTrue="1" operator="greaterThan">
      <formula>#REF!</formula>
    </cfRule>
    <cfRule type="cellIs" dxfId="390" priority="110" stopIfTrue="1" operator="lessThanOrEqual">
      <formula>0</formula>
    </cfRule>
    <cfRule type="cellIs" dxfId="389" priority="105" stopIfTrue="1" operator="greaterThan">
      <formula>#REF!</formula>
    </cfRule>
    <cfRule type="cellIs" dxfId="388" priority="107" stopIfTrue="1" operator="greaterThan">
      <formula>#REF!</formula>
    </cfRule>
    <cfRule type="cellIs" dxfId="387" priority="106" stopIfTrue="1" operator="lessThanOrEqual">
      <formula>0</formula>
    </cfRule>
  </conditionalFormatting>
  <conditionalFormatting sqref="I54">
    <cfRule type="cellIs" dxfId="386" priority="120" stopIfTrue="1" operator="lessThanOrEqual">
      <formula>0</formula>
    </cfRule>
    <cfRule type="cellIs" dxfId="385" priority="119" stopIfTrue="1" operator="greaterThan">
      <formula>$F$28</formula>
    </cfRule>
    <cfRule type="cellIs" dxfId="384" priority="122" stopIfTrue="1" operator="lessThanOrEqual">
      <formula>0</formula>
    </cfRule>
    <cfRule type="cellIs" dxfId="383" priority="123" stopIfTrue="1" operator="greaterThan">
      <formula>$F$28</formula>
    </cfRule>
    <cfRule type="cellIs" dxfId="382" priority="124" stopIfTrue="1" operator="lessThanOrEqual">
      <formula>0</formula>
    </cfRule>
    <cfRule type="cellIs" dxfId="381" priority="121" stopIfTrue="1" operator="greaterThan">
      <formula>$F$30</formula>
    </cfRule>
  </conditionalFormatting>
  <conditionalFormatting sqref="I55:I56">
    <cfRule type="cellIs" dxfId="380" priority="90" stopIfTrue="1" operator="lessThanOrEqual">
      <formula>0</formula>
    </cfRule>
    <cfRule type="cellIs" dxfId="379" priority="91" stopIfTrue="1" operator="greaterThan">
      <formula>#REF!</formula>
    </cfRule>
    <cfRule type="cellIs" dxfId="378" priority="92" stopIfTrue="1" operator="lessThanOrEqual">
      <formula>0</formula>
    </cfRule>
    <cfRule type="cellIs" dxfId="377" priority="93" stopIfTrue="1" operator="greaterThan">
      <formula>#REF!</formula>
    </cfRule>
    <cfRule type="cellIs" dxfId="376" priority="94" stopIfTrue="1" operator="lessThanOrEqual">
      <formula>0</formula>
    </cfRule>
    <cfRule type="cellIs" dxfId="375" priority="89" stopIfTrue="1" operator="greaterThan">
      <formula>#REF!</formula>
    </cfRule>
  </conditionalFormatting>
  <conditionalFormatting sqref="I71:I79">
    <cfRule type="cellIs" dxfId="374" priority="154" stopIfTrue="1" operator="lessThanOrEqual">
      <formula>0</formula>
    </cfRule>
    <cfRule type="cellIs" dxfId="373" priority="153" stopIfTrue="1" operator="greaterThan">
      <formula>4.5</formula>
    </cfRule>
  </conditionalFormatting>
  <conditionalFormatting sqref="I10:J15">
    <cfRule type="cellIs" dxfId="372" priority="14" operator="lessThan">
      <formula>97.9</formula>
    </cfRule>
  </conditionalFormatting>
  <conditionalFormatting sqref="J18">
    <cfRule type="cellIs" dxfId="371" priority="56" operator="lessThan">
      <formula>97.95</formula>
    </cfRule>
  </conditionalFormatting>
  <conditionalFormatting sqref="J20">
    <cfRule type="cellIs" dxfId="370" priority="132" operator="lessThan">
      <formula>98</formula>
    </cfRule>
    <cfRule type="cellIs" dxfId="369" priority="131" stopIfTrue="1" operator="greaterThan">
      <formula>100</formula>
    </cfRule>
    <cfRule type="cellIs" dxfId="368" priority="130" stopIfTrue="1" operator="lessThan">
      <formula>96.8</formula>
    </cfRule>
  </conditionalFormatting>
  <conditionalFormatting sqref="J20:J22">
    <cfRule type="cellIs" dxfId="367" priority="129" operator="lessThan">
      <formula>97.4</formula>
    </cfRule>
  </conditionalFormatting>
  <conditionalFormatting sqref="J23:J24">
    <cfRule type="cellIs" dxfId="366" priority="133" operator="lessThan">
      <formula>98</formula>
    </cfRule>
  </conditionalFormatting>
  <conditionalFormatting sqref="J25:J26">
    <cfRule type="cellIs" dxfId="365" priority="135" stopIfTrue="1" operator="greaterThan">
      <formula>100</formula>
    </cfRule>
    <cfRule type="cellIs" dxfId="364" priority="134" stopIfTrue="1" operator="lessThan">
      <formula>96.8</formula>
    </cfRule>
  </conditionalFormatting>
  <conditionalFormatting sqref="J25:J27">
    <cfRule type="cellIs" dxfId="363" priority="136" operator="lessThan">
      <formula>98</formula>
    </cfRule>
  </conditionalFormatting>
  <conditionalFormatting sqref="J56">
    <cfRule type="cellIs" dxfId="362" priority="79" stopIfTrue="1" operator="greaterThan">
      <formula>#REF!</formula>
    </cfRule>
    <cfRule type="cellIs" dxfId="361" priority="78" stopIfTrue="1" operator="lessThanOrEqual">
      <formula>0</formula>
    </cfRule>
    <cfRule type="cellIs" dxfId="360" priority="84" stopIfTrue="1" operator="lessThanOrEqual">
      <formula>0</formula>
    </cfRule>
    <cfRule type="cellIs" dxfId="359" priority="83" stopIfTrue="1" operator="greaterThan">
      <formula>#REF!</formula>
    </cfRule>
    <cfRule type="cellIs" dxfId="358" priority="77" stopIfTrue="1" operator="greaterThan">
      <formula>#REF!</formula>
    </cfRule>
    <cfRule type="cellIs" dxfId="357" priority="82" stopIfTrue="1" operator="lessThanOrEqual">
      <formula>0</formula>
    </cfRule>
    <cfRule type="cellIs" dxfId="356" priority="81" stopIfTrue="1" operator="greaterThan">
      <formula>#REF!</formula>
    </cfRule>
    <cfRule type="cellIs" dxfId="355" priority="80" stopIfTrue="1" operator="lessThanOrEqual">
      <formula>0</formula>
    </cfRule>
  </conditionalFormatting>
  <conditionalFormatting sqref="J69">
    <cfRule type="cellIs" dxfId="354" priority="42" stopIfTrue="1" operator="lessThanOrEqual">
      <formula>0</formula>
    </cfRule>
    <cfRule type="cellIs" dxfId="353" priority="41" stopIfTrue="1" operator="greaterThan">
      <formula>$F69</formula>
    </cfRule>
  </conditionalFormatting>
  <conditionalFormatting sqref="K10:K15">
    <cfRule type="cellIs" dxfId="352" priority="15" operator="greaterThan">
      <formula>6</formula>
    </cfRule>
    <cfRule type="cellIs" dxfId="351" priority="17" operator="greaterThan">
      <formula>6.4</formula>
    </cfRule>
    <cfRule type="cellIs" dxfId="350" priority="16" operator="lessThan">
      <formula>4</formula>
    </cfRule>
  </conditionalFormatting>
  <conditionalFormatting sqref="K47:K56">
    <cfRule type="cellIs" dxfId="349" priority="71" stopIfTrue="1" operator="lessThan">
      <formula>100%</formula>
    </cfRule>
  </conditionalFormatting>
  <conditionalFormatting sqref="K71:K76">
    <cfRule type="cellIs" dxfId="348" priority="159" stopIfTrue="1" operator="lessThan">
      <formula>100%</formula>
    </cfRule>
  </conditionalFormatting>
  <conditionalFormatting sqref="K78:K79">
    <cfRule type="cellIs" dxfId="347" priority="166" stopIfTrue="1" operator="lessThan">
      <formula>100%</formula>
    </cfRule>
  </conditionalFormatting>
  <conditionalFormatting sqref="K60:M68">
    <cfRule type="cellIs" dxfId="346" priority="26" stopIfTrue="1" operator="lessThan">
      <formula>100%</formula>
    </cfRule>
  </conditionalFormatting>
  <conditionalFormatting sqref="L10:L15">
    <cfRule type="cellIs" dxfId="345" priority="19" operator="greaterThan">
      <formula>65</formula>
    </cfRule>
    <cfRule type="cellIs" dxfId="344" priority="18" operator="between">
      <formula>61</formula>
      <formula>65</formula>
    </cfRule>
  </conditionalFormatting>
  <conditionalFormatting sqref="L18:M29">
    <cfRule type="cellIs" dxfId="343" priority="73" operator="lessThan">
      <formula>97.95</formula>
    </cfRule>
  </conditionalFormatting>
  <conditionalFormatting sqref="L69:M69">
    <cfRule type="cellIs" dxfId="342" priority="43" stopIfTrue="1" operator="lessThan">
      <formula>100%</formula>
    </cfRule>
  </conditionalFormatting>
  <conditionalFormatting sqref="L33:N33">
    <cfRule type="cellIs" dxfId="341" priority="74" operator="notEqual">
      <formula>#REF!</formula>
    </cfRule>
  </conditionalFormatting>
  <conditionalFormatting sqref="L71:N79">
    <cfRule type="cellIs" dxfId="340" priority="144" stopIfTrue="1" operator="lessThan">
      <formula>100%</formula>
    </cfRule>
  </conditionalFormatting>
  <conditionalFormatting sqref="M10 M13">
    <cfRule type="expression" dxfId="339" priority="24">
      <formula>IF(+(IF(M10&lt;U10,0,IF(M10&gt;V10,0,1)))=0,1)</formula>
    </cfRule>
  </conditionalFormatting>
  <conditionalFormatting sqref="M11:M12">
    <cfRule type="expression" dxfId="338" priority="173">
      <formula>IF(+(IF(M11&lt;U10,0,IF(M11&gt;V10,0,1)))=0,1)</formula>
    </cfRule>
  </conditionalFormatting>
  <conditionalFormatting sqref="M10:N10 H10:H15">
    <cfRule type="expression" dxfId="337" priority="21">
      <formula>IF(+(IF(H10&lt;#REF!,0,IF(H10&gt;#REF!,0,1)))=0,1)</formula>
    </cfRule>
  </conditionalFormatting>
  <conditionalFormatting sqref="M14:N15">
    <cfRule type="expression" dxfId="336" priority="72">
      <formula>IF(+(IF(M14&lt;#REF!,0,IF(M14&gt;#REF!,0,1)))=0,1)</formula>
    </cfRule>
  </conditionalFormatting>
  <conditionalFormatting sqref="N10 N13">
    <cfRule type="expression" dxfId="335" priority="23">
      <formula>IF(+(IF(N10&lt;W10,0,IF(N10&gt;X10,0,1)))=0,1)</formula>
    </cfRule>
  </conditionalFormatting>
  <conditionalFormatting sqref="N11:N12">
    <cfRule type="expression" dxfId="334" priority="174">
      <formula>IF(+(IF(N11&lt;W10,0,IF(N11&gt;X10,0,1)))=0,1)</formula>
    </cfRule>
  </conditionalFormatting>
  <conditionalFormatting sqref="N60:N69">
    <cfRule type="cellIs" dxfId="333" priority="55" stopIfTrue="1" operator="lessThan">
      <formula>100%</formula>
    </cfRule>
  </conditionalFormatting>
  <conditionalFormatting sqref="P6">
    <cfRule type="cellIs" dxfId="332" priority="140" operator="greaterThanOrEqual">
      <formula>19</formula>
    </cfRule>
  </conditionalFormatting>
  <dataValidations disablePrompts="1" count="1">
    <dataValidation type="list" allowBlank="1" showInputMessage="1" showErrorMessage="1" sqref="R8" xr:uid="{A01F5DE6-D42D-448B-AE29-FCE137762A57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3" max="16383" man="1"/>
  </rowBreaks>
  <colBreaks count="1" manualBreakCount="1">
    <brk id="15" max="89" man="1"/>
  </colBreak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865EC-5C62-4F8E-A395-11048E7F394F}">
  <sheetPr>
    <pageSetUpPr fitToPage="1"/>
  </sheetPr>
  <dimension ref="A1:BE84"/>
  <sheetViews>
    <sheetView topLeftCell="A5" zoomScale="70" zoomScaleNormal="70" workbookViewId="0">
      <selection activeCell="E10" sqref="E10:E12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9.42578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4" t="s">
        <v>0</v>
      </c>
      <c r="T1" s="494"/>
      <c r="U1" s="494" t="s">
        <v>1</v>
      </c>
      <c r="V1" s="494"/>
      <c r="W1" s="494" t="s">
        <v>2</v>
      </c>
      <c r="X1" s="494"/>
      <c r="Y1" s="494" t="s">
        <v>124</v>
      </c>
      <c r="Z1" s="494"/>
    </row>
    <row r="2" spans="2:29" ht="15">
      <c r="B2" s="495" t="s">
        <v>3</v>
      </c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46112</v>
      </c>
      <c r="J4" s="398" t="s">
        <v>167</v>
      </c>
      <c r="K4" s="398"/>
      <c r="L4" s="11"/>
      <c r="M4" s="492" t="s">
        <v>8</v>
      </c>
      <c r="N4" s="493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8"/>
      <c r="D5" s="49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9" t="s">
        <v>17</v>
      </c>
      <c r="C8" s="501" t="s">
        <v>18</v>
      </c>
      <c r="D8" s="501" t="s">
        <v>19</v>
      </c>
      <c r="E8" s="356" t="s">
        <v>20</v>
      </c>
      <c r="F8" s="356" t="s">
        <v>21</v>
      </c>
      <c r="G8" s="501" t="s">
        <v>22</v>
      </c>
      <c r="H8" s="502" t="s">
        <v>144</v>
      </c>
      <c r="I8" s="501" t="s">
        <v>165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169</v>
      </c>
      <c r="O8" s="510" t="s">
        <v>155</v>
      </c>
      <c r="P8" s="496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0"/>
      <c r="C9" s="497"/>
      <c r="D9" s="497"/>
      <c r="E9" s="357" t="s">
        <v>30</v>
      </c>
      <c r="F9" s="357" t="s">
        <v>31</v>
      </c>
      <c r="G9" s="497"/>
      <c r="H9" s="503"/>
      <c r="I9" s="497"/>
      <c r="J9" s="505"/>
      <c r="K9" s="507"/>
      <c r="L9" s="509"/>
      <c r="M9" s="20" t="s">
        <v>32</v>
      </c>
      <c r="N9" s="21" t="s">
        <v>41</v>
      </c>
      <c r="O9" s="511"/>
      <c r="P9" s="497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33" t="s">
        <v>9</v>
      </c>
      <c r="C10" s="366" t="str">
        <f>[3]Brewhouse!$A170</f>
        <v>ST118</v>
      </c>
      <c r="D10" s="279">
        <f>[3]Brewhouse!$AB170</f>
        <v>53.1</v>
      </c>
      <c r="E10" s="279">
        <f>[3]Brewhouse!$AG170</f>
        <v>47.2</v>
      </c>
      <c r="F10" s="278">
        <f>[3]Brewhouse!$V170</f>
        <v>59</v>
      </c>
      <c r="G10" s="279">
        <f>[3]Brewhouse!$AE170</f>
        <v>12</v>
      </c>
      <c r="H10" s="396">
        <v>12</v>
      </c>
      <c r="I10" s="368">
        <f>[3]Brewhouse!$AS170</f>
        <v>95.102929375307482</v>
      </c>
      <c r="J10" s="368">
        <f>[3]Brewhouse!$AT170</f>
        <v>95.848571053845376</v>
      </c>
      <c r="K10" s="281">
        <f>[3]Brewhouse!$Q170</f>
        <v>16.148775894538613</v>
      </c>
      <c r="L10" s="276">
        <f>[3]Brewhouse!$P170</f>
        <v>58</v>
      </c>
      <c r="M10" s="374">
        <f>[3]Brewhouse!$U170-[3]Brewhouse!$T170</f>
        <v>0.1118055555555556</v>
      </c>
      <c r="N10" s="370">
        <f>[3]Brewhouse!$AW170</f>
        <v>0.24791666666666667</v>
      </c>
      <c r="O10" s="371" t="str">
        <f>[3]Brewhouse!$AV170</f>
        <v>R.Sookram</v>
      </c>
      <c r="P10" s="418"/>
      <c r="R10" s="277" t="str">
        <f t="shared" ref="R10:R30" si="0">B10</f>
        <v>STAG</v>
      </c>
      <c r="S10" s="472">
        <f t="shared" ref="S10:S30" si="1">VLOOKUP($B10,$R$3:$X$9,2,FALSE)</f>
        <v>11.6</v>
      </c>
      <c r="T10" s="472">
        <f t="shared" ref="T10:T30" si="2">VLOOKUP($B10,$R$3:$X$9,3,FALSE)</f>
        <v>12</v>
      </c>
      <c r="U10" s="297">
        <f t="shared" ref="U10:U30" si="3">VLOOKUP($B10,$R$3:$X$9,4,FALSE)</f>
        <v>0</v>
      </c>
      <c r="V10" s="297">
        <f t="shared" ref="V10:V30" si="4">VLOOKUP($B10,$R$3:$X$9,5,FALSE)</f>
        <v>0.118055555555556</v>
      </c>
      <c r="W10" s="297">
        <f t="shared" ref="W10:W30" si="5">VLOOKUP($B10,$R$3:$X$9,6,FALSE)</f>
        <v>0.22569444444444445</v>
      </c>
      <c r="X10" s="297">
        <f t="shared" ref="X10:X30" si="6">VLOOKUP($B10,$R$3:$X$9,7,FALSE)</f>
        <v>0.2638888888888889</v>
      </c>
      <c r="Y10" s="297">
        <f t="shared" ref="Y10:Y30" si="7">VLOOKUP($B10,$R$3:$Z$9,8,FALSE)</f>
        <v>0</v>
      </c>
      <c r="Z10" s="472">
        <f t="shared" ref="Z10:Z30" si="8">VLOOKUP($B10,$R$3:$Z$9,9,FALSE)</f>
        <v>60</v>
      </c>
    </row>
    <row r="11" spans="2:29" ht="16.5" customHeight="1">
      <c r="B11" s="33" t="s">
        <v>9</v>
      </c>
      <c r="C11" s="366" t="str">
        <f>[3]Brewhouse!$A171</f>
        <v>ST119</v>
      </c>
      <c r="D11" s="279">
        <f>[3]Brewhouse!$AB171</f>
        <v>53.1</v>
      </c>
      <c r="E11" s="279">
        <f>[3]Brewhouse!$AG171</f>
        <v>49.3</v>
      </c>
      <c r="F11" s="278">
        <f>[3]Brewhouse!$V171</f>
        <v>51</v>
      </c>
      <c r="G11" s="279">
        <f>[3]Brewhouse!$AE171</f>
        <v>12</v>
      </c>
      <c r="H11" s="396">
        <v>12</v>
      </c>
      <c r="I11" s="368">
        <f>[3]Brewhouse!$AS171</f>
        <v>99.584274797583333</v>
      </c>
      <c r="J11" s="368">
        <f>[3]Brewhouse!$AT171</f>
        <v>100.36453640287515</v>
      </c>
      <c r="K11" s="281">
        <f>[3]Brewhouse!$Q171</f>
        <v>12.947269303201505</v>
      </c>
      <c r="L11" s="276">
        <f>[3]Brewhouse!$P171</f>
        <v>59</v>
      </c>
      <c r="M11" s="374">
        <f>[3]Brewhouse!$U171-[3]Brewhouse!$T171</f>
        <v>0.10277777777777775</v>
      </c>
      <c r="N11" s="370">
        <f>[3]Brewhouse!$AW171</f>
        <v>0.26249999999999996</v>
      </c>
      <c r="O11" s="371" t="str">
        <f>[3]Brewhouse!$AV171</f>
        <v>R.Sookram</v>
      </c>
      <c r="P11" s="418"/>
      <c r="R11" s="277" t="str">
        <f t="shared" si="0"/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6.5" customHeight="1">
      <c r="B12" s="33" t="s">
        <v>9</v>
      </c>
      <c r="C12" s="366" t="str">
        <f>[3]Brewhouse!$A172</f>
        <v>ST120</v>
      </c>
      <c r="D12" s="279">
        <f>[3]Brewhouse!$AB172</f>
        <v>53</v>
      </c>
      <c r="E12" s="279">
        <f>[3]Brewhouse!$AG172</f>
        <v>49.3</v>
      </c>
      <c r="F12" s="278">
        <f>[3]Brewhouse!$V172</f>
        <v>51</v>
      </c>
      <c r="G12" s="279">
        <f>[3]Brewhouse!$AE172</f>
        <v>12</v>
      </c>
      <c r="H12" s="396">
        <v>12.1</v>
      </c>
      <c r="I12" s="368">
        <f>[3]Brewhouse!$AS172</f>
        <v>99.459082097726125</v>
      </c>
      <c r="J12" s="368">
        <f>[3]Brewhouse!$AT172</f>
        <v>100.2386205220124</v>
      </c>
      <c r="K12" s="281">
        <f>[3]Brewhouse!$Q172</f>
        <v>12.028301886792454</v>
      </c>
      <c r="L12" s="276">
        <f>[3]Brewhouse!$P172</f>
        <v>62</v>
      </c>
      <c r="M12" s="374">
        <f>[3]Brewhouse!$U172-[3]Brewhouse!$T172</f>
        <v>0.11041666666666683</v>
      </c>
      <c r="N12" s="370">
        <f>[3]Brewhouse!$AW172</f>
        <v>0.25763888888888897</v>
      </c>
      <c r="O12" s="371" t="str">
        <f>[3]Brewhouse!$AV172</f>
        <v>K. Benjamin</v>
      </c>
      <c r="P12" s="418"/>
      <c r="R12" s="277" t="str">
        <f t="shared" si="0"/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6.5" customHeight="1">
      <c r="B13" s="489">
        <v>46112</v>
      </c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74"/>
      <c r="N13" s="370"/>
      <c r="O13" s="371"/>
      <c r="P13" s="418"/>
      <c r="R13" s="277"/>
      <c r="S13" s="472"/>
      <c r="T13" s="472"/>
      <c r="U13" s="297"/>
      <c r="V13" s="297"/>
      <c r="W13" s="297"/>
      <c r="X13" s="297"/>
      <c r="Y13" s="297"/>
      <c r="Z13" s="472"/>
    </row>
    <row r="14" spans="2:29" ht="16.5" customHeight="1">
      <c r="B14" s="33" t="s">
        <v>9</v>
      </c>
      <c r="C14" s="366" t="str">
        <f>[3]Brewhouse!$A173</f>
        <v>ST121</v>
      </c>
      <c r="D14" s="279">
        <f>[3]Brewhouse!$AB173</f>
        <v>53</v>
      </c>
      <c r="E14" s="279">
        <f>[3]Brewhouse!$AG173</f>
        <v>50</v>
      </c>
      <c r="F14" s="278">
        <f>[3]Brewhouse!$V173</f>
        <v>56</v>
      </c>
      <c r="G14" s="279">
        <f>[3]Brewhouse!$AE173</f>
        <v>11.9</v>
      </c>
      <c r="H14" s="396">
        <v>12.01</v>
      </c>
      <c r="I14" s="368">
        <f>[3]Brewhouse!$AS173</f>
        <v>99.987853202533756</v>
      </c>
      <c r="J14" s="368">
        <f>[3]Brewhouse!$AT173</f>
        <v>100.77153601851514</v>
      </c>
      <c r="K14" s="281">
        <f>[3]Brewhouse!$Q173</f>
        <v>11.462264150943389</v>
      </c>
      <c r="L14" s="276">
        <f>[3]Brewhouse!$P173</f>
        <v>60</v>
      </c>
      <c r="M14" s="374">
        <f>[3]Brewhouse!$U173-[3]Brewhouse!$T173</f>
        <v>0.11250000000000004</v>
      </c>
      <c r="N14" s="370">
        <f>[3]Brewhouse!$AW173</f>
        <v>0.24583333333333335</v>
      </c>
      <c r="O14" s="371" t="str">
        <f>[3]Brewhouse!$AV173</f>
        <v>K. Benjamin</v>
      </c>
      <c r="P14" s="418"/>
      <c r="R14" s="277" t="str">
        <f t="shared" si="0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6.5" customHeight="1">
      <c r="B15" s="33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371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6.5" customHeight="1">
      <c r="B16" s="33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371"/>
      <c r="P16" s="418"/>
      <c r="R16" s="277">
        <f t="shared" si="0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2:26" ht="16.5" customHeight="1">
      <c r="B17" s="33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8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2:26" ht="16.5" customHeight="1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2:26" ht="16.5" hidden="1" customHeight="1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2:26" ht="16.5" hidden="1" customHeight="1">
      <c r="B20" s="33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2:26" ht="16.5" hidden="1" customHeight="1">
      <c r="B21" s="33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2:26" ht="16.5" hidden="1" customHeight="1">
      <c r="B22" s="33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418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2:26" ht="16.5" hidden="1" customHeight="1">
      <c r="B23" s="33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371"/>
      <c r="P23" s="418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2:26" ht="16.5" hidden="1" customHeight="1">
      <c r="B24" s="33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371"/>
      <c r="P24" s="418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2:26" ht="16.5" hidden="1" customHeight="1">
      <c r="B25" s="33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74"/>
      <c r="N25" s="370"/>
      <c r="O25" s="371"/>
      <c r="P25" s="418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2:26" ht="16.5" hidden="1" customHeight="1">
      <c r="B26" s="33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74"/>
      <c r="N26" s="370"/>
      <c r="O26" s="371"/>
      <c r="P26" s="418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2:26" ht="16.5" hidden="1" customHeight="1">
      <c r="B27" s="22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74"/>
      <c r="N27" s="370"/>
      <c r="O27" s="371"/>
      <c r="P27" s="418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2:26" ht="15" hidden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74"/>
      <c r="N28" s="370"/>
      <c r="O28" s="371"/>
      <c r="P28" s="418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2:26" ht="18" hidden="1" customHeight="1">
      <c r="B29" s="29"/>
      <c r="C29" s="366"/>
      <c r="D29" s="279"/>
      <c r="E29" s="279"/>
      <c r="F29" s="278"/>
      <c r="G29" s="279"/>
      <c r="H29" s="487"/>
      <c r="I29" s="368"/>
      <c r="J29" s="368"/>
      <c r="K29" s="281"/>
      <c r="L29" s="276"/>
      <c r="M29" s="374"/>
      <c r="N29" s="370"/>
      <c r="O29" s="371"/>
      <c r="P29" s="418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2:26" ht="16.5" hidden="1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371"/>
      <c r="P30" s="418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2:26" ht="15.75" customHeight="1" thickBot="1">
      <c r="B31" s="358"/>
      <c r="C31" s="358"/>
      <c r="D31" s="358"/>
      <c r="E31" s="358"/>
      <c r="F31" s="294"/>
      <c r="G31" s="294"/>
      <c r="H31" s="348"/>
      <c r="I31" s="512"/>
      <c r="J31" s="512"/>
      <c r="K31" s="512"/>
      <c r="L31" s="512"/>
      <c r="M31" s="512"/>
      <c r="N31" s="512"/>
      <c r="O31" s="1"/>
      <c r="P31" s="12"/>
      <c r="R31" s="277">
        <f t="shared" ref="R31:R44" si="9">B31</f>
        <v>0</v>
      </c>
      <c r="S31" s="472" t="e">
        <f t="shared" ref="S31:S44" si="10">VLOOKUP($B31,$R$3:$X$9,2,FALSE)</f>
        <v>#N/A</v>
      </c>
      <c r="T31" s="472" t="e">
        <f t="shared" ref="T31:T44" si="11">VLOOKUP($B31,$R$3:$X$9,3,FALSE)</f>
        <v>#N/A</v>
      </c>
      <c r="U31" s="297" t="e">
        <f t="shared" ref="U31:U44" si="12">VLOOKUP($B31,$R$3:$X$9,4,FALSE)</f>
        <v>#N/A</v>
      </c>
      <c r="V31" s="297" t="e">
        <f t="shared" ref="V31:V44" si="13">VLOOKUP($B31,$R$3:$X$9,5,FALSE)</f>
        <v>#N/A</v>
      </c>
      <c r="W31" s="297" t="e">
        <f t="shared" ref="W31:W44" si="14">VLOOKUP($B31,$R$3:$X$9,6,FALSE)</f>
        <v>#N/A</v>
      </c>
      <c r="X31" s="297" t="e">
        <f t="shared" ref="X31:X44" si="15">VLOOKUP($B31,$R$3:$X$9,7,FALSE)</f>
        <v>#N/A</v>
      </c>
      <c r="Y31" s="297" t="e">
        <f t="shared" ref="Y31:Y44" si="16">VLOOKUP($B31,$R$3:$Z$9,8,FALSE)</f>
        <v>#N/A</v>
      </c>
      <c r="Z31" s="472" t="e">
        <f t="shared" ref="Z31:Z44" si="17">VLOOKUP($B31,$R$3:$Z$9,9,FALSE)</f>
        <v>#N/A</v>
      </c>
    </row>
    <row r="32" spans="2:26" ht="15.75" customHeight="1" thickBot="1">
      <c r="B32" s="388" t="s">
        <v>162</v>
      </c>
      <c r="C32" s="388"/>
      <c r="D32" s="513" t="s">
        <v>35</v>
      </c>
      <c r="E32" s="514"/>
      <c r="F32" s="294"/>
      <c r="G32" s="294"/>
      <c r="H32" s="348"/>
      <c r="I32" s="24" t="s">
        <v>17</v>
      </c>
      <c r="J32" s="25"/>
      <c r="K32" s="26" t="s">
        <v>138</v>
      </c>
      <c r="L32" s="25" t="s">
        <v>37</v>
      </c>
      <c r="M32" s="25" t="s">
        <v>38</v>
      </c>
      <c r="N32" s="27" t="s">
        <v>39</v>
      </c>
      <c r="O32" s="294"/>
      <c r="P32" s="12"/>
      <c r="R32" s="277" t="str">
        <f t="shared" si="9"/>
        <v xml:space="preserve">BRAND 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</row>
    <row r="33" spans="1:27" ht="15" customHeight="1">
      <c r="A33" s="28"/>
      <c r="B33" s="515" t="str">
        <f>I33</f>
        <v>CARIB</v>
      </c>
      <c r="C33" s="362" cm="1">
        <f t="array" ref="C33:C34">[4]Process!$D$205:$D$206</f>
        <v>12</v>
      </c>
      <c r="D33" s="518">
        <v>12.03</v>
      </c>
      <c r="E33" s="519"/>
      <c r="F33" s="294"/>
      <c r="G33" s="294"/>
      <c r="H33" s="348"/>
      <c r="I33" s="29" t="s">
        <v>6</v>
      </c>
      <c r="J33" s="323"/>
      <c r="K33" s="284">
        <f>COUNTA([4]Brewhouse!$A$198:$A$285)</f>
        <v>88</v>
      </c>
      <c r="L33" s="305">
        <f>AVERAGE([4]Brewhouse!$AU$198:$AU$285)</f>
        <v>98.322241683981872</v>
      </c>
      <c r="M33" s="305">
        <f>AVERAGE([4]Brewhouse!$AU$42:$AU$123,[4]Brewhouse!$AU$125:$AU$188,[4]Brewhouse!$AU$198:$AU$285)</f>
        <v>97.869334469826825</v>
      </c>
      <c r="N33" s="30">
        <v>98</v>
      </c>
      <c r="O33" s="11"/>
      <c r="P33" s="31"/>
      <c r="R33" s="277" t="str">
        <f t="shared" si="9"/>
        <v>CARIB</v>
      </c>
      <c r="S33" s="472">
        <f t="shared" si="10"/>
        <v>11.6</v>
      </c>
      <c r="T33" s="472">
        <f t="shared" si="11"/>
        <v>12</v>
      </c>
      <c r="U33" s="297">
        <f t="shared" si="12"/>
        <v>0</v>
      </c>
      <c r="V33" s="297">
        <f t="shared" si="13"/>
        <v>0.118055555555556</v>
      </c>
      <c r="W33" s="297">
        <f t="shared" si="14"/>
        <v>0.22569444444444445</v>
      </c>
      <c r="X33" s="297">
        <f t="shared" si="15"/>
        <v>0.2638888888888889</v>
      </c>
      <c r="Y33" s="297">
        <f t="shared" si="16"/>
        <v>0</v>
      </c>
      <c r="Z33" s="472">
        <f t="shared" si="17"/>
        <v>60</v>
      </c>
    </row>
    <row r="34" spans="1:27" ht="15" customHeight="1">
      <c r="A34" s="28"/>
      <c r="B34" s="516"/>
      <c r="C34" s="362">
        <v>12</v>
      </c>
      <c r="D34" s="520"/>
      <c r="E34" s="521"/>
      <c r="F34" s="294"/>
      <c r="G34" s="294"/>
      <c r="H34" s="348"/>
      <c r="I34" s="33" t="s">
        <v>9</v>
      </c>
      <c r="J34" s="280">
        <f>AVERAGE(I10:I14)</f>
        <v>98.533534868287674</v>
      </c>
      <c r="K34" s="284">
        <f>COUNTA([3]Brewhouse!$A$134:$A$173)</f>
        <v>40</v>
      </c>
      <c r="L34" s="302">
        <f>AVERAGE([3]Brewhouse!$AS$134:$AS$173)</f>
        <v>98.546854761546314</v>
      </c>
      <c r="M34" s="302">
        <f>AVERAGE([3]Brewhouse!$AS$52:$AS$81,[3]Brewhouse!$AS$83:$AS$124,[3]Brewhouse!$AS$134:$AS$173)</f>
        <v>98.398841010779492</v>
      </c>
      <c r="N34" s="30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</row>
    <row r="35" spans="1:27" ht="14.65" customHeight="1">
      <c r="A35" s="28"/>
      <c r="B35" s="516"/>
      <c r="C35" s="362" cm="1">
        <f t="array" ref="C35:C42">[4]Process!$D$235:$D$242</f>
        <v>12</v>
      </c>
      <c r="D35" s="522">
        <v>12.07</v>
      </c>
      <c r="E35" s="523"/>
      <c r="F35" s="294"/>
      <c r="G35" s="294"/>
      <c r="H35" s="348"/>
      <c r="I35" s="34" t="s">
        <v>12</v>
      </c>
      <c r="J35" s="280"/>
      <c r="K35" s="284">
        <f>COUNTA([5]Brewhouse!$A$34:$A$41)</f>
        <v>8</v>
      </c>
      <c r="L35" s="302">
        <f>AVERAGE([5]Brewhouse!$AU$34:$AU$41)</f>
        <v>94.762610859726223</v>
      </c>
      <c r="M35" s="302">
        <f>AVERAGE([5]Brewhouse!$AU$16:$AU$23,[5]Brewhouse!$AU$25:$AU$32,[5]Brewhouse!$AU$34:$AU$41)</f>
        <v>97.131453825415363</v>
      </c>
      <c r="N35" s="30">
        <v>98</v>
      </c>
      <c r="O35" s="11"/>
      <c r="P35" s="31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</row>
    <row r="36" spans="1:27" ht="14.65" customHeight="1">
      <c r="A36" s="28"/>
      <c r="B36" s="516"/>
      <c r="C36" s="362">
        <v>12</v>
      </c>
      <c r="D36" s="524"/>
      <c r="E36" s="521"/>
      <c r="F36" s="294"/>
      <c r="G36" s="294"/>
      <c r="H36" s="348"/>
      <c r="I36" s="22" t="s">
        <v>33</v>
      </c>
      <c r="J36" s="280"/>
      <c r="K36" s="284">
        <f>COUNTA([6]Brewhouse!$A$38:$A$52)</f>
        <v>15</v>
      </c>
      <c r="L36" s="302">
        <f>AVERAGE([6]Brewhouse!$AV$38:$AV$52)</f>
        <v>97.174244838041659</v>
      </c>
      <c r="M36" s="302">
        <f>AVERAGE([6]Brewhouse!$AV$23:$AV$34,[6]Brewhouse!$AV$36,[6]Brewhouse!$AV$38:$AV$52)</f>
        <v>97.639832259312456</v>
      </c>
      <c r="N36" s="30">
        <v>98</v>
      </c>
      <c r="O36" s="11"/>
      <c r="P36" s="31"/>
      <c r="R36" s="277">
        <f t="shared" si="9"/>
        <v>0</v>
      </c>
      <c r="S36" s="472" t="e">
        <f t="shared" si="10"/>
        <v>#N/A</v>
      </c>
      <c r="T36" s="472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2" t="e">
        <f t="shared" si="17"/>
        <v>#N/A</v>
      </c>
    </row>
    <row r="37" spans="1:27" ht="14.65" customHeight="1">
      <c r="A37" s="28"/>
      <c r="B37" s="516"/>
      <c r="C37" s="362">
        <v>12.2</v>
      </c>
      <c r="D37" s="522">
        <v>12.04</v>
      </c>
      <c r="E37" s="523"/>
      <c r="F37" s="417"/>
      <c r="G37" s="294"/>
      <c r="H37" s="348"/>
      <c r="I37" s="35" t="s">
        <v>29</v>
      </c>
      <c r="J37" s="280"/>
      <c r="K37" s="284"/>
      <c r="L37" s="302"/>
      <c r="M37" s="302"/>
      <c r="N37" s="30">
        <v>98</v>
      </c>
      <c r="O37" s="11"/>
      <c r="P37" s="31"/>
      <c r="R37" s="277">
        <f t="shared" si="9"/>
        <v>0</v>
      </c>
      <c r="S37" s="472" t="e">
        <f t="shared" si="10"/>
        <v>#N/A</v>
      </c>
      <c r="T37" s="472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472" t="e">
        <f t="shared" si="17"/>
        <v>#N/A</v>
      </c>
    </row>
    <row r="38" spans="1:27" ht="14.65" customHeight="1">
      <c r="A38" s="28"/>
      <c r="B38" s="516"/>
      <c r="C38" s="362">
        <v>12</v>
      </c>
      <c r="D38" s="524"/>
      <c r="E38" s="521"/>
      <c r="F38" s="417"/>
      <c r="G38" s="294"/>
      <c r="H38" s="348"/>
      <c r="I38" s="36" t="s">
        <v>15</v>
      </c>
      <c r="J38" s="323"/>
      <c r="K38" s="284"/>
      <c r="L38" s="302"/>
      <c r="M38" s="302">
        <f>AVERAGE([7]Brewhouse!$AT$4:$AT$11)</f>
        <v>92.826224508052405</v>
      </c>
      <c r="N38" s="30">
        <v>98</v>
      </c>
      <c r="O38" s="11"/>
      <c r="P38" s="31"/>
      <c r="R38" s="277">
        <f t="shared" si="9"/>
        <v>0</v>
      </c>
      <c r="S38" s="472" t="e">
        <f t="shared" si="10"/>
        <v>#N/A</v>
      </c>
      <c r="T38" s="472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472" t="e">
        <f t="shared" si="17"/>
        <v>#N/A</v>
      </c>
      <c r="AA38" s="472"/>
    </row>
    <row r="39" spans="1:27" ht="14.65" customHeight="1">
      <c r="A39" s="28"/>
      <c r="B39" s="516"/>
      <c r="C39" s="362">
        <v>12</v>
      </c>
      <c r="D39" s="522">
        <v>11.91</v>
      </c>
      <c r="E39" s="523"/>
      <c r="F39" s="417"/>
      <c r="G39" s="294"/>
      <c r="H39" s="348"/>
      <c r="I39" s="37" t="s">
        <v>16</v>
      </c>
      <c r="J39" s="323"/>
      <c r="K39" s="284">
        <f>COUNTA([8]Brewhouse!$A$25:$A$42)</f>
        <v>18</v>
      </c>
      <c r="L39" s="302">
        <f>AVERAGE([8]Brewhouse!$AY$42)</f>
        <v>99.134494554521325</v>
      </c>
      <c r="M39" s="302">
        <f>AVERAGE([8]Brewhouse!$AY$5:$AY$14,[8]Brewhouse!$AY$16:$AY$23,[8]Brewhouse!$AY$42)</f>
        <v>97.390503559857137</v>
      </c>
      <c r="N39" s="30">
        <v>98</v>
      </c>
      <c r="O39" s="11"/>
      <c r="P39" s="31" t="s">
        <v>41</v>
      </c>
      <c r="R39" s="277">
        <f t="shared" si="9"/>
        <v>0</v>
      </c>
      <c r="S39" s="472" t="e">
        <f t="shared" si="10"/>
        <v>#N/A</v>
      </c>
      <c r="T39" s="472" t="e">
        <f t="shared" si="11"/>
        <v>#N/A</v>
      </c>
      <c r="U39" s="297" t="e">
        <f t="shared" si="12"/>
        <v>#N/A</v>
      </c>
      <c r="V39" s="297" t="e">
        <f t="shared" si="13"/>
        <v>#N/A</v>
      </c>
      <c r="W39" s="297" t="e">
        <f t="shared" si="14"/>
        <v>#N/A</v>
      </c>
      <c r="X39" s="297" t="e">
        <f t="shared" si="15"/>
        <v>#N/A</v>
      </c>
      <c r="Y39" s="297" t="e">
        <f t="shared" si="16"/>
        <v>#N/A</v>
      </c>
      <c r="Z39" s="472" t="e">
        <f t="shared" si="17"/>
        <v>#N/A</v>
      </c>
      <c r="AA39" s="472"/>
    </row>
    <row r="40" spans="1:27" ht="14.65" customHeight="1">
      <c r="A40" s="28"/>
      <c r="B40" s="516"/>
      <c r="C40" s="362">
        <v>11.8</v>
      </c>
      <c r="D40" s="524"/>
      <c r="E40" s="521"/>
      <c r="F40" s="294"/>
      <c r="G40" s="294"/>
      <c r="H40" s="348"/>
      <c r="I40" s="411" t="s">
        <v>158</v>
      </c>
      <c r="J40" s="326"/>
      <c r="K40" s="284"/>
      <c r="L40" s="305"/>
      <c r="M40" s="305"/>
      <c r="N40" s="30">
        <v>98</v>
      </c>
      <c r="O40" s="11"/>
      <c r="P40" s="31"/>
      <c r="R40" s="277">
        <f t="shared" si="9"/>
        <v>0</v>
      </c>
      <c r="S40" s="472" t="e">
        <f t="shared" si="10"/>
        <v>#N/A</v>
      </c>
      <c r="T40" s="472" t="e">
        <f t="shared" si="11"/>
        <v>#N/A</v>
      </c>
      <c r="U40" s="297" t="e">
        <f t="shared" si="12"/>
        <v>#N/A</v>
      </c>
      <c r="V40" s="297" t="e">
        <f t="shared" si="13"/>
        <v>#N/A</v>
      </c>
      <c r="W40" s="297" t="e">
        <f t="shared" si="14"/>
        <v>#N/A</v>
      </c>
      <c r="X40" s="297" t="e">
        <f t="shared" si="15"/>
        <v>#N/A</v>
      </c>
      <c r="Y40" s="297" t="e">
        <f t="shared" si="16"/>
        <v>#N/A</v>
      </c>
      <c r="Z40" s="472" t="e">
        <f t="shared" si="17"/>
        <v>#N/A</v>
      </c>
      <c r="AA40" s="472"/>
    </row>
    <row r="41" spans="1:27" ht="14.65" customHeight="1">
      <c r="A41" s="28"/>
      <c r="B41" s="516"/>
      <c r="C41" s="349">
        <v>11.6</v>
      </c>
      <c r="D41" s="522">
        <v>11.79</v>
      </c>
      <c r="E41" s="523"/>
      <c r="F41" s="294"/>
      <c r="G41" s="294"/>
      <c r="H41" s="348"/>
      <c r="I41" s="410" t="s">
        <v>157</v>
      </c>
      <c r="J41" s="326"/>
      <c r="K41" s="284"/>
      <c r="L41" s="305"/>
      <c r="M41" s="305"/>
      <c r="N41" s="30">
        <v>98</v>
      </c>
      <c r="O41" s="11"/>
      <c r="P41" s="31"/>
      <c r="R41" s="277">
        <f t="shared" si="9"/>
        <v>0</v>
      </c>
      <c r="S41" s="472" t="e">
        <f t="shared" si="10"/>
        <v>#N/A</v>
      </c>
      <c r="T41" s="472" t="e">
        <f t="shared" si="11"/>
        <v>#N/A</v>
      </c>
      <c r="U41" s="297" t="e">
        <f t="shared" si="12"/>
        <v>#N/A</v>
      </c>
      <c r="V41" s="297" t="e">
        <f t="shared" si="13"/>
        <v>#N/A</v>
      </c>
      <c r="W41" s="297" t="e">
        <f t="shared" si="14"/>
        <v>#N/A</v>
      </c>
      <c r="X41" s="297" t="e">
        <f t="shared" si="15"/>
        <v>#N/A</v>
      </c>
      <c r="Y41" s="297" t="e">
        <f t="shared" si="16"/>
        <v>#N/A</v>
      </c>
      <c r="Z41" s="472" t="e">
        <f t="shared" si="17"/>
        <v>#N/A</v>
      </c>
      <c r="AA41" s="472"/>
    </row>
    <row r="42" spans="1:27" ht="15" customHeight="1" thickBot="1">
      <c r="A42" s="28"/>
      <c r="B42" s="516"/>
      <c r="C42" s="349">
        <v>12</v>
      </c>
      <c r="D42" s="524"/>
      <c r="E42" s="521"/>
      <c r="F42" s="294"/>
      <c r="G42" s="294"/>
      <c r="H42" s="348"/>
      <c r="I42" s="406" t="s">
        <v>156</v>
      </c>
      <c r="J42" s="327"/>
      <c r="K42" s="407"/>
      <c r="L42" s="408"/>
      <c r="M42" s="408"/>
      <c r="N42" s="409">
        <v>98</v>
      </c>
      <c r="O42" s="11"/>
      <c r="P42" s="31"/>
      <c r="R42" s="277">
        <f t="shared" si="9"/>
        <v>0</v>
      </c>
      <c r="S42" s="472" t="e">
        <f t="shared" si="10"/>
        <v>#N/A</v>
      </c>
      <c r="T42" s="472" t="e">
        <f t="shared" si="11"/>
        <v>#N/A</v>
      </c>
      <c r="U42" s="297" t="e">
        <f t="shared" si="12"/>
        <v>#N/A</v>
      </c>
      <c r="V42" s="297" t="e">
        <f t="shared" si="13"/>
        <v>#N/A</v>
      </c>
      <c r="W42" s="297" t="e">
        <f t="shared" si="14"/>
        <v>#N/A</v>
      </c>
      <c r="X42" s="297" t="e">
        <f t="shared" si="15"/>
        <v>#N/A</v>
      </c>
      <c r="Y42" s="297" t="e">
        <f t="shared" si="16"/>
        <v>#N/A</v>
      </c>
      <c r="Z42" s="472" t="e">
        <f t="shared" si="17"/>
        <v>#N/A</v>
      </c>
      <c r="AA42" s="472"/>
    </row>
    <row r="43" spans="1:27" ht="15" customHeight="1" thickBot="1">
      <c r="A43" s="28"/>
      <c r="B43" s="516"/>
      <c r="C43" s="349"/>
      <c r="D43" s="518"/>
      <c r="E43" s="519"/>
      <c r="F43" s="294"/>
      <c r="G43" s="294"/>
      <c r="H43" s="348"/>
      <c r="I43" s="1"/>
      <c r="J43" s="39"/>
      <c r="K43" s="404">
        <f>SUM(K33:K42)</f>
        <v>169</v>
      </c>
      <c r="L43" s="405">
        <f>((L33*K33)+(L34*K34)+(L35*K35)+(L36*K36)+(L37*K37)+(K40*L40)+(L38*K38)+(L39*K39)+(L42*K42))/(K43)</f>
        <v>98.191520237172057</v>
      </c>
      <c r="M43" s="405">
        <f>AVERAGE('[9]Jan30th-31st'!$L$42,L43)</f>
        <v>98.009780986506769</v>
      </c>
      <c r="N43" s="40">
        <v>98</v>
      </c>
      <c r="O43" s="11"/>
      <c r="P43" s="31"/>
      <c r="R43" s="277">
        <f t="shared" si="9"/>
        <v>0</v>
      </c>
      <c r="S43" s="472" t="e">
        <f t="shared" si="10"/>
        <v>#N/A</v>
      </c>
      <c r="T43" s="472" t="e">
        <f t="shared" si="11"/>
        <v>#N/A</v>
      </c>
      <c r="U43" s="297" t="e">
        <f t="shared" si="12"/>
        <v>#N/A</v>
      </c>
      <c r="V43" s="297" t="e">
        <f t="shared" si="13"/>
        <v>#N/A</v>
      </c>
      <c r="W43" s="297" t="e">
        <f t="shared" si="14"/>
        <v>#N/A</v>
      </c>
      <c r="X43" s="297" t="e">
        <f t="shared" si="15"/>
        <v>#N/A</v>
      </c>
      <c r="Y43" s="297" t="e">
        <f t="shared" si="16"/>
        <v>#N/A</v>
      </c>
      <c r="Z43" s="472" t="e">
        <f t="shared" si="17"/>
        <v>#N/A</v>
      </c>
      <c r="AA43" s="472"/>
    </row>
    <row r="44" spans="1:27" ht="15.75" thickBot="1">
      <c r="B44" s="517"/>
      <c r="C44" s="350"/>
      <c r="D44" s="520"/>
      <c r="E44" s="521"/>
      <c r="F44" s="294"/>
      <c r="G44" s="42"/>
      <c r="H44" s="41"/>
      <c r="I44" s="42"/>
      <c r="J44" s="42"/>
      <c r="K44" s="351"/>
      <c r="L44" s="348"/>
      <c r="M44" s="348"/>
      <c r="N44" s="11"/>
      <c r="O44" s="294"/>
      <c r="P44" s="12"/>
      <c r="R44" s="277">
        <f t="shared" si="9"/>
        <v>0</v>
      </c>
      <c r="S44" s="472" t="e">
        <f t="shared" si="10"/>
        <v>#N/A</v>
      </c>
      <c r="T44" s="472" t="e">
        <f t="shared" si="11"/>
        <v>#N/A</v>
      </c>
      <c r="U44" s="297" t="e">
        <f t="shared" si="12"/>
        <v>#N/A</v>
      </c>
      <c r="V44" s="297" t="e">
        <f t="shared" si="13"/>
        <v>#N/A</v>
      </c>
      <c r="W44" s="297" t="e">
        <f t="shared" si="14"/>
        <v>#N/A</v>
      </c>
      <c r="X44" s="297" t="e">
        <f t="shared" si="15"/>
        <v>#N/A</v>
      </c>
      <c r="Y44" s="297" t="e">
        <f t="shared" si="16"/>
        <v>#N/A</v>
      </c>
      <c r="Z44" s="472" t="e">
        <f t="shared" si="17"/>
        <v>#N/A</v>
      </c>
      <c r="AA44" s="472"/>
    </row>
    <row r="45" spans="1:27" ht="15.75" thickBot="1">
      <c r="B45" s="525"/>
      <c r="C45" s="362"/>
      <c r="D45" s="528"/>
      <c r="E45" s="529"/>
      <c r="F45" s="294"/>
      <c r="G45" s="42"/>
      <c r="H45" s="41"/>
      <c r="I45" s="42"/>
      <c r="J45" s="530" t="s">
        <v>129</v>
      </c>
      <c r="K45" s="530"/>
      <c r="L45" s="294"/>
      <c r="M45" s="294"/>
      <c r="N45" s="294"/>
      <c r="O45" s="294"/>
      <c r="P45" s="12"/>
    </row>
    <row r="46" spans="1:27" ht="15.75" thickBot="1">
      <c r="B46" s="526"/>
      <c r="C46" s="362"/>
      <c r="D46" s="524"/>
      <c r="E46" s="521"/>
      <c r="F46" s="294"/>
      <c r="G46" s="42"/>
      <c r="H46" s="42"/>
      <c r="I46" s="42"/>
      <c r="J46" s="292" t="s">
        <v>17</v>
      </c>
      <c r="K46" s="293" t="s">
        <v>172</v>
      </c>
      <c r="L46" s="531" t="s">
        <v>136</v>
      </c>
      <c r="M46" s="531"/>
      <c r="N46" s="532"/>
      <c r="O46" s="294"/>
      <c r="P46" s="12"/>
    </row>
    <row r="47" spans="1:27" ht="15" customHeight="1" thickBot="1">
      <c r="B47" s="526"/>
      <c r="C47" s="349"/>
      <c r="D47" s="522"/>
      <c r="E47" s="523"/>
      <c r="F47" s="294"/>
      <c r="G47" s="42"/>
      <c r="H47" s="42"/>
      <c r="I47" s="42"/>
      <c r="J47" s="287" t="s">
        <v>6</v>
      </c>
      <c r="K47" s="324"/>
      <c r="L47" s="473" t="s">
        <v>37</v>
      </c>
      <c r="M47" s="474" t="s">
        <v>38</v>
      </c>
      <c r="N47" s="474" t="s">
        <v>84</v>
      </c>
      <c r="O47" s="294"/>
      <c r="P47" s="12"/>
    </row>
    <row r="48" spans="1:27" ht="15.75" customHeight="1" thickBot="1">
      <c r="B48" s="526"/>
      <c r="C48" s="349"/>
      <c r="D48" s="524"/>
      <c r="E48" s="521"/>
      <c r="F48" s="294"/>
      <c r="G48" s="42"/>
      <c r="H48" s="42"/>
      <c r="I48" s="42"/>
      <c r="J48" s="345" t="s">
        <v>9</v>
      </c>
      <c r="K48" s="324">
        <v>3</v>
      </c>
      <c r="L48" s="344">
        <f>AVERAGE(K57,'Mar 2nd'!K49,'Mar 1st'!K55,'Mar 3rd'!K49,'Mar 4th'!K51,'Mar 5th'!K52,'Mar 6th '!K49,'Mar 9th'!K53,'Mar 10th'!K47,'Mar 11th'!K50,'Mar 12th'!K51,'Mar 13th-15th'!J73,'Mar 13th-15th'!I73,'Mar 16th'!K58,'Mar 18th'!K55,'Mar 19th'!K52,'Mar 20th -22nd'!I67,'Mar 20th -22nd'!J67,'Mar 20th -22nd'!K67,'Mar 23rd '!K67,'Mar 25th '!K57,'Mar 26th'!K46,'Mar 27th'!K42)</f>
        <v>6.8695652173913047</v>
      </c>
      <c r="M48" s="325">
        <f>AVERAGE('[9]Jan30th-31st'!$L$47,L48,'[10]Feb 26th '!$L$39)</f>
        <v>6.3521739130434787</v>
      </c>
      <c r="N48" s="416">
        <v>9.1999999999999993</v>
      </c>
      <c r="O48" s="294"/>
      <c r="P48" s="12"/>
    </row>
    <row r="49" spans="1:57" ht="15" customHeight="1">
      <c r="B49" s="526"/>
      <c r="C49" s="349"/>
      <c r="D49" s="522"/>
      <c r="E49" s="523"/>
      <c r="F49" s="294"/>
      <c r="G49" s="42"/>
      <c r="H49" s="42"/>
      <c r="I49" s="42"/>
      <c r="J49" s="288" t="s">
        <v>40</v>
      </c>
      <c r="K49" s="324"/>
      <c r="L49" s="294"/>
      <c r="M49" s="294"/>
      <c r="N49" s="294"/>
      <c r="O49" s="294"/>
      <c r="P49" s="12"/>
    </row>
    <row r="50" spans="1:57" ht="15" customHeight="1">
      <c r="B50" s="526"/>
      <c r="C50" s="349"/>
      <c r="D50" s="524"/>
      <c r="E50" s="521"/>
      <c r="F50" s="294"/>
      <c r="G50" s="42"/>
      <c r="H50" s="42"/>
      <c r="I50" s="42"/>
      <c r="J50" s="289" t="s">
        <v>33</v>
      </c>
      <c r="K50" s="324"/>
      <c r="L50" s="294"/>
      <c r="M50" s="294"/>
      <c r="N50" s="294"/>
      <c r="O50" s="294"/>
      <c r="P50" s="12"/>
    </row>
    <row r="51" spans="1:57" ht="15">
      <c r="B51" s="526"/>
      <c r="C51" s="349"/>
      <c r="D51" s="522"/>
      <c r="E51" s="523"/>
      <c r="F51" s="294"/>
      <c r="G51" s="42"/>
      <c r="H51" s="42"/>
      <c r="I51" s="42"/>
      <c r="J51" s="290" t="s">
        <v>16</v>
      </c>
      <c r="K51" s="324"/>
      <c r="L51" s="294"/>
      <c r="M51" s="294"/>
      <c r="N51" s="294"/>
      <c r="O51" s="294"/>
      <c r="P51" s="12"/>
      <c r="BC51" s="44"/>
      <c r="BD51" s="44"/>
    </row>
    <row r="52" spans="1:57" ht="15">
      <c r="B52" s="526"/>
      <c r="C52" s="349"/>
      <c r="D52" s="524"/>
      <c r="E52" s="521"/>
      <c r="F52" s="294"/>
      <c r="G52" s="42"/>
      <c r="H52" s="42"/>
      <c r="I52" s="42"/>
      <c r="J52" s="291" t="s">
        <v>15</v>
      </c>
      <c r="K52" s="324"/>
      <c r="L52" s="294"/>
      <c r="M52" s="294"/>
      <c r="N52" s="294"/>
      <c r="O52" s="294"/>
      <c r="P52" s="12"/>
      <c r="BC52" s="44"/>
      <c r="BD52" s="44"/>
    </row>
    <row r="53" spans="1:57" ht="15">
      <c r="B53" s="526"/>
      <c r="C53" s="349"/>
      <c r="D53" s="522"/>
      <c r="E53" s="523"/>
      <c r="F53" s="294"/>
      <c r="G53" s="42"/>
      <c r="H53" s="42"/>
      <c r="I53" s="42"/>
      <c r="J53" s="291" t="s">
        <v>149</v>
      </c>
      <c r="K53" s="324"/>
      <c r="L53" s="294"/>
      <c r="M53" s="294"/>
      <c r="N53" s="294"/>
      <c r="O53" s="294"/>
      <c r="P53" s="12"/>
      <c r="BC53" s="44"/>
      <c r="BD53" s="44"/>
    </row>
    <row r="54" spans="1:57" ht="15.75" thickBot="1">
      <c r="B54" s="527"/>
      <c r="C54" s="350"/>
      <c r="D54" s="533"/>
      <c r="E54" s="534"/>
      <c r="F54" s="294" t="s">
        <v>166</v>
      </c>
      <c r="G54" s="42"/>
      <c r="H54" s="42"/>
      <c r="I54" s="42"/>
      <c r="J54" s="291" t="s">
        <v>148</v>
      </c>
      <c r="K54" s="324"/>
      <c r="L54" s="294"/>
      <c r="M54" s="294"/>
      <c r="N54" s="294" t="s">
        <v>41</v>
      </c>
      <c r="O54" s="294"/>
      <c r="P54" s="12"/>
      <c r="BC54" s="44"/>
      <c r="BD54" s="44"/>
    </row>
    <row r="55" spans="1:57" ht="17.649999999999999" customHeight="1" thickBot="1">
      <c r="B55" s="312" t="s">
        <v>139</v>
      </c>
      <c r="C55" s="313"/>
      <c r="D55" s="535"/>
      <c r="E55" s="536"/>
      <c r="F55" s="294"/>
      <c r="J55" s="295" t="s">
        <v>134</v>
      </c>
      <c r="K55" s="324"/>
      <c r="L55" s="294"/>
      <c r="M55" s="294"/>
      <c r="N55" s="294"/>
      <c r="O55" s="294"/>
      <c r="P55" s="12"/>
      <c r="BC55" s="44"/>
      <c r="BD55" s="44"/>
    </row>
    <row r="56" spans="1:57" ht="17.649999999999999" customHeight="1">
      <c r="B56" s="363"/>
      <c r="C56" s="364"/>
      <c r="D56" s="365"/>
      <c r="E56" s="365"/>
      <c r="F56" s="294"/>
      <c r="G56" s="42"/>
      <c r="H56" s="42"/>
      <c r="I56" s="42"/>
      <c r="J56" s="295" t="s">
        <v>131</v>
      </c>
      <c r="K56" s="324"/>
      <c r="L56" s="294"/>
      <c r="M56" s="294"/>
      <c r="N56" s="294"/>
      <c r="O56" s="294"/>
      <c r="P56" s="12"/>
      <c r="BC56" s="44"/>
      <c r="BD56" s="44"/>
    </row>
    <row r="57" spans="1:57" ht="15.6" customHeight="1">
      <c r="B57" s="45"/>
      <c r="C57" s="11"/>
      <c r="D57" s="11"/>
      <c r="E57" s="46"/>
      <c r="F57" s="294"/>
      <c r="G57" s="42"/>
      <c r="H57" s="42"/>
      <c r="I57" s="42"/>
      <c r="J57" s="346" t="s">
        <v>130</v>
      </c>
      <c r="K57" s="324">
        <f>SUM(K47:K56)</f>
        <v>3</v>
      </c>
      <c r="L57" s="294"/>
      <c r="M57" s="294"/>
      <c r="N57" s="294"/>
      <c r="O57" s="294"/>
      <c r="P57" s="12"/>
    </row>
    <row r="58" spans="1:57" ht="20.25" customHeight="1">
      <c r="B58" s="15" t="s">
        <v>42</v>
      </c>
      <c r="C58" s="1" t="s">
        <v>43</v>
      </c>
      <c r="D58" s="1"/>
      <c r="E58" s="1"/>
      <c r="F58" s="294"/>
      <c r="G58" s="42"/>
      <c r="H58" s="41"/>
      <c r="I58" s="42"/>
      <c r="L58" s="294"/>
      <c r="N58" s="315"/>
      <c r="P58" s="334"/>
    </row>
    <row r="59" spans="1:57" ht="15" customHeight="1" thickBot="1"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1"/>
      <c r="O59" s="48"/>
      <c r="P59" s="49"/>
    </row>
    <row r="60" spans="1:57" ht="15" customHeight="1" thickBot="1">
      <c r="B60" s="537" t="s">
        <v>17</v>
      </c>
      <c r="C60" s="537" t="s">
        <v>44</v>
      </c>
      <c r="D60" s="540" t="s">
        <v>45</v>
      </c>
      <c r="E60" s="501" t="s">
        <v>46</v>
      </c>
      <c r="F60" s="510" t="s">
        <v>47</v>
      </c>
      <c r="G60" s="549" t="s">
        <v>48</v>
      </c>
      <c r="H60" s="537" t="s">
        <v>49</v>
      </c>
      <c r="I60" s="537" t="s">
        <v>50</v>
      </c>
      <c r="J60" s="543" t="s">
        <v>28</v>
      </c>
      <c r="K60" s="499" t="s">
        <v>51</v>
      </c>
      <c r="L60" s="552" t="s">
        <v>52</v>
      </c>
      <c r="M60" s="543" t="s">
        <v>53</v>
      </c>
      <c r="N60" s="13"/>
      <c r="O60" s="13"/>
      <c r="P60" s="50"/>
    </row>
    <row r="61" spans="1:57" ht="28.5" customHeight="1" thickTop="1" thickBot="1">
      <c r="B61" s="538"/>
      <c r="C61" s="539"/>
      <c r="D61" s="541"/>
      <c r="E61" s="542"/>
      <c r="F61" s="554"/>
      <c r="G61" s="550"/>
      <c r="H61" s="538"/>
      <c r="I61" s="538"/>
      <c r="J61" s="544"/>
      <c r="K61" s="551"/>
      <c r="L61" s="553"/>
      <c r="M61" s="544"/>
      <c r="N61" s="13"/>
      <c r="O61" s="13"/>
      <c r="P61" s="50"/>
      <c r="Q61" s="355"/>
      <c r="AB61" s="475">
        <v>43474</v>
      </c>
      <c r="AC61" s="475">
        <v>43475</v>
      </c>
      <c r="AD61" s="475">
        <v>43476</v>
      </c>
      <c r="AE61" s="475">
        <v>43477</v>
      </c>
      <c r="AF61" s="475">
        <v>43478</v>
      </c>
      <c r="AG61" s="475">
        <v>43479</v>
      </c>
      <c r="AH61" s="475">
        <v>43480</v>
      </c>
      <c r="AI61" s="475">
        <v>43481</v>
      </c>
      <c r="AJ61" s="475">
        <v>43482</v>
      </c>
      <c r="AK61" s="475">
        <v>43483</v>
      </c>
      <c r="AL61" s="475">
        <v>43484</v>
      </c>
      <c r="AM61" s="475">
        <v>43485</v>
      </c>
      <c r="AN61" s="475">
        <v>43486</v>
      </c>
      <c r="AO61" s="475">
        <v>43487</v>
      </c>
      <c r="AP61" s="475">
        <v>43488</v>
      </c>
      <c r="AQ61" s="475">
        <v>43489</v>
      </c>
      <c r="AR61" s="475">
        <v>43490</v>
      </c>
      <c r="AS61" s="475">
        <v>43491</v>
      </c>
      <c r="AT61" s="475">
        <v>43492</v>
      </c>
      <c r="AU61" s="475">
        <v>43493</v>
      </c>
      <c r="AV61" s="475">
        <v>43494</v>
      </c>
      <c r="AW61" s="475">
        <v>43495</v>
      </c>
      <c r="AX61" s="475">
        <v>43496</v>
      </c>
    </row>
    <row r="62" spans="1:57" s="54" customFormat="1" ht="36.75" customHeight="1" thickBot="1">
      <c r="B62" s="480" t="str">
        <f>J47</f>
        <v>CARIB</v>
      </c>
      <c r="C62" s="479">
        <v>46111</v>
      </c>
      <c r="D62" s="442">
        <f>[11]March_2026!$AG$3</f>
        <v>501.2</v>
      </c>
      <c r="E62" s="443"/>
      <c r="F62" s="444"/>
      <c r="G62" s="445">
        <f>[11]March_2026!$AG$7</f>
        <v>476.7</v>
      </c>
      <c r="H62" s="458"/>
      <c r="I62" s="458"/>
      <c r="J62" s="448" t="s">
        <v>171</v>
      </c>
      <c r="K62" s="449">
        <f>[13]March_2026!$AG$18</f>
        <v>0.83631578947368423</v>
      </c>
      <c r="L62" s="457">
        <f>(((D62+E62)-G62)/(D62+E62))*100</f>
        <v>4.8882681564245818</v>
      </c>
      <c r="M62" s="455" t="s">
        <v>192</v>
      </c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>
        <f>[14]January_2019!L5</f>
        <v>0</v>
      </c>
      <c r="AC62" s="57">
        <f>[14]January_2019!M5</f>
        <v>0</v>
      </c>
      <c r="AD62" s="57">
        <f>[14]January_2019!N5</f>
        <v>0</v>
      </c>
      <c r="AE62" s="57">
        <f>[14]January_2019!O5</f>
        <v>0</v>
      </c>
      <c r="AF62" s="57">
        <f>[14]January_2019!P5</f>
        <v>0</v>
      </c>
      <c r="AG62" s="57">
        <f>[14]January_2019!Q5</f>
        <v>0</v>
      </c>
      <c r="AH62" s="57">
        <f>[14]January_2019!R5</f>
        <v>0</v>
      </c>
      <c r="AI62" s="57">
        <f>[14]January_2019!S5</f>
        <v>0</v>
      </c>
      <c r="AJ62" s="57">
        <f>[14]January_2019!T5</f>
        <v>0</v>
      </c>
      <c r="AK62" s="57">
        <f>[14]January_2019!U5</f>
        <v>0</v>
      </c>
      <c r="AL62" s="57">
        <f>[14]January_2019!V5</f>
        <v>0</v>
      </c>
      <c r="AM62" s="57">
        <f>[14]January_2019!W5</f>
        <v>0</v>
      </c>
      <c r="AN62" s="57">
        <f>[14]January_2019!X5</f>
        <v>0</v>
      </c>
      <c r="AO62" s="57">
        <f>[14]January_2019!Y5</f>
        <v>0</v>
      </c>
      <c r="AP62" s="57">
        <f>[14]January_2019!Z5</f>
        <v>0</v>
      </c>
      <c r="AQ62" s="57">
        <f>[14]January_2019!AA5</f>
        <v>0</v>
      </c>
      <c r="AR62" s="57">
        <f>[14]January_2019!AB5</f>
        <v>0</v>
      </c>
      <c r="AS62" s="57">
        <f>[14]January_2019!AC5</f>
        <v>0</v>
      </c>
      <c r="AT62" s="57">
        <f>[14]January_2019!AD5</f>
        <v>0</v>
      </c>
      <c r="AU62" s="57">
        <f>[14]January_2019!AE5</f>
        <v>0</v>
      </c>
      <c r="AV62" s="57">
        <f>[14]January_2019!AF5</f>
        <v>0</v>
      </c>
      <c r="AW62" s="57">
        <f>[14]January_2019!AG5</f>
        <v>0</v>
      </c>
      <c r="AX62" s="277">
        <f>[14]January_2019!AH5</f>
        <v>0</v>
      </c>
      <c r="AY62" s="277"/>
      <c r="AZ62" s="277"/>
      <c r="BA62" s="277"/>
      <c r="BB62" s="277"/>
      <c r="BC62" s="277"/>
      <c r="BD62" s="277"/>
      <c r="BE62" s="277"/>
    </row>
    <row r="63" spans="1:57" s="54" customFormat="1" ht="14.25" customHeight="1" thickBot="1">
      <c r="B63" s="480"/>
      <c r="C63" s="479"/>
      <c r="D63" s="442"/>
      <c r="E63" s="443"/>
      <c r="F63" s="444"/>
      <c r="G63" s="445"/>
      <c r="H63" s="458"/>
      <c r="I63" s="458"/>
      <c r="J63" s="476"/>
      <c r="K63" s="449"/>
      <c r="L63" s="457"/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>
        <f>[14]January_2019!L6</f>
        <v>0</v>
      </c>
      <c r="AC63" s="57">
        <f>[14]January_2019!M6</f>
        <v>0</v>
      </c>
      <c r="AD63" s="57">
        <f>[14]January_2019!N6</f>
        <v>0</v>
      </c>
      <c r="AE63" s="57">
        <f>[14]January_2019!O6</f>
        <v>0</v>
      </c>
      <c r="AF63" s="57">
        <f>[14]January_2019!P6</f>
        <v>0</v>
      </c>
      <c r="AG63" s="57">
        <f>[14]January_2019!Q6</f>
        <v>0</v>
      </c>
      <c r="AH63" s="57">
        <f>[14]January_2019!R6</f>
        <v>0</v>
      </c>
      <c r="AI63" s="57">
        <f>[14]January_2019!S6</f>
        <v>0</v>
      </c>
      <c r="AJ63" s="57">
        <f>[14]January_2019!T6</f>
        <v>0</v>
      </c>
      <c r="AK63" s="57">
        <f>[14]January_2019!U6</f>
        <v>0</v>
      </c>
      <c r="AL63" s="57">
        <f>[14]January_2019!V6</f>
        <v>0</v>
      </c>
      <c r="AM63" s="57">
        <f>[14]January_2019!W6</f>
        <v>0</v>
      </c>
      <c r="AN63" s="57">
        <f>[14]January_2019!X6</f>
        <v>0</v>
      </c>
      <c r="AO63" s="57">
        <f>[14]January_2019!Y6</f>
        <v>0</v>
      </c>
      <c r="AP63" s="57">
        <f>[14]January_2019!Z6</f>
        <v>0</v>
      </c>
      <c r="AQ63" s="57">
        <f>[14]January_2019!AA6</f>
        <v>0</v>
      </c>
      <c r="AR63" s="57">
        <f>[14]January_2019!AB6</f>
        <v>0</v>
      </c>
      <c r="AS63" s="57">
        <f>[14]January_2019!AC6</f>
        <v>0</v>
      </c>
      <c r="AT63" s="57">
        <f>[14]January_2019!AD6</f>
        <v>0</v>
      </c>
      <c r="AU63" s="57">
        <f>[14]January_2019!AE6</f>
        <v>0</v>
      </c>
      <c r="AV63" s="57">
        <f>[14]January_2019!AF6</f>
        <v>0</v>
      </c>
      <c r="AW63" s="57">
        <f>[14]January_2019!AG6</f>
        <v>0</v>
      </c>
      <c r="AX63" s="277">
        <f>[14]January_2019!AH6</f>
        <v>0</v>
      </c>
      <c r="AY63" s="277"/>
      <c r="AZ63" s="277"/>
      <c r="BA63" s="277"/>
      <c r="BB63" s="277"/>
      <c r="BC63" s="277"/>
      <c r="BD63" s="277"/>
      <c r="BE63" s="277"/>
    </row>
    <row r="64" spans="1:57" s="54" customFormat="1" ht="37.15" hidden="1" customHeight="1" thickBot="1">
      <c r="A64" s="54" t="s">
        <v>168</v>
      </c>
      <c r="B64" s="480"/>
      <c r="C64" s="479"/>
      <c r="D64" s="442"/>
      <c r="E64" s="443"/>
      <c r="F64" s="444"/>
      <c r="G64" s="445"/>
      <c r="H64" s="458"/>
      <c r="I64" s="458"/>
      <c r="J64" s="448"/>
      <c r="K64" s="449"/>
      <c r="L64" s="457"/>
      <c r="M64" s="45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>
        <f>[14]January_2019!L7</f>
        <v>285.8</v>
      </c>
      <c r="AC64" s="57">
        <f>[14]January_2019!M7</f>
        <v>508.1</v>
      </c>
      <c r="AD64" s="57">
        <f>[14]January_2019!N7</f>
        <v>0</v>
      </c>
      <c r="AE64" s="57">
        <f>[14]January_2019!O7</f>
        <v>0</v>
      </c>
      <c r="AF64" s="57">
        <f>[14]January_2019!P7</f>
        <v>109.56666666666666</v>
      </c>
      <c r="AG64" s="57">
        <f>[14]January_2019!Q7</f>
        <v>297.64999999999998</v>
      </c>
      <c r="AH64" s="57">
        <f>[14]January_2019!R7</f>
        <v>122.3</v>
      </c>
      <c r="AI64" s="57">
        <f>[14]January_2019!S7</f>
        <v>0</v>
      </c>
      <c r="AJ64" s="57">
        <f>[14]January_2019!T7</f>
        <v>294.7</v>
      </c>
      <c r="AK64" s="57">
        <f>[14]January_2019!U7</f>
        <v>280.5</v>
      </c>
      <c r="AL64" s="57">
        <f>[14]January_2019!V7</f>
        <v>0</v>
      </c>
      <c r="AM64" s="57">
        <f>[14]January_2019!W7</f>
        <v>0</v>
      </c>
      <c r="AN64" s="57">
        <f>[14]January_2019!X7</f>
        <v>188.25</v>
      </c>
      <c r="AO64" s="57">
        <f>[14]January_2019!Y7</f>
        <v>295.7</v>
      </c>
      <c r="AP64" s="57">
        <f>[14]January_2019!Z7</f>
        <v>257.8</v>
      </c>
      <c r="AQ64" s="57">
        <f>[14]January_2019!AA7</f>
        <v>291.2</v>
      </c>
      <c r="AR64" s="57">
        <f>[14]January_2019!AB7</f>
        <v>187</v>
      </c>
      <c r="AS64" s="57">
        <f>[14]January_2019!AC7</f>
        <v>0</v>
      </c>
      <c r="AT64" s="57">
        <f>[14]January_2019!AD7</f>
        <v>0</v>
      </c>
      <c r="AU64" s="57">
        <f>[14]January_2019!AE7</f>
        <v>485.1</v>
      </c>
      <c r="AV64" s="57">
        <f>[14]January_2019!AF7</f>
        <v>171.55</v>
      </c>
      <c r="AW64" s="57">
        <f>[14]January_2019!AG7</f>
        <v>423.8</v>
      </c>
      <c r="AX64" s="277">
        <f>[14]January_2019!AH7</f>
        <v>0</v>
      </c>
      <c r="AY64" s="277"/>
      <c r="AZ64" s="277"/>
      <c r="BA64" s="277"/>
      <c r="BB64" s="277"/>
      <c r="BC64" s="277"/>
      <c r="BD64" s="277"/>
      <c r="BE64" s="277"/>
    </row>
    <row r="65" spans="2:57" s="54" customFormat="1" ht="19.5" hidden="1" customHeight="1" thickBot="1">
      <c r="B65" s="478"/>
      <c r="C65" s="430"/>
      <c r="D65" s="431"/>
      <c r="E65" s="432"/>
      <c r="F65" s="433"/>
      <c r="G65" s="434"/>
      <c r="H65" s="458"/>
      <c r="I65" s="458"/>
      <c r="J65" s="451"/>
      <c r="K65" s="436"/>
      <c r="L65" s="452"/>
      <c r="M65" s="421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8.450000000000003" hidden="1" customHeight="1" thickBot="1">
      <c r="B66" s="480"/>
      <c r="C66" s="479"/>
      <c r="D66" s="442"/>
      <c r="E66" s="443"/>
      <c r="F66" s="444"/>
      <c r="G66" s="445"/>
      <c r="H66" s="458"/>
      <c r="I66" s="458"/>
      <c r="J66" s="448" t="s">
        <v>171</v>
      </c>
      <c r="K66" s="459"/>
      <c r="L66" s="457" t="e">
        <f>(((D66+E66)-G66)/(D66+E66))*100</f>
        <v>#DIV/0!</v>
      </c>
      <c r="M66" s="455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15" hidden="1">
      <c r="B67" s="453"/>
      <c r="C67" s="430"/>
      <c r="D67" s="431"/>
      <c r="E67" s="432"/>
      <c r="F67" s="433"/>
      <c r="G67" s="434"/>
      <c r="H67" s="435"/>
      <c r="I67" s="450"/>
      <c r="J67" s="451"/>
      <c r="K67" s="436"/>
      <c r="L67" s="452"/>
      <c r="M67" s="421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37.15" hidden="1" customHeight="1" thickBot="1">
      <c r="B68" s="480"/>
      <c r="C68" s="479"/>
      <c r="D68" s="442"/>
      <c r="E68" s="443"/>
      <c r="F68" s="444"/>
      <c r="G68" s="445"/>
      <c r="H68" s="446"/>
      <c r="I68" s="447"/>
      <c r="J68" s="448"/>
      <c r="K68" s="449"/>
      <c r="L68" s="457"/>
      <c r="M68" s="455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s="54" customFormat="1" ht="16.5" hidden="1" customHeight="1" thickBot="1">
      <c r="B69" s="437"/>
      <c r="C69" s="423"/>
      <c r="D69" s="424"/>
      <c r="E69" s="425"/>
      <c r="F69" s="426"/>
      <c r="G69" s="427"/>
      <c r="H69" s="428"/>
      <c r="I69" s="438"/>
      <c r="J69" s="439"/>
      <c r="K69" s="429"/>
      <c r="L69" s="440"/>
      <c r="M69" s="422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415"/>
      <c r="AC69" s="415"/>
      <c r="AD69" s="415"/>
      <c r="AE69" s="415"/>
      <c r="AF69" s="415"/>
      <c r="AG69" s="415"/>
      <c r="AH69" s="415"/>
      <c r="AI69" s="415"/>
      <c r="AJ69" s="415"/>
      <c r="AK69" s="415"/>
      <c r="AL69" s="415"/>
      <c r="AM69" s="415"/>
      <c r="AN69" s="415"/>
      <c r="AO69" s="415"/>
      <c r="AP69" s="415"/>
      <c r="AQ69" s="415"/>
      <c r="AR69" s="415"/>
      <c r="AS69" s="415"/>
      <c r="AT69" s="415"/>
      <c r="AU69" s="415"/>
      <c r="AV69" s="415"/>
      <c r="AW69" s="415"/>
    </row>
    <row r="70" spans="2:57" s="54" customFormat="1" ht="37.15" hidden="1" customHeight="1" thickBot="1">
      <c r="B70" s="456"/>
      <c r="C70" s="441"/>
      <c r="D70" s="442"/>
      <c r="E70" s="443"/>
      <c r="F70" s="444"/>
      <c r="G70" s="445"/>
      <c r="H70" s="446"/>
      <c r="I70" s="447"/>
      <c r="J70" s="448"/>
      <c r="K70" s="449"/>
      <c r="L70" s="457"/>
      <c r="M70" s="454"/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277"/>
      <c r="AY70" s="277"/>
      <c r="AZ70" s="277"/>
      <c r="BA70" s="277"/>
      <c r="BB70" s="277"/>
      <c r="BC70" s="277"/>
      <c r="BD70" s="277"/>
      <c r="BE70" s="277"/>
    </row>
    <row r="71" spans="2:57" s="54" customFormat="1" ht="37.15" customHeight="1">
      <c r="B71" s="466"/>
      <c r="C71" s="430"/>
      <c r="D71" s="460"/>
      <c r="E71" s="461"/>
      <c r="F71" s="462"/>
      <c r="G71" s="460"/>
      <c r="H71" s="463"/>
      <c r="I71" s="463"/>
      <c r="J71" s="463"/>
      <c r="K71" s="464"/>
      <c r="L71" s="465"/>
      <c r="M71" s="50"/>
      <c r="N71" s="13"/>
      <c r="O71" s="13"/>
      <c r="P71" s="50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277"/>
      <c r="AY71" s="277"/>
      <c r="AZ71" s="277"/>
      <c r="BA71" s="277"/>
      <c r="BB71" s="277"/>
      <c r="BC71" s="277"/>
      <c r="BD71" s="277"/>
      <c r="BE71" s="277"/>
    </row>
    <row r="72" spans="2:57" ht="18" customHeight="1" thickBot="1">
      <c r="B72" s="59"/>
      <c r="C72" s="30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 t="s">
        <v>41</v>
      </c>
      <c r="O72" s="56"/>
      <c r="P72" s="60"/>
    </row>
    <row r="73" spans="2:57" ht="15.75" thickBot="1">
      <c r="B73" s="545" t="s">
        <v>55</v>
      </c>
      <c r="C73" s="546"/>
      <c r="D73" s="546"/>
      <c r="E73" s="546"/>
      <c r="F73" s="547"/>
      <c r="G73" s="545" t="s">
        <v>56</v>
      </c>
      <c r="H73" s="546"/>
      <c r="I73" s="546"/>
      <c r="J73" s="547"/>
      <c r="K73" s="545" t="s">
        <v>51</v>
      </c>
      <c r="L73" s="546"/>
      <c r="M73" s="546"/>
      <c r="N73" s="548"/>
      <c r="O73" s="56"/>
      <c r="P73" s="50"/>
    </row>
    <row r="74" spans="2:57" ht="15">
      <c r="B74" s="61" t="s">
        <v>17</v>
      </c>
      <c r="C74" s="62" t="s">
        <v>36</v>
      </c>
      <c r="D74" s="62" t="s">
        <v>37</v>
      </c>
      <c r="E74" s="62" t="s">
        <v>38</v>
      </c>
      <c r="F74" s="63" t="s">
        <v>39</v>
      </c>
      <c r="G74" s="62" t="s">
        <v>36</v>
      </c>
      <c r="H74" s="62" t="s">
        <v>37</v>
      </c>
      <c r="I74" s="62" t="s">
        <v>38</v>
      </c>
      <c r="J74" s="63" t="s">
        <v>39</v>
      </c>
      <c r="K74" s="62" t="s">
        <v>36</v>
      </c>
      <c r="L74" s="62" t="s">
        <v>37</v>
      </c>
      <c r="M74" s="62" t="s">
        <v>38</v>
      </c>
      <c r="N74" s="63" t="s">
        <v>39</v>
      </c>
      <c r="O74" s="56"/>
      <c r="P74" s="64"/>
    </row>
    <row r="75" spans="2:57" ht="15">
      <c r="B75" s="29" t="s">
        <v>6</v>
      </c>
      <c r="C75" s="282">
        <f>L62</f>
        <v>4.8882681564245818</v>
      </c>
      <c r="D75" s="76">
        <v>6.1050400020190425</v>
      </c>
      <c r="E75" s="76">
        <v>6.8559119177728194</v>
      </c>
      <c r="F75" s="66">
        <v>4.8</v>
      </c>
      <c r="G75" s="65">
        <f>[11]March_2026!$AG$11</f>
        <v>4.8882681564245791</v>
      </c>
      <c r="H75" s="477">
        <v>5.5217383997308911</v>
      </c>
      <c r="I75" s="477">
        <v>6.7376293998803778</v>
      </c>
      <c r="J75" s="66">
        <v>4.8</v>
      </c>
      <c r="K75" s="67">
        <f>K62</f>
        <v>0.83631578947368423</v>
      </c>
      <c r="L75" s="194">
        <v>0.52819256474519627</v>
      </c>
      <c r="M75" s="194">
        <v>0.42797963091682517</v>
      </c>
      <c r="N75" s="68">
        <v>1</v>
      </c>
      <c r="O75" s="56"/>
      <c r="P75" s="69"/>
    </row>
    <row r="76" spans="2:57" ht="15">
      <c r="B76" s="33" t="s">
        <v>9</v>
      </c>
      <c r="C76" s="65"/>
      <c r="D76" s="76">
        <v>6.49747008272427</v>
      </c>
      <c r="E76" s="76">
        <v>6.3411334413966323</v>
      </c>
      <c r="F76" s="66">
        <v>4.8</v>
      </c>
      <c r="G76" s="65"/>
      <c r="H76" s="76">
        <v>5.8363193922358541</v>
      </c>
      <c r="I76" s="76">
        <v>6.0615758973702238</v>
      </c>
      <c r="J76" s="66">
        <v>4.8</v>
      </c>
      <c r="K76" s="67"/>
      <c r="L76" s="194">
        <v>0.86557894736842111</v>
      </c>
      <c r="M76" s="194">
        <v>0.66474567163482645</v>
      </c>
      <c r="N76" s="68">
        <v>1</v>
      </c>
      <c r="P76" s="69"/>
    </row>
    <row r="77" spans="2:57" ht="15">
      <c r="B77" s="34" t="s">
        <v>40</v>
      </c>
      <c r="C77" s="65"/>
      <c r="D77" s="76">
        <v>12.686094393411453</v>
      </c>
      <c r="E77" s="76">
        <v>12.557379600093356</v>
      </c>
      <c r="F77" s="66">
        <v>5.5</v>
      </c>
      <c r="G77" s="491"/>
      <c r="H77" s="76">
        <v>16.188465805007624</v>
      </c>
      <c r="I77" s="76">
        <v>14.409617014725914</v>
      </c>
      <c r="J77" s="66">
        <v>5.5</v>
      </c>
      <c r="K77" s="67"/>
      <c r="L77" s="194">
        <v>0.22560526315789473</v>
      </c>
      <c r="M77" s="194">
        <v>0.29359298245614035</v>
      </c>
      <c r="N77" s="68">
        <v>1</v>
      </c>
      <c r="P77" s="69"/>
    </row>
    <row r="78" spans="2:57" ht="15">
      <c r="B78" s="22" t="s">
        <v>33</v>
      </c>
      <c r="C78" s="65"/>
      <c r="D78" s="76">
        <v>4.786281034041461</v>
      </c>
      <c r="E78" s="76">
        <v>4.9619586520196597</v>
      </c>
      <c r="F78" s="66">
        <v>3.3</v>
      </c>
      <c r="G78" s="65"/>
      <c r="H78" s="76">
        <v>5.4251963146907434</v>
      </c>
      <c r="I78" s="76">
        <v>4.9501867212112511</v>
      </c>
      <c r="J78" s="66">
        <v>3.3</v>
      </c>
      <c r="K78" s="67"/>
      <c r="L78" s="194">
        <v>1.3052631578947369</v>
      </c>
      <c r="M78" s="194">
        <v>0.88064327485380123</v>
      </c>
      <c r="N78" s="68">
        <v>1</v>
      </c>
      <c r="P78" s="69"/>
    </row>
    <row r="79" spans="2:57" ht="15">
      <c r="B79" s="35" t="s">
        <v>164</v>
      </c>
      <c r="C79" s="65"/>
      <c r="D79" s="76"/>
      <c r="E79" s="76"/>
      <c r="F79" s="66">
        <v>3.3</v>
      </c>
      <c r="G79" s="282"/>
      <c r="H79" s="76"/>
      <c r="I79" s="76"/>
      <c r="J79" s="66">
        <v>3</v>
      </c>
      <c r="K79" s="67"/>
      <c r="L79" s="194"/>
      <c r="M79" s="194"/>
      <c r="N79" s="68">
        <v>1</v>
      </c>
      <c r="P79" s="69"/>
    </row>
    <row r="80" spans="2:57" ht="15">
      <c r="B80" s="36" t="s">
        <v>15</v>
      </c>
      <c r="C80" s="65"/>
      <c r="D80" s="76"/>
      <c r="E80" s="76">
        <v>5.1105651105651271</v>
      </c>
      <c r="F80" s="70">
        <f>[15]May_2022!$M$43</f>
        <v>3.4878406700073312</v>
      </c>
      <c r="G80" s="282"/>
      <c r="H80" s="76"/>
      <c r="I80" s="76">
        <v>7.9131369535794072</v>
      </c>
      <c r="J80" s="66">
        <v>5.5</v>
      </c>
      <c r="K80" s="67"/>
      <c r="L80" s="194"/>
      <c r="M80" s="194">
        <v>1.3550877192982456</v>
      </c>
      <c r="N80" s="68">
        <v>1</v>
      </c>
      <c r="P80" s="69"/>
    </row>
    <row r="81" spans="2:16" ht="15">
      <c r="B81" s="37" t="s">
        <v>16</v>
      </c>
      <c r="C81" s="65"/>
      <c r="D81" s="76">
        <v>3.990890358963231</v>
      </c>
      <c r="E81" s="76">
        <v>3.9654240950837436</v>
      </c>
      <c r="F81" s="66">
        <v>3.3</v>
      </c>
      <c r="G81" s="282"/>
      <c r="H81" s="76">
        <v>7.5259787647367338</v>
      </c>
      <c r="I81" s="76">
        <v>6.1323263986468994</v>
      </c>
      <c r="J81" s="66">
        <v>3.3</v>
      </c>
      <c r="K81" s="67"/>
      <c r="L81" s="194">
        <v>1.0967836257309942</v>
      </c>
      <c r="M81" s="194">
        <v>0.93295906432748543</v>
      </c>
      <c r="N81" s="71">
        <v>1</v>
      </c>
      <c r="P81" s="69"/>
    </row>
    <row r="82" spans="2:16" ht="15.75" thickBot="1">
      <c r="B82" s="38" t="s">
        <v>163</v>
      </c>
      <c r="C82" s="65"/>
      <c r="D82" s="76"/>
      <c r="E82" s="76"/>
      <c r="F82" s="66">
        <v>7.5</v>
      </c>
      <c r="G82" s="282"/>
      <c r="H82" s="76"/>
      <c r="I82" s="76"/>
      <c r="J82" s="66">
        <v>7.5</v>
      </c>
      <c r="K82" s="67"/>
      <c r="L82" s="194"/>
      <c r="M82" s="194"/>
      <c r="N82" s="71">
        <v>1</v>
      </c>
      <c r="P82" s="69"/>
    </row>
    <row r="83" spans="2:16" ht="15.75" thickBot="1">
      <c r="B83" s="414" t="s">
        <v>161</v>
      </c>
      <c r="C83" s="65"/>
      <c r="D83" s="76"/>
      <c r="E83" s="76"/>
      <c r="F83" s="66">
        <v>4.8</v>
      </c>
      <c r="G83" s="282"/>
      <c r="H83" s="76"/>
      <c r="I83" s="76"/>
      <c r="J83" s="66">
        <v>4.8</v>
      </c>
      <c r="K83" s="67"/>
      <c r="L83" s="194"/>
      <c r="M83" s="194"/>
      <c r="N83" s="71">
        <v>1</v>
      </c>
      <c r="O83" s="74"/>
      <c r="P83" s="75"/>
    </row>
    <row r="84" spans="2:16" ht="15">
      <c r="D84" s="76">
        <v>6.422761322900655</v>
      </c>
      <c r="E84" s="76">
        <v>6.6878716262567766</v>
      </c>
      <c r="F84" s="341">
        <v>5.5</v>
      </c>
      <c r="H84" s="76">
        <v>7.0182153502539482</v>
      </c>
      <c r="I84" s="76">
        <v>7.0768381243203518</v>
      </c>
      <c r="J84" s="341">
        <v>5.5</v>
      </c>
      <c r="L84" s="194">
        <v>0.67799306599832909</v>
      </c>
      <c r="M84" s="194">
        <v>0.52438920714484627</v>
      </c>
      <c r="N84" s="386">
        <v>1</v>
      </c>
    </row>
  </sheetData>
  <mergeCells count="51">
    <mergeCell ref="M60:M61"/>
    <mergeCell ref="B73:F73"/>
    <mergeCell ref="G73:J73"/>
    <mergeCell ref="K73:N73"/>
    <mergeCell ref="G60:G61"/>
    <mergeCell ref="H60:H61"/>
    <mergeCell ref="I60:I61"/>
    <mergeCell ref="J60:J61"/>
    <mergeCell ref="K60:K61"/>
    <mergeCell ref="L60:L61"/>
    <mergeCell ref="F60:F61"/>
    <mergeCell ref="D55:E55"/>
    <mergeCell ref="B60:B61"/>
    <mergeCell ref="C60:C61"/>
    <mergeCell ref="D60:D61"/>
    <mergeCell ref="E60:E61"/>
    <mergeCell ref="B45:B54"/>
    <mergeCell ref="D45:E46"/>
    <mergeCell ref="J45:K45"/>
    <mergeCell ref="L46:N46"/>
    <mergeCell ref="D47:E48"/>
    <mergeCell ref="D49:E50"/>
    <mergeCell ref="D51:E52"/>
    <mergeCell ref="D53:E54"/>
    <mergeCell ref="I31:N31"/>
    <mergeCell ref="D32:E32"/>
    <mergeCell ref="B33:B44"/>
    <mergeCell ref="D33:E34"/>
    <mergeCell ref="D35:E36"/>
    <mergeCell ref="D37:E38"/>
    <mergeCell ref="D39:E40"/>
    <mergeCell ref="D41:E42"/>
    <mergeCell ref="D43:E44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5:B56">
    <cfRule type="cellIs" dxfId="331" priority="74" operator="notBetween">
      <formula>#REF!</formula>
      <formula>#REF!</formula>
    </cfRule>
  </conditionalFormatting>
  <conditionalFormatting sqref="C59">
    <cfRule type="cellIs" dxfId="330" priority="169" stopIfTrue="1" operator="greaterThan">
      <formula>100</formula>
    </cfRule>
    <cfRule type="cellIs" dxfId="329" priority="168" stopIfTrue="1" operator="lessThan">
      <formula>96</formula>
    </cfRule>
  </conditionalFormatting>
  <conditionalFormatting sqref="C75:C79">
    <cfRule type="cellIs" dxfId="328" priority="137" stopIfTrue="1" operator="lessThanOrEqual">
      <formula>0</formula>
    </cfRule>
  </conditionalFormatting>
  <conditionalFormatting sqref="C75:C83">
    <cfRule type="cellIs" dxfId="327" priority="136" stopIfTrue="1" operator="greaterThan">
      <formula>$F75</formula>
    </cfRule>
  </conditionalFormatting>
  <conditionalFormatting sqref="C76">
    <cfRule type="cellIs" dxfId="326" priority="170" stopIfTrue="1" operator="greaterThan">
      <formula>$F75</formula>
    </cfRule>
  </conditionalFormatting>
  <conditionalFormatting sqref="C80">
    <cfRule type="cellIs" dxfId="325" priority="98" stopIfTrue="1" operator="lessThanOrEqual">
      <formula>0</formula>
    </cfRule>
    <cfRule type="cellIs" dxfId="324" priority="99" stopIfTrue="1" operator="greaterThan">
      <formula>$F79</formula>
    </cfRule>
  </conditionalFormatting>
  <conditionalFormatting sqref="C81:C83">
    <cfRule type="cellIs" dxfId="323" priority="138" stopIfTrue="1" operator="lessThanOrEqual">
      <formula>0</formula>
    </cfRule>
  </conditionalFormatting>
  <conditionalFormatting sqref="C86:C90">
    <cfRule type="cellIs" dxfId="322" priority="160" stopIfTrue="1" operator="lessThanOrEqual">
      <formula>0</formula>
    </cfRule>
  </conditionalFormatting>
  <conditionalFormatting sqref="C87:C90">
    <cfRule type="cellIs" dxfId="321" priority="159" stopIfTrue="1" operator="greaterThan">
      <formula>$F$86</formula>
    </cfRule>
  </conditionalFormatting>
  <conditionalFormatting sqref="C92">
    <cfRule type="cellIs" dxfId="320" priority="162" stopIfTrue="1" operator="lessThanOrEqual">
      <formula>0</formula>
    </cfRule>
    <cfRule type="cellIs" dxfId="319" priority="161" stopIfTrue="1" operator="greaterThan">
      <formula>$F$86</formula>
    </cfRule>
  </conditionalFormatting>
  <conditionalFormatting sqref="C86:D86 D88:D94">
    <cfRule type="cellIs" dxfId="318" priority="154" stopIfTrue="1" operator="greaterThan">
      <formula>4.5</formula>
    </cfRule>
  </conditionalFormatting>
  <conditionalFormatting sqref="D55:D56">
    <cfRule type="cellIs" dxfId="317" priority="75" operator="notBetween">
      <formula>#REF!</formula>
      <formula>#REF!</formula>
    </cfRule>
  </conditionalFormatting>
  <conditionalFormatting sqref="D75:D82">
    <cfRule type="cellIs" dxfId="316" priority="49" stopIfTrue="1" operator="lessThanOrEqual">
      <formula>0</formula>
    </cfRule>
  </conditionalFormatting>
  <conditionalFormatting sqref="D75:D84">
    <cfRule type="cellIs" dxfId="315" priority="28" stopIfTrue="1" operator="lessThanOrEqual">
      <formula>0</formula>
    </cfRule>
  </conditionalFormatting>
  <conditionalFormatting sqref="D83">
    <cfRule type="cellIs" dxfId="314" priority="48" stopIfTrue="1" operator="lessThanOrEqual">
      <formula>0</formula>
    </cfRule>
  </conditionalFormatting>
  <conditionalFormatting sqref="D84">
    <cfRule type="cellIs" dxfId="313" priority="43" stopIfTrue="1" operator="lessThanOrEqual">
      <formula>0</formula>
    </cfRule>
  </conditionalFormatting>
  <conditionalFormatting sqref="D86 D88:D94">
    <cfRule type="cellIs" dxfId="312" priority="155" stopIfTrue="1" operator="lessThanOrEqual">
      <formula>0</formula>
    </cfRule>
  </conditionalFormatting>
  <conditionalFormatting sqref="D87">
    <cfRule type="cellIs" dxfId="311" priority="147" stopIfTrue="1" operator="lessThanOrEqual">
      <formula>0</formula>
    </cfRule>
    <cfRule type="cellIs" dxfId="310" priority="146" stopIfTrue="1" operator="greaterThan">
      <formula>$F$86</formula>
    </cfRule>
  </conditionalFormatting>
  <conditionalFormatting sqref="D75:E84">
    <cfRule type="cellIs" dxfId="309" priority="30" stopIfTrue="1" operator="greaterThan">
      <formula>$F75</formula>
    </cfRule>
  </conditionalFormatting>
  <conditionalFormatting sqref="D84:E84">
    <cfRule type="cellIs" dxfId="308" priority="32" stopIfTrue="1" operator="lessThanOrEqual">
      <formula>0</formula>
    </cfRule>
  </conditionalFormatting>
  <conditionalFormatting sqref="E10:E30">
    <cfRule type="cellIs" dxfId="307" priority="19" operator="lessThan">
      <formula>48</formula>
    </cfRule>
  </conditionalFormatting>
  <conditionalFormatting sqref="E58 E59:F59">
    <cfRule type="cellIs" dxfId="306" priority="151" stopIfTrue="1" operator="greaterThan">
      <formula>100</formula>
    </cfRule>
  </conditionalFormatting>
  <conditionalFormatting sqref="E59">
    <cfRule type="cellIs" dxfId="305" priority="149" stopIfTrue="1" operator="greaterThan">
      <formula>100</formula>
    </cfRule>
    <cfRule type="cellIs" dxfId="304" priority="148" stopIfTrue="1" operator="lessThan">
      <formula>96.8</formula>
    </cfRule>
  </conditionalFormatting>
  <conditionalFormatting sqref="E75:E83">
    <cfRule type="cellIs" dxfId="303" priority="29" stopIfTrue="1" operator="lessThanOrEqual">
      <formula>0</formula>
    </cfRule>
  </conditionalFormatting>
  <conditionalFormatting sqref="E75:E84">
    <cfRule type="cellIs" dxfId="302" priority="31" stopIfTrue="1" operator="lessThanOrEqual">
      <formula>0</formula>
    </cfRule>
  </conditionalFormatting>
  <conditionalFormatting sqref="E86:E94">
    <cfRule type="cellIs" dxfId="301" priority="140" stopIfTrue="1" operator="greaterThan">
      <formula>4.5</formula>
    </cfRule>
    <cfRule type="cellIs" dxfId="300" priority="141" stopIfTrue="1" operator="lessThanOrEqual">
      <formula>0</formula>
    </cfRule>
  </conditionalFormatting>
  <conditionalFormatting sqref="E59:F59 E58">
    <cfRule type="cellIs" dxfId="299" priority="150" stopIfTrue="1" operator="lessThan">
      <formula>96.5</formula>
    </cfRule>
  </conditionalFormatting>
  <conditionalFormatting sqref="F27:F30">
    <cfRule type="cellIs" dxfId="298" priority="24" operator="greaterThan">
      <formula>60</formula>
    </cfRule>
  </conditionalFormatting>
  <conditionalFormatting sqref="F59">
    <cfRule type="cellIs" dxfId="297" priority="166" stopIfTrue="1" operator="lessThan">
      <formula>96.8</formula>
    </cfRule>
    <cfRule type="cellIs" dxfId="296" priority="167" stopIfTrue="1" operator="greaterThan">
      <formula>100</formula>
    </cfRule>
  </conditionalFormatting>
  <conditionalFormatting sqref="F84">
    <cfRule type="cellIs" dxfId="295" priority="47" stopIfTrue="1" operator="lessThanOrEqual">
      <formula>0</formula>
    </cfRule>
    <cfRule type="cellIs" dxfId="294" priority="46" stopIfTrue="1" operator="greaterThan">
      <formula>$F84</formula>
    </cfRule>
  </conditionalFormatting>
  <conditionalFormatting sqref="G10:G26 M10:N26 H10:H30">
    <cfRule type="expression" dxfId="293" priority="20">
      <formula>IF(+(IF(G10&lt;#REF!,0,IF(G10&gt;#REF!,0,1)))=0,1)</formula>
    </cfRule>
  </conditionalFormatting>
  <conditionalFormatting sqref="G27">
    <cfRule type="expression" dxfId="292" priority="171">
      <formula>IF(+(IF(G27&lt;S26,0,IF(G27&gt;T26,0,1)))=0,1)</formula>
    </cfRule>
  </conditionalFormatting>
  <conditionalFormatting sqref="G28:G30">
    <cfRule type="expression" dxfId="291" priority="21">
      <formula>IF(+(IF(G28&lt;S28,0,IF(G28&gt;T28,0,1)))=0,1)</formula>
    </cfRule>
  </conditionalFormatting>
  <conditionalFormatting sqref="G75:G76">
    <cfRule type="cellIs" dxfId="290" priority="51" stopIfTrue="1" operator="lessThanOrEqual">
      <formula>0</formula>
    </cfRule>
    <cfRule type="cellIs" dxfId="289" priority="45" stopIfTrue="1" operator="lessThanOrEqual">
      <formula>0</formula>
    </cfRule>
    <cfRule type="cellIs" dxfId="288" priority="50" stopIfTrue="1" operator="greaterThan">
      <formula>$F75</formula>
    </cfRule>
    <cfRule type="cellIs" dxfId="287" priority="44" stopIfTrue="1" operator="greaterThan">
      <formula>$F75</formula>
    </cfRule>
  </conditionalFormatting>
  <conditionalFormatting sqref="G77">
    <cfRule type="containsErrors" dxfId="286" priority="12" stopIfTrue="1">
      <formula>ISERROR(G77)</formula>
    </cfRule>
  </conditionalFormatting>
  <conditionalFormatting sqref="G78">
    <cfRule type="cellIs" dxfId="285" priority="37" stopIfTrue="1" operator="lessThanOrEqual">
      <formula>0</formula>
    </cfRule>
    <cfRule type="cellIs" dxfId="284" priority="36" stopIfTrue="1" operator="greaterThan">
      <formula>$F78</formula>
    </cfRule>
    <cfRule type="cellIs" dxfId="283" priority="38" stopIfTrue="1" operator="greaterThan">
      <formula>$F78</formula>
    </cfRule>
    <cfRule type="cellIs" dxfId="282" priority="39" stopIfTrue="1" operator="lessThanOrEqual">
      <formula>0</formula>
    </cfRule>
  </conditionalFormatting>
  <conditionalFormatting sqref="G79:G83">
    <cfRule type="cellIs" dxfId="281" priority="52" stopIfTrue="1" operator="greaterThan">
      <formula>$J79</formula>
    </cfRule>
    <cfRule type="cellIs" dxfId="280" priority="53" stopIfTrue="1" operator="lessThanOrEqual">
      <formula>0</formula>
    </cfRule>
  </conditionalFormatting>
  <conditionalFormatting sqref="G88:G93 C91 C93">
    <cfRule type="cellIs" dxfId="279" priority="163" stopIfTrue="1" operator="greaterThan">
      <formula>4.5</formula>
    </cfRule>
    <cfRule type="cellIs" dxfId="278" priority="164" stopIfTrue="1" operator="lessThanOrEqual">
      <formula>0</formula>
    </cfRule>
  </conditionalFormatting>
  <conditionalFormatting sqref="G87:H87">
    <cfRule type="cellIs" dxfId="277" priority="145" stopIfTrue="1" operator="lessThanOrEqual">
      <formula>0</formula>
    </cfRule>
    <cfRule type="cellIs" dxfId="276" priority="144" stopIfTrue="1" operator="greaterThan">
      <formula>$F$86</formula>
    </cfRule>
  </conditionalFormatting>
  <conditionalFormatting sqref="H44:H45 H58">
    <cfRule type="cellIs" dxfId="275" priority="142" stopIfTrue="1" operator="greaterThan">
      <formula>0</formula>
    </cfRule>
  </conditionalFormatting>
  <conditionalFormatting sqref="H62:H66">
    <cfRule type="cellIs" dxfId="274" priority="57" stopIfTrue="1" operator="lessThanOrEqual">
      <formula>0</formula>
    </cfRule>
    <cfRule type="cellIs" dxfId="273" priority="67" stopIfTrue="1" operator="lessThanOrEqual">
      <formula>0</formula>
    </cfRule>
    <cfRule type="cellIs" dxfId="272" priority="69" stopIfTrue="1" operator="lessThanOrEqual">
      <formula>0</formula>
    </cfRule>
    <cfRule type="cellIs" dxfId="271" priority="58" stopIfTrue="1" operator="greaterThan">
      <formula>$F$75</formula>
    </cfRule>
    <cfRule type="cellIs" dxfId="270" priority="66" stopIfTrue="1" operator="greaterThan">
      <formula>$F$78</formula>
    </cfRule>
    <cfRule type="cellIs" dxfId="269" priority="68" stopIfTrue="1" operator="greaterThan">
      <formula>$F$76</formula>
    </cfRule>
  </conditionalFormatting>
  <conditionalFormatting sqref="H67:H68">
    <cfRule type="cellIs" dxfId="268" priority="113" stopIfTrue="1" operator="lessThanOrEqual">
      <formula>0</formula>
    </cfRule>
    <cfRule type="cellIs" dxfId="267" priority="101" stopIfTrue="1" operator="lessThanOrEqual">
      <formula>0</formula>
    </cfRule>
    <cfRule type="cellIs" dxfId="266" priority="110" stopIfTrue="1" operator="greaterThan">
      <formula>$F$30</formula>
    </cfRule>
    <cfRule type="cellIs" dxfId="265" priority="111" stopIfTrue="1" operator="lessThanOrEqual">
      <formula>0</formula>
    </cfRule>
    <cfRule type="cellIs" dxfId="264" priority="112" stopIfTrue="1" operator="greaterThan">
      <formula>#REF!</formula>
    </cfRule>
    <cfRule type="cellIs" dxfId="263" priority="102" stopIfTrue="1" operator="greaterThan">
      <formula>#REF!</formula>
    </cfRule>
  </conditionalFormatting>
  <conditionalFormatting sqref="H69">
    <cfRule type="cellIs" dxfId="262" priority="116" stopIfTrue="1" operator="greaterThan">
      <formula>$F$43</formula>
    </cfRule>
    <cfRule type="cellIs" dxfId="261" priority="115" stopIfTrue="1" operator="lessThanOrEqual">
      <formula>0</formula>
    </cfRule>
    <cfRule type="cellIs" dxfId="260" priority="126" stopIfTrue="1" operator="greaterThan">
      <formula>$F$44</formula>
    </cfRule>
    <cfRule type="cellIs" dxfId="259" priority="127" stopIfTrue="1" operator="lessThanOrEqual">
      <formula>0</formula>
    </cfRule>
    <cfRule type="cellIs" dxfId="258" priority="124" stopIfTrue="1" operator="greaterThan">
      <formula>$F$46</formula>
    </cfRule>
    <cfRule type="cellIs" dxfId="257" priority="125" stopIfTrue="1" operator="lessThanOrEqual">
      <formula>0</formula>
    </cfRule>
  </conditionalFormatting>
  <conditionalFormatting sqref="H70:H71">
    <cfRule type="cellIs" dxfId="256" priority="85" stopIfTrue="1" operator="lessThanOrEqual">
      <formula>0</formula>
    </cfRule>
    <cfRule type="cellIs" dxfId="255" priority="97" stopIfTrue="1" operator="lessThanOrEqual">
      <formula>0</formula>
    </cfRule>
    <cfRule type="cellIs" dxfId="254" priority="96" stopIfTrue="1" operator="greaterThan">
      <formula>#REF!</formula>
    </cfRule>
    <cfRule type="cellIs" dxfId="253" priority="95" stopIfTrue="1" operator="lessThanOrEqual">
      <formula>0</formula>
    </cfRule>
    <cfRule type="cellIs" dxfId="252" priority="94" stopIfTrue="1" operator="greaterThan">
      <formula>$F$30</formula>
    </cfRule>
    <cfRule type="cellIs" dxfId="251" priority="86" stopIfTrue="1" operator="greaterThan">
      <formula>#REF!</formula>
    </cfRule>
  </conditionalFormatting>
  <conditionalFormatting sqref="H86 H88:H94">
    <cfRule type="cellIs" dxfId="250" priority="156" stopIfTrue="1" operator="greaterThan">
      <formula>4.5</formula>
    </cfRule>
    <cfRule type="cellIs" dxfId="249" priority="157" stopIfTrue="1" operator="lessThanOrEqual">
      <formula>0</formula>
    </cfRule>
  </conditionalFormatting>
  <conditionalFormatting sqref="H62:I66">
    <cfRule type="cellIs" dxfId="248" priority="59" stopIfTrue="1" operator="lessThanOrEqual">
      <formula>0</formula>
    </cfRule>
    <cfRule type="cellIs" dxfId="247" priority="56" stopIfTrue="1" operator="greaterThan">
      <formula>$F$77</formula>
    </cfRule>
  </conditionalFormatting>
  <conditionalFormatting sqref="H67:I68">
    <cfRule type="cellIs" dxfId="246" priority="103" stopIfTrue="1" operator="lessThanOrEqual">
      <formula>0</formula>
    </cfRule>
    <cfRule type="cellIs" dxfId="245" priority="100" stopIfTrue="1" operator="greaterThan">
      <formula>#REF!</formula>
    </cfRule>
  </conditionalFormatting>
  <conditionalFormatting sqref="H69:I69">
    <cfRule type="cellIs" dxfId="244" priority="117" stopIfTrue="1" operator="lessThanOrEqual">
      <formula>0</formula>
    </cfRule>
    <cfRule type="cellIs" dxfId="243" priority="114" stopIfTrue="1" operator="greaterThan">
      <formula>$F$45</formula>
    </cfRule>
  </conditionalFormatting>
  <conditionalFormatting sqref="H70:I71">
    <cfRule type="cellIs" dxfId="242" priority="87" stopIfTrue="1" operator="lessThanOrEqual">
      <formula>0</formula>
    </cfRule>
    <cfRule type="cellIs" dxfId="241" priority="84" stopIfTrue="1" operator="greaterThan">
      <formula>#REF!</formula>
    </cfRule>
  </conditionalFormatting>
  <conditionalFormatting sqref="H75:I82">
    <cfRule type="cellIs" dxfId="240" priority="27" stopIfTrue="1" operator="lessThanOrEqual">
      <formula>0</formula>
    </cfRule>
    <cfRule type="cellIs" dxfId="239" priority="26" stopIfTrue="1" operator="greaterThan">
      <formula>$J75</formula>
    </cfRule>
  </conditionalFormatting>
  <conditionalFormatting sqref="H83:I83">
    <cfRule type="cellIs" dxfId="238" priority="35" operator="greaterThan">
      <formula>5.3</formula>
    </cfRule>
  </conditionalFormatting>
  <conditionalFormatting sqref="H84:I84">
    <cfRule type="cellIs" dxfId="237" priority="34" stopIfTrue="1" operator="lessThanOrEqual">
      <formula>0</formula>
    </cfRule>
    <cfRule type="cellIs" dxfId="236" priority="33" stopIfTrue="1" operator="greaterThan">
      <formula>$J84</formula>
    </cfRule>
  </conditionalFormatting>
  <conditionalFormatting sqref="I62:I66">
    <cfRule type="cellIs" dxfId="235" priority="63" stopIfTrue="1" operator="lessThanOrEqual">
      <formula>0</formula>
    </cfRule>
    <cfRule type="cellIs" dxfId="234" priority="64" stopIfTrue="1" operator="greaterThan">
      <formula>$F$75</formula>
    </cfRule>
    <cfRule type="cellIs" dxfId="233" priority="65" stopIfTrue="1" operator="lessThanOrEqual">
      <formula>0</formula>
    </cfRule>
    <cfRule type="cellIs" dxfId="232" priority="62" stopIfTrue="1" operator="greaterThan">
      <formula>$F$77</formula>
    </cfRule>
    <cfRule type="cellIs" dxfId="231" priority="61" stopIfTrue="1" operator="lessThanOrEqual">
      <formula>0</formula>
    </cfRule>
    <cfRule type="cellIs" dxfId="230" priority="60" stopIfTrue="1" operator="greaterThan">
      <formula>$F$75</formula>
    </cfRule>
  </conditionalFormatting>
  <conditionalFormatting sqref="I67:I68">
    <cfRule type="cellIs" dxfId="229" priority="105" stopIfTrue="1" operator="lessThanOrEqual">
      <formula>0</formula>
    </cfRule>
    <cfRule type="cellIs" dxfId="228" priority="106" stopIfTrue="1" operator="greaterThan">
      <formula>#REF!</formula>
    </cfRule>
    <cfRule type="cellIs" dxfId="227" priority="107" stopIfTrue="1" operator="lessThanOrEqual">
      <formula>0</formula>
    </cfRule>
    <cfRule type="cellIs" dxfId="226" priority="104" stopIfTrue="1" operator="greaterThan">
      <formula>#REF!</formula>
    </cfRule>
    <cfRule type="cellIs" dxfId="225" priority="108" stopIfTrue="1" operator="greaterThan">
      <formula>#REF!</formula>
    </cfRule>
    <cfRule type="cellIs" dxfId="224" priority="109" stopIfTrue="1" operator="lessThanOrEqual">
      <formula>0</formula>
    </cfRule>
  </conditionalFormatting>
  <conditionalFormatting sqref="I69">
    <cfRule type="cellIs" dxfId="223" priority="118" stopIfTrue="1" operator="greaterThan">
      <formula>$F$43</formula>
    </cfRule>
    <cfRule type="cellIs" dxfId="222" priority="119" stopIfTrue="1" operator="lessThanOrEqual">
      <formula>0</formula>
    </cfRule>
    <cfRule type="cellIs" dxfId="221" priority="120" stopIfTrue="1" operator="greaterThan">
      <formula>$F$45</formula>
    </cfRule>
    <cfRule type="cellIs" dxfId="220" priority="122" stopIfTrue="1" operator="greaterThan">
      <formula>$F$43</formula>
    </cfRule>
    <cfRule type="cellIs" dxfId="219" priority="123" stopIfTrue="1" operator="lessThanOrEqual">
      <formula>0</formula>
    </cfRule>
    <cfRule type="cellIs" dxfId="218" priority="121" stopIfTrue="1" operator="lessThanOrEqual">
      <formula>0</formula>
    </cfRule>
  </conditionalFormatting>
  <conditionalFormatting sqref="I70:I71">
    <cfRule type="cellIs" dxfId="217" priority="88" stopIfTrue="1" operator="greaterThan">
      <formula>#REF!</formula>
    </cfRule>
    <cfRule type="cellIs" dxfId="216" priority="89" stopIfTrue="1" operator="lessThanOrEqual">
      <formula>0</formula>
    </cfRule>
    <cfRule type="cellIs" dxfId="215" priority="90" stopIfTrue="1" operator="greaterThan">
      <formula>#REF!</formula>
    </cfRule>
    <cfRule type="cellIs" dxfId="214" priority="91" stopIfTrue="1" operator="lessThanOrEqual">
      <formula>0</formula>
    </cfRule>
    <cfRule type="cellIs" dxfId="213" priority="92" stopIfTrue="1" operator="greaterThan">
      <formula>#REF!</formula>
    </cfRule>
    <cfRule type="cellIs" dxfId="212" priority="93" stopIfTrue="1" operator="lessThanOrEqual">
      <formula>0</formula>
    </cfRule>
  </conditionalFormatting>
  <conditionalFormatting sqref="I86:I94">
    <cfRule type="cellIs" dxfId="211" priority="153" stopIfTrue="1" operator="lessThanOrEqual">
      <formula>0</formula>
    </cfRule>
    <cfRule type="cellIs" dxfId="210" priority="152" stopIfTrue="1" operator="greaterThan">
      <formula>4.5</formula>
    </cfRule>
  </conditionalFormatting>
  <conditionalFormatting sqref="I10:J30">
    <cfRule type="cellIs" dxfId="209" priority="13" operator="lessThan">
      <formula>97.9</formula>
    </cfRule>
  </conditionalFormatting>
  <conditionalFormatting sqref="J33">
    <cfRule type="cellIs" dxfId="208" priority="55" operator="lessThan">
      <formula>97.95</formula>
    </cfRule>
  </conditionalFormatting>
  <conditionalFormatting sqref="J35">
    <cfRule type="cellIs" dxfId="207" priority="130" stopIfTrue="1" operator="greaterThan">
      <formula>100</formula>
    </cfRule>
    <cfRule type="cellIs" dxfId="206" priority="131" operator="lessThan">
      <formula>98</formula>
    </cfRule>
    <cfRule type="cellIs" dxfId="205" priority="129" stopIfTrue="1" operator="lessThan">
      <formula>96.8</formula>
    </cfRule>
  </conditionalFormatting>
  <conditionalFormatting sqref="J35:J37">
    <cfRule type="cellIs" dxfId="204" priority="128" operator="lessThan">
      <formula>97.4</formula>
    </cfRule>
  </conditionalFormatting>
  <conditionalFormatting sqref="J38:J39">
    <cfRule type="cellIs" dxfId="203" priority="132" operator="lessThan">
      <formula>98</formula>
    </cfRule>
  </conditionalFormatting>
  <conditionalFormatting sqref="J40:J41">
    <cfRule type="cellIs" dxfId="202" priority="134" stopIfTrue="1" operator="greaterThan">
      <formula>100</formula>
    </cfRule>
    <cfRule type="cellIs" dxfId="201" priority="133" stopIfTrue="1" operator="lessThan">
      <formula>96.8</formula>
    </cfRule>
  </conditionalFormatting>
  <conditionalFormatting sqref="J40:J42">
    <cfRule type="cellIs" dxfId="200" priority="135" operator="lessThan">
      <formula>98</formula>
    </cfRule>
  </conditionalFormatting>
  <conditionalFormatting sqref="J71">
    <cfRule type="cellIs" dxfId="199" priority="77" stopIfTrue="1" operator="lessThanOrEqual">
      <formula>0</formula>
    </cfRule>
    <cfRule type="cellIs" dxfId="198" priority="76" stopIfTrue="1" operator="greaterThan">
      <formula>#REF!</formula>
    </cfRule>
    <cfRule type="cellIs" dxfId="197" priority="80" stopIfTrue="1" operator="greaterThan">
      <formula>#REF!</formula>
    </cfRule>
    <cfRule type="cellIs" dxfId="196" priority="78" stopIfTrue="1" operator="greaterThan">
      <formula>#REF!</formula>
    </cfRule>
    <cfRule type="cellIs" dxfId="195" priority="79" stopIfTrue="1" operator="lessThanOrEqual">
      <formula>0</formula>
    </cfRule>
    <cfRule type="cellIs" dxfId="194" priority="83" stopIfTrue="1" operator="lessThanOrEqual">
      <formula>0</formula>
    </cfRule>
    <cfRule type="cellIs" dxfId="193" priority="82" stopIfTrue="1" operator="greaterThan">
      <formula>#REF!</formula>
    </cfRule>
    <cfRule type="cellIs" dxfId="192" priority="81" stopIfTrue="1" operator="lessThanOrEqual">
      <formula>0</formula>
    </cfRule>
  </conditionalFormatting>
  <conditionalFormatting sqref="J84">
    <cfRule type="cellIs" dxfId="191" priority="41" stopIfTrue="1" operator="lessThanOrEqual">
      <formula>0</formula>
    </cfRule>
    <cfRule type="cellIs" dxfId="190" priority="40" stopIfTrue="1" operator="greaterThan">
      <formula>$F84</formula>
    </cfRule>
  </conditionalFormatting>
  <conditionalFormatting sqref="K10:K30">
    <cfRule type="cellIs" dxfId="189" priority="15" operator="lessThan">
      <formula>4</formula>
    </cfRule>
    <cfRule type="cellIs" dxfId="188" priority="14" operator="greaterThan">
      <formula>6</formula>
    </cfRule>
    <cfRule type="cellIs" dxfId="187" priority="16" operator="greaterThan">
      <formula>6.4</formula>
    </cfRule>
  </conditionalFormatting>
  <conditionalFormatting sqref="K62:K71">
    <cfRule type="cellIs" dxfId="186" priority="70" stopIfTrue="1" operator="lessThan">
      <formula>100%</formula>
    </cfRule>
  </conditionalFormatting>
  <conditionalFormatting sqref="K86:K91">
    <cfRule type="cellIs" dxfId="185" priority="158" stopIfTrue="1" operator="lessThan">
      <formula>100%</formula>
    </cfRule>
  </conditionalFormatting>
  <conditionalFormatting sqref="K93:K94">
    <cfRule type="cellIs" dxfId="184" priority="165" stopIfTrue="1" operator="lessThan">
      <formula>100%</formula>
    </cfRule>
  </conditionalFormatting>
  <conditionalFormatting sqref="K75:M83">
    <cfRule type="cellIs" dxfId="183" priority="25" stopIfTrue="1" operator="lessThan">
      <formula>100%</formula>
    </cfRule>
  </conditionalFormatting>
  <conditionalFormatting sqref="L10:L30">
    <cfRule type="cellIs" dxfId="182" priority="18" operator="greaterThan">
      <formula>65</formula>
    </cfRule>
    <cfRule type="cellIs" dxfId="181" priority="17" operator="between">
      <formula>61</formula>
      <formula>65</formula>
    </cfRule>
  </conditionalFormatting>
  <conditionalFormatting sqref="L33:M44">
    <cfRule type="cellIs" dxfId="180" priority="72" operator="lessThan">
      <formula>97.95</formula>
    </cfRule>
  </conditionalFormatting>
  <conditionalFormatting sqref="L84:M84">
    <cfRule type="cellIs" dxfId="179" priority="42" stopIfTrue="1" operator="lessThan">
      <formula>100%</formula>
    </cfRule>
  </conditionalFormatting>
  <conditionalFormatting sqref="L48:N48">
    <cfRule type="cellIs" dxfId="178" priority="73" operator="notEqual">
      <formula>#REF!</formula>
    </cfRule>
  </conditionalFormatting>
  <conditionalFormatting sqref="L86:N94">
    <cfRule type="cellIs" dxfId="177" priority="143" stopIfTrue="1" operator="lessThan">
      <formula>100%</formula>
    </cfRule>
  </conditionalFormatting>
  <conditionalFormatting sqref="M27">
    <cfRule type="expression" dxfId="176" priority="172">
      <formula>IF(+(IF(M27&lt;U26,0,IF(M27&gt;V26,0,1)))=0,1)</formula>
    </cfRule>
  </conditionalFormatting>
  <conditionalFormatting sqref="M28">
    <cfRule type="expression" dxfId="175" priority="23">
      <formula>IF(+(IF(M28&lt;U28,0,IF(M28&gt;V28,0,1)))=0,1)</formula>
    </cfRule>
  </conditionalFormatting>
  <conditionalFormatting sqref="M29:N30">
    <cfRule type="expression" dxfId="174" priority="71">
      <formula>IF(+(IF(M29&lt;#REF!,0,IF(M29&gt;#REF!,0,1)))=0,1)</formula>
    </cfRule>
  </conditionalFormatting>
  <conditionalFormatting sqref="N10:N25">
    <cfRule type="expression" dxfId="173" priority="1">
      <formula>IF(+(IF(N10&lt;W10,0,IF(N10&gt;X10,0,1)))=0,1)</formula>
    </cfRule>
    <cfRule type="expression" dxfId="172" priority="2">
      <formula>IF(+(IF(N10&lt;#REF!,0,IF(N10&gt;#REF!,0,1)))=0,1)</formula>
    </cfRule>
  </conditionalFormatting>
  <conditionalFormatting sqref="N27">
    <cfRule type="expression" dxfId="171" priority="173">
      <formula>IF(+(IF(N27&lt;W26,0,IF(N27&gt;X26,0,1)))=0,1)</formula>
    </cfRule>
  </conditionalFormatting>
  <conditionalFormatting sqref="N28">
    <cfRule type="expression" dxfId="170" priority="22">
      <formula>IF(+(IF(N28&lt;W28,0,IF(N28&gt;X28,0,1)))=0,1)</formula>
    </cfRule>
  </conditionalFormatting>
  <conditionalFormatting sqref="N75:N84">
    <cfRule type="cellIs" dxfId="169" priority="54" stopIfTrue="1" operator="lessThan">
      <formula>100%</formula>
    </cfRule>
  </conditionalFormatting>
  <conditionalFormatting sqref="P6">
    <cfRule type="cellIs" dxfId="168" priority="139" operator="greaterThanOrEqual">
      <formula>19</formula>
    </cfRule>
  </conditionalFormatting>
  <dataValidations count="1">
    <dataValidation type="list" allowBlank="1" showInputMessage="1" showErrorMessage="1" sqref="R8" xr:uid="{C622718A-BAB9-4621-983E-681182C83AC2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8" max="16383" man="1"/>
  </rowBreaks>
  <colBreaks count="1" manualBreakCount="1">
    <brk id="15" max="89" man="1"/>
  </colBreaks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7629-915D-4E41-9F2B-D6DE8EF77BF3}">
  <sheetPr>
    <pageSetUpPr fitToPage="1"/>
  </sheetPr>
  <dimension ref="A1:BE83"/>
  <sheetViews>
    <sheetView tabSelected="1" topLeftCell="B33" zoomScale="70" zoomScaleNormal="70" workbookViewId="0">
      <selection activeCell="P70" sqref="P70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9.42578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4" t="s">
        <v>0</v>
      </c>
      <c r="T1" s="494"/>
      <c r="U1" s="494" t="s">
        <v>1</v>
      </c>
      <c r="V1" s="494"/>
      <c r="W1" s="494" t="s">
        <v>2</v>
      </c>
      <c r="X1" s="494"/>
      <c r="Y1" s="494" t="s">
        <v>124</v>
      </c>
      <c r="Z1" s="494"/>
    </row>
    <row r="2" spans="2:29" ht="15">
      <c r="B2" s="495" t="s">
        <v>3</v>
      </c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46113</v>
      </c>
      <c r="J4" s="398" t="s">
        <v>167</v>
      </c>
      <c r="K4" s="398"/>
      <c r="L4" s="11"/>
      <c r="M4" s="492" t="s">
        <v>8</v>
      </c>
      <c r="N4" s="493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8"/>
      <c r="D5" s="498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9" t="s">
        <v>17</v>
      </c>
      <c r="C8" s="501" t="s">
        <v>18</v>
      </c>
      <c r="D8" s="501" t="s">
        <v>19</v>
      </c>
      <c r="E8" s="356" t="s">
        <v>20</v>
      </c>
      <c r="F8" s="356" t="s">
        <v>21</v>
      </c>
      <c r="G8" s="501" t="s">
        <v>22</v>
      </c>
      <c r="H8" s="502" t="s">
        <v>144</v>
      </c>
      <c r="I8" s="501" t="s">
        <v>165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169</v>
      </c>
      <c r="O8" s="510" t="s">
        <v>155</v>
      </c>
      <c r="P8" s="496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0"/>
      <c r="C9" s="497"/>
      <c r="D9" s="497"/>
      <c r="E9" s="357" t="s">
        <v>30</v>
      </c>
      <c r="F9" s="357" t="s">
        <v>31</v>
      </c>
      <c r="G9" s="497"/>
      <c r="H9" s="503"/>
      <c r="I9" s="497"/>
      <c r="J9" s="505"/>
      <c r="K9" s="507"/>
      <c r="L9" s="509"/>
      <c r="M9" s="20" t="s">
        <v>32</v>
      </c>
      <c r="N9" s="21" t="s">
        <v>41</v>
      </c>
      <c r="O9" s="511"/>
      <c r="P9" s="497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33" t="s">
        <v>9</v>
      </c>
      <c r="C10" s="366" t="str">
        <f>[3]Brewhouse!$A173</f>
        <v>ST121</v>
      </c>
      <c r="D10" s="279">
        <f>[3]Brewhouse!$AB173</f>
        <v>53</v>
      </c>
      <c r="E10" s="279">
        <f>[3]Brewhouse!$AG173</f>
        <v>50</v>
      </c>
      <c r="F10" s="278">
        <f>[3]Brewhouse!$V173</f>
        <v>56</v>
      </c>
      <c r="G10" s="279">
        <f>[3]Brewhouse!$AE173</f>
        <v>11.9</v>
      </c>
      <c r="H10" s="396">
        <v>12.01</v>
      </c>
      <c r="I10" s="368">
        <f>[3]Brewhouse!$AS173</f>
        <v>99.987853202533756</v>
      </c>
      <c r="J10" s="368">
        <f>[3]Brewhouse!$AT173</f>
        <v>100.77153601851514</v>
      </c>
      <c r="K10" s="281">
        <f>[3]Brewhouse!$Q173</f>
        <v>11.462264150943389</v>
      </c>
      <c r="L10" s="276">
        <f>[3]Brewhouse!$P173</f>
        <v>60</v>
      </c>
      <c r="M10" s="374">
        <f>[3]Brewhouse!$U173-[3]Brewhouse!$T173</f>
        <v>0.11250000000000004</v>
      </c>
      <c r="N10" s="370">
        <f>[3]Brewhouse!$AW173</f>
        <v>0.24583333333333335</v>
      </c>
      <c r="O10" s="371" t="str">
        <f>[3]Brewhouse!$AV173</f>
        <v>K. Benjamin</v>
      </c>
      <c r="P10" s="418"/>
      <c r="R10" s="277" t="str">
        <f t="shared" ref="R10:R43" si="0">B10</f>
        <v>STAG</v>
      </c>
      <c r="S10" s="472">
        <f t="shared" ref="S10:S43" si="1">VLOOKUP($B10,$R$3:$X$9,2,FALSE)</f>
        <v>11.6</v>
      </c>
      <c r="T10" s="472">
        <f t="shared" ref="T10:T43" si="2">VLOOKUP($B10,$R$3:$X$9,3,FALSE)</f>
        <v>12</v>
      </c>
      <c r="U10" s="297">
        <f t="shared" ref="U10:U43" si="3">VLOOKUP($B10,$R$3:$X$9,4,FALSE)</f>
        <v>0</v>
      </c>
      <c r="V10" s="297">
        <f t="shared" ref="V10:V43" si="4">VLOOKUP($B10,$R$3:$X$9,5,FALSE)</f>
        <v>0.118055555555556</v>
      </c>
      <c r="W10" s="297">
        <f t="shared" ref="W10:W43" si="5">VLOOKUP($B10,$R$3:$X$9,6,FALSE)</f>
        <v>0.22569444444444445</v>
      </c>
      <c r="X10" s="297">
        <f t="shared" ref="X10:X43" si="6">VLOOKUP($B10,$R$3:$X$9,7,FALSE)</f>
        <v>0.2638888888888889</v>
      </c>
      <c r="Y10" s="297">
        <f t="shared" ref="Y10:Y43" si="7">VLOOKUP($B10,$R$3:$Z$9,8,FALSE)</f>
        <v>0</v>
      </c>
      <c r="Z10" s="472">
        <f t="shared" ref="Z10:Z43" si="8">VLOOKUP($B10,$R$3:$Z$9,9,FALSE)</f>
        <v>60</v>
      </c>
    </row>
    <row r="11" spans="2:29" ht="16.5" customHeight="1">
      <c r="B11" s="33" t="s">
        <v>9</v>
      </c>
      <c r="C11" s="366" t="str">
        <f>[3]Brewhouse!$A174</f>
        <v>ST122</v>
      </c>
      <c r="D11" s="279">
        <f>[3]Brewhouse!$AB174</f>
        <v>53</v>
      </c>
      <c r="E11" s="279">
        <f>[3]Brewhouse!$AG174</f>
        <v>50.5</v>
      </c>
      <c r="F11" s="278">
        <f>[3]Brewhouse!$V174</f>
        <v>57</v>
      </c>
      <c r="G11" s="279">
        <f>[3]Brewhouse!$AE174</f>
        <v>11.8</v>
      </c>
      <c r="H11" s="396">
        <v>11.8</v>
      </c>
      <c r="I11" s="368">
        <f>[3]Brewhouse!$AS174</f>
        <v>99.844431138440441</v>
      </c>
      <c r="J11" s="368">
        <f>[3]Brewhouse!$AT174</f>
        <v>100.6275053531178</v>
      </c>
      <c r="K11" s="281">
        <f>[3]Brewhouse!$Q174</f>
        <v>10.896226415094338</v>
      </c>
      <c r="L11" s="276">
        <f>[3]Brewhouse!$P174</f>
        <v>60</v>
      </c>
      <c r="M11" s="374">
        <f>[3]Brewhouse!$U174-[3]Brewhouse!$T174</f>
        <v>0.10833333333333334</v>
      </c>
      <c r="N11" s="370">
        <f>[3]Brewhouse!$AW174</f>
        <v>0.23680555555555555</v>
      </c>
      <c r="O11" s="371" t="str">
        <f>[3]Brewhouse!$AV174</f>
        <v>K. Benjamin</v>
      </c>
      <c r="P11" s="418"/>
      <c r="R11" s="277" t="str">
        <f t="shared" ref="R11:R24" si="9">B11</f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6.5" customHeight="1">
      <c r="B12" s="33" t="s">
        <v>9</v>
      </c>
      <c r="C12" s="366" t="str">
        <f>[3]Brewhouse!$A175</f>
        <v>ST123</v>
      </c>
      <c r="D12" s="279">
        <f>[3]Brewhouse!$AB175</f>
        <v>54.1</v>
      </c>
      <c r="E12" s="279">
        <f>[3]Brewhouse!$AG175</f>
        <v>50.7</v>
      </c>
      <c r="F12" s="278">
        <f>[3]Brewhouse!$V175</f>
        <v>57</v>
      </c>
      <c r="G12" s="279">
        <f>[3]Brewhouse!$AE175</f>
        <v>11.8</v>
      </c>
      <c r="H12" s="396">
        <v>11.7</v>
      </c>
      <c r="I12" s="368">
        <f>[3]Brewhouse!$AS175</f>
        <v>99.739560847146265</v>
      </c>
      <c r="J12" s="368">
        <f>[3]Brewhouse!$AT175</f>
        <v>100.52283481084572</v>
      </c>
      <c r="K12" s="281">
        <f>[3]Brewhouse!$Q175</f>
        <v>13.447319778188538</v>
      </c>
      <c r="L12" s="276">
        <f>[3]Brewhouse!$P175</f>
        <v>61</v>
      </c>
      <c r="M12" s="374">
        <f>[3]Brewhouse!$U175-[3]Brewhouse!$T175</f>
        <v>0.11180555555555555</v>
      </c>
      <c r="N12" s="370">
        <f>[3]Brewhouse!$AW175</f>
        <v>0.24583333333333335</v>
      </c>
      <c r="O12" s="371" t="str">
        <f>[3]Brewhouse!$AV175</f>
        <v>R. Regis</v>
      </c>
      <c r="P12" s="418"/>
      <c r="R12" s="277" t="str">
        <f t="shared" si="9"/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6.5" customHeight="1">
      <c r="B13" s="33" t="s">
        <v>9</v>
      </c>
      <c r="C13" s="366" t="str">
        <f>[3]Brewhouse!$A176</f>
        <v>ST124</v>
      </c>
      <c r="D13" s="279">
        <f>[3]Brewhouse!$AB176</f>
        <v>54.1</v>
      </c>
      <c r="E13" s="279">
        <f>[3]Brewhouse!$AG176</f>
        <v>50.4</v>
      </c>
      <c r="F13" s="278">
        <f>[3]Brewhouse!$V176</f>
        <v>60</v>
      </c>
      <c r="G13" s="279">
        <f>[3]Brewhouse!$AE176</f>
        <v>11.8</v>
      </c>
      <c r="H13" s="396">
        <v>11.8</v>
      </c>
      <c r="I13" s="368">
        <f>[3]Brewhouse!$AS176</f>
        <v>99.897261798186378</v>
      </c>
      <c r="J13" s="368">
        <f>[3]Brewhouse!$AT176</f>
        <v>100.68023457865256</v>
      </c>
      <c r="K13" s="281">
        <f>[3]Brewhouse!$Q176</f>
        <v>12.338262476894633</v>
      </c>
      <c r="L13" s="276">
        <f>[3]Brewhouse!$P176</f>
        <v>61</v>
      </c>
      <c r="M13" s="374">
        <f>[3]Brewhouse!$U176-[3]Brewhouse!$T176</f>
        <v>0.10902777777777778</v>
      </c>
      <c r="N13" s="370">
        <f>[3]Brewhouse!$AW176</f>
        <v>0.25486111111111115</v>
      </c>
      <c r="O13" s="371" t="str">
        <f>[3]Brewhouse!$AV176</f>
        <v>R. Regis</v>
      </c>
      <c r="P13" s="418"/>
      <c r="R13" s="277" t="str">
        <f t="shared" si="9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6.5" customHeight="1">
      <c r="B14" s="33" t="s">
        <v>9</v>
      </c>
      <c r="C14" s="366" t="str">
        <f>[3]Brewhouse!$A177</f>
        <v>ST125</v>
      </c>
      <c r="D14" s="279">
        <f>[3]Brewhouse!$AB177</f>
        <v>53.1</v>
      </c>
      <c r="E14" s="279">
        <f>[3]Brewhouse!$AG177</f>
        <v>49.5</v>
      </c>
      <c r="F14" s="278">
        <f>[3]Brewhouse!$V177</f>
        <v>56</v>
      </c>
      <c r="G14" s="279">
        <f>[3]Brewhouse!$AE177</f>
        <v>11.8</v>
      </c>
      <c r="H14" s="396">
        <v>11.8</v>
      </c>
      <c r="I14" s="368">
        <f>[3]Brewhouse!$AS177</f>
        <v>97.867313690154518</v>
      </c>
      <c r="J14" s="368">
        <f>[3]Brewhouse!$AT177</f>
        <v>98.634881484739239</v>
      </c>
      <c r="K14" s="281">
        <f>[3]Brewhouse!$Q177</f>
        <v>13.323917137476466</v>
      </c>
      <c r="L14" s="276">
        <f>[3]Brewhouse!$P177</f>
        <v>61</v>
      </c>
      <c r="M14" s="374">
        <f>[3]Brewhouse!$U177-[3]Brewhouse!$T177</f>
        <v>0.11111111111111116</v>
      </c>
      <c r="N14" s="370">
        <f>[3]Brewhouse!$AW177</f>
        <v>0.25416666666666665</v>
      </c>
      <c r="O14" s="371" t="str">
        <f>[3]Brewhouse!$AV177</f>
        <v>R. Regis</v>
      </c>
      <c r="P14" s="418"/>
      <c r="R14" s="277" t="str">
        <f t="shared" si="9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6.5" customHeight="1">
      <c r="B15" s="33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371"/>
      <c r="P15" s="418"/>
      <c r="R15" s="277">
        <f t="shared" si="9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6.5" customHeight="1">
      <c r="B16" s="29" t="s">
        <v>6</v>
      </c>
      <c r="C16" s="366" t="str">
        <f>[4]Brewhouse!$A286</f>
        <v>CA243</v>
      </c>
      <c r="D16" s="279">
        <f>[4]Brewhouse!$AF286</f>
        <v>50.5</v>
      </c>
      <c r="E16" s="279">
        <f>[4]Brewhouse!$AI286</f>
        <v>49</v>
      </c>
      <c r="F16" s="278">
        <f>[4]Brewhouse!$V286</f>
        <v>56</v>
      </c>
      <c r="G16" s="279">
        <f>[4]Brewhouse!AG286</f>
        <v>11.9</v>
      </c>
      <c r="H16" s="396"/>
      <c r="I16" s="368">
        <f>[4]Brewhouse!$AU286</f>
        <v>95.960980995714607</v>
      </c>
      <c r="J16" s="368">
        <f>[4]Brewhouse!$AV286</f>
        <v>96.863532615273257</v>
      </c>
      <c r="K16" s="281">
        <f>[4]Brewhouse!$Q286</f>
        <v>8.7245841035120115</v>
      </c>
      <c r="L16" s="276">
        <f>[4]Brewhouse!$P286</f>
        <v>57</v>
      </c>
      <c r="M16" s="397">
        <f>[4]Brewhouse!$U286-[4]Brewhouse!$T286</f>
        <v>0.10972222222222217</v>
      </c>
      <c r="N16" s="370">
        <f>[4]Brewhouse!$Z286</f>
        <v>0.24513888888888891</v>
      </c>
      <c r="O16" s="420" t="str">
        <f>[4]Brewhouse!$AX286</f>
        <v>R.Sookram</v>
      </c>
      <c r="P16" s="418"/>
      <c r="R16" s="277" t="str">
        <f t="shared" si="9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6.5" customHeight="1">
      <c r="B17" s="29" t="s">
        <v>6</v>
      </c>
      <c r="C17" s="366" t="str">
        <f>[4]Brewhouse!$A287</f>
        <v>CA244</v>
      </c>
      <c r="D17" s="279">
        <f>[4]Brewhouse!$AF287</f>
        <v>51.8</v>
      </c>
      <c r="E17" s="279">
        <f>[4]Brewhouse!$AI287</f>
        <v>51.6</v>
      </c>
      <c r="F17" s="278">
        <f>[4]Brewhouse!$V287</f>
        <v>65</v>
      </c>
      <c r="G17" s="279">
        <f>[4]Brewhouse!AG287</f>
        <v>11.7</v>
      </c>
      <c r="H17" s="396"/>
      <c r="I17" s="368">
        <f>[4]Brewhouse!$AU287</f>
        <v>98.780662674884439</v>
      </c>
      <c r="J17" s="368">
        <f>[4]Brewhouse!$AV287</f>
        <v>99.709974149869879</v>
      </c>
      <c r="K17" s="281">
        <f>[4]Brewhouse!$Q287</f>
        <v>7.8003696857670963</v>
      </c>
      <c r="L17" s="276">
        <f>[4]Brewhouse!$P287</f>
        <v>57</v>
      </c>
      <c r="M17" s="397">
        <f>[4]Brewhouse!$U287-[4]Brewhouse!$T287</f>
        <v>0.10902777777777772</v>
      </c>
      <c r="N17" s="370">
        <f>[4]Brewhouse!$Z287</f>
        <v>0.25486111111111109</v>
      </c>
      <c r="O17" s="420" t="str">
        <f>[4]Brewhouse!$AX287</f>
        <v>R.Sookram</v>
      </c>
      <c r="P17" s="418"/>
      <c r="R17" s="277" t="str">
        <f t="shared" si="9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6.5" customHeight="1">
      <c r="B18" s="29" t="s">
        <v>6</v>
      </c>
      <c r="C18" s="366" t="str">
        <f>[4]Brewhouse!$A288</f>
        <v>CA245</v>
      </c>
      <c r="D18" s="279">
        <f>[4]Brewhouse!$AF288</f>
        <v>50.4</v>
      </c>
      <c r="E18" s="279">
        <f>[4]Brewhouse!$AI288</f>
        <v>49.2</v>
      </c>
      <c r="F18" s="278">
        <f>[4]Brewhouse!$V288</f>
        <v>66</v>
      </c>
      <c r="G18" s="279">
        <f>[4]Brewhouse!AG288</f>
        <v>12</v>
      </c>
      <c r="H18" s="396"/>
      <c r="I18" s="368">
        <f>[4]Brewhouse!$AU288</f>
        <v>97.564314880534255</v>
      </c>
      <c r="J18" s="368">
        <f>[4]Brewhouse!$AV288</f>
        <v>98.481767466983399</v>
      </c>
      <c r="K18" s="281">
        <f>[4]Brewhouse!$Q288</f>
        <v>9.6487985212569285</v>
      </c>
      <c r="L18" s="276">
        <f>[4]Brewhouse!$P288</f>
        <v>58</v>
      </c>
      <c r="M18" s="397">
        <f>[4]Brewhouse!$U288-[4]Brewhouse!$T288</f>
        <v>0.10833333333333328</v>
      </c>
      <c r="N18" s="370">
        <f>[4]Brewhouse!$Z288</f>
        <v>0.26111111111111107</v>
      </c>
      <c r="O18" s="420" t="str">
        <f>[4]Brewhouse!$AX288</f>
        <v>R.Sookram</v>
      </c>
      <c r="P18" s="418"/>
      <c r="R18" s="277" t="str">
        <f t="shared" si="9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1:26" ht="16.5" customHeight="1">
      <c r="B19" s="29" t="s">
        <v>6</v>
      </c>
      <c r="C19" s="366" t="str">
        <f>[4]Brewhouse!$A289</f>
        <v>CA246</v>
      </c>
      <c r="D19" s="279">
        <f>[4]Brewhouse!$AF289</f>
        <v>51.8</v>
      </c>
      <c r="E19" s="279">
        <f>[4]Brewhouse!$AI289</f>
        <v>51.6</v>
      </c>
      <c r="F19" s="278">
        <f>[4]Brewhouse!$V289</f>
        <v>61</v>
      </c>
      <c r="G19" s="279">
        <f>[4]Brewhouse!AG289</f>
        <v>11.6</v>
      </c>
      <c r="H19" s="396"/>
      <c r="I19" s="368">
        <f>[4]Brewhouse!$AU289</f>
        <v>98.861130500688475</v>
      </c>
      <c r="J19" s="368">
        <f>[4]Brewhouse!$AV289</f>
        <v>99.790717009845579</v>
      </c>
      <c r="K19" s="281">
        <f>[4]Brewhouse!$Q289</f>
        <v>10.203327171903888</v>
      </c>
      <c r="L19" s="276">
        <f>[4]Brewhouse!$P289</f>
        <v>60</v>
      </c>
      <c r="M19" s="397">
        <f>[4]Brewhouse!$U289-[4]Brewhouse!$T289</f>
        <v>0.11527777777777781</v>
      </c>
      <c r="N19" s="370">
        <f>[4]Brewhouse!$Z289</f>
        <v>0.25625000000000009</v>
      </c>
      <c r="O19" s="420" t="str">
        <f>[4]Brewhouse!$AX289</f>
        <v>R.Sookram</v>
      </c>
      <c r="P19" s="418"/>
      <c r="R19" s="277" t="str">
        <f t="shared" si="9"/>
        <v>CARIB</v>
      </c>
      <c r="S19" s="472">
        <f t="shared" si="1"/>
        <v>11.6</v>
      </c>
      <c r="T19" s="472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472">
        <f t="shared" si="8"/>
        <v>60</v>
      </c>
    </row>
    <row r="20" spans="1:26" ht="16.5" customHeight="1">
      <c r="B20" s="29" t="s">
        <v>6</v>
      </c>
      <c r="C20" s="366" t="str">
        <f>[4]Brewhouse!$A290</f>
        <v>CA247</v>
      </c>
      <c r="D20" s="279">
        <f>[4]Brewhouse!$AF290</f>
        <v>51.3</v>
      </c>
      <c r="E20" s="279">
        <f>[4]Brewhouse!$AI290</f>
        <v>50.3</v>
      </c>
      <c r="F20" s="278">
        <f>[4]Brewhouse!$V290</f>
        <v>53</v>
      </c>
      <c r="G20" s="279">
        <f>[4]Brewhouse!AG290</f>
        <v>12</v>
      </c>
      <c r="H20" s="396"/>
      <c r="I20" s="368">
        <f>[4]Brewhouse!$AU290</f>
        <v>99.745630863635611</v>
      </c>
      <c r="J20" s="368">
        <f>[4]Brewhouse!$AV290</f>
        <v>100.6835956014078</v>
      </c>
      <c r="K20" s="281">
        <f>[4]Brewhouse!$Q290</f>
        <v>7.0740740740740744</v>
      </c>
      <c r="L20" s="276">
        <f>[4]Brewhouse!$P290</f>
        <v>59</v>
      </c>
      <c r="M20" s="397">
        <f>[4]Brewhouse!$U290-[4]Brewhouse!$T290</f>
        <v>0.10277777777777786</v>
      </c>
      <c r="N20" s="370">
        <f>[4]Brewhouse!$Z290</f>
        <v>0.23750000000000004</v>
      </c>
      <c r="O20" s="420" t="str">
        <f>[4]Brewhouse!$AX290</f>
        <v>K. Benjamin</v>
      </c>
      <c r="P20" s="418"/>
      <c r="R20" s="277" t="str">
        <f t="shared" si="9"/>
        <v>CARIB</v>
      </c>
      <c r="S20" s="472">
        <f t="shared" si="1"/>
        <v>11.6</v>
      </c>
      <c r="T20" s="472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472">
        <f t="shared" si="8"/>
        <v>60</v>
      </c>
    </row>
    <row r="21" spans="1:26" ht="16.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6.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6.5" hidden="1" customHeight="1">
      <c r="B23" s="33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371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6.5" hidden="1" customHeight="1">
      <c r="B24" s="33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371"/>
      <c r="P24" s="418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6.5" hidden="1" customHeight="1">
      <c r="B25" s="33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74"/>
      <c r="N25" s="370"/>
      <c r="O25" s="371"/>
      <c r="P25" s="418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6.5" hidden="1" customHeight="1">
      <c r="B26" s="22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74"/>
      <c r="N26" s="370"/>
      <c r="O26" s="371"/>
      <c r="P26" s="418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5" hidden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74"/>
      <c r="N27" s="370"/>
      <c r="O27" s="371"/>
      <c r="P27" s="418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8" hidden="1" customHeight="1">
      <c r="B28" s="29"/>
      <c r="C28" s="366"/>
      <c r="D28" s="279"/>
      <c r="E28" s="279"/>
      <c r="F28" s="278"/>
      <c r="G28" s="279"/>
      <c r="H28" s="487"/>
      <c r="I28" s="368"/>
      <c r="J28" s="368"/>
      <c r="K28" s="281"/>
      <c r="L28" s="276"/>
      <c r="M28" s="374"/>
      <c r="N28" s="370"/>
      <c r="O28" s="371"/>
      <c r="P28" s="418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6.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418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5.75" customHeight="1" thickBot="1">
      <c r="B30" s="358"/>
      <c r="C30" s="358"/>
      <c r="D30" s="358"/>
      <c r="E30" s="358"/>
      <c r="F30" s="294"/>
      <c r="G30" s="294"/>
      <c r="H30" s="348"/>
      <c r="I30" s="512"/>
      <c r="J30" s="512"/>
      <c r="K30" s="512"/>
      <c r="L30" s="512"/>
      <c r="M30" s="512"/>
      <c r="N30" s="512"/>
      <c r="O30" s="1"/>
      <c r="P30" s="12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5.75" customHeight="1" thickBot="1">
      <c r="B31" s="388" t="s">
        <v>162</v>
      </c>
      <c r="C31" s="388"/>
      <c r="D31" s="513" t="s">
        <v>35</v>
      </c>
      <c r="E31" s="514"/>
      <c r="F31" s="294"/>
      <c r="G31" s="294"/>
      <c r="H31" s="348"/>
      <c r="I31" s="24" t="s">
        <v>17</v>
      </c>
      <c r="J31" s="25"/>
      <c r="K31" s="26" t="s">
        <v>138</v>
      </c>
      <c r="L31" s="25" t="s">
        <v>37</v>
      </c>
      <c r="M31" s="25" t="s">
        <v>38</v>
      </c>
      <c r="N31" s="27" t="s">
        <v>39</v>
      </c>
      <c r="O31" s="294"/>
      <c r="P31" s="12"/>
      <c r="R31" s="277" t="str">
        <f t="shared" si="0"/>
        <v xml:space="preserve">BRAND 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5" customHeight="1">
      <c r="A32" s="28"/>
      <c r="B32" s="515"/>
      <c r="C32" s="362"/>
      <c r="D32" s="518"/>
      <c r="E32" s="519"/>
      <c r="F32" s="294"/>
      <c r="G32" s="294"/>
      <c r="H32" s="348"/>
      <c r="I32" s="29" t="s">
        <v>6</v>
      </c>
      <c r="J32" s="323">
        <f>AVERAGE(I16:I20)</f>
        <v>98.182543983091477</v>
      </c>
      <c r="K32" s="284">
        <f>COUNTA([4]Brewhouse!$A$198:$A$290)</f>
        <v>93</v>
      </c>
      <c r="L32" s="305">
        <f>AVERAGE([4]Brewhouse!$AU$198:$AU$290)</f>
        <v>98.314731054901742</v>
      </c>
      <c r="M32" s="305">
        <f>AVERAGE([4]Brewhouse!$AU$42:$AU$123,[4]Brewhouse!$AU$125:$AU$188,[4]Brewhouse!$AU$198:$AU$290)</f>
        <v>97.875886970104347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27" ht="15" customHeight="1">
      <c r="A33" s="28"/>
      <c r="B33" s="516"/>
      <c r="C33" s="362"/>
      <c r="D33" s="520"/>
      <c r="E33" s="521"/>
      <c r="F33" s="294"/>
      <c r="G33" s="294"/>
      <c r="H33" s="348"/>
      <c r="I33" s="33" t="s">
        <v>9</v>
      </c>
      <c r="J33" s="280">
        <f>AVERAGE(I10:I14)</f>
        <v>99.46728413529226</v>
      </c>
      <c r="K33" s="284">
        <f>COUNTA([3]Brewhouse!$A$134:$A$177)</f>
        <v>44</v>
      </c>
      <c r="L33" s="302">
        <f>AVERAGE([3]Brewhouse!$AS$134:$AS$177)</f>
        <v>98.618699043994994</v>
      </c>
      <c r="M33" s="302">
        <f>AVERAGE([3]Brewhouse!$AS$52:$AS$81,[3]Brewhouse!$AS$83:$AS$124,[3]Brewhouse!$AS$134:$AS$177)</f>
        <v>98.431196212769251</v>
      </c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27" ht="14.65" customHeight="1">
      <c r="A34" s="28"/>
      <c r="B34" s="516"/>
      <c r="C34" s="362"/>
      <c r="D34" s="522"/>
      <c r="E34" s="523"/>
      <c r="F34" s="294"/>
      <c r="G34" s="294"/>
      <c r="H34" s="348"/>
      <c r="I34" s="34" t="s">
        <v>12</v>
      </c>
      <c r="J34" s="280"/>
      <c r="K34" s="284">
        <f>COUNTA([5]Brewhouse!$A$34:$A$41)</f>
        <v>8</v>
      </c>
      <c r="L34" s="302">
        <f>AVERAGE([5]Brewhouse!$AU$34:$AU$41)</f>
        <v>94.762610859726223</v>
      </c>
      <c r="M34" s="302">
        <f>AVERAGE([5]Brewhouse!$AU$16:$AU$23,[5]Brewhouse!$AU$25:$AU$32,[5]Brewhouse!$AU$34:$AU$41)</f>
        <v>97.131453825415363</v>
      </c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27" ht="14.65" customHeight="1">
      <c r="A35" s="28"/>
      <c r="B35" s="516"/>
      <c r="C35" s="362"/>
      <c r="D35" s="524"/>
      <c r="E35" s="521"/>
      <c r="F35" s="294"/>
      <c r="G35" s="294"/>
      <c r="H35" s="348"/>
      <c r="I35" s="22" t="s">
        <v>33</v>
      </c>
      <c r="J35" s="280"/>
      <c r="K35" s="284">
        <f>COUNTA([6]Brewhouse!$A$38:$A$52)</f>
        <v>15</v>
      </c>
      <c r="L35" s="302">
        <f>AVERAGE([6]Brewhouse!$AV$38:$AV$52)</f>
        <v>97.174244838041659</v>
      </c>
      <c r="M35" s="302">
        <f>AVERAGE([6]Brewhouse!$AV$23:$AV$34,[6]Brewhouse!$AV$36,[6]Brewhouse!$AV$38:$AV$52)</f>
        <v>97.639832259312456</v>
      </c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27" ht="14.65" customHeight="1">
      <c r="A36" s="28"/>
      <c r="B36" s="516"/>
      <c r="C36" s="362"/>
      <c r="D36" s="522"/>
      <c r="E36" s="523"/>
      <c r="F36" s="417"/>
      <c r="G36" s="294"/>
      <c r="H36" s="348"/>
      <c r="I36" s="35" t="s">
        <v>29</v>
      </c>
      <c r="J36" s="280"/>
      <c r="K36" s="284"/>
      <c r="L36" s="302"/>
      <c r="M36" s="302"/>
      <c r="N36" s="3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1:27" ht="14.65" customHeight="1">
      <c r="A37" s="28"/>
      <c r="B37" s="516"/>
      <c r="C37" s="362"/>
      <c r="D37" s="524"/>
      <c r="E37" s="521"/>
      <c r="F37" s="417"/>
      <c r="G37" s="294"/>
      <c r="H37" s="348"/>
      <c r="I37" s="36" t="s">
        <v>15</v>
      </c>
      <c r="J37" s="323"/>
      <c r="K37" s="284"/>
      <c r="L37" s="302"/>
      <c r="M37" s="302">
        <f>AVERAGE([7]Brewhouse!$AT$4:$AT$11)</f>
        <v>92.826224508052405</v>
      </c>
      <c r="N37" s="30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27" ht="14.65" customHeight="1">
      <c r="A38" s="28"/>
      <c r="B38" s="516"/>
      <c r="C38" s="362"/>
      <c r="D38" s="522"/>
      <c r="E38" s="523"/>
      <c r="F38" s="417"/>
      <c r="G38" s="294"/>
      <c r="H38" s="348"/>
      <c r="I38" s="37" t="s">
        <v>16</v>
      </c>
      <c r="J38" s="323"/>
      <c r="K38" s="284">
        <f>COUNTA([8]Brewhouse!$A$25:$A$42)</f>
        <v>18</v>
      </c>
      <c r="L38" s="302">
        <f>AVERAGE([8]Brewhouse!$AY$25:$AY$42)</f>
        <v>98.043958093356693</v>
      </c>
      <c r="M38" s="302">
        <f>AVERAGE([8]Brewhouse!$AY$5:$AY$14,[8]Brewhouse!$AY$16:$AY$23,[8]Brewhouse!$AY$25:$AY$42)</f>
        <v>97.668786632310656</v>
      </c>
      <c r="N38" s="30">
        <v>98</v>
      </c>
      <c r="O38" s="11"/>
      <c r="P38" s="31" t="s">
        <v>41</v>
      </c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27" ht="14.65" customHeight="1">
      <c r="A39" s="28"/>
      <c r="B39" s="516"/>
      <c r="C39" s="362"/>
      <c r="D39" s="524"/>
      <c r="E39" s="521"/>
      <c r="F39" s="294"/>
      <c r="G39" s="294"/>
      <c r="H39" s="348"/>
      <c r="I39" s="411" t="s">
        <v>158</v>
      </c>
      <c r="J39" s="326"/>
      <c r="K39" s="284"/>
      <c r="L39" s="305"/>
      <c r="M39" s="305"/>
      <c r="N39" s="30">
        <v>98</v>
      </c>
      <c r="O39" s="11"/>
      <c r="P39" s="31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  <c r="AA39" s="472"/>
    </row>
    <row r="40" spans="1:27" ht="14.65" customHeight="1">
      <c r="A40" s="28"/>
      <c r="B40" s="516"/>
      <c r="C40" s="349"/>
      <c r="D40" s="522"/>
      <c r="E40" s="523"/>
      <c r="F40" s="294"/>
      <c r="G40" s="294"/>
      <c r="H40" s="348"/>
      <c r="I40" s="410" t="s">
        <v>157</v>
      </c>
      <c r="J40" s="326"/>
      <c r="K40" s="284"/>
      <c r="L40" s="305"/>
      <c r="M40" s="305"/>
      <c r="N40" s="30">
        <v>98</v>
      </c>
      <c r="O40" s="11"/>
      <c r="P40" s="31"/>
      <c r="R40" s="277">
        <f t="shared" si="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  <c r="AA40" s="472"/>
    </row>
    <row r="41" spans="1:27" ht="15" customHeight="1" thickBot="1">
      <c r="A41" s="28"/>
      <c r="B41" s="516"/>
      <c r="C41" s="349"/>
      <c r="D41" s="524"/>
      <c r="E41" s="521"/>
      <c r="F41" s="294"/>
      <c r="G41" s="294"/>
      <c r="H41" s="348"/>
      <c r="I41" s="406" t="s">
        <v>156</v>
      </c>
      <c r="J41" s="327"/>
      <c r="K41" s="407"/>
      <c r="L41" s="408"/>
      <c r="M41" s="408"/>
      <c r="N41" s="409">
        <v>98</v>
      </c>
      <c r="O41" s="11"/>
      <c r="P41" s="31"/>
      <c r="R41" s="277">
        <f t="shared" si="0"/>
        <v>0</v>
      </c>
      <c r="S41" s="472" t="e">
        <f t="shared" si="1"/>
        <v>#N/A</v>
      </c>
      <c r="T41" s="472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2" t="e">
        <f t="shared" si="8"/>
        <v>#N/A</v>
      </c>
      <c r="AA41" s="472"/>
    </row>
    <row r="42" spans="1:27" ht="15" customHeight="1" thickBot="1">
      <c r="A42" s="28"/>
      <c r="B42" s="516"/>
      <c r="C42" s="349"/>
      <c r="D42" s="518"/>
      <c r="E42" s="519"/>
      <c r="F42" s="294"/>
      <c r="G42" s="294"/>
      <c r="H42" s="348"/>
      <c r="I42" s="1"/>
      <c r="J42" s="39"/>
      <c r="K42" s="404">
        <f>SUM(K32:K41)</f>
        <v>178</v>
      </c>
      <c r="L42" s="405">
        <f>((L32*K32)+(L33*K33)+(L34*K34)+(L35*K35)+(L36*K36)+(K39*L39)+(L37*K37)+(L38*K38)+(L41*K41))/(K42)</f>
        <v>98.106733433542104</v>
      </c>
      <c r="M42" s="405">
        <f>AVERAGE('[9]Jan30th-31st'!$L$42,L42)</f>
        <v>97.967387584691778</v>
      </c>
      <c r="N42" s="40">
        <v>98</v>
      </c>
      <c r="O42" s="11"/>
      <c r="P42" s="31"/>
      <c r="R42" s="277">
        <f t="shared" si="0"/>
        <v>0</v>
      </c>
      <c r="S42" s="472" t="e">
        <f t="shared" si="1"/>
        <v>#N/A</v>
      </c>
      <c r="T42" s="472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472" t="e">
        <f t="shared" si="8"/>
        <v>#N/A</v>
      </c>
      <c r="AA42" s="472"/>
    </row>
    <row r="43" spans="1:27" ht="15.75" thickBot="1">
      <c r="B43" s="517"/>
      <c r="C43" s="350"/>
      <c r="D43" s="520"/>
      <c r="E43" s="521"/>
      <c r="F43" s="294"/>
      <c r="G43" s="42"/>
      <c r="H43" s="41"/>
      <c r="I43" s="42"/>
      <c r="J43" s="42"/>
      <c r="K43" s="351"/>
      <c r="L43" s="348"/>
      <c r="M43" s="348"/>
      <c r="N43" s="11"/>
      <c r="O43" s="294"/>
      <c r="P43" s="12"/>
      <c r="R43" s="277">
        <f t="shared" si="0"/>
        <v>0</v>
      </c>
      <c r="S43" s="472" t="e">
        <f t="shared" si="1"/>
        <v>#N/A</v>
      </c>
      <c r="T43" s="472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472" t="e">
        <f t="shared" si="8"/>
        <v>#N/A</v>
      </c>
      <c r="AA43" s="472"/>
    </row>
    <row r="44" spans="1:27" ht="15.75" thickBot="1">
      <c r="B44" s="525"/>
      <c r="C44" s="362"/>
      <c r="D44" s="528"/>
      <c r="E44" s="529"/>
      <c r="F44" s="294"/>
      <c r="G44" s="42"/>
      <c r="H44" s="41"/>
      <c r="I44" s="42"/>
      <c r="J44" s="530" t="s">
        <v>129</v>
      </c>
      <c r="K44" s="530"/>
      <c r="L44" s="294"/>
      <c r="M44" s="294"/>
      <c r="N44" s="294"/>
      <c r="O44" s="294"/>
      <c r="P44" s="12"/>
    </row>
    <row r="45" spans="1:27" ht="15.75" thickBot="1">
      <c r="B45" s="526"/>
      <c r="C45" s="362"/>
      <c r="D45" s="524"/>
      <c r="E45" s="521"/>
      <c r="F45" s="294"/>
      <c r="G45" s="42"/>
      <c r="H45" s="42"/>
      <c r="I45" s="42"/>
      <c r="J45" s="292" t="s">
        <v>17</v>
      </c>
      <c r="K45" s="293" t="s">
        <v>172</v>
      </c>
      <c r="L45" s="531" t="s">
        <v>136</v>
      </c>
      <c r="M45" s="531"/>
      <c r="N45" s="532"/>
      <c r="O45" s="294"/>
      <c r="P45" s="12"/>
    </row>
    <row r="46" spans="1:27" ht="15" customHeight="1" thickBot="1">
      <c r="B46" s="526"/>
      <c r="C46" s="349"/>
      <c r="D46" s="522"/>
      <c r="E46" s="523"/>
      <c r="F46" s="294"/>
      <c r="G46" s="42"/>
      <c r="H46" s="42"/>
      <c r="I46" s="42"/>
      <c r="J46" s="287" t="s">
        <v>6</v>
      </c>
      <c r="K46" s="324">
        <v>5</v>
      </c>
      <c r="L46" s="473" t="s">
        <v>37</v>
      </c>
      <c r="M46" s="474" t="s">
        <v>38</v>
      </c>
      <c r="N46" s="474" t="s">
        <v>84</v>
      </c>
      <c r="O46" s="294"/>
      <c r="P46" s="12"/>
    </row>
    <row r="47" spans="1:27" ht="15.75" customHeight="1" thickBot="1">
      <c r="B47" s="526"/>
      <c r="C47" s="349"/>
      <c r="D47" s="524"/>
      <c r="E47" s="521"/>
      <c r="F47" s="294"/>
      <c r="G47" s="42"/>
      <c r="H47" s="42"/>
      <c r="I47" s="42"/>
      <c r="J47" s="345" t="s">
        <v>9</v>
      </c>
      <c r="K47" s="324">
        <v>5</v>
      </c>
      <c r="L47" s="344">
        <f>AVERAGE(K56,'Mar 2nd'!K49,'Mar 1st'!K55,'Mar 3rd'!K49,'Mar 4th'!K51,'Mar 5th'!K52,'Mar 6th '!K49,'Mar 9th'!K53,'Mar 10th'!K47,'Mar 11th'!K50,'Mar 12th'!K51,'Mar 13th-15th'!J73,'Mar 13th-15th'!I73,'Mar 16th'!K58,'Mar 18th'!K55,'Mar 19th'!K52,'Mar 20th -22nd'!I67,'Mar 20th -22nd'!J67,'Mar 20th -22nd'!K67,'Mar 23rd '!K67,'Mar 25th '!K57,'Mar 26th'!K46,'Mar 27th'!K42,'Mar 30th '!K57)</f>
        <v>7</v>
      </c>
      <c r="M47" s="325">
        <f>AVERAGE('[9]Jan30th-31st'!$L$47,L47,'[10]Feb 26th '!$L$39)</f>
        <v>6.3956521739130432</v>
      </c>
      <c r="N47" s="416">
        <v>9.1999999999999993</v>
      </c>
      <c r="O47" s="294"/>
      <c r="P47" s="12"/>
    </row>
    <row r="48" spans="1:27" ht="15" customHeight="1">
      <c r="B48" s="526"/>
      <c r="C48" s="349"/>
      <c r="D48" s="522"/>
      <c r="E48" s="523"/>
      <c r="F48" s="294"/>
      <c r="G48" s="42"/>
      <c r="H48" s="42"/>
      <c r="I48" s="42"/>
      <c r="J48" s="288" t="s">
        <v>40</v>
      </c>
      <c r="K48" s="324"/>
      <c r="L48" s="294"/>
      <c r="M48" s="294"/>
      <c r="N48" s="294"/>
      <c r="O48" s="294"/>
      <c r="P48" s="12"/>
    </row>
    <row r="49" spans="1:57" ht="15" customHeight="1">
      <c r="B49" s="526"/>
      <c r="C49" s="349"/>
      <c r="D49" s="524"/>
      <c r="E49" s="521"/>
      <c r="F49" s="294"/>
      <c r="G49" s="42"/>
      <c r="H49" s="42"/>
      <c r="I49" s="42"/>
      <c r="J49" s="289" t="s">
        <v>33</v>
      </c>
      <c r="K49" s="324"/>
      <c r="L49" s="294"/>
      <c r="M49" s="294"/>
      <c r="N49" s="294"/>
      <c r="O49" s="294"/>
      <c r="P49" s="12"/>
    </row>
    <row r="50" spans="1:57" ht="15">
      <c r="B50" s="526"/>
      <c r="C50" s="349"/>
      <c r="D50" s="522"/>
      <c r="E50" s="523"/>
      <c r="F50" s="294"/>
      <c r="G50" s="42"/>
      <c r="H50" s="42"/>
      <c r="I50" s="42"/>
      <c r="J50" s="290" t="s">
        <v>16</v>
      </c>
      <c r="K50" s="324"/>
      <c r="L50" s="294"/>
      <c r="M50" s="294"/>
      <c r="N50" s="294"/>
      <c r="O50" s="294"/>
      <c r="P50" s="12"/>
      <c r="BC50" s="44"/>
      <c r="BD50" s="44"/>
    </row>
    <row r="51" spans="1:57" ht="15">
      <c r="B51" s="526"/>
      <c r="C51" s="349"/>
      <c r="D51" s="524"/>
      <c r="E51" s="521"/>
      <c r="F51" s="294"/>
      <c r="G51" s="42"/>
      <c r="H51" s="42"/>
      <c r="I51" s="42"/>
      <c r="J51" s="291" t="s">
        <v>15</v>
      </c>
      <c r="K51" s="324"/>
      <c r="L51" s="294"/>
      <c r="M51" s="294"/>
      <c r="N51" s="294"/>
      <c r="O51" s="294"/>
      <c r="P51" s="12"/>
      <c r="BC51" s="44"/>
      <c r="BD51" s="44"/>
    </row>
    <row r="52" spans="1:57" ht="15">
      <c r="B52" s="526"/>
      <c r="C52" s="349"/>
      <c r="D52" s="522"/>
      <c r="E52" s="523"/>
      <c r="F52" s="294"/>
      <c r="G52" s="42"/>
      <c r="H52" s="42"/>
      <c r="I52" s="42"/>
      <c r="J52" s="291" t="s">
        <v>149</v>
      </c>
      <c r="K52" s="324"/>
      <c r="L52" s="294"/>
      <c r="M52" s="294"/>
      <c r="N52" s="294"/>
      <c r="O52" s="294"/>
      <c r="P52" s="12"/>
      <c r="BC52" s="44"/>
      <c r="BD52" s="44"/>
    </row>
    <row r="53" spans="1:57" ht="15.75" thickBot="1">
      <c r="B53" s="527"/>
      <c r="C53" s="350"/>
      <c r="D53" s="533"/>
      <c r="E53" s="534"/>
      <c r="F53" s="294" t="s">
        <v>166</v>
      </c>
      <c r="G53" s="42"/>
      <c r="H53" s="42"/>
      <c r="I53" s="42"/>
      <c r="J53" s="291" t="s">
        <v>148</v>
      </c>
      <c r="K53" s="324"/>
      <c r="L53" s="294"/>
      <c r="M53" s="294"/>
      <c r="N53" s="294" t="s">
        <v>41</v>
      </c>
      <c r="O53" s="294"/>
      <c r="P53" s="12"/>
      <c r="BC53" s="44"/>
      <c r="BD53" s="44"/>
    </row>
    <row r="54" spans="1:57" ht="17.649999999999999" customHeight="1" thickBot="1">
      <c r="B54" s="312" t="s">
        <v>139</v>
      </c>
      <c r="C54" s="313"/>
      <c r="D54" s="535"/>
      <c r="E54" s="536"/>
      <c r="F54" s="294"/>
      <c r="J54" s="295" t="s">
        <v>134</v>
      </c>
      <c r="K54" s="324"/>
      <c r="L54" s="294"/>
      <c r="M54" s="294"/>
      <c r="N54" s="294"/>
      <c r="O54" s="294"/>
      <c r="P54" s="12"/>
      <c r="BC54" s="44"/>
      <c r="BD54" s="44"/>
    </row>
    <row r="55" spans="1:57" ht="17.649999999999999" customHeight="1">
      <c r="B55" s="363"/>
      <c r="C55" s="364"/>
      <c r="D55" s="365"/>
      <c r="E55" s="365"/>
      <c r="F55" s="294"/>
      <c r="G55" s="42"/>
      <c r="H55" s="42"/>
      <c r="I55" s="42"/>
      <c r="J55" s="295" t="s">
        <v>131</v>
      </c>
      <c r="K55" s="324"/>
      <c r="L55" s="294"/>
      <c r="M55" s="294"/>
      <c r="N55" s="294"/>
      <c r="O55" s="294"/>
      <c r="P55" s="12"/>
      <c r="BC55" s="44"/>
      <c r="BD55" s="44"/>
    </row>
    <row r="56" spans="1:57" ht="15.6" customHeight="1">
      <c r="B56" s="45"/>
      <c r="C56" s="11"/>
      <c r="D56" s="11"/>
      <c r="E56" s="46"/>
      <c r="F56" s="294"/>
      <c r="G56" s="42"/>
      <c r="H56" s="42"/>
      <c r="I56" s="42"/>
      <c r="J56" s="346" t="s">
        <v>130</v>
      </c>
      <c r="K56" s="324">
        <f>SUM(K46:K55)</f>
        <v>10</v>
      </c>
      <c r="L56" s="294"/>
      <c r="M56" s="294"/>
      <c r="N56" s="294"/>
      <c r="O56" s="294"/>
      <c r="P56" s="12"/>
    </row>
    <row r="57" spans="1:57" ht="20.25" customHeight="1">
      <c r="B57" s="15" t="s">
        <v>42</v>
      </c>
      <c r="C57" s="1" t="s">
        <v>43</v>
      </c>
      <c r="D57" s="1"/>
      <c r="E57" s="1"/>
      <c r="F57" s="294"/>
      <c r="G57" s="42"/>
      <c r="H57" s="41"/>
      <c r="I57" s="42"/>
      <c r="L57" s="294"/>
      <c r="N57" s="315"/>
      <c r="P57" s="334"/>
    </row>
    <row r="58" spans="1:57" ht="15" customHeight="1" thickBot="1"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1"/>
      <c r="O58" s="48"/>
      <c r="P58" s="49"/>
    </row>
    <row r="59" spans="1:57" ht="15" customHeight="1" thickBot="1">
      <c r="B59" s="537" t="s">
        <v>17</v>
      </c>
      <c r="C59" s="537" t="s">
        <v>44</v>
      </c>
      <c r="D59" s="540" t="s">
        <v>45</v>
      </c>
      <c r="E59" s="501" t="s">
        <v>46</v>
      </c>
      <c r="F59" s="510" t="s">
        <v>47</v>
      </c>
      <c r="G59" s="549" t="s">
        <v>48</v>
      </c>
      <c r="H59" s="537" t="s">
        <v>49</v>
      </c>
      <c r="I59" s="537" t="s">
        <v>50</v>
      </c>
      <c r="J59" s="543" t="s">
        <v>28</v>
      </c>
      <c r="K59" s="499" t="s">
        <v>51</v>
      </c>
      <c r="L59" s="552" t="s">
        <v>52</v>
      </c>
      <c r="M59" s="543" t="s">
        <v>53</v>
      </c>
      <c r="N59" s="13"/>
      <c r="O59" s="13"/>
      <c r="P59" s="50"/>
    </row>
    <row r="60" spans="1:57" ht="28.5" customHeight="1" thickTop="1" thickBot="1">
      <c r="B60" s="538"/>
      <c r="C60" s="539"/>
      <c r="D60" s="541"/>
      <c r="E60" s="542"/>
      <c r="F60" s="554"/>
      <c r="G60" s="550"/>
      <c r="H60" s="538"/>
      <c r="I60" s="538"/>
      <c r="J60" s="544"/>
      <c r="K60" s="551"/>
      <c r="L60" s="553"/>
      <c r="M60" s="544"/>
      <c r="N60" s="13"/>
      <c r="O60" s="13"/>
      <c r="P60" s="50"/>
      <c r="Q60" s="355"/>
      <c r="AB60" s="475">
        <v>43474</v>
      </c>
      <c r="AC60" s="475">
        <v>43475</v>
      </c>
      <c r="AD60" s="475">
        <v>43476</v>
      </c>
      <c r="AE60" s="475">
        <v>43477</v>
      </c>
      <c r="AF60" s="475">
        <v>43478</v>
      </c>
      <c r="AG60" s="475">
        <v>43479</v>
      </c>
      <c r="AH60" s="475">
        <v>43480</v>
      </c>
      <c r="AI60" s="475">
        <v>43481</v>
      </c>
      <c r="AJ60" s="475">
        <v>43482</v>
      </c>
      <c r="AK60" s="475">
        <v>43483</v>
      </c>
      <c r="AL60" s="475">
        <v>43484</v>
      </c>
      <c r="AM60" s="475">
        <v>43485</v>
      </c>
      <c r="AN60" s="475">
        <v>43486</v>
      </c>
      <c r="AO60" s="475">
        <v>43487</v>
      </c>
      <c r="AP60" s="475">
        <v>43488</v>
      </c>
      <c r="AQ60" s="475">
        <v>43489</v>
      </c>
      <c r="AR60" s="475">
        <v>43490</v>
      </c>
      <c r="AS60" s="475">
        <v>43491</v>
      </c>
      <c r="AT60" s="475">
        <v>43492</v>
      </c>
      <c r="AU60" s="475">
        <v>43493</v>
      </c>
      <c r="AV60" s="475">
        <v>43494</v>
      </c>
      <c r="AW60" s="475">
        <v>43495</v>
      </c>
      <c r="AX60" s="475">
        <v>43496</v>
      </c>
    </row>
    <row r="61" spans="1:57" s="54" customFormat="1" ht="36.75" customHeight="1" thickBot="1">
      <c r="B61" s="485" t="str">
        <f>J49</f>
        <v>VITAMALT</v>
      </c>
      <c r="C61" s="479">
        <v>46112</v>
      </c>
      <c r="D61" s="442">
        <f>[11]March_2026!$AH$65</f>
        <v>383.20000000000005</v>
      </c>
      <c r="E61" s="443">
        <f>SUM([12]VITAMALT!$J$14:$J$21)</f>
        <v>16.399999999999999</v>
      </c>
      <c r="F61" s="444"/>
      <c r="G61" s="445">
        <f>[11]March_2026!$AH$70</f>
        <v>384.8</v>
      </c>
      <c r="H61" s="458"/>
      <c r="I61" s="458"/>
      <c r="J61" s="448" t="s">
        <v>171</v>
      </c>
      <c r="K61" s="449">
        <f>[13]March_2026!$AH$60</f>
        <v>0.6724561403508772</v>
      </c>
      <c r="L61" s="457">
        <f>(((D61+E61)-G61)/(D61+E61))*100</f>
        <v>3.7037037037037064</v>
      </c>
      <c r="M61" s="455" t="s">
        <v>173</v>
      </c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>
        <f>[14]January_2019!L5</f>
        <v>0</v>
      </c>
      <c r="AC61" s="57">
        <f>[14]January_2019!M5</f>
        <v>0</v>
      </c>
      <c r="AD61" s="57">
        <f>[14]January_2019!N5</f>
        <v>0</v>
      </c>
      <c r="AE61" s="57">
        <f>[14]January_2019!O5</f>
        <v>0</v>
      </c>
      <c r="AF61" s="57">
        <f>[14]January_2019!P5</f>
        <v>0</v>
      </c>
      <c r="AG61" s="57">
        <f>[14]January_2019!Q5</f>
        <v>0</v>
      </c>
      <c r="AH61" s="57">
        <f>[14]January_2019!R5</f>
        <v>0</v>
      </c>
      <c r="AI61" s="57">
        <f>[14]January_2019!S5</f>
        <v>0</v>
      </c>
      <c r="AJ61" s="57">
        <f>[14]January_2019!T5</f>
        <v>0</v>
      </c>
      <c r="AK61" s="57">
        <f>[14]January_2019!U5</f>
        <v>0</v>
      </c>
      <c r="AL61" s="57">
        <f>[14]January_2019!V5</f>
        <v>0</v>
      </c>
      <c r="AM61" s="57">
        <f>[14]January_2019!W5</f>
        <v>0</v>
      </c>
      <c r="AN61" s="57">
        <f>[14]January_2019!X5</f>
        <v>0</v>
      </c>
      <c r="AO61" s="57">
        <f>[14]January_2019!Y5</f>
        <v>0</v>
      </c>
      <c r="AP61" s="57">
        <f>[14]January_2019!Z5</f>
        <v>0</v>
      </c>
      <c r="AQ61" s="57">
        <f>[14]January_2019!AA5</f>
        <v>0</v>
      </c>
      <c r="AR61" s="57">
        <f>[14]January_2019!AB5</f>
        <v>0</v>
      </c>
      <c r="AS61" s="57">
        <f>[14]January_2019!AC5</f>
        <v>0</v>
      </c>
      <c r="AT61" s="57">
        <f>[14]January_2019!AD5</f>
        <v>0</v>
      </c>
      <c r="AU61" s="57">
        <f>[14]January_2019!AE5</f>
        <v>0</v>
      </c>
      <c r="AV61" s="57">
        <f>[14]January_2019!AF5</f>
        <v>0</v>
      </c>
      <c r="AW61" s="57">
        <f>[14]January_2019!AG5</f>
        <v>0</v>
      </c>
      <c r="AX61" s="277">
        <f>[14]January_2019!AH5</f>
        <v>0</v>
      </c>
      <c r="AY61" s="277"/>
      <c r="AZ61" s="277"/>
      <c r="BA61" s="277"/>
      <c r="BB61" s="277"/>
      <c r="BC61" s="277"/>
      <c r="BD61" s="277"/>
      <c r="BE61" s="277"/>
    </row>
    <row r="62" spans="1:57" s="54" customFormat="1" ht="14.25" customHeight="1" thickBot="1">
      <c r="B62" s="480"/>
      <c r="C62" s="479"/>
      <c r="D62" s="442"/>
      <c r="E62" s="443"/>
      <c r="F62" s="444"/>
      <c r="G62" s="445"/>
      <c r="H62" s="458"/>
      <c r="I62" s="458"/>
      <c r="J62" s="476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>
        <f>[14]January_2019!L6</f>
        <v>0</v>
      </c>
      <c r="AC62" s="57">
        <f>[14]January_2019!M6</f>
        <v>0</v>
      </c>
      <c r="AD62" s="57">
        <f>[14]January_2019!N6</f>
        <v>0</v>
      </c>
      <c r="AE62" s="57">
        <f>[14]January_2019!O6</f>
        <v>0</v>
      </c>
      <c r="AF62" s="57">
        <f>[14]January_2019!P6</f>
        <v>0</v>
      </c>
      <c r="AG62" s="57">
        <f>[14]January_2019!Q6</f>
        <v>0</v>
      </c>
      <c r="AH62" s="57">
        <f>[14]January_2019!R6</f>
        <v>0</v>
      </c>
      <c r="AI62" s="57">
        <f>[14]January_2019!S6</f>
        <v>0</v>
      </c>
      <c r="AJ62" s="57">
        <f>[14]January_2019!T6</f>
        <v>0</v>
      </c>
      <c r="AK62" s="57">
        <f>[14]January_2019!U6</f>
        <v>0</v>
      </c>
      <c r="AL62" s="57">
        <f>[14]January_2019!V6</f>
        <v>0</v>
      </c>
      <c r="AM62" s="57">
        <f>[14]January_2019!W6</f>
        <v>0</v>
      </c>
      <c r="AN62" s="57">
        <f>[14]January_2019!X6</f>
        <v>0</v>
      </c>
      <c r="AO62" s="57">
        <f>[14]January_2019!Y6</f>
        <v>0</v>
      </c>
      <c r="AP62" s="57">
        <f>[14]January_2019!Z6</f>
        <v>0</v>
      </c>
      <c r="AQ62" s="57">
        <f>[14]January_2019!AA6</f>
        <v>0</v>
      </c>
      <c r="AR62" s="57">
        <f>[14]January_2019!AB6</f>
        <v>0</v>
      </c>
      <c r="AS62" s="57">
        <f>[14]January_2019!AC6</f>
        <v>0</v>
      </c>
      <c r="AT62" s="57">
        <f>[14]January_2019!AD6</f>
        <v>0</v>
      </c>
      <c r="AU62" s="57">
        <f>[14]January_2019!AE6</f>
        <v>0</v>
      </c>
      <c r="AV62" s="57">
        <f>[14]January_2019!AF6</f>
        <v>0</v>
      </c>
      <c r="AW62" s="57">
        <f>[14]January_2019!AG6</f>
        <v>0</v>
      </c>
      <c r="AX62" s="277">
        <f>[14]January_2019!AH6</f>
        <v>0</v>
      </c>
      <c r="AY62" s="277"/>
      <c r="AZ62" s="277"/>
      <c r="BA62" s="277"/>
      <c r="BB62" s="277"/>
      <c r="BC62" s="277"/>
      <c r="BD62" s="277"/>
      <c r="BE62" s="277"/>
    </row>
    <row r="63" spans="1:57" s="54" customFormat="1" ht="37.15" hidden="1" customHeight="1" thickBot="1">
      <c r="A63" s="54" t="s">
        <v>168</v>
      </c>
      <c r="B63" s="480"/>
      <c r="C63" s="479"/>
      <c r="D63" s="442"/>
      <c r="E63" s="443"/>
      <c r="F63" s="444"/>
      <c r="G63" s="445"/>
      <c r="H63" s="458"/>
      <c r="I63" s="458"/>
      <c r="J63" s="448"/>
      <c r="K63" s="449"/>
      <c r="L63" s="457"/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>
        <f>[14]January_2019!L7</f>
        <v>285.8</v>
      </c>
      <c r="AC63" s="57">
        <f>[14]January_2019!M7</f>
        <v>508.1</v>
      </c>
      <c r="AD63" s="57">
        <f>[14]January_2019!N7</f>
        <v>0</v>
      </c>
      <c r="AE63" s="57">
        <f>[14]January_2019!O7</f>
        <v>0</v>
      </c>
      <c r="AF63" s="57">
        <f>[14]January_2019!P7</f>
        <v>109.56666666666666</v>
      </c>
      <c r="AG63" s="57">
        <f>[14]January_2019!Q7</f>
        <v>297.64999999999998</v>
      </c>
      <c r="AH63" s="57">
        <f>[14]January_2019!R7</f>
        <v>122.3</v>
      </c>
      <c r="AI63" s="57">
        <f>[14]January_2019!S7</f>
        <v>0</v>
      </c>
      <c r="AJ63" s="57">
        <f>[14]January_2019!T7</f>
        <v>294.7</v>
      </c>
      <c r="AK63" s="57">
        <f>[14]January_2019!U7</f>
        <v>280.5</v>
      </c>
      <c r="AL63" s="57">
        <f>[14]January_2019!V7</f>
        <v>0</v>
      </c>
      <c r="AM63" s="57">
        <f>[14]January_2019!W7</f>
        <v>0</v>
      </c>
      <c r="AN63" s="57">
        <f>[14]January_2019!X7</f>
        <v>188.25</v>
      </c>
      <c r="AO63" s="57">
        <f>[14]January_2019!Y7</f>
        <v>295.7</v>
      </c>
      <c r="AP63" s="57">
        <f>[14]January_2019!Z7</f>
        <v>257.8</v>
      </c>
      <c r="AQ63" s="57">
        <f>[14]January_2019!AA7</f>
        <v>291.2</v>
      </c>
      <c r="AR63" s="57">
        <f>[14]January_2019!AB7</f>
        <v>187</v>
      </c>
      <c r="AS63" s="57">
        <f>[14]January_2019!AC7</f>
        <v>0</v>
      </c>
      <c r="AT63" s="57">
        <f>[14]January_2019!AD7</f>
        <v>0</v>
      </c>
      <c r="AU63" s="57">
        <f>[14]January_2019!AE7</f>
        <v>485.1</v>
      </c>
      <c r="AV63" s="57">
        <f>[14]January_2019!AF7</f>
        <v>171.55</v>
      </c>
      <c r="AW63" s="57">
        <f>[14]January_2019!AG7</f>
        <v>423.8</v>
      </c>
      <c r="AX63" s="277">
        <f>[14]January_2019!AH7</f>
        <v>0</v>
      </c>
      <c r="AY63" s="277"/>
      <c r="AZ63" s="277"/>
      <c r="BA63" s="277"/>
      <c r="BB63" s="277"/>
      <c r="BC63" s="277"/>
      <c r="BD63" s="277"/>
      <c r="BE63" s="277"/>
    </row>
    <row r="64" spans="1:57" s="54" customFormat="1" ht="19.5" hidden="1" customHeight="1" thickBot="1">
      <c r="B64" s="478"/>
      <c r="C64" s="430"/>
      <c r="D64" s="431"/>
      <c r="E64" s="432"/>
      <c r="F64" s="433"/>
      <c r="G64" s="434"/>
      <c r="H64" s="458"/>
      <c r="I64" s="458"/>
      <c r="J64" s="451"/>
      <c r="K64" s="436"/>
      <c r="L64" s="452"/>
      <c r="M64" s="421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8.450000000000003" hidden="1" customHeight="1" thickBot="1">
      <c r="B65" s="480"/>
      <c r="C65" s="479"/>
      <c r="D65" s="442"/>
      <c r="E65" s="443"/>
      <c r="F65" s="444"/>
      <c r="G65" s="445"/>
      <c r="H65" s="458"/>
      <c r="I65" s="458"/>
      <c r="J65" s="448" t="s">
        <v>171</v>
      </c>
      <c r="K65" s="459"/>
      <c r="L65" s="457" t="e">
        <f>(((D65+E65)-G65)/(D65+E65))*100</f>
        <v>#DIV/0!</v>
      </c>
      <c r="M65" s="455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15" hidden="1">
      <c r="B66" s="453"/>
      <c r="C66" s="430"/>
      <c r="D66" s="431"/>
      <c r="E66" s="432"/>
      <c r="F66" s="433"/>
      <c r="G66" s="434"/>
      <c r="H66" s="435"/>
      <c r="I66" s="450"/>
      <c r="J66" s="451"/>
      <c r="K66" s="436"/>
      <c r="L66" s="452"/>
      <c r="M66" s="421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37.15" hidden="1" customHeight="1" thickBot="1">
      <c r="B67" s="480"/>
      <c r="C67" s="479"/>
      <c r="D67" s="442"/>
      <c r="E67" s="443"/>
      <c r="F67" s="444"/>
      <c r="G67" s="445"/>
      <c r="H67" s="446"/>
      <c r="I67" s="447"/>
      <c r="J67" s="448"/>
      <c r="K67" s="449"/>
      <c r="L67" s="457"/>
      <c r="M67" s="455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16.5" hidden="1" customHeight="1" thickBot="1">
      <c r="B68" s="437"/>
      <c r="C68" s="423"/>
      <c r="D68" s="424"/>
      <c r="E68" s="425"/>
      <c r="F68" s="426"/>
      <c r="G68" s="427"/>
      <c r="H68" s="428"/>
      <c r="I68" s="438"/>
      <c r="J68" s="439"/>
      <c r="K68" s="429"/>
      <c r="L68" s="440"/>
      <c r="M68" s="422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415"/>
      <c r="AC68" s="415"/>
      <c r="AD68" s="415"/>
      <c r="AE68" s="415"/>
      <c r="AF68" s="415"/>
      <c r="AG68" s="415"/>
      <c r="AH68" s="415"/>
      <c r="AI68" s="415"/>
      <c r="AJ68" s="415"/>
      <c r="AK68" s="415"/>
      <c r="AL68" s="415"/>
      <c r="AM68" s="415"/>
      <c r="AN68" s="415"/>
      <c r="AO68" s="415"/>
      <c r="AP68" s="415"/>
      <c r="AQ68" s="415"/>
      <c r="AR68" s="415"/>
      <c r="AS68" s="415"/>
      <c r="AT68" s="415"/>
      <c r="AU68" s="415"/>
      <c r="AV68" s="415"/>
      <c r="AW68" s="415"/>
    </row>
    <row r="69" spans="2:57" s="54" customFormat="1" ht="37.15" hidden="1" customHeight="1" thickBot="1">
      <c r="B69" s="456"/>
      <c r="C69" s="441"/>
      <c r="D69" s="442"/>
      <c r="E69" s="443"/>
      <c r="F69" s="444"/>
      <c r="G69" s="445"/>
      <c r="H69" s="446"/>
      <c r="I69" s="447"/>
      <c r="J69" s="448"/>
      <c r="K69" s="449"/>
      <c r="L69" s="457"/>
      <c r="M69" s="454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2:57" s="54" customFormat="1" ht="37.15" customHeight="1">
      <c r="B70" s="466"/>
      <c r="C70" s="430"/>
      <c r="D70" s="460"/>
      <c r="E70" s="461"/>
      <c r="F70" s="462"/>
      <c r="G70" s="460"/>
      <c r="H70" s="463"/>
      <c r="I70" s="463"/>
      <c r="J70" s="463"/>
      <c r="K70" s="464"/>
      <c r="L70" s="465"/>
      <c r="M70" s="50"/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277"/>
      <c r="AY70" s="277"/>
      <c r="AZ70" s="277"/>
      <c r="BA70" s="277"/>
      <c r="BB70" s="277"/>
      <c r="BC70" s="277"/>
      <c r="BD70" s="277"/>
      <c r="BE70" s="277"/>
    </row>
    <row r="71" spans="2:57" ht="18" customHeight="1" thickBot="1">
      <c r="B71" s="59"/>
      <c r="C71" s="30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 t="s">
        <v>41</v>
      </c>
      <c r="O71" s="56"/>
      <c r="P71" s="60"/>
    </row>
    <row r="72" spans="2:57" ht="15.75" thickBot="1">
      <c r="B72" s="545" t="s">
        <v>55</v>
      </c>
      <c r="C72" s="546"/>
      <c r="D72" s="546"/>
      <c r="E72" s="546"/>
      <c r="F72" s="547"/>
      <c r="G72" s="545" t="s">
        <v>56</v>
      </c>
      <c r="H72" s="546"/>
      <c r="I72" s="546"/>
      <c r="J72" s="547"/>
      <c r="K72" s="545" t="s">
        <v>51</v>
      </c>
      <c r="L72" s="546"/>
      <c r="M72" s="546"/>
      <c r="N72" s="548"/>
      <c r="O72" s="56"/>
      <c r="P72" s="50"/>
    </row>
    <row r="73" spans="2:57" ht="15">
      <c r="B73" s="61" t="s">
        <v>17</v>
      </c>
      <c r="C73" s="62" t="s">
        <v>36</v>
      </c>
      <c r="D73" s="62" t="s">
        <v>37</v>
      </c>
      <c r="E73" s="62" t="s">
        <v>38</v>
      </c>
      <c r="F73" s="63" t="s">
        <v>39</v>
      </c>
      <c r="G73" s="62" t="s">
        <v>36</v>
      </c>
      <c r="H73" s="62" t="s">
        <v>37</v>
      </c>
      <c r="I73" s="62" t="s">
        <v>38</v>
      </c>
      <c r="J73" s="63" t="s">
        <v>39</v>
      </c>
      <c r="K73" s="62"/>
      <c r="L73" s="62" t="s">
        <v>37</v>
      </c>
      <c r="M73" s="62" t="s">
        <v>38</v>
      </c>
      <c r="N73" s="63" t="s">
        <v>39</v>
      </c>
      <c r="O73" s="56"/>
      <c r="P73" s="64"/>
    </row>
    <row r="74" spans="2:57" ht="15">
      <c r="B74" s="29" t="s">
        <v>6</v>
      </c>
      <c r="C74" s="282"/>
      <c r="D74" s="76">
        <v>6.1050400020190425</v>
      </c>
      <c r="E74" s="76">
        <v>6.8559119177728194</v>
      </c>
      <c r="F74" s="66">
        <v>4.8</v>
      </c>
      <c r="G74" s="65"/>
      <c r="H74" s="477">
        <v>5.5217383997308911</v>
      </c>
      <c r="I74" s="477">
        <v>6.7376293998803778</v>
      </c>
      <c r="J74" s="66">
        <v>4.8</v>
      </c>
      <c r="K74" s="67"/>
      <c r="L74" s="194">
        <v>0.52819256474519627</v>
      </c>
      <c r="M74" s="194">
        <v>0.42797963091682517</v>
      </c>
      <c r="N74" s="68">
        <v>1</v>
      </c>
      <c r="O74" s="56"/>
      <c r="P74" s="69"/>
    </row>
    <row r="75" spans="2:57" ht="15">
      <c r="B75" s="33" t="s">
        <v>9</v>
      </c>
      <c r="C75" s="65"/>
      <c r="D75" s="76">
        <v>6.49747008272427</v>
      </c>
      <c r="E75" s="76">
        <v>6.3411334413966323</v>
      </c>
      <c r="F75" s="66">
        <v>4.8</v>
      </c>
      <c r="G75" s="65"/>
      <c r="H75" s="76">
        <v>5.8363193922358541</v>
      </c>
      <c r="I75" s="76">
        <v>6.0615758973702238</v>
      </c>
      <c r="J75" s="66">
        <v>4.8</v>
      </c>
      <c r="K75" s="67"/>
      <c r="L75" s="194">
        <v>0.86557894736842111</v>
      </c>
      <c r="M75" s="194">
        <v>0.66474567163482645</v>
      </c>
      <c r="N75" s="68">
        <v>1</v>
      </c>
      <c r="P75" s="69"/>
    </row>
    <row r="76" spans="2:57" ht="15">
      <c r="B76" s="34" t="s">
        <v>40</v>
      </c>
      <c r="C76" s="65"/>
      <c r="D76" s="76">
        <v>12.325063613231535</v>
      </c>
      <c r="E76" s="76">
        <v>12.380135651360408</v>
      </c>
      <c r="F76" s="66">
        <v>5.5</v>
      </c>
      <c r="G76" s="491"/>
      <c r="H76" s="76">
        <v>15.281764896752891</v>
      </c>
      <c r="I76" s="76">
        <v>13.955538676690328</v>
      </c>
      <c r="J76" s="66">
        <v>5.5</v>
      </c>
      <c r="K76" s="67"/>
      <c r="L76" s="194">
        <v>0.22788596491228072</v>
      </c>
      <c r="M76" s="194">
        <v>0.29450526315789471</v>
      </c>
      <c r="N76" s="68">
        <v>1</v>
      </c>
      <c r="P76" s="69"/>
    </row>
    <row r="77" spans="2:57" ht="15">
      <c r="B77" s="22" t="s">
        <v>33</v>
      </c>
      <c r="C77" s="65">
        <f>L61</f>
        <v>3.7037037037037064</v>
      </c>
      <c r="D77" s="76">
        <v>4.2388966215361119</v>
      </c>
      <c r="E77" s="76">
        <v>4.601418358346991</v>
      </c>
      <c r="F77" s="66">
        <v>3.3</v>
      </c>
      <c r="G77" s="65">
        <f>[11]March_2026!$AH$74</f>
        <v>2.7658067756316966</v>
      </c>
      <c r="H77" s="76">
        <v>4.0944502235806484</v>
      </c>
      <c r="I77" s="76">
        <v>4.3274739720788533</v>
      </c>
      <c r="J77" s="66">
        <v>3.3</v>
      </c>
      <c r="K77" s="67">
        <f>K61</f>
        <v>0.6724561403508772</v>
      </c>
      <c r="L77" s="194">
        <v>0.98885964912280699</v>
      </c>
      <c r="M77" s="194">
        <v>0.82859649122807022</v>
      </c>
      <c r="N77" s="68">
        <v>1</v>
      </c>
      <c r="P77" s="69"/>
    </row>
    <row r="78" spans="2:57" ht="15">
      <c r="B78" s="35" t="s">
        <v>164</v>
      </c>
      <c r="C78" s="65"/>
      <c r="D78" s="76"/>
      <c r="E78" s="76"/>
      <c r="F78" s="66">
        <v>3.3</v>
      </c>
      <c r="G78" s="282"/>
      <c r="H78" s="76"/>
      <c r="I78" s="76"/>
      <c r="J78" s="66">
        <v>3</v>
      </c>
      <c r="K78" s="67"/>
      <c r="L78" s="194"/>
      <c r="M78" s="194"/>
      <c r="N78" s="68">
        <v>1</v>
      </c>
      <c r="P78" s="69"/>
    </row>
    <row r="79" spans="2:57" ht="15">
      <c r="B79" s="36" t="s">
        <v>15</v>
      </c>
      <c r="C79" s="65"/>
      <c r="D79" s="76"/>
      <c r="E79" s="76">
        <v>5.1105651105651271</v>
      </c>
      <c r="F79" s="70">
        <f>[15]May_2022!$M$43</f>
        <v>3.4878406700073312</v>
      </c>
      <c r="G79" s="282"/>
      <c r="H79" s="76"/>
      <c r="I79" s="76">
        <v>7.9131369535794072</v>
      </c>
      <c r="J79" s="66">
        <v>5.5</v>
      </c>
      <c r="K79" s="67"/>
      <c r="L79" s="194"/>
      <c r="M79" s="194">
        <v>1.3550877192982456</v>
      </c>
      <c r="N79" s="68">
        <v>1</v>
      </c>
      <c r="P79" s="69"/>
    </row>
    <row r="80" spans="2:57" ht="15">
      <c r="B80" s="37" t="s">
        <v>16</v>
      </c>
      <c r="C80" s="65"/>
      <c r="D80" s="76">
        <v>3.990890358963231</v>
      </c>
      <c r="E80" s="76">
        <v>3.9654240950837436</v>
      </c>
      <c r="F80" s="66">
        <v>3.3</v>
      </c>
      <c r="G80" s="282"/>
      <c r="H80" s="76">
        <v>5.2963377949109214</v>
      </c>
      <c r="I80" s="76">
        <v>5.0010391616318897</v>
      </c>
      <c r="J80" s="66">
        <v>3.3</v>
      </c>
      <c r="K80" s="67"/>
      <c r="L80" s="194">
        <v>1.0967836257309942</v>
      </c>
      <c r="M80" s="194">
        <v>0.93295906432748543</v>
      </c>
      <c r="N80" s="71">
        <v>1</v>
      </c>
      <c r="P80" s="69"/>
    </row>
    <row r="81" spans="2:16" ht="15.75" thickBot="1">
      <c r="B81" s="38" t="s">
        <v>163</v>
      </c>
      <c r="C81" s="65"/>
      <c r="D81" s="76"/>
      <c r="E81" s="76"/>
      <c r="F81" s="66">
        <v>7.5</v>
      </c>
      <c r="G81" s="282"/>
      <c r="H81" s="76"/>
      <c r="I81" s="76"/>
      <c r="J81" s="66">
        <v>7.5</v>
      </c>
      <c r="K81" s="67"/>
      <c r="L81" s="194"/>
      <c r="M81" s="194"/>
      <c r="N81" s="71">
        <v>1</v>
      </c>
      <c r="P81" s="69"/>
    </row>
    <row r="82" spans="2:16" ht="15.75" thickBot="1">
      <c r="B82" s="414" t="s">
        <v>161</v>
      </c>
      <c r="C82" s="65"/>
      <c r="D82" s="76"/>
      <c r="E82" s="76"/>
      <c r="F82" s="66">
        <v>4.8</v>
      </c>
      <c r="G82" s="282"/>
      <c r="H82" s="76"/>
      <c r="I82" s="76"/>
      <c r="J82" s="66">
        <v>4.8</v>
      </c>
      <c r="K82" s="67"/>
      <c r="L82" s="194"/>
      <c r="M82" s="194"/>
      <c r="N82" s="71">
        <v>1</v>
      </c>
      <c r="O82" s="74"/>
      <c r="P82" s="75"/>
    </row>
    <row r="83" spans="2:16" ht="15">
      <c r="D83" s="76">
        <v>6.2715353036833381</v>
      </c>
      <c r="E83" s="76">
        <v>6.6198470271930656</v>
      </c>
      <c r="F83" s="341">
        <v>5.5</v>
      </c>
      <c r="H83" s="76">
        <v>6.3768933747277767</v>
      </c>
      <c r="I83" s="76">
        <v>6.8021633509008002</v>
      </c>
      <c r="J83" s="341">
        <v>5.5</v>
      </c>
      <c r="L83" s="194">
        <v>0.67794661256315403</v>
      </c>
      <c r="M83" s="194">
        <v>0.52793870334751614</v>
      </c>
      <c r="N83" s="386">
        <v>1</v>
      </c>
    </row>
  </sheetData>
  <mergeCells count="51">
    <mergeCell ref="M59:M60"/>
    <mergeCell ref="B72:F72"/>
    <mergeCell ref="G72:J72"/>
    <mergeCell ref="K72:N72"/>
    <mergeCell ref="G59:G60"/>
    <mergeCell ref="H59:H60"/>
    <mergeCell ref="I59:I60"/>
    <mergeCell ref="J59:J60"/>
    <mergeCell ref="K59:K60"/>
    <mergeCell ref="L59:L60"/>
    <mergeCell ref="F59:F60"/>
    <mergeCell ref="D54:E54"/>
    <mergeCell ref="B59:B60"/>
    <mergeCell ref="C59:C60"/>
    <mergeCell ref="D59:D60"/>
    <mergeCell ref="E59:E60"/>
    <mergeCell ref="B44:B53"/>
    <mergeCell ref="D44:E45"/>
    <mergeCell ref="J44:K44"/>
    <mergeCell ref="L45:N45"/>
    <mergeCell ref="D46:E47"/>
    <mergeCell ref="D48:E49"/>
    <mergeCell ref="D50:E51"/>
    <mergeCell ref="D52:E53"/>
    <mergeCell ref="I30:N30"/>
    <mergeCell ref="D31:E31"/>
    <mergeCell ref="B32:B43"/>
    <mergeCell ref="D32:E33"/>
    <mergeCell ref="D34:E35"/>
    <mergeCell ref="D36:E37"/>
    <mergeCell ref="D38:E39"/>
    <mergeCell ref="D40:E41"/>
    <mergeCell ref="D42:E43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4:B55">
    <cfRule type="cellIs" dxfId="167" priority="77" operator="notBetween">
      <formula>#REF!</formula>
      <formula>#REF!</formula>
    </cfRule>
  </conditionalFormatting>
  <conditionalFormatting sqref="C58">
    <cfRule type="cellIs" dxfId="166" priority="171" stopIfTrue="1" operator="lessThan">
      <formula>96</formula>
    </cfRule>
    <cfRule type="cellIs" dxfId="165" priority="172" stopIfTrue="1" operator="greaterThan">
      <formula>100</formula>
    </cfRule>
  </conditionalFormatting>
  <conditionalFormatting sqref="C74:C78">
    <cfRule type="cellIs" dxfId="164" priority="140" stopIfTrue="1" operator="lessThanOrEqual">
      <formula>0</formula>
    </cfRule>
  </conditionalFormatting>
  <conditionalFormatting sqref="C74:C82">
    <cfRule type="cellIs" dxfId="163" priority="139" stopIfTrue="1" operator="greaterThan">
      <formula>$F74</formula>
    </cfRule>
  </conditionalFormatting>
  <conditionalFormatting sqref="C75">
    <cfRule type="cellIs" dxfId="162" priority="173" stopIfTrue="1" operator="greaterThan">
      <formula>$F74</formula>
    </cfRule>
  </conditionalFormatting>
  <conditionalFormatting sqref="C79">
    <cfRule type="cellIs" dxfId="161" priority="101" stopIfTrue="1" operator="lessThanOrEqual">
      <formula>0</formula>
    </cfRule>
    <cfRule type="cellIs" dxfId="160" priority="102" stopIfTrue="1" operator="greaterThan">
      <formula>$F78</formula>
    </cfRule>
  </conditionalFormatting>
  <conditionalFormatting sqref="C80:C82">
    <cfRule type="cellIs" dxfId="159" priority="141" stopIfTrue="1" operator="lessThanOrEqual">
      <formula>0</formula>
    </cfRule>
  </conditionalFormatting>
  <conditionalFormatting sqref="C85:C89">
    <cfRule type="cellIs" dxfId="158" priority="163" stopIfTrue="1" operator="lessThanOrEqual">
      <formula>0</formula>
    </cfRule>
  </conditionalFormatting>
  <conditionalFormatting sqref="C86:C89">
    <cfRule type="cellIs" dxfId="157" priority="162" stopIfTrue="1" operator="greaterThan">
      <formula>$F$85</formula>
    </cfRule>
  </conditionalFormatting>
  <conditionalFormatting sqref="C91">
    <cfRule type="cellIs" dxfId="156" priority="165" stopIfTrue="1" operator="lessThanOrEqual">
      <formula>0</formula>
    </cfRule>
    <cfRule type="cellIs" dxfId="155" priority="164" stopIfTrue="1" operator="greaterThan">
      <formula>$F$85</formula>
    </cfRule>
  </conditionalFormatting>
  <conditionalFormatting sqref="C85:D85 D87:D93">
    <cfRule type="cellIs" dxfId="154" priority="157" stopIfTrue="1" operator="greaterThan">
      <formula>4.5</formula>
    </cfRule>
  </conditionalFormatting>
  <conditionalFormatting sqref="D54:D55">
    <cfRule type="cellIs" dxfId="153" priority="78" operator="notBetween">
      <formula>#REF!</formula>
      <formula>#REF!</formula>
    </cfRule>
  </conditionalFormatting>
  <conditionalFormatting sqref="D74:D81">
    <cfRule type="cellIs" dxfId="152" priority="52" stopIfTrue="1" operator="lessThanOrEqual">
      <formula>0</formula>
    </cfRule>
  </conditionalFormatting>
  <conditionalFormatting sqref="D74:D83">
    <cfRule type="cellIs" dxfId="151" priority="31" stopIfTrue="1" operator="lessThanOrEqual">
      <formula>0</formula>
    </cfRule>
  </conditionalFormatting>
  <conditionalFormatting sqref="D82">
    <cfRule type="cellIs" dxfId="150" priority="51" stopIfTrue="1" operator="lessThanOrEqual">
      <formula>0</formula>
    </cfRule>
  </conditionalFormatting>
  <conditionalFormatting sqref="D83">
    <cfRule type="cellIs" dxfId="149" priority="46" stopIfTrue="1" operator="lessThanOrEqual">
      <formula>0</formula>
    </cfRule>
  </conditionalFormatting>
  <conditionalFormatting sqref="D85 D87:D93">
    <cfRule type="cellIs" dxfId="148" priority="158" stopIfTrue="1" operator="lessThanOrEqual">
      <formula>0</formula>
    </cfRule>
  </conditionalFormatting>
  <conditionalFormatting sqref="D86">
    <cfRule type="cellIs" dxfId="147" priority="150" stopIfTrue="1" operator="lessThanOrEqual">
      <formula>0</formula>
    </cfRule>
    <cfRule type="cellIs" dxfId="146" priority="149" stopIfTrue="1" operator="greaterThan">
      <formula>$F$85</formula>
    </cfRule>
  </conditionalFormatting>
  <conditionalFormatting sqref="D74:E83">
    <cfRule type="cellIs" dxfId="145" priority="33" stopIfTrue="1" operator="greaterThan">
      <formula>$F74</formula>
    </cfRule>
  </conditionalFormatting>
  <conditionalFormatting sqref="D83:E83">
    <cfRule type="cellIs" dxfId="144" priority="35" stopIfTrue="1" operator="lessThanOrEqual">
      <formula>0</formula>
    </cfRule>
  </conditionalFormatting>
  <conditionalFormatting sqref="E10:E29">
    <cfRule type="cellIs" dxfId="143" priority="7" operator="lessThan">
      <formula>48</formula>
    </cfRule>
  </conditionalFormatting>
  <conditionalFormatting sqref="E57 E58:F58">
    <cfRule type="cellIs" dxfId="142" priority="154" stopIfTrue="1" operator="greaterThan">
      <formula>100</formula>
    </cfRule>
  </conditionalFormatting>
  <conditionalFormatting sqref="E58">
    <cfRule type="cellIs" dxfId="141" priority="152" stopIfTrue="1" operator="greaterThan">
      <formula>100</formula>
    </cfRule>
    <cfRule type="cellIs" dxfId="140" priority="151" stopIfTrue="1" operator="lessThan">
      <formula>96.8</formula>
    </cfRule>
  </conditionalFormatting>
  <conditionalFormatting sqref="E74:E82">
    <cfRule type="cellIs" dxfId="139" priority="32" stopIfTrue="1" operator="lessThanOrEqual">
      <formula>0</formula>
    </cfRule>
  </conditionalFormatting>
  <conditionalFormatting sqref="E74:E83">
    <cfRule type="cellIs" dxfId="138" priority="34" stopIfTrue="1" operator="lessThanOrEqual">
      <formula>0</formula>
    </cfRule>
  </conditionalFormatting>
  <conditionalFormatting sqref="E85:E93">
    <cfRule type="cellIs" dxfId="137" priority="144" stopIfTrue="1" operator="lessThanOrEqual">
      <formula>0</formula>
    </cfRule>
    <cfRule type="cellIs" dxfId="136" priority="143" stopIfTrue="1" operator="greaterThan">
      <formula>4.5</formula>
    </cfRule>
  </conditionalFormatting>
  <conditionalFormatting sqref="E58:F58 E57">
    <cfRule type="cellIs" dxfId="135" priority="153" stopIfTrue="1" operator="lessThan">
      <formula>96.5</formula>
    </cfRule>
  </conditionalFormatting>
  <conditionalFormatting sqref="F16:F22">
    <cfRule type="cellIs" dxfId="134" priority="12" operator="greaterThan">
      <formula>60</formula>
    </cfRule>
  </conditionalFormatting>
  <conditionalFormatting sqref="F26:F29">
    <cfRule type="cellIs" dxfId="133" priority="27" operator="greaterThan">
      <formula>60</formula>
    </cfRule>
  </conditionalFormatting>
  <conditionalFormatting sqref="F58">
    <cfRule type="cellIs" dxfId="132" priority="169" stopIfTrue="1" operator="lessThan">
      <formula>96.8</formula>
    </cfRule>
    <cfRule type="cellIs" dxfId="131" priority="170" stopIfTrue="1" operator="greaterThan">
      <formula>100</formula>
    </cfRule>
  </conditionalFormatting>
  <conditionalFormatting sqref="F83">
    <cfRule type="cellIs" dxfId="130" priority="49" stopIfTrue="1" operator="greaterThan">
      <formula>$F83</formula>
    </cfRule>
    <cfRule type="cellIs" dxfId="129" priority="50" stopIfTrue="1" operator="lessThanOrEqual">
      <formula>0</formula>
    </cfRule>
  </conditionalFormatting>
  <conditionalFormatting sqref="G16:G22">
    <cfRule type="expression" dxfId="128" priority="9">
      <formula>IF(+(IF(G16&lt;S16,0,IF(G16&gt;T16,0,1)))=0,1)</formula>
    </cfRule>
  </conditionalFormatting>
  <conditionalFormatting sqref="G26">
    <cfRule type="expression" dxfId="127" priority="174">
      <formula>IF(+(IF(G26&lt;S25,0,IF(G26&gt;T25,0,1)))=0,1)</formula>
    </cfRule>
  </conditionalFormatting>
  <conditionalFormatting sqref="G27:G29">
    <cfRule type="expression" dxfId="126" priority="24">
      <formula>IF(+(IF(G27&lt;S27,0,IF(G27&gt;T27,0,1)))=0,1)</formula>
    </cfRule>
  </conditionalFormatting>
  <conditionalFormatting sqref="G74:G75">
    <cfRule type="cellIs" dxfId="125" priority="48" stopIfTrue="1" operator="lessThanOrEqual">
      <formula>0</formula>
    </cfRule>
    <cfRule type="cellIs" dxfId="124" priority="47" stopIfTrue="1" operator="greaterThan">
      <formula>$F74</formula>
    </cfRule>
    <cfRule type="cellIs" dxfId="123" priority="54" stopIfTrue="1" operator="lessThanOrEqual">
      <formula>0</formula>
    </cfRule>
    <cfRule type="cellIs" dxfId="122" priority="53" stopIfTrue="1" operator="greaterThan">
      <formula>$F74</formula>
    </cfRule>
  </conditionalFormatting>
  <conditionalFormatting sqref="G76">
    <cfRule type="containsErrors" dxfId="121" priority="15" stopIfTrue="1">
      <formula>ISERROR(G76)</formula>
    </cfRule>
  </conditionalFormatting>
  <conditionalFormatting sqref="G77">
    <cfRule type="cellIs" dxfId="120" priority="39" stopIfTrue="1" operator="greaterThan">
      <formula>$F77</formula>
    </cfRule>
    <cfRule type="cellIs" dxfId="119" priority="40" stopIfTrue="1" operator="lessThanOrEqual">
      <formula>0</formula>
    </cfRule>
    <cfRule type="cellIs" dxfId="118" priority="41" stopIfTrue="1" operator="greaterThan">
      <formula>$F77</formula>
    </cfRule>
    <cfRule type="cellIs" dxfId="117" priority="42" stopIfTrue="1" operator="lessThanOrEqual">
      <formula>0</formula>
    </cfRule>
  </conditionalFormatting>
  <conditionalFormatting sqref="G78:G82">
    <cfRule type="cellIs" dxfId="116" priority="56" stopIfTrue="1" operator="lessThanOrEqual">
      <formula>0</formula>
    </cfRule>
    <cfRule type="cellIs" dxfId="115" priority="55" stopIfTrue="1" operator="greaterThan">
      <formula>$J78</formula>
    </cfRule>
  </conditionalFormatting>
  <conditionalFormatting sqref="G87:G92 C90 C92">
    <cfRule type="cellIs" dxfId="114" priority="167" stopIfTrue="1" operator="lessThanOrEqual">
      <formula>0</formula>
    </cfRule>
    <cfRule type="cellIs" dxfId="113" priority="166" stopIfTrue="1" operator="greaterThan">
      <formula>4.5</formula>
    </cfRule>
  </conditionalFormatting>
  <conditionalFormatting sqref="G10:H15 M10:N25 G23:G25">
    <cfRule type="expression" dxfId="112" priority="23">
      <formula>IF(+(IF(G10&lt;#REF!,0,IF(G10&gt;#REF!,0,1)))=0,1)</formula>
    </cfRule>
  </conditionalFormatting>
  <conditionalFormatting sqref="G86:H86">
    <cfRule type="cellIs" dxfId="111" priority="148" stopIfTrue="1" operator="lessThanOrEqual">
      <formula>0</formula>
    </cfRule>
    <cfRule type="cellIs" dxfId="110" priority="147" stopIfTrue="1" operator="greaterThan">
      <formula>$F$85</formula>
    </cfRule>
  </conditionalFormatting>
  <conditionalFormatting sqref="H16:H29">
    <cfRule type="expression" dxfId="109" priority="8">
      <formula>IF(+(IF(H16&lt;#REF!,0,IF(H16&gt;#REF!,0,1)))=0,1)</formula>
    </cfRule>
  </conditionalFormatting>
  <conditionalFormatting sqref="H43:H44 H57">
    <cfRule type="cellIs" dxfId="108" priority="145" stopIfTrue="1" operator="greaterThan">
      <formula>0</formula>
    </cfRule>
  </conditionalFormatting>
  <conditionalFormatting sqref="H61:H65">
    <cfRule type="cellIs" dxfId="107" priority="70" stopIfTrue="1" operator="lessThanOrEqual">
      <formula>0</formula>
    </cfRule>
    <cfRule type="cellIs" dxfId="106" priority="71" stopIfTrue="1" operator="greaterThan">
      <formula>$F$75</formula>
    </cfRule>
    <cfRule type="cellIs" dxfId="105" priority="72" stopIfTrue="1" operator="lessThanOrEqual">
      <formula>0</formula>
    </cfRule>
    <cfRule type="cellIs" dxfId="104" priority="61" stopIfTrue="1" operator="greaterThan">
      <formula>$F$74</formula>
    </cfRule>
    <cfRule type="cellIs" dxfId="103" priority="60" stopIfTrue="1" operator="lessThanOrEqual">
      <formula>0</formula>
    </cfRule>
    <cfRule type="cellIs" dxfId="102" priority="69" stopIfTrue="1" operator="greaterThan">
      <formula>$F$77</formula>
    </cfRule>
  </conditionalFormatting>
  <conditionalFormatting sqref="H66:H67">
    <cfRule type="cellIs" dxfId="101" priority="114" stopIfTrue="1" operator="lessThanOrEqual">
      <formula>0</formula>
    </cfRule>
    <cfRule type="cellIs" dxfId="100" priority="104" stopIfTrue="1" operator="lessThanOrEqual">
      <formula>0</formula>
    </cfRule>
    <cfRule type="cellIs" dxfId="99" priority="105" stopIfTrue="1" operator="greaterThan">
      <formula>#REF!</formula>
    </cfRule>
    <cfRule type="cellIs" dxfId="98" priority="113" stopIfTrue="1" operator="greaterThan">
      <formula>$F$29</formula>
    </cfRule>
    <cfRule type="cellIs" dxfId="97" priority="115" stopIfTrue="1" operator="greaterThan">
      <formula>#REF!</formula>
    </cfRule>
    <cfRule type="cellIs" dxfId="96" priority="116" stopIfTrue="1" operator="lessThanOrEqual">
      <formula>0</formula>
    </cfRule>
  </conditionalFormatting>
  <conditionalFormatting sqref="H68">
    <cfRule type="cellIs" dxfId="95" priority="129" stopIfTrue="1" operator="greaterThan">
      <formula>$F$43</formula>
    </cfRule>
    <cfRule type="cellIs" dxfId="94" priority="128" stopIfTrue="1" operator="lessThanOrEqual">
      <formula>0</formula>
    </cfRule>
    <cfRule type="cellIs" dxfId="93" priority="127" stopIfTrue="1" operator="greaterThan">
      <formula>$F$45</formula>
    </cfRule>
    <cfRule type="cellIs" dxfId="92" priority="119" stopIfTrue="1" operator="greaterThan">
      <formula>$F$42</formula>
    </cfRule>
    <cfRule type="cellIs" dxfId="91" priority="118" stopIfTrue="1" operator="lessThanOrEqual">
      <formula>0</formula>
    </cfRule>
    <cfRule type="cellIs" dxfId="90" priority="130" stopIfTrue="1" operator="lessThanOrEqual">
      <formula>0</formula>
    </cfRule>
  </conditionalFormatting>
  <conditionalFormatting sqref="H69:H70">
    <cfRule type="cellIs" dxfId="89" priority="100" stopIfTrue="1" operator="lessThanOrEqual">
      <formula>0</formula>
    </cfRule>
    <cfRule type="cellIs" dxfId="88" priority="99" stopIfTrue="1" operator="greaterThan">
      <formula>#REF!</formula>
    </cfRule>
    <cfRule type="cellIs" dxfId="87" priority="88" stopIfTrue="1" operator="lessThanOrEqual">
      <formula>0</formula>
    </cfRule>
    <cfRule type="cellIs" dxfId="86" priority="89" stopIfTrue="1" operator="greaterThan">
      <formula>#REF!</formula>
    </cfRule>
    <cfRule type="cellIs" dxfId="85" priority="97" stopIfTrue="1" operator="greaterThan">
      <formula>$F$29</formula>
    </cfRule>
    <cfRule type="cellIs" dxfId="84" priority="98" stopIfTrue="1" operator="lessThanOrEqual">
      <formula>0</formula>
    </cfRule>
  </conditionalFormatting>
  <conditionalFormatting sqref="H85 H87:H93">
    <cfRule type="cellIs" dxfId="83" priority="159" stopIfTrue="1" operator="greaterThan">
      <formula>4.5</formula>
    </cfRule>
    <cfRule type="cellIs" dxfId="82" priority="160" stopIfTrue="1" operator="lessThanOrEqual">
      <formula>0</formula>
    </cfRule>
  </conditionalFormatting>
  <conditionalFormatting sqref="H61:I65">
    <cfRule type="cellIs" dxfId="81" priority="62" stopIfTrue="1" operator="lessThanOrEqual">
      <formula>0</formula>
    </cfRule>
    <cfRule type="cellIs" dxfId="80" priority="59" stopIfTrue="1" operator="greaterThan">
      <formula>$F$76</formula>
    </cfRule>
  </conditionalFormatting>
  <conditionalFormatting sqref="H66:I67">
    <cfRule type="cellIs" dxfId="79" priority="106" stopIfTrue="1" operator="lessThanOrEqual">
      <formula>0</formula>
    </cfRule>
    <cfRule type="cellIs" dxfId="78" priority="103" stopIfTrue="1" operator="greaterThan">
      <formula>#REF!</formula>
    </cfRule>
  </conditionalFormatting>
  <conditionalFormatting sqref="H68:I68">
    <cfRule type="cellIs" dxfId="77" priority="117" stopIfTrue="1" operator="greaterThan">
      <formula>$F$44</formula>
    </cfRule>
    <cfRule type="cellIs" dxfId="76" priority="120" stopIfTrue="1" operator="lessThanOrEqual">
      <formula>0</formula>
    </cfRule>
  </conditionalFormatting>
  <conditionalFormatting sqref="H69:I70">
    <cfRule type="cellIs" dxfId="75" priority="87" stopIfTrue="1" operator="greaterThan">
      <formula>#REF!</formula>
    </cfRule>
    <cfRule type="cellIs" dxfId="74" priority="90" stopIfTrue="1" operator="lessThanOrEqual">
      <formula>0</formula>
    </cfRule>
  </conditionalFormatting>
  <conditionalFormatting sqref="H74:I81">
    <cfRule type="cellIs" dxfId="73" priority="30" stopIfTrue="1" operator="lessThanOrEqual">
      <formula>0</formula>
    </cfRule>
    <cfRule type="cellIs" dxfId="72" priority="29" stopIfTrue="1" operator="greaterThan">
      <formula>$J74</formula>
    </cfRule>
  </conditionalFormatting>
  <conditionalFormatting sqref="H82:I82">
    <cfRule type="cellIs" dxfId="71" priority="38" operator="greaterThan">
      <formula>5.3</formula>
    </cfRule>
  </conditionalFormatting>
  <conditionalFormatting sqref="H83:I83">
    <cfRule type="cellIs" dxfId="70" priority="37" stopIfTrue="1" operator="lessThanOrEqual">
      <formula>0</formula>
    </cfRule>
    <cfRule type="cellIs" dxfId="69" priority="36" stopIfTrue="1" operator="greaterThan">
      <formula>$J83</formula>
    </cfRule>
  </conditionalFormatting>
  <conditionalFormatting sqref="I61:I65">
    <cfRule type="cellIs" dxfId="68" priority="67" stopIfTrue="1" operator="greaterThan">
      <formula>$F$74</formula>
    </cfRule>
    <cfRule type="cellIs" dxfId="67" priority="68" stopIfTrue="1" operator="lessThanOrEqual">
      <formula>0</formula>
    </cfRule>
    <cfRule type="cellIs" dxfId="66" priority="66" stopIfTrue="1" operator="lessThanOrEqual">
      <formula>0</formula>
    </cfRule>
    <cfRule type="cellIs" dxfId="65" priority="65" stopIfTrue="1" operator="greaterThan">
      <formula>$F$76</formula>
    </cfRule>
    <cfRule type="cellIs" dxfId="64" priority="64" stopIfTrue="1" operator="lessThanOrEqual">
      <formula>0</formula>
    </cfRule>
    <cfRule type="cellIs" dxfId="63" priority="63" stopIfTrue="1" operator="greaterThan">
      <formula>$F$74</formula>
    </cfRule>
  </conditionalFormatting>
  <conditionalFormatting sqref="I66:I67">
    <cfRule type="cellIs" dxfId="62" priority="107" stopIfTrue="1" operator="greaterThan">
      <formula>#REF!</formula>
    </cfRule>
    <cfRule type="cellIs" dxfId="61" priority="108" stopIfTrue="1" operator="lessThanOrEqual">
      <formula>0</formula>
    </cfRule>
    <cfRule type="cellIs" dxfId="60" priority="109" stopIfTrue="1" operator="greaterThan">
      <formula>#REF!</formula>
    </cfRule>
    <cfRule type="cellIs" dxfId="59" priority="110" stopIfTrue="1" operator="lessThanOrEqual">
      <formula>0</formula>
    </cfRule>
    <cfRule type="cellIs" dxfId="58" priority="111" stopIfTrue="1" operator="greaterThan">
      <formula>#REF!</formula>
    </cfRule>
    <cfRule type="cellIs" dxfId="57" priority="112" stopIfTrue="1" operator="lessThanOrEqual">
      <formula>0</formula>
    </cfRule>
  </conditionalFormatting>
  <conditionalFormatting sqref="I68">
    <cfRule type="cellIs" dxfId="56" priority="123" stopIfTrue="1" operator="greaterThan">
      <formula>$F$44</formula>
    </cfRule>
    <cfRule type="cellIs" dxfId="55" priority="121" stopIfTrue="1" operator="greaterThan">
      <formula>$F$42</formula>
    </cfRule>
    <cfRule type="cellIs" dxfId="54" priority="122" stopIfTrue="1" operator="lessThanOrEqual">
      <formula>0</formula>
    </cfRule>
    <cfRule type="cellIs" dxfId="53" priority="124" stopIfTrue="1" operator="lessThanOrEqual">
      <formula>0</formula>
    </cfRule>
    <cfRule type="cellIs" dxfId="52" priority="125" stopIfTrue="1" operator="greaterThan">
      <formula>$F$42</formula>
    </cfRule>
    <cfRule type="cellIs" dxfId="51" priority="126" stopIfTrue="1" operator="lessThanOrEqual">
      <formula>0</formula>
    </cfRule>
  </conditionalFormatting>
  <conditionalFormatting sqref="I69:I70">
    <cfRule type="cellIs" dxfId="50" priority="95" stopIfTrue="1" operator="greaterThan">
      <formula>#REF!</formula>
    </cfRule>
    <cfRule type="cellIs" dxfId="49" priority="93" stopIfTrue="1" operator="greaterThan">
      <formula>#REF!</formula>
    </cfRule>
    <cfRule type="cellIs" dxfId="48" priority="94" stopIfTrue="1" operator="lessThanOrEqual">
      <formula>0</formula>
    </cfRule>
    <cfRule type="cellIs" dxfId="47" priority="92" stopIfTrue="1" operator="lessThanOrEqual">
      <formula>0</formula>
    </cfRule>
    <cfRule type="cellIs" dxfId="46" priority="91" stopIfTrue="1" operator="greaterThan">
      <formula>#REF!</formula>
    </cfRule>
    <cfRule type="cellIs" dxfId="45" priority="96" stopIfTrue="1" operator="lessThanOrEqual">
      <formula>0</formula>
    </cfRule>
  </conditionalFormatting>
  <conditionalFormatting sqref="I85:I93">
    <cfRule type="cellIs" dxfId="44" priority="156" stopIfTrue="1" operator="lessThanOrEqual">
      <formula>0</formula>
    </cfRule>
    <cfRule type="cellIs" dxfId="43" priority="155" stopIfTrue="1" operator="greaterThan">
      <formula>4.5</formula>
    </cfRule>
  </conditionalFormatting>
  <conditionalFormatting sqref="I10:J29">
    <cfRule type="cellIs" dxfId="42" priority="1" operator="lessThan">
      <formula>97.9</formula>
    </cfRule>
  </conditionalFormatting>
  <conditionalFormatting sqref="J32">
    <cfRule type="cellIs" dxfId="41" priority="58" operator="lessThan">
      <formula>97.95</formula>
    </cfRule>
  </conditionalFormatting>
  <conditionalFormatting sqref="J34">
    <cfRule type="cellIs" dxfId="40" priority="133" stopIfTrue="1" operator="greaterThan">
      <formula>100</formula>
    </cfRule>
    <cfRule type="cellIs" dxfId="39" priority="134" operator="lessThan">
      <formula>98</formula>
    </cfRule>
    <cfRule type="cellIs" dxfId="38" priority="132" stopIfTrue="1" operator="lessThan">
      <formula>96.8</formula>
    </cfRule>
  </conditionalFormatting>
  <conditionalFormatting sqref="J34:J36">
    <cfRule type="cellIs" dxfId="37" priority="131" operator="lessThan">
      <formula>97.4</formula>
    </cfRule>
  </conditionalFormatting>
  <conditionalFormatting sqref="J37:J38">
    <cfRule type="cellIs" dxfId="36" priority="135" operator="lessThan">
      <formula>98</formula>
    </cfRule>
  </conditionalFormatting>
  <conditionalFormatting sqref="J39:J40">
    <cfRule type="cellIs" dxfId="35" priority="136" stopIfTrue="1" operator="lessThan">
      <formula>96.8</formula>
    </cfRule>
    <cfRule type="cellIs" dxfId="34" priority="137" stopIfTrue="1" operator="greaterThan">
      <formula>100</formula>
    </cfRule>
  </conditionalFormatting>
  <conditionalFormatting sqref="J39:J41">
    <cfRule type="cellIs" dxfId="33" priority="138" operator="lessThan">
      <formula>98</formula>
    </cfRule>
  </conditionalFormatting>
  <conditionalFormatting sqref="J70">
    <cfRule type="cellIs" dxfId="32" priority="80" stopIfTrue="1" operator="lessThanOrEqual">
      <formula>0</formula>
    </cfRule>
    <cfRule type="cellIs" dxfId="31" priority="79" stopIfTrue="1" operator="greaterThan">
      <formula>#REF!</formula>
    </cfRule>
    <cfRule type="cellIs" dxfId="30" priority="81" stopIfTrue="1" operator="greaterThan">
      <formula>#REF!</formula>
    </cfRule>
    <cfRule type="cellIs" dxfId="29" priority="86" stopIfTrue="1" operator="lessThanOrEqual">
      <formula>0</formula>
    </cfRule>
    <cfRule type="cellIs" dxfId="28" priority="85" stopIfTrue="1" operator="greaterThan">
      <formula>#REF!</formula>
    </cfRule>
    <cfRule type="cellIs" dxfId="27" priority="84" stopIfTrue="1" operator="lessThanOrEqual">
      <formula>0</formula>
    </cfRule>
    <cfRule type="cellIs" dxfId="26" priority="83" stopIfTrue="1" operator="greaterThan">
      <formula>#REF!</formula>
    </cfRule>
    <cfRule type="cellIs" dxfId="25" priority="82" stopIfTrue="1" operator="lessThanOrEqual">
      <formula>0</formula>
    </cfRule>
  </conditionalFormatting>
  <conditionalFormatting sqref="J83">
    <cfRule type="cellIs" dxfId="24" priority="44" stopIfTrue="1" operator="lessThanOrEqual">
      <formula>0</formula>
    </cfRule>
    <cfRule type="cellIs" dxfId="23" priority="43" stopIfTrue="1" operator="greaterThan">
      <formula>$F83</formula>
    </cfRule>
  </conditionalFormatting>
  <conditionalFormatting sqref="K10:K29">
    <cfRule type="cellIs" dxfId="22" priority="3" operator="lessThan">
      <formula>4</formula>
    </cfRule>
    <cfRule type="cellIs" dxfId="21" priority="2" operator="greaterThan">
      <formula>6</formula>
    </cfRule>
    <cfRule type="cellIs" dxfId="20" priority="4" operator="greaterThan">
      <formula>6.4</formula>
    </cfRule>
  </conditionalFormatting>
  <conditionalFormatting sqref="K61:K70">
    <cfRule type="cellIs" dxfId="19" priority="73" stopIfTrue="1" operator="lessThan">
      <formula>100%</formula>
    </cfRule>
  </conditionalFormatting>
  <conditionalFormatting sqref="K85:K90">
    <cfRule type="cellIs" dxfId="18" priority="161" stopIfTrue="1" operator="lessThan">
      <formula>100%</formula>
    </cfRule>
  </conditionalFormatting>
  <conditionalFormatting sqref="K92:K93">
    <cfRule type="cellIs" dxfId="17" priority="168" stopIfTrue="1" operator="lessThan">
      <formula>100%</formula>
    </cfRule>
  </conditionalFormatting>
  <conditionalFormatting sqref="K74:M82">
    <cfRule type="cellIs" dxfId="16" priority="28" stopIfTrue="1" operator="lessThan">
      <formula>100%</formula>
    </cfRule>
  </conditionalFormatting>
  <conditionalFormatting sqref="L10:L29">
    <cfRule type="cellIs" dxfId="15" priority="5" operator="between">
      <formula>61</formula>
      <formula>65</formula>
    </cfRule>
    <cfRule type="cellIs" dxfId="14" priority="6" operator="greaterThan">
      <formula>65</formula>
    </cfRule>
  </conditionalFormatting>
  <conditionalFormatting sqref="L32:M43">
    <cfRule type="cellIs" dxfId="13" priority="75" operator="lessThan">
      <formula>97.95</formula>
    </cfRule>
  </conditionalFormatting>
  <conditionalFormatting sqref="L83:M83">
    <cfRule type="cellIs" dxfId="12" priority="45" stopIfTrue="1" operator="lessThan">
      <formula>100%</formula>
    </cfRule>
  </conditionalFormatting>
  <conditionalFormatting sqref="L47:N47">
    <cfRule type="cellIs" dxfId="11" priority="76" operator="notEqual">
      <formula>#REF!</formula>
    </cfRule>
  </conditionalFormatting>
  <conditionalFormatting sqref="L85:N93">
    <cfRule type="cellIs" dxfId="10" priority="146" stopIfTrue="1" operator="lessThan">
      <formula>100%</formula>
    </cfRule>
  </conditionalFormatting>
  <conditionalFormatting sqref="M16:M22">
    <cfRule type="expression" dxfId="9" priority="11">
      <formula>IF(+(IF(M16&lt;U16,0,IF(M16&gt;V16,0,1)))=0,1)</formula>
    </cfRule>
  </conditionalFormatting>
  <conditionalFormatting sqref="M26">
    <cfRule type="expression" dxfId="8" priority="175">
      <formula>IF(+(IF(M26&lt;U25,0,IF(M26&gt;V25,0,1)))=0,1)</formula>
    </cfRule>
  </conditionalFormatting>
  <conditionalFormatting sqref="M27">
    <cfRule type="expression" dxfId="7" priority="26">
      <formula>IF(+(IF(M27&lt;U27,0,IF(M27&gt;V27,0,1)))=0,1)</formula>
    </cfRule>
  </conditionalFormatting>
  <conditionalFormatting sqref="M28:N29">
    <cfRule type="expression" dxfId="6" priority="74">
      <formula>IF(+(IF(M28&lt;#REF!,0,IF(M28&gt;#REF!,0,1)))=0,1)</formula>
    </cfRule>
  </conditionalFormatting>
  <conditionalFormatting sqref="N10:N15 N23:N24">
    <cfRule type="expression" dxfId="5" priority="14">
      <formula>IF(+(IF(N10&lt;#REF!,0,IF(N10&gt;#REF!,0,1)))=0,1)</formula>
    </cfRule>
  </conditionalFormatting>
  <conditionalFormatting sqref="N10:N24">
    <cfRule type="expression" dxfId="4" priority="10">
      <formula>IF(+(IF(N10&lt;W10,0,IF(N10&gt;X10,0,1)))=0,1)</formula>
    </cfRule>
  </conditionalFormatting>
  <conditionalFormatting sqref="N26">
    <cfRule type="expression" dxfId="3" priority="176">
      <formula>IF(+(IF(N26&lt;W25,0,IF(N26&gt;X25,0,1)))=0,1)</formula>
    </cfRule>
  </conditionalFormatting>
  <conditionalFormatting sqref="N27">
    <cfRule type="expression" dxfId="2" priority="25">
      <formula>IF(+(IF(N27&lt;W27,0,IF(N27&gt;X27,0,1)))=0,1)</formula>
    </cfRule>
  </conditionalFormatting>
  <conditionalFormatting sqref="N74:N83">
    <cfRule type="cellIs" dxfId="1" priority="57" stopIfTrue="1" operator="lessThan">
      <formula>100%</formula>
    </cfRule>
  </conditionalFormatting>
  <conditionalFormatting sqref="P6">
    <cfRule type="cellIs" dxfId="0" priority="142" operator="greaterThanOrEqual">
      <formula>19</formula>
    </cfRule>
  </conditionalFormatting>
  <dataValidations count="1">
    <dataValidation type="list" allowBlank="1" showInputMessage="1" showErrorMessage="1" sqref="R8" xr:uid="{49D1660E-3FC6-4B42-8929-7282301A983F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7" max="16383" man="1"/>
  </rowBreaks>
  <colBreaks count="1" manualBreakCount="1">
    <brk id="15" max="89" man="1"/>
  </colBreaks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D082-4AFA-460E-ADC3-B4C1126FF311}">
  <sheetPr codeName="Sheet18">
    <tabColor rgb="FFC00000"/>
    <pageSetUpPr fitToPage="1"/>
  </sheetPr>
  <dimension ref="B1:O73"/>
  <sheetViews>
    <sheetView showZeros="0" topLeftCell="A53" workbookViewId="0">
      <selection activeCell="J56" sqref="J56:J65"/>
    </sheetView>
  </sheetViews>
  <sheetFormatPr defaultColWidth="9.42578125" defaultRowHeight="12.75"/>
  <cols>
    <col min="1" max="1" width="9.42578125" style="78"/>
    <col min="2" max="2" width="12.5703125" style="78" customWidth="1"/>
    <col min="3" max="3" width="9.42578125" style="78" hidden="1" customWidth="1"/>
    <col min="4" max="4" width="9.5703125" style="78" customWidth="1"/>
    <col min="5" max="5" width="8.5703125" style="78" customWidth="1"/>
    <col min="6" max="6" width="14.42578125" style="78" hidden="1" customWidth="1"/>
    <col min="7" max="8" width="9.42578125" style="78" bestFit="1" customWidth="1"/>
    <col min="9" max="9" width="11.5703125" style="78" hidden="1" customWidth="1"/>
    <col min="10" max="10" width="11" style="78" bestFit="1" customWidth="1"/>
    <col min="11" max="11" width="16.42578125" style="78" customWidth="1"/>
    <col min="12" max="12" width="13.42578125" style="78" customWidth="1"/>
    <col min="13" max="16384" width="9.42578125" style="78"/>
  </cols>
  <sheetData>
    <row r="1" spans="2:14" ht="13.5" hidden="1" thickBot="1"/>
    <row r="2" spans="2:14" ht="15.75" hidden="1" thickBot="1">
      <c r="B2" s="587" t="s">
        <v>58</v>
      </c>
      <c r="C2" s="587"/>
      <c r="D2" s="587"/>
      <c r="E2" s="587"/>
      <c r="F2" s="587"/>
      <c r="G2" s="587"/>
      <c r="H2" s="587"/>
      <c r="I2" s="587"/>
      <c r="J2" s="587"/>
      <c r="K2" s="587"/>
    </row>
    <row r="3" spans="2:14" ht="15.75" hidden="1" thickBot="1">
      <c r="B3" s="79"/>
    </row>
    <row r="4" spans="2:14" ht="13.5" hidden="1" thickBot="1">
      <c r="B4" s="78" t="s">
        <v>7</v>
      </c>
      <c r="C4" s="588">
        <v>41431</v>
      </c>
      <c r="D4" s="588"/>
    </row>
    <row r="5" spans="2:14" ht="13.5" hidden="1" thickBot="1">
      <c r="C5" s="78" t="s">
        <v>41</v>
      </c>
    </row>
    <row r="6" spans="2:14" ht="15" hidden="1" thickBot="1">
      <c r="B6" s="5" t="s">
        <v>13</v>
      </c>
    </row>
    <row r="7" spans="2:14" ht="13.5" hidden="1" thickBot="1"/>
    <row r="8" spans="2:14" ht="25.5" hidden="1" customHeight="1" thickBot="1">
      <c r="B8" s="589" t="s">
        <v>17</v>
      </c>
      <c r="C8" s="591" t="s">
        <v>18</v>
      </c>
      <c r="D8" s="591" t="s">
        <v>59</v>
      </c>
      <c r="E8" s="80" t="s">
        <v>20</v>
      </c>
      <c r="F8" s="81" t="s">
        <v>21</v>
      </c>
      <c r="G8" s="591" t="s">
        <v>60</v>
      </c>
      <c r="H8" s="591" t="s">
        <v>61</v>
      </c>
      <c r="I8" s="593" t="s">
        <v>62</v>
      </c>
      <c r="J8" s="82" t="s">
        <v>25</v>
      </c>
      <c r="K8" s="595" t="s">
        <v>28</v>
      </c>
    </row>
    <row r="9" spans="2:14" ht="26.25" hidden="1" thickBot="1">
      <c r="B9" s="590"/>
      <c r="C9" s="592"/>
      <c r="D9" s="592"/>
      <c r="E9" s="83" t="s">
        <v>30</v>
      </c>
      <c r="F9" s="84" t="s">
        <v>63</v>
      </c>
      <c r="G9" s="592"/>
      <c r="H9" s="592"/>
      <c r="I9" s="594"/>
      <c r="J9" s="85" t="s">
        <v>32</v>
      </c>
      <c r="K9" s="596"/>
      <c r="L9" s="86"/>
      <c r="M9" s="86"/>
      <c r="N9" s="86"/>
    </row>
    <row r="10" spans="2:14" ht="13.5" hidden="1" thickBot="1">
      <c r="B10" s="87" t="s">
        <v>64</v>
      </c>
      <c r="C10" s="88" t="str">
        <f>[33]Brewhouse!A5359</f>
        <v>CA236</v>
      </c>
      <c r="D10" s="88">
        <f>[33]Brewhouse!B5359</f>
        <v>41437</v>
      </c>
      <c r="E10" s="89">
        <f>[33]Brewhouse!AG5359</f>
        <v>49.011000000000003</v>
      </c>
      <c r="F10" s="90">
        <f>[33]Brewhouse!T5359</f>
        <v>60</v>
      </c>
      <c r="G10" s="91">
        <f>[33]Brewhouse!I5359</f>
        <v>19.79</v>
      </c>
      <c r="H10" s="92">
        <f>[33]Brewhouse!AS5359</f>
        <v>94.981545664755075</v>
      </c>
      <c r="I10" s="92">
        <f>[33]Brewhouse!AT5359</f>
        <v>97.074072469002047</v>
      </c>
      <c r="J10" s="93">
        <f>[33]Brewhouse!S5359-[33]Brewhouse!R5359</f>
        <v>0.10694444444444451</v>
      </c>
      <c r="K10" s="94"/>
      <c r="N10" s="95"/>
    </row>
    <row r="11" spans="2:14" ht="13.5" hidden="1" thickBot="1">
      <c r="B11" s="96"/>
      <c r="C11" s="88" t="str">
        <f>[33]Brewhouse!A5360</f>
        <v>CA237</v>
      </c>
      <c r="D11" s="88">
        <f>[33]Brewhouse!B5360</f>
        <v>41437</v>
      </c>
      <c r="E11" s="89">
        <f>[33]Brewhouse!AG5360</f>
        <v>48.531999999999996</v>
      </c>
      <c r="F11" s="90">
        <f>[33]Brewhouse!T5360</f>
        <v>68</v>
      </c>
      <c r="G11" s="91">
        <f>[33]Brewhouse!I5360</f>
        <v>17.7</v>
      </c>
      <c r="H11" s="92">
        <f>[33]Brewhouse!AS5360</f>
        <v>94.053260986347809</v>
      </c>
      <c r="I11" s="92">
        <f>[33]Brewhouse!AT5360</f>
        <v>96.1253368644918</v>
      </c>
      <c r="J11" s="93">
        <f>[33]Brewhouse!S5360-[33]Brewhouse!R5360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[33]Brewhouse!A5361</f>
        <v>CA238</v>
      </c>
      <c r="D12" s="88">
        <f>[33]Brewhouse!B5361</f>
        <v>41437</v>
      </c>
      <c r="E12" s="89">
        <f>[33]Brewhouse!AG5361</f>
        <v>50.466999999999999</v>
      </c>
      <c r="F12" s="90">
        <f>[33]Brewhouse!T5361</f>
        <v>61</v>
      </c>
      <c r="G12" s="91">
        <f>[33]Brewhouse!I5361</f>
        <v>19.7</v>
      </c>
      <c r="H12" s="92">
        <f>[33]Brewhouse!AS5361</f>
        <v>96.931393272913695</v>
      </c>
      <c r="I12" s="92">
        <f>[33]Brewhouse!AT5361</f>
        <v>99.066876931102286</v>
      </c>
      <c r="J12" s="93">
        <f>[33]Brewhouse!S5361-[33]Brewhouse!R5361</f>
        <v>0.10208333333333341</v>
      </c>
      <c r="K12" s="98"/>
    </row>
    <row r="13" spans="2:14" ht="13.5" hidden="1" thickBot="1">
      <c r="B13" s="99"/>
      <c r="C13" s="88" t="str">
        <f>[33]Brewhouse!A5362</f>
        <v>CA239</v>
      </c>
      <c r="D13" s="88">
        <f>[33]Brewhouse!B5362</f>
        <v>41437</v>
      </c>
      <c r="E13" s="89">
        <f>[33]Brewhouse!AG5362</f>
        <v>49.374000000000002</v>
      </c>
      <c r="F13" s="90">
        <f>[33]Brewhouse!T5362</f>
        <v>62</v>
      </c>
      <c r="G13" s="91">
        <f>[33]Brewhouse!I5362</f>
        <v>19</v>
      </c>
      <c r="H13" s="92">
        <f>[33]Brewhouse!AS5362</f>
        <v>95.68502653795305</v>
      </c>
      <c r="I13" s="92">
        <f>[33]Brewhouse!AT5362</f>
        <v>97.793051643192499</v>
      </c>
      <c r="J13" s="93">
        <f>[33]Brewhouse!S5362-[33]Brewhouse!R5362</f>
        <v>0.10416666666666663</v>
      </c>
      <c r="K13" s="98"/>
      <c r="M13" s="100"/>
    </row>
    <row r="14" spans="2:14" ht="13.5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5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5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5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5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25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5" hidden="1" thickBot="1">
      <c r="B21" s="86" t="s">
        <v>66</v>
      </c>
      <c r="C21" s="118"/>
      <c r="D21" s="123" t="s">
        <v>67</v>
      </c>
      <c r="E21" s="124" t="s">
        <v>68</v>
      </c>
      <c r="F21" s="597" t="s">
        <v>69</v>
      </c>
      <c r="G21" s="598"/>
      <c r="H21" s="337"/>
      <c r="I21" s="125"/>
      <c r="J21" s="97"/>
      <c r="K21" s="126" t="s">
        <v>24</v>
      </c>
    </row>
    <row r="22" spans="2:11" ht="13.5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75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[33]Brewhouse!N5359</f>
        <v>60</v>
      </c>
    </row>
    <row r="24" spans="2:11" ht="15.75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[33]Brewhouse!N5360</f>
        <v>60</v>
      </c>
    </row>
    <row r="25" spans="2:11" ht="15.75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[33]Brewhouse!N5361</f>
        <v>60</v>
      </c>
    </row>
    <row r="26" spans="2:11" ht="15.75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[33]Brewhouse!N5362</f>
        <v>60</v>
      </c>
    </row>
    <row r="27" spans="2:11" ht="15.75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75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75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5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5" hidden="1" thickBot="1">
      <c r="F31" s="97"/>
    </row>
    <row r="32" spans="2:11" ht="13.5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5" hidden="1" thickBot="1">
      <c r="B33" s="87" t="s">
        <v>64</v>
      </c>
      <c r="C33" s="145">
        <f>AVERAGE(H10:H13)</f>
        <v>95.4128066154924</v>
      </c>
      <c r="D33" s="146">
        <f>AVERAGE([33]Brewhouse!$AS$5347:$AS$5362)</f>
        <v>96.296241624200576</v>
      </c>
      <c r="E33" s="147">
        <v>96</v>
      </c>
    </row>
    <row r="34" spans="2:15" ht="13.5" hidden="1" thickBot="1">
      <c r="B34" s="99" t="s">
        <v>72</v>
      </c>
      <c r="C34" s="100"/>
      <c r="D34" s="146">
        <f>AVERAGE([34]Brewhouse!$AQ$641:$AQ$644)</f>
        <v>94.359266355846486</v>
      </c>
      <c r="E34" s="147">
        <v>96</v>
      </c>
    </row>
    <row r="35" spans="2:15" ht="13.5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5" hidden="1" thickBot="1">
      <c r="B36" s="148" t="s">
        <v>74</v>
      </c>
      <c r="C36" s="145"/>
      <c r="D36" s="149">
        <f>AVERAGE([35]Brewhouse!$AU$708:$AU$711)</f>
        <v>95.049759132870761</v>
      </c>
      <c r="E36" s="147">
        <v>96</v>
      </c>
    </row>
    <row r="37" spans="2:15" ht="13.5" hidden="1" thickBot="1">
      <c r="B37" s="150" t="s">
        <v>75</v>
      </c>
      <c r="C37" s="145"/>
      <c r="D37" s="151">
        <f>AVERAGE([36]Brewhouse!$AY$943:$AY$946)</f>
        <v>95.307332180967137</v>
      </c>
      <c r="E37" s="147">
        <v>96</v>
      </c>
    </row>
    <row r="38" spans="2:15" ht="13.5" hidden="1" thickBot="1">
      <c r="B38" s="102" t="s">
        <v>76</v>
      </c>
      <c r="C38" s="152"/>
      <c r="D38" s="153"/>
      <c r="E38" s="147">
        <v>96</v>
      </c>
    </row>
    <row r="39" spans="2:15" ht="13.5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25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5" hidden="1" thickBot="1">
      <c r="B41" s="5" t="s">
        <v>42</v>
      </c>
      <c r="C41" s="78" t="s">
        <v>78</v>
      </c>
      <c r="D41" s="335"/>
    </row>
    <row r="42" spans="2:15" ht="13.5" hidden="1" thickBot="1"/>
    <row r="43" spans="2:15" ht="12.75" hidden="1" customHeight="1" thickBot="1">
      <c r="B43" s="589" t="s">
        <v>17</v>
      </c>
      <c r="C43" s="591" t="s">
        <v>18</v>
      </c>
      <c r="D43" s="591" t="s">
        <v>44</v>
      </c>
      <c r="E43" s="591" t="s">
        <v>79</v>
      </c>
      <c r="F43" s="591" t="s">
        <v>51</v>
      </c>
      <c r="G43" s="591" t="s">
        <v>48</v>
      </c>
      <c r="H43" s="606" t="s">
        <v>28</v>
      </c>
      <c r="I43" s="607"/>
      <c r="J43" s="607"/>
      <c r="K43" s="595" t="s">
        <v>27</v>
      </c>
    </row>
    <row r="44" spans="2:15" ht="15.75" hidden="1" customHeight="1" thickBot="1">
      <c r="B44" s="602"/>
      <c r="C44" s="603"/>
      <c r="D44" s="603"/>
      <c r="E44" s="603"/>
      <c r="F44" s="603"/>
      <c r="G44" s="603"/>
      <c r="H44" s="608"/>
      <c r="I44" s="609"/>
      <c r="J44" s="609"/>
      <c r="K44" s="599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00"/>
      <c r="I45" s="601"/>
      <c r="J45" s="601"/>
      <c r="K45" s="165"/>
      <c r="L45" s="166"/>
      <c r="N45" s="95"/>
    </row>
    <row r="46" spans="2:15" ht="13.5" hidden="1" thickBot="1">
      <c r="B46" s="99"/>
      <c r="C46" s="160"/>
      <c r="D46" s="167"/>
      <c r="E46" s="163"/>
      <c r="F46" s="168"/>
      <c r="G46" s="162"/>
      <c r="H46" s="610"/>
      <c r="I46" s="611"/>
      <c r="J46" s="611"/>
      <c r="K46" s="169"/>
      <c r="L46" s="166"/>
      <c r="M46" s="97"/>
      <c r="N46" s="95"/>
      <c r="O46" s="100"/>
    </row>
    <row r="47" spans="2:15" ht="13.5" hidden="1" thickBot="1">
      <c r="B47" s="99"/>
      <c r="C47" s="160"/>
      <c r="D47" s="103"/>
      <c r="E47" s="170"/>
      <c r="F47" s="168"/>
      <c r="G47" s="162"/>
      <c r="H47" s="610"/>
      <c r="I47" s="611"/>
      <c r="J47" s="611"/>
      <c r="K47" s="169"/>
    </row>
    <row r="48" spans="2:15" ht="13.5" hidden="1" thickBot="1">
      <c r="B48" s="102"/>
      <c r="C48" s="160"/>
      <c r="D48" s="167"/>
      <c r="E48" s="128"/>
      <c r="F48" s="168"/>
      <c r="G48" s="171"/>
      <c r="H48" s="610"/>
      <c r="I48" s="611"/>
      <c r="J48" s="611"/>
      <c r="K48" s="172"/>
    </row>
    <row r="49" spans="2:11" ht="13.5" hidden="1" thickBot="1">
      <c r="B49" s="101"/>
      <c r="C49" s="160"/>
      <c r="D49" s="167"/>
      <c r="E49" s="170"/>
      <c r="F49" s="163"/>
      <c r="G49" s="162"/>
      <c r="H49" s="604"/>
      <c r="I49" s="605"/>
      <c r="J49" s="605"/>
      <c r="K49" s="172"/>
    </row>
    <row r="50" spans="2:11" ht="13.5" hidden="1" thickBot="1">
      <c r="B50" s="173"/>
      <c r="C50" s="160"/>
      <c r="E50" s="168"/>
      <c r="F50" s="168"/>
      <c r="G50" s="145"/>
      <c r="H50" s="604"/>
      <c r="I50" s="605"/>
      <c r="J50" s="605"/>
      <c r="K50" s="172"/>
    </row>
    <row r="51" spans="2:11" ht="13.5" hidden="1" thickBot="1">
      <c r="B51" s="174"/>
      <c r="C51" s="160"/>
      <c r="D51" s="167"/>
      <c r="E51" s="175"/>
      <c r="F51" s="175"/>
      <c r="G51" s="176"/>
      <c r="H51" s="604"/>
      <c r="I51" s="605"/>
      <c r="J51" s="605"/>
      <c r="K51" s="177"/>
    </row>
    <row r="52" spans="2:11" ht="13.5" hidden="1" thickBot="1">
      <c r="B52" s="178"/>
      <c r="C52" s="179"/>
      <c r="D52" s="180"/>
      <c r="E52" s="181"/>
      <c r="F52" s="181"/>
      <c r="G52" s="182"/>
      <c r="H52" s="612"/>
      <c r="I52" s="613"/>
      <c r="J52" s="613"/>
      <c r="K52" s="183"/>
    </row>
    <row r="53" spans="2:11" ht="13.5" thickBot="1">
      <c r="B53" s="184"/>
      <c r="C53" s="117"/>
      <c r="D53" s="614" t="s">
        <v>80</v>
      </c>
      <c r="E53" s="614"/>
      <c r="F53" s="614"/>
      <c r="G53" s="614"/>
      <c r="H53" s="614"/>
      <c r="I53" s="614"/>
      <c r="J53" s="614"/>
      <c r="K53" s="185"/>
    </row>
    <row r="54" spans="2:11" ht="13.5" thickBot="1">
      <c r="B54" s="615" t="s">
        <v>55</v>
      </c>
      <c r="C54" s="616"/>
      <c r="D54" s="616"/>
      <c r="E54" s="617"/>
      <c r="F54" s="615" t="s">
        <v>56</v>
      </c>
      <c r="G54" s="616"/>
      <c r="H54" s="617"/>
      <c r="I54" s="618" t="s">
        <v>81</v>
      </c>
      <c r="J54" s="619"/>
      <c r="K54" s="620"/>
    </row>
    <row r="55" spans="2:11">
      <c r="B55" s="186" t="s">
        <v>17</v>
      </c>
      <c r="C55" s="187" t="s">
        <v>36</v>
      </c>
      <c r="D55" s="187" t="s">
        <v>37</v>
      </c>
      <c r="E55" s="188" t="s">
        <v>39</v>
      </c>
      <c r="F55" s="187" t="s">
        <v>36</v>
      </c>
      <c r="G55" s="187" t="s">
        <v>37</v>
      </c>
      <c r="H55" s="188" t="s">
        <v>39</v>
      </c>
      <c r="I55" s="189" t="s">
        <v>36</v>
      </c>
      <c r="J55" s="189" t="s">
        <v>37</v>
      </c>
      <c r="K55" s="190" t="s">
        <v>39</v>
      </c>
    </row>
    <row r="56" spans="2:11" ht="15">
      <c r="B56" s="29" t="s">
        <v>64</v>
      </c>
      <c r="C56" s="191"/>
      <c r="D56" s="76">
        <f>[12]MTD!$E5</f>
        <v>6.1050400020190425</v>
      </c>
      <c r="E56" s="192">
        <v>5</v>
      </c>
      <c r="F56" s="191"/>
      <c r="G56" s="76">
        <f>[11]March_2026!$AN3</f>
        <v>5.5217383997308911</v>
      </c>
      <c r="H56" s="192">
        <v>5</v>
      </c>
      <c r="I56" s="193"/>
      <c r="J56" s="194">
        <f>[13]March_2026!$AN13</f>
        <v>0.52819256474519627</v>
      </c>
      <c r="K56" s="195">
        <v>1</v>
      </c>
    </row>
    <row r="57" spans="2:11" ht="15">
      <c r="B57" s="33" t="s">
        <v>72</v>
      </c>
      <c r="C57" s="191"/>
      <c r="D57" s="76">
        <f>[12]MTD!$E6</f>
        <v>6.49747008272427</v>
      </c>
      <c r="E57" s="192">
        <v>5</v>
      </c>
      <c r="F57" s="191"/>
      <c r="G57" s="76">
        <f>[11]March_2026!$AN4</f>
        <v>5.8363193922358541</v>
      </c>
      <c r="H57" s="192">
        <v>5</v>
      </c>
      <c r="I57" s="196"/>
      <c r="J57" s="194">
        <f>[13]March_2026!$AN14</f>
        <v>0.86557894736842111</v>
      </c>
      <c r="K57" s="195">
        <v>1</v>
      </c>
    </row>
    <row r="58" spans="2:11" ht="15">
      <c r="B58" s="34" t="s">
        <v>73</v>
      </c>
      <c r="C58" s="191"/>
      <c r="D58" s="76">
        <f>[12]MTD!$E7</f>
        <v>12.325063613231535</v>
      </c>
      <c r="E58" s="192">
        <v>5</v>
      </c>
      <c r="F58" s="191"/>
      <c r="G58" s="76">
        <f>[11]March_2026!$AN5</f>
        <v>15.281764896752891</v>
      </c>
      <c r="H58" s="192">
        <v>5</v>
      </c>
      <c r="I58" s="196"/>
      <c r="J58" s="194">
        <f>[13]March_2026!$AN15</f>
        <v>0.22788596491228072</v>
      </c>
      <c r="K58" s="195">
        <v>1</v>
      </c>
    </row>
    <row r="59" spans="2:11" ht="15">
      <c r="B59" s="197" t="s">
        <v>74</v>
      </c>
      <c r="C59" s="191"/>
      <c r="D59" s="76">
        <f>[12]MTD!$E8</f>
        <v>4.2388966215361119</v>
      </c>
      <c r="E59" s="192">
        <v>3.5</v>
      </c>
      <c r="F59" s="191"/>
      <c r="G59" s="76">
        <f>[11]March_2026!$AN6</f>
        <v>4.0944502235806484</v>
      </c>
      <c r="H59" s="192">
        <v>3.5</v>
      </c>
      <c r="I59" s="196"/>
      <c r="J59" s="194">
        <f>[13]March_2026!$AN16</f>
        <v>0.98885964912280699</v>
      </c>
      <c r="K59" s="195">
        <v>1</v>
      </c>
    </row>
    <row r="60" spans="2:11" ht="15.75" thickBot="1">
      <c r="B60" s="38" t="s">
        <v>160</v>
      </c>
      <c r="C60" s="191"/>
      <c r="D60" s="76" t="e">
        <f>[12]MTD!$E9</f>
        <v>#DIV/0!</v>
      </c>
      <c r="E60" s="192">
        <v>3.5</v>
      </c>
      <c r="F60" s="198"/>
      <c r="G60" s="76" t="e">
        <f>[11]March_2026!$AN7</f>
        <v>#DIV/0!</v>
      </c>
      <c r="H60" s="192">
        <v>3.5</v>
      </c>
      <c r="I60" s="196"/>
      <c r="J60" s="194" t="e">
        <f>[13]March_2026!$AN17</f>
        <v>#DIV/0!</v>
      </c>
      <c r="K60" s="195">
        <v>1</v>
      </c>
    </row>
    <row r="61" spans="2:11" ht="15">
      <c r="B61" s="199" t="s">
        <v>76</v>
      </c>
      <c r="C61" s="191"/>
      <c r="D61" s="76" t="e">
        <f>[12]MTD!$E10</f>
        <v>#DIV/0!</v>
      </c>
      <c r="E61" s="200">
        <v>5</v>
      </c>
      <c r="F61" s="191"/>
      <c r="G61" s="76" t="e">
        <f>[11]March_2026!$AN8</f>
        <v>#DIV/0!</v>
      </c>
      <c r="H61" s="200">
        <v>5</v>
      </c>
      <c r="I61" s="196"/>
      <c r="J61" s="194" t="e">
        <f>[13]March_2026!$AN18</f>
        <v>#DIV/0!</v>
      </c>
      <c r="K61" s="195">
        <v>1</v>
      </c>
    </row>
    <row r="62" spans="2:11" ht="15">
      <c r="B62" s="201" t="s">
        <v>82</v>
      </c>
      <c r="C62" s="202"/>
      <c r="D62" s="76">
        <f>[12]MTD!$E11</f>
        <v>3.990890358963231</v>
      </c>
      <c r="E62" s="200">
        <v>3.3</v>
      </c>
      <c r="F62" s="202"/>
      <c r="G62" s="76">
        <f>[11]March_2026!$AN9</f>
        <v>5.2963377949109214</v>
      </c>
      <c r="H62" s="200">
        <v>3.3</v>
      </c>
      <c r="I62" s="203"/>
      <c r="J62" s="194">
        <f>[13]March_2026!$AN19</f>
        <v>1.0967836257309942</v>
      </c>
      <c r="K62" s="204">
        <v>1</v>
      </c>
    </row>
    <row r="63" spans="2:11" ht="15.75" thickBot="1">
      <c r="B63" s="38" t="s">
        <v>128</v>
      </c>
      <c r="C63" s="205"/>
      <c r="D63" s="76" t="e">
        <f>[12]MTD!$E12</f>
        <v>#DIV/0!</v>
      </c>
      <c r="E63" s="206">
        <v>3.5</v>
      </c>
      <c r="F63" s="205"/>
      <c r="G63" s="76" t="e">
        <f>[11]March_2026!$AN10</f>
        <v>#DIV/0!</v>
      </c>
      <c r="H63" s="206">
        <v>3.5</v>
      </c>
      <c r="I63" s="207"/>
      <c r="J63" s="194" t="e">
        <f>[13]March_2026!$AN20</f>
        <v>#DIV/0!</v>
      </c>
      <c r="K63" s="208">
        <v>1</v>
      </c>
    </row>
    <row r="64" spans="2:11" ht="15.75" thickBot="1">
      <c r="B64" s="413" t="s">
        <v>159</v>
      </c>
      <c r="C64" s="198"/>
      <c r="D64" s="76" t="e">
        <f>[12]MTD!$E13</f>
        <v>#DIV/0!</v>
      </c>
      <c r="E64" s="192">
        <v>5</v>
      </c>
      <c r="F64" s="198"/>
      <c r="G64" s="76" t="e">
        <f>[11]March_2026!$AN11</f>
        <v>#DIV/0!</v>
      </c>
      <c r="H64" s="192">
        <v>5</v>
      </c>
      <c r="I64" s="412"/>
      <c r="J64" s="194" t="e">
        <f>[13]March_2026!$AN21</f>
        <v>#DIV/0!</v>
      </c>
      <c r="K64" s="208">
        <v>1</v>
      </c>
    </row>
    <row r="65" spans="2:11">
      <c r="B65" s="209"/>
      <c r="C65" s="210"/>
      <c r="D65" s="76">
        <f>[12]MTD!$E14</f>
        <v>6.2715353036833381</v>
      </c>
      <c r="E65" s="210"/>
      <c r="F65" s="210"/>
      <c r="G65" s="76">
        <f>[11]March_2026!$AN12</f>
        <v>6.3768933747277767</v>
      </c>
      <c r="H65" s="211"/>
      <c r="I65" s="212"/>
      <c r="J65" s="194">
        <f>[13]March_2026!$AN22</f>
        <v>0.67794661256315403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H52:J52"/>
    <mergeCell ref="D53:J53"/>
    <mergeCell ref="B54:E54"/>
    <mergeCell ref="F54:H54"/>
    <mergeCell ref="I54:K5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F21:G21"/>
    <mergeCell ref="K43:K44"/>
    <mergeCell ref="H45:J45"/>
    <mergeCell ref="B43:B44"/>
    <mergeCell ref="C43:C44"/>
    <mergeCell ref="D43:D44"/>
    <mergeCell ref="E43:E44"/>
    <mergeCell ref="B2:K2"/>
    <mergeCell ref="C4:D4"/>
    <mergeCell ref="B8:B9"/>
    <mergeCell ref="C8:C9"/>
    <mergeCell ref="D8:D9"/>
    <mergeCell ref="G8:G9"/>
    <mergeCell ref="H8:H9"/>
    <mergeCell ref="I8:I9"/>
    <mergeCell ref="K8:K9"/>
  </mergeCells>
  <printOptions horizontalCentered="1"/>
  <pageMargins left="0.25" right="0.24" top="0.5" bottom="0.5" header="0.5" footer="0.5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89C0-C575-4A8E-A1E3-979A579814DF}">
  <sheetPr codeName="Sheet19">
    <tabColor rgb="FF7030A0"/>
    <pageSetUpPr fitToPage="1"/>
  </sheetPr>
  <dimension ref="B1:O73"/>
  <sheetViews>
    <sheetView showZeros="0" topLeftCell="A54" zoomScale="115" zoomScaleNormal="115" workbookViewId="0">
      <selection activeCell="J56" sqref="J56:J65"/>
    </sheetView>
  </sheetViews>
  <sheetFormatPr defaultColWidth="9.42578125" defaultRowHeight="12.75"/>
  <cols>
    <col min="1" max="1" width="9.42578125" style="78"/>
    <col min="2" max="2" width="12.5703125" style="78" customWidth="1"/>
    <col min="3" max="3" width="9.42578125" style="78" customWidth="1"/>
    <col min="4" max="4" width="9.5703125" style="78" customWidth="1"/>
    <col min="5" max="5" width="8.5703125" style="78" customWidth="1"/>
    <col min="6" max="6" width="14.42578125" style="78" customWidth="1"/>
    <col min="7" max="7" width="11.42578125" style="78" customWidth="1"/>
    <col min="8" max="8" width="9.42578125" style="78" bestFit="1" customWidth="1"/>
    <col min="9" max="9" width="11.5703125" style="78" customWidth="1"/>
    <col min="10" max="10" width="11.5703125" style="78" bestFit="1" customWidth="1"/>
    <col min="11" max="11" width="16.42578125" style="78" customWidth="1"/>
    <col min="12" max="12" width="13.42578125" style="78" customWidth="1"/>
    <col min="13" max="16384" width="9.42578125" style="78"/>
  </cols>
  <sheetData>
    <row r="1" spans="2:14" ht="13.5" hidden="1" thickBot="1"/>
    <row r="2" spans="2:14" ht="15.75" hidden="1" thickBot="1">
      <c r="B2" s="587" t="s">
        <v>58</v>
      </c>
      <c r="C2" s="587"/>
      <c r="D2" s="587"/>
      <c r="E2" s="587"/>
      <c r="F2" s="587"/>
      <c r="G2" s="587"/>
      <c r="H2" s="587"/>
      <c r="I2" s="587"/>
      <c r="J2" s="587"/>
      <c r="K2" s="587"/>
    </row>
    <row r="3" spans="2:14" ht="15.75" hidden="1" thickBot="1">
      <c r="B3" s="79"/>
    </row>
    <row r="4" spans="2:14" ht="13.5" hidden="1" thickBot="1">
      <c r="B4" s="78" t="s">
        <v>7</v>
      </c>
      <c r="C4" s="588">
        <v>41431</v>
      </c>
      <c r="D4" s="588"/>
    </row>
    <row r="5" spans="2:14" ht="13.5" hidden="1" thickBot="1">
      <c r="C5" s="78" t="s">
        <v>41</v>
      </c>
    </row>
    <row r="6" spans="2:14" ht="15" hidden="1" thickBot="1">
      <c r="B6" s="5" t="s">
        <v>13</v>
      </c>
    </row>
    <row r="7" spans="2:14" ht="13.5" hidden="1" thickBot="1"/>
    <row r="8" spans="2:14" ht="25.5" hidden="1" customHeight="1" thickBot="1">
      <c r="B8" s="589" t="s">
        <v>17</v>
      </c>
      <c r="C8" s="591" t="s">
        <v>18</v>
      </c>
      <c r="D8" s="591" t="s">
        <v>59</v>
      </c>
      <c r="E8" s="80" t="s">
        <v>20</v>
      </c>
      <c r="F8" s="81" t="s">
        <v>21</v>
      </c>
      <c r="G8" s="591" t="s">
        <v>60</v>
      </c>
      <c r="H8" s="591" t="s">
        <v>61</v>
      </c>
      <c r="I8" s="593" t="s">
        <v>62</v>
      </c>
      <c r="J8" s="82" t="s">
        <v>25</v>
      </c>
      <c r="K8" s="595" t="s">
        <v>28</v>
      </c>
    </row>
    <row r="9" spans="2:14" ht="26.25" hidden="1" thickBot="1">
      <c r="B9" s="590"/>
      <c r="C9" s="592"/>
      <c r="D9" s="592"/>
      <c r="E9" s="83" t="s">
        <v>30</v>
      </c>
      <c r="F9" s="84" t="s">
        <v>63</v>
      </c>
      <c r="G9" s="592"/>
      <c r="H9" s="592"/>
      <c r="I9" s="594"/>
      <c r="J9" s="85" t="s">
        <v>32</v>
      </c>
      <c r="K9" s="596"/>
      <c r="L9" s="86"/>
      <c r="M9" s="86"/>
      <c r="N9" s="86"/>
    </row>
    <row r="10" spans="2:14" ht="13.5" hidden="1" thickBot="1">
      <c r="B10" s="87" t="s">
        <v>64</v>
      </c>
      <c r="C10" s="88" t="str">
        <f>[33]Brewhouse!A5359</f>
        <v>CA236</v>
      </c>
      <c r="D10" s="88">
        <f>[33]Brewhouse!B5359</f>
        <v>41437</v>
      </c>
      <c r="E10" s="89">
        <f>[33]Brewhouse!AG5359</f>
        <v>49.011000000000003</v>
      </c>
      <c r="F10" s="90">
        <f>[33]Brewhouse!T5359</f>
        <v>60</v>
      </c>
      <c r="G10" s="91">
        <f>[33]Brewhouse!I5359</f>
        <v>19.79</v>
      </c>
      <c r="H10" s="92">
        <f>[33]Brewhouse!AS5359</f>
        <v>94.981545664755075</v>
      </c>
      <c r="I10" s="92">
        <f>[33]Brewhouse!AT5359</f>
        <v>97.074072469002047</v>
      </c>
      <c r="J10" s="93">
        <f>[33]Brewhouse!S5359-[33]Brewhouse!R5359</f>
        <v>0.10694444444444451</v>
      </c>
      <c r="K10" s="94"/>
      <c r="N10" s="95"/>
    </row>
    <row r="11" spans="2:14" ht="13.5" hidden="1" thickBot="1">
      <c r="B11" s="96"/>
      <c r="C11" s="88" t="str">
        <f>[33]Brewhouse!A5360</f>
        <v>CA237</v>
      </c>
      <c r="D11" s="88">
        <f>[33]Brewhouse!B5360</f>
        <v>41437</v>
      </c>
      <c r="E11" s="89">
        <f>[33]Brewhouse!AG5360</f>
        <v>48.531999999999996</v>
      </c>
      <c r="F11" s="90">
        <f>[33]Brewhouse!T5360</f>
        <v>68</v>
      </c>
      <c r="G11" s="91">
        <f>[33]Brewhouse!I5360</f>
        <v>17.7</v>
      </c>
      <c r="H11" s="92">
        <f>[33]Brewhouse!AS5360</f>
        <v>94.053260986347809</v>
      </c>
      <c r="I11" s="92">
        <f>[33]Brewhouse!AT5360</f>
        <v>96.1253368644918</v>
      </c>
      <c r="J11" s="93">
        <f>[33]Brewhouse!S5360-[33]Brewhouse!R5360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[33]Brewhouse!A5361</f>
        <v>CA238</v>
      </c>
      <c r="D12" s="88">
        <f>[33]Brewhouse!B5361</f>
        <v>41437</v>
      </c>
      <c r="E12" s="89">
        <f>[33]Brewhouse!AG5361</f>
        <v>50.466999999999999</v>
      </c>
      <c r="F12" s="90">
        <f>[33]Brewhouse!T5361</f>
        <v>61</v>
      </c>
      <c r="G12" s="91">
        <f>[33]Brewhouse!I5361</f>
        <v>19.7</v>
      </c>
      <c r="H12" s="92">
        <f>[33]Brewhouse!AS5361</f>
        <v>96.931393272913695</v>
      </c>
      <c r="I12" s="92">
        <f>[33]Brewhouse!AT5361</f>
        <v>99.066876931102286</v>
      </c>
      <c r="J12" s="93">
        <f>[33]Brewhouse!S5361-[33]Brewhouse!R5361</f>
        <v>0.10208333333333341</v>
      </c>
      <c r="K12" s="98"/>
    </row>
    <row r="13" spans="2:14" ht="13.5" hidden="1" thickBot="1">
      <c r="B13" s="99"/>
      <c r="C13" s="88" t="str">
        <f>[33]Brewhouse!A5362</f>
        <v>CA239</v>
      </c>
      <c r="D13" s="88">
        <f>[33]Brewhouse!B5362</f>
        <v>41437</v>
      </c>
      <c r="E13" s="89">
        <f>[33]Brewhouse!AG5362</f>
        <v>49.374000000000002</v>
      </c>
      <c r="F13" s="90">
        <f>[33]Brewhouse!T5362</f>
        <v>62</v>
      </c>
      <c r="G13" s="91">
        <f>[33]Brewhouse!I5362</f>
        <v>19</v>
      </c>
      <c r="H13" s="92">
        <f>[33]Brewhouse!AS5362</f>
        <v>95.68502653795305</v>
      </c>
      <c r="I13" s="92">
        <f>[33]Brewhouse!AT5362</f>
        <v>97.793051643192499</v>
      </c>
      <c r="J13" s="93">
        <f>[33]Brewhouse!S5362-[33]Brewhouse!R5362</f>
        <v>0.10416666666666663</v>
      </c>
      <c r="K13" s="98"/>
      <c r="M13" s="100"/>
    </row>
    <row r="14" spans="2:14" ht="13.5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5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5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5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5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25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5" hidden="1" thickBot="1">
      <c r="B21" s="86" t="s">
        <v>66</v>
      </c>
      <c r="C21" s="118"/>
      <c r="D21" s="123" t="s">
        <v>67</v>
      </c>
      <c r="E21" s="124" t="s">
        <v>68</v>
      </c>
      <c r="F21" s="597" t="s">
        <v>69</v>
      </c>
      <c r="G21" s="598"/>
      <c r="H21" s="337"/>
      <c r="I21" s="125"/>
      <c r="J21" s="97"/>
      <c r="K21" s="126" t="s">
        <v>24</v>
      </c>
    </row>
    <row r="22" spans="2:11" ht="13.5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75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[33]Brewhouse!N5359</f>
        <v>60</v>
      </c>
    </row>
    <row r="24" spans="2:11" ht="15.75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[33]Brewhouse!N5360</f>
        <v>60</v>
      </c>
    </row>
    <row r="25" spans="2:11" ht="15.75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[33]Brewhouse!N5361</f>
        <v>60</v>
      </c>
    </row>
    <row r="26" spans="2:11" ht="15.75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[33]Brewhouse!N5362</f>
        <v>60</v>
      </c>
    </row>
    <row r="27" spans="2:11" ht="15.75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75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75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5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5" hidden="1" thickBot="1">
      <c r="F31" s="97"/>
    </row>
    <row r="32" spans="2:11" ht="13.5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5" hidden="1" thickBot="1">
      <c r="B33" s="87" t="s">
        <v>64</v>
      </c>
      <c r="C33" s="145">
        <f>AVERAGE(H10:H13)</f>
        <v>95.4128066154924</v>
      </c>
      <c r="D33" s="146">
        <f>AVERAGE([33]Brewhouse!$AS$5347:$AS$5362)</f>
        <v>96.296241624200576</v>
      </c>
      <c r="E33" s="147">
        <v>96</v>
      </c>
    </row>
    <row r="34" spans="2:15" ht="13.5" hidden="1" thickBot="1">
      <c r="B34" s="99" t="s">
        <v>72</v>
      </c>
      <c r="C34" s="100"/>
      <c r="D34" s="146">
        <f>AVERAGE([34]Brewhouse!$AQ$641:$AQ$644)</f>
        <v>94.359266355846486</v>
      </c>
      <c r="E34" s="147">
        <v>96</v>
      </c>
    </row>
    <row r="35" spans="2:15" ht="13.5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5" hidden="1" thickBot="1">
      <c r="B36" s="148" t="s">
        <v>74</v>
      </c>
      <c r="C36" s="145"/>
      <c r="D36" s="149">
        <f>AVERAGE([35]Brewhouse!$AU$708:$AU$711)</f>
        <v>95.049759132870761</v>
      </c>
      <c r="E36" s="147">
        <v>96</v>
      </c>
    </row>
    <row r="37" spans="2:15" ht="13.5" hidden="1" thickBot="1">
      <c r="B37" s="150" t="s">
        <v>75</v>
      </c>
      <c r="C37" s="145"/>
      <c r="D37" s="151">
        <f>AVERAGE([36]Brewhouse!$AY$943:$AY$946)</f>
        <v>95.307332180967137</v>
      </c>
      <c r="E37" s="147">
        <v>96</v>
      </c>
    </row>
    <row r="38" spans="2:15" ht="13.5" hidden="1" thickBot="1">
      <c r="B38" s="102" t="s">
        <v>76</v>
      </c>
      <c r="C38" s="152"/>
      <c r="D38" s="153"/>
      <c r="E38" s="147">
        <v>96</v>
      </c>
    </row>
    <row r="39" spans="2:15" ht="13.5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25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5" hidden="1" thickBot="1">
      <c r="B41" s="5" t="s">
        <v>42</v>
      </c>
      <c r="C41" s="78" t="s">
        <v>78</v>
      </c>
      <c r="D41" s="335"/>
    </row>
    <row r="42" spans="2:15" ht="13.5" hidden="1" thickBot="1"/>
    <row r="43" spans="2:15" ht="12.75" hidden="1" customHeight="1" thickBot="1">
      <c r="B43" s="589" t="s">
        <v>17</v>
      </c>
      <c r="C43" s="591" t="s">
        <v>18</v>
      </c>
      <c r="D43" s="591" t="s">
        <v>44</v>
      </c>
      <c r="E43" s="591" t="s">
        <v>79</v>
      </c>
      <c r="F43" s="591" t="s">
        <v>51</v>
      </c>
      <c r="G43" s="591" t="s">
        <v>48</v>
      </c>
      <c r="H43" s="606" t="s">
        <v>28</v>
      </c>
      <c r="I43" s="607"/>
      <c r="J43" s="607"/>
      <c r="K43" s="595" t="s">
        <v>27</v>
      </c>
    </row>
    <row r="44" spans="2:15" ht="15.75" hidden="1" customHeight="1" thickBot="1">
      <c r="B44" s="602"/>
      <c r="C44" s="603"/>
      <c r="D44" s="603"/>
      <c r="E44" s="603"/>
      <c r="F44" s="603"/>
      <c r="G44" s="603"/>
      <c r="H44" s="608"/>
      <c r="I44" s="609"/>
      <c r="J44" s="609"/>
      <c r="K44" s="599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00"/>
      <c r="I45" s="601"/>
      <c r="J45" s="601"/>
      <c r="K45" s="165"/>
      <c r="L45" s="166"/>
      <c r="N45" s="95"/>
    </row>
    <row r="46" spans="2:15" ht="13.5" hidden="1" thickBot="1">
      <c r="B46" s="99"/>
      <c r="C46" s="160"/>
      <c r="D46" s="167"/>
      <c r="E46" s="163"/>
      <c r="F46" s="168"/>
      <c r="G46" s="162"/>
      <c r="H46" s="610"/>
      <c r="I46" s="611"/>
      <c r="J46" s="611"/>
      <c r="K46" s="169"/>
      <c r="L46" s="166"/>
      <c r="M46" s="97"/>
      <c r="N46" s="95"/>
      <c r="O46" s="100"/>
    </row>
    <row r="47" spans="2:15" ht="13.5" hidden="1" thickBot="1">
      <c r="B47" s="99"/>
      <c r="C47" s="160"/>
      <c r="D47" s="103"/>
      <c r="E47" s="170"/>
      <c r="F47" s="168"/>
      <c r="G47" s="162"/>
      <c r="H47" s="610"/>
      <c r="I47" s="611"/>
      <c r="J47" s="611"/>
      <c r="K47" s="169"/>
    </row>
    <row r="48" spans="2:15" ht="13.5" hidden="1" thickBot="1">
      <c r="B48" s="102"/>
      <c r="C48" s="160"/>
      <c r="D48" s="167"/>
      <c r="E48" s="128"/>
      <c r="F48" s="168"/>
      <c r="G48" s="171"/>
      <c r="H48" s="610"/>
      <c r="I48" s="611"/>
      <c r="J48" s="611"/>
      <c r="K48" s="172"/>
    </row>
    <row r="49" spans="2:11" ht="13.5" hidden="1" thickBot="1">
      <c r="B49" s="101"/>
      <c r="C49" s="160"/>
      <c r="D49" s="167"/>
      <c r="E49" s="170"/>
      <c r="F49" s="163"/>
      <c r="G49" s="162"/>
      <c r="H49" s="604"/>
      <c r="I49" s="605"/>
      <c r="J49" s="605"/>
      <c r="K49" s="172"/>
    </row>
    <row r="50" spans="2:11" ht="13.5" hidden="1" thickBot="1">
      <c r="B50" s="173"/>
      <c r="C50" s="160"/>
      <c r="E50" s="168"/>
      <c r="F50" s="168"/>
      <c r="G50" s="145"/>
      <c r="H50" s="604"/>
      <c r="I50" s="605"/>
      <c r="J50" s="605"/>
      <c r="K50" s="172"/>
    </row>
    <row r="51" spans="2:11" ht="13.5" hidden="1" thickBot="1">
      <c r="B51" s="174"/>
      <c r="C51" s="160"/>
      <c r="D51" s="167"/>
      <c r="E51" s="175"/>
      <c r="F51" s="175"/>
      <c r="G51" s="176"/>
      <c r="H51" s="604"/>
      <c r="I51" s="605"/>
      <c r="J51" s="605"/>
      <c r="K51" s="177"/>
    </row>
    <row r="52" spans="2:11" ht="13.5" hidden="1" thickBot="1">
      <c r="B52" s="178"/>
      <c r="C52" s="179"/>
      <c r="D52" s="180"/>
      <c r="E52" s="181"/>
      <c r="F52" s="181"/>
      <c r="G52" s="182"/>
      <c r="H52" s="612"/>
      <c r="I52" s="613"/>
      <c r="J52" s="613"/>
      <c r="K52" s="183"/>
    </row>
    <row r="53" spans="2:11" ht="13.5" thickBot="1">
      <c r="B53" s="184"/>
      <c r="C53" s="117"/>
      <c r="D53" s="614" t="s">
        <v>80</v>
      </c>
      <c r="E53" s="614"/>
      <c r="F53" s="614"/>
      <c r="G53" s="614"/>
      <c r="H53" s="614"/>
      <c r="I53" s="614"/>
      <c r="J53" s="614"/>
      <c r="K53" s="185"/>
    </row>
    <row r="54" spans="2:11" ht="13.5" thickBot="1">
      <c r="B54" s="615" t="s">
        <v>55</v>
      </c>
      <c r="C54" s="616"/>
      <c r="D54" s="616"/>
      <c r="E54" s="617"/>
      <c r="F54" s="615" t="s">
        <v>56</v>
      </c>
      <c r="G54" s="616"/>
      <c r="H54" s="617"/>
      <c r="I54" s="618" t="s">
        <v>81</v>
      </c>
      <c r="J54" s="619"/>
      <c r="K54" s="620"/>
    </row>
    <row r="55" spans="2:11">
      <c r="B55" s="186" t="s">
        <v>17</v>
      </c>
      <c r="C55" s="187" t="s">
        <v>36</v>
      </c>
      <c r="D55" s="187" t="s">
        <v>38</v>
      </c>
      <c r="E55" s="188" t="s">
        <v>39</v>
      </c>
      <c r="F55" s="187" t="s">
        <v>36</v>
      </c>
      <c r="G55" s="187" t="s">
        <v>38</v>
      </c>
      <c r="H55" s="188" t="s">
        <v>39</v>
      </c>
      <c r="I55" s="189" t="s">
        <v>36</v>
      </c>
      <c r="J55" s="189" t="s">
        <v>38</v>
      </c>
      <c r="K55" s="190" t="s">
        <v>39</v>
      </c>
    </row>
    <row r="56" spans="2:11" ht="15">
      <c r="B56" s="29" t="s">
        <v>64</v>
      </c>
      <c r="C56" s="191"/>
      <c r="D56" s="76">
        <f>'[12]YTD 2026'!$E5</f>
        <v>6.8559119177728194</v>
      </c>
      <c r="E56" s="192">
        <v>5</v>
      </c>
      <c r="F56" s="191"/>
      <c r="G56" s="76">
        <f>[11]March_2026!$AQ3</f>
        <v>6.7376293998803778</v>
      </c>
      <c r="H56" s="192">
        <v>5</v>
      </c>
      <c r="I56" s="193"/>
      <c r="J56" s="194">
        <f>[13]March_2026!$AQ13</f>
        <v>0.42797963091682517</v>
      </c>
      <c r="K56" s="195">
        <v>1</v>
      </c>
    </row>
    <row r="57" spans="2:11" ht="15">
      <c r="B57" s="33" t="s">
        <v>72</v>
      </c>
      <c r="C57" s="191"/>
      <c r="D57" s="76">
        <f>'[12]YTD 2026'!$E6</f>
        <v>6.3411334413966323</v>
      </c>
      <c r="E57" s="192">
        <v>5</v>
      </c>
      <c r="F57" s="191"/>
      <c r="G57" s="76">
        <f>[11]March_2026!$AQ4</f>
        <v>6.0615758973702238</v>
      </c>
      <c r="H57" s="192">
        <v>5</v>
      </c>
      <c r="I57" s="196"/>
      <c r="J57" s="194">
        <f>[13]March_2026!$AQ14</f>
        <v>0.66474567163482645</v>
      </c>
      <c r="K57" s="195">
        <v>1</v>
      </c>
    </row>
    <row r="58" spans="2:11" ht="15">
      <c r="B58" s="34" t="s">
        <v>73</v>
      </c>
      <c r="C58" s="191"/>
      <c r="D58" s="76">
        <f>'[12]YTD 2026'!$E7</f>
        <v>12.380135651360408</v>
      </c>
      <c r="E58" s="192">
        <v>5</v>
      </c>
      <c r="F58" s="191"/>
      <c r="G58" s="76">
        <f>[11]March_2026!$AQ5</f>
        <v>13.955538676690328</v>
      </c>
      <c r="H58" s="192">
        <v>5</v>
      </c>
      <c r="I58" s="196"/>
      <c r="J58" s="194">
        <f>[13]March_2026!$AQ15</f>
        <v>0.29450526315789471</v>
      </c>
      <c r="K58" s="195">
        <v>1</v>
      </c>
    </row>
    <row r="59" spans="2:11" ht="15">
      <c r="B59" s="197" t="s">
        <v>74</v>
      </c>
      <c r="C59" s="191"/>
      <c r="D59" s="76">
        <f>'[12]YTD 2026'!$E8</f>
        <v>4.601418358346991</v>
      </c>
      <c r="E59" s="192">
        <v>3.5</v>
      </c>
      <c r="F59" s="191"/>
      <c r="G59" s="76">
        <f>[11]March_2026!$AQ6</f>
        <v>4.3274739720788533</v>
      </c>
      <c r="H59" s="192">
        <v>3.5</v>
      </c>
      <c r="I59" s="196"/>
      <c r="J59" s="194">
        <f>[13]March_2026!$AQ16</f>
        <v>0.82859649122807022</v>
      </c>
      <c r="K59" s="195">
        <v>1</v>
      </c>
    </row>
    <row r="60" spans="2:11" ht="15.75" thickBot="1">
      <c r="B60" s="38" t="s">
        <v>160</v>
      </c>
      <c r="C60" s="191"/>
      <c r="D60" s="76" t="e">
        <f>'[12]YTD 2026'!$E9</f>
        <v>#DIV/0!</v>
      </c>
      <c r="E60" s="192">
        <v>3.5</v>
      </c>
      <c r="F60" s="198"/>
      <c r="G60" s="76" t="e">
        <f>[11]March_2026!$AQ7</f>
        <v>#DIV/0!</v>
      </c>
      <c r="H60" s="192">
        <v>3.5</v>
      </c>
      <c r="I60" s="196"/>
      <c r="J60" s="194" t="e">
        <f>[13]March_2026!$AQ17</f>
        <v>#DIV/0!</v>
      </c>
      <c r="K60" s="195">
        <v>1</v>
      </c>
    </row>
    <row r="61" spans="2:11" ht="15">
      <c r="B61" s="199" t="s">
        <v>76</v>
      </c>
      <c r="C61" s="191"/>
      <c r="D61" s="76">
        <f>'[12]YTD 2026'!$E10</f>
        <v>5.1105651105651271</v>
      </c>
      <c r="E61" s="200">
        <v>5</v>
      </c>
      <c r="F61" s="191"/>
      <c r="G61" s="76">
        <f>[11]March_2026!$AQ8</f>
        <v>7.9131369535794072</v>
      </c>
      <c r="H61" s="200">
        <v>5</v>
      </c>
      <c r="I61" s="196"/>
      <c r="J61" s="194">
        <f>[13]March_2026!$AQ18</f>
        <v>1.3550877192982456</v>
      </c>
      <c r="K61" s="195">
        <v>1</v>
      </c>
    </row>
    <row r="62" spans="2:11" ht="15">
      <c r="B62" s="201" t="s">
        <v>82</v>
      </c>
      <c r="C62" s="202"/>
      <c r="D62" s="76">
        <f>'[12]YTD 2026'!$E11</f>
        <v>3.9654240950837436</v>
      </c>
      <c r="E62" s="200">
        <v>3.3</v>
      </c>
      <c r="F62" s="202"/>
      <c r="G62" s="76">
        <f>[11]March_2026!$AQ9</f>
        <v>5.0010391616318897</v>
      </c>
      <c r="H62" s="200">
        <v>3.3</v>
      </c>
      <c r="I62" s="203"/>
      <c r="J62" s="194">
        <f>[13]March_2026!$AQ19</f>
        <v>0.93295906432748543</v>
      </c>
      <c r="K62" s="204">
        <v>1</v>
      </c>
    </row>
    <row r="63" spans="2:11" ht="15.75" thickBot="1">
      <c r="B63" s="38" t="s">
        <v>128</v>
      </c>
      <c r="C63" s="205"/>
      <c r="D63" s="76" t="e">
        <f>'[12]YTD 2026'!$E12</f>
        <v>#DIV/0!</v>
      </c>
      <c r="E63" s="206">
        <v>3.5</v>
      </c>
      <c r="F63" s="205"/>
      <c r="G63" s="76" t="e">
        <f>[11]March_2026!$AQ10</f>
        <v>#DIV/0!</v>
      </c>
      <c r="H63" s="206">
        <v>3.5</v>
      </c>
      <c r="I63" s="207"/>
      <c r="J63" s="194" t="e">
        <f>[13]March_2026!$AQ20</f>
        <v>#DIV/0!</v>
      </c>
      <c r="K63" s="208">
        <v>1</v>
      </c>
    </row>
    <row r="64" spans="2:11" ht="15.75" thickBot="1">
      <c r="B64" s="413" t="s">
        <v>159</v>
      </c>
      <c r="C64" s="205"/>
      <c r="D64" s="76" t="e">
        <f>'[12]YTD 2026'!$E13</f>
        <v>#DIV/0!</v>
      </c>
      <c r="E64" s="206">
        <v>5</v>
      </c>
      <c r="F64" s="205"/>
      <c r="G64" s="76" t="e">
        <f>[11]March_2026!$AQ11</f>
        <v>#DIV/0!</v>
      </c>
      <c r="H64" s="206">
        <v>5</v>
      </c>
      <c r="I64" s="207"/>
      <c r="J64" s="194" t="e">
        <f>[13]March_2026!$AQ21</f>
        <v>#DIV/0!</v>
      </c>
      <c r="K64" s="208">
        <v>1</v>
      </c>
    </row>
    <row r="65" spans="2:11">
      <c r="B65" s="209"/>
      <c r="C65" s="210"/>
      <c r="D65" s="76">
        <f>'[12]YTD 2026'!$E14</f>
        <v>6.6198470271930656</v>
      </c>
      <c r="E65" s="210"/>
      <c r="F65" s="210"/>
      <c r="G65" s="76">
        <f>[11]March_2026!$AQ12</f>
        <v>6.8021633509008002</v>
      </c>
      <c r="H65" s="211"/>
      <c r="I65" s="212"/>
      <c r="J65" s="194">
        <f>[13]March_2026!$AQ22</f>
        <v>0.52793870334751614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H52:J52"/>
    <mergeCell ref="D53:J53"/>
    <mergeCell ref="B54:E54"/>
    <mergeCell ref="F54:H54"/>
    <mergeCell ref="I54:K5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F21:G21"/>
    <mergeCell ref="K43:K44"/>
    <mergeCell ref="H45:J45"/>
    <mergeCell ref="B43:B44"/>
    <mergeCell ref="C43:C44"/>
    <mergeCell ref="D43:D44"/>
    <mergeCell ref="E43:E44"/>
    <mergeCell ref="B2:K2"/>
    <mergeCell ref="C4:D4"/>
    <mergeCell ref="B8:B9"/>
    <mergeCell ref="C8:C9"/>
    <mergeCell ref="D8:D9"/>
    <mergeCell ref="G8:G9"/>
    <mergeCell ref="H8:H9"/>
    <mergeCell ref="I8:I9"/>
    <mergeCell ref="K8:K9"/>
  </mergeCells>
  <printOptions horizontalCentered="1"/>
  <pageMargins left="0.25" right="0.24" top="0.5" bottom="0.5" header="0.5" footer="0.5"/>
  <pageSetup scale="9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DA13-74B1-4009-90C9-5A553EBA7938}">
  <sheetPr codeName="Sheet20">
    <tabColor rgb="FFFFFF00"/>
  </sheetPr>
  <dimension ref="A1:M38"/>
  <sheetViews>
    <sheetView topLeftCell="B16" workbookViewId="0">
      <selection activeCell="E70" sqref="E70"/>
    </sheetView>
  </sheetViews>
  <sheetFormatPr defaultRowHeight="12.75"/>
  <cols>
    <col min="2" max="2" width="9.5703125" customWidth="1"/>
    <col min="3" max="3" width="11" customWidth="1"/>
    <col min="4" max="4" width="13.5703125" customWidth="1"/>
    <col min="5" max="5" width="15.5703125" customWidth="1"/>
    <col min="11" max="11" width="10.42578125" bestFit="1" customWidth="1"/>
    <col min="12" max="12" width="15.42578125" bestFit="1" customWidth="1"/>
    <col min="13" max="13" width="12.28515625" bestFit="1" customWidth="1"/>
  </cols>
  <sheetData>
    <row r="1" spans="1:13" ht="15">
      <c r="A1" s="215"/>
      <c r="B1" s="215"/>
      <c r="C1" s="215"/>
      <c r="D1" s="215"/>
      <c r="E1" s="215"/>
      <c r="F1" s="215"/>
      <c r="G1" s="215"/>
      <c r="H1" s="215"/>
      <c r="I1" s="215"/>
      <c r="J1" s="215"/>
      <c r="K1" s="215"/>
    </row>
    <row r="2" spans="1:13" ht="15.75">
      <c r="A2" s="215"/>
      <c r="B2" s="621" t="s">
        <v>34</v>
      </c>
      <c r="C2" s="621"/>
      <c r="D2" s="621"/>
      <c r="E2" s="215"/>
      <c r="F2" s="215"/>
      <c r="G2" s="215"/>
      <c r="H2" s="215"/>
      <c r="I2" s="215"/>
      <c r="J2" s="215"/>
      <c r="K2" s="215"/>
    </row>
    <row r="3" spans="1:13" s="219" customFormat="1" ht="15.75">
      <c r="A3" s="216"/>
      <c r="B3" s="217" t="s">
        <v>84</v>
      </c>
      <c r="C3" s="218" t="s">
        <v>85</v>
      </c>
      <c r="D3" s="218" t="s">
        <v>86</v>
      </c>
      <c r="E3" s="218" t="s">
        <v>87</v>
      </c>
      <c r="F3" s="218" t="s">
        <v>88</v>
      </c>
      <c r="G3" s="218" t="s">
        <v>89</v>
      </c>
      <c r="H3" s="218" t="s">
        <v>90</v>
      </c>
      <c r="I3" s="218" t="s">
        <v>91</v>
      </c>
      <c r="J3" s="218" t="s">
        <v>92</v>
      </c>
      <c r="K3" s="218" t="s">
        <v>93</v>
      </c>
      <c r="L3" s="218" t="s">
        <v>94</v>
      </c>
      <c r="M3" s="218" t="s">
        <v>95</v>
      </c>
    </row>
    <row r="4" spans="1:13" ht="15">
      <c r="A4" s="215"/>
      <c r="B4" s="220">
        <v>98</v>
      </c>
      <c r="C4" s="221" t="s">
        <v>64</v>
      </c>
      <c r="D4" s="222"/>
      <c r="E4" s="223"/>
      <c r="F4" s="223"/>
      <c r="G4" s="223"/>
      <c r="H4" s="223"/>
      <c r="I4" s="223"/>
      <c r="J4" s="223"/>
      <c r="K4" s="223"/>
      <c r="L4" s="223"/>
    </row>
    <row r="5" spans="1:13" ht="15">
      <c r="A5" s="215"/>
      <c r="B5" s="220">
        <v>98</v>
      </c>
      <c r="C5" s="224" t="s">
        <v>72</v>
      </c>
      <c r="D5" s="223"/>
      <c r="E5" s="223"/>
      <c r="F5" s="223"/>
      <c r="G5" s="223"/>
      <c r="H5" s="223"/>
      <c r="I5" s="223"/>
      <c r="J5" s="223"/>
      <c r="K5" s="223"/>
      <c r="L5" s="223"/>
    </row>
    <row r="6" spans="1:13" ht="15">
      <c r="A6" s="215"/>
      <c r="B6" s="220">
        <v>98</v>
      </c>
      <c r="C6" s="225" t="s">
        <v>96</v>
      </c>
      <c r="D6" s="222"/>
      <c r="E6" s="223"/>
      <c r="F6" s="223"/>
      <c r="G6" s="223"/>
      <c r="H6" s="223"/>
      <c r="I6" s="223"/>
      <c r="J6" s="223"/>
      <c r="K6" s="223"/>
      <c r="L6" s="223"/>
    </row>
    <row r="7" spans="1:13" ht="15">
      <c r="A7" s="215"/>
      <c r="B7" s="220">
        <v>98</v>
      </c>
      <c r="C7" s="226" t="s">
        <v>76</v>
      </c>
      <c r="D7" s="223"/>
      <c r="E7" s="223"/>
      <c r="F7" s="223"/>
      <c r="G7" s="223"/>
      <c r="H7" s="223"/>
      <c r="I7" s="223"/>
      <c r="J7" s="223"/>
      <c r="K7" s="223"/>
      <c r="L7" s="223"/>
    </row>
    <row r="8" spans="1:13" ht="15">
      <c r="A8" s="215"/>
      <c r="B8" s="220">
        <v>98</v>
      </c>
      <c r="C8" s="227" t="s">
        <v>83</v>
      </c>
      <c r="D8" s="222"/>
      <c r="E8" s="223"/>
      <c r="F8" s="223"/>
      <c r="G8" s="223"/>
      <c r="H8" s="223"/>
      <c r="I8" s="223"/>
      <c r="J8" s="223"/>
      <c r="K8" s="223"/>
      <c r="L8" s="223"/>
    </row>
    <row r="9" spans="1:13" ht="15">
      <c r="A9" s="215"/>
      <c r="B9" s="220">
        <v>98</v>
      </c>
      <c r="C9" s="228" t="s">
        <v>97</v>
      </c>
      <c r="D9" s="223"/>
      <c r="E9" s="223"/>
      <c r="F9" s="223"/>
      <c r="G9" s="223"/>
      <c r="H9" s="223"/>
      <c r="I9" s="223"/>
      <c r="J9" s="223"/>
      <c r="K9" s="223"/>
      <c r="L9" s="223"/>
    </row>
    <row r="10" spans="1:13" ht="15">
      <c r="A10" s="215"/>
      <c r="B10" s="220">
        <v>98</v>
      </c>
      <c r="C10" s="229" t="s">
        <v>98</v>
      </c>
      <c r="D10" s="222"/>
      <c r="E10" s="223"/>
      <c r="F10" s="223"/>
      <c r="G10" s="223"/>
      <c r="H10" s="223"/>
      <c r="I10" s="223"/>
      <c r="J10" s="223"/>
      <c r="K10" s="223"/>
      <c r="L10" s="223"/>
    </row>
    <row r="11" spans="1:13" ht="15">
      <c r="A11" s="215"/>
      <c r="B11" s="220">
        <v>98</v>
      </c>
      <c r="C11" s="230" t="s">
        <v>74</v>
      </c>
      <c r="D11" s="223"/>
      <c r="E11" s="223"/>
      <c r="F11" s="223"/>
      <c r="G11" s="223"/>
      <c r="H11" s="223"/>
      <c r="I11" s="223"/>
      <c r="J11" s="223"/>
      <c r="K11" s="223"/>
      <c r="L11" s="223"/>
    </row>
    <row r="12" spans="1:13" s="219" customFormat="1" ht="15.75">
      <c r="A12" s="216"/>
      <c r="B12" s="231">
        <v>98</v>
      </c>
      <c r="C12" s="232" t="s">
        <v>99</v>
      </c>
      <c r="D12" s="233"/>
      <c r="E12" s="234"/>
      <c r="F12" s="234"/>
      <c r="G12" s="234"/>
      <c r="H12" s="234"/>
      <c r="I12" s="234"/>
      <c r="J12" s="234"/>
      <c r="K12" s="234"/>
      <c r="L12" s="234"/>
    </row>
    <row r="13" spans="1:13" ht="15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215"/>
    </row>
    <row r="14" spans="1:13" ht="15.75">
      <c r="A14" s="215"/>
      <c r="B14" s="621" t="s">
        <v>100</v>
      </c>
      <c r="C14" s="621"/>
      <c r="D14" s="621"/>
      <c r="E14" s="215"/>
      <c r="F14" s="215"/>
      <c r="G14" s="215"/>
      <c r="H14" s="215"/>
      <c r="I14" s="215"/>
      <c r="J14" s="215"/>
      <c r="K14" s="215"/>
    </row>
    <row r="15" spans="1:13" ht="15.75">
      <c r="A15" s="215"/>
      <c r="B15" s="217" t="s">
        <v>84</v>
      </c>
      <c r="C15" s="218" t="s">
        <v>85</v>
      </c>
      <c r="D15" s="218" t="s">
        <v>86</v>
      </c>
      <c r="E15" s="218" t="s">
        <v>87</v>
      </c>
      <c r="F15" s="218" t="s">
        <v>88</v>
      </c>
      <c r="G15" s="218" t="s">
        <v>89</v>
      </c>
      <c r="H15" s="218" t="s">
        <v>90</v>
      </c>
      <c r="I15" s="218" t="s">
        <v>91</v>
      </c>
      <c r="J15" s="218" t="s">
        <v>92</v>
      </c>
      <c r="K15" s="218" t="s">
        <v>93</v>
      </c>
      <c r="L15" s="218" t="s">
        <v>94</v>
      </c>
      <c r="M15" s="218" t="s">
        <v>95</v>
      </c>
    </row>
    <row r="16" spans="1:13" ht="15">
      <c r="A16" s="215"/>
      <c r="B16" s="220">
        <v>4.8</v>
      </c>
      <c r="C16" s="221" t="s">
        <v>64</v>
      </c>
      <c r="D16" s="222"/>
      <c r="E16" s="222"/>
      <c r="F16" s="222"/>
      <c r="G16" s="222"/>
      <c r="H16" s="222"/>
      <c r="I16" s="222"/>
      <c r="J16" s="222"/>
      <c r="K16" s="222"/>
      <c r="L16" s="222"/>
      <c r="M16" s="222"/>
    </row>
    <row r="17" spans="1:13" ht="15">
      <c r="A17" s="215"/>
      <c r="B17" s="220">
        <v>4.8</v>
      </c>
      <c r="C17" s="224" t="s">
        <v>72</v>
      </c>
      <c r="D17" s="223"/>
      <c r="E17" s="223"/>
      <c r="F17" s="223"/>
      <c r="G17" s="223"/>
      <c r="H17" s="223"/>
      <c r="I17" s="223"/>
      <c r="J17" s="223"/>
      <c r="K17" s="223"/>
      <c r="L17" s="223"/>
      <c r="M17" s="223"/>
    </row>
    <row r="18" spans="1:13" ht="15">
      <c r="A18" s="215"/>
      <c r="B18" s="220">
        <v>5.5</v>
      </c>
      <c r="C18" s="225" t="s">
        <v>96</v>
      </c>
      <c r="D18" s="222"/>
      <c r="E18" s="222"/>
      <c r="F18" s="222"/>
      <c r="G18" s="222"/>
      <c r="H18" s="222"/>
      <c r="I18" s="222"/>
      <c r="J18" s="222"/>
      <c r="K18" s="222"/>
      <c r="L18" s="222"/>
      <c r="M18" s="222"/>
    </row>
    <row r="19" spans="1:13" ht="15">
      <c r="A19" s="215"/>
      <c r="B19" s="220">
        <v>3.3</v>
      </c>
      <c r="C19" s="230" t="s">
        <v>74</v>
      </c>
      <c r="D19" s="223"/>
      <c r="E19" s="223"/>
      <c r="F19" s="223"/>
      <c r="G19" s="223"/>
      <c r="H19" s="223"/>
      <c r="I19" s="223"/>
      <c r="J19" s="223"/>
      <c r="K19" s="223"/>
      <c r="L19" s="223"/>
      <c r="M19" s="223"/>
    </row>
    <row r="20" spans="1:13" ht="15">
      <c r="A20" s="215"/>
      <c r="B20" s="220">
        <v>3.3</v>
      </c>
      <c r="C20" s="228" t="s">
        <v>97</v>
      </c>
      <c r="D20" s="222"/>
      <c r="E20" s="222"/>
      <c r="F20" s="222"/>
      <c r="G20" s="222"/>
      <c r="H20" s="222"/>
      <c r="I20" s="222"/>
      <c r="J20" s="222"/>
      <c r="K20" s="222"/>
      <c r="L20" s="222"/>
      <c r="M20" s="222"/>
    </row>
    <row r="21" spans="1:13" ht="15">
      <c r="A21" s="215"/>
      <c r="B21" s="220">
        <v>5.5</v>
      </c>
      <c r="C21" s="226" t="s">
        <v>76</v>
      </c>
      <c r="D21" s="223"/>
      <c r="E21" s="223"/>
      <c r="F21" s="223"/>
      <c r="G21" s="223"/>
      <c r="H21" s="223"/>
      <c r="I21" s="223"/>
      <c r="J21" s="223"/>
      <c r="K21" s="223"/>
      <c r="L21" s="223"/>
      <c r="M21" s="223"/>
    </row>
    <row r="22" spans="1:13" ht="15">
      <c r="A22" s="215"/>
      <c r="B22" s="220">
        <v>3.3</v>
      </c>
      <c r="C22" s="229" t="s">
        <v>98</v>
      </c>
      <c r="D22" s="222"/>
      <c r="E22" s="222"/>
      <c r="F22" s="222"/>
      <c r="G22" s="222"/>
      <c r="H22" s="222"/>
      <c r="I22" s="222"/>
      <c r="J22" s="222"/>
      <c r="K22" s="222"/>
      <c r="L22" s="222"/>
      <c r="M22" s="222"/>
    </row>
    <row r="23" spans="1:13" ht="15">
      <c r="A23" s="215"/>
      <c r="B23" s="220">
        <v>7.5</v>
      </c>
      <c r="C23" s="227" t="s">
        <v>83</v>
      </c>
      <c r="D23" s="223"/>
      <c r="E23" s="223"/>
      <c r="F23" s="223"/>
      <c r="G23" s="223"/>
      <c r="H23" s="223"/>
      <c r="I23" s="223"/>
      <c r="J23" s="223"/>
      <c r="K23" s="223"/>
      <c r="L23" s="223"/>
      <c r="M23" s="223"/>
    </row>
    <row r="24" spans="1:13" s="219" customFormat="1" ht="15.75">
      <c r="A24" s="216"/>
      <c r="B24" s="216"/>
      <c r="C24" s="232" t="s">
        <v>99</v>
      </c>
      <c r="D24" s="233"/>
      <c r="E24" s="233"/>
      <c r="F24" s="233"/>
      <c r="G24" s="233"/>
      <c r="H24" s="233"/>
      <c r="I24" s="233"/>
      <c r="J24" s="233"/>
      <c r="K24" s="233"/>
      <c r="L24" s="233"/>
      <c r="M24" s="233"/>
    </row>
    <row r="25" spans="1:13" ht="15">
      <c r="A25" s="215"/>
      <c r="B25" s="215"/>
      <c r="C25" s="215"/>
      <c r="D25" s="215"/>
      <c r="E25" s="215"/>
      <c r="F25" s="215"/>
      <c r="G25" s="215"/>
      <c r="H25" s="215"/>
      <c r="I25" s="215"/>
      <c r="J25" s="215"/>
      <c r="K25" s="215"/>
    </row>
    <row r="26" spans="1:13" ht="15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</row>
    <row r="27" spans="1:13" ht="15.75">
      <c r="A27" s="215"/>
      <c r="B27" s="621" t="s">
        <v>101</v>
      </c>
      <c r="C27" s="621"/>
      <c r="D27" s="621"/>
      <c r="E27" s="215"/>
      <c r="F27" s="215"/>
      <c r="G27" s="215"/>
      <c r="H27" s="215"/>
      <c r="I27" s="215"/>
      <c r="J27" s="215"/>
      <c r="K27" s="215"/>
    </row>
    <row r="28" spans="1:13" ht="15.75">
      <c r="A28" s="215"/>
      <c r="B28" s="217" t="s">
        <v>84</v>
      </c>
      <c r="C28" s="235" t="s">
        <v>85</v>
      </c>
      <c r="D28" s="218" t="s">
        <v>86</v>
      </c>
      <c r="E28" s="218" t="s">
        <v>87</v>
      </c>
      <c r="F28" s="218" t="s">
        <v>88</v>
      </c>
      <c r="G28" s="218" t="s">
        <v>89</v>
      </c>
      <c r="H28" s="218" t="s">
        <v>90</v>
      </c>
      <c r="I28" s="218" t="s">
        <v>91</v>
      </c>
      <c r="J28" s="218" t="s">
        <v>92</v>
      </c>
      <c r="K28" s="218" t="s">
        <v>93</v>
      </c>
      <c r="L28" s="218" t="s">
        <v>94</v>
      </c>
      <c r="M28" s="218" t="s">
        <v>95</v>
      </c>
    </row>
    <row r="29" spans="1:13" ht="15">
      <c r="A29" s="215"/>
      <c r="B29" s="220">
        <v>4.5999999999999996</v>
      </c>
      <c r="C29" s="236" t="s">
        <v>64</v>
      </c>
      <c r="D29" s="222"/>
      <c r="E29" s="222"/>
      <c r="F29" s="222"/>
      <c r="G29" s="222"/>
      <c r="H29" s="222"/>
      <c r="I29" s="222"/>
      <c r="J29" s="237"/>
      <c r="K29" s="237"/>
      <c r="L29" s="237"/>
      <c r="M29" s="237"/>
    </row>
    <row r="30" spans="1:13" ht="15">
      <c r="A30" s="215"/>
      <c r="B30" s="220">
        <v>4.5999999999999996</v>
      </c>
      <c r="C30" s="238" t="s">
        <v>72</v>
      </c>
      <c r="D30" s="223"/>
      <c r="E30" s="223"/>
      <c r="F30" s="223"/>
      <c r="G30" s="223"/>
      <c r="H30" s="223"/>
      <c r="I30" s="223"/>
      <c r="J30" s="239"/>
      <c r="K30" s="239"/>
      <c r="L30" s="239"/>
      <c r="M30" s="239"/>
    </row>
    <row r="31" spans="1:13" ht="15">
      <c r="A31" s="215"/>
      <c r="B31" s="220">
        <v>5</v>
      </c>
      <c r="C31" s="240" t="s">
        <v>96</v>
      </c>
      <c r="D31" s="222"/>
      <c r="E31" s="222"/>
      <c r="F31" s="222"/>
      <c r="G31" s="222"/>
      <c r="H31" s="222"/>
      <c r="I31" s="222"/>
      <c r="J31" s="237"/>
      <c r="K31" s="237"/>
      <c r="L31" s="237"/>
      <c r="M31" s="237"/>
    </row>
    <row r="32" spans="1:13" ht="15">
      <c r="A32" s="215"/>
      <c r="B32" s="220">
        <v>5</v>
      </c>
      <c r="C32" s="241" t="s">
        <v>76</v>
      </c>
      <c r="D32" s="223"/>
      <c r="E32" s="223"/>
      <c r="F32" s="223"/>
      <c r="G32" s="223"/>
      <c r="H32" s="223"/>
      <c r="I32" s="223"/>
      <c r="J32" s="239"/>
      <c r="K32" s="239"/>
      <c r="L32" s="239"/>
      <c r="M32" s="239"/>
    </row>
    <row r="33" spans="1:13" ht="15">
      <c r="A33" s="215"/>
      <c r="B33" s="220">
        <v>7.5</v>
      </c>
      <c r="C33" s="242" t="s">
        <v>83</v>
      </c>
      <c r="D33" s="222"/>
      <c r="E33" s="222"/>
      <c r="F33" s="222"/>
      <c r="G33" s="222"/>
      <c r="H33" s="222"/>
      <c r="I33" s="222"/>
      <c r="J33" s="222"/>
      <c r="K33" s="222"/>
      <c r="L33" s="222"/>
      <c r="M33" s="243"/>
    </row>
    <row r="34" spans="1:13" ht="15">
      <c r="A34" s="215"/>
      <c r="B34" s="220">
        <v>3.3</v>
      </c>
      <c r="C34" s="244" t="s">
        <v>97</v>
      </c>
      <c r="D34" s="223"/>
      <c r="E34" s="223"/>
      <c r="F34" s="223"/>
      <c r="G34" s="223"/>
      <c r="H34" s="223"/>
      <c r="I34" s="223"/>
      <c r="J34" s="223"/>
      <c r="K34" s="223"/>
      <c r="L34" s="223"/>
      <c r="M34" s="245"/>
    </row>
    <row r="35" spans="1:13" ht="15">
      <c r="A35" s="215"/>
      <c r="B35" s="220">
        <v>3.3</v>
      </c>
      <c r="C35" s="246" t="s">
        <v>98</v>
      </c>
      <c r="D35" s="222"/>
      <c r="E35" s="222"/>
      <c r="F35" s="222"/>
      <c r="G35" s="222"/>
      <c r="H35" s="222"/>
      <c r="I35" s="222"/>
      <c r="J35" s="237"/>
      <c r="K35" s="237"/>
      <c r="L35" s="237"/>
      <c r="M35" s="237"/>
    </row>
    <row r="36" spans="1:13" ht="15">
      <c r="A36" s="215"/>
      <c r="B36" s="220">
        <v>3.3</v>
      </c>
      <c r="C36" s="247" t="s">
        <v>74</v>
      </c>
      <c r="D36" s="223"/>
      <c r="E36" s="223"/>
      <c r="F36" s="223"/>
      <c r="G36" s="223"/>
      <c r="H36" s="223"/>
      <c r="I36" s="223"/>
      <c r="J36" s="239"/>
      <c r="K36" s="239"/>
      <c r="L36" s="239"/>
      <c r="M36" s="239"/>
    </row>
    <row r="37" spans="1:13" ht="15.75">
      <c r="A37" s="215"/>
      <c r="B37" s="231">
        <v>4.5</v>
      </c>
      <c r="C37" s="248" t="s">
        <v>99</v>
      </c>
      <c r="D37" s="233"/>
      <c r="E37" s="233"/>
      <c r="F37" s="233"/>
      <c r="G37" s="233"/>
      <c r="H37" s="233"/>
      <c r="I37" s="233"/>
      <c r="J37" s="249"/>
      <c r="K37" s="249"/>
      <c r="L37" s="249"/>
      <c r="M37" s="249"/>
    </row>
    <row r="38" spans="1:13" ht="15">
      <c r="A38" s="215"/>
      <c r="B38" s="215"/>
      <c r="C38" s="215"/>
      <c r="D38" s="215"/>
      <c r="E38" s="215"/>
      <c r="F38" s="215"/>
      <c r="G38" s="215"/>
      <c r="H38" s="215"/>
      <c r="I38" s="215"/>
      <c r="J38" s="215"/>
      <c r="K38" s="215"/>
    </row>
  </sheetData>
  <mergeCells count="3">
    <mergeCell ref="B2:D2"/>
    <mergeCell ref="B14:D14"/>
    <mergeCell ref="B27:D27"/>
  </mergeCells>
  <pageMargins left="0.7" right="0.7" top="0.75" bottom="0.75" header="0.3" footer="0.3"/>
  <pageSetup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381E-10D5-4CC1-8443-AB3C4DD2F491}">
  <sheetPr codeName="Sheet21">
    <tabColor rgb="FF92D050"/>
    <pageSetUpPr fitToPage="1"/>
  </sheetPr>
  <dimension ref="B2:W76"/>
  <sheetViews>
    <sheetView showGridLines="0" topLeftCell="A22" zoomScaleNormal="100" workbookViewId="0">
      <selection activeCell="M40" sqref="M40:M46"/>
    </sheetView>
  </sheetViews>
  <sheetFormatPr defaultRowHeight="12.75"/>
  <cols>
    <col min="1" max="1" width="2.42578125" customWidth="1"/>
    <col min="2" max="2" width="6.42578125" customWidth="1"/>
    <col min="3" max="3" width="25.42578125" customWidth="1"/>
    <col min="4" max="4" width="19.42578125" customWidth="1"/>
    <col min="5" max="5" width="15" customWidth="1"/>
    <col min="6" max="6" width="17.5703125" customWidth="1"/>
    <col min="7" max="7" width="13.42578125" customWidth="1"/>
    <col min="8" max="11" width="13.5703125" customWidth="1"/>
    <col min="12" max="12" width="17.42578125" bestFit="1" customWidth="1"/>
    <col min="13" max="15" width="17.42578125" customWidth="1"/>
    <col min="16" max="16" width="13.42578125" customWidth="1"/>
    <col min="17" max="17" width="8.5703125" customWidth="1"/>
    <col min="18" max="20" width="11.5703125" customWidth="1"/>
  </cols>
  <sheetData>
    <row r="2" spans="3:23" ht="15.75" thickBot="1"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</row>
    <row r="3" spans="3:23" ht="25.35" customHeight="1" thickTop="1" thickBot="1">
      <c r="C3" s="623" t="s">
        <v>102</v>
      </c>
      <c r="D3" s="624"/>
      <c r="E3" s="625">
        <f ca="1">TODAY()</f>
        <v>46119</v>
      </c>
      <c r="F3" s="625"/>
      <c r="G3" s="625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2"/>
    </row>
    <row r="4" spans="3:23" ht="20.100000000000001" customHeight="1" thickBot="1">
      <c r="C4" s="253" t="s">
        <v>103</v>
      </c>
      <c r="D4" s="254" t="s">
        <v>104</v>
      </c>
      <c r="E4" s="254" t="s">
        <v>37</v>
      </c>
      <c r="F4" s="255" t="s">
        <v>38</v>
      </c>
      <c r="G4" s="256" t="s">
        <v>84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2"/>
    </row>
    <row r="5" spans="3:23" ht="20.100000000000001" customHeight="1">
      <c r="C5" s="257" t="s">
        <v>105</v>
      </c>
      <c r="D5" s="258"/>
      <c r="E5" s="259">
        <f>VLOOKUP($C5,$C$40:$P$45,7,FALSE)</f>
        <v>98.214734207097663</v>
      </c>
      <c r="F5" s="260">
        <f>VLOOKUP($C5,$C$40:$P$45,14,FALSE)</f>
        <v>97.953297795741619</v>
      </c>
      <c r="G5" s="261">
        <v>98</v>
      </c>
      <c r="I5" s="251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51"/>
      <c r="V5" s="251"/>
      <c r="W5" s="252"/>
    </row>
    <row r="6" spans="3:23" ht="20.100000000000001" customHeight="1">
      <c r="C6" s="263" t="s">
        <v>106</v>
      </c>
      <c r="D6" s="258"/>
      <c r="E6" s="259">
        <f>VLOOKUP($C6,$C$40:$P$45,7,FALSE)</f>
        <v>97.831216272750581</v>
      </c>
      <c r="F6" s="260">
        <f>VLOOKUP($C6,$C$40:$P$45,14,FALSE)</f>
        <v>98.11994120800415</v>
      </c>
      <c r="G6" s="261">
        <v>98</v>
      </c>
      <c r="I6" s="251"/>
      <c r="J6" s="300"/>
      <c r="K6" s="299"/>
      <c r="L6" s="262"/>
      <c r="M6" s="262"/>
      <c r="N6" s="262"/>
      <c r="O6" s="262"/>
      <c r="P6" s="262"/>
      <c r="Q6" s="262"/>
      <c r="R6" s="262"/>
      <c r="S6" s="262"/>
      <c r="T6" s="262"/>
      <c r="U6" s="251"/>
      <c r="V6" s="251"/>
      <c r="W6" s="252"/>
    </row>
    <row r="7" spans="3:23" ht="20.100000000000001" customHeight="1">
      <c r="C7" s="263" t="s">
        <v>107</v>
      </c>
      <c r="D7" s="258"/>
      <c r="E7" s="259">
        <f>VLOOKUP($C7,$C$40:$P$45,7,FALSE)</f>
        <v>100.82497251003979</v>
      </c>
      <c r="F7" s="260">
        <f>VLOOKUP($C7,$C$40:$P$45,14,FALSE)</f>
        <v>99.564987122246436</v>
      </c>
      <c r="G7" s="261">
        <v>98</v>
      </c>
      <c r="I7" s="251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51"/>
      <c r="V7" s="251"/>
      <c r="W7" s="252"/>
    </row>
    <row r="8" spans="3:23" ht="20.100000000000001" customHeight="1">
      <c r="C8" s="263" t="s">
        <v>108</v>
      </c>
      <c r="D8" s="258"/>
      <c r="E8" s="259">
        <f>VLOOKUP($C8,$C$40:$P$45,7,FALSE)</f>
        <v>97.759800403711807</v>
      </c>
      <c r="F8" s="260">
        <f>VLOOKUP($C8,$C$40:$P$45,14,FALSE)</f>
        <v>98.122212110291372</v>
      </c>
      <c r="G8" s="261">
        <v>98</v>
      </c>
      <c r="I8" s="251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51"/>
      <c r="V8" s="251"/>
      <c r="W8" s="252"/>
    </row>
    <row r="9" spans="3:23" ht="20.100000000000001" customHeight="1">
      <c r="C9" s="263" t="s">
        <v>132</v>
      </c>
      <c r="D9" s="258"/>
      <c r="E9" s="259">
        <f>VLOOKUP($C9,$C$40:$P$45,7,FALSE)</f>
        <v>98.186950219332687</v>
      </c>
      <c r="F9" s="260">
        <f>VLOOKUP($C9,$C$40:$P$45,14,FALSE)</f>
        <v>98.089602299246422</v>
      </c>
      <c r="G9" s="261">
        <v>98</v>
      </c>
      <c r="I9" s="251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51"/>
      <c r="V9" s="251"/>
      <c r="W9" s="252"/>
    </row>
    <row r="10" spans="3:23" ht="19.5" thickBot="1">
      <c r="C10" s="264" t="s">
        <v>99</v>
      </c>
      <c r="D10" s="265"/>
      <c r="E10" s="265">
        <f>AVERAGE(E5:E9)</f>
        <v>98.56353472258651</v>
      </c>
      <c r="F10" s="298" t="e">
        <f>P47</f>
        <v>#DIV/0!</v>
      </c>
      <c r="G10" s="261">
        <v>98</v>
      </c>
      <c r="I10" s="251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51"/>
      <c r="V10" s="251"/>
      <c r="W10" s="252"/>
    </row>
    <row r="14" spans="3:23" ht="20.25" customHeight="1">
      <c r="C14" s="626" t="s">
        <v>143</v>
      </c>
      <c r="D14" s="626"/>
      <c r="E14" s="626"/>
      <c r="F14" s="626"/>
      <c r="G14" s="626"/>
      <c r="H14" s="626"/>
    </row>
    <row r="15" spans="3:23" ht="15" customHeight="1">
      <c r="C15" s="626"/>
      <c r="D15" s="626"/>
      <c r="E15" s="626"/>
      <c r="F15" s="626"/>
      <c r="G15" s="626"/>
      <c r="H15" s="626"/>
    </row>
    <row r="16" spans="3:23" ht="15" customHeight="1">
      <c r="C16" s="626"/>
      <c r="D16" s="626"/>
      <c r="E16" s="626"/>
      <c r="F16" s="626"/>
      <c r="G16" s="626"/>
      <c r="H16" s="626"/>
    </row>
    <row r="17" spans="3:8" ht="15" customHeight="1">
      <c r="C17" s="626"/>
      <c r="D17" s="626"/>
      <c r="E17" s="626"/>
      <c r="F17" s="626"/>
      <c r="G17" s="626"/>
      <c r="H17" s="626"/>
    </row>
    <row r="18" spans="3:8" ht="15" customHeight="1">
      <c r="C18" s="626"/>
      <c r="D18" s="626"/>
      <c r="E18" s="626"/>
      <c r="F18" s="626"/>
      <c r="G18" s="626"/>
      <c r="H18" s="626"/>
    </row>
    <row r="19" spans="3:8" ht="15" customHeight="1">
      <c r="C19" s="626"/>
      <c r="D19" s="626"/>
      <c r="E19" s="626"/>
      <c r="F19" s="626"/>
      <c r="G19" s="626"/>
      <c r="H19" s="626"/>
    </row>
    <row r="20" spans="3:8" ht="15" customHeight="1">
      <c r="C20" s="626"/>
      <c r="D20" s="626"/>
      <c r="E20" s="626"/>
      <c r="F20" s="626"/>
      <c r="G20" s="626"/>
      <c r="H20" s="626"/>
    </row>
    <row r="21" spans="3:8" ht="15" customHeight="1">
      <c r="C21" s="626"/>
      <c r="D21" s="626"/>
      <c r="E21" s="626"/>
      <c r="F21" s="626"/>
      <c r="G21" s="626"/>
      <c r="H21" s="626"/>
    </row>
    <row r="22" spans="3:8" ht="15" customHeight="1">
      <c r="C22" s="626"/>
      <c r="D22" s="626"/>
      <c r="E22" s="626"/>
      <c r="F22" s="626"/>
      <c r="G22" s="626"/>
      <c r="H22" s="626"/>
    </row>
    <row r="23" spans="3:8" ht="15" customHeight="1">
      <c r="C23" s="626"/>
      <c r="D23" s="626"/>
      <c r="E23" s="626"/>
      <c r="F23" s="626"/>
      <c r="G23" s="626"/>
      <c r="H23" s="626"/>
    </row>
    <row r="24" spans="3:8" ht="15" customHeight="1">
      <c r="C24" s="626"/>
      <c r="D24" s="626"/>
      <c r="E24" s="626"/>
      <c r="F24" s="626"/>
      <c r="G24" s="626"/>
      <c r="H24" s="626"/>
    </row>
    <row r="25" spans="3:8" ht="15" customHeight="1">
      <c r="C25" s="626"/>
      <c r="D25" s="626"/>
      <c r="E25" s="626"/>
      <c r="F25" s="626"/>
      <c r="G25" s="626"/>
      <c r="H25" s="626"/>
    </row>
    <row r="26" spans="3:8" ht="15" customHeight="1">
      <c r="C26" s="626"/>
      <c r="D26" s="626"/>
      <c r="E26" s="626"/>
      <c r="F26" s="626"/>
      <c r="G26" s="626"/>
      <c r="H26" s="626"/>
    </row>
    <row r="27" spans="3:8" ht="15" customHeight="1">
      <c r="C27" s="626"/>
      <c r="D27" s="626"/>
      <c r="E27" s="626"/>
      <c r="F27" s="626"/>
      <c r="G27" s="626"/>
      <c r="H27" s="626"/>
    </row>
    <row r="28" spans="3:8" ht="15" customHeight="1">
      <c r="C28" s="626"/>
      <c r="D28" s="626"/>
      <c r="E28" s="626"/>
      <c r="F28" s="626"/>
      <c r="G28" s="626"/>
      <c r="H28" s="626"/>
    </row>
    <row r="29" spans="3:8" ht="15" customHeight="1">
      <c r="C29" s="626"/>
      <c r="D29" s="626"/>
      <c r="E29" s="626"/>
      <c r="F29" s="626"/>
      <c r="G29" s="626"/>
      <c r="H29" s="626"/>
    </row>
    <row r="30" spans="3:8" ht="15" customHeight="1">
      <c r="C30" s="626"/>
      <c r="D30" s="626"/>
      <c r="E30" s="626"/>
      <c r="F30" s="626"/>
      <c r="G30" s="626"/>
      <c r="H30" s="626"/>
    </row>
    <row r="31" spans="3:8" ht="15" customHeight="1">
      <c r="C31" s="626"/>
      <c r="D31" s="626"/>
      <c r="E31" s="626"/>
      <c r="F31" s="626"/>
      <c r="G31" s="626"/>
      <c r="H31" s="626"/>
    </row>
    <row r="36" spans="2:17" ht="15" customHeight="1"/>
    <row r="37" spans="2:17" ht="15" customHeight="1"/>
    <row r="38" spans="2:17" ht="30.75" customHeight="1" thickBot="1">
      <c r="C38" s="627" t="s">
        <v>109</v>
      </c>
      <c r="D38" s="627"/>
      <c r="E38" s="627"/>
      <c r="F38" s="628">
        <f ca="1">TODAY()</f>
        <v>46119</v>
      </c>
      <c r="G38" s="628"/>
      <c r="H38" s="628"/>
      <c r="I38" s="628"/>
      <c r="J38" s="629" t="s">
        <v>110</v>
      </c>
      <c r="K38" s="629"/>
      <c r="L38" s="629"/>
      <c r="M38" s="629"/>
      <c r="N38" s="629"/>
      <c r="O38" s="629"/>
      <c r="P38" s="629"/>
    </row>
    <row r="39" spans="2:17" ht="20.25" customHeight="1" thickBot="1">
      <c r="C39" s="253" t="s">
        <v>103</v>
      </c>
      <c r="D39" s="254" t="s">
        <v>111</v>
      </c>
      <c r="E39" s="254" t="s">
        <v>112</v>
      </c>
      <c r="F39" s="254" t="s">
        <v>113</v>
      </c>
      <c r="G39" s="254" t="s">
        <v>114</v>
      </c>
      <c r="H39" s="254" t="s">
        <v>115</v>
      </c>
      <c r="I39" s="254" t="s">
        <v>116</v>
      </c>
      <c r="J39" s="255" t="s">
        <v>117</v>
      </c>
      <c r="K39" s="255" t="s">
        <v>118</v>
      </c>
      <c r="L39" s="255" t="s">
        <v>119</v>
      </c>
      <c r="M39" s="255" t="s">
        <v>120</v>
      </c>
      <c r="N39" s="255" t="s">
        <v>121</v>
      </c>
      <c r="O39" s="255" t="s">
        <v>122</v>
      </c>
      <c r="P39" s="266" t="s">
        <v>38</v>
      </c>
    </row>
    <row r="40" spans="2:17" ht="17.25" customHeight="1">
      <c r="C40" s="257" t="s">
        <v>105</v>
      </c>
      <c r="D40" s="259">
        <f>'[37]Brewer Performance'!D40</f>
        <v>96.507822129582451</v>
      </c>
      <c r="E40" s="259">
        <f>AVERAGE('[38]Feb. 1'!I12:I13,'[38]Feb. 2'!I11:I14,[38]Feb.4!I13,[38]Feb.8!I14:I16,[38]Feb.9!I14,[38]Feb.9!I17:I18,[38]Feb10!I13:I16,[38]Feb14!I17,[38]Feb14!I15:I17,[38]Feb17!I10,[38]Feb17!I19:I21,'[38]Feb 21'!I10:I12,'[38]Feb 22'!I11:I13,'[38]Feb 23'!I14:I16,'[38]Feb 24'!I10:I12,'[38]Feb 25'!I13:I15,'[38]Feb 28'!I15:I18)</f>
        <v>98.284801217583563</v>
      </c>
      <c r="F40" s="259">
        <v>98.226686244092193</v>
      </c>
      <c r="G40" s="259">
        <v>98.210530202427222</v>
      </c>
      <c r="H40" s="259">
        <f>'[39]Brewer Performance'!H40</f>
        <v>98.517352497406634</v>
      </c>
      <c r="I40" s="259">
        <v>98.214734207097663</v>
      </c>
      <c r="J40" s="258">
        <v>98.198803831827249</v>
      </c>
      <c r="K40" s="267">
        <v>97.486490472733735</v>
      </c>
      <c r="L40" s="258">
        <v>97.932459358923822</v>
      </c>
      <c r="M40" s="331"/>
      <c r="N40" s="331"/>
      <c r="O40" s="258"/>
      <c r="P40" s="268">
        <f t="shared" ref="P40:P45" si="0">AVERAGE(D40:O40)</f>
        <v>97.953297795741619</v>
      </c>
    </row>
    <row r="41" spans="2:17" ht="17.25" customHeight="1">
      <c r="C41" s="263" t="s">
        <v>106</v>
      </c>
      <c r="D41" s="259">
        <f>'[37]Brewer Performance'!D41</f>
        <v>97.99738587335284</v>
      </c>
      <c r="E41" s="259">
        <f>AVERAGE('[38]Feb. 1'!I10:I11,'[38]Feb. 2'!I10,[38]Feb.3!I11:I13,[38]Feb.4!I10:I12,[38]Feb.8!I10,[38]Feb.8!I13,[38]Feb.9!I10:I13,[38]Feb10!I10:I12,[38]Feb11!I11:I13,[38]Feb14!I13:I14,[38]Feb17!I16:I18,[38]Feb18!I13:I15,'[38]Feb 21'!I17:I19,'[38]Feb 22'!I10,'[38]Feb 22'!I20:I22,'[38]Feb 23'!I10:I11,'[38]Feb 23'!I21,'[38]Feb 25'!I10:I12,'[38]Feb 28'!I11:I14)</f>
        <v>97.918121549662388</v>
      </c>
      <c r="F41" s="259">
        <v>98.070081368185257</v>
      </c>
      <c r="G41" s="259">
        <v>97.79453968977019</v>
      </c>
      <c r="H41" s="259">
        <f>'[39]Brewer Performance'!H41</f>
        <v>98.442574874312371</v>
      </c>
      <c r="I41" s="259">
        <v>97.831216272750581</v>
      </c>
      <c r="J41" s="258">
        <v>98.459260197488078</v>
      </c>
      <c r="K41" s="267">
        <v>98.711428992063503</v>
      </c>
      <c r="L41" s="258">
        <v>97.854862054451985</v>
      </c>
      <c r="M41" s="332"/>
      <c r="N41" s="331"/>
      <c r="O41" s="258"/>
      <c r="P41" s="268">
        <f t="shared" si="0"/>
        <v>98.11994120800415</v>
      </c>
    </row>
    <row r="42" spans="2:17" ht="17.25" customHeight="1">
      <c r="C42" s="263" t="s">
        <v>107</v>
      </c>
      <c r="D42" s="259"/>
      <c r="E42" s="259"/>
      <c r="F42" s="259"/>
      <c r="G42" s="259">
        <v>98.305001734453086</v>
      </c>
      <c r="H42" s="259"/>
      <c r="I42" s="259">
        <v>100.82497251003979</v>
      </c>
      <c r="J42" s="258"/>
      <c r="K42" s="267"/>
      <c r="L42" s="258"/>
      <c r="M42" s="331"/>
      <c r="N42" s="331"/>
      <c r="O42" s="258"/>
      <c r="P42" s="268">
        <f t="shared" si="0"/>
        <v>99.564987122246436</v>
      </c>
    </row>
    <row r="43" spans="2:17" ht="17.25" customHeight="1">
      <c r="C43" s="263" t="s">
        <v>141</v>
      </c>
      <c r="D43" s="259"/>
      <c r="E43" s="259"/>
      <c r="F43" s="259"/>
      <c r="G43" s="259"/>
      <c r="H43" s="259"/>
      <c r="I43" s="259"/>
      <c r="J43" s="258"/>
      <c r="K43" s="267">
        <v>100.09286182555712</v>
      </c>
      <c r="L43" s="258"/>
      <c r="M43" s="331"/>
      <c r="N43" s="331"/>
      <c r="O43" s="258"/>
      <c r="P43" s="268"/>
    </row>
    <row r="44" spans="2:17" ht="17.25" customHeight="1">
      <c r="C44" s="263" t="s">
        <v>108</v>
      </c>
      <c r="D44" s="259">
        <f>'[37]Brewer Performance'!D43</f>
        <v>98.304611060419475</v>
      </c>
      <c r="E44" s="259">
        <f>AVERAGE('[38]Feb. 2'!I15,[38]Feb.3!I10,[38]Feb.4!I16:I17,[38]Feb.8!I19:I21,[38]Feb.9!I19:I20,[38]Feb10!I17:I18,[38]Feb11!I10,[38]Feb14!I10:I12,[38]Feb17!I11:I13,[38]Feb18!I10:I12,'[38]Feb 21'!I13,'[38]Feb 21'!I16,'[38]Feb 22'!I16:I19,'[38]Feb 23'!I17:I20,'[38]Feb 24'!I15:I18,'[38]Feb 25'!I16:I17,'[38]Feb 28'!I10,'[38]Feb 28'!I19:I20)</f>
        <v>97.289162940824014</v>
      </c>
      <c r="F44" s="259">
        <v>98.163642226187022</v>
      </c>
      <c r="G44" s="259">
        <v>97.964054285784258</v>
      </c>
      <c r="H44" s="259">
        <f>'[39]Brewer Performance'!H43</f>
        <v>98.685415156420575</v>
      </c>
      <c r="I44" s="259">
        <v>97.759800403711807</v>
      </c>
      <c r="J44" s="258">
        <v>98.532266745142223</v>
      </c>
      <c r="K44" s="258">
        <v>98.484140672420295</v>
      </c>
      <c r="L44" s="258">
        <v>97.916815501712691</v>
      </c>
      <c r="M44" s="331"/>
      <c r="N44" s="331"/>
      <c r="O44" s="258"/>
      <c r="P44" s="268">
        <f t="shared" si="0"/>
        <v>98.122212110291372</v>
      </c>
    </row>
    <row r="45" spans="2:17" ht="17.25" customHeight="1">
      <c r="C45" s="263" t="s">
        <v>132</v>
      </c>
      <c r="D45" s="259">
        <f>'[37]Brewer Performance'!D44</f>
        <v>98.673584433402866</v>
      </c>
      <c r="E45" s="259"/>
      <c r="F45" s="259"/>
      <c r="G45" s="259"/>
      <c r="H45" s="259"/>
      <c r="I45" s="259">
        <v>98.186950219332687</v>
      </c>
      <c r="J45" s="258">
        <v>97.888270164748889</v>
      </c>
      <c r="K45" s="258">
        <v>97.609604379501235</v>
      </c>
      <c r="L45" s="258"/>
      <c r="M45" s="331"/>
      <c r="N45" s="331"/>
      <c r="O45" s="258"/>
      <c r="P45" s="268">
        <f t="shared" si="0"/>
        <v>98.089602299246422</v>
      </c>
    </row>
    <row r="46" spans="2:17" ht="17.25" customHeight="1">
      <c r="C46" s="316" t="s">
        <v>140</v>
      </c>
      <c r="D46" s="317"/>
      <c r="E46" s="317"/>
      <c r="F46" s="317"/>
      <c r="G46" s="317"/>
      <c r="H46" s="317"/>
      <c r="I46" s="317"/>
      <c r="J46" s="318"/>
      <c r="K46" s="318"/>
      <c r="L46" s="318">
        <v>97.511448216434601</v>
      </c>
      <c r="M46" s="333"/>
      <c r="N46" s="333"/>
      <c r="O46" s="318"/>
      <c r="P46" s="319"/>
    </row>
    <row r="47" spans="2:17" ht="14.25" customHeight="1" thickBot="1">
      <c r="C47" s="269" t="s">
        <v>99</v>
      </c>
      <c r="D47" s="270">
        <f>'[37]Brewer Performance'!D45</f>
        <v>97.870850874189415</v>
      </c>
      <c r="E47" s="270">
        <f>AVERAGE(E40:E45)</f>
        <v>97.830695236023317</v>
      </c>
      <c r="F47" s="270">
        <f>AVERAGE(F40:F45)</f>
        <v>98.153469946154814</v>
      </c>
      <c r="G47" s="270">
        <f>AVERAGE(G40:G45)</f>
        <v>98.068531478108682</v>
      </c>
      <c r="H47" s="270">
        <f>AVERAGE(H40:H45)</f>
        <v>98.548447509379855</v>
      </c>
      <c r="I47" s="270">
        <f>AVERAGE(I40:I45)</f>
        <v>98.56353472258651</v>
      </c>
      <c r="J47" s="270">
        <f t="shared" ref="J47:O47" si="1">AVERAGE(J40:J45)</f>
        <v>98.269650234801617</v>
      </c>
      <c r="K47" s="270">
        <f t="shared" si="1"/>
        <v>98.47690526845517</v>
      </c>
      <c r="L47" s="270">
        <f t="shared" si="1"/>
        <v>97.901378971696161</v>
      </c>
      <c r="M47" s="270" t="e">
        <f t="shared" si="1"/>
        <v>#DIV/0!</v>
      </c>
      <c r="N47" s="270" t="e">
        <f t="shared" si="1"/>
        <v>#DIV/0!</v>
      </c>
      <c r="O47" s="270" t="e">
        <f t="shared" si="1"/>
        <v>#DIV/0!</v>
      </c>
      <c r="P47" s="271" t="e">
        <f>AVERAGE(D47:N47)</f>
        <v>#DIV/0!</v>
      </c>
    </row>
    <row r="48" spans="2:17" ht="15" customHeight="1">
      <c r="B48" s="622" t="s">
        <v>123</v>
      </c>
      <c r="C48" s="622"/>
      <c r="D48" s="622"/>
      <c r="E48" s="622"/>
      <c r="F48" s="622"/>
      <c r="G48" s="622"/>
      <c r="H48" s="622"/>
      <c r="I48" s="622"/>
      <c r="J48" s="622"/>
      <c r="K48" s="622"/>
      <c r="L48" s="622"/>
      <c r="M48" s="622"/>
      <c r="N48" s="622"/>
      <c r="O48" s="622"/>
      <c r="P48" s="622"/>
      <c r="Q48" s="622"/>
    </row>
    <row r="49" spans="2:17" ht="15" customHeight="1">
      <c r="B49" s="622"/>
      <c r="C49" s="622"/>
      <c r="D49" s="622"/>
      <c r="E49" s="622"/>
      <c r="F49" s="622"/>
      <c r="G49" s="622"/>
      <c r="H49" s="622"/>
      <c r="I49" s="622"/>
      <c r="J49" s="622"/>
      <c r="K49" s="622"/>
      <c r="L49" s="622"/>
      <c r="M49" s="622"/>
      <c r="N49" s="622"/>
      <c r="O49" s="622"/>
      <c r="P49" s="622"/>
      <c r="Q49" s="622"/>
    </row>
    <row r="50" spans="2:17" ht="15" customHeight="1">
      <c r="B50" s="622"/>
      <c r="C50" s="622"/>
      <c r="D50" s="622"/>
      <c r="E50" s="622"/>
      <c r="F50" s="622"/>
      <c r="G50" s="622"/>
      <c r="H50" s="622"/>
      <c r="I50" s="622"/>
      <c r="J50" s="622"/>
      <c r="K50" s="622"/>
      <c r="L50" s="622"/>
      <c r="M50" s="622"/>
      <c r="N50" s="622"/>
      <c r="O50" s="622"/>
      <c r="P50" s="622"/>
      <c r="Q50" s="622"/>
    </row>
    <row r="51" spans="2:17" ht="15" customHeight="1">
      <c r="B51" s="622"/>
      <c r="C51" s="622"/>
      <c r="D51" s="622"/>
      <c r="E51" s="622"/>
      <c r="F51" s="622"/>
      <c r="G51" s="622"/>
      <c r="H51" s="622"/>
      <c r="I51" s="622"/>
      <c r="J51" s="622"/>
      <c r="K51" s="622"/>
      <c r="L51" s="622"/>
      <c r="M51" s="622"/>
      <c r="N51" s="622"/>
      <c r="O51" s="622"/>
      <c r="P51" s="622"/>
      <c r="Q51" s="622"/>
    </row>
    <row r="52" spans="2:17" ht="15" customHeight="1">
      <c r="B52" s="622"/>
      <c r="C52" s="622"/>
      <c r="D52" s="622"/>
      <c r="E52" s="622"/>
      <c r="F52" s="622"/>
      <c r="G52" s="622"/>
      <c r="H52" s="622"/>
      <c r="I52" s="622"/>
      <c r="J52" s="622"/>
      <c r="K52" s="622"/>
      <c r="L52" s="622"/>
      <c r="M52" s="622"/>
      <c r="N52" s="622"/>
      <c r="O52" s="622"/>
      <c r="P52" s="622"/>
      <c r="Q52" s="622"/>
    </row>
    <row r="53" spans="2:17" ht="15" customHeight="1">
      <c r="B53" s="622"/>
      <c r="C53" s="622"/>
      <c r="D53" s="622"/>
      <c r="E53" s="622"/>
      <c r="F53" s="622"/>
      <c r="G53" s="622"/>
      <c r="H53" s="622"/>
      <c r="I53" s="622"/>
      <c r="J53" s="622"/>
      <c r="K53" s="622"/>
      <c r="L53" s="622"/>
      <c r="M53" s="622"/>
      <c r="N53" s="622"/>
      <c r="O53" s="622"/>
      <c r="P53" s="622"/>
      <c r="Q53" s="622"/>
    </row>
    <row r="54" spans="2:17" ht="15" customHeight="1">
      <c r="B54" s="622"/>
      <c r="C54" s="622"/>
      <c r="D54" s="622"/>
      <c r="E54" s="622"/>
      <c r="F54" s="622"/>
      <c r="G54" s="622"/>
      <c r="H54" s="622"/>
      <c r="I54" s="622"/>
      <c r="J54" s="622"/>
      <c r="K54" s="622"/>
      <c r="L54" s="622"/>
      <c r="M54" s="622"/>
      <c r="N54" s="622"/>
      <c r="O54" s="622"/>
      <c r="P54" s="622"/>
      <c r="Q54" s="622"/>
    </row>
    <row r="55" spans="2:17" ht="15" customHeight="1">
      <c r="B55" s="622"/>
      <c r="C55" s="622"/>
      <c r="D55" s="622"/>
      <c r="E55" s="622"/>
      <c r="F55" s="622"/>
      <c r="G55" s="622"/>
      <c r="H55" s="622"/>
      <c r="I55" s="622"/>
      <c r="J55" s="622"/>
      <c r="K55" s="622"/>
      <c r="L55" s="622"/>
      <c r="M55" s="622"/>
      <c r="N55" s="622"/>
      <c r="O55" s="622"/>
      <c r="P55" s="622"/>
      <c r="Q55" s="622"/>
    </row>
    <row r="56" spans="2:17" ht="15" customHeight="1">
      <c r="B56" s="622"/>
      <c r="C56" s="622"/>
      <c r="D56" s="622"/>
      <c r="E56" s="622"/>
      <c r="F56" s="622"/>
      <c r="G56" s="622"/>
      <c r="H56" s="622"/>
      <c r="I56" s="622"/>
      <c r="J56" s="622"/>
      <c r="K56" s="622"/>
      <c r="L56" s="622"/>
      <c r="M56" s="622"/>
      <c r="N56" s="622"/>
      <c r="O56" s="622"/>
      <c r="P56" s="622"/>
      <c r="Q56" s="622"/>
    </row>
    <row r="57" spans="2:17" ht="15" customHeight="1">
      <c r="B57" s="622"/>
      <c r="C57" s="622"/>
      <c r="D57" s="622"/>
      <c r="E57" s="622"/>
      <c r="F57" s="622"/>
      <c r="G57" s="622"/>
      <c r="H57" s="622"/>
      <c r="I57" s="622"/>
      <c r="J57" s="622"/>
      <c r="K57" s="622"/>
      <c r="L57" s="622"/>
      <c r="M57" s="622"/>
      <c r="N57" s="622"/>
      <c r="O57" s="622"/>
      <c r="P57" s="622"/>
      <c r="Q57" s="622"/>
    </row>
    <row r="58" spans="2:17" ht="15" customHeight="1">
      <c r="B58" s="622"/>
      <c r="C58" s="622"/>
      <c r="D58" s="622"/>
      <c r="E58" s="622"/>
      <c r="F58" s="622"/>
      <c r="G58" s="622"/>
      <c r="H58" s="622"/>
      <c r="I58" s="622"/>
      <c r="J58" s="622"/>
      <c r="K58" s="622"/>
      <c r="L58" s="622"/>
      <c r="M58" s="622"/>
      <c r="N58" s="622"/>
      <c r="O58" s="622"/>
      <c r="P58" s="622"/>
      <c r="Q58" s="622"/>
    </row>
    <row r="59" spans="2:17" ht="15" customHeight="1">
      <c r="B59" s="622"/>
      <c r="C59" s="622"/>
      <c r="D59" s="622"/>
      <c r="E59" s="622"/>
      <c r="F59" s="622"/>
      <c r="G59" s="622"/>
      <c r="H59" s="622"/>
      <c r="I59" s="622"/>
      <c r="J59" s="622"/>
      <c r="K59" s="622"/>
      <c r="L59" s="622"/>
      <c r="M59" s="622"/>
      <c r="N59" s="622"/>
      <c r="O59" s="622"/>
      <c r="P59" s="622"/>
      <c r="Q59" s="622"/>
    </row>
    <row r="60" spans="2:17" ht="15" customHeight="1">
      <c r="B60" s="622"/>
      <c r="C60" s="622"/>
      <c r="D60" s="622"/>
      <c r="E60" s="622"/>
      <c r="F60" s="622"/>
      <c r="G60" s="622"/>
      <c r="H60" s="622"/>
      <c r="I60" s="622"/>
      <c r="J60" s="622"/>
      <c r="K60" s="622"/>
      <c r="L60" s="622"/>
      <c r="M60" s="622"/>
      <c r="N60" s="622"/>
      <c r="O60" s="622"/>
      <c r="P60" s="622"/>
      <c r="Q60" s="622"/>
    </row>
    <row r="61" spans="2:17" ht="15" customHeight="1">
      <c r="B61" s="622"/>
      <c r="C61" s="622"/>
      <c r="D61" s="622"/>
      <c r="E61" s="622"/>
      <c r="F61" s="622"/>
      <c r="G61" s="622"/>
      <c r="H61" s="622"/>
      <c r="I61" s="622"/>
      <c r="J61" s="622"/>
      <c r="K61" s="622"/>
      <c r="L61" s="622"/>
      <c r="M61" s="622"/>
      <c r="N61" s="622"/>
      <c r="O61" s="622"/>
      <c r="P61" s="622"/>
      <c r="Q61" s="622"/>
    </row>
    <row r="62" spans="2:17" ht="15" customHeight="1">
      <c r="B62" s="622"/>
      <c r="C62" s="622"/>
      <c r="D62" s="622"/>
      <c r="E62" s="622"/>
      <c r="F62" s="622"/>
      <c r="G62" s="622"/>
      <c r="H62" s="622"/>
      <c r="I62" s="622"/>
      <c r="J62" s="622"/>
      <c r="K62" s="622"/>
      <c r="L62" s="622"/>
      <c r="M62" s="622"/>
      <c r="N62" s="622"/>
      <c r="O62" s="622"/>
      <c r="P62" s="622"/>
      <c r="Q62" s="622"/>
    </row>
    <row r="63" spans="2:17" ht="15" customHeight="1">
      <c r="B63" s="622"/>
      <c r="C63" s="622"/>
      <c r="D63" s="622"/>
      <c r="E63" s="622"/>
      <c r="F63" s="622"/>
      <c r="G63" s="622"/>
      <c r="H63" s="622"/>
      <c r="I63" s="622"/>
      <c r="J63" s="622"/>
      <c r="K63" s="622"/>
      <c r="L63" s="622"/>
      <c r="M63" s="622"/>
      <c r="N63" s="622"/>
      <c r="O63" s="622"/>
      <c r="P63" s="622"/>
      <c r="Q63" s="622"/>
    </row>
    <row r="64" spans="2:17" ht="15" customHeight="1">
      <c r="B64" s="622"/>
      <c r="C64" s="622"/>
      <c r="D64" s="622"/>
      <c r="E64" s="622"/>
      <c r="F64" s="622"/>
      <c r="G64" s="622"/>
      <c r="H64" s="622"/>
      <c r="I64" s="622"/>
      <c r="J64" s="622"/>
      <c r="K64" s="622"/>
      <c r="L64" s="622"/>
      <c r="M64" s="622"/>
      <c r="N64" s="622"/>
      <c r="O64" s="622"/>
      <c r="P64" s="622"/>
      <c r="Q64" s="622"/>
    </row>
    <row r="65" spans="2:17" ht="15" customHeight="1">
      <c r="B65" s="622"/>
      <c r="C65" s="622"/>
      <c r="D65" s="622"/>
      <c r="E65" s="622"/>
      <c r="F65" s="622"/>
      <c r="G65" s="622"/>
      <c r="H65" s="622"/>
      <c r="I65" s="622"/>
      <c r="J65" s="622"/>
      <c r="K65" s="622"/>
      <c r="L65" s="622"/>
      <c r="M65" s="622"/>
      <c r="N65" s="622"/>
      <c r="O65" s="622"/>
      <c r="P65" s="622"/>
      <c r="Q65" s="622"/>
    </row>
    <row r="66" spans="2:17" ht="15" customHeight="1">
      <c r="B66" s="622"/>
      <c r="C66" s="622"/>
      <c r="D66" s="622"/>
      <c r="E66" s="622"/>
      <c r="F66" s="622"/>
      <c r="G66" s="622"/>
      <c r="H66" s="622"/>
      <c r="I66" s="622"/>
      <c r="J66" s="622"/>
      <c r="K66" s="622"/>
      <c r="L66" s="622"/>
      <c r="M66" s="622"/>
      <c r="N66" s="622"/>
      <c r="O66" s="622"/>
      <c r="P66" s="622"/>
      <c r="Q66" s="622"/>
    </row>
    <row r="67" spans="2:17" ht="15" customHeight="1">
      <c r="B67" s="622"/>
      <c r="C67" s="622"/>
      <c r="D67" s="622"/>
      <c r="E67" s="622"/>
      <c r="F67" s="622"/>
      <c r="G67" s="622"/>
      <c r="H67" s="622"/>
      <c r="I67" s="622"/>
      <c r="J67" s="622"/>
      <c r="K67" s="622"/>
      <c r="L67" s="622"/>
      <c r="M67" s="622"/>
      <c r="N67" s="622"/>
      <c r="O67" s="622"/>
      <c r="P67" s="622"/>
      <c r="Q67" s="622"/>
    </row>
    <row r="68" spans="2:17" ht="15" customHeight="1">
      <c r="B68" s="622"/>
      <c r="C68" s="622"/>
      <c r="D68" s="622"/>
      <c r="E68" s="622"/>
      <c r="F68" s="622"/>
      <c r="G68" s="622"/>
      <c r="H68" s="622"/>
      <c r="I68" s="622"/>
      <c r="J68" s="622"/>
      <c r="K68" s="622"/>
      <c r="L68" s="622"/>
      <c r="M68" s="622"/>
      <c r="N68" s="622"/>
      <c r="O68" s="622"/>
      <c r="P68" s="622"/>
      <c r="Q68" s="622"/>
    </row>
    <row r="69" spans="2:17" ht="15" customHeight="1">
      <c r="B69" s="622"/>
      <c r="C69" s="622"/>
      <c r="D69" s="622"/>
      <c r="E69" s="622"/>
      <c r="F69" s="622"/>
      <c r="G69" s="622"/>
      <c r="H69" s="622"/>
      <c r="I69" s="622"/>
      <c r="J69" s="622"/>
      <c r="K69" s="622"/>
      <c r="L69" s="622"/>
      <c r="M69" s="622"/>
      <c r="N69" s="622"/>
      <c r="O69" s="622"/>
      <c r="P69" s="622"/>
      <c r="Q69" s="622"/>
    </row>
    <row r="70" spans="2:17" ht="15" customHeight="1">
      <c r="B70" s="622"/>
      <c r="C70" s="622"/>
      <c r="D70" s="622"/>
      <c r="E70" s="622"/>
      <c r="F70" s="622"/>
      <c r="G70" s="622"/>
      <c r="H70" s="622"/>
      <c r="I70" s="622"/>
      <c r="J70" s="622"/>
      <c r="K70" s="622"/>
      <c r="L70" s="622"/>
      <c r="M70" s="622"/>
      <c r="N70" s="622"/>
      <c r="O70" s="622"/>
      <c r="P70" s="622"/>
      <c r="Q70" s="622"/>
    </row>
    <row r="71" spans="2:17" ht="15" customHeight="1">
      <c r="B71" s="622"/>
      <c r="C71" s="622"/>
      <c r="D71" s="622"/>
      <c r="E71" s="622"/>
      <c r="F71" s="622"/>
      <c r="G71" s="622"/>
      <c r="H71" s="622"/>
      <c r="I71" s="622"/>
      <c r="J71" s="622"/>
      <c r="K71" s="622"/>
      <c r="L71" s="622"/>
      <c r="M71" s="622"/>
      <c r="N71" s="622"/>
      <c r="O71" s="622"/>
      <c r="P71" s="622"/>
      <c r="Q71" s="622"/>
    </row>
    <row r="72" spans="2:17" ht="15" customHeight="1">
      <c r="B72" s="622"/>
      <c r="C72" s="622"/>
      <c r="D72" s="622"/>
      <c r="E72" s="622"/>
      <c r="F72" s="622"/>
      <c r="G72" s="622"/>
      <c r="H72" s="622"/>
      <c r="I72" s="622"/>
      <c r="J72" s="622"/>
      <c r="K72" s="622"/>
      <c r="L72" s="622"/>
      <c r="M72" s="622"/>
      <c r="N72" s="622"/>
      <c r="O72" s="622"/>
      <c r="P72" s="622"/>
      <c r="Q72" s="622"/>
    </row>
    <row r="73" spans="2:17" ht="15" customHeight="1">
      <c r="B73" s="622"/>
      <c r="C73" s="622"/>
      <c r="D73" s="622"/>
      <c r="E73" s="622"/>
      <c r="F73" s="622"/>
      <c r="G73" s="622"/>
      <c r="H73" s="622"/>
      <c r="I73" s="622"/>
      <c r="J73" s="622"/>
      <c r="K73" s="622"/>
      <c r="L73" s="622"/>
      <c r="M73" s="622"/>
      <c r="N73" s="622"/>
      <c r="O73" s="622"/>
      <c r="P73" s="622"/>
      <c r="Q73" s="622"/>
    </row>
    <row r="74" spans="2:17" ht="15" customHeight="1">
      <c r="B74" s="622"/>
      <c r="C74" s="622"/>
      <c r="D74" s="622"/>
      <c r="E74" s="622"/>
      <c r="F74" s="622"/>
      <c r="G74" s="622"/>
      <c r="H74" s="622"/>
      <c r="I74" s="622"/>
      <c r="J74" s="622"/>
      <c r="K74" s="622"/>
      <c r="L74" s="622"/>
      <c r="M74" s="622"/>
      <c r="N74" s="622"/>
      <c r="O74" s="622"/>
      <c r="P74" s="622"/>
      <c r="Q74" s="622"/>
    </row>
    <row r="75" spans="2:17" ht="15" customHeight="1">
      <c r="B75" s="622"/>
      <c r="C75" s="622"/>
      <c r="D75" s="622"/>
      <c r="E75" s="622"/>
      <c r="F75" s="622"/>
      <c r="G75" s="622"/>
      <c r="H75" s="622"/>
      <c r="I75" s="622"/>
      <c r="J75" s="622"/>
      <c r="K75" s="622"/>
      <c r="L75" s="622"/>
      <c r="M75" s="622"/>
      <c r="N75" s="622"/>
      <c r="O75" s="622"/>
      <c r="P75" s="622"/>
      <c r="Q75" s="622"/>
    </row>
    <row r="76" spans="2:17">
      <c r="B76" s="622"/>
      <c r="C76" s="622"/>
      <c r="D76" s="622"/>
      <c r="E76" s="622"/>
      <c r="F76" s="622"/>
      <c r="G76" s="622"/>
      <c r="H76" s="622"/>
      <c r="I76" s="622"/>
      <c r="J76" s="622"/>
      <c r="K76" s="622"/>
      <c r="L76" s="622"/>
      <c r="M76" s="622"/>
      <c r="N76" s="622"/>
      <c r="O76" s="622"/>
      <c r="P76" s="622"/>
      <c r="Q76" s="622"/>
    </row>
  </sheetData>
  <mergeCells count="7">
    <mergeCell ref="B48:Q76"/>
    <mergeCell ref="C3:D3"/>
    <mergeCell ref="E3:G3"/>
    <mergeCell ref="C14:H31"/>
    <mergeCell ref="C38:E38"/>
    <mergeCell ref="F38:I38"/>
    <mergeCell ref="J38:P38"/>
  </mergeCells>
  <pageMargins left="0.25" right="0.25" top="0.75" bottom="0.75" header="0.3" footer="0.3"/>
  <pageSetup scale="9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3</vt:i4>
      </vt:variant>
    </vt:vector>
  </HeadingPairs>
  <TitlesOfParts>
    <vt:vector size="30" baseType="lpstr">
      <vt:lpstr>Dec 18th</vt:lpstr>
      <vt:lpstr>Mar 1st</vt:lpstr>
      <vt:lpstr>Mar 2nd</vt:lpstr>
      <vt:lpstr>Mar 3rd</vt:lpstr>
      <vt:lpstr>Mar 4th</vt:lpstr>
      <vt:lpstr>Mar 5th</vt:lpstr>
      <vt:lpstr>Mar 6th </vt:lpstr>
      <vt:lpstr>Mar 9th</vt:lpstr>
      <vt:lpstr>Mar 10th</vt:lpstr>
      <vt:lpstr>Mar 11th</vt:lpstr>
      <vt:lpstr>Mar 12th</vt:lpstr>
      <vt:lpstr>Mar 13th-15th</vt:lpstr>
      <vt:lpstr>Mar 16th</vt:lpstr>
      <vt:lpstr>Mar 18th</vt:lpstr>
      <vt:lpstr>Mar 19th</vt:lpstr>
      <vt:lpstr>Mar 20th -22nd</vt:lpstr>
      <vt:lpstr>Mar 23rd </vt:lpstr>
      <vt:lpstr>Mar 24th</vt:lpstr>
      <vt:lpstr>Mar 25th </vt:lpstr>
      <vt:lpstr>Mar 26th</vt:lpstr>
      <vt:lpstr>Mar 27th</vt:lpstr>
      <vt:lpstr>Mar 30th </vt:lpstr>
      <vt:lpstr>Mar 31st</vt:lpstr>
      <vt:lpstr>MTD_Links</vt:lpstr>
      <vt:lpstr>YTD_Links</vt:lpstr>
      <vt:lpstr>KPIs</vt:lpstr>
      <vt:lpstr>Brewer Performance</vt:lpstr>
      <vt:lpstr>'Brewer Performance'!Print_Area</vt:lpstr>
      <vt:lpstr>MTD_Links!Print_Area</vt:lpstr>
      <vt:lpstr>YTD_Links!Print_Area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Reshelle Fleming</dc:creator>
  <cp:lastModifiedBy>Kaylil Baptiste</cp:lastModifiedBy>
  <cp:lastPrinted>2024-01-26T11:36:30Z</cp:lastPrinted>
  <dcterms:created xsi:type="dcterms:W3CDTF">2020-01-28T18:21:11Z</dcterms:created>
  <dcterms:modified xsi:type="dcterms:W3CDTF">2026-04-07T17:38:24Z</dcterms:modified>
</cp:coreProperties>
</file>